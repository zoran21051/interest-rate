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ata\Zoran\BERZA_WFE  World Federation of Exchange\NYSE\VBA\codes\It Works_beautifull\Kamate\"/>
    </mc:Choice>
  </mc:AlternateContent>
  <bookViews>
    <workbookView xWindow="480" yWindow="240" windowWidth="18195" windowHeight="7875" activeTab="1"/>
  </bookViews>
  <sheets>
    <sheet name="Kam 3% 90hAndrija" sheetId="6" r:id="rId1"/>
    <sheet name="Kam 3.0% 328000" sheetId="1" r:id="rId2"/>
    <sheet name="Kam 3.5% 96000" sheetId="2" r:id="rId3"/>
    <sheet name="Kam 3.5%41000" sheetId="3" r:id="rId4"/>
    <sheet name="Kam 4%75000" sheetId="5" r:id="rId5"/>
    <sheet name="Kam 5% 75000" sheetId="4" r:id="rId6"/>
    <sheet name="Kam3%230000" sheetId="7" r:id="rId7"/>
    <sheet name="Sheet1" sheetId="8" r:id="rId8"/>
  </sheets>
  <functionGroups builtInGroupCount="18"/>
  <definedNames>
    <definedName name="_xlchart.v1.0" hidden="1">'Kam 3.0% 328000'!$B$5:$B$370</definedName>
    <definedName name="_xlchart.v1.1" hidden="1">'Kam 3.0% 328000'!$H$5:$H$371</definedName>
    <definedName name="_xlchart.v1.2" hidden="1">'Kam 3.0% 328000'!$H$5:$H$692</definedName>
    <definedName name="_xlchart.v1.3" hidden="1">'Kam 3.0% 328000'!$H$678</definedName>
    <definedName name="_xlchart.v1.4" hidden="1">'Kam 3.0% 328000'!$B$5:$B$370</definedName>
    <definedName name="_xlchart.v1.5" hidden="1">'Kam 3.0% 328000'!$H$5:$H$371</definedName>
    <definedName name="_xlchart.v1.6" hidden="1">'Kam 3.0% 328000'!$H$5:$H$692</definedName>
    <definedName name="_xlchart.v1.7" hidden="1">'Kam 3.0% 328000'!$H$678</definedName>
  </definedNames>
  <calcPr calcId="162913"/>
</workbook>
</file>

<file path=xl/calcChain.xml><?xml version="1.0" encoding="utf-8"?>
<calcChain xmlns="http://schemas.openxmlformats.org/spreadsheetml/2006/main">
  <c r="G693" i="1" l="1"/>
  <c r="J3" i="1"/>
  <c r="I692" i="1"/>
  <c r="AF2" i="6" l="1"/>
  <c r="K4" i="6"/>
  <c r="R4" i="6" s="1"/>
  <c r="K3" i="6"/>
  <c r="R3" i="6" s="1"/>
  <c r="B5" i="6"/>
  <c r="M3" i="1" l="1"/>
  <c r="Q3" i="1"/>
  <c r="B693" i="1" l="1"/>
  <c r="D5" i="1"/>
  <c r="N3" i="1"/>
  <c r="K3" i="1"/>
  <c r="J347" i="7"/>
  <c r="D6" i="7"/>
  <c r="D5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E5" i="7"/>
  <c r="G5" i="7" s="1"/>
  <c r="B6" i="7" s="1"/>
  <c r="F33" i="7" l="1"/>
  <c r="E6" i="7"/>
  <c r="G6" i="7" s="1"/>
  <c r="B7" i="7" s="1"/>
  <c r="D7" i="7" s="1"/>
  <c r="K5" i="6"/>
  <c r="E7" i="7" l="1"/>
  <c r="G7" i="7" s="1"/>
  <c r="B8" i="7" s="1"/>
  <c r="D8" i="7" s="1"/>
  <c r="E8" i="7" l="1"/>
  <c r="G8" i="7" s="1"/>
  <c r="B9" i="7" s="1"/>
  <c r="D9" i="7" s="1"/>
  <c r="M23" i="6"/>
  <c r="E9" i="7" l="1"/>
  <c r="G9" i="7" s="1"/>
  <c r="B10" i="7" s="1"/>
  <c r="D10" i="7" s="1"/>
  <c r="L23" i="6"/>
  <c r="E10" i="7" l="1"/>
  <c r="M4" i="6"/>
  <c r="L3" i="6"/>
  <c r="H342" i="6"/>
  <c r="N3" i="6" s="1"/>
  <c r="D5" i="6"/>
  <c r="J418" i="6"/>
  <c r="J370" i="6"/>
  <c r="J352" i="6"/>
  <c r="J340" i="6"/>
  <c r="J189" i="6"/>
  <c r="J68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G10" i="7" l="1"/>
  <c r="B11" i="7" s="1"/>
  <c r="D11" i="7" s="1"/>
  <c r="F33" i="6"/>
  <c r="N4" i="6" s="1"/>
  <c r="O4" i="6" s="1"/>
  <c r="P4" i="6" s="1"/>
  <c r="E11" i="7"/>
  <c r="G11" i="7" s="1"/>
  <c r="B12" i="7" s="1"/>
  <c r="D12" i="7" s="1"/>
  <c r="E5" i="6"/>
  <c r="G5" i="6" s="1"/>
  <c r="B6" i="6" s="1"/>
  <c r="D6" i="6" s="1"/>
  <c r="AC2" i="2"/>
  <c r="U2" i="2"/>
  <c r="E12" i="7" l="1"/>
  <c r="G12" i="7" s="1"/>
  <c r="B13" i="7" s="1"/>
  <c r="D13" i="7" s="1"/>
  <c r="E6" i="6"/>
  <c r="G6" i="6" s="1"/>
  <c r="B7" i="6" s="1"/>
  <c r="D7" i="6" s="1"/>
  <c r="T3" i="1"/>
  <c r="E13" i="7" l="1"/>
  <c r="G13" i="7" s="1"/>
  <c r="B14" i="7" s="1"/>
  <c r="D14" i="7" s="1"/>
  <c r="E7" i="6"/>
  <c r="G7" i="6" s="1"/>
  <c r="B8" i="6" s="1"/>
  <c r="D8" i="6" s="1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E14" i="7" l="1"/>
  <c r="G14" i="7" s="1"/>
  <c r="B15" i="7" s="1"/>
  <c r="D15" i="7" s="1"/>
  <c r="E8" i="6"/>
  <c r="G8" i="6" s="1"/>
  <c r="B9" i="6" s="1"/>
  <c r="D9" i="6" s="1"/>
  <c r="M3" i="4"/>
  <c r="K3" i="4"/>
  <c r="E15" i="7" l="1"/>
  <c r="G15" i="7" s="1"/>
  <c r="B16" i="7" s="1"/>
  <c r="D16" i="7" s="1"/>
  <c r="E9" i="6"/>
  <c r="G9" i="6" s="1"/>
  <c r="B10" i="6" s="1"/>
  <c r="D10" i="6" s="1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Q4" i="5"/>
  <c r="M3" i="5"/>
  <c r="K4" i="5"/>
  <c r="K3" i="5"/>
  <c r="R3" i="5" s="1"/>
  <c r="H362" i="5"/>
  <c r="F36" i="5" s="1"/>
  <c r="J361" i="5"/>
  <c r="J360" i="5"/>
  <c r="D5" i="5"/>
  <c r="L3" i="5"/>
  <c r="J341" i="5"/>
  <c r="J352" i="5"/>
  <c r="J340" i="5"/>
  <c r="J339" i="5"/>
  <c r="J228" i="5"/>
  <c r="J189" i="5"/>
  <c r="J68" i="5"/>
  <c r="O26" i="5"/>
  <c r="K24" i="5"/>
  <c r="K23" i="5"/>
  <c r="O22" i="5"/>
  <c r="K22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34" i="5" s="1"/>
  <c r="E5" i="5"/>
  <c r="G5" i="5" s="1"/>
  <c r="B6" i="5" s="1"/>
  <c r="D6" i="5" s="1"/>
  <c r="U3" i="5"/>
  <c r="F35" i="5" l="1"/>
  <c r="M4" i="5"/>
  <c r="N3" i="5"/>
  <c r="N4" i="5" s="1"/>
  <c r="E16" i="7"/>
  <c r="G16" i="7" s="1"/>
  <c r="B17" i="7" s="1"/>
  <c r="D17" i="7" s="1"/>
  <c r="E10" i="6"/>
  <c r="G10" i="6" s="1"/>
  <c r="B11" i="6" s="1"/>
  <c r="D11" i="6" s="1"/>
  <c r="M24" i="5"/>
  <c r="M22" i="5"/>
  <c r="M23" i="5"/>
  <c r="R4" i="5"/>
  <c r="O24" i="5"/>
  <c r="J418" i="4"/>
  <c r="H371" i="4"/>
  <c r="N3" i="4" s="1"/>
  <c r="J370" i="4"/>
  <c r="J352" i="4"/>
  <c r="J189" i="4"/>
  <c r="J68" i="4"/>
  <c r="O26" i="4"/>
  <c r="M24" i="4"/>
  <c r="K24" i="4"/>
  <c r="K23" i="4"/>
  <c r="K22" i="4"/>
  <c r="M22" i="4" s="1"/>
  <c r="D5" i="4"/>
  <c r="L4" i="4"/>
  <c r="M2" i="4"/>
  <c r="E17" i="7" l="1"/>
  <c r="G17" i="7" s="1"/>
  <c r="B18" i="7" s="1"/>
  <c r="D18" i="7" s="1"/>
  <c r="E11" i="6"/>
  <c r="G11" i="6" s="1"/>
  <c r="B12" i="6" s="1"/>
  <c r="D12" i="6" s="1"/>
  <c r="E6" i="5"/>
  <c r="G6" i="5" s="1"/>
  <c r="B7" i="5" s="1"/>
  <c r="D7" i="5" s="1"/>
  <c r="E5" i="4"/>
  <c r="G5" i="4" s="1"/>
  <c r="B6" i="4" s="1"/>
  <c r="O24" i="4"/>
  <c r="E18" i="7" l="1"/>
  <c r="G18" i="7" s="1"/>
  <c r="B19" i="7" s="1"/>
  <c r="D19" i="7" s="1"/>
  <c r="E12" i="6"/>
  <c r="G12" i="6" s="1"/>
  <c r="B13" i="6" s="1"/>
  <c r="D13" i="6" s="1"/>
  <c r="E7" i="5"/>
  <c r="G7" i="5" s="1"/>
  <c r="B8" i="5" s="1"/>
  <c r="D8" i="5" s="1"/>
  <c r="M23" i="4"/>
  <c r="D6" i="4"/>
  <c r="E19" i="7" l="1"/>
  <c r="G19" i="7" s="1"/>
  <c r="B20" i="7" s="1"/>
  <c r="D20" i="7" s="1"/>
  <c r="E13" i="6"/>
  <c r="G13" i="6" s="1"/>
  <c r="B14" i="6" s="1"/>
  <c r="D14" i="6" s="1"/>
  <c r="E8" i="5"/>
  <c r="G8" i="5" s="1"/>
  <c r="B9" i="5" s="1"/>
  <c r="D9" i="5" s="1"/>
  <c r="E6" i="4"/>
  <c r="G6" i="4" s="1"/>
  <c r="B7" i="4" s="1"/>
  <c r="E20" i="7" l="1"/>
  <c r="G20" i="7" s="1"/>
  <c r="B21" i="7" s="1"/>
  <c r="D21" i="7" s="1"/>
  <c r="E14" i="6"/>
  <c r="G14" i="6" s="1"/>
  <c r="B15" i="6" s="1"/>
  <c r="D15" i="6" s="1"/>
  <c r="E9" i="5"/>
  <c r="G9" i="5" s="1"/>
  <c r="B10" i="5" s="1"/>
  <c r="D10" i="5" s="1"/>
  <c r="D7" i="4"/>
  <c r="E21" i="7" l="1"/>
  <c r="G21" i="7" s="1"/>
  <c r="B22" i="7" s="1"/>
  <c r="D22" i="7" s="1"/>
  <c r="E15" i="6"/>
  <c r="G15" i="6" s="1"/>
  <c r="B16" i="6" s="1"/>
  <c r="D16" i="6" s="1"/>
  <c r="E10" i="5"/>
  <c r="G10" i="5" s="1"/>
  <c r="B11" i="5" s="1"/>
  <c r="D11" i="5" s="1"/>
  <c r="E7" i="4"/>
  <c r="G7" i="4" s="1"/>
  <c r="B8" i="4" s="1"/>
  <c r="E22" i="7" l="1"/>
  <c r="G22" i="7" s="1"/>
  <c r="B23" i="7" s="1"/>
  <c r="D23" i="7" s="1"/>
  <c r="E16" i="6"/>
  <c r="G16" i="6" s="1"/>
  <c r="B17" i="6" s="1"/>
  <c r="D17" i="6" s="1"/>
  <c r="E11" i="5"/>
  <c r="G11" i="5" s="1"/>
  <c r="B12" i="5" s="1"/>
  <c r="D12" i="5" s="1"/>
  <c r="E8" i="4"/>
  <c r="G8" i="4" s="1"/>
  <c r="B9" i="4" s="1"/>
  <c r="D8" i="4"/>
  <c r="E23" i="7" l="1"/>
  <c r="G23" i="7" s="1"/>
  <c r="B24" i="7" s="1"/>
  <c r="D24" i="7" s="1"/>
  <c r="E17" i="6"/>
  <c r="G17" i="6" s="1"/>
  <c r="B18" i="6" s="1"/>
  <c r="D18" i="6" s="1"/>
  <c r="E12" i="5"/>
  <c r="G12" i="5" s="1"/>
  <c r="B13" i="5" s="1"/>
  <c r="D13" i="5" s="1"/>
  <c r="E9" i="4"/>
  <c r="G9" i="4" s="1"/>
  <c r="B10" i="4" s="1"/>
  <c r="D9" i="4"/>
  <c r="E24" i="7" l="1"/>
  <c r="G24" i="7" s="1"/>
  <c r="B25" i="7" s="1"/>
  <c r="D25" i="7" s="1"/>
  <c r="E18" i="6"/>
  <c r="G18" i="6" s="1"/>
  <c r="B19" i="6" s="1"/>
  <c r="D19" i="6" s="1"/>
  <c r="E13" i="5"/>
  <c r="G13" i="5" s="1"/>
  <c r="B14" i="5" s="1"/>
  <c r="D14" i="5" s="1"/>
  <c r="E10" i="4"/>
  <c r="G10" i="4" s="1"/>
  <c r="B11" i="4" s="1"/>
  <c r="D10" i="4"/>
  <c r="E25" i="7" l="1"/>
  <c r="G25" i="7" s="1"/>
  <c r="B26" i="7" s="1"/>
  <c r="D26" i="7" s="1"/>
  <c r="E19" i="6"/>
  <c r="G19" i="6" s="1"/>
  <c r="B20" i="6" s="1"/>
  <c r="D20" i="6" s="1"/>
  <c r="E14" i="5"/>
  <c r="G14" i="5" s="1"/>
  <c r="B15" i="5" s="1"/>
  <c r="D15" i="5" s="1"/>
  <c r="E11" i="4"/>
  <c r="G11" i="4" s="1"/>
  <c r="B12" i="4" s="1"/>
  <c r="D11" i="4"/>
  <c r="E26" i="7" l="1"/>
  <c r="G26" i="7" s="1"/>
  <c r="B27" i="7" s="1"/>
  <c r="D27" i="7" s="1"/>
  <c r="E20" i="6"/>
  <c r="G20" i="6" s="1"/>
  <c r="B21" i="6" s="1"/>
  <c r="D21" i="6" s="1"/>
  <c r="E15" i="5"/>
  <c r="G15" i="5" s="1"/>
  <c r="B16" i="5" s="1"/>
  <c r="D16" i="5" s="1"/>
  <c r="E12" i="4"/>
  <c r="G12" i="4" s="1"/>
  <c r="B13" i="4" s="1"/>
  <c r="D12" i="4"/>
  <c r="E27" i="7" l="1"/>
  <c r="G27" i="7" s="1"/>
  <c r="B28" i="7" s="1"/>
  <c r="D28" i="7" s="1"/>
  <c r="E21" i="6"/>
  <c r="G21" i="6" s="1"/>
  <c r="B22" i="6" s="1"/>
  <c r="D22" i="6" s="1"/>
  <c r="E16" i="5"/>
  <c r="G16" i="5" s="1"/>
  <c r="B17" i="5" s="1"/>
  <c r="D17" i="5" s="1"/>
  <c r="E13" i="4"/>
  <c r="G13" i="4" s="1"/>
  <c r="B14" i="4" s="1"/>
  <c r="D13" i="4"/>
  <c r="E28" i="7" l="1"/>
  <c r="G28" i="7" s="1"/>
  <c r="B29" i="7" s="1"/>
  <c r="D29" i="7" s="1"/>
  <c r="E22" i="6"/>
  <c r="G22" i="6" s="1"/>
  <c r="B23" i="6" s="1"/>
  <c r="D23" i="6" s="1"/>
  <c r="E17" i="5"/>
  <c r="G17" i="5" s="1"/>
  <c r="B18" i="5" s="1"/>
  <c r="D18" i="5" s="1"/>
  <c r="E14" i="4"/>
  <c r="G14" i="4" s="1"/>
  <c r="B15" i="4" s="1"/>
  <c r="D14" i="4"/>
  <c r="E29" i="7" l="1"/>
  <c r="G29" i="7" s="1"/>
  <c r="B30" i="7" s="1"/>
  <c r="D30" i="7" s="1"/>
  <c r="E23" i="6"/>
  <c r="G23" i="6" s="1"/>
  <c r="B24" i="6" s="1"/>
  <c r="D24" i="6" s="1"/>
  <c r="E18" i="5"/>
  <c r="G18" i="5" s="1"/>
  <c r="B19" i="5" s="1"/>
  <c r="D19" i="5" s="1"/>
  <c r="E15" i="4"/>
  <c r="G15" i="4" s="1"/>
  <c r="B16" i="4" s="1"/>
  <c r="D15" i="4"/>
  <c r="E30" i="7" l="1"/>
  <c r="G30" i="7" s="1"/>
  <c r="B31" i="7" s="1"/>
  <c r="D31" i="7" s="1"/>
  <c r="E24" i="6"/>
  <c r="G24" i="6" s="1"/>
  <c r="B25" i="6" s="1"/>
  <c r="D25" i="6" s="1"/>
  <c r="E19" i="5"/>
  <c r="G19" i="5" s="1"/>
  <c r="B20" i="5" s="1"/>
  <c r="D20" i="5" s="1"/>
  <c r="E16" i="4"/>
  <c r="G16" i="4" s="1"/>
  <c r="B17" i="4" s="1"/>
  <c r="D16" i="4"/>
  <c r="E31" i="7" l="1"/>
  <c r="G31" i="7" s="1"/>
  <c r="B32" i="7" s="1"/>
  <c r="D32" i="7" s="1"/>
  <c r="E25" i="6"/>
  <c r="G25" i="6" s="1"/>
  <c r="B26" i="6" s="1"/>
  <c r="D26" i="6" s="1"/>
  <c r="E20" i="5"/>
  <c r="G20" i="5" s="1"/>
  <c r="B21" i="5" s="1"/>
  <c r="D21" i="5" s="1"/>
  <c r="E17" i="4"/>
  <c r="G17" i="4" s="1"/>
  <c r="B18" i="4" s="1"/>
  <c r="D17" i="4"/>
  <c r="E32" i="7" l="1"/>
  <c r="G32" i="7" s="1"/>
  <c r="B33" i="7" s="1"/>
  <c r="D33" i="7" s="1"/>
  <c r="E26" i="6"/>
  <c r="G26" i="6" s="1"/>
  <c r="B27" i="6" s="1"/>
  <c r="D27" i="6" s="1"/>
  <c r="E21" i="5"/>
  <c r="G21" i="5" s="1"/>
  <c r="B22" i="5" s="1"/>
  <c r="D22" i="5" s="1"/>
  <c r="E18" i="4"/>
  <c r="G18" i="4" s="1"/>
  <c r="B19" i="4" s="1"/>
  <c r="D18" i="4"/>
  <c r="E33" i="7" l="1"/>
  <c r="G33" i="7" s="1"/>
  <c r="B34" i="7" s="1"/>
  <c r="D34" i="7" s="1"/>
  <c r="E27" i="6"/>
  <c r="G27" i="6" s="1"/>
  <c r="B28" i="6" s="1"/>
  <c r="D28" i="6" s="1"/>
  <c r="E22" i="5"/>
  <c r="G22" i="5" s="1"/>
  <c r="B23" i="5" s="1"/>
  <c r="D23" i="5" s="1"/>
  <c r="E19" i="4"/>
  <c r="G19" i="4" s="1"/>
  <c r="B20" i="4" s="1"/>
  <c r="D19" i="4"/>
  <c r="E34" i="7" l="1"/>
  <c r="G34" i="7" s="1"/>
  <c r="B35" i="7" s="1"/>
  <c r="D35" i="7" s="1"/>
  <c r="E28" i="6"/>
  <c r="G28" i="6" s="1"/>
  <c r="B29" i="6" s="1"/>
  <c r="D29" i="6" s="1"/>
  <c r="E23" i="5"/>
  <c r="G23" i="5" s="1"/>
  <c r="B24" i="5" s="1"/>
  <c r="D24" i="5" s="1"/>
  <c r="E20" i="4"/>
  <c r="G20" i="4" s="1"/>
  <c r="B21" i="4" s="1"/>
  <c r="D20" i="4"/>
  <c r="E35" i="7" l="1"/>
  <c r="G35" i="7" s="1"/>
  <c r="B36" i="7" s="1"/>
  <c r="D36" i="7" s="1"/>
  <c r="E29" i="6"/>
  <c r="G29" i="6" s="1"/>
  <c r="B30" i="6" s="1"/>
  <c r="D30" i="6" s="1"/>
  <c r="E24" i="5"/>
  <c r="G24" i="5" s="1"/>
  <c r="B25" i="5" s="1"/>
  <c r="D25" i="5" s="1"/>
  <c r="E21" i="4"/>
  <c r="G21" i="4" s="1"/>
  <c r="B22" i="4" s="1"/>
  <c r="D21" i="4"/>
  <c r="E36" i="7" l="1"/>
  <c r="G36" i="7" s="1"/>
  <c r="B37" i="7" s="1"/>
  <c r="D37" i="7" s="1"/>
  <c r="E30" i="6"/>
  <c r="G30" i="6" s="1"/>
  <c r="B31" i="6" s="1"/>
  <c r="D31" i="6" s="1"/>
  <c r="E25" i="5"/>
  <c r="G25" i="5" s="1"/>
  <c r="B26" i="5" s="1"/>
  <c r="D26" i="5" s="1"/>
  <c r="E22" i="4"/>
  <c r="G22" i="4" s="1"/>
  <c r="B23" i="4" s="1"/>
  <c r="D22" i="4"/>
  <c r="E37" i="7" l="1"/>
  <c r="G37" i="7" s="1"/>
  <c r="B38" i="7" s="1"/>
  <c r="D38" i="7" s="1"/>
  <c r="E31" i="6"/>
  <c r="G31" i="6" s="1"/>
  <c r="B32" i="6" s="1"/>
  <c r="D32" i="6" s="1"/>
  <c r="E26" i="5"/>
  <c r="G26" i="5" s="1"/>
  <c r="B27" i="5" s="1"/>
  <c r="D27" i="5" s="1"/>
  <c r="E23" i="4"/>
  <c r="G23" i="4" s="1"/>
  <c r="B24" i="4" s="1"/>
  <c r="D23" i="4"/>
  <c r="E38" i="7" l="1"/>
  <c r="G38" i="7" s="1"/>
  <c r="B39" i="7" s="1"/>
  <c r="D39" i="7" s="1"/>
  <c r="E32" i="6"/>
  <c r="G32" i="6" s="1"/>
  <c r="B33" i="6" s="1"/>
  <c r="D33" i="6" s="1"/>
  <c r="E27" i="5"/>
  <c r="G27" i="5" s="1"/>
  <c r="B28" i="5" s="1"/>
  <c r="D28" i="5" s="1"/>
  <c r="E24" i="4"/>
  <c r="G24" i="4" s="1"/>
  <c r="B25" i="4" s="1"/>
  <c r="D24" i="4"/>
  <c r="E39" i="7" l="1"/>
  <c r="G39" i="7" s="1"/>
  <c r="B40" i="7" s="1"/>
  <c r="D40" i="7" s="1"/>
  <c r="E33" i="6"/>
  <c r="G33" i="6" s="1"/>
  <c r="B34" i="6" s="1"/>
  <c r="D34" i="6" s="1"/>
  <c r="E28" i="5"/>
  <c r="G28" i="5" s="1"/>
  <c r="B29" i="5" s="1"/>
  <c r="D29" i="5" s="1"/>
  <c r="D25" i="4"/>
  <c r="E25" i="4" s="1"/>
  <c r="G25" i="4" s="1"/>
  <c r="B26" i="4" s="1"/>
  <c r="E40" i="7" l="1"/>
  <c r="G40" i="7" s="1"/>
  <c r="B41" i="7" s="1"/>
  <c r="D41" i="7" s="1"/>
  <c r="E34" i="6"/>
  <c r="G34" i="6" s="1"/>
  <c r="B35" i="6" s="1"/>
  <c r="D35" i="6" s="1"/>
  <c r="E29" i="5"/>
  <c r="G29" i="5" s="1"/>
  <c r="B30" i="5" s="1"/>
  <c r="D30" i="5" s="1"/>
  <c r="D26" i="4"/>
  <c r="E26" i="4" s="1"/>
  <c r="G26" i="4" s="1"/>
  <c r="B27" i="4" s="1"/>
  <c r="E41" i="7" l="1"/>
  <c r="G41" i="7" s="1"/>
  <c r="B42" i="7" s="1"/>
  <c r="D42" i="7" s="1"/>
  <c r="E35" i="6"/>
  <c r="G35" i="6" s="1"/>
  <c r="B36" i="6" s="1"/>
  <c r="D36" i="6" s="1"/>
  <c r="E30" i="5"/>
  <c r="G30" i="5" s="1"/>
  <c r="B31" i="5" s="1"/>
  <c r="D31" i="5" s="1"/>
  <c r="E27" i="4"/>
  <c r="G27" i="4" s="1"/>
  <c r="B28" i="4" s="1"/>
  <c r="D27" i="4"/>
  <c r="E42" i="7" l="1"/>
  <c r="G42" i="7" s="1"/>
  <c r="B43" i="7" s="1"/>
  <c r="D43" i="7" s="1"/>
  <c r="E36" i="6"/>
  <c r="G36" i="6" s="1"/>
  <c r="B37" i="6" s="1"/>
  <c r="D37" i="6" s="1"/>
  <c r="E31" i="5"/>
  <c r="G31" i="5" s="1"/>
  <c r="B32" i="5" s="1"/>
  <c r="D32" i="5" s="1"/>
  <c r="E28" i="4"/>
  <c r="G28" i="4" s="1"/>
  <c r="B29" i="4" s="1"/>
  <c r="D28" i="4"/>
  <c r="E43" i="7" l="1"/>
  <c r="G43" i="7" s="1"/>
  <c r="B44" i="7" s="1"/>
  <c r="D44" i="7" s="1"/>
  <c r="E37" i="6"/>
  <c r="G37" i="6" s="1"/>
  <c r="B38" i="6" s="1"/>
  <c r="D38" i="6" s="1"/>
  <c r="E32" i="5"/>
  <c r="G32" i="5" s="1"/>
  <c r="B33" i="5" s="1"/>
  <c r="D33" i="5" s="1"/>
  <c r="E29" i="4"/>
  <c r="G29" i="4" s="1"/>
  <c r="B30" i="4" s="1"/>
  <c r="D29" i="4"/>
  <c r="E44" i="7" l="1"/>
  <c r="G44" i="7" s="1"/>
  <c r="B45" i="7" s="1"/>
  <c r="D45" i="7" s="1"/>
  <c r="E38" i="6"/>
  <c r="G38" i="6" s="1"/>
  <c r="B39" i="6" s="1"/>
  <c r="D39" i="6" s="1"/>
  <c r="E33" i="5"/>
  <c r="G33" i="5" s="1"/>
  <c r="B34" i="5" s="1"/>
  <c r="D34" i="5" s="1"/>
  <c r="E30" i="4"/>
  <c r="G30" i="4" s="1"/>
  <c r="B31" i="4" s="1"/>
  <c r="D30" i="4"/>
  <c r="E45" i="7" l="1"/>
  <c r="G45" i="7" s="1"/>
  <c r="B46" i="7" s="1"/>
  <c r="D46" i="7" s="1"/>
  <c r="E39" i="6"/>
  <c r="G39" i="6" s="1"/>
  <c r="B40" i="6" s="1"/>
  <c r="D40" i="6" s="1"/>
  <c r="E34" i="5"/>
  <c r="G34" i="5" s="1"/>
  <c r="B35" i="5" s="1"/>
  <c r="D35" i="5" s="1"/>
  <c r="E31" i="4"/>
  <c r="G31" i="4" s="1"/>
  <c r="B32" i="4" s="1"/>
  <c r="D31" i="4"/>
  <c r="E46" i="7" l="1"/>
  <c r="G46" i="7" s="1"/>
  <c r="B47" i="7" s="1"/>
  <c r="D47" i="7" s="1"/>
  <c r="E40" i="6"/>
  <c r="G40" i="6" s="1"/>
  <c r="B41" i="6" s="1"/>
  <c r="D41" i="6" s="1"/>
  <c r="E35" i="5"/>
  <c r="G35" i="5" s="1"/>
  <c r="B36" i="5" s="1"/>
  <c r="D36" i="5" s="1"/>
  <c r="D32" i="4"/>
  <c r="E32" i="4" s="1"/>
  <c r="G32" i="4" s="1"/>
  <c r="B33" i="4" s="1"/>
  <c r="E47" i="7" l="1"/>
  <c r="G47" i="7" s="1"/>
  <c r="B48" i="7" s="1"/>
  <c r="D48" i="7" s="1"/>
  <c r="E41" i="6"/>
  <c r="G41" i="6" s="1"/>
  <c r="B42" i="6" s="1"/>
  <c r="D42" i="6" s="1"/>
  <c r="E36" i="5"/>
  <c r="G36" i="5" s="1"/>
  <c r="B37" i="5" s="1"/>
  <c r="D37" i="5" s="1"/>
  <c r="D33" i="4"/>
  <c r="E33" i="4" s="1"/>
  <c r="G33" i="4" s="1"/>
  <c r="B34" i="4" s="1"/>
  <c r="E48" i="7" l="1"/>
  <c r="G48" i="7" s="1"/>
  <c r="B49" i="7" s="1"/>
  <c r="D49" i="7" s="1"/>
  <c r="E42" i="6"/>
  <c r="G42" i="6" s="1"/>
  <c r="B43" i="6" s="1"/>
  <c r="D43" i="6" s="1"/>
  <c r="E37" i="5"/>
  <c r="G37" i="5" s="1"/>
  <c r="B38" i="5" s="1"/>
  <c r="D38" i="5" s="1"/>
  <c r="D34" i="4"/>
  <c r="E34" i="4" s="1"/>
  <c r="G34" i="4" s="1"/>
  <c r="B35" i="4" s="1"/>
  <c r="E49" i="7" l="1"/>
  <c r="G49" i="7" s="1"/>
  <c r="B50" i="7" s="1"/>
  <c r="D50" i="7" s="1"/>
  <c r="E43" i="6"/>
  <c r="G43" i="6" s="1"/>
  <c r="B44" i="6" s="1"/>
  <c r="D44" i="6" s="1"/>
  <c r="E38" i="5"/>
  <c r="G38" i="5" s="1"/>
  <c r="B39" i="5" s="1"/>
  <c r="D39" i="5" s="1"/>
  <c r="E35" i="4"/>
  <c r="G35" i="4" s="1"/>
  <c r="B36" i="4" s="1"/>
  <c r="D35" i="4"/>
  <c r="E50" i="7" l="1"/>
  <c r="G50" i="7" s="1"/>
  <c r="B51" i="7" s="1"/>
  <c r="D51" i="7" s="1"/>
  <c r="E44" i="6"/>
  <c r="G44" i="6" s="1"/>
  <c r="B45" i="6" s="1"/>
  <c r="D45" i="6" s="1"/>
  <c r="E39" i="5"/>
  <c r="G39" i="5" s="1"/>
  <c r="B40" i="5" s="1"/>
  <c r="D40" i="5" s="1"/>
  <c r="E36" i="4"/>
  <c r="G36" i="4" s="1"/>
  <c r="B37" i="4" s="1"/>
  <c r="D36" i="4"/>
  <c r="E51" i="7" l="1"/>
  <c r="G51" i="7" s="1"/>
  <c r="B52" i="7" s="1"/>
  <c r="D52" i="7" s="1"/>
  <c r="E45" i="6"/>
  <c r="G45" i="6" s="1"/>
  <c r="B46" i="6" s="1"/>
  <c r="D46" i="6" s="1"/>
  <c r="E40" i="5"/>
  <c r="G40" i="5" s="1"/>
  <c r="B41" i="5" s="1"/>
  <c r="D41" i="5" s="1"/>
  <c r="E37" i="4"/>
  <c r="G37" i="4" s="1"/>
  <c r="B38" i="4" s="1"/>
  <c r="D37" i="4"/>
  <c r="E52" i="7" l="1"/>
  <c r="G52" i="7" s="1"/>
  <c r="B53" i="7" s="1"/>
  <c r="D53" i="7" s="1"/>
  <c r="E46" i="6"/>
  <c r="G46" i="6" s="1"/>
  <c r="B47" i="6" s="1"/>
  <c r="D47" i="6" s="1"/>
  <c r="E41" i="5"/>
  <c r="G41" i="5" s="1"/>
  <c r="B42" i="5" s="1"/>
  <c r="D42" i="5" s="1"/>
  <c r="E38" i="4"/>
  <c r="G38" i="4" s="1"/>
  <c r="B39" i="4" s="1"/>
  <c r="D38" i="4"/>
  <c r="E53" i="7" l="1"/>
  <c r="G53" i="7" s="1"/>
  <c r="B54" i="7" s="1"/>
  <c r="D54" i="7" s="1"/>
  <c r="E47" i="6"/>
  <c r="G47" i="6" s="1"/>
  <c r="B48" i="6" s="1"/>
  <c r="D48" i="6" s="1"/>
  <c r="E42" i="5"/>
  <c r="G42" i="5" s="1"/>
  <c r="B43" i="5" s="1"/>
  <c r="D43" i="5" s="1"/>
  <c r="E39" i="4"/>
  <c r="G39" i="4" s="1"/>
  <c r="B40" i="4" s="1"/>
  <c r="D39" i="4"/>
  <c r="E54" i="7" l="1"/>
  <c r="G54" i="7" s="1"/>
  <c r="B55" i="7" s="1"/>
  <c r="D55" i="7" s="1"/>
  <c r="E48" i="6"/>
  <c r="G48" i="6" s="1"/>
  <c r="B49" i="6" s="1"/>
  <c r="D49" i="6" s="1"/>
  <c r="E43" i="5"/>
  <c r="G43" i="5" s="1"/>
  <c r="B44" i="5" s="1"/>
  <c r="D44" i="5" s="1"/>
  <c r="E40" i="4"/>
  <c r="G40" i="4" s="1"/>
  <c r="B41" i="4" s="1"/>
  <c r="D40" i="4"/>
  <c r="E55" i="7" l="1"/>
  <c r="G55" i="7" s="1"/>
  <c r="B56" i="7" s="1"/>
  <c r="D56" i="7" s="1"/>
  <c r="E49" i="6"/>
  <c r="G49" i="6" s="1"/>
  <c r="B50" i="6" s="1"/>
  <c r="D50" i="6" s="1"/>
  <c r="E44" i="5"/>
  <c r="G44" i="5" s="1"/>
  <c r="B45" i="5" s="1"/>
  <c r="D45" i="5" s="1"/>
  <c r="E41" i="4"/>
  <c r="G41" i="4" s="1"/>
  <c r="B42" i="4" s="1"/>
  <c r="D41" i="4"/>
  <c r="E56" i="7" l="1"/>
  <c r="G56" i="7" s="1"/>
  <c r="B57" i="7" s="1"/>
  <c r="D57" i="7" s="1"/>
  <c r="E50" i="6"/>
  <c r="G50" i="6" s="1"/>
  <c r="B51" i="6" s="1"/>
  <c r="D51" i="6" s="1"/>
  <c r="E45" i="5"/>
  <c r="G45" i="5" s="1"/>
  <c r="B46" i="5" s="1"/>
  <c r="D46" i="5" s="1"/>
  <c r="E42" i="4"/>
  <c r="G42" i="4" s="1"/>
  <c r="B43" i="4" s="1"/>
  <c r="D42" i="4"/>
  <c r="E57" i="7" l="1"/>
  <c r="G57" i="7" s="1"/>
  <c r="B58" i="7" s="1"/>
  <c r="D58" i="7" s="1"/>
  <c r="E51" i="6"/>
  <c r="G51" i="6" s="1"/>
  <c r="B52" i="6" s="1"/>
  <c r="D52" i="6" s="1"/>
  <c r="E46" i="5"/>
  <c r="G46" i="5" s="1"/>
  <c r="B47" i="5" s="1"/>
  <c r="D47" i="5" s="1"/>
  <c r="E43" i="4"/>
  <c r="G43" i="4" s="1"/>
  <c r="B44" i="4" s="1"/>
  <c r="D43" i="4"/>
  <c r="E58" i="7" l="1"/>
  <c r="G58" i="7" s="1"/>
  <c r="B59" i="7" s="1"/>
  <c r="D59" i="7" s="1"/>
  <c r="E52" i="6"/>
  <c r="G52" i="6" s="1"/>
  <c r="B53" i="6" s="1"/>
  <c r="D53" i="6" s="1"/>
  <c r="E47" i="5"/>
  <c r="G47" i="5" s="1"/>
  <c r="B48" i="5" s="1"/>
  <c r="D48" i="5" s="1"/>
  <c r="E44" i="4"/>
  <c r="G44" i="4" s="1"/>
  <c r="B45" i="4" s="1"/>
  <c r="D44" i="4"/>
  <c r="E59" i="7" l="1"/>
  <c r="G59" i="7" s="1"/>
  <c r="B60" i="7" s="1"/>
  <c r="D60" i="7" s="1"/>
  <c r="E53" i="6"/>
  <c r="G53" i="6" s="1"/>
  <c r="B54" i="6" s="1"/>
  <c r="D54" i="6" s="1"/>
  <c r="E48" i="5"/>
  <c r="G48" i="5" s="1"/>
  <c r="B49" i="5" s="1"/>
  <c r="D49" i="5" s="1"/>
  <c r="E45" i="4"/>
  <c r="G45" i="4" s="1"/>
  <c r="B46" i="4" s="1"/>
  <c r="D45" i="4"/>
  <c r="E60" i="7" l="1"/>
  <c r="G60" i="7" s="1"/>
  <c r="B61" i="7" s="1"/>
  <c r="D61" i="7" s="1"/>
  <c r="E54" i="6"/>
  <c r="G54" i="6" s="1"/>
  <c r="B55" i="6" s="1"/>
  <c r="D55" i="6" s="1"/>
  <c r="E49" i="5"/>
  <c r="G49" i="5" s="1"/>
  <c r="B50" i="5" s="1"/>
  <c r="D50" i="5" s="1"/>
  <c r="D46" i="4"/>
  <c r="E46" i="4" s="1"/>
  <c r="G46" i="4" s="1"/>
  <c r="B47" i="4" s="1"/>
  <c r="E61" i="7" l="1"/>
  <c r="G61" i="7" s="1"/>
  <c r="B62" i="7" s="1"/>
  <c r="D62" i="7" s="1"/>
  <c r="E55" i="6"/>
  <c r="G55" i="6" s="1"/>
  <c r="B56" i="6" s="1"/>
  <c r="D56" i="6" s="1"/>
  <c r="E50" i="5"/>
  <c r="G50" i="5" s="1"/>
  <c r="B51" i="5" s="1"/>
  <c r="D51" i="5" s="1"/>
  <c r="D47" i="4"/>
  <c r="E47" i="4" s="1"/>
  <c r="G47" i="4" s="1"/>
  <c r="B48" i="4" s="1"/>
  <c r="E62" i="7" l="1"/>
  <c r="G62" i="7" s="1"/>
  <c r="B63" i="7" s="1"/>
  <c r="D63" i="7" s="1"/>
  <c r="E56" i="6"/>
  <c r="G56" i="6" s="1"/>
  <c r="B57" i="6" s="1"/>
  <c r="D57" i="6" s="1"/>
  <c r="E51" i="5"/>
  <c r="G51" i="5" s="1"/>
  <c r="B52" i="5" s="1"/>
  <c r="D52" i="5" s="1"/>
  <c r="E48" i="4"/>
  <c r="G48" i="4" s="1"/>
  <c r="B49" i="4" s="1"/>
  <c r="D48" i="4"/>
  <c r="E63" i="7" l="1"/>
  <c r="G63" i="7" s="1"/>
  <c r="B64" i="7" s="1"/>
  <c r="D64" i="7" s="1"/>
  <c r="E57" i="6"/>
  <c r="G57" i="6" s="1"/>
  <c r="B58" i="6" s="1"/>
  <c r="D58" i="6" s="1"/>
  <c r="E52" i="5"/>
  <c r="G52" i="5" s="1"/>
  <c r="B53" i="5" s="1"/>
  <c r="D53" i="5" s="1"/>
  <c r="E49" i="4"/>
  <c r="G49" i="4" s="1"/>
  <c r="B50" i="4" s="1"/>
  <c r="D49" i="4"/>
  <c r="E64" i="7" l="1"/>
  <c r="G64" i="7" s="1"/>
  <c r="B65" i="7" s="1"/>
  <c r="D65" i="7" s="1"/>
  <c r="E58" i="6"/>
  <c r="G58" i="6" s="1"/>
  <c r="B59" i="6" s="1"/>
  <c r="D59" i="6" s="1"/>
  <c r="E53" i="5"/>
  <c r="G53" i="5" s="1"/>
  <c r="B54" i="5" s="1"/>
  <c r="D54" i="5" s="1"/>
  <c r="E50" i="4"/>
  <c r="G50" i="4" s="1"/>
  <c r="B51" i="4" s="1"/>
  <c r="D50" i="4"/>
  <c r="E65" i="7" l="1"/>
  <c r="G65" i="7" s="1"/>
  <c r="B66" i="7" s="1"/>
  <c r="D66" i="7" s="1"/>
  <c r="E59" i="6"/>
  <c r="G59" i="6" s="1"/>
  <c r="B60" i="6" s="1"/>
  <c r="D60" i="6" s="1"/>
  <c r="E54" i="5"/>
  <c r="G54" i="5" s="1"/>
  <c r="B55" i="5" s="1"/>
  <c r="D55" i="5" s="1"/>
  <c r="E51" i="4"/>
  <c r="G51" i="4" s="1"/>
  <c r="B52" i="4" s="1"/>
  <c r="D51" i="4"/>
  <c r="E66" i="7" l="1"/>
  <c r="G66" i="7" s="1"/>
  <c r="B67" i="7" s="1"/>
  <c r="D67" i="7" s="1"/>
  <c r="E60" i="6"/>
  <c r="G60" i="6" s="1"/>
  <c r="B61" i="6" s="1"/>
  <c r="D61" i="6" s="1"/>
  <c r="E55" i="5"/>
  <c r="G55" i="5" s="1"/>
  <c r="B56" i="5" s="1"/>
  <c r="D56" i="5" s="1"/>
  <c r="E52" i="4"/>
  <c r="G52" i="4" s="1"/>
  <c r="B53" i="4" s="1"/>
  <c r="D52" i="4"/>
  <c r="E67" i="7" l="1"/>
  <c r="G67" i="7" s="1"/>
  <c r="B68" i="7" s="1"/>
  <c r="D68" i="7" s="1"/>
  <c r="E61" i="6"/>
  <c r="G61" i="6" s="1"/>
  <c r="B62" i="6" s="1"/>
  <c r="D62" i="6" s="1"/>
  <c r="E56" i="5"/>
  <c r="G56" i="5" s="1"/>
  <c r="B57" i="5" s="1"/>
  <c r="D57" i="5" s="1"/>
  <c r="E53" i="4"/>
  <c r="G53" i="4" s="1"/>
  <c r="B54" i="4" s="1"/>
  <c r="D53" i="4"/>
  <c r="E68" i="7" l="1"/>
  <c r="G68" i="7" s="1"/>
  <c r="B69" i="7" s="1"/>
  <c r="D69" i="7" s="1"/>
  <c r="E62" i="6"/>
  <c r="G62" i="6" s="1"/>
  <c r="B63" i="6" s="1"/>
  <c r="D63" i="6" s="1"/>
  <c r="E57" i="5"/>
  <c r="G57" i="5" s="1"/>
  <c r="B58" i="5" s="1"/>
  <c r="D58" i="5" s="1"/>
  <c r="E54" i="4"/>
  <c r="G54" i="4" s="1"/>
  <c r="B55" i="4" s="1"/>
  <c r="D54" i="4"/>
  <c r="E69" i="7" l="1"/>
  <c r="G69" i="7" s="1"/>
  <c r="B70" i="7" s="1"/>
  <c r="D70" i="7" s="1"/>
  <c r="E63" i="6"/>
  <c r="G63" i="6" s="1"/>
  <c r="B64" i="6" s="1"/>
  <c r="D64" i="6" s="1"/>
  <c r="E58" i="5"/>
  <c r="G58" i="5" s="1"/>
  <c r="B59" i="5" s="1"/>
  <c r="D59" i="5" s="1"/>
  <c r="E55" i="4"/>
  <c r="G55" i="4" s="1"/>
  <c r="B56" i="4" s="1"/>
  <c r="D55" i="4"/>
  <c r="E70" i="7" l="1"/>
  <c r="G70" i="7" s="1"/>
  <c r="B71" i="7" s="1"/>
  <c r="D71" i="7" s="1"/>
  <c r="E64" i="6"/>
  <c r="G64" i="6" s="1"/>
  <c r="B65" i="6" s="1"/>
  <c r="D65" i="6" s="1"/>
  <c r="E59" i="5"/>
  <c r="G59" i="5" s="1"/>
  <c r="B60" i="5" s="1"/>
  <c r="D60" i="5" s="1"/>
  <c r="E56" i="4"/>
  <c r="G56" i="4" s="1"/>
  <c r="B57" i="4" s="1"/>
  <c r="D56" i="4"/>
  <c r="E71" i="7" l="1"/>
  <c r="G71" i="7" s="1"/>
  <c r="B72" i="7" s="1"/>
  <c r="D72" i="7" s="1"/>
  <c r="E65" i="6"/>
  <c r="G65" i="6" s="1"/>
  <c r="B66" i="6" s="1"/>
  <c r="D66" i="6" s="1"/>
  <c r="E60" i="5"/>
  <c r="G60" i="5" s="1"/>
  <c r="B61" i="5" s="1"/>
  <c r="D61" i="5" s="1"/>
  <c r="E57" i="4"/>
  <c r="G57" i="4" s="1"/>
  <c r="B58" i="4" s="1"/>
  <c r="D57" i="4"/>
  <c r="E72" i="7" l="1"/>
  <c r="G72" i="7" s="1"/>
  <c r="B73" i="7" s="1"/>
  <c r="D73" i="7" s="1"/>
  <c r="E66" i="6"/>
  <c r="G66" i="6" s="1"/>
  <c r="B67" i="6" s="1"/>
  <c r="D67" i="6" s="1"/>
  <c r="E61" i="5"/>
  <c r="G61" i="5" s="1"/>
  <c r="B62" i="5" s="1"/>
  <c r="D62" i="5" s="1"/>
  <c r="D58" i="4"/>
  <c r="E58" i="4" s="1"/>
  <c r="G58" i="4" s="1"/>
  <c r="B59" i="4" s="1"/>
  <c r="E73" i="7" l="1"/>
  <c r="G73" i="7" s="1"/>
  <c r="B74" i="7" s="1"/>
  <c r="D74" i="7" s="1"/>
  <c r="E67" i="6"/>
  <c r="G67" i="6" s="1"/>
  <c r="B68" i="6" s="1"/>
  <c r="D68" i="6" s="1"/>
  <c r="E62" i="5"/>
  <c r="G62" i="5" s="1"/>
  <c r="B63" i="5" s="1"/>
  <c r="D63" i="5" s="1"/>
  <c r="E59" i="4"/>
  <c r="G59" i="4" s="1"/>
  <c r="B60" i="4" s="1"/>
  <c r="D59" i="4"/>
  <c r="E74" i="7" l="1"/>
  <c r="G74" i="7" s="1"/>
  <c r="B75" i="7" s="1"/>
  <c r="D75" i="7" s="1"/>
  <c r="E68" i="6"/>
  <c r="G68" i="6" s="1"/>
  <c r="B69" i="6" s="1"/>
  <c r="D69" i="6" s="1"/>
  <c r="E63" i="5"/>
  <c r="G63" i="5" s="1"/>
  <c r="B64" i="5" s="1"/>
  <c r="D64" i="5" s="1"/>
  <c r="E60" i="4"/>
  <c r="G60" i="4" s="1"/>
  <c r="B61" i="4" s="1"/>
  <c r="D60" i="4"/>
  <c r="E75" i="7" l="1"/>
  <c r="G75" i="7" s="1"/>
  <c r="B76" i="7" s="1"/>
  <c r="D76" i="7" s="1"/>
  <c r="E69" i="6"/>
  <c r="G69" i="6" s="1"/>
  <c r="B70" i="6" s="1"/>
  <c r="D70" i="6" s="1"/>
  <c r="E64" i="5"/>
  <c r="G64" i="5" s="1"/>
  <c r="B65" i="5" s="1"/>
  <c r="D65" i="5" s="1"/>
  <c r="E61" i="4"/>
  <c r="G61" i="4" s="1"/>
  <c r="B62" i="4" s="1"/>
  <c r="D61" i="4"/>
  <c r="E76" i="7" l="1"/>
  <c r="G76" i="7" s="1"/>
  <c r="B77" i="7" s="1"/>
  <c r="D77" i="7" s="1"/>
  <c r="E70" i="6"/>
  <c r="G70" i="6" s="1"/>
  <c r="B71" i="6" s="1"/>
  <c r="D71" i="6" s="1"/>
  <c r="E65" i="5"/>
  <c r="G65" i="5" s="1"/>
  <c r="B66" i="5" s="1"/>
  <c r="D66" i="5" s="1"/>
  <c r="E62" i="4"/>
  <c r="G62" i="4" s="1"/>
  <c r="B63" i="4" s="1"/>
  <c r="D62" i="4"/>
  <c r="E77" i="7" l="1"/>
  <c r="G77" i="7" s="1"/>
  <c r="B78" i="7" s="1"/>
  <c r="D78" i="7" s="1"/>
  <c r="E71" i="6"/>
  <c r="G71" i="6" s="1"/>
  <c r="B72" i="6" s="1"/>
  <c r="D72" i="6" s="1"/>
  <c r="E66" i="5"/>
  <c r="G66" i="5" s="1"/>
  <c r="B67" i="5" s="1"/>
  <c r="D67" i="5" s="1"/>
  <c r="E63" i="4"/>
  <c r="G63" i="4" s="1"/>
  <c r="B64" i="4" s="1"/>
  <c r="D63" i="4"/>
  <c r="E78" i="7" l="1"/>
  <c r="G78" i="7" s="1"/>
  <c r="B79" i="7" s="1"/>
  <c r="D79" i="7" s="1"/>
  <c r="E72" i="6"/>
  <c r="G72" i="6" s="1"/>
  <c r="B73" i="6" s="1"/>
  <c r="D73" i="6" s="1"/>
  <c r="E67" i="5"/>
  <c r="G67" i="5" s="1"/>
  <c r="B68" i="5" s="1"/>
  <c r="D68" i="5" s="1"/>
  <c r="E64" i="4"/>
  <c r="G64" i="4" s="1"/>
  <c r="B65" i="4" s="1"/>
  <c r="D64" i="4"/>
  <c r="E79" i="7" l="1"/>
  <c r="G79" i="7" s="1"/>
  <c r="B80" i="7" s="1"/>
  <c r="D80" i="7" s="1"/>
  <c r="E73" i="6"/>
  <c r="G73" i="6" s="1"/>
  <c r="B74" i="6" s="1"/>
  <c r="D74" i="6" s="1"/>
  <c r="E68" i="5"/>
  <c r="G68" i="5" s="1"/>
  <c r="B69" i="5" s="1"/>
  <c r="D69" i="5" s="1"/>
  <c r="E65" i="4"/>
  <c r="G65" i="4" s="1"/>
  <c r="B66" i="4" s="1"/>
  <c r="D65" i="4"/>
  <c r="E80" i="7" l="1"/>
  <c r="G80" i="7" s="1"/>
  <c r="B81" i="7" s="1"/>
  <c r="D81" i="7" s="1"/>
  <c r="E74" i="6"/>
  <c r="G74" i="6" s="1"/>
  <c r="B75" i="6" s="1"/>
  <c r="D75" i="6" s="1"/>
  <c r="E69" i="5"/>
  <c r="G69" i="5" s="1"/>
  <c r="B70" i="5" s="1"/>
  <c r="D70" i="5" s="1"/>
  <c r="E66" i="4"/>
  <c r="G66" i="4" s="1"/>
  <c r="B67" i="4" s="1"/>
  <c r="D66" i="4"/>
  <c r="E81" i="7" l="1"/>
  <c r="G81" i="7" s="1"/>
  <c r="B82" i="7" s="1"/>
  <c r="D82" i="7" s="1"/>
  <c r="E75" i="6"/>
  <c r="G75" i="6" s="1"/>
  <c r="B76" i="6" s="1"/>
  <c r="D76" i="6" s="1"/>
  <c r="E70" i="5"/>
  <c r="G70" i="5" s="1"/>
  <c r="B71" i="5" s="1"/>
  <c r="D71" i="5" s="1"/>
  <c r="E67" i="4"/>
  <c r="G67" i="4" s="1"/>
  <c r="B68" i="4" s="1"/>
  <c r="D67" i="4"/>
  <c r="E82" i="7" l="1"/>
  <c r="G82" i="7" s="1"/>
  <c r="B83" i="7" s="1"/>
  <c r="D83" i="7" s="1"/>
  <c r="E76" i="6"/>
  <c r="G76" i="6" s="1"/>
  <c r="B77" i="6" s="1"/>
  <c r="D77" i="6" s="1"/>
  <c r="E71" i="5"/>
  <c r="G71" i="5" s="1"/>
  <c r="B72" i="5" s="1"/>
  <c r="D72" i="5" s="1"/>
  <c r="D68" i="4"/>
  <c r="E68" i="4" s="1"/>
  <c r="G68" i="4" s="1"/>
  <c r="B69" i="4" s="1"/>
  <c r="E83" i="7" l="1"/>
  <c r="G83" i="7" s="1"/>
  <c r="B84" i="7" s="1"/>
  <c r="D84" i="7" s="1"/>
  <c r="E77" i="6"/>
  <c r="G77" i="6" s="1"/>
  <c r="B78" i="6" s="1"/>
  <c r="D78" i="6" s="1"/>
  <c r="E72" i="5"/>
  <c r="G72" i="5" s="1"/>
  <c r="B73" i="5" s="1"/>
  <c r="D73" i="5" s="1"/>
  <c r="D69" i="4"/>
  <c r="E69" i="4" s="1"/>
  <c r="G69" i="4" s="1"/>
  <c r="B70" i="4" s="1"/>
  <c r="E84" i="7" l="1"/>
  <c r="G84" i="7" s="1"/>
  <c r="B85" i="7" s="1"/>
  <c r="D85" i="7" s="1"/>
  <c r="E78" i="6"/>
  <c r="G78" i="6" s="1"/>
  <c r="B79" i="6" s="1"/>
  <c r="D79" i="6" s="1"/>
  <c r="E73" i="5"/>
  <c r="G73" i="5" s="1"/>
  <c r="B74" i="5" s="1"/>
  <c r="D74" i="5" s="1"/>
  <c r="D70" i="4"/>
  <c r="E70" i="4" s="1"/>
  <c r="G70" i="4" s="1"/>
  <c r="B71" i="4" s="1"/>
  <c r="E85" i="7" l="1"/>
  <c r="G85" i="7" s="1"/>
  <c r="B86" i="7" s="1"/>
  <c r="D86" i="7" s="1"/>
  <c r="E79" i="6"/>
  <c r="G79" i="6" s="1"/>
  <c r="B80" i="6" s="1"/>
  <c r="D80" i="6" s="1"/>
  <c r="E74" i="5"/>
  <c r="G74" i="5" s="1"/>
  <c r="B75" i="5" s="1"/>
  <c r="D75" i="5" s="1"/>
  <c r="D71" i="4"/>
  <c r="E71" i="4" s="1"/>
  <c r="G71" i="4" s="1"/>
  <c r="B72" i="4" s="1"/>
  <c r="E86" i="7" l="1"/>
  <c r="G86" i="7" s="1"/>
  <c r="B87" i="7" s="1"/>
  <c r="D87" i="7" s="1"/>
  <c r="E80" i="6"/>
  <c r="G80" i="6" s="1"/>
  <c r="B81" i="6" s="1"/>
  <c r="D81" i="6" s="1"/>
  <c r="E75" i="5"/>
  <c r="G75" i="5" s="1"/>
  <c r="B76" i="5" s="1"/>
  <c r="D76" i="5" s="1"/>
  <c r="D72" i="4"/>
  <c r="E72" i="4" s="1"/>
  <c r="G72" i="4" s="1"/>
  <c r="B73" i="4" s="1"/>
  <c r="E87" i="7" l="1"/>
  <c r="G87" i="7" s="1"/>
  <c r="B88" i="7" s="1"/>
  <c r="D88" i="7" s="1"/>
  <c r="E81" i="6"/>
  <c r="G81" i="6" s="1"/>
  <c r="B82" i="6" s="1"/>
  <c r="D82" i="6" s="1"/>
  <c r="E76" i="5"/>
  <c r="G76" i="5" s="1"/>
  <c r="B77" i="5" s="1"/>
  <c r="D77" i="5" s="1"/>
  <c r="D73" i="4"/>
  <c r="E73" i="4" s="1"/>
  <c r="G73" i="4" s="1"/>
  <c r="B74" i="4" s="1"/>
  <c r="E88" i="7" l="1"/>
  <c r="G88" i="7" s="1"/>
  <c r="B89" i="7" s="1"/>
  <c r="D89" i="7" s="1"/>
  <c r="E82" i="6"/>
  <c r="G82" i="6" s="1"/>
  <c r="B83" i="6" s="1"/>
  <c r="D83" i="6" s="1"/>
  <c r="E77" i="5"/>
  <c r="G77" i="5" s="1"/>
  <c r="B78" i="5" s="1"/>
  <c r="D78" i="5" s="1"/>
  <c r="D74" i="4"/>
  <c r="E74" i="4" s="1"/>
  <c r="G74" i="4" s="1"/>
  <c r="B75" i="4" s="1"/>
  <c r="E89" i="7" l="1"/>
  <c r="G89" i="7" s="1"/>
  <c r="B90" i="7" s="1"/>
  <c r="D90" i="7" s="1"/>
  <c r="E83" i="6"/>
  <c r="G83" i="6" s="1"/>
  <c r="B84" i="6" s="1"/>
  <c r="D84" i="6" s="1"/>
  <c r="E78" i="5"/>
  <c r="G78" i="5" s="1"/>
  <c r="B79" i="5" s="1"/>
  <c r="D79" i="5" s="1"/>
  <c r="D75" i="4"/>
  <c r="E75" i="4" s="1"/>
  <c r="G75" i="4" s="1"/>
  <c r="B76" i="4" s="1"/>
  <c r="E90" i="7" l="1"/>
  <c r="G90" i="7" s="1"/>
  <c r="B91" i="7" s="1"/>
  <c r="D91" i="7" s="1"/>
  <c r="E84" i="6"/>
  <c r="G84" i="6" s="1"/>
  <c r="B85" i="6" s="1"/>
  <c r="D85" i="6" s="1"/>
  <c r="E79" i="5"/>
  <c r="G79" i="5" s="1"/>
  <c r="B80" i="5" s="1"/>
  <c r="D80" i="5" s="1"/>
  <c r="D76" i="4"/>
  <c r="E76" i="4" s="1"/>
  <c r="G76" i="4" s="1"/>
  <c r="B77" i="4" s="1"/>
  <c r="E91" i="7" l="1"/>
  <c r="G91" i="7" s="1"/>
  <c r="B92" i="7" s="1"/>
  <c r="D92" i="7" s="1"/>
  <c r="E85" i="6"/>
  <c r="G85" i="6" s="1"/>
  <c r="B86" i="6" s="1"/>
  <c r="D86" i="6" s="1"/>
  <c r="E80" i="5"/>
  <c r="G80" i="5" s="1"/>
  <c r="B81" i="5" s="1"/>
  <c r="D81" i="5" s="1"/>
  <c r="D77" i="4"/>
  <c r="E77" i="4" s="1"/>
  <c r="G77" i="4" s="1"/>
  <c r="B78" i="4" s="1"/>
  <c r="E92" i="7" l="1"/>
  <c r="G92" i="7" s="1"/>
  <c r="B93" i="7" s="1"/>
  <c r="D93" i="7" s="1"/>
  <c r="E86" i="6"/>
  <c r="G86" i="6" s="1"/>
  <c r="B87" i="6" s="1"/>
  <c r="D87" i="6" s="1"/>
  <c r="E81" i="5"/>
  <c r="G81" i="5" s="1"/>
  <c r="B82" i="5" s="1"/>
  <c r="D82" i="5" s="1"/>
  <c r="D78" i="4"/>
  <c r="E78" i="4" s="1"/>
  <c r="G78" i="4" s="1"/>
  <c r="B79" i="4" s="1"/>
  <c r="E93" i="7" l="1"/>
  <c r="G93" i="7" s="1"/>
  <c r="B94" i="7" s="1"/>
  <c r="D94" i="7" s="1"/>
  <c r="E87" i="6"/>
  <c r="G87" i="6" s="1"/>
  <c r="B88" i="6" s="1"/>
  <c r="D88" i="6" s="1"/>
  <c r="E82" i="5"/>
  <c r="G82" i="5" s="1"/>
  <c r="B83" i="5" s="1"/>
  <c r="D83" i="5" s="1"/>
  <c r="D79" i="4"/>
  <c r="E79" i="4" s="1"/>
  <c r="G79" i="4" s="1"/>
  <c r="B80" i="4" s="1"/>
  <c r="E94" i="7" l="1"/>
  <c r="G94" i="7" s="1"/>
  <c r="B95" i="7" s="1"/>
  <c r="D95" i="7" s="1"/>
  <c r="E88" i="6"/>
  <c r="G88" i="6" s="1"/>
  <c r="B89" i="6" s="1"/>
  <c r="D89" i="6" s="1"/>
  <c r="E83" i="5"/>
  <c r="G83" i="5" s="1"/>
  <c r="B84" i="5" s="1"/>
  <c r="D84" i="5" s="1"/>
  <c r="D80" i="4"/>
  <c r="E80" i="4" s="1"/>
  <c r="G80" i="4" s="1"/>
  <c r="B81" i="4" s="1"/>
  <c r="E95" i="7" l="1"/>
  <c r="G95" i="7" s="1"/>
  <c r="B96" i="7" s="1"/>
  <c r="D96" i="7" s="1"/>
  <c r="E89" i="6"/>
  <c r="G89" i="6" s="1"/>
  <c r="B90" i="6" s="1"/>
  <c r="D90" i="6" s="1"/>
  <c r="E84" i="5"/>
  <c r="G84" i="5" s="1"/>
  <c r="B85" i="5" s="1"/>
  <c r="D85" i="5" s="1"/>
  <c r="D81" i="4"/>
  <c r="E81" i="4" s="1"/>
  <c r="G81" i="4" s="1"/>
  <c r="B82" i="4" s="1"/>
  <c r="E96" i="7" l="1"/>
  <c r="G96" i="7" s="1"/>
  <c r="B97" i="7" s="1"/>
  <c r="D97" i="7" s="1"/>
  <c r="E90" i="6"/>
  <c r="G90" i="6" s="1"/>
  <c r="B91" i="6" s="1"/>
  <c r="D91" i="6" s="1"/>
  <c r="E85" i="5"/>
  <c r="G85" i="5" s="1"/>
  <c r="B86" i="5" s="1"/>
  <c r="D86" i="5" s="1"/>
  <c r="D82" i="4"/>
  <c r="E82" i="4" s="1"/>
  <c r="G82" i="4" s="1"/>
  <c r="B83" i="4" s="1"/>
  <c r="E97" i="7" l="1"/>
  <c r="G97" i="7" s="1"/>
  <c r="B98" i="7" s="1"/>
  <c r="D98" i="7" s="1"/>
  <c r="E91" i="6"/>
  <c r="G91" i="6" s="1"/>
  <c r="B92" i="6" s="1"/>
  <c r="D92" i="6" s="1"/>
  <c r="E86" i="5"/>
  <c r="G86" i="5" s="1"/>
  <c r="B87" i="5" s="1"/>
  <c r="D87" i="5" s="1"/>
  <c r="D83" i="4"/>
  <c r="E83" i="4" s="1"/>
  <c r="G83" i="4" s="1"/>
  <c r="B84" i="4" s="1"/>
  <c r="E98" i="7" l="1"/>
  <c r="G98" i="7" s="1"/>
  <c r="B99" i="7" s="1"/>
  <c r="D99" i="7" s="1"/>
  <c r="E92" i="6"/>
  <c r="G92" i="6" s="1"/>
  <c r="B93" i="6" s="1"/>
  <c r="D93" i="6" s="1"/>
  <c r="E87" i="5"/>
  <c r="G87" i="5" s="1"/>
  <c r="B88" i="5" s="1"/>
  <c r="D88" i="5" s="1"/>
  <c r="D84" i="4"/>
  <c r="E84" i="4" s="1"/>
  <c r="G84" i="4" s="1"/>
  <c r="B85" i="4" s="1"/>
  <c r="E99" i="7" l="1"/>
  <c r="G99" i="7" s="1"/>
  <c r="B100" i="7" s="1"/>
  <c r="D100" i="7" s="1"/>
  <c r="E93" i="6"/>
  <c r="G93" i="6" s="1"/>
  <c r="B94" i="6" s="1"/>
  <c r="D94" i="6" s="1"/>
  <c r="E88" i="5"/>
  <c r="G88" i="5" s="1"/>
  <c r="B89" i="5" s="1"/>
  <c r="D89" i="5" s="1"/>
  <c r="D85" i="4"/>
  <c r="E85" i="4" s="1"/>
  <c r="G85" i="4" s="1"/>
  <c r="B86" i="4" s="1"/>
  <c r="E100" i="7" l="1"/>
  <c r="G100" i="7" s="1"/>
  <c r="B101" i="7" s="1"/>
  <c r="D101" i="7" s="1"/>
  <c r="E94" i="6"/>
  <c r="G94" i="6" s="1"/>
  <c r="B95" i="6" s="1"/>
  <c r="D95" i="6" s="1"/>
  <c r="E89" i="5"/>
  <c r="G89" i="5" s="1"/>
  <c r="B90" i="5" s="1"/>
  <c r="D90" i="5" s="1"/>
  <c r="D86" i="4"/>
  <c r="E86" i="4" s="1"/>
  <c r="G86" i="4" s="1"/>
  <c r="B87" i="4" s="1"/>
  <c r="E101" i="7" l="1"/>
  <c r="G101" i="7" s="1"/>
  <c r="B102" i="7" s="1"/>
  <c r="D102" i="7" s="1"/>
  <c r="E95" i="6"/>
  <c r="G95" i="6" s="1"/>
  <c r="B96" i="6" s="1"/>
  <c r="D96" i="6" s="1"/>
  <c r="E90" i="5"/>
  <c r="G90" i="5" s="1"/>
  <c r="B91" i="5" s="1"/>
  <c r="D91" i="5" s="1"/>
  <c r="D87" i="4"/>
  <c r="E87" i="4" s="1"/>
  <c r="G87" i="4" s="1"/>
  <c r="B88" i="4" s="1"/>
  <c r="E102" i="7" l="1"/>
  <c r="G102" i="7" s="1"/>
  <c r="B103" i="7" s="1"/>
  <c r="D103" i="7" s="1"/>
  <c r="E96" i="6"/>
  <c r="G96" i="6" s="1"/>
  <c r="B97" i="6" s="1"/>
  <c r="D97" i="6" s="1"/>
  <c r="E91" i="5"/>
  <c r="G91" i="5" s="1"/>
  <c r="B92" i="5" s="1"/>
  <c r="D92" i="5" s="1"/>
  <c r="D88" i="4"/>
  <c r="E88" i="4" s="1"/>
  <c r="G88" i="4" s="1"/>
  <c r="B89" i="4" s="1"/>
  <c r="E103" i="7" l="1"/>
  <c r="G103" i="7" s="1"/>
  <c r="B104" i="7" s="1"/>
  <c r="D104" i="7" s="1"/>
  <c r="E97" i="6"/>
  <c r="G97" i="6" s="1"/>
  <c r="B98" i="6" s="1"/>
  <c r="D98" i="6" s="1"/>
  <c r="E92" i="5"/>
  <c r="G92" i="5" s="1"/>
  <c r="B93" i="5" s="1"/>
  <c r="D93" i="5" s="1"/>
  <c r="D89" i="4"/>
  <c r="E89" i="4" s="1"/>
  <c r="G89" i="4" s="1"/>
  <c r="B90" i="4" s="1"/>
  <c r="E104" i="7" l="1"/>
  <c r="G104" i="7" s="1"/>
  <c r="B105" i="7" s="1"/>
  <c r="D105" i="7" s="1"/>
  <c r="E98" i="6"/>
  <c r="G98" i="6" s="1"/>
  <c r="B99" i="6" s="1"/>
  <c r="D99" i="6" s="1"/>
  <c r="E93" i="5"/>
  <c r="G93" i="5" s="1"/>
  <c r="B94" i="5" s="1"/>
  <c r="D94" i="5" s="1"/>
  <c r="D90" i="4"/>
  <c r="E90" i="4" s="1"/>
  <c r="G90" i="4" s="1"/>
  <c r="B91" i="4" s="1"/>
  <c r="E105" i="7" l="1"/>
  <c r="G105" i="7" s="1"/>
  <c r="B106" i="7" s="1"/>
  <c r="D106" i="7" s="1"/>
  <c r="E99" i="6"/>
  <c r="G99" i="6" s="1"/>
  <c r="B100" i="6" s="1"/>
  <c r="D100" i="6" s="1"/>
  <c r="E94" i="5"/>
  <c r="G94" i="5" s="1"/>
  <c r="B95" i="5" s="1"/>
  <c r="D95" i="5" s="1"/>
  <c r="D91" i="4"/>
  <c r="E91" i="4" s="1"/>
  <c r="G91" i="4" s="1"/>
  <c r="B92" i="4" s="1"/>
  <c r="E106" i="7" l="1"/>
  <c r="G106" i="7" s="1"/>
  <c r="B107" i="7" s="1"/>
  <c r="D107" i="7" s="1"/>
  <c r="E100" i="6"/>
  <c r="G100" i="6" s="1"/>
  <c r="B101" i="6" s="1"/>
  <c r="D101" i="6" s="1"/>
  <c r="E95" i="5"/>
  <c r="G95" i="5" s="1"/>
  <c r="B96" i="5" s="1"/>
  <c r="D96" i="5" s="1"/>
  <c r="D92" i="4"/>
  <c r="E92" i="4" s="1"/>
  <c r="G92" i="4" s="1"/>
  <c r="B93" i="4" s="1"/>
  <c r="E107" i="7" l="1"/>
  <c r="G107" i="7" s="1"/>
  <c r="B108" i="7" s="1"/>
  <c r="D108" i="7" s="1"/>
  <c r="E101" i="6"/>
  <c r="G101" i="6" s="1"/>
  <c r="B102" i="6" s="1"/>
  <c r="D102" i="6" s="1"/>
  <c r="E96" i="5"/>
  <c r="G96" i="5" s="1"/>
  <c r="B97" i="5" s="1"/>
  <c r="D97" i="5" s="1"/>
  <c r="D93" i="4"/>
  <c r="E93" i="4" s="1"/>
  <c r="G93" i="4" s="1"/>
  <c r="B94" i="4" s="1"/>
  <c r="E108" i="7" l="1"/>
  <c r="G108" i="7" s="1"/>
  <c r="B109" i="7" s="1"/>
  <c r="D109" i="7" s="1"/>
  <c r="E102" i="6"/>
  <c r="G102" i="6" s="1"/>
  <c r="B103" i="6" s="1"/>
  <c r="D103" i="6" s="1"/>
  <c r="E97" i="5"/>
  <c r="G97" i="5" s="1"/>
  <c r="B98" i="5" s="1"/>
  <c r="D98" i="5" s="1"/>
  <c r="D94" i="4"/>
  <c r="E94" i="4" s="1"/>
  <c r="G94" i="4" s="1"/>
  <c r="B95" i="4" s="1"/>
  <c r="E109" i="7" l="1"/>
  <c r="G109" i="7" s="1"/>
  <c r="B110" i="7" s="1"/>
  <c r="D110" i="7" s="1"/>
  <c r="E103" i="6"/>
  <c r="G103" i="6" s="1"/>
  <c r="B104" i="6" s="1"/>
  <c r="D104" i="6" s="1"/>
  <c r="E98" i="5"/>
  <c r="G98" i="5" s="1"/>
  <c r="B99" i="5" s="1"/>
  <c r="D99" i="5" s="1"/>
  <c r="D95" i="4"/>
  <c r="E95" i="4" s="1"/>
  <c r="G95" i="4" s="1"/>
  <c r="B96" i="4" s="1"/>
  <c r="E110" i="7" l="1"/>
  <c r="G110" i="7" s="1"/>
  <c r="B111" i="7" s="1"/>
  <c r="D111" i="7" s="1"/>
  <c r="E104" i="6"/>
  <c r="G104" i="6" s="1"/>
  <c r="B105" i="6" s="1"/>
  <c r="D105" i="6" s="1"/>
  <c r="E99" i="5"/>
  <c r="G99" i="5" s="1"/>
  <c r="B100" i="5" s="1"/>
  <c r="D100" i="5" s="1"/>
  <c r="D96" i="4"/>
  <c r="E96" i="4" s="1"/>
  <c r="G96" i="4" s="1"/>
  <c r="B97" i="4" s="1"/>
  <c r="E111" i="7" l="1"/>
  <c r="G111" i="7" s="1"/>
  <c r="B112" i="7" s="1"/>
  <c r="D112" i="7" s="1"/>
  <c r="E105" i="6"/>
  <c r="G105" i="6" s="1"/>
  <c r="B106" i="6" s="1"/>
  <c r="D106" i="6" s="1"/>
  <c r="E100" i="5"/>
  <c r="G100" i="5" s="1"/>
  <c r="B101" i="5" s="1"/>
  <c r="D101" i="5" s="1"/>
  <c r="D97" i="4"/>
  <c r="E97" i="4" s="1"/>
  <c r="G97" i="4" s="1"/>
  <c r="B98" i="4" s="1"/>
  <c r="E112" i="7" l="1"/>
  <c r="G112" i="7" s="1"/>
  <c r="B113" i="7" s="1"/>
  <c r="D113" i="7" s="1"/>
  <c r="E106" i="6"/>
  <c r="G106" i="6" s="1"/>
  <c r="B107" i="6" s="1"/>
  <c r="D107" i="6" s="1"/>
  <c r="E101" i="5"/>
  <c r="G101" i="5" s="1"/>
  <c r="B102" i="5" s="1"/>
  <c r="D102" i="5" s="1"/>
  <c r="D98" i="4"/>
  <c r="E98" i="4" s="1"/>
  <c r="G98" i="4" s="1"/>
  <c r="B99" i="4" s="1"/>
  <c r="E113" i="7" l="1"/>
  <c r="G113" i="7" s="1"/>
  <c r="B114" i="7" s="1"/>
  <c r="D114" i="7" s="1"/>
  <c r="E107" i="6"/>
  <c r="G107" i="6" s="1"/>
  <c r="B108" i="6" s="1"/>
  <c r="D108" i="6" s="1"/>
  <c r="E102" i="5"/>
  <c r="G102" i="5" s="1"/>
  <c r="B103" i="5" s="1"/>
  <c r="D103" i="5" s="1"/>
  <c r="D99" i="4"/>
  <c r="E99" i="4" s="1"/>
  <c r="G99" i="4" s="1"/>
  <c r="B100" i="4" s="1"/>
  <c r="E114" i="7" l="1"/>
  <c r="G114" i="7" s="1"/>
  <c r="B115" i="7" s="1"/>
  <c r="D115" i="7" s="1"/>
  <c r="E108" i="6"/>
  <c r="G108" i="6" s="1"/>
  <c r="B109" i="6" s="1"/>
  <c r="D109" i="6" s="1"/>
  <c r="E103" i="5"/>
  <c r="G103" i="5" s="1"/>
  <c r="B104" i="5" s="1"/>
  <c r="D104" i="5" s="1"/>
  <c r="D100" i="4"/>
  <c r="E100" i="4" s="1"/>
  <c r="G100" i="4" s="1"/>
  <c r="B101" i="4" s="1"/>
  <c r="E115" i="7" l="1"/>
  <c r="G115" i="7" s="1"/>
  <c r="B116" i="7" s="1"/>
  <c r="D116" i="7" s="1"/>
  <c r="E109" i="6"/>
  <c r="G109" i="6" s="1"/>
  <c r="B110" i="6" s="1"/>
  <c r="D110" i="6" s="1"/>
  <c r="E104" i="5"/>
  <c r="G104" i="5" s="1"/>
  <c r="B105" i="5" s="1"/>
  <c r="D105" i="5" s="1"/>
  <c r="D101" i="4"/>
  <c r="E101" i="4" s="1"/>
  <c r="G101" i="4" s="1"/>
  <c r="B102" i="4" s="1"/>
  <c r="E116" i="7" l="1"/>
  <c r="G116" i="7" s="1"/>
  <c r="B117" i="7" s="1"/>
  <c r="D117" i="7" s="1"/>
  <c r="E110" i="6"/>
  <c r="G110" i="6" s="1"/>
  <c r="B111" i="6" s="1"/>
  <c r="D111" i="6" s="1"/>
  <c r="E105" i="5"/>
  <c r="G105" i="5" s="1"/>
  <c r="B106" i="5" s="1"/>
  <c r="D106" i="5" s="1"/>
  <c r="D102" i="4"/>
  <c r="E102" i="4" s="1"/>
  <c r="G102" i="4" s="1"/>
  <c r="B103" i="4" s="1"/>
  <c r="E117" i="7" l="1"/>
  <c r="G117" i="7" s="1"/>
  <c r="B118" i="7" s="1"/>
  <c r="D118" i="7" s="1"/>
  <c r="E111" i="6"/>
  <c r="G111" i="6" s="1"/>
  <c r="B112" i="6" s="1"/>
  <c r="D112" i="6" s="1"/>
  <c r="E106" i="5"/>
  <c r="G106" i="5" s="1"/>
  <c r="B107" i="5" s="1"/>
  <c r="D107" i="5" s="1"/>
  <c r="D103" i="4"/>
  <c r="E103" i="4" s="1"/>
  <c r="G103" i="4" s="1"/>
  <c r="B104" i="4" s="1"/>
  <c r="E118" i="7" l="1"/>
  <c r="G118" i="7" s="1"/>
  <c r="B119" i="7" s="1"/>
  <c r="D119" i="7" s="1"/>
  <c r="E112" i="6"/>
  <c r="G112" i="6" s="1"/>
  <c r="B113" i="6" s="1"/>
  <c r="D113" i="6" s="1"/>
  <c r="E107" i="5"/>
  <c r="G107" i="5" s="1"/>
  <c r="B108" i="5" s="1"/>
  <c r="D108" i="5" s="1"/>
  <c r="D104" i="4"/>
  <c r="E104" i="4" s="1"/>
  <c r="G104" i="4" s="1"/>
  <c r="B105" i="4" s="1"/>
  <c r="E119" i="7" l="1"/>
  <c r="G119" i="7" s="1"/>
  <c r="B120" i="7" s="1"/>
  <c r="D120" i="7" s="1"/>
  <c r="E113" i="6"/>
  <c r="G113" i="6" s="1"/>
  <c r="B114" i="6" s="1"/>
  <c r="D114" i="6" s="1"/>
  <c r="E108" i="5"/>
  <c r="G108" i="5" s="1"/>
  <c r="B109" i="5" s="1"/>
  <c r="D109" i="5" s="1"/>
  <c r="D105" i="4"/>
  <c r="E105" i="4" s="1"/>
  <c r="G105" i="4" s="1"/>
  <c r="B106" i="4" s="1"/>
  <c r="E120" i="7" l="1"/>
  <c r="G120" i="7" s="1"/>
  <c r="B121" i="7" s="1"/>
  <c r="D121" i="7" s="1"/>
  <c r="E114" i="6"/>
  <c r="G114" i="6" s="1"/>
  <c r="B115" i="6" s="1"/>
  <c r="D115" i="6" s="1"/>
  <c r="E109" i="5"/>
  <c r="G109" i="5" s="1"/>
  <c r="B110" i="5" s="1"/>
  <c r="D110" i="5" s="1"/>
  <c r="D106" i="4"/>
  <c r="E106" i="4" s="1"/>
  <c r="G106" i="4" s="1"/>
  <c r="B107" i="4" s="1"/>
  <c r="E121" i="7" l="1"/>
  <c r="G121" i="7" s="1"/>
  <c r="B122" i="7" s="1"/>
  <c r="D122" i="7" s="1"/>
  <c r="E115" i="6"/>
  <c r="G115" i="6" s="1"/>
  <c r="B116" i="6" s="1"/>
  <c r="D116" i="6" s="1"/>
  <c r="E110" i="5"/>
  <c r="G110" i="5" s="1"/>
  <c r="B111" i="5" s="1"/>
  <c r="D111" i="5" s="1"/>
  <c r="D107" i="4"/>
  <c r="E107" i="4" s="1"/>
  <c r="G107" i="4" s="1"/>
  <c r="B108" i="4" s="1"/>
  <c r="E122" i="7" l="1"/>
  <c r="G122" i="7" s="1"/>
  <c r="B123" i="7" s="1"/>
  <c r="D123" i="7" s="1"/>
  <c r="E116" i="6"/>
  <c r="G116" i="6" s="1"/>
  <c r="B117" i="6" s="1"/>
  <c r="D117" i="6" s="1"/>
  <c r="E111" i="5"/>
  <c r="G111" i="5" s="1"/>
  <c r="B112" i="5" s="1"/>
  <c r="D112" i="5" s="1"/>
  <c r="D108" i="4"/>
  <c r="E108" i="4" s="1"/>
  <c r="G108" i="4" s="1"/>
  <c r="B109" i="4" s="1"/>
  <c r="E123" i="7" l="1"/>
  <c r="G123" i="7" s="1"/>
  <c r="B124" i="7" s="1"/>
  <c r="D124" i="7" s="1"/>
  <c r="E117" i="6"/>
  <c r="G117" i="6" s="1"/>
  <c r="B118" i="6" s="1"/>
  <c r="D118" i="6" s="1"/>
  <c r="E112" i="5"/>
  <c r="G112" i="5" s="1"/>
  <c r="B113" i="5" s="1"/>
  <c r="D113" i="5" s="1"/>
  <c r="D109" i="4"/>
  <c r="E109" i="4" s="1"/>
  <c r="G109" i="4" s="1"/>
  <c r="B110" i="4" s="1"/>
  <c r="E124" i="7" l="1"/>
  <c r="G124" i="7" s="1"/>
  <c r="B125" i="7" s="1"/>
  <c r="D125" i="7" s="1"/>
  <c r="E118" i="6"/>
  <c r="G118" i="6" s="1"/>
  <c r="B119" i="6" s="1"/>
  <c r="D119" i="6" s="1"/>
  <c r="E113" i="5"/>
  <c r="G113" i="5" s="1"/>
  <c r="B114" i="5" s="1"/>
  <c r="D114" i="5" s="1"/>
  <c r="D110" i="4"/>
  <c r="E110" i="4" s="1"/>
  <c r="G110" i="4" s="1"/>
  <c r="B111" i="4" s="1"/>
  <c r="E125" i="7" l="1"/>
  <c r="G125" i="7" s="1"/>
  <c r="B126" i="7" s="1"/>
  <c r="D126" i="7" s="1"/>
  <c r="E119" i="6"/>
  <c r="G119" i="6" s="1"/>
  <c r="B120" i="6" s="1"/>
  <c r="D120" i="6" s="1"/>
  <c r="E114" i="5"/>
  <c r="G114" i="5" s="1"/>
  <c r="B115" i="5" s="1"/>
  <c r="D115" i="5" s="1"/>
  <c r="D111" i="4"/>
  <c r="E111" i="4" s="1"/>
  <c r="G111" i="4" s="1"/>
  <c r="B112" i="4" s="1"/>
  <c r="E126" i="7" l="1"/>
  <c r="G126" i="7" s="1"/>
  <c r="B127" i="7" s="1"/>
  <c r="D127" i="7" s="1"/>
  <c r="E120" i="6"/>
  <c r="G120" i="6" s="1"/>
  <c r="B121" i="6" s="1"/>
  <c r="D121" i="6" s="1"/>
  <c r="E115" i="5"/>
  <c r="G115" i="5" s="1"/>
  <c r="B116" i="5" s="1"/>
  <c r="D116" i="5" s="1"/>
  <c r="D112" i="4"/>
  <c r="E112" i="4" s="1"/>
  <c r="G112" i="4" s="1"/>
  <c r="B113" i="4" s="1"/>
  <c r="E127" i="7" l="1"/>
  <c r="G127" i="7" s="1"/>
  <c r="B128" i="7" s="1"/>
  <c r="D128" i="7" s="1"/>
  <c r="E121" i="6"/>
  <c r="G121" i="6" s="1"/>
  <c r="B122" i="6" s="1"/>
  <c r="D122" i="6" s="1"/>
  <c r="E116" i="5"/>
  <c r="G116" i="5" s="1"/>
  <c r="B117" i="5" s="1"/>
  <c r="D117" i="5" s="1"/>
  <c r="D113" i="4"/>
  <c r="E113" i="4" s="1"/>
  <c r="G113" i="4" s="1"/>
  <c r="B114" i="4" s="1"/>
  <c r="E128" i="7" l="1"/>
  <c r="G128" i="7" s="1"/>
  <c r="B129" i="7" s="1"/>
  <c r="D129" i="7" s="1"/>
  <c r="E122" i="6"/>
  <c r="G122" i="6" s="1"/>
  <c r="B123" i="6" s="1"/>
  <c r="D123" i="6" s="1"/>
  <c r="E117" i="5"/>
  <c r="G117" i="5" s="1"/>
  <c r="B118" i="5" s="1"/>
  <c r="D118" i="5" s="1"/>
  <c r="D114" i="4"/>
  <c r="E114" i="4" s="1"/>
  <c r="G114" i="4" s="1"/>
  <c r="B115" i="4" s="1"/>
  <c r="E129" i="7" l="1"/>
  <c r="G129" i="7" s="1"/>
  <c r="B130" i="7" s="1"/>
  <c r="D130" i="7" s="1"/>
  <c r="E123" i="6"/>
  <c r="G123" i="6" s="1"/>
  <c r="B124" i="6" s="1"/>
  <c r="D124" i="6" s="1"/>
  <c r="E118" i="5"/>
  <c r="G118" i="5" s="1"/>
  <c r="B119" i="5" s="1"/>
  <c r="D119" i="5" s="1"/>
  <c r="D115" i="4"/>
  <c r="E115" i="4" s="1"/>
  <c r="G115" i="4" s="1"/>
  <c r="B116" i="4" s="1"/>
  <c r="E130" i="7" l="1"/>
  <c r="G130" i="7" s="1"/>
  <c r="B131" i="7" s="1"/>
  <c r="D131" i="7" s="1"/>
  <c r="E124" i="6"/>
  <c r="G124" i="6" s="1"/>
  <c r="B125" i="6" s="1"/>
  <c r="D125" i="6" s="1"/>
  <c r="E119" i="5"/>
  <c r="G119" i="5" s="1"/>
  <c r="B120" i="5" s="1"/>
  <c r="D120" i="5" s="1"/>
  <c r="D116" i="4"/>
  <c r="E116" i="4" s="1"/>
  <c r="G116" i="4" s="1"/>
  <c r="B117" i="4" s="1"/>
  <c r="E131" i="7" l="1"/>
  <c r="G131" i="7" s="1"/>
  <c r="B132" i="7" s="1"/>
  <c r="D132" i="7" s="1"/>
  <c r="E125" i="6"/>
  <c r="G125" i="6" s="1"/>
  <c r="B126" i="6" s="1"/>
  <c r="D126" i="6" s="1"/>
  <c r="E120" i="5"/>
  <c r="G120" i="5" s="1"/>
  <c r="B121" i="5" s="1"/>
  <c r="D121" i="5" s="1"/>
  <c r="D117" i="4"/>
  <c r="E117" i="4" s="1"/>
  <c r="G117" i="4" s="1"/>
  <c r="B118" i="4" s="1"/>
  <c r="E132" i="7" l="1"/>
  <c r="G132" i="7" s="1"/>
  <c r="B133" i="7" s="1"/>
  <c r="D133" i="7" s="1"/>
  <c r="E126" i="6"/>
  <c r="G126" i="6" s="1"/>
  <c r="B127" i="6" s="1"/>
  <c r="D127" i="6" s="1"/>
  <c r="E121" i="5"/>
  <c r="G121" i="5" s="1"/>
  <c r="B122" i="5" s="1"/>
  <c r="D122" i="5" s="1"/>
  <c r="D118" i="4"/>
  <c r="E118" i="4" s="1"/>
  <c r="G118" i="4" s="1"/>
  <c r="B119" i="4" s="1"/>
  <c r="E133" i="7" l="1"/>
  <c r="G133" i="7" s="1"/>
  <c r="B134" i="7" s="1"/>
  <c r="D134" i="7" s="1"/>
  <c r="E127" i="6"/>
  <c r="G127" i="6" s="1"/>
  <c r="B128" i="6" s="1"/>
  <c r="D128" i="6" s="1"/>
  <c r="E122" i="5"/>
  <c r="G122" i="5" s="1"/>
  <c r="B123" i="5" s="1"/>
  <c r="D123" i="5" s="1"/>
  <c r="D119" i="4"/>
  <c r="E119" i="4" s="1"/>
  <c r="G119" i="4" s="1"/>
  <c r="B120" i="4" s="1"/>
  <c r="E134" i="7" l="1"/>
  <c r="G134" i="7" s="1"/>
  <c r="B135" i="7" s="1"/>
  <c r="D135" i="7" s="1"/>
  <c r="E128" i="6"/>
  <c r="G128" i="6" s="1"/>
  <c r="B129" i="6" s="1"/>
  <c r="D129" i="6" s="1"/>
  <c r="E123" i="5"/>
  <c r="G123" i="5" s="1"/>
  <c r="B124" i="5" s="1"/>
  <c r="D124" i="5" s="1"/>
  <c r="D120" i="4"/>
  <c r="E120" i="4" s="1"/>
  <c r="G120" i="4" s="1"/>
  <c r="B121" i="4" s="1"/>
  <c r="E135" i="7" l="1"/>
  <c r="G135" i="7" s="1"/>
  <c r="B136" i="7" s="1"/>
  <c r="D136" i="7" s="1"/>
  <c r="E129" i="6"/>
  <c r="G129" i="6" s="1"/>
  <c r="B130" i="6" s="1"/>
  <c r="D130" i="6" s="1"/>
  <c r="E124" i="5"/>
  <c r="G124" i="5" s="1"/>
  <c r="B125" i="5" s="1"/>
  <c r="D125" i="5" s="1"/>
  <c r="D121" i="4"/>
  <c r="E121" i="4" s="1"/>
  <c r="G121" i="4" s="1"/>
  <c r="B122" i="4" s="1"/>
  <c r="E136" i="7" l="1"/>
  <c r="G136" i="7" s="1"/>
  <c r="B137" i="7" s="1"/>
  <c r="D137" i="7" s="1"/>
  <c r="E130" i="6"/>
  <c r="G130" i="6" s="1"/>
  <c r="B131" i="6" s="1"/>
  <c r="D131" i="6" s="1"/>
  <c r="E125" i="5"/>
  <c r="G125" i="5" s="1"/>
  <c r="B126" i="5" s="1"/>
  <c r="D126" i="5" s="1"/>
  <c r="D122" i="4"/>
  <c r="E122" i="4" s="1"/>
  <c r="G122" i="4" s="1"/>
  <c r="B123" i="4" s="1"/>
  <c r="E137" i="7" l="1"/>
  <c r="G137" i="7" s="1"/>
  <c r="B138" i="7" s="1"/>
  <c r="D138" i="7" s="1"/>
  <c r="E131" i="6"/>
  <c r="G131" i="6" s="1"/>
  <c r="B132" i="6" s="1"/>
  <c r="D132" i="6" s="1"/>
  <c r="E126" i="5"/>
  <c r="G126" i="5" s="1"/>
  <c r="B127" i="5" s="1"/>
  <c r="D127" i="5" s="1"/>
  <c r="D123" i="4"/>
  <c r="E123" i="4" s="1"/>
  <c r="G123" i="4" s="1"/>
  <c r="B124" i="4" s="1"/>
  <c r="E138" i="7" l="1"/>
  <c r="G138" i="7" s="1"/>
  <c r="B139" i="7" s="1"/>
  <c r="D139" i="7" s="1"/>
  <c r="E132" i="6"/>
  <c r="G132" i="6" s="1"/>
  <c r="B133" i="6" s="1"/>
  <c r="D133" i="6" s="1"/>
  <c r="E127" i="5"/>
  <c r="G127" i="5" s="1"/>
  <c r="B128" i="5" s="1"/>
  <c r="D128" i="5" s="1"/>
  <c r="D124" i="4"/>
  <c r="E124" i="4" s="1"/>
  <c r="G124" i="4" s="1"/>
  <c r="B125" i="4" s="1"/>
  <c r="E139" i="7" l="1"/>
  <c r="G139" i="7" s="1"/>
  <c r="B140" i="7" s="1"/>
  <c r="D140" i="7" s="1"/>
  <c r="E133" i="6"/>
  <c r="G133" i="6" s="1"/>
  <c r="B134" i="6" s="1"/>
  <c r="D134" i="6" s="1"/>
  <c r="E128" i="5"/>
  <c r="G128" i="5" s="1"/>
  <c r="B129" i="5" s="1"/>
  <c r="D129" i="5" s="1"/>
  <c r="D125" i="4"/>
  <c r="E125" i="4" s="1"/>
  <c r="G125" i="4" s="1"/>
  <c r="B126" i="4" s="1"/>
  <c r="E140" i="7" l="1"/>
  <c r="G140" i="7" s="1"/>
  <c r="B141" i="7" s="1"/>
  <c r="D141" i="7" s="1"/>
  <c r="E134" i="6"/>
  <c r="G134" i="6" s="1"/>
  <c r="B135" i="6" s="1"/>
  <c r="D135" i="6" s="1"/>
  <c r="E129" i="5"/>
  <c r="G129" i="5" s="1"/>
  <c r="B130" i="5" s="1"/>
  <c r="D130" i="5" s="1"/>
  <c r="D126" i="4"/>
  <c r="E126" i="4" s="1"/>
  <c r="G126" i="4" s="1"/>
  <c r="B127" i="4" s="1"/>
  <c r="E141" i="7" l="1"/>
  <c r="G141" i="7" s="1"/>
  <c r="B142" i="7" s="1"/>
  <c r="D142" i="7" s="1"/>
  <c r="E135" i="6"/>
  <c r="G135" i="6" s="1"/>
  <c r="B136" i="6" s="1"/>
  <c r="D136" i="6" s="1"/>
  <c r="E130" i="5"/>
  <c r="G130" i="5" s="1"/>
  <c r="B131" i="5" s="1"/>
  <c r="D131" i="5" s="1"/>
  <c r="D127" i="4"/>
  <c r="E127" i="4" s="1"/>
  <c r="G127" i="4" s="1"/>
  <c r="B128" i="4" s="1"/>
  <c r="E142" i="7" l="1"/>
  <c r="G142" i="7" s="1"/>
  <c r="B143" i="7" s="1"/>
  <c r="D143" i="7" s="1"/>
  <c r="E136" i="6"/>
  <c r="G136" i="6" s="1"/>
  <c r="B137" i="6" s="1"/>
  <c r="D137" i="6" s="1"/>
  <c r="E131" i="5"/>
  <c r="G131" i="5" s="1"/>
  <c r="B132" i="5" s="1"/>
  <c r="D132" i="5" s="1"/>
  <c r="D128" i="4"/>
  <c r="E128" i="4" s="1"/>
  <c r="G128" i="4" s="1"/>
  <c r="B129" i="4" s="1"/>
  <c r="E143" i="7" l="1"/>
  <c r="G143" i="7" s="1"/>
  <c r="B144" i="7" s="1"/>
  <c r="D144" i="7" s="1"/>
  <c r="E137" i="6"/>
  <c r="G137" i="6" s="1"/>
  <c r="B138" i="6" s="1"/>
  <c r="D138" i="6" s="1"/>
  <c r="E132" i="5"/>
  <c r="G132" i="5" s="1"/>
  <c r="B133" i="5" s="1"/>
  <c r="D133" i="5" s="1"/>
  <c r="D129" i="4"/>
  <c r="E129" i="4" s="1"/>
  <c r="G129" i="4" s="1"/>
  <c r="B130" i="4" s="1"/>
  <c r="E144" i="7" l="1"/>
  <c r="G144" i="7" s="1"/>
  <c r="B145" i="7" s="1"/>
  <c r="D145" i="7" s="1"/>
  <c r="E138" i="6"/>
  <c r="G138" i="6" s="1"/>
  <c r="B139" i="6" s="1"/>
  <c r="D139" i="6" s="1"/>
  <c r="E133" i="5"/>
  <c r="G133" i="5" s="1"/>
  <c r="B134" i="5" s="1"/>
  <c r="D134" i="5" s="1"/>
  <c r="D130" i="4"/>
  <c r="E130" i="4" s="1"/>
  <c r="G130" i="4" s="1"/>
  <c r="B131" i="4" s="1"/>
  <c r="E145" i="7" l="1"/>
  <c r="G145" i="7" s="1"/>
  <c r="B146" i="7" s="1"/>
  <c r="D146" i="7" s="1"/>
  <c r="E139" i="6"/>
  <c r="G139" i="6" s="1"/>
  <c r="B140" i="6" s="1"/>
  <c r="D140" i="6" s="1"/>
  <c r="E134" i="5"/>
  <c r="G134" i="5" s="1"/>
  <c r="B135" i="5" s="1"/>
  <c r="D135" i="5" s="1"/>
  <c r="D131" i="4"/>
  <c r="E131" i="4" s="1"/>
  <c r="G131" i="4" s="1"/>
  <c r="B132" i="4" s="1"/>
  <c r="E146" i="7" l="1"/>
  <c r="G146" i="7" s="1"/>
  <c r="B147" i="7" s="1"/>
  <c r="D147" i="7" s="1"/>
  <c r="E140" i="6"/>
  <c r="G140" i="6" s="1"/>
  <c r="B141" i="6" s="1"/>
  <c r="D141" i="6" s="1"/>
  <c r="E135" i="5"/>
  <c r="G135" i="5" s="1"/>
  <c r="B136" i="5" s="1"/>
  <c r="D136" i="5" s="1"/>
  <c r="D132" i="4"/>
  <c r="E132" i="4" s="1"/>
  <c r="G132" i="4" s="1"/>
  <c r="B133" i="4" s="1"/>
  <c r="E147" i="7" l="1"/>
  <c r="G147" i="7" s="1"/>
  <c r="B148" i="7" s="1"/>
  <c r="D148" i="7" s="1"/>
  <c r="E141" i="6"/>
  <c r="G141" i="6" s="1"/>
  <c r="B142" i="6" s="1"/>
  <c r="D142" i="6" s="1"/>
  <c r="E136" i="5"/>
  <c r="G136" i="5" s="1"/>
  <c r="B137" i="5" s="1"/>
  <c r="D137" i="5" s="1"/>
  <c r="D133" i="4"/>
  <c r="E133" i="4" s="1"/>
  <c r="G133" i="4" s="1"/>
  <c r="B134" i="4" s="1"/>
  <c r="E148" i="7" l="1"/>
  <c r="G148" i="7" s="1"/>
  <c r="B149" i="7" s="1"/>
  <c r="D149" i="7" s="1"/>
  <c r="E142" i="6"/>
  <c r="G142" i="6" s="1"/>
  <c r="B143" i="6" s="1"/>
  <c r="D143" i="6" s="1"/>
  <c r="E137" i="5"/>
  <c r="G137" i="5" s="1"/>
  <c r="B138" i="5" s="1"/>
  <c r="D138" i="5" s="1"/>
  <c r="D134" i="4"/>
  <c r="E134" i="4" s="1"/>
  <c r="G134" i="4" s="1"/>
  <c r="B135" i="4" s="1"/>
  <c r="E149" i="7" l="1"/>
  <c r="G149" i="7" s="1"/>
  <c r="B150" i="7" s="1"/>
  <c r="D150" i="7" s="1"/>
  <c r="E143" i="6"/>
  <c r="G143" i="6" s="1"/>
  <c r="B144" i="6" s="1"/>
  <c r="D144" i="6" s="1"/>
  <c r="E138" i="5"/>
  <c r="G138" i="5" s="1"/>
  <c r="B139" i="5" s="1"/>
  <c r="D139" i="5" s="1"/>
  <c r="D135" i="4"/>
  <c r="E135" i="4" s="1"/>
  <c r="G135" i="4" s="1"/>
  <c r="B136" i="4" s="1"/>
  <c r="E150" i="7" l="1"/>
  <c r="G150" i="7" s="1"/>
  <c r="B151" i="7" s="1"/>
  <c r="D151" i="7" s="1"/>
  <c r="E144" i="6"/>
  <c r="G144" i="6" s="1"/>
  <c r="B145" i="6" s="1"/>
  <c r="D145" i="6" s="1"/>
  <c r="E139" i="5"/>
  <c r="G139" i="5" s="1"/>
  <c r="B140" i="5" s="1"/>
  <c r="D140" i="5" s="1"/>
  <c r="D136" i="4"/>
  <c r="E136" i="4" s="1"/>
  <c r="G136" i="4" s="1"/>
  <c r="B137" i="4" s="1"/>
  <c r="E151" i="7" l="1"/>
  <c r="G151" i="7" s="1"/>
  <c r="B152" i="7" s="1"/>
  <c r="D152" i="7" s="1"/>
  <c r="E145" i="6"/>
  <c r="G145" i="6" s="1"/>
  <c r="B146" i="6" s="1"/>
  <c r="D146" i="6" s="1"/>
  <c r="E140" i="5"/>
  <c r="G140" i="5" s="1"/>
  <c r="B141" i="5" s="1"/>
  <c r="D141" i="5" s="1"/>
  <c r="D137" i="4"/>
  <c r="E137" i="4" s="1"/>
  <c r="G137" i="4" s="1"/>
  <c r="B138" i="4" s="1"/>
  <c r="E152" i="7" l="1"/>
  <c r="G152" i="7" s="1"/>
  <c r="B153" i="7" s="1"/>
  <c r="D153" i="7" s="1"/>
  <c r="E146" i="6"/>
  <c r="G146" i="6" s="1"/>
  <c r="B147" i="6" s="1"/>
  <c r="D147" i="6" s="1"/>
  <c r="E141" i="5"/>
  <c r="G141" i="5" s="1"/>
  <c r="B142" i="5" s="1"/>
  <c r="D142" i="5" s="1"/>
  <c r="D138" i="4"/>
  <c r="E138" i="4" s="1"/>
  <c r="G138" i="4" s="1"/>
  <c r="B139" i="4" s="1"/>
  <c r="E153" i="7" l="1"/>
  <c r="G153" i="7" s="1"/>
  <c r="B154" i="7" s="1"/>
  <c r="D154" i="7" s="1"/>
  <c r="E147" i="6"/>
  <c r="G147" i="6" s="1"/>
  <c r="B148" i="6" s="1"/>
  <c r="D148" i="6" s="1"/>
  <c r="E142" i="5"/>
  <c r="G142" i="5" s="1"/>
  <c r="B143" i="5" s="1"/>
  <c r="D143" i="5" s="1"/>
  <c r="D139" i="4"/>
  <c r="E139" i="4" s="1"/>
  <c r="G139" i="4" s="1"/>
  <c r="B140" i="4" s="1"/>
  <c r="E154" i="7" l="1"/>
  <c r="G154" i="7" s="1"/>
  <c r="B155" i="7" s="1"/>
  <c r="D155" i="7" s="1"/>
  <c r="E148" i="6"/>
  <c r="G148" i="6" s="1"/>
  <c r="B149" i="6" s="1"/>
  <c r="D149" i="6" s="1"/>
  <c r="E143" i="5"/>
  <c r="G143" i="5" s="1"/>
  <c r="B144" i="5" s="1"/>
  <c r="D144" i="5" s="1"/>
  <c r="D140" i="4"/>
  <c r="E140" i="4" s="1"/>
  <c r="G140" i="4" s="1"/>
  <c r="B141" i="4" s="1"/>
  <c r="E155" i="7" l="1"/>
  <c r="G155" i="7" s="1"/>
  <c r="B156" i="7" s="1"/>
  <c r="D156" i="7" s="1"/>
  <c r="E149" i="6"/>
  <c r="G149" i="6" s="1"/>
  <c r="B150" i="6" s="1"/>
  <c r="D150" i="6" s="1"/>
  <c r="E144" i="5"/>
  <c r="G144" i="5" s="1"/>
  <c r="B145" i="5" s="1"/>
  <c r="D145" i="5" s="1"/>
  <c r="D141" i="4"/>
  <c r="E141" i="4" s="1"/>
  <c r="G141" i="4" s="1"/>
  <c r="B142" i="4" s="1"/>
  <c r="E156" i="7" l="1"/>
  <c r="G156" i="7" s="1"/>
  <c r="B157" i="7" s="1"/>
  <c r="D157" i="7" s="1"/>
  <c r="E150" i="6"/>
  <c r="G150" i="6" s="1"/>
  <c r="B151" i="6" s="1"/>
  <c r="D151" i="6" s="1"/>
  <c r="E145" i="5"/>
  <c r="G145" i="5" s="1"/>
  <c r="B146" i="5" s="1"/>
  <c r="D146" i="5" s="1"/>
  <c r="D142" i="4"/>
  <c r="E142" i="4" s="1"/>
  <c r="G142" i="4" s="1"/>
  <c r="B143" i="4" s="1"/>
  <c r="E157" i="7" l="1"/>
  <c r="G157" i="7" s="1"/>
  <c r="B158" i="7" s="1"/>
  <c r="D158" i="7" s="1"/>
  <c r="E151" i="6"/>
  <c r="G151" i="6" s="1"/>
  <c r="B152" i="6" s="1"/>
  <c r="D152" i="6" s="1"/>
  <c r="E146" i="5"/>
  <c r="G146" i="5" s="1"/>
  <c r="B147" i="5" s="1"/>
  <c r="D147" i="5" s="1"/>
  <c r="D143" i="4"/>
  <c r="E143" i="4" s="1"/>
  <c r="G143" i="4" s="1"/>
  <c r="B144" i="4" s="1"/>
  <c r="E158" i="7" l="1"/>
  <c r="G158" i="7" s="1"/>
  <c r="B159" i="7" s="1"/>
  <c r="D159" i="7" s="1"/>
  <c r="E152" i="6"/>
  <c r="G152" i="6" s="1"/>
  <c r="B153" i="6" s="1"/>
  <c r="D153" i="6" s="1"/>
  <c r="E147" i="5"/>
  <c r="G147" i="5" s="1"/>
  <c r="B148" i="5" s="1"/>
  <c r="D148" i="5" s="1"/>
  <c r="D144" i="4"/>
  <c r="E144" i="4" s="1"/>
  <c r="G144" i="4" s="1"/>
  <c r="B145" i="4" s="1"/>
  <c r="E159" i="7" l="1"/>
  <c r="G159" i="7" s="1"/>
  <c r="B160" i="7" s="1"/>
  <c r="D160" i="7" s="1"/>
  <c r="E153" i="6"/>
  <c r="G153" i="6" s="1"/>
  <c r="B154" i="6" s="1"/>
  <c r="D154" i="6" s="1"/>
  <c r="E148" i="5"/>
  <c r="G148" i="5" s="1"/>
  <c r="B149" i="5" s="1"/>
  <c r="D149" i="5" s="1"/>
  <c r="D145" i="4"/>
  <c r="E145" i="4" s="1"/>
  <c r="G145" i="4" s="1"/>
  <c r="B146" i="4" s="1"/>
  <c r="E160" i="7" l="1"/>
  <c r="G160" i="7" s="1"/>
  <c r="B161" i="7" s="1"/>
  <c r="D161" i="7" s="1"/>
  <c r="E154" i="6"/>
  <c r="G154" i="6" s="1"/>
  <c r="B155" i="6" s="1"/>
  <c r="D155" i="6" s="1"/>
  <c r="E149" i="5"/>
  <c r="G149" i="5" s="1"/>
  <c r="B150" i="5" s="1"/>
  <c r="D150" i="5" s="1"/>
  <c r="D146" i="4"/>
  <c r="E146" i="4" s="1"/>
  <c r="G146" i="4" s="1"/>
  <c r="B147" i="4" s="1"/>
  <c r="E161" i="7" l="1"/>
  <c r="G161" i="7" s="1"/>
  <c r="B162" i="7" s="1"/>
  <c r="D162" i="7" s="1"/>
  <c r="E155" i="6"/>
  <c r="G155" i="6" s="1"/>
  <c r="B156" i="6" s="1"/>
  <c r="D156" i="6" s="1"/>
  <c r="E150" i="5"/>
  <c r="G150" i="5" s="1"/>
  <c r="B151" i="5" s="1"/>
  <c r="D151" i="5" s="1"/>
  <c r="D147" i="4"/>
  <c r="E147" i="4" s="1"/>
  <c r="G147" i="4" s="1"/>
  <c r="B148" i="4" s="1"/>
  <c r="E162" i="7" l="1"/>
  <c r="G162" i="7" s="1"/>
  <c r="B163" i="7" s="1"/>
  <c r="D163" i="7" s="1"/>
  <c r="E156" i="6"/>
  <c r="G156" i="6" s="1"/>
  <c r="B157" i="6" s="1"/>
  <c r="D157" i="6" s="1"/>
  <c r="E151" i="5"/>
  <c r="G151" i="5" s="1"/>
  <c r="B152" i="5" s="1"/>
  <c r="D152" i="5" s="1"/>
  <c r="D148" i="4"/>
  <c r="E148" i="4" s="1"/>
  <c r="G148" i="4" s="1"/>
  <c r="B149" i="4" s="1"/>
  <c r="E163" i="7" l="1"/>
  <c r="G163" i="7" s="1"/>
  <c r="B164" i="7" s="1"/>
  <c r="D164" i="7" s="1"/>
  <c r="E157" i="6"/>
  <c r="G157" i="6" s="1"/>
  <c r="B158" i="6" s="1"/>
  <c r="D158" i="6" s="1"/>
  <c r="E152" i="5"/>
  <c r="G152" i="5" s="1"/>
  <c r="B153" i="5" s="1"/>
  <c r="D153" i="5" s="1"/>
  <c r="D149" i="4"/>
  <c r="E149" i="4" s="1"/>
  <c r="G149" i="4" s="1"/>
  <c r="B150" i="4" s="1"/>
  <c r="E164" i="7" l="1"/>
  <c r="G164" i="7" s="1"/>
  <c r="B165" i="7" s="1"/>
  <c r="D165" i="7" s="1"/>
  <c r="E158" i="6"/>
  <c r="G158" i="6" s="1"/>
  <c r="B159" i="6" s="1"/>
  <c r="D159" i="6" s="1"/>
  <c r="E153" i="5"/>
  <c r="G153" i="5" s="1"/>
  <c r="B154" i="5" s="1"/>
  <c r="D154" i="5" s="1"/>
  <c r="D150" i="4"/>
  <c r="E150" i="4" s="1"/>
  <c r="G150" i="4" s="1"/>
  <c r="B151" i="4" s="1"/>
  <c r="E165" i="7" l="1"/>
  <c r="G165" i="7" s="1"/>
  <c r="B166" i="7" s="1"/>
  <c r="D166" i="7" s="1"/>
  <c r="E159" i="6"/>
  <c r="G159" i="6" s="1"/>
  <c r="B160" i="6" s="1"/>
  <c r="D160" i="6" s="1"/>
  <c r="E154" i="5"/>
  <c r="G154" i="5" s="1"/>
  <c r="B155" i="5" s="1"/>
  <c r="D155" i="5" s="1"/>
  <c r="D151" i="4"/>
  <c r="E151" i="4" s="1"/>
  <c r="G151" i="4" s="1"/>
  <c r="B152" i="4" s="1"/>
  <c r="E166" i="7" l="1"/>
  <c r="G166" i="7" s="1"/>
  <c r="B167" i="7" s="1"/>
  <c r="D167" i="7" s="1"/>
  <c r="E160" i="6"/>
  <c r="G160" i="6" s="1"/>
  <c r="B161" i="6" s="1"/>
  <c r="D161" i="6" s="1"/>
  <c r="E155" i="5"/>
  <c r="G155" i="5" s="1"/>
  <c r="B156" i="5" s="1"/>
  <c r="D156" i="5" s="1"/>
  <c r="D152" i="4"/>
  <c r="E152" i="4" s="1"/>
  <c r="G152" i="4" s="1"/>
  <c r="B153" i="4" s="1"/>
  <c r="E167" i="7" l="1"/>
  <c r="G167" i="7" s="1"/>
  <c r="B168" i="7" s="1"/>
  <c r="D168" i="7" s="1"/>
  <c r="E161" i="6"/>
  <c r="G161" i="6" s="1"/>
  <c r="B162" i="6" s="1"/>
  <c r="D162" i="6" s="1"/>
  <c r="E156" i="5"/>
  <c r="G156" i="5" s="1"/>
  <c r="B157" i="5" s="1"/>
  <c r="D157" i="5" s="1"/>
  <c r="D153" i="4"/>
  <c r="E153" i="4" s="1"/>
  <c r="G153" i="4" s="1"/>
  <c r="B154" i="4" s="1"/>
  <c r="E168" i="7" l="1"/>
  <c r="G168" i="7" s="1"/>
  <c r="B169" i="7" s="1"/>
  <c r="D169" i="7" s="1"/>
  <c r="E162" i="6"/>
  <c r="G162" i="6" s="1"/>
  <c r="B163" i="6" s="1"/>
  <c r="D163" i="6" s="1"/>
  <c r="E157" i="5"/>
  <c r="G157" i="5" s="1"/>
  <c r="B158" i="5" s="1"/>
  <c r="D158" i="5" s="1"/>
  <c r="D154" i="4"/>
  <c r="E154" i="4" s="1"/>
  <c r="G154" i="4" s="1"/>
  <c r="B155" i="4" s="1"/>
  <c r="E169" i="7" l="1"/>
  <c r="G169" i="7" s="1"/>
  <c r="B170" i="7" s="1"/>
  <c r="D170" i="7" s="1"/>
  <c r="E163" i="6"/>
  <c r="G163" i="6" s="1"/>
  <c r="B164" i="6" s="1"/>
  <c r="D164" i="6" s="1"/>
  <c r="E158" i="5"/>
  <c r="G158" i="5" s="1"/>
  <c r="B159" i="5" s="1"/>
  <c r="D159" i="5" s="1"/>
  <c r="D155" i="4"/>
  <c r="E155" i="4" s="1"/>
  <c r="G155" i="4" s="1"/>
  <c r="B156" i="4" s="1"/>
  <c r="E170" i="7" l="1"/>
  <c r="G170" i="7" s="1"/>
  <c r="B171" i="7" s="1"/>
  <c r="D171" i="7" s="1"/>
  <c r="E164" i="6"/>
  <c r="G164" i="6" s="1"/>
  <c r="B165" i="6" s="1"/>
  <c r="D165" i="6" s="1"/>
  <c r="E159" i="5"/>
  <c r="G159" i="5" s="1"/>
  <c r="B160" i="5" s="1"/>
  <c r="D160" i="5" s="1"/>
  <c r="D156" i="4"/>
  <c r="E156" i="4" s="1"/>
  <c r="G156" i="4" s="1"/>
  <c r="B157" i="4" s="1"/>
  <c r="E171" i="7" l="1"/>
  <c r="G171" i="7" s="1"/>
  <c r="B172" i="7" s="1"/>
  <c r="D172" i="7" s="1"/>
  <c r="E165" i="6"/>
  <c r="G165" i="6" s="1"/>
  <c r="B166" i="6" s="1"/>
  <c r="D166" i="6" s="1"/>
  <c r="E160" i="5"/>
  <c r="G160" i="5" s="1"/>
  <c r="B161" i="5" s="1"/>
  <c r="D161" i="5" s="1"/>
  <c r="D157" i="4"/>
  <c r="E157" i="4" s="1"/>
  <c r="G157" i="4" s="1"/>
  <c r="B158" i="4" s="1"/>
  <c r="E172" i="7" l="1"/>
  <c r="G172" i="7" s="1"/>
  <c r="B173" i="7" s="1"/>
  <c r="D173" i="7" s="1"/>
  <c r="E166" i="6"/>
  <c r="G166" i="6" s="1"/>
  <c r="B167" i="6" s="1"/>
  <c r="D167" i="6" s="1"/>
  <c r="E161" i="5"/>
  <c r="G161" i="5" s="1"/>
  <c r="B162" i="5" s="1"/>
  <c r="D162" i="5" s="1"/>
  <c r="D158" i="4"/>
  <c r="E158" i="4" s="1"/>
  <c r="G158" i="4" s="1"/>
  <c r="B159" i="4" s="1"/>
  <c r="E173" i="7" l="1"/>
  <c r="G173" i="7" s="1"/>
  <c r="B174" i="7" s="1"/>
  <c r="D174" i="7" s="1"/>
  <c r="E167" i="6"/>
  <c r="G167" i="6" s="1"/>
  <c r="B168" i="6" s="1"/>
  <c r="D168" i="6" s="1"/>
  <c r="E162" i="5"/>
  <c r="G162" i="5" s="1"/>
  <c r="B163" i="5" s="1"/>
  <c r="D163" i="5" s="1"/>
  <c r="D159" i="4"/>
  <c r="E159" i="4" s="1"/>
  <c r="G159" i="4" s="1"/>
  <c r="B160" i="4" s="1"/>
  <c r="E174" i="7" l="1"/>
  <c r="G174" i="7" s="1"/>
  <c r="B175" i="7" s="1"/>
  <c r="D175" i="7" s="1"/>
  <c r="E168" i="6"/>
  <c r="G168" i="6" s="1"/>
  <c r="B169" i="6" s="1"/>
  <c r="D169" i="6" s="1"/>
  <c r="E163" i="5"/>
  <c r="G163" i="5" s="1"/>
  <c r="B164" i="5" s="1"/>
  <c r="D164" i="5" s="1"/>
  <c r="D160" i="4"/>
  <c r="E160" i="4" s="1"/>
  <c r="G160" i="4" s="1"/>
  <c r="B161" i="4" s="1"/>
  <c r="E175" i="7" l="1"/>
  <c r="G175" i="7" s="1"/>
  <c r="B176" i="7" s="1"/>
  <c r="D176" i="7" s="1"/>
  <c r="E169" i="6"/>
  <c r="G169" i="6" s="1"/>
  <c r="B170" i="6" s="1"/>
  <c r="D170" i="6" s="1"/>
  <c r="E164" i="5"/>
  <c r="G164" i="5" s="1"/>
  <c r="B165" i="5" s="1"/>
  <c r="D165" i="5" s="1"/>
  <c r="D161" i="4"/>
  <c r="E161" i="4" s="1"/>
  <c r="G161" i="4" s="1"/>
  <c r="B162" i="4" s="1"/>
  <c r="E176" i="7" l="1"/>
  <c r="G176" i="7" s="1"/>
  <c r="B177" i="7" s="1"/>
  <c r="D177" i="7" s="1"/>
  <c r="E170" i="6"/>
  <c r="G170" i="6" s="1"/>
  <c r="B171" i="6" s="1"/>
  <c r="D171" i="6" s="1"/>
  <c r="E165" i="5"/>
  <c r="G165" i="5" s="1"/>
  <c r="B166" i="5" s="1"/>
  <c r="D166" i="5" s="1"/>
  <c r="D162" i="4"/>
  <c r="E162" i="4" s="1"/>
  <c r="G162" i="4" s="1"/>
  <c r="B163" i="4" s="1"/>
  <c r="E177" i="7" l="1"/>
  <c r="G177" i="7" s="1"/>
  <c r="B178" i="7" s="1"/>
  <c r="D178" i="7" s="1"/>
  <c r="E171" i="6"/>
  <c r="G171" i="6" s="1"/>
  <c r="B172" i="6" s="1"/>
  <c r="D172" i="6" s="1"/>
  <c r="E166" i="5"/>
  <c r="G166" i="5" s="1"/>
  <c r="B167" i="5" s="1"/>
  <c r="D167" i="5" s="1"/>
  <c r="D163" i="4"/>
  <c r="E163" i="4" s="1"/>
  <c r="G163" i="4" s="1"/>
  <c r="B164" i="4" s="1"/>
  <c r="E178" i="7" l="1"/>
  <c r="G178" i="7" s="1"/>
  <c r="B179" i="7" s="1"/>
  <c r="D179" i="7" s="1"/>
  <c r="E172" i="6"/>
  <c r="G172" i="6" s="1"/>
  <c r="B173" i="6" s="1"/>
  <c r="D173" i="6" s="1"/>
  <c r="E167" i="5"/>
  <c r="G167" i="5" s="1"/>
  <c r="B168" i="5" s="1"/>
  <c r="D168" i="5" s="1"/>
  <c r="D164" i="4"/>
  <c r="E164" i="4" s="1"/>
  <c r="G164" i="4" s="1"/>
  <c r="B165" i="4" s="1"/>
  <c r="E179" i="7" l="1"/>
  <c r="G179" i="7" s="1"/>
  <c r="B180" i="7" s="1"/>
  <c r="D180" i="7" s="1"/>
  <c r="E173" i="6"/>
  <c r="G173" i="6" s="1"/>
  <c r="B174" i="6" s="1"/>
  <c r="D174" i="6" s="1"/>
  <c r="E168" i="5"/>
  <c r="G168" i="5" s="1"/>
  <c r="B169" i="5" s="1"/>
  <c r="D169" i="5" s="1"/>
  <c r="D165" i="4"/>
  <c r="E165" i="4" s="1"/>
  <c r="G165" i="4" s="1"/>
  <c r="B166" i="4" s="1"/>
  <c r="E180" i="7" l="1"/>
  <c r="G180" i="7" s="1"/>
  <c r="B181" i="7" s="1"/>
  <c r="D181" i="7" s="1"/>
  <c r="E174" i="6"/>
  <c r="G174" i="6" s="1"/>
  <c r="B175" i="6" s="1"/>
  <c r="D175" i="6" s="1"/>
  <c r="E169" i="5"/>
  <c r="G169" i="5" s="1"/>
  <c r="B170" i="5" s="1"/>
  <c r="D170" i="5" s="1"/>
  <c r="D166" i="4"/>
  <c r="E166" i="4" s="1"/>
  <c r="G166" i="4" s="1"/>
  <c r="B167" i="4" s="1"/>
  <c r="E181" i="7" l="1"/>
  <c r="G181" i="7" s="1"/>
  <c r="B182" i="7" s="1"/>
  <c r="D182" i="7" s="1"/>
  <c r="E175" i="6"/>
  <c r="G175" i="6" s="1"/>
  <c r="B176" i="6" s="1"/>
  <c r="D176" i="6" s="1"/>
  <c r="E170" i="5"/>
  <c r="G170" i="5" s="1"/>
  <c r="B171" i="5" s="1"/>
  <c r="D171" i="5" s="1"/>
  <c r="D167" i="4"/>
  <c r="E167" i="4" s="1"/>
  <c r="G167" i="4" s="1"/>
  <c r="B168" i="4" s="1"/>
  <c r="E182" i="7" l="1"/>
  <c r="G182" i="7" s="1"/>
  <c r="B183" i="7" s="1"/>
  <c r="D183" i="7" s="1"/>
  <c r="E176" i="6"/>
  <c r="G176" i="6" s="1"/>
  <c r="B177" i="6" s="1"/>
  <c r="D177" i="6" s="1"/>
  <c r="E171" i="5"/>
  <c r="G171" i="5" s="1"/>
  <c r="B172" i="5" s="1"/>
  <c r="D172" i="5" s="1"/>
  <c r="D168" i="4"/>
  <c r="E168" i="4" s="1"/>
  <c r="G168" i="4" s="1"/>
  <c r="B169" i="4" s="1"/>
  <c r="E183" i="7" l="1"/>
  <c r="G183" i="7" s="1"/>
  <c r="B184" i="7" s="1"/>
  <c r="D184" i="7" s="1"/>
  <c r="E177" i="6"/>
  <c r="G177" i="6" s="1"/>
  <c r="B178" i="6" s="1"/>
  <c r="D178" i="6" s="1"/>
  <c r="E172" i="5"/>
  <c r="G172" i="5" s="1"/>
  <c r="B173" i="5" s="1"/>
  <c r="D173" i="5" s="1"/>
  <c r="D169" i="4"/>
  <c r="E169" i="4" s="1"/>
  <c r="G169" i="4" s="1"/>
  <c r="B170" i="4" s="1"/>
  <c r="E184" i="7" l="1"/>
  <c r="G184" i="7" s="1"/>
  <c r="B185" i="7" s="1"/>
  <c r="D185" i="7" s="1"/>
  <c r="E178" i="6"/>
  <c r="G178" i="6" s="1"/>
  <c r="B179" i="6" s="1"/>
  <c r="D179" i="6" s="1"/>
  <c r="E173" i="5"/>
  <c r="G173" i="5" s="1"/>
  <c r="B174" i="5" s="1"/>
  <c r="D174" i="5" s="1"/>
  <c r="D170" i="4"/>
  <c r="E170" i="4" s="1"/>
  <c r="G170" i="4" s="1"/>
  <c r="B171" i="4" s="1"/>
  <c r="E185" i="7" l="1"/>
  <c r="G185" i="7" s="1"/>
  <c r="B186" i="7" s="1"/>
  <c r="D186" i="7" s="1"/>
  <c r="E179" i="6"/>
  <c r="G179" i="6" s="1"/>
  <c r="B180" i="6" s="1"/>
  <c r="D180" i="6" s="1"/>
  <c r="E174" i="5"/>
  <c r="G174" i="5" s="1"/>
  <c r="B175" i="5" s="1"/>
  <c r="D175" i="5" s="1"/>
  <c r="D171" i="4"/>
  <c r="E171" i="4" s="1"/>
  <c r="G171" i="4" s="1"/>
  <c r="B172" i="4" s="1"/>
  <c r="E186" i="7" l="1"/>
  <c r="G186" i="7" s="1"/>
  <c r="B187" i="7" s="1"/>
  <c r="D187" i="7" s="1"/>
  <c r="E180" i="6"/>
  <c r="G180" i="6" s="1"/>
  <c r="B181" i="6" s="1"/>
  <c r="D181" i="6" s="1"/>
  <c r="E175" i="5"/>
  <c r="G175" i="5" s="1"/>
  <c r="B176" i="5" s="1"/>
  <c r="D176" i="5" s="1"/>
  <c r="D172" i="4"/>
  <c r="E172" i="4" s="1"/>
  <c r="G172" i="4" s="1"/>
  <c r="B173" i="4" s="1"/>
  <c r="E187" i="7" l="1"/>
  <c r="G187" i="7" s="1"/>
  <c r="B188" i="7" s="1"/>
  <c r="D188" i="7" s="1"/>
  <c r="E181" i="6"/>
  <c r="G181" i="6" s="1"/>
  <c r="B182" i="6" s="1"/>
  <c r="D182" i="6" s="1"/>
  <c r="E176" i="5"/>
  <c r="G176" i="5" s="1"/>
  <c r="B177" i="5" s="1"/>
  <c r="D177" i="5" s="1"/>
  <c r="D173" i="4"/>
  <c r="E173" i="4" s="1"/>
  <c r="G173" i="4" s="1"/>
  <c r="B174" i="4" s="1"/>
  <c r="E188" i="7" l="1"/>
  <c r="G188" i="7" s="1"/>
  <c r="B189" i="7" s="1"/>
  <c r="D189" i="7" s="1"/>
  <c r="E182" i="6"/>
  <c r="G182" i="6" s="1"/>
  <c r="B183" i="6" s="1"/>
  <c r="D183" i="6" s="1"/>
  <c r="E177" i="5"/>
  <c r="G177" i="5" s="1"/>
  <c r="B178" i="5" s="1"/>
  <c r="D178" i="5" s="1"/>
  <c r="D174" i="4"/>
  <c r="E174" i="4" s="1"/>
  <c r="G174" i="4" s="1"/>
  <c r="B175" i="4" s="1"/>
  <c r="E189" i="7" l="1"/>
  <c r="G189" i="7" s="1"/>
  <c r="B190" i="7" s="1"/>
  <c r="D190" i="7" s="1"/>
  <c r="E183" i="6"/>
  <c r="G183" i="6" s="1"/>
  <c r="B184" i="6" s="1"/>
  <c r="D184" i="6" s="1"/>
  <c r="E178" i="5"/>
  <c r="G178" i="5" s="1"/>
  <c r="B179" i="5" s="1"/>
  <c r="D179" i="5" s="1"/>
  <c r="D175" i="4"/>
  <c r="E175" i="4" s="1"/>
  <c r="G175" i="4" s="1"/>
  <c r="B176" i="4" s="1"/>
  <c r="E190" i="7" l="1"/>
  <c r="G190" i="7" s="1"/>
  <c r="B191" i="7" s="1"/>
  <c r="D191" i="7" s="1"/>
  <c r="E184" i="6"/>
  <c r="G184" i="6" s="1"/>
  <c r="B185" i="6" s="1"/>
  <c r="D185" i="6" s="1"/>
  <c r="E179" i="5"/>
  <c r="G179" i="5" s="1"/>
  <c r="B180" i="5" s="1"/>
  <c r="D180" i="5" s="1"/>
  <c r="D176" i="4"/>
  <c r="E176" i="4" s="1"/>
  <c r="G176" i="4" s="1"/>
  <c r="B177" i="4" s="1"/>
  <c r="E191" i="7" l="1"/>
  <c r="G191" i="7" s="1"/>
  <c r="B192" i="7" s="1"/>
  <c r="D192" i="7" s="1"/>
  <c r="E185" i="6"/>
  <c r="G185" i="6" s="1"/>
  <c r="B186" i="6" s="1"/>
  <c r="D186" i="6" s="1"/>
  <c r="E180" i="5"/>
  <c r="G180" i="5" s="1"/>
  <c r="B181" i="5" s="1"/>
  <c r="D181" i="5" s="1"/>
  <c r="D177" i="4"/>
  <c r="E177" i="4" s="1"/>
  <c r="G177" i="4" s="1"/>
  <c r="B178" i="4" s="1"/>
  <c r="E192" i="7" l="1"/>
  <c r="G192" i="7" s="1"/>
  <c r="B193" i="7" s="1"/>
  <c r="D193" i="7" s="1"/>
  <c r="E186" i="6"/>
  <c r="G186" i="6" s="1"/>
  <c r="B187" i="6" s="1"/>
  <c r="D187" i="6" s="1"/>
  <c r="E181" i="5"/>
  <c r="G181" i="5" s="1"/>
  <c r="B182" i="5" s="1"/>
  <c r="D182" i="5" s="1"/>
  <c r="D178" i="4"/>
  <c r="E178" i="4" s="1"/>
  <c r="G178" i="4" s="1"/>
  <c r="B179" i="4" s="1"/>
  <c r="E193" i="7" l="1"/>
  <c r="G193" i="7" s="1"/>
  <c r="B194" i="7" s="1"/>
  <c r="D194" i="7" s="1"/>
  <c r="E187" i="6"/>
  <c r="G187" i="6" s="1"/>
  <c r="B188" i="6" s="1"/>
  <c r="D188" i="6" s="1"/>
  <c r="E182" i="5"/>
  <c r="G182" i="5" s="1"/>
  <c r="B183" i="5" s="1"/>
  <c r="D183" i="5" s="1"/>
  <c r="D179" i="4"/>
  <c r="E179" i="4" s="1"/>
  <c r="G179" i="4" s="1"/>
  <c r="B180" i="4" s="1"/>
  <c r="E194" i="7" l="1"/>
  <c r="G194" i="7" s="1"/>
  <c r="B195" i="7" s="1"/>
  <c r="D195" i="7" s="1"/>
  <c r="E188" i="6"/>
  <c r="G188" i="6" s="1"/>
  <c r="B189" i="6" s="1"/>
  <c r="D189" i="6" s="1"/>
  <c r="E183" i="5"/>
  <c r="G183" i="5" s="1"/>
  <c r="B184" i="5" s="1"/>
  <c r="D184" i="5" s="1"/>
  <c r="D180" i="4"/>
  <c r="E180" i="4" s="1"/>
  <c r="G180" i="4" s="1"/>
  <c r="B181" i="4" s="1"/>
  <c r="E195" i="7" l="1"/>
  <c r="G195" i="7" s="1"/>
  <c r="B196" i="7" s="1"/>
  <c r="D196" i="7" s="1"/>
  <c r="E189" i="6"/>
  <c r="G189" i="6" s="1"/>
  <c r="B190" i="6" s="1"/>
  <c r="D190" i="6" s="1"/>
  <c r="E184" i="5"/>
  <c r="G184" i="5" s="1"/>
  <c r="B185" i="5" s="1"/>
  <c r="D185" i="5" s="1"/>
  <c r="D181" i="4"/>
  <c r="E181" i="4" s="1"/>
  <c r="G181" i="4" s="1"/>
  <c r="B182" i="4" s="1"/>
  <c r="E196" i="7" l="1"/>
  <c r="G196" i="7" s="1"/>
  <c r="B197" i="7" s="1"/>
  <c r="D197" i="7" s="1"/>
  <c r="E190" i="6"/>
  <c r="G190" i="6" s="1"/>
  <c r="B191" i="6" s="1"/>
  <c r="D191" i="6" s="1"/>
  <c r="E185" i="5"/>
  <c r="G185" i="5" s="1"/>
  <c r="B186" i="5" s="1"/>
  <c r="D186" i="5" s="1"/>
  <c r="D182" i="4"/>
  <c r="E182" i="4" s="1"/>
  <c r="G182" i="4" s="1"/>
  <c r="B183" i="4" s="1"/>
  <c r="E197" i="7" l="1"/>
  <c r="G197" i="7" s="1"/>
  <c r="B198" i="7" s="1"/>
  <c r="D198" i="7" s="1"/>
  <c r="E191" i="6"/>
  <c r="G191" i="6" s="1"/>
  <c r="B192" i="6" s="1"/>
  <c r="D192" i="6" s="1"/>
  <c r="E186" i="5"/>
  <c r="G186" i="5" s="1"/>
  <c r="B187" i="5" s="1"/>
  <c r="D187" i="5" s="1"/>
  <c r="D183" i="4"/>
  <c r="E183" i="4" s="1"/>
  <c r="G183" i="4" s="1"/>
  <c r="B184" i="4" s="1"/>
  <c r="E198" i="7" l="1"/>
  <c r="G198" i="7" s="1"/>
  <c r="B199" i="7" s="1"/>
  <c r="D199" i="7" s="1"/>
  <c r="E192" i="6"/>
  <c r="G192" i="6" s="1"/>
  <c r="B193" i="6" s="1"/>
  <c r="D193" i="6" s="1"/>
  <c r="E187" i="5"/>
  <c r="G187" i="5" s="1"/>
  <c r="B188" i="5" s="1"/>
  <c r="D188" i="5" s="1"/>
  <c r="D184" i="4"/>
  <c r="E184" i="4" s="1"/>
  <c r="G184" i="4" s="1"/>
  <c r="B185" i="4" s="1"/>
  <c r="E199" i="7" l="1"/>
  <c r="G199" i="7" s="1"/>
  <c r="B200" i="7" s="1"/>
  <c r="D200" i="7" s="1"/>
  <c r="E193" i="6"/>
  <c r="G193" i="6" s="1"/>
  <c r="B194" i="6" s="1"/>
  <c r="D194" i="6" s="1"/>
  <c r="E188" i="5"/>
  <c r="G188" i="5" s="1"/>
  <c r="B189" i="5" s="1"/>
  <c r="D189" i="5" s="1"/>
  <c r="D185" i="4"/>
  <c r="E185" i="4" s="1"/>
  <c r="G185" i="4" s="1"/>
  <c r="B186" i="4" s="1"/>
  <c r="E200" i="7" l="1"/>
  <c r="G200" i="7" s="1"/>
  <c r="B201" i="7" s="1"/>
  <c r="D201" i="7" s="1"/>
  <c r="E194" i="6"/>
  <c r="G194" i="6" s="1"/>
  <c r="B195" i="6" s="1"/>
  <c r="D195" i="6" s="1"/>
  <c r="E189" i="5"/>
  <c r="G189" i="5" s="1"/>
  <c r="B190" i="5" s="1"/>
  <c r="D190" i="5" s="1"/>
  <c r="D186" i="4"/>
  <c r="E186" i="4" s="1"/>
  <c r="G186" i="4" s="1"/>
  <c r="B187" i="4" s="1"/>
  <c r="E201" i="7" l="1"/>
  <c r="G201" i="7" s="1"/>
  <c r="B202" i="7" s="1"/>
  <c r="D202" i="7" s="1"/>
  <c r="E195" i="6"/>
  <c r="G195" i="6" s="1"/>
  <c r="B196" i="6" s="1"/>
  <c r="D196" i="6" s="1"/>
  <c r="E190" i="5"/>
  <c r="G190" i="5" s="1"/>
  <c r="B191" i="5" s="1"/>
  <c r="D191" i="5" s="1"/>
  <c r="D187" i="4"/>
  <c r="E187" i="4" s="1"/>
  <c r="G187" i="4" s="1"/>
  <c r="B188" i="4" s="1"/>
  <c r="E202" i="7" l="1"/>
  <c r="G202" i="7" s="1"/>
  <c r="B203" i="7" s="1"/>
  <c r="D203" i="7" s="1"/>
  <c r="E196" i="6"/>
  <c r="G196" i="6" s="1"/>
  <c r="B197" i="6" s="1"/>
  <c r="D197" i="6" s="1"/>
  <c r="E191" i="5"/>
  <c r="G191" i="5" s="1"/>
  <c r="B192" i="5" s="1"/>
  <c r="D192" i="5" s="1"/>
  <c r="D188" i="4"/>
  <c r="E188" i="4" s="1"/>
  <c r="G188" i="4" s="1"/>
  <c r="B189" i="4" s="1"/>
  <c r="E203" i="7" l="1"/>
  <c r="G203" i="7" s="1"/>
  <c r="B204" i="7" s="1"/>
  <c r="D204" i="7" s="1"/>
  <c r="E197" i="6"/>
  <c r="G197" i="6" s="1"/>
  <c r="B198" i="6" s="1"/>
  <c r="D198" i="6" s="1"/>
  <c r="E192" i="5"/>
  <c r="G192" i="5" s="1"/>
  <c r="B193" i="5" s="1"/>
  <c r="D193" i="5" s="1"/>
  <c r="D189" i="4"/>
  <c r="E189" i="4" s="1"/>
  <c r="G189" i="4" s="1"/>
  <c r="B190" i="4" s="1"/>
  <c r="E204" i="7" l="1"/>
  <c r="G204" i="7" s="1"/>
  <c r="B205" i="7" s="1"/>
  <c r="D205" i="7" s="1"/>
  <c r="E198" i="6"/>
  <c r="G198" i="6" s="1"/>
  <c r="B199" i="6" s="1"/>
  <c r="D199" i="6" s="1"/>
  <c r="E193" i="5"/>
  <c r="G193" i="5" s="1"/>
  <c r="B194" i="5" s="1"/>
  <c r="D194" i="5" s="1"/>
  <c r="E190" i="4"/>
  <c r="G190" i="4" s="1"/>
  <c r="B191" i="4" s="1"/>
  <c r="D190" i="4"/>
  <c r="E205" i="7" l="1"/>
  <c r="G205" i="7" s="1"/>
  <c r="B206" i="7" s="1"/>
  <c r="D206" i="7" s="1"/>
  <c r="E199" i="6"/>
  <c r="G199" i="6" s="1"/>
  <c r="B200" i="6" s="1"/>
  <c r="D200" i="6" s="1"/>
  <c r="E194" i="5"/>
  <c r="G194" i="5" s="1"/>
  <c r="B195" i="5" s="1"/>
  <c r="D195" i="5" s="1"/>
  <c r="E191" i="4"/>
  <c r="G191" i="4" s="1"/>
  <c r="B192" i="4" s="1"/>
  <c r="D191" i="4"/>
  <c r="E206" i="7" l="1"/>
  <c r="G206" i="7" s="1"/>
  <c r="B207" i="7" s="1"/>
  <c r="D207" i="7" s="1"/>
  <c r="E200" i="6"/>
  <c r="G200" i="6" s="1"/>
  <c r="B201" i="6" s="1"/>
  <c r="D201" i="6" s="1"/>
  <c r="E195" i="5"/>
  <c r="G195" i="5" s="1"/>
  <c r="B196" i="5" s="1"/>
  <c r="D196" i="5" s="1"/>
  <c r="E192" i="4"/>
  <c r="G192" i="4" s="1"/>
  <c r="B193" i="4" s="1"/>
  <c r="D192" i="4"/>
  <c r="E207" i="7" l="1"/>
  <c r="G207" i="7" s="1"/>
  <c r="B208" i="7" s="1"/>
  <c r="D208" i="7" s="1"/>
  <c r="E201" i="6"/>
  <c r="G201" i="6" s="1"/>
  <c r="B202" i="6" s="1"/>
  <c r="D202" i="6" s="1"/>
  <c r="E196" i="5"/>
  <c r="G196" i="5" s="1"/>
  <c r="B197" i="5" s="1"/>
  <c r="D197" i="5" s="1"/>
  <c r="E193" i="4"/>
  <c r="G193" i="4" s="1"/>
  <c r="B194" i="4" s="1"/>
  <c r="D193" i="4"/>
  <c r="E208" i="7" l="1"/>
  <c r="G208" i="7" s="1"/>
  <c r="B209" i="7" s="1"/>
  <c r="D209" i="7" s="1"/>
  <c r="E202" i="6"/>
  <c r="G202" i="6" s="1"/>
  <c r="B203" i="6" s="1"/>
  <c r="D203" i="6" s="1"/>
  <c r="E197" i="5"/>
  <c r="G197" i="5" s="1"/>
  <c r="B198" i="5" s="1"/>
  <c r="D198" i="5" s="1"/>
  <c r="E194" i="4"/>
  <c r="G194" i="4" s="1"/>
  <c r="B195" i="4" s="1"/>
  <c r="D194" i="4"/>
  <c r="E209" i="7" l="1"/>
  <c r="G209" i="7" s="1"/>
  <c r="B210" i="7" s="1"/>
  <c r="D210" i="7" s="1"/>
  <c r="E203" i="6"/>
  <c r="G203" i="6" s="1"/>
  <c r="B204" i="6" s="1"/>
  <c r="D204" i="6" s="1"/>
  <c r="E198" i="5"/>
  <c r="G198" i="5" s="1"/>
  <c r="B199" i="5" s="1"/>
  <c r="D199" i="5" s="1"/>
  <c r="D195" i="4"/>
  <c r="E195" i="4" s="1"/>
  <c r="G195" i="4" s="1"/>
  <c r="B196" i="4" s="1"/>
  <c r="E210" i="7" l="1"/>
  <c r="G210" i="7" s="1"/>
  <c r="B211" i="7" s="1"/>
  <c r="D211" i="7" s="1"/>
  <c r="E204" i="6"/>
  <c r="G204" i="6" s="1"/>
  <c r="B205" i="6" s="1"/>
  <c r="D205" i="6" s="1"/>
  <c r="E199" i="5"/>
  <c r="G199" i="5" s="1"/>
  <c r="B200" i="5" s="1"/>
  <c r="D200" i="5" s="1"/>
  <c r="D196" i="4"/>
  <c r="E196" i="4" s="1"/>
  <c r="G196" i="4" s="1"/>
  <c r="B197" i="4" s="1"/>
  <c r="E211" i="7" l="1"/>
  <c r="G211" i="7" s="1"/>
  <c r="B212" i="7" s="1"/>
  <c r="D212" i="7" s="1"/>
  <c r="E205" i="6"/>
  <c r="G205" i="6" s="1"/>
  <c r="B206" i="6" s="1"/>
  <c r="D206" i="6" s="1"/>
  <c r="E200" i="5"/>
  <c r="G200" i="5" s="1"/>
  <c r="B201" i="5" s="1"/>
  <c r="D201" i="5" s="1"/>
  <c r="D197" i="4"/>
  <c r="E197" i="4" s="1"/>
  <c r="G197" i="4" s="1"/>
  <c r="B198" i="4" s="1"/>
  <c r="E212" i="7" l="1"/>
  <c r="G212" i="7" s="1"/>
  <c r="B213" i="7" s="1"/>
  <c r="D213" i="7" s="1"/>
  <c r="E206" i="6"/>
  <c r="G206" i="6" s="1"/>
  <c r="B207" i="6" s="1"/>
  <c r="D207" i="6" s="1"/>
  <c r="E201" i="5"/>
  <c r="G201" i="5" s="1"/>
  <c r="B202" i="5" s="1"/>
  <c r="D202" i="5" s="1"/>
  <c r="D198" i="4"/>
  <c r="E198" i="4" s="1"/>
  <c r="G198" i="4" s="1"/>
  <c r="B199" i="4" s="1"/>
  <c r="E213" i="7" l="1"/>
  <c r="G213" i="7" s="1"/>
  <c r="B214" i="7" s="1"/>
  <c r="D214" i="7" s="1"/>
  <c r="E207" i="6"/>
  <c r="G207" i="6" s="1"/>
  <c r="B208" i="6" s="1"/>
  <c r="D208" i="6" s="1"/>
  <c r="E202" i="5"/>
  <c r="G202" i="5" s="1"/>
  <c r="B203" i="5" s="1"/>
  <c r="D203" i="5" s="1"/>
  <c r="D199" i="4"/>
  <c r="E199" i="4" s="1"/>
  <c r="G199" i="4" s="1"/>
  <c r="B200" i="4" s="1"/>
  <c r="E214" i="7" l="1"/>
  <c r="G214" i="7" s="1"/>
  <c r="B215" i="7" s="1"/>
  <c r="D215" i="7" s="1"/>
  <c r="E208" i="6"/>
  <c r="G208" i="6" s="1"/>
  <c r="B209" i="6" s="1"/>
  <c r="D209" i="6" s="1"/>
  <c r="E203" i="5"/>
  <c r="G203" i="5" s="1"/>
  <c r="B204" i="5" s="1"/>
  <c r="D204" i="5" s="1"/>
  <c r="D200" i="4"/>
  <c r="E200" i="4" s="1"/>
  <c r="G200" i="4" s="1"/>
  <c r="B201" i="4" s="1"/>
  <c r="E215" i="7" l="1"/>
  <c r="G215" i="7" s="1"/>
  <c r="B216" i="7" s="1"/>
  <c r="D216" i="7" s="1"/>
  <c r="E209" i="6"/>
  <c r="G209" i="6" s="1"/>
  <c r="B210" i="6" s="1"/>
  <c r="D210" i="6" s="1"/>
  <c r="E204" i="5"/>
  <c r="G204" i="5" s="1"/>
  <c r="B205" i="5" s="1"/>
  <c r="D205" i="5" s="1"/>
  <c r="D201" i="4"/>
  <c r="E201" i="4" s="1"/>
  <c r="G201" i="4" s="1"/>
  <c r="B202" i="4" s="1"/>
  <c r="E216" i="7" l="1"/>
  <c r="G216" i="7" s="1"/>
  <c r="B217" i="7" s="1"/>
  <c r="D217" i="7" s="1"/>
  <c r="E210" i="6"/>
  <c r="G210" i="6" s="1"/>
  <c r="B211" i="6" s="1"/>
  <c r="D211" i="6" s="1"/>
  <c r="E205" i="5"/>
  <c r="G205" i="5" s="1"/>
  <c r="B206" i="5" s="1"/>
  <c r="D206" i="5" s="1"/>
  <c r="D202" i="4"/>
  <c r="E202" i="4" s="1"/>
  <c r="G202" i="4" s="1"/>
  <c r="B203" i="4" s="1"/>
  <c r="E217" i="7" l="1"/>
  <c r="G217" i="7" s="1"/>
  <c r="B218" i="7" s="1"/>
  <c r="D218" i="7" s="1"/>
  <c r="E211" i="6"/>
  <c r="G211" i="6" s="1"/>
  <c r="B212" i="6" s="1"/>
  <c r="D212" i="6" s="1"/>
  <c r="E206" i="5"/>
  <c r="G206" i="5" s="1"/>
  <c r="B207" i="5" s="1"/>
  <c r="D207" i="5" s="1"/>
  <c r="D203" i="4"/>
  <c r="E203" i="4" s="1"/>
  <c r="G203" i="4" s="1"/>
  <c r="B204" i="4" s="1"/>
  <c r="E218" i="7" l="1"/>
  <c r="G218" i="7" s="1"/>
  <c r="B219" i="7" s="1"/>
  <c r="D219" i="7" s="1"/>
  <c r="E212" i="6"/>
  <c r="G212" i="6" s="1"/>
  <c r="B213" i="6" s="1"/>
  <c r="D213" i="6" s="1"/>
  <c r="E207" i="5"/>
  <c r="G207" i="5" s="1"/>
  <c r="B208" i="5" s="1"/>
  <c r="D208" i="5" s="1"/>
  <c r="D204" i="4"/>
  <c r="E204" i="4" s="1"/>
  <c r="G204" i="4" s="1"/>
  <c r="B205" i="4" s="1"/>
  <c r="E219" i="7" l="1"/>
  <c r="G219" i="7" s="1"/>
  <c r="B220" i="7" s="1"/>
  <c r="D220" i="7" s="1"/>
  <c r="E213" i="6"/>
  <c r="G213" i="6" s="1"/>
  <c r="B214" i="6" s="1"/>
  <c r="D214" i="6" s="1"/>
  <c r="E208" i="5"/>
  <c r="G208" i="5" s="1"/>
  <c r="B209" i="5" s="1"/>
  <c r="D209" i="5" s="1"/>
  <c r="D205" i="4"/>
  <c r="E205" i="4" s="1"/>
  <c r="G205" i="4" s="1"/>
  <c r="B206" i="4" s="1"/>
  <c r="E220" i="7" l="1"/>
  <c r="G220" i="7" s="1"/>
  <c r="B221" i="7" s="1"/>
  <c r="D221" i="7" s="1"/>
  <c r="E214" i="6"/>
  <c r="G214" i="6" s="1"/>
  <c r="B215" i="6" s="1"/>
  <c r="D215" i="6" s="1"/>
  <c r="E209" i="5"/>
  <c r="G209" i="5" s="1"/>
  <c r="B210" i="5" s="1"/>
  <c r="D210" i="5" s="1"/>
  <c r="D206" i="4"/>
  <c r="E206" i="4" s="1"/>
  <c r="G206" i="4" s="1"/>
  <c r="B207" i="4" s="1"/>
  <c r="E221" i="7" l="1"/>
  <c r="G221" i="7" s="1"/>
  <c r="B222" i="7" s="1"/>
  <c r="D222" i="7" s="1"/>
  <c r="E215" i="6"/>
  <c r="G215" i="6" s="1"/>
  <c r="B216" i="6" s="1"/>
  <c r="D216" i="6" s="1"/>
  <c r="E210" i="5"/>
  <c r="G210" i="5" s="1"/>
  <c r="B211" i="5" s="1"/>
  <c r="D211" i="5" s="1"/>
  <c r="D207" i="4"/>
  <c r="E207" i="4" s="1"/>
  <c r="G207" i="4" s="1"/>
  <c r="B208" i="4" s="1"/>
  <c r="E222" i="7" l="1"/>
  <c r="G222" i="7" s="1"/>
  <c r="B223" i="7" s="1"/>
  <c r="D223" i="7" s="1"/>
  <c r="E216" i="6"/>
  <c r="G216" i="6" s="1"/>
  <c r="B217" i="6" s="1"/>
  <c r="D217" i="6" s="1"/>
  <c r="E211" i="5"/>
  <c r="G211" i="5" s="1"/>
  <c r="B212" i="5" s="1"/>
  <c r="D212" i="5" s="1"/>
  <c r="D208" i="4"/>
  <c r="E208" i="4" s="1"/>
  <c r="G208" i="4" s="1"/>
  <c r="B209" i="4" s="1"/>
  <c r="E223" i="7" l="1"/>
  <c r="G223" i="7" s="1"/>
  <c r="B224" i="7" s="1"/>
  <c r="D224" i="7" s="1"/>
  <c r="E217" i="6"/>
  <c r="G217" i="6" s="1"/>
  <c r="B218" i="6" s="1"/>
  <c r="D218" i="6" s="1"/>
  <c r="E212" i="5"/>
  <c r="G212" i="5" s="1"/>
  <c r="B213" i="5" s="1"/>
  <c r="D213" i="5" s="1"/>
  <c r="D209" i="4"/>
  <c r="E209" i="4" s="1"/>
  <c r="G209" i="4" s="1"/>
  <c r="B210" i="4" s="1"/>
  <c r="E224" i="7" l="1"/>
  <c r="G224" i="7" s="1"/>
  <c r="B225" i="7" s="1"/>
  <c r="D225" i="7" s="1"/>
  <c r="E218" i="6"/>
  <c r="G218" i="6" s="1"/>
  <c r="B219" i="6" s="1"/>
  <c r="D219" i="6" s="1"/>
  <c r="E213" i="5"/>
  <c r="G213" i="5" s="1"/>
  <c r="B214" i="5" s="1"/>
  <c r="D214" i="5" s="1"/>
  <c r="D210" i="4"/>
  <c r="E210" i="4" s="1"/>
  <c r="G210" i="4" s="1"/>
  <c r="B211" i="4" s="1"/>
  <c r="E225" i="7" l="1"/>
  <c r="G225" i="7" s="1"/>
  <c r="B226" i="7" s="1"/>
  <c r="D226" i="7" s="1"/>
  <c r="E219" i="6"/>
  <c r="G219" i="6" s="1"/>
  <c r="B220" i="6" s="1"/>
  <c r="D220" i="6" s="1"/>
  <c r="E214" i="5"/>
  <c r="G214" i="5" s="1"/>
  <c r="B215" i="5" s="1"/>
  <c r="D215" i="5" s="1"/>
  <c r="D211" i="4"/>
  <c r="E211" i="4" s="1"/>
  <c r="G211" i="4" s="1"/>
  <c r="B212" i="4" s="1"/>
  <c r="E226" i="7" l="1"/>
  <c r="G226" i="7" s="1"/>
  <c r="B227" i="7" s="1"/>
  <c r="D227" i="7" s="1"/>
  <c r="E220" i="6"/>
  <c r="G220" i="6" s="1"/>
  <c r="B221" i="6" s="1"/>
  <c r="D221" i="6" s="1"/>
  <c r="E215" i="5"/>
  <c r="G215" i="5" s="1"/>
  <c r="B216" i="5" s="1"/>
  <c r="D216" i="5" s="1"/>
  <c r="D212" i="4"/>
  <c r="E212" i="4" s="1"/>
  <c r="G212" i="4" s="1"/>
  <c r="B213" i="4" s="1"/>
  <c r="E227" i="7" l="1"/>
  <c r="G227" i="7" s="1"/>
  <c r="B228" i="7" s="1"/>
  <c r="D228" i="7" s="1"/>
  <c r="E221" i="6"/>
  <c r="G221" i="6" s="1"/>
  <c r="B222" i="6" s="1"/>
  <c r="D222" i="6" s="1"/>
  <c r="E216" i="5"/>
  <c r="G216" i="5" s="1"/>
  <c r="B217" i="5" s="1"/>
  <c r="D217" i="5" s="1"/>
  <c r="D213" i="4"/>
  <c r="E213" i="4" s="1"/>
  <c r="G213" i="4" s="1"/>
  <c r="B214" i="4" s="1"/>
  <c r="E228" i="7" l="1"/>
  <c r="G228" i="7" s="1"/>
  <c r="B229" i="7" s="1"/>
  <c r="D229" i="7" s="1"/>
  <c r="E222" i="6"/>
  <c r="G222" i="6" s="1"/>
  <c r="B223" i="6" s="1"/>
  <c r="D223" i="6" s="1"/>
  <c r="E217" i="5"/>
  <c r="G217" i="5" s="1"/>
  <c r="B218" i="5" s="1"/>
  <c r="D218" i="5" s="1"/>
  <c r="D214" i="4"/>
  <c r="E214" i="4" s="1"/>
  <c r="G214" i="4" s="1"/>
  <c r="B215" i="4" s="1"/>
  <c r="E229" i="7" l="1"/>
  <c r="G229" i="7" s="1"/>
  <c r="B230" i="7" s="1"/>
  <c r="D230" i="7" s="1"/>
  <c r="E223" i="6"/>
  <c r="G223" i="6" s="1"/>
  <c r="B224" i="6" s="1"/>
  <c r="D224" i="6" s="1"/>
  <c r="E218" i="5"/>
  <c r="G218" i="5" s="1"/>
  <c r="B219" i="5" s="1"/>
  <c r="D219" i="5" s="1"/>
  <c r="D215" i="4"/>
  <c r="E215" i="4" s="1"/>
  <c r="G215" i="4" s="1"/>
  <c r="B216" i="4" s="1"/>
  <c r="E230" i="7" l="1"/>
  <c r="G230" i="7" s="1"/>
  <c r="B231" i="7" s="1"/>
  <c r="D231" i="7" s="1"/>
  <c r="E224" i="6"/>
  <c r="G224" i="6" s="1"/>
  <c r="B225" i="6" s="1"/>
  <c r="D225" i="6" s="1"/>
  <c r="E219" i="5"/>
  <c r="G219" i="5" s="1"/>
  <c r="B220" i="5" s="1"/>
  <c r="D220" i="5" s="1"/>
  <c r="D216" i="4"/>
  <c r="E216" i="4" s="1"/>
  <c r="G216" i="4" s="1"/>
  <c r="B217" i="4" s="1"/>
  <c r="E231" i="7" l="1"/>
  <c r="G231" i="7" s="1"/>
  <c r="B232" i="7" s="1"/>
  <c r="D232" i="7" s="1"/>
  <c r="E225" i="6"/>
  <c r="G225" i="6" s="1"/>
  <c r="B226" i="6" s="1"/>
  <c r="D226" i="6" s="1"/>
  <c r="E220" i="5"/>
  <c r="G220" i="5" s="1"/>
  <c r="B221" i="5" s="1"/>
  <c r="D221" i="5" s="1"/>
  <c r="D217" i="4"/>
  <c r="E217" i="4" s="1"/>
  <c r="G217" i="4" s="1"/>
  <c r="B218" i="4" s="1"/>
  <c r="E232" i="7" l="1"/>
  <c r="G232" i="7" s="1"/>
  <c r="B233" i="7" s="1"/>
  <c r="D233" i="7" s="1"/>
  <c r="E226" i="6"/>
  <c r="G226" i="6" s="1"/>
  <c r="B227" i="6" s="1"/>
  <c r="D227" i="6" s="1"/>
  <c r="E221" i="5"/>
  <c r="G221" i="5" s="1"/>
  <c r="B222" i="5" s="1"/>
  <c r="D222" i="5" s="1"/>
  <c r="D218" i="4"/>
  <c r="E218" i="4" s="1"/>
  <c r="G218" i="4" s="1"/>
  <c r="B219" i="4" s="1"/>
  <c r="E233" i="7" l="1"/>
  <c r="G233" i="7" s="1"/>
  <c r="B234" i="7" s="1"/>
  <c r="D234" i="7" s="1"/>
  <c r="E227" i="6"/>
  <c r="G227" i="6" s="1"/>
  <c r="B228" i="6" s="1"/>
  <c r="D228" i="6" s="1"/>
  <c r="E222" i="5"/>
  <c r="G222" i="5" s="1"/>
  <c r="B223" i="5" s="1"/>
  <c r="D223" i="5" s="1"/>
  <c r="D219" i="4"/>
  <c r="E219" i="4" s="1"/>
  <c r="G219" i="4" s="1"/>
  <c r="B220" i="4" s="1"/>
  <c r="E234" i="7" l="1"/>
  <c r="G234" i="7" s="1"/>
  <c r="B235" i="7" s="1"/>
  <c r="D235" i="7" s="1"/>
  <c r="E228" i="6"/>
  <c r="G228" i="6" s="1"/>
  <c r="B229" i="6" s="1"/>
  <c r="D229" i="6" s="1"/>
  <c r="E223" i="5"/>
  <c r="G223" i="5" s="1"/>
  <c r="B224" i="5" s="1"/>
  <c r="D224" i="5" s="1"/>
  <c r="D220" i="4"/>
  <c r="E220" i="4" s="1"/>
  <c r="G220" i="4" s="1"/>
  <c r="B221" i="4" s="1"/>
  <c r="E235" i="7" l="1"/>
  <c r="G235" i="7" s="1"/>
  <c r="B236" i="7" s="1"/>
  <c r="D236" i="7" s="1"/>
  <c r="E229" i="6"/>
  <c r="G229" i="6" s="1"/>
  <c r="B230" i="6" s="1"/>
  <c r="D230" i="6" s="1"/>
  <c r="E224" i="5"/>
  <c r="G224" i="5" s="1"/>
  <c r="B225" i="5" s="1"/>
  <c r="D225" i="5" s="1"/>
  <c r="D221" i="4"/>
  <c r="E221" i="4" s="1"/>
  <c r="G221" i="4" s="1"/>
  <c r="B222" i="4" s="1"/>
  <c r="E236" i="7" l="1"/>
  <c r="G236" i="7" s="1"/>
  <c r="B237" i="7" s="1"/>
  <c r="D237" i="7" s="1"/>
  <c r="E230" i="6"/>
  <c r="G230" i="6" s="1"/>
  <c r="B231" i="6" s="1"/>
  <c r="D231" i="6" s="1"/>
  <c r="E225" i="5"/>
  <c r="G225" i="5" s="1"/>
  <c r="B226" i="5" s="1"/>
  <c r="D226" i="5" s="1"/>
  <c r="D222" i="4"/>
  <c r="E222" i="4" s="1"/>
  <c r="G222" i="4" s="1"/>
  <c r="B223" i="4" s="1"/>
  <c r="E237" i="7" l="1"/>
  <c r="G237" i="7" s="1"/>
  <c r="B238" i="7" s="1"/>
  <c r="D238" i="7" s="1"/>
  <c r="E231" i="6"/>
  <c r="G231" i="6" s="1"/>
  <c r="B232" i="6" s="1"/>
  <c r="D232" i="6" s="1"/>
  <c r="E226" i="5"/>
  <c r="G226" i="5" s="1"/>
  <c r="B227" i="5" s="1"/>
  <c r="D227" i="5" s="1"/>
  <c r="D223" i="4"/>
  <c r="E223" i="4" s="1"/>
  <c r="G223" i="4" s="1"/>
  <c r="B224" i="4" s="1"/>
  <c r="E238" i="7" l="1"/>
  <c r="G238" i="7" s="1"/>
  <c r="B239" i="7" s="1"/>
  <c r="D239" i="7" s="1"/>
  <c r="E232" i="6"/>
  <c r="G232" i="6" s="1"/>
  <c r="B233" i="6" s="1"/>
  <c r="D233" i="6" s="1"/>
  <c r="E227" i="5"/>
  <c r="G227" i="5" s="1"/>
  <c r="B228" i="5" s="1"/>
  <c r="D228" i="5" s="1"/>
  <c r="D224" i="4"/>
  <c r="E224" i="4" s="1"/>
  <c r="G224" i="4" s="1"/>
  <c r="B225" i="4" s="1"/>
  <c r="E239" i="7" l="1"/>
  <c r="G239" i="7" s="1"/>
  <c r="B240" i="7" s="1"/>
  <c r="D240" i="7" s="1"/>
  <c r="E233" i="6"/>
  <c r="G233" i="6" s="1"/>
  <c r="B234" i="6" s="1"/>
  <c r="D234" i="6" s="1"/>
  <c r="E228" i="5"/>
  <c r="G228" i="5" s="1"/>
  <c r="B229" i="5" s="1"/>
  <c r="D229" i="5" s="1"/>
  <c r="D225" i="4"/>
  <c r="E225" i="4" s="1"/>
  <c r="G225" i="4" s="1"/>
  <c r="B226" i="4" s="1"/>
  <c r="E240" i="7" l="1"/>
  <c r="G240" i="7" s="1"/>
  <c r="B241" i="7" s="1"/>
  <c r="D241" i="7" s="1"/>
  <c r="E234" i="6"/>
  <c r="G234" i="6" s="1"/>
  <c r="B235" i="6" s="1"/>
  <c r="D235" i="6" s="1"/>
  <c r="D226" i="4"/>
  <c r="E226" i="4" s="1"/>
  <c r="G226" i="4" s="1"/>
  <c r="B227" i="4" s="1"/>
  <c r="E241" i="7" l="1"/>
  <c r="G241" i="7" s="1"/>
  <c r="B242" i="7" s="1"/>
  <c r="D242" i="7" s="1"/>
  <c r="E235" i="6"/>
  <c r="G235" i="6" s="1"/>
  <c r="B236" i="6" s="1"/>
  <c r="D236" i="6" s="1"/>
  <c r="E229" i="5"/>
  <c r="G229" i="5" s="1"/>
  <c r="B230" i="5" s="1"/>
  <c r="D230" i="5" s="1"/>
  <c r="D227" i="4"/>
  <c r="E227" i="4" s="1"/>
  <c r="G227" i="4" s="1"/>
  <c r="B228" i="4" s="1"/>
  <c r="E242" i="7" l="1"/>
  <c r="G242" i="7" s="1"/>
  <c r="B243" i="7" s="1"/>
  <c r="D243" i="7" s="1"/>
  <c r="E236" i="6"/>
  <c r="G236" i="6" s="1"/>
  <c r="B237" i="6" s="1"/>
  <c r="D237" i="6" s="1"/>
  <c r="E230" i="5"/>
  <c r="G230" i="5" s="1"/>
  <c r="B231" i="5" s="1"/>
  <c r="D231" i="5" s="1"/>
  <c r="D228" i="4"/>
  <c r="E228" i="4" s="1"/>
  <c r="G228" i="4" s="1"/>
  <c r="B229" i="4" s="1"/>
  <c r="E243" i="7" l="1"/>
  <c r="G243" i="7" s="1"/>
  <c r="B244" i="7" s="1"/>
  <c r="D244" i="7" s="1"/>
  <c r="E237" i="6"/>
  <c r="G237" i="6" s="1"/>
  <c r="B238" i="6" s="1"/>
  <c r="D238" i="6" s="1"/>
  <c r="E231" i="5"/>
  <c r="G231" i="5" s="1"/>
  <c r="B232" i="5" s="1"/>
  <c r="D232" i="5" s="1"/>
  <c r="D229" i="4"/>
  <c r="E229" i="4" s="1"/>
  <c r="G229" i="4" s="1"/>
  <c r="B230" i="4" s="1"/>
  <c r="E244" i="7" l="1"/>
  <c r="G244" i="7" s="1"/>
  <c r="B245" i="7" s="1"/>
  <c r="D245" i="7" s="1"/>
  <c r="E238" i="6"/>
  <c r="G238" i="6" s="1"/>
  <c r="B239" i="6" s="1"/>
  <c r="D239" i="6" s="1"/>
  <c r="E232" i="5"/>
  <c r="G232" i="5" s="1"/>
  <c r="B233" i="5" s="1"/>
  <c r="D233" i="5" s="1"/>
  <c r="D230" i="4"/>
  <c r="E230" i="4" s="1"/>
  <c r="G230" i="4" s="1"/>
  <c r="B231" i="4" s="1"/>
  <c r="E245" i="7" l="1"/>
  <c r="G245" i="7" s="1"/>
  <c r="B246" i="7" s="1"/>
  <c r="D246" i="7" s="1"/>
  <c r="E239" i="6"/>
  <c r="G239" i="6" s="1"/>
  <c r="B240" i="6" s="1"/>
  <c r="D240" i="6" s="1"/>
  <c r="E233" i="5"/>
  <c r="G233" i="5" s="1"/>
  <c r="B234" i="5" s="1"/>
  <c r="D234" i="5" s="1"/>
  <c r="D231" i="4"/>
  <c r="E231" i="4" s="1"/>
  <c r="G231" i="4" s="1"/>
  <c r="B232" i="4" s="1"/>
  <c r="E246" i="7" l="1"/>
  <c r="G246" i="7" s="1"/>
  <c r="B247" i="7" s="1"/>
  <c r="D247" i="7" s="1"/>
  <c r="E240" i="6"/>
  <c r="G240" i="6" s="1"/>
  <c r="B241" i="6" s="1"/>
  <c r="D241" i="6" s="1"/>
  <c r="E234" i="5"/>
  <c r="G234" i="5" s="1"/>
  <c r="B235" i="5" s="1"/>
  <c r="D235" i="5" s="1"/>
  <c r="D232" i="4"/>
  <c r="E232" i="4" s="1"/>
  <c r="G232" i="4" s="1"/>
  <c r="B233" i="4" s="1"/>
  <c r="E247" i="7" l="1"/>
  <c r="G247" i="7" s="1"/>
  <c r="B248" i="7" s="1"/>
  <c r="D248" i="7" s="1"/>
  <c r="E241" i="6"/>
  <c r="G241" i="6" s="1"/>
  <c r="B242" i="6" s="1"/>
  <c r="D242" i="6" s="1"/>
  <c r="E235" i="5"/>
  <c r="G235" i="5" s="1"/>
  <c r="B236" i="5" s="1"/>
  <c r="D236" i="5" s="1"/>
  <c r="D233" i="4"/>
  <c r="E233" i="4" s="1"/>
  <c r="G233" i="4" s="1"/>
  <c r="B234" i="4" s="1"/>
  <c r="E248" i="7" l="1"/>
  <c r="G248" i="7" s="1"/>
  <c r="B249" i="7" s="1"/>
  <c r="D249" i="7" s="1"/>
  <c r="E242" i="6"/>
  <c r="G242" i="6" s="1"/>
  <c r="B243" i="6" s="1"/>
  <c r="D243" i="6" s="1"/>
  <c r="E236" i="5"/>
  <c r="G236" i="5" s="1"/>
  <c r="B237" i="5" s="1"/>
  <c r="D237" i="5" s="1"/>
  <c r="D234" i="4"/>
  <c r="E234" i="4" s="1"/>
  <c r="G234" i="4" s="1"/>
  <c r="B235" i="4" s="1"/>
  <c r="E249" i="7" l="1"/>
  <c r="G249" i="7" s="1"/>
  <c r="B250" i="7" s="1"/>
  <c r="D250" i="7" s="1"/>
  <c r="E243" i="6"/>
  <c r="G243" i="6" s="1"/>
  <c r="B244" i="6" s="1"/>
  <c r="D244" i="6" s="1"/>
  <c r="E237" i="5"/>
  <c r="G237" i="5" s="1"/>
  <c r="B238" i="5" s="1"/>
  <c r="D238" i="5" s="1"/>
  <c r="D235" i="4"/>
  <c r="E235" i="4" s="1"/>
  <c r="G235" i="4" s="1"/>
  <c r="B236" i="4" s="1"/>
  <c r="E250" i="7" l="1"/>
  <c r="G250" i="7" s="1"/>
  <c r="B251" i="7" s="1"/>
  <c r="D251" i="7" s="1"/>
  <c r="E244" i="6"/>
  <c r="G244" i="6" s="1"/>
  <c r="B245" i="6" s="1"/>
  <c r="D245" i="6" s="1"/>
  <c r="E238" i="5"/>
  <c r="G238" i="5" s="1"/>
  <c r="B239" i="5" s="1"/>
  <c r="D239" i="5" s="1"/>
  <c r="D236" i="4"/>
  <c r="E236" i="4" s="1"/>
  <c r="G236" i="4" s="1"/>
  <c r="B237" i="4" s="1"/>
  <c r="E251" i="7" l="1"/>
  <c r="G251" i="7" s="1"/>
  <c r="B252" i="7" s="1"/>
  <c r="D252" i="7" s="1"/>
  <c r="E245" i="6"/>
  <c r="G245" i="6" s="1"/>
  <c r="B246" i="6" s="1"/>
  <c r="D246" i="6" s="1"/>
  <c r="E239" i="5"/>
  <c r="G239" i="5" s="1"/>
  <c r="B240" i="5" s="1"/>
  <c r="D240" i="5" s="1"/>
  <c r="D237" i="4"/>
  <c r="E237" i="4" s="1"/>
  <c r="G237" i="4" s="1"/>
  <c r="B238" i="4" s="1"/>
  <c r="E252" i="7" l="1"/>
  <c r="G252" i="7" s="1"/>
  <c r="B253" i="7" s="1"/>
  <c r="D253" i="7" s="1"/>
  <c r="E246" i="6"/>
  <c r="G246" i="6" s="1"/>
  <c r="B247" i="6" s="1"/>
  <c r="D247" i="6" s="1"/>
  <c r="E240" i="5"/>
  <c r="G240" i="5" s="1"/>
  <c r="B241" i="5" s="1"/>
  <c r="D241" i="5" s="1"/>
  <c r="D238" i="4"/>
  <c r="E238" i="4" s="1"/>
  <c r="G238" i="4" s="1"/>
  <c r="B239" i="4" s="1"/>
  <c r="E253" i="7" l="1"/>
  <c r="G253" i="7" s="1"/>
  <c r="B254" i="7" s="1"/>
  <c r="D254" i="7" s="1"/>
  <c r="E247" i="6"/>
  <c r="G247" i="6" s="1"/>
  <c r="B248" i="6" s="1"/>
  <c r="D248" i="6" s="1"/>
  <c r="E241" i="5"/>
  <c r="G241" i="5" s="1"/>
  <c r="B242" i="5" s="1"/>
  <c r="D242" i="5" s="1"/>
  <c r="D239" i="4"/>
  <c r="E239" i="4" s="1"/>
  <c r="G239" i="4" s="1"/>
  <c r="B240" i="4" s="1"/>
  <c r="E254" i="7" l="1"/>
  <c r="G254" i="7" s="1"/>
  <c r="B255" i="7" s="1"/>
  <c r="D255" i="7" s="1"/>
  <c r="E248" i="6"/>
  <c r="G248" i="6" s="1"/>
  <c r="B249" i="6" s="1"/>
  <c r="D249" i="6" s="1"/>
  <c r="E242" i="5"/>
  <c r="G242" i="5" s="1"/>
  <c r="B243" i="5" s="1"/>
  <c r="D243" i="5" s="1"/>
  <c r="D240" i="4"/>
  <c r="E240" i="4" s="1"/>
  <c r="G240" i="4" s="1"/>
  <c r="B241" i="4" s="1"/>
  <c r="E255" i="7" l="1"/>
  <c r="G255" i="7" s="1"/>
  <c r="B256" i="7" s="1"/>
  <c r="D256" i="7" s="1"/>
  <c r="E249" i="6"/>
  <c r="G249" i="6" s="1"/>
  <c r="B250" i="6" s="1"/>
  <c r="D250" i="6" s="1"/>
  <c r="E243" i="5"/>
  <c r="G243" i="5" s="1"/>
  <c r="B244" i="5" s="1"/>
  <c r="D241" i="4"/>
  <c r="E241" i="4" s="1"/>
  <c r="G241" i="4" s="1"/>
  <c r="B242" i="4" s="1"/>
  <c r="E256" i="7" l="1"/>
  <c r="G256" i="7" s="1"/>
  <c r="B257" i="7" s="1"/>
  <c r="D257" i="7" s="1"/>
  <c r="E250" i="6"/>
  <c r="G250" i="6" s="1"/>
  <c r="B251" i="6" s="1"/>
  <c r="D251" i="6" s="1"/>
  <c r="D244" i="5"/>
  <c r="E244" i="5" s="1"/>
  <c r="G244" i="5" s="1"/>
  <c r="B245" i="5" s="1"/>
  <c r="D242" i="4"/>
  <c r="E242" i="4" s="1"/>
  <c r="G242" i="4" s="1"/>
  <c r="B243" i="4" s="1"/>
  <c r="E257" i="7" l="1"/>
  <c r="G257" i="7" s="1"/>
  <c r="B258" i="7" s="1"/>
  <c r="D258" i="7" s="1"/>
  <c r="E251" i="6"/>
  <c r="G251" i="6" s="1"/>
  <c r="B252" i="6" s="1"/>
  <c r="D252" i="6" s="1"/>
  <c r="D245" i="5"/>
  <c r="E245" i="5" s="1"/>
  <c r="G245" i="5" s="1"/>
  <c r="B246" i="5" s="1"/>
  <c r="D243" i="4"/>
  <c r="E243" i="4" s="1"/>
  <c r="G243" i="4" s="1"/>
  <c r="B244" i="4" s="1"/>
  <c r="E258" i="7" l="1"/>
  <c r="G258" i="7" s="1"/>
  <c r="B259" i="7" s="1"/>
  <c r="D259" i="7" s="1"/>
  <c r="E252" i="6"/>
  <c r="G252" i="6" s="1"/>
  <c r="B253" i="6" s="1"/>
  <c r="D253" i="6" s="1"/>
  <c r="D246" i="5"/>
  <c r="E246" i="5" s="1"/>
  <c r="G246" i="5" s="1"/>
  <c r="B247" i="5" s="1"/>
  <c r="D244" i="4"/>
  <c r="E244" i="4" s="1"/>
  <c r="G244" i="4" s="1"/>
  <c r="B245" i="4" s="1"/>
  <c r="E259" i="7" l="1"/>
  <c r="G259" i="7" s="1"/>
  <c r="B260" i="7" s="1"/>
  <c r="D260" i="7" s="1"/>
  <c r="E253" i="6"/>
  <c r="G253" i="6" s="1"/>
  <c r="B254" i="6" s="1"/>
  <c r="D254" i="6" s="1"/>
  <c r="D247" i="5"/>
  <c r="E247" i="5" s="1"/>
  <c r="G247" i="5" s="1"/>
  <c r="B248" i="5" s="1"/>
  <c r="D245" i="4"/>
  <c r="E245" i="4" s="1"/>
  <c r="G245" i="4" s="1"/>
  <c r="B246" i="4" s="1"/>
  <c r="E260" i="7" l="1"/>
  <c r="G260" i="7" s="1"/>
  <c r="B261" i="7" s="1"/>
  <c r="D261" i="7" s="1"/>
  <c r="E254" i="6"/>
  <c r="G254" i="6" s="1"/>
  <c r="B255" i="6" s="1"/>
  <c r="D255" i="6" s="1"/>
  <c r="D248" i="5"/>
  <c r="E248" i="5" s="1"/>
  <c r="G248" i="5" s="1"/>
  <c r="B249" i="5" s="1"/>
  <c r="D246" i="4"/>
  <c r="E246" i="4" s="1"/>
  <c r="G246" i="4" s="1"/>
  <c r="B247" i="4" s="1"/>
  <c r="E261" i="7" l="1"/>
  <c r="G261" i="7" s="1"/>
  <c r="B262" i="7" s="1"/>
  <c r="D262" i="7" s="1"/>
  <c r="E255" i="6"/>
  <c r="G255" i="6" s="1"/>
  <c r="B256" i="6" s="1"/>
  <c r="D256" i="6" s="1"/>
  <c r="D249" i="5"/>
  <c r="E249" i="5" s="1"/>
  <c r="G249" i="5" s="1"/>
  <c r="B250" i="5" s="1"/>
  <c r="D247" i="4"/>
  <c r="E247" i="4" s="1"/>
  <c r="G247" i="4" s="1"/>
  <c r="B248" i="4" s="1"/>
  <c r="E262" i="7" l="1"/>
  <c r="G262" i="7" s="1"/>
  <c r="B263" i="7" s="1"/>
  <c r="D263" i="7" s="1"/>
  <c r="E256" i="6"/>
  <c r="G256" i="6" s="1"/>
  <c r="B257" i="6" s="1"/>
  <c r="D257" i="6" s="1"/>
  <c r="D250" i="5"/>
  <c r="E250" i="5" s="1"/>
  <c r="G250" i="5" s="1"/>
  <c r="B251" i="5" s="1"/>
  <c r="D248" i="4"/>
  <c r="E248" i="4" s="1"/>
  <c r="G248" i="4" s="1"/>
  <c r="B249" i="4" s="1"/>
  <c r="E263" i="7" l="1"/>
  <c r="G263" i="7" s="1"/>
  <c r="B264" i="7" s="1"/>
  <c r="D264" i="7" s="1"/>
  <c r="E257" i="6"/>
  <c r="G257" i="6" s="1"/>
  <c r="B258" i="6" s="1"/>
  <c r="D258" i="6" s="1"/>
  <c r="D251" i="5"/>
  <c r="E251" i="5" s="1"/>
  <c r="G251" i="5" s="1"/>
  <c r="B252" i="5" s="1"/>
  <c r="D249" i="4"/>
  <c r="E249" i="4" s="1"/>
  <c r="G249" i="4" s="1"/>
  <c r="B250" i="4" s="1"/>
  <c r="E264" i="7" l="1"/>
  <c r="G264" i="7" s="1"/>
  <c r="B265" i="7" s="1"/>
  <c r="D265" i="7" s="1"/>
  <c r="E258" i="6"/>
  <c r="G258" i="6" s="1"/>
  <c r="B259" i="6" s="1"/>
  <c r="D259" i="6" s="1"/>
  <c r="D252" i="5"/>
  <c r="E252" i="5" s="1"/>
  <c r="G252" i="5" s="1"/>
  <c r="B253" i="5" s="1"/>
  <c r="D250" i="4"/>
  <c r="E250" i="4" s="1"/>
  <c r="G250" i="4" s="1"/>
  <c r="B251" i="4" s="1"/>
  <c r="E265" i="7" l="1"/>
  <c r="G265" i="7" s="1"/>
  <c r="B266" i="7" s="1"/>
  <c r="D266" i="7" s="1"/>
  <c r="E259" i="6"/>
  <c r="G259" i="6" s="1"/>
  <c r="B260" i="6" s="1"/>
  <c r="D260" i="6" s="1"/>
  <c r="D253" i="5"/>
  <c r="E253" i="5" s="1"/>
  <c r="G253" i="5" s="1"/>
  <c r="B254" i="5" s="1"/>
  <c r="D251" i="4"/>
  <c r="E251" i="4" s="1"/>
  <c r="G251" i="4" s="1"/>
  <c r="B252" i="4" s="1"/>
  <c r="E266" i="7" l="1"/>
  <c r="G266" i="7" s="1"/>
  <c r="B267" i="7" s="1"/>
  <c r="D267" i="7" s="1"/>
  <c r="E260" i="6"/>
  <c r="G260" i="6" s="1"/>
  <c r="B261" i="6" s="1"/>
  <c r="D261" i="6" s="1"/>
  <c r="D254" i="5"/>
  <c r="E254" i="5" s="1"/>
  <c r="G254" i="5" s="1"/>
  <c r="B255" i="5" s="1"/>
  <c r="D252" i="4"/>
  <c r="E252" i="4" s="1"/>
  <c r="G252" i="4" s="1"/>
  <c r="B253" i="4" s="1"/>
  <c r="E267" i="7" l="1"/>
  <c r="G267" i="7" s="1"/>
  <c r="B268" i="7" s="1"/>
  <c r="D268" i="7" s="1"/>
  <c r="E261" i="6"/>
  <c r="G261" i="6" s="1"/>
  <c r="B262" i="6" s="1"/>
  <c r="D262" i="6" s="1"/>
  <c r="D255" i="5"/>
  <c r="E255" i="5" s="1"/>
  <c r="G255" i="5" s="1"/>
  <c r="B256" i="5" s="1"/>
  <c r="D253" i="4"/>
  <c r="E253" i="4" s="1"/>
  <c r="G253" i="4" s="1"/>
  <c r="B254" i="4" s="1"/>
  <c r="E268" i="7" l="1"/>
  <c r="G268" i="7" s="1"/>
  <c r="B269" i="7" s="1"/>
  <c r="D269" i="7" s="1"/>
  <c r="E262" i="6"/>
  <c r="G262" i="6" s="1"/>
  <c r="B263" i="6" s="1"/>
  <c r="D263" i="6" s="1"/>
  <c r="D256" i="5"/>
  <c r="E256" i="5" s="1"/>
  <c r="G256" i="5" s="1"/>
  <c r="B257" i="5" s="1"/>
  <c r="D254" i="4"/>
  <c r="E254" i="4" s="1"/>
  <c r="G254" i="4" s="1"/>
  <c r="B255" i="4" s="1"/>
  <c r="E269" i="7" l="1"/>
  <c r="G269" i="7" s="1"/>
  <c r="B270" i="7" s="1"/>
  <c r="D270" i="7" s="1"/>
  <c r="E263" i="6"/>
  <c r="G263" i="6" s="1"/>
  <c r="B264" i="6" s="1"/>
  <c r="D264" i="6" s="1"/>
  <c r="D257" i="5"/>
  <c r="E257" i="5" s="1"/>
  <c r="G257" i="5" s="1"/>
  <c r="B258" i="5" s="1"/>
  <c r="D255" i="4"/>
  <c r="E255" i="4" s="1"/>
  <c r="G255" i="4" s="1"/>
  <c r="B256" i="4" s="1"/>
  <c r="E270" i="7" l="1"/>
  <c r="G270" i="7" s="1"/>
  <c r="B271" i="7" s="1"/>
  <c r="D271" i="7" s="1"/>
  <c r="E264" i="6"/>
  <c r="G264" i="6" s="1"/>
  <c r="B265" i="6" s="1"/>
  <c r="D265" i="6" s="1"/>
  <c r="D258" i="5"/>
  <c r="E258" i="5" s="1"/>
  <c r="G258" i="5" s="1"/>
  <c r="B259" i="5" s="1"/>
  <c r="D256" i="4"/>
  <c r="E256" i="4" s="1"/>
  <c r="G256" i="4" s="1"/>
  <c r="B257" i="4" s="1"/>
  <c r="E271" i="7" l="1"/>
  <c r="G271" i="7" s="1"/>
  <c r="B272" i="7" s="1"/>
  <c r="D272" i="7" s="1"/>
  <c r="E265" i="6"/>
  <c r="G265" i="6" s="1"/>
  <c r="B266" i="6" s="1"/>
  <c r="D266" i="6" s="1"/>
  <c r="D259" i="5"/>
  <c r="E259" i="5" s="1"/>
  <c r="G259" i="5" s="1"/>
  <c r="B260" i="5" s="1"/>
  <c r="D257" i="4"/>
  <c r="E257" i="4" s="1"/>
  <c r="G257" i="4" s="1"/>
  <c r="B258" i="4" s="1"/>
  <c r="E272" i="7" l="1"/>
  <c r="G272" i="7" s="1"/>
  <c r="B273" i="7" s="1"/>
  <c r="D273" i="7" s="1"/>
  <c r="E266" i="6"/>
  <c r="G266" i="6" s="1"/>
  <c r="B267" i="6" s="1"/>
  <c r="D267" i="6" s="1"/>
  <c r="D260" i="5"/>
  <c r="E260" i="5" s="1"/>
  <c r="G260" i="5" s="1"/>
  <c r="B261" i="5" s="1"/>
  <c r="D258" i="4"/>
  <c r="E258" i="4" s="1"/>
  <c r="G258" i="4" s="1"/>
  <c r="B259" i="4" s="1"/>
  <c r="E273" i="7" l="1"/>
  <c r="G273" i="7" s="1"/>
  <c r="B274" i="7" s="1"/>
  <c r="D274" i="7" s="1"/>
  <c r="E267" i="6"/>
  <c r="G267" i="6" s="1"/>
  <c r="B268" i="6" s="1"/>
  <c r="D268" i="6" s="1"/>
  <c r="D261" i="5"/>
  <c r="E261" i="5" s="1"/>
  <c r="G261" i="5" s="1"/>
  <c r="B262" i="5" s="1"/>
  <c r="D259" i="4"/>
  <c r="E259" i="4" s="1"/>
  <c r="G259" i="4" s="1"/>
  <c r="B260" i="4" s="1"/>
  <c r="E274" i="7" l="1"/>
  <c r="G274" i="7" s="1"/>
  <c r="B275" i="7" s="1"/>
  <c r="D275" i="7" s="1"/>
  <c r="E268" i="6"/>
  <c r="G268" i="6" s="1"/>
  <c r="B269" i="6" s="1"/>
  <c r="D269" i="6" s="1"/>
  <c r="D262" i="5"/>
  <c r="E262" i="5" s="1"/>
  <c r="G262" i="5" s="1"/>
  <c r="B263" i="5" s="1"/>
  <c r="D260" i="4"/>
  <c r="E260" i="4" s="1"/>
  <c r="G260" i="4" s="1"/>
  <c r="B261" i="4" s="1"/>
  <c r="E275" i="7" l="1"/>
  <c r="G275" i="7" s="1"/>
  <c r="B276" i="7" s="1"/>
  <c r="D276" i="7" s="1"/>
  <c r="E269" i="6"/>
  <c r="G269" i="6" s="1"/>
  <c r="B270" i="6" s="1"/>
  <c r="D270" i="6" s="1"/>
  <c r="D263" i="5"/>
  <c r="E263" i="5" s="1"/>
  <c r="G263" i="5" s="1"/>
  <c r="B264" i="5" s="1"/>
  <c r="D261" i="4"/>
  <c r="E261" i="4" s="1"/>
  <c r="G261" i="4" s="1"/>
  <c r="B262" i="4" s="1"/>
  <c r="E276" i="7" l="1"/>
  <c r="G276" i="7" s="1"/>
  <c r="B277" i="7" s="1"/>
  <c r="D277" i="7" s="1"/>
  <c r="E270" i="6"/>
  <c r="G270" i="6" s="1"/>
  <c r="B271" i="6" s="1"/>
  <c r="D271" i="6" s="1"/>
  <c r="D264" i="5"/>
  <c r="E264" i="5" s="1"/>
  <c r="G264" i="5" s="1"/>
  <c r="B265" i="5" s="1"/>
  <c r="D262" i="4"/>
  <c r="E262" i="4" s="1"/>
  <c r="G262" i="4" s="1"/>
  <c r="B263" i="4" s="1"/>
  <c r="E277" i="7" l="1"/>
  <c r="G277" i="7" s="1"/>
  <c r="B278" i="7" s="1"/>
  <c r="D278" i="7" s="1"/>
  <c r="E271" i="6"/>
  <c r="G271" i="6" s="1"/>
  <c r="B272" i="6" s="1"/>
  <c r="D272" i="6" s="1"/>
  <c r="D265" i="5"/>
  <c r="E265" i="5" s="1"/>
  <c r="G265" i="5" s="1"/>
  <c r="B266" i="5" s="1"/>
  <c r="D263" i="4"/>
  <c r="E263" i="4" s="1"/>
  <c r="G263" i="4" s="1"/>
  <c r="B264" i="4" s="1"/>
  <c r="E278" i="7" l="1"/>
  <c r="G278" i="7" s="1"/>
  <c r="B279" i="7" s="1"/>
  <c r="D279" i="7" s="1"/>
  <c r="E272" i="6"/>
  <c r="G272" i="6" s="1"/>
  <c r="B273" i="6" s="1"/>
  <c r="D273" i="6" s="1"/>
  <c r="D266" i="5"/>
  <c r="E266" i="5" s="1"/>
  <c r="G266" i="5" s="1"/>
  <c r="B267" i="5" s="1"/>
  <c r="D264" i="4"/>
  <c r="E264" i="4" s="1"/>
  <c r="G264" i="4" s="1"/>
  <c r="B265" i="4" s="1"/>
  <c r="E279" i="7" l="1"/>
  <c r="G279" i="7" s="1"/>
  <c r="B280" i="7" s="1"/>
  <c r="D280" i="7" s="1"/>
  <c r="E273" i="6"/>
  <c r="G273" i="6" s="1"/>
  <c r="B274" i="6" s="1"/>
  <c r="D274" i="6" s="1"/>
  <c r="D267" i="5"/>
  <c r="E267" i="5" s="1"/>
  <c r="G267" i="5" s="1"/>
  <c r="B268" i="5" s="1"/>
  <c r="D265" i="4"/>
  <c r="E265" i="4" s="1"/>
  <c r="G265" i="4" s="1"/>
  <c r="B266" i="4" s="1"/>
  <c r="E280" i="7" l="1"/>
  <c r="G280" i="7" s="1"/>
  <c r="B281" i="7" s="1"/>
  <c r="D281" i="7" s="1"/>
  <c r="E274" i="6"/>
  <c r="G274" i="6" s="1"/>
  <c r="B275" i="6" s="1"/>
  <c r="D275" i="6" s="1"/>
  <c r="D268" i="5"/>
  <c r="E268" i="5" s="1"/>
  <c r="G268" i="5" s="1"/>
  <c r="B269" i="5" s="1"/>
  <c r="D266" i="4"/>
  <c r="E266" i="4" s="1"/>
  <c r="G266" i="4" s="1"/>
  <c r="B267" i="4" s="1"/>
  <c r="E281" i="7" l="1"/>
  <c r="G281" i="7" s="1"/>
  <c r="B282" i="7" s="1"/>
  <c r="D282" i="7" s="1"/>
  <c r="E275" i="6"/>
  <c r="G275" i="6" s="1"/>
  <c r="B276" i="6" s="1"/>
  <c r="D276" i="6" s="1"/>
  <c r="D269" i="5"/>
  <c r="E269" i="5" s="1"/>
  <c r="G269" i="5" s="1"/>
  <c r="B270" i="5" s="1"/>
  <c r="D267" i="4"/>
  <c r="E267" i="4" s="1"/>
  <c r="G267" i="4" s="1"/>
  <c r="B268" i="4" s="1"/>
  <c r="E282" i="7" l="1"/>
  <c r="G282" i="7" s="1"/>
  <c r="B283" i="7" s="1"/>
  <c r="D283" i="7" s="1"/>
  <c r="E276" i="6"/>
  <c r="G276" i="6" s="1"/>
  <c r="B277" i="6" s="1"/>
  <c r="D277" i="6" s="1"/>
  <c r="D270" i="5"/>
  <c r="E270" i="5" s="1"/>
  <c r="G270" i="5" s="1"/>
  <c r="B271" i="5" s="1"/>
  <c r="D268" i="4"/>
  <c r="E268" i="4" s="1"/>
  <c r="G268" i="4" s="1"/>
  <c r="B269" i="4" s="1"/>
  <c r="E283" i="7" l="1"/>
  <c r="G283" i="7" s="1"/>
  <c r="B284" i="7" s="1"/>
  <c r="D284" i="7" s="1"/>
  <c r="E277" i="6"/>
  <c r="G277" i="6" s="1"/>
  <c r="B278" i="6" s="1"/>
  <c r="D278" i="6" s="1"/>
  <c r="D271" i="5"/>
  <c r="E271" i="5" s="1"/>
  <c r="G271" i="5" s="1"/>
  <c r="B272" i="5" s="1"/>
  <c r="D269" i="4"/>
  <c r="E269" i="4" s="1"/>
  <c r="G269" i="4" s="1"/>
  <c r="B270" i="4" s="1"/>
  <c r="E284" i="7" l="1"/>
  <c r="G284" i="7" s="1"/>
  <c r="B285" i="7" s="1"/>
  <c r="D285" i="7" s="1"/>
  <c r="E278" i="6"/>
  <c r="G278" i="6" s="1"/>
  <c r="B279" i="6" s="1"/>
  <c r="D279" i="6" s="1"/>
  <c r="D272" i="5"/>
  <c r="E272" i="5" s="1"/>
  <c r="G272" i="5" s="1"/>
  <c r="B273" i="5" s="1"/>
  <c r="D270" i="4"/>
  <c r="E270" i="4" s="1"/>
  <c r="G270" i="4" s="1"/>
  <c r="B271" i="4" s="1"/>
  <c r="E285" i="7" l="1"/>
  <c r="G285" i="7" s="1"/>
  <c r="B286" i="7" s="1"/>
  <c r="D286" i="7" s="1"/>
  <c r="E279" i="6"/>
  <c r="G279" i="6" s="1"/>
  <c r="B280" i="6" s="1"/>
  <c r="D280" i="6" s="1"/>
  <c r="D273" i="5"/>
  <c r="E273" i="5" s="1"/>
  <c r="G273" i="5" s="1"/>
  <c r="B274" i="5" s="1"/>
  <c r="D271" i="4"/>
  <c r="E271" i="4" s="1"/>
  <c r="G271" i="4" s="1"/>
  <c r="B272" i="4" s="1"/>
  <c r="E286" i="7" l="1"/>
  <c r="G286" i="7" s="1"/>
  <c r="B287" i="7" s="1"/>
  <c r="D287" i="7" s="1"/>
  <c r="E280" i="6"/>
  <c r="G280" i="6" s="1"/>
  <c r="B281" i="6" s="1"/>
  <c r="D281" i="6" s="1"/>
  <c r="D274" i="5"/>
  <c r="E274" i="5" s="1"/>
  <c r="G274" i="5" s="1"/>
  <c r="B275" i="5" s="1"/>
  <c r="D272" i="4"/>
  <c r="E272" i="4" s="1"/>
  <c r="G272" i="4" s="1"/>
  <c r="B273" i="4" s="1"/>
  <c r="E287" i="7" l="1"/>
  <c r="G287" i="7" s="1"/>
  <c r="B288" i="7" s="1"/>
  <c r="D288" i="7" s="1"/>
  <c r="E281" i="6"/>
  <c r="G281" i="6" s="1"/>
  <c r="B282" i="6" s="1"/>
  <c r="D282" i="6" s="1"/>
  <c r="D275" i="5"/>
  <c r="E275" i="5" s="1"/>
  <c r="G275" i="5" s="1"/>
  <c r="B276" i="5" s="1"/>
  <c r="D273" i="4"/>
  <c r="E273" i="4" s="1"/>
  <c r="G273" i="4" s="1"/>
  <c r="B274" i="4" s="1"/>
  <c r="E288" i="7" l="1"/>
  <c r="G288" i="7" s="1"/>
  <c r="B289" i="7" s="1"/>
  <c r="D289" i="7" s="1"/>
  <c r="E282" i="6"/>
  <c r="G282" i="6" s="1"/>
  <c r="B283" i="6" s="1"/>
  <c r="D283" i="6" s="1"/>
  <c r="D276" i="5"/>
  <c r="E276" i="5" s="1"/>
  <c r="G276" i="5" s="1"/>
  <c r="B277" i="5" s="1"/>
  <c r="D274" i="4"/>
  <c r="E274" i="4" s="1"/>
  <c r="G274" i="4" s="1"/>
  <c r="B275" i="4" s="1"/>
  <c r="E289" i="7" l="1"/>
  <c r="G289" i="7" s="1"/>
  <c r="B290" i="7" s="1"/>
  <c r="D290" i="7" s="1"/>
  <c r="E283" i="6"/>
  <c r="G283" i="6" s="1"/>
  <c r="B284" i="6" s="1"/>
  <c r="D284" i="6" s="1"/>
  <c r="D277" i="5"/>
  <c r="E277" i="5" s="1"/>
  <c r="G277" i="5" s="1"/>
  <c r="B278" i="5" s="1"/>
  <c r="D275" i="4"/>
  <c r="E275" i="4" s="1"/>
  <c r="G275" i="4" s="1"/>
  <c r="B276" i="4" s="1"/>
  <c r="E290" i="7" l="1"/>
  <c r="G290" i="7" s="1"/>
  <c r="B291" i="7" s="1"/>
  <c r="D291" i="7" s="1"/>
  <c r="E284" i="6"/>
  <c r="G284" i="6" s="1"/>
  <c r="B285" i="6" s="1"/>
  <c r="D285" i="6" s="1"/>
  <c r="D278" i="5"/>
  <c r="E278" i="5" s="1"/>
  <c r="G278" i="5" s="1"/>
  <c r="B279" i="5" s="1"/>
  <c r="D276" i="4"/>
  <c r="E276" i="4" s="1"/>
  <c r="G276" i="4" s="1"/>
  <c r="B277" i="4" s="1"/>
  <c r="E291" i="7" l="1"/>
  <c r="G291" i="7" s="1"/>
  <c r="B292" i="7" s="1"/>
  <c r="D292" i="7" s="1"/>
  <c r="E285" i="6"/>
  <c r="G285" i="6" s="1"/>
  <c r="B286" i="6" s="1"/>
  <c r="D286" i="6" s="1"/>
  <c r="D279" i="5"/>
  <c r="E279" i="5" s="1"/>
  <c r="G279" i="5" s="1"/>
  <c r="B280" i="5" s="1"/>
  <c r="D277" i="4"/>
  <c r="E277" i="4" s="1"/>
  <c r="G277" i="4" s="1"/>
  <c r="B278" i="4" s="1"/>
  <c r="E292" i="7" l="1"/>
  <c r="G292" i="7" s="1"/>
  <c r="B293" i="7" s="1"/>
  <c r="D293" i="7" s="1"/>
  <c r="E286" i="6"/>
  <c r="G286" i="6" s="1"/>
  <c r="B287" i="6" s="1"/>
  <c r="D287" i="6" s="1"/>
  <c r="D280" i="5"/>
  <c r="E280" i="5" s="1"/>
  <c r="G280" i="5" s="1"/>
  <c r="B281" i="5" s="1"/>
  <c r="D278" i="4"/>
  <c r="E278" i="4" s="1"/>
  <c r="G278" i="4" s="1"/>
  <c r="B279" i="4" s="1"/>
  <c r="E293" i="7" l="1"/>
  <c r="G293" i="7" s="1"/>
  <c r="B294" i="7" s="1"/>
  <c r="D294" i="7" s="1"/>
  <c r="E287" i="6"/>
  <c r="G287" i="6" s="1"/>
  <c r="B288" i="6" s="1"/>
  <c r="D288" i="6" s="1"/>
  <c r="D281" i="5"/>
  <c r="E281" i="5" s="1"/>
  <c r="G281" i="5" s="1"/>
  <c r="B282" i="5" s="1"/>
  <c r="D279" i="4"/>
  <c r="E279" i="4" s="1"/>
  <c r="G279" i="4" s="1"/>
  <c r="B280" i="4" s="1"/>
  <c r="E294" i="7" l="1"/>
  <c r="G294" i="7" s="1"/>
  <c r="B295" i="7" s="1"/>
  <c r="D295" i="7" s="1"/>
  <c r="E288" i="6"/>
  <c r="G288" i="6" s="1"/>
  <c r="B289" i="6" s="1"/>
  <c r="D289" i="6" s="1"/>
  <c r="D282" i="5"/>
  <c r="E282" i="5" s="1"/>
  <c r="G282" i="5" s="1"/>
  <c r="B283" i="5" s="1"/>
  <c r="D280" i="4"/>
  <c r="E280" i="4" s="1"/>
  <c r="G280" i="4" s="1"/>
  <c r="B281" i="4" s="1"/>
  <c r="E295" i="7" l="1"/>
  <c r="G295" i="7" s="1"/>
  <c r="B296" i="7" s="1"/>
  <c r="D296" i="7" s="1"/>
  <c r="E289" i="6"/>
  <c r="G289" i="6" s="1"/>
  <c r="B290" i="6" s="1"/>
  <c r="D290" i="6" s="1"/>
  <c r="D283" i="5"/>
  <c r="E283" i="5" s="1"/>
  <c r="G283" i="5" s="1"/>
  <c r="B284" i="5" s="1"/>
  <c r="D281" i="4"/>
  <c r="E281" i="4" s="1"/>
  <c r="G281" i="4" s="1"/>
  <c r="B282" i="4" s="1"/>
  <c r="E296" i="7" l="1"/>
  <c r="G296" i="7" s="1"/>
  <c r="B297" i="7" s="1"/>
  <c r="D297" i="7" s="1"/>
  <c r="E290" i="6"/>
  <c r="G290" i="6" s="1"/>
  <c r="B291" i="6" s="1"/>
  <c r="D291" i="6" s="1"/>
  <c r="D284" i="5"/>
  <c r="E284" i="5" s="1"/>
  <c r="G284" i="5" s="1"/>
  <c r="B285" i="5" s="1"/>
  <c r="D282" i="4"/>
  <c r="E282" i="4" s="1"/>
  <c r="G282" i="4" s="1"/>
  <c r="B283" i="4" s="1"/>
  <c r="E297" i="7" l="1"/>
  <c r="G297" i="7" s="1"/>
  <c r="B298" i="7" s="1"/>
  <c r="D298" i="7" s="1"/>
  <c r="E291" i="6"/>
  <c r="G291" i="6" s="1"/>
  <c r="B292" i="6" s="1"/>
  <c r="D292" i="6" s="1"/>
  <c r="D285" i="5"/>
  <c r="E285" i="5" s="1"/>
  <c r="G285" i="5" s="1"/>
  <c r="B286" i="5" s="1"/>
  <c r="D283" i="4"/>
  <c r="E283" i="4" s="1"/>
  <c r="G283" i="4" s="1"/>
  <c r="B284" i="4" s="1"/>
  <c r="E298" i="7" l="1"/>
  <c r="G298" i="7" s="1"/>
  <c r="B299" i="7" s="1"/>
  <c r="D299" i="7" s="1"/>
  <c r="E292" i="6"/>
  <c r="G292" i="6" s="1"/>
  <c r="B293" i="6" s="1"/>
  <c r="D293" i="6" s="1"/>
  <c r="D286" i="5"/>
  <c r="E286" i="5" s="1"/>
  <c r="G286" i="5" s="1"/>
  <c r="B287" i="5" s="1"/>
  <c r="D284" i="4"/>
  <c r="E284" i="4" s="1"/>
  <c r="G284" i="4" s="1"/>
  <c r="B285" i="4" s="1"/>
  <c r="E299" i="7" l="1"/>
  <c r="G299" i="7" s="1"/>
  <c r="B300" i="7" s="1"/>
  <c r="D300" i="7" s="1"/>
  <c r="E293" i="6"/>
  <c r="G293" i="6" s="1"/>
  <c r="B294" i="6" s="1"/>
  <c r="D294" i="6" s="1"/>
  <c r="D287" i="5"/>
  <c r="E287" i="5" s="1"/>
  <c r="G287" i="5" s="1"/>
  <c r="B288" i="5" s="1"/>
  <c r="D285" i="4"/>
  <c r="E285" i="4" s="1"/>
  <c r="G285" i="4" s="1"/>
  <c r="B286" i="4" s="1"/>
  <c r="E300" i="7" l="1"/>
  <c r="G300" i="7" s="1"/>
  <c r="B301" i="7" s="1"/>
  <c r="D301" i="7" s="1"/>
  <c r="E294" i="6"/>
  <c r="G294" i="6" s="1"/>
  <c r="B295" i="6" s="1"/>
  <c r="D295" i="6" s="1"/>
  <c r="D288" i="5"/>
  <c r="E288" i="5" s="1"/>
  <c r="G288" i="5" s="1"/>
  <c r="B289" i="5" s="1"/>
  <c r="D286" i="4"/>
  <c r="E286" i="4" s="1"/>
  <c r="G286" i="4" s="1"/>
  <c r="B287" i="4" s="1"/>
  <c r="E301" i="7" l="1"/>
  <c r="G301" i="7" s="1"/>
  <c r="B302" i="7" s="1"/>
  <c r="D302" i="7" s="1"/>
  <c r="E295" i="6"/>
  <c r="G295" i="6" s="1"/>
  <c r="B296" i="6" s="1"/>
  <c r="D296" i="6" s="1"/>
  <c r="D289" i="5"/>
  <c r="E289" i="5" s="1"/>
  <c r="G289" i="5" s="1"/>
  <c r="B290" i="5" s="1"/>
  <c r="D287" i="4"/>
  <c r="E287" i="4" s="1"/>
  <c r="G287" i="4" s="1"/>
  <c r="B288" i="4" s="1"/>
  <c r="E302" i="7" l="1"/>
  <c r="G302" i="7" s="1"/>
  <c r="B303" i="7" s="1"/>
  <c r="D303" i="7" s="1"/>
  <c r="E296" i="6"/>
  <c r="G296" i="6" s="1"/>
  <c r="B297" i="6" s="1"/>
  <c r="D297" i="6" s="1"/>
  <c r="D290" i="5"/>
  <c r="E290" i="5" s="1"/>
  <c r="G290" i="5" s="1"/>
  <c r="B291" i="5" s="1"/>
  <c r="D288" i="4"/>
  <c r="E288" i="4" s="1"/>
  <c r="G288" i="4" s="1"/>
  <c r="B289" i="4" s="1"/>
  <c r="E303" i="7" l="1"/>
  <c r="G303" i="7" s="1"/>
  <c r="B304" i="7" s="1"/>
  <c r="D304" i="7" s="1"/>
  <c r="E297" i="6"/>
  <c r="G297" i="6" s="1"/>
  <c r="B298" i="6" s="1"/>
  <c r="D298" i="6" s="1"/>
  <c r="D291" i="5"/>
  <c r="E291" i="5" s="1"/>
  <c r="G291" i="5" s="1"/>
  <c r="B292" i="5" s="1"/>
  <c r="D289" i="4"/>
  <c r="E289" i="4" s="1"/>
  <c r="G289" i="4" s="1"/>
  <c r="B290" i="4" s="1"/>
  <c r="E304" i="7" l="1"/>
  <c r="G304" i="7" s="1"/>
  <c r="B305" i="7" s="1"/>
  <c r="D305" i="7" s="1"/>
  <c r="E298" i="6"/>
  <c r="G298" i="6" s="1"/>
  <c r="B299" i="6" s="1"/>
  <c r="D299" i="6" s="1"/>
  <c r="D292" i="5"/>
  <c r="E292" i="5" s="1"/>
  <c r="G292" i="5" s="1"/>
  <c r="B293" i="5" s="1"/>
  <c r="D290" i="4"/>
  <c r="E290" i="4" s="1"/>
  <c r="G290" i="4" s="1"/>
  <c r="B291" i="4" s="1"/>
  <c r="E305" i="7" l="1"/>
  <c r="G305" i="7" s="1"/>
  <c r="B306" i="7" s="1"/>
  <c r="D306" i="7" s="1"/>
  <c r="E299" i="6"/>
  <c r="G299" i="6" s="1"/>
  <c r="B300" i="6" s="1"/>
  <c r="D300" i="6" s="1"/>
  <c r="D293" i="5"/>
  <c r="E293" i="5" s="1"/>
  <c r="G293" i="5" s="1"/>
  <c r="B294" i="5" s="1"/>
  <c r="D291" i="4"/>
  <c r="E291" i="4" s="1"/>
  <c r="G291" i="4" s="1"/>
  <c r="B292" i="4" s="1"/>
  <c r="E306" i="7" l="1"/>
  <c r="G306" i="7" s="1"/>
  <c r="B307" i="7" s="1"/>
  <c r="D307" i="7" s="1"/>
  <c r="E300" i="6"/>
  <c r="G300" i="6" s="1"/>
  <c r="B301" i="6" s="1"/>
  <c r="D301" i="6" s="1"/>
  <c r="D294" i="5"/>
  <c r="E294" i="5" s="1"/>
  <c r="G294" i="5" s="1"/>
  <c r="B295" i="5" s="1"/>
  <c r="D292" i="4"/>
  <c r="E292" i="4" s="1"/>
  <c r="G292" i="4" s="1"/>
  <c r="B293" i="4" s="1"/>
  <c r="E307" i="7" l="1"/>
  <c r="G307" i="7" s="1"/>
  <c r="B308" i="7" s="1"/>
  <c r="D308" i="7" s="1"/>
  <c r="E301" i="6"/>
  <c r="G301" i="6" s="1"/>
  <c r="B302" i="6" s="1"/>
  <c r="D302" i="6" s="1"/>
  <c r="D295" i="5"/>
  <c r="E295" i="5" s="1"/>
  <c r="G295" i="5" s="1"/>
  <c r="B296" i="5" s="1"/>
  <c r="D293" i="4"/>
  <c r="E293" i="4" s="1"/>
  <c r="G293" i="4" s="1"/>
  <c r="B294" i="4" s="1"/>
  <c r="E308" i="7" l="1"/>
  <c r="G308" i="7" s="1"/>
  <c r="B309" i="7" s="1"/>
  <c r="D309" i="7" s="1"/>
  <c r="E302" i="6"/>
  <c r="G302" i="6" s="1"/>
  <c r="B303" i="6" s="1"/>
  <c r="D303" i="6" s="1"/>
  <c r="D296" i="5"/>
  <c r="E296" i="5" s="1"/>
  <c r="G296" i="5" s="1"/>
  <c r="B297" i="5" s="1"/>
  <c r="D294" i="4"/>
  <c r="E294" i="4" s="1"/>
  <c r="G294" i="4" s="1"/>
  <c r="B295" i="4" s="1"/>
  <c r="E309" i="7" l="1"/>
  <c r="G309" i="7" s="1"/>
  <c r="B310" i="7" s="1"/>
  <c r="D310" i="7" s="1"/>
  <c r="E303" i="6"/>
  <c r="G303" i="6" s="1"/>
  <c r="B304" i="6" s="1"/>
  <c r="D304" i="6" s="1"/>
  <c r="D297" i="5"/>
  <c r="E297" i="5" s="1"/>
  <c r="G297" i="5" s="1"/>
  <c r="B298" i="5" s="1"/>
  <c r="D295" i="4"/>
  <c r="E295" i="4" s="1"/>
  <c r="G295" i="4" s="1"/>
  <c r="B296" i="4" s="1"/>
  <c r="E310" i="7" l="1"/>
  <c r="G310" i="7" s="1"/>
  <c r="B311" i="7" s="1"/>
  <c r="D311" i="7" s="1"/>
  <c r="E304" i="6"/>
  <c r="G304" i="6" s="1"/>
  <c r="B305" i="6" s="1"/>
  <c r="D305" i="6" s="1"/>
  <c r="D298" i="5"/>
  <c r="E298" i="5" s="1"/>
  <c r="G298" i="5" s="1"/>
  <c r="B299" i="5" s="1"/>
  <c r="D296" i="4"/>
  <c r="E296" i="4" s="1"/>
  <c r="G296" i="4" s="1"/>
  <c r="B297" i="4" s="1"/>
  <c r="E311" i="7" l="1"/>
  <c r="G311" i="7" s="1"/>
  <c r="B312" i="7" s="1"/>
  <c r="D312" i="7" s="1"/>
  <c r="E305" i="6"/>
  <c r="G305" i="6" s="1"/>
  <c r="B306" i="6" s="1"/>
  <c r="D306" i="6" s="1"/>
  <c r="D299" i="5"/>
  <c r="E299" i="5" s="1"/>
  <c r="G299" i="5" s="1"/>
  <c r="B300" i="5" s="1"/>
  <c r="D297" i="4"/>
  <c r="E297" i="4" s="1"/>
  <c r="G297" i="4" s="1"/>
  <c r="B298" i="4" s="1"/>
  <c r="E312" i="7" l="1"/>
  <c r="G312" i="7" s="1"/>
  <c r="B313" i="7" s="1"/>
  <c r="D313" i="7" s="1"/>
  <c r="E306" i="6"/>
  <c r="G306" i="6" s="1"/>
  <c r="B307" i="6" s="1"/>
  <c r="D307" i="6" s="1"/>
  <c r="D300" i="5"/>
  <c r="E300" i="5" s="1"/>
  <c r="G300" i="5" s="1"/>
  <c r="B301" i="5" s="1"/>
  <c r="D298" i="4"/>
  <c r="E298" i="4" s="1"/>
  <c r="G298" i="4" s="1"/>
  <c r="B299" i="4" s="1"/>
  <c r="E313" i="7" l="1"/>
  <c r="G313" i="7" s="1"/>
  <c r="B314" i="7" s="1"/>
  <c r="D314" i="7" s="1"/>
  <c r="E307" i="6"/>
  <c r="G307" i="6" s="1"/>
  <c r="B308" i="6" s="1"/>
  <c r="D308" i="6" s="1"/>
  <c r="D301" i="5"/>
  <c r="E301" i="5" s="1"/>
  <c r="G301" i="5" s="1"/>
  <c r="B302" i="5" s="1"/>
  <c r="D299" i="4"/>
  <c r="E299" i="4" s="1"/>
  <c r="G299" i="4" s="1"/>
  <c r="B300" i="4" s="1"/>
  <c r="E314" i="7" l="1"/>
  <c r="G314" i="7" s="1"/>
  <c r="B315" i="7" s="1"/>
  <c r="D315" i="7" s="1"/>
  <c r="E308" i="6"/>
  <c r="G308" i="6" s="1"/>
  <c r="B309" i="6" s="1"/>
  <c r="D309" i="6" s="1"/>
  <c r="D302" i="5"/>
  <c r="E302" i="5" s="1"/>
  <c r="G302" i="5" s="1"/>
  <c r="B303" i="5" s="1"/>
  <c r="D300" i="4"/>
  <c r="E300" i="4" s="1"/>
  <c r="G300" i="4" s="1"/>
  <c r="B301" i="4" s="1"/>
  <c r="E315" i="7" l="1"/>
  <c r="G315" i="7" s="1"/>
  <c r="B316" i="7" s="1"/>
  <c r="D316" i="7" s="1"/>
  <c r="E309" i="6"/>
  <c r="G309" i="6" s="1"/>
  <c r="B310" i="6" s="1"/>
  <c r="D310" i="6" s="1"/>
  <c r="D303" i="5"/>
  <c r="E303" i="5" s="1"/>
  <c r="G303" i="5" s="1"/>
  <c r="B304" i="5" s="1"/>
  <c r="D301" i="4"/>
  <c r="E301" i="4" s="1"/>
  <c r="G301" i="4" s="1"/>
  <c r="B302" i="4" s="1"/>
  <c r="E316" i="7" l="1"/>
  <c r="G316" i="7" s="1"/>
  <c r="B317" i="7" s="1"/>
  <c r="D317" i="7" s="1"/>
  <c r="E310" i="6"/>
  <c r="G310" i="6" s="1"/>
  <c r="B311" i="6" s="1"/>
  <c r="D311" i="6" s="1"/>
  <c r="D304" i="5"/>
  <c r="E304" i="5" s="1"/>
  <c r="G304" i="5" s="1"/>
  <c r="B305" i="5" s="1"/>
  <c r="D302" i="4"/>
  <c r="E302" i="4" s="1"/>
  <c r="G302" i="4" s="1"/>
  <c r="B303" i="4" s="1"/>
  <c r="E317" i="7" l="1"/>
  <c r="G317" i="7" s="1"/>
  <c r="B318" i="7" s="1"/>
  <c r="D318" i="7" s="1"/>
  <c r="E311" i="6"/>
  <c r="G311" i="6" s="1"/>
  <c r="B312" i="6" s="1"/>
  <c r="D312" i="6" s="1"/>
  <c r="D305" i="5"/>
  <c r="E305" i="5" s="1"/>
  <c r="G305" i="5" s="1"/>
  <c r="B306" i="5" s="1"/>
  <c r="D303" i="4"/>
  <c r="E303" i="4" s="1"/>
  <c r="G303" i="4" s="1"/>
  <c r="B304" i="4" s="1"/>
  <c r="E318" i="7" l="1"/>
  <c r="G318" i="7" s="1"/>
  <c r="B319" i="7" s="1"/>
  <c r="D319" i="7" s="1"/>
  <c r="E312" i="6"/>
  <c r="G312" i="6" s="1"/>
  <c r="B313" i="6" s="1"/>
  <c r="D313" i="6" s="1"/>
  <c r="D306" i="5"/>
  <c r="E306" i="5" s="1"/>
  <c r="G306" i="5" s="1"/>
  <c r="B307" i="5" s="1"/>
  <c r="D304" i="4"/>
  <c r="E304" i="4" s="1"/>
  <c r="G304" i="4" s="1"/>
  <c r="B305" i="4" s="1"/>
  <c r="E319" i="7" l="1"/>
  <c r="G319" i="7" s="1"/>
  <c r="B320" i="7" s="1"/>
  <c r="D320" i="7" s="1"/>
  <c r="E313" i="6"/>
  <c r="G313" i="6" s="1"/>
  <c r="B314" i="6" s="1"/>
  <c r="D314" i="6" s="1"/>
  <c r="D307" i="5"/>
  <c r="E307" i="5" s="1"/>
  <c r="G307" i="5" s="1"/>
  <c r="B308" i="5" s="1"/>
  <c r="D305" i="4"/>
  <c r="E305" i="4" s="1"/>
  <c r="G305" i="4" s="1"/>
  <c r="B306" i="4" s="1"/>
  <c r="E320" i="7" l="1"/>
  <c r="G320" i="7" s="1"/>
  <c r="B321" i="7" s="1"/>
  <c r="D321" i="7" s="1"/>
  <c r="E314" i="6"/>
  <c r="G314" i="6" s="1"/>
  <c r="B315" i="6" s="1"/>
  <c r="D315" i="6" s="1"/>
  <c r="D308" i="5"/>
  <c r="E308" i="5" s="1"/>
  <c r="G308" i="5" s="1"/>
  <c r="B309" i="5" s="1"/>
  <c r="D306" i="4"/>
  <c r="E306" i="4" s="1"/>
  <c r="G306" i="4" s="1"/>
  <c r="B307" i="4" s="1"/>
  <c r="E321" i="7" l="1"/>
  <c r="G321" i="7" s="1"/>
  <c r="B322" i="7" s="1"/>
  <c r="D322" i="7" s="1"/>
  <c r="E315" i="6"/>
  <c r="G315" i="6" s="1"/>
  <c r="B316" i="6" s="1"/>
  <c r="D316" i="6" s="1"/>
  <c r="D309" i="5"/>
  <c r="E309" i="5" s="1"/>
  <c r="G309" i="5" s="1"/>
  <c r="B310" i="5" s="1"/>
  <c r="D307" i="4"/>
  <c r="E307" i="4" s="1"/>
  <c r="G307" i="4" s="1"/>
  <c r="B308" i="4" s="1"/>
  <c r="E322" i="7" l="1"/>
  <c r="G322" i="7" s="1"/>
  <c r="B323" i="7" s="1"/>
  <c r="D323" i="7" s="1"/>
  <c r="E316" i="6"/>
  <c r="G316" i="6" s="1"/>
  <c r="B317" i="6" s="1"/>
  <c r="D317" i="6" s="1"/>
  <c r="D310" i="5"/>
  <c r="E310" i="5" s="1"/>
  <c r="G310" i="5" s="1"/>
  <c r="B311" i="5" s="1"/>
  <c r="D308" i="4"/>
  <c r="E308" i="4" s="1"/>
  <c r="G308" i="4" s="1"/>
  <c r="B309" i="4" s="1"/>
  <c r="E323" i="7" l="1"/>
  <c r="G323" i="7" s="1"/>
  <c r="B324" i="7" s="1"/>
  <c r="D324" i="7" s="1"/>
  <c r="E317" i="6"/>
  <c r="G317" i="6" s="1"/>
  <c r="B318" i="6" s="1"/>
  <c r="D318" i="6" s="1"/>
  <c r="D311" i="5"/>
  <c r="E311" i="5" s="1"/>
  <c r="G311" i="5" s="1"/>
  <c r="B312" i="5" s="1"/>
  <c r="D309" i="4"/>
  <c r="E309" i="4" s="1"/>
  <c r="G309" i="4" s="1"/>
  <c r="B310" i="4" s="1"/>
  <c r="E324" i="7" l="1"/>
  <c r="G324" i="7" s="1"/>
  <c r="B325" i="7" s="1"/>
  <c r="D325" i="7" s="1"/>
  <c r="E318" i="6"/>
  <c r="G318" i="6" s="1"/>
  <c r="B319" i="6" s="1"/>
  <c r="D319" i="6" s="1"/>
  <c r="D312" i="5"/>
  <c r="E312" i="5" s="1"/>
  <c r="G312" i="5" s="1"/>
  <c r="B313" i="5" s="1"/>
  <c r="D310" i="4"/>
  <c r="E310" i="4" s="1"/>
  <c r="G310" i="4" s="1"/>
  <c r="B311" i="4" s="1"/>
  <c r="E325" i="7" l="1"/>
  <c r="G325" i="7" s="1"/>
  <c r="B326" i="7" s="1"/>
  <c r="D326" i="7" s="1"/>
  <c r="E319" i="6"/>
  <c r="G319" i="6" s="1"/>
  <c r="B320" i="6" s="1"/>
  <c r="D320" i="6" s="1"/>
  <c r="D313" i="5"/>
  <c r="E313" i="5" s="1"/>
  <c r="G313" i="5" s="1"/>
  <c r="B314" i="5" s="1"/>
  <c r="D311" i="4"/>
  <c r="E311" i="4" s="1"/>
  <c r="G311" i="4" s="1"/>
  <c r="B312" i="4" s="1"/>
  <c r="E326" i="7" l="1"/>
  <c r="G326" i="7" s="1"/>
  <c r="B327" i="7" s="1"/>
  <c r="D327" i="7" s="1"/>
  <c r="E320" i="6"/>
  <c r="G320" i="6" s="1"/>
  <c r="B321" i="6" s="1"/>
  <c r="D321" i="6" s="1"/>
  <c r="D314" i="5"/>
  <c r="E314" i="5" s="1"/>
  <c r="G314" i="5" s="1"/>
  <c r="B315" i="5" s="1"/>
  <c r="D312" i="4"/>
  <c r="E312" i="4" s="1"/>
  <c r="G312" i="4" s="1"/>
  <c r="B313" i="4" s="1"/>
  <c r="E327" i="7" l="1"/>
  <c r="G327" i="7" s="1"/>
  <c r="B328" i="7" s="1"/>
  <c r="D328" i="7" s="1"/>
  <c r="E321" i="6"/>
  <c r="G321" i="6" s="1"/>
  <c r="B322" i="6" s="1"/>
  <c r="D322" i="6" s="1"/>
  <c r="D315" i="5"/>
  <c r="E315" i="5" s="1"/>
  <c r="G315" i="5" s="1"/>
  <c r="B316" i="5" s="1"/>
  <c r="D313" i="4"/>
  <c r="E313" i="4" s="1"/>
  <c r="G313" i="4" s="1"/>
  <c r="B314" i="4" s="1"/>
  <c r="E328" i="7" l="1"/>
  <c r="G328" i="7" s="1"/>
  <c r="B329" i="7" s="1"/>
  <c r="D329" i="7" s="1"/>
  <c r="E322" i="6"/>
  <c r="G322" i="6" s="1"/>
  <c r="B323" i="6" s="1"/>
  <c r="D323" i="6" s="1"/>
  <c r="D316" i="5"/>
  <c r="E316" i="5" s="1"/>
  <c r="G316" i="5" s="1"/>
  <c r="B317" i="5" s="1"/>
  <c r="D314" i="4"/>
  <c r="E314" i="4" s="1"/>
  <c r="G314" i="4" s="1"/>
  <c r="B315" i="4" s="1"/>
  <c r="E329" i="7" l="1"/>
  <c r="G329" i="7" s="1"/>
  <c r="B330" i="7" s="1"/>
  <c r="D330" i="7" s="1"/>
  <c r="E323" i="6"/>
  <c r="G323" i="6" s="1"/>
  <c r="B324" i="6" s="1"/>
  <c r="D324" i="6" s="1"/>
  <c r="D317" i="5"/>
  <c r="E317" i="5" s="1"/>
  <c r="G317" i="5" s="1"/>
  <c r="B318" i="5" s="1"/>
  <c r="D315" i="4"/>
  <c r="E315" i="4" s="1"/>
  <c r="G315" i="4" s="1"/>
  <c r="B316" i="4" s="1"/>
  <c r="E330" i="7" l="1"/>
  <c r="G330" i="7" s="1"/>
  <c r="B331" i="7" s="1"/>
  <c r="D331" i="7" s="1"/>
  <c r="E324" i="6"/>
  <c r="G324" i="6" s="1"/>
  <c r="B325" i="6" s="1"/>
  <c r="D325" i="6" s="1"/>
  <c r="D318" i="5"/>
  <c r="E318" i="5" s="1"/>
  <c r="G318" i="5" s="1"/>
  <c r="B319" i="5" s="1"/>
  <c r="D316" i="4"/>
  <c r="E316" i="4" s="1"/>
  <c r="G316" i="4" s="1"/>
  <c r="B317" i="4" s="1"/>
  <c r="E331" i="7" l="1"/>
  <c r="G331" i="7" s="1"/>
  <c r="B332" i="7" s="1"/>
  <c r="D332" i="7" s="1"/>
  <c r="E325" i="6"/>
  <c r="G325" i="6" s="1"/>
  <c r="B326" i="6" s="1"/>
  <c r="D326" i="6" s="1"/>
  <c r="D319" i="5"/>
  <c r="E319" i="5" s="1"/>
  <c r="G319" i="5" s="1"/>
  <c r="B320" i="5" s="1"/>
  <c r="D317" i="4"/>
  <c r="E317" i="4" s="1"/>
  <c r="G317" i="4" s="1"/>
  <c r="B318" i="4" s="1"/>
  <c r="E332" i="7" l="1"/>
  <c r="G332" i="7" s="1"/>
  <c r="B333" i="7" s="1"/>
  <c r="D333" i="7" s="1"/>
  <c r="E326" i="6"/>
  <c r="G326" i="6" s="1"/>
  <c r="B327" i="6" s="1"/>
  <c r="D327" i="6" s="1"/>
  <c r="D320" i="5"/>
  <c r="E320" i="5" s="1"/>
  <c r="G320" i="5" s="1"/>
  <c r="B321" i="5" s="1"/>
  <c r="D318" i="4"/>
  <c r="E318" i="4" s="1"/>
  <c r="G318" i="4" s="1"/>
  <c r="B319" i="4" s="1"/>
  <c r="E333" i="7" l="1"/>
  <c r="G333" i="7" s="1"/>
  <c r="B334" i="7" s="1"/>
  <c r="D334" i="7" s="1"/>
  <c r="E327" i="6"/>
  <c r="G327" i="6" s="1"/>
  <c r="B328" i="6" s="1"/>
  <c r="D328" i="6" s="1"/>
  <c r="D321" i="5"/>
  <c r="E321" i="5" s="1"/>
  <c r="G321" i="5" s="1"/>
  <c r="B322" i="5" s="1"/>
  <c r="D319" i="4"/>
  <c r="E319" i="4" s="1"/>
  <c r="G319" i="4" s="1"/>
  <c r="B320" i="4" s="1"/>
  <c r="E334" i="7" l="1"/>
  <c r="G334" i="7" s="1"/>
  <c r="B335" i="7" s="1"/>
  <c r="D335" i="7" s="1"/>
  <c r="E328" i="6"/>
  <c r="G328" i="6" s="1"/>
  <c r="B329" i="6" s="1"/>
  <c r="D329" i="6" s="1"/>
  <c r="D322" i="5"/>
  <c r="E322" i="5" s="1"/>
  <c r="G322" i="5" s="1"/>
  <c r="B323" i="5" s="1"/>
  <c r="D320" i="4"/>
  <c r="E320" i="4" s="1"/>
  <c r="G320" i="4" s="1"/>
  <c r="B321" i="4" s="1"/>
  <c r="E335" i="7" l="1"/>
  <c r="G335" i="7" s="1"/>
  <c r="B336" i="7" s="1"/>
  <c r="D336" i="7" s="1"/>
  <c r="E329" i="6"/>
  <c r="G329" i="6" s="1"/>
  <c r="B330" i="6" s="1"/>
  <c r="D330" i="6" s="1"/>
  <c r="D323" i="5"/>
  <c r="E323" i="5" s="1"/>
  <c r="G323" i="5" s="1"/>
  <c r="B324" i="5" s="1"/>
  <c r="D321" i="4"/>
  <c r="E321" i="4" s="1"/>
  <c r="G321" i="4" s="1"/>
  <c r="B322" i="4" s="1"/>
  <c r="E336" i="7" l="1"/>
  <c r="G336" i="7" s="1"/>
  <c r="B337" i="7" s="1"/>
  <c r="D337" i="7" s="1"/>
  <c r="E330" i="6"/>
  <c r="G330" i="6" s="1"/>
  <c r="B331" i="6" s="1"/>
  <c r="D331" i="6" s="1"/>
  <c r="D324" i="5"/>
  <c r="E324" i="5" s="1"/>
  <c r="G324" i="5" s="1"/>
  <c r="B325" i="5" s="1"/>
  <c r="D322" i="4"/>
  <c r="E322" i="4" s="1"/>
  <c r="G322" i="4" s="1"/>
  <c r="B323" i="4" s="1"/>
  <c r="E337" i="7" l="1"/>
  <c r="G337" i="7" s="1"/>
  <c r="B338" i="7" s="1"/>
  <c r="D338" i="7" s="1"/>
  <c r="E331" i="6"/>
  <c r="G331" i="6" s="1"/>
  <c r="B332" i="6" s="1"/>
  <c r="D332" i="6" s="1"/>
  <c r="D325" i="5"/>
  <c r="E325" i="5" s="1"/>
  <c r="G325" i="5" s="1"/>
  <c r="B326" i="5" s="1"/>
  <c r="D323" i="4"/>
  <c r="E323" i="4" s="1"/>
  <c r="G323" i="4" s="1"/>
  <c r="B324" i="4" s="1"/>
  <c r="E338" i="7" l="1"/>
  <c r="G338" i="7" s="1"/>
  <c r="B339" i="7" s="1"/>
  <c r="D339" i="7" s="1"/>
  <c r="E332" i="6"/>
  <c r="G332" i="6" s="1"/>
  <c r="B333" i="6" s="1"/>
  <c r="D333" i="6" s="1"/>
  <c r="D326" i="5"/>
  <c r="E326" i="5" s="1"/>
  <c r="G326" i="5" s="1"/>
  <c r="B327" i="5" s="1"/>
  <c r="D324" i="4"/>
  <c r="E324" i="4" s="1"/>
  <c r="G324" i="4" s="1"/>
  <c r="B325" i="4" s="1"/>
  <c r="E339" i="7" l="1"/>
  <c r="G339" i="7" s="1"/>
  <c r="B340" i="7" s="1"/>
  <c r="D340" i="7" s="1"/>
  <c r="E333" i="6"/>
  <c r="G333" i="6" s="1"/>
  <c r="B334" i="6" s="1"/>
  <c r="D334" i="6" s="1"/>
  <c r="D327" i="5"/>
  <c r="E327" i="5" s="1"/>
  <c r="G327" i="5" s="1"/>
  <c r="B328" i="5" s="1"/>
  <c r="D325" i="4"/>
  <c r="E325" i="4" s="1"/>
  <c r="G325" i="4" s="1"/>
  <c r="B326" i="4" s="1"/>
  <c r="E340" i="7" l="1"/>
  <c r="G340" i="7" s="1"/>
  <c r="B341" i="7" s="1"/>
  <c r="D341" i="7" s="1"/>
  <c r="E334" i="6"/>
  <c r="G334" i="6" s="1"/>
  <c r="B335" i="6" s="1"/>
  <c r="D335" i="6" s="1"/>
  <c r="D328" i="5"/>
  <c r="E328" i="5" s="1"/>
  <c r="G328" i="5" s="1"/>
  <c r="B329" i="5" s="1"/>
  <c r="D326" i="4"/>
  <c r="E326" i="4" s="1"/>
  <c r="G326" i="4" s="1"/>
  <c r="B327" i="4" s="1"/>
  <c r="E341" i="7" l="1"/>
  <c r="G341" i="7" s="1"/>
  <c r="B342" i="7" s="1"/>
  <c r="D342" i="7" s="1"/>
  <c r="E335" i="6"/>
  <c r="G335" i="6" s="1"/>
  <c r="B336" i="6" s="1"/>
  <c r="D336" i="6" s="1"/>
  <c r="D329" i="5"/>
  <c r="E329" i="5" s="1"/>
  <c r="G329" i="5" s="1"/>
  <c r="B330" i="5" s="1"/>
  <c r="D327" i="4"/>
  <c r="E327" i="4" s="1"/>
  <c r="G327" i="4" s="1"/>
  <c r="B328" i="4" s="1"/>
  <c r="E342" i="7" l="1"/>
  <c r="G342" i="7" s="1"/>
  <c r="B343" i="7" s="1"/>
  <c r="D343" i="7" s="1"/>
  <c r="E336" i="6"/>
  <c r="G336" i="6" s="1"/>
  <c r="B337" i="6" s="1"/>
  <c r="D337" i="6" s="1"/>
  <c r="D330" i="5"/>
  <c r="E330" i="5" s="1"/>
  <c r="G330" i="5" s="1"/>
  <c r="B331" i="5" s="1"/>
  <c r="D328" i="4"/>
  <c r="E328" i="4" s="1"/>
  <c r="G328" i="4" s="1"/>
  <c r="B329" i="4" s="1"/>
  <c r="E343" i="7" l="1"/>
  <c r="G343" i="7" s="1"/>
  <c r="B344" i="7" s="1"/>
  <c r="D344" i="7" s="1"/>
  <c r="E337" i="6"/>
  <c r="G337" i="6" s="1"/>
  <c r="B338" i="6" s="1"/>
  <c r="D338" i="6" s="1"/>
  <c r="D331" i="5"/>
  <c r="E331" i="5" s="1"/>
  <c r="G331" i="5" s="1"/>
  <c r="B332" i="5" s="1"/>
  <c r="D329" i="4"/>
  <c r="E329" i="4" s="1"/>
  <c r="G329" i="4" s="1"/>
  <c r="B330" i="4" s="1"/>
  <c r="E344" i="7" l="1"/>
  <c r="G344" i="7" s="1"/>
  <c r="B345" i="7" s="1"/>
  <c r="D345" i="7" s="1"/>
  <c r="E338" i="6"/>
  <c r="G338" i="6" s="1"/>
  <c r="B339" i="6" s="1"/>
  <c r="D339" i="6" s="1"/>
  <c r="D332" i="5"/>
  <c r="E332" i="5" s="1"/>
  <c r="G332" i="5" s="1"/>
  <c r="B333" i="5" s="1"/>
  <c r="D330" i="4"/>
  <c r="E330" i="4" s="1"/>
  <c r="G330" i="4" s="1"/>
  <c r="B331" i="4" s="1"/>
  <c r="E345" i="7" l="1"/>
  <c r="G345" i="7" s="1"/>
  <c r="B346" i="7" s="1"/>
  <c r="D346" i="7" s="1"/>
  <c r="E339" i="6"/>
  <c r="G339" i="6" s="1"/>
  <c r="B340" i="6" s="1"/>
  <c r="D340" i="6" s="1"/>
  <c r="D333" i="5"/>
  <c r="E333" i="5" s="1"/>
  <c r="G333" i="5" s="1"/>
  <c r="B334" i="5" s="1"/>
  <c r="D331" i="4"/>
  <c r="E331" i="4" s="1"/>
  <c r="G331" i="4" s="1"/>
  <c r="B332" i="4" s="1"/>
  <c r="E346" i="7" l="1"/>
  <c r="G346" i="7" s="1"/>
  <c r="B347" i="7" s="1"/>
  <c r="D347" i="7" s="1"/>
  <c r="D334" i="5"/>
  <c r="E334" i="5" s="1"/>
  <c r="G334" i="5" s="1"/>
  <c r="B335" i="5" s="1"/>
  <c r="D332" i="4"/>
  <c r="E332" i="4" s="1"/>
  <c r="G332" i="4" s="1"/>
  <c r="B333" i="4" s="1"/>
  <c r="E347" i="7" l="1"/>
  <c r="E340" i="6"/>
  <c r="G340" i="6" s="1"/>
  <c r="B341" i="6" s="1"/>
  <c r="D335" i="5"/>
  <c r="E335" i="5" s="1"/>
  <c r="G335" i="5" s="1"/>
  <c r="B336" i="5" s="1"/>
  <c r="D333" i="4"/>
  <c r="E333" i="4" s="1"/>
  <c r="G333" i="4" s="1"/>
  <c r="B334" i="4" s="1"/>
  <c r="G347" i="7" l="1"/>
  <c r="E348" i="7"/>
  <c r="D341" i="6"/>
  <c r="D342" i="6" s="1"/>
  <c r="D336" i="5"/>
  <c r="E336" i="5" s="1"/>
  <c r="G336" i="5" s="1"/>
  <c r="B337" i="5" s="1"/>
  <c r="D334" i="4"/>
  <c r="E334" i="4" s="1"/>
  <c r="G334" i="4" s="1"/>
  <c r="B335" i="4" s="1"/>
  <c r="E341" i="6" l="1"/>
  <c r="G341" i="6" s="1"/>
  <c r="B342" i="6"/>
  <c r="E342" i="6" s="1"/>
  <c r="O3" i="6"/>
  <c r="P3" i="6" s="1"/>
  <c r="D337" i="5"/>
  <c r="E337" i="5" s="1"/>
  <c r="G337" i="5" s="1"/>
  <c r="B338" i="5" s="1"/>
  <c r="D335" i="4"/>
  <c r="E335" i="4" s="1"/>
  <c r="G335" i="4" s="1"/>
  <c r="B336" i="4" s="1"/>
  <c r="D338" i="5" l="1"/>
  <c r="E338" i="5" s="1"/>
  <c r="G338" i="5" s="1"/>
  <c r="B339" i="5" s="1"/>
  <c r="D336" i="4"/>
  <c r="E336" i="4" s="1"/>
  <c r="G336" i="4" s="1"/>
  <c r="B337" i="4" s="1"/>
  <c r="D339" i="5" l="1"/>
  <c r="E339" i="5" s="1"/>
  <c r="G339" i="5" s="1"/>
  <c r="B340" i="5" s="1"/>
  <c r="D337" i="4"/>
  <c r="E337" i="4" s="1"/>
  <c r="G337" i="4" s="1"/>
  <c r="B338" i="4" s="1"/>
  <c r="D340" i="5" l="1"/>
  <c r="E340" i="5" s="1"/>
  <c r="G340" i="5" s="1"/>
  <c r="B341" i="5" s="1"/>
  <c r="D338" i="4"/>
  <c r="E338" i="4" s="1"/>
  <c r="G338" i="4" s="1"/>
  <c r="B339" i="4" s="1"/>
  <c r="D341" i="5" l="1"/>
  <c r="D339" i="4"/>
  <c r="E339" i="4" s="1"/>
  <c r="G339" i="4" s="1"/>
  <c r="B340" i="4" s="1"/>
  <c r="E341" i="5" l="1"/>
  <c r="G341" i="5" s="1"/>
  <c r="B342" i="5" s="1"/>
  <c r="D340" i="4"/>
  <c r="E340" i="4" s="1"/>
  <c r="G340" i="4" s="1"/>
  <c r="B341" i="4" s="1"/>
  <c r="D342" i="5" l="1"/>
  <c r="E342" i="5" s="1"/>
  <c r="G342" i="5" s="1"/>
  <c r="B343" i="5" s="1"/>
  <c r="D343" i="5" s="1"/>
  <c r="E343" i="5" s="1"/>
  <c r="G343" i="5" s="1"/>
  <c r="B344" i="5" s="1"/>
  <c r="D344" i="5" s="1"/>
  <c r="E344" i="5" s="1"/>
  <c r="G344" i="5" s="1"/>
  <c r="B345" i="5" s="1"/>
  <c r="D341" i="4"/>
  <c r="E341" i="4" s="1"/>
  <c r="G341" i="4" s="1"/>
  <c r="B342" i="4" s="1"/>
  <c r="D345" i="5" l="1"/>
  <c r="E345" i="5" s="1"/>
  <c r="G345" i="5" s="1"/>
  <c r="B346" i="5" s="1"/>
  <c r="D346" i="5" s="1"/>
  <c r="E346" i="5" s="1"/>
  <c r="G346" i="5" s="1"/>
  <c r="B347" i="5" s="1"/>
  <c r="D342" i="4"/>
  <c r="E342" i="4" s="1"/>
  <c r="G342" i="4" s="1"/>
  <c r="B343" i="4" s="1"/>
  <c r="D347" i="5" l="1"/>
  <c r="E347" i="5" s="1"/>
  <c r="G347" i="5" s="1"/>
  <c r="B348" i="5" s="1"/>
  <c r="D343" i="4"/>
  <c r="E343" i="4" s="1"/>
  <c r="G343" i="4" s="1"/>
  <c r="B344" i="4" s="1"/>
  <c r="D348" i="5" l="1"/>
  <c r="E348" i="5" s="1"/>
  <c r="G348" i="5" s="1"/>
  <c r="B349" i="5" s="1"/>
  <c r="D344" i="4"/>
  <c r="E344" i="4" s="1"/>
  <c r="G344" i="4" s="1"/>
  <c r="B345" i="4" s="1"/>
  <c r="D349" i="5" l="1"/>
  <c r="E349" i="5" s="1"/>
  <c r="G349" i="5" s="1"/>
  <c r="B350" i="5" s="1"/>
  <c r="D350" i="5" s="1"/>
  <c r="E350" i="5" s="1"/>
  <c r="G350" i="5" s="1"/>
  <c r="B351" i="5" s="1"/>
  <c r="D345" i="4"/>
  <c r="E345" i="4" s="1"/>
  <c r="G345" i="4" s="1"/>
  <c r="B346" i="4" s="1"/>
  <c r="D351" i="5" l="1"/>
  <c r="E351" i="5" s="1"/>
  <c r="G351" i="5" s="1"/>
  <c r="B352" i="5" s="1"/>
  <c r="D346" i="4"/>
  <c r="E346" i="4" s="1"/>
  <c r="G346" i="4" s="1"/>
  <c r="B347" i="4" s="1"/>
  <c r="D352" i="5" l="1"/>
  <c r="E352" i="5" s="1"/>
  <c r="G352" i="5" s="1"/>
  <c r="B353" i="5" s="1"/>
  <c r="D347" i="4"/>
  <c r="E347" i="4" s="1"/>
  <c r="G347" i="4" s="1"/>
  <c r="B348" i="4" s="1"/>
  <c r="D353" i="5" l="1"/>
  <c r="E353" i="5" s="1"/>
  <c r="G353" i="5" s="1"/>
  <c r="B354" i="5" s="1"/>
  <c r="D348" i="4"/>
  <c r="E348" i="4" s="1"/>
  <c r="G348" i="4" s="1"/>
  <c r="B349" i="4" s="1"/>
  <c r="D354" i="5" l="1"/>
  <c r="E354" i="5" s="1"/>
  <c r="G354" i="5" s="1"/>
  <c r="B355" i="5" s="1"/>
  <c r="D349" i="4"/>
  <c r="E349" i="4" s="1"/>
  <c r="G349" i="4" s="1"/>
  <c r="B350" i="4" s="1"/>
  <c r="D355" i="5" l="1"/>
  <c r="E355" i="5" s="1"/>
  <c r="G355" i="5" s="1"/>
  <c r="B356" i="5" s="1"/>
  <c r="D350" i="4"/>
  <c r="E350" i="4" s="1"/>
  <c r="G350" i="4" s="1"/>
  <c r="B351" i="4" s="1"/>
  <c r="D356" i="5" l="1"/>
  <c r="E356" i="5" s="1"/>
  <c r="G356" i="5" s="1"/>
  <c r="B357" i="5" s="1"/>
  <c r="D357" i="5" s="1"/>
  <c r="E357" i="5" s="1"/>
  <c r="G357" i="5" s="1"/>
  <c r="B358" i="5" s="1"/>
  <c r="D358" i="5" s="1"/>
  <c r="E358" i="5" s="1"/>
  <c r="G358" i="5" s="1"/>
  <c r="B359" i="5" s="1"/>
  <c r="D359" i="5" s="1"/>
  <c r="E359" i="5" s="1"/>
  <c r="G359" i="5" s="1"/>
  <c r="B360" i="5" s="1"/>
  <c r="D360" i="5" s="1"/>
  <c r="E360" i="5" s="1"/>
  <c r="G360" i="5" s="1"/>
  <c r="B361" i="5" s="1"/>
  <c r="D361" i="5" s="1"/>
  <c r="D351" i="4"/>
  <c r="E351" i="4" s="1"/>
  <c r="G351" i="4" s="1"/>
  <c r="B352" i="4" s="1"/>
  <c r="E361" i="5" l="1"/>
  <c r="G361" i="5" s="1"/>
  <c r="D362" i="5"/>
  <c r="O4" i="5" s="1"/>
  <c r="D352" i="4"/>
  <c r="E352" i="4" s="1"/>
  <c r="G352" i="4" s="1"/>
  <c r="B353" i="4" s="1"/>
  <c r="O3" i="5" l="1"/>
  <c r="P3" i="5" s="1"/>
  <c r="P4" i="5"/>
  <c r="D353" i="4"/>
  <c r="E353" i="4"/>
  <c r="G353" i="4" s="1"/>
  <c r="B354" i="4" s="1"/>
  <c r="D354" i="4" l="1"/>
  <c r="E354" i="4"/>
  <c r="G354" i="4" s="1"/>
  <c r="B355" i="4" s="1"/>
  <c r="D355" i="4" l="1"/>
  <c r="E355" i="4"/>
  <c r="G355" i="4" s="1"/>
  <c r="B356" i="4" s="1"/>
  <c r="D356" i="4" l="1"/>
  <c r="E356" i="4"/>
  <c r="G356" i="4" s="1"/>
  <c r="B357" i="4" s="1"/>
  <c r="D357" i="4" l="1"/>
  <c r="E357" i="4"/>
  <c r="G357" i="4" s="1"/>
  <c r="B358" i="4" s="1"/>
  <c r="D358" i="4" l="1"/>
  <c r="E358" i="4"/>
  <c r="G358" i="4" s="1"/>
  <c r="B359" i="4" s="1"/>
  <c r="D359" i="4" l="1"/>
  <c r="E359" i="4"/>
  <c r="G359" i="4" s="1"/>
  <c r="B360" i="4" s="1"/>
  <c r="D360" i="4" l="1"/>
  <c r="E360" i="4"/>
  <c r="G360" i="4" s="1"/>
  <c r="B361" i="4" s="1"/>
  <c r="D361" i="4" l="1"/>
  <c r="E361" i="4"/>
  <c r="G361" i="4" s="1"/>
  <c r="B362" i="4" s="1"/>
  <c r="D362" i="4" l="1"/>
  <c r="E362" i="4"/>
  <c r="G362" i="4" s="1"/>
  <c r="B363" i="4" s="1"/>
  <c r="D363" i="4" l="1"/>
  <c r="E363" i="4"/>
  <c r="G363" i="4" s="1"/>
  <c r="B364" i="4" s="1"/>
  <c r="D364" i="4" l="1"/>
  <c r="E364" i="4"/>
  <c r="G364" i="4" s="1"/>
  <c r="B365" i="4" s="1"/>
  <c r="D365" i="4" l="1"/>
  <c r="E365" i="4"/>
  <c r="G365" i="4" s="1"/>
  <c r="B366" i="4" s="1"/>
  <c r="D366" i="4" l="1"/>
  <c r="E366" i="4"/>
  <c r="G366" i="4" s="1"/>
  <c r="B367" i="4" s="1"/>
  <c r="D367" i="4" l="1"/>
  <c r="E367" i="4"/>
  <c r="G367" i="4" s="1"/>
  <c r="B368" i="4" s="1"/>
  <c r="D368" i="4" l="1"/>
  <c r="E368" i="4"/>
  <c r="G368" i="4" s="1"/>
  <c r="B369" i="4" s="1"/>
  <c r="D369" i="4" l="1"/>
  <c r="E369" i="4" s="1"/>
  <c r="G369" i="4" s="1"/>
  <c r="B370" i="4" s="1"/>
  <c r="D370" i="4" l="1"/>
  <c r="D371" i="4" s="1"/>
  <c r="O3" i="4" s="1"/>
  <c r="E370" i="4"/>
  <c r="G370" i="4" s="1"/>
  <c r="J370" i="2" l="1"/>
  <c r="J352" i="2"/>
  <c r="J340" i="2"/>
  <c r="H340" i="2"/>
  <c r="N3" i="2" s="1"/>
  <c r="O3" i="2" s="1"/>
  <c r="P3" i="2" s="1"/>
  <c r="J339" i="2"/>
  <c r="J189" i="2"/>
  <c r="J68" i="2"/>
  <c r="F32" i="2"/>
  <c r="F31" i="2"/>
  <c r="F30" i="2"/>
  <c r="F29" i="2"/>
  <c r="F28" i="2"/>
  <c r="F27" i="2"/>
  <c r="O26" i="2"/>
  <c r="F26" i="2"/>
  <c r="F25" i="2"/>
  <c r="K24" i="2"/>
  <c r="F24" i="2"/>
  <c r="K23" i="2"/>
  <c r="F23" i="2"/>
  <c r="O22" i="2"/>
  <c r="K22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33" i="2" s="1"/>
  <c r="N4" i="2" s="1"/>
  <c r="O4" i="2" s="1"/>
  <c r="P4" i="2" s="1"/>
  <c r="D5" i="2"/>
  <c r="O24" i="2" s="1"/>
  <c r="M4" i="2"/>
  <c r="K4" i="2"/>
  <c r="R4" i="2" s="1"/>
  <c r="S3" i="2"/>
  <c r="L3" i="2"/>
  <c r="K3" i="2"/>
  <c r="R3" i="2" s="1"/>
  <c r="J370" i="3"/>
  <c r="J352" i="3"/>
  <c r="J340" i="3"/>
  <c r="J339" i="3"/>
  <c r="H229" i="3"/>
  <c r="J228" i="3"/>
  <c r="J189" i="3"/>
  <c r="J68" i="3"/>
  <c r="O26" i="3"/>
  <c r="K24" i="3"/>
  <c r="K23" i="3"/>
  <c r="O22" i="3"/>
  <c r="K22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D5" i="3"/>
  <c r="O24" i="3" s="1"/>
  <c r="N4" i="3"/>
  <c r="K4" i="3"/>
  <c r="R4" i="3" s="1"/>
  <c r="S3" i="3"/>
  <c r="U3" i="3" s="1"/>
  <c r="N3" i="3"/>
  <c r="L3" i="3"/>
  <c r="K3" i="3"/>
  <c r="R3" i="3" s="1"/>
  <c r="M24" i="3" l="1"/>
  <c r="M22" i="2"/>
  <c r="E5" i="2"/>
  <c r="G5" i="2" s="1"/>
  <c r="B6" i="2" s="1"/>
  <c r="M24" i="2"/>
  <c r="M22" i="3"/>
  <c r="E5" i="3"/>
  <c r="G5" i="3" s="1"/>
  <c r="B6" i="3" s="1"/>
  <c r="M23" i="3"/>
  <c r="D6" i="3"/>
  <c r="E6" i="3" s="1"/>
  <c r="G6" i="3" s="1"/>
  <c r="B7" i="3" s="1"/>
  <c r="O4" i="3"/>
  <c r="P4" i="3" s="1"/>
  <c r="D6" i="2" l="1"/>
  <c r="E6" i="2" s="1"/>
  <c r="G6" i="2" s="1"/>
  <c r="B7" i="2" s="1"/>
  <c r="M23" i="2"/>
  <c r="D7" i="3"/>
  <c r="E7" i="3" s="1"/>
  <c r="G7" i="3" s="1"/>
  <c r="B8" i="3" s="1"/>
  <c r="D7" i="2" l="1"/>
  <c r="E7" i="2" s="1"/>
  <c r="G7" i="2" s="1"/>
  <c r="B8" i="2" s="1"/>
  <c r="D8" i="3"/>
  <c r="E8" i="3" s="1"/>
  <c r="G8" i="3" s="1"/>
  <c r="B9" i="3" s="1"/>
  <c r="D8" i="2" l="1"/>
  <c r="E8" i="2"/>
  <c r="G8" i="2" s="1"/>
  <c r="B9" i="2" s="1"/>
  <c r="D9" i="3"/>
  <c r="E9" i="3" s="1"/>
  <c r="G9" i="3" s="1"/>
  <c r="B10" i="3" s="1"/>
  <c r="D9" i="2" l="1"/>
  <c r="E9" i="2" s="1"/>
  <c r="G9" i="2" s="1"/>
  <c r="B10" i="2" s="1"/>
  <c r="D10" i="3"/>
  <c r="E10" i="3" s="1"/>
  <c r="G10" i="3" s="1"/>
  <c r="B11" i="3" s="1"/>
  <c r="D10" i="2" l="1"/>
  <c r="E10" i="2" s="1"/>
  <c r="G10" i="2" s="1"/>
  <c r="B11" i="2" s="1"/>
  <c r="D11" i="3"/>
  <c r="E11" i="3" s="1"/>
  <c r="G11" i="3" s="1"/>
  <c r="B12" i="3" s="1"/>
  <c r="D11" i="2" l="1"/>
  <c r="E11" i="2" s="1"/>
  <c r="G11" i="2" s="1"/>
  <c r="B12" i="2" s="1"/>
  <c r="D12" i="3"/>
  <c r="E12" i="3" s="1"/>
  <c r="G12" i="3" s="1"/>
  <c r="B13" i="3" s="1"/>
  <c r="D12" i="2" l="1"/>
  <c r="E12" i="2"/>
  <c r="G12" i="2" s="1"/>
  <c r="B13" i="2" s="1"/>
  <c r="D13" i="3"/>
  <c r="E13" i="3" s="1"/>
  <c r="G13" i="3" s="1"/>
  <c r="B14" i="3" s="1"/>
  <c r="D13" i="2" l="1"/>
  <c r="E13" i="2" s="1"/>
  <c r="G13" i="2" s="1"/>
  <c r="B14" i="2" s="1"/>
  <c r="D14" i="3"/>
  <c r="E14" i="3" s="1"/>
  <c r="G14" i="3" s="1"/>
  <c r="B15" i="3" s="1"/>
  <c r="D14" i="2" l="1"/>
  <c r="E14" i="2"/>
  <c r="G14" i="2" s="1"/>
  <c r="B15" i="2" s="1"/>
  <c r="D15" i="3"/>
  <c r="E15" i="3" s="1"/>
  <c r="G15" i="3" s="1"/>
  <c r="B16" i="3" s="1"/>
  <c r="D15" i="2" l="1"/>
  <c r="E15" i="2" s="1"/>
  <c r="G15" i="2" s="1"/>
  <c r="B16" i="2" s="1"/>
  <c r="D16" i="3"/>
  <c r="E16" i="3" s="1"/>
  <c r="G16" i="3" s="1"/>
  <c r="B17" i="3" s="1"/>
  <c r="D16" i="2" l="1"/>
  <c r="E16" i="2"/>
  <c r="G16" i="2" s="1"/>
  <c r="B17" i="2" s="1"/>
  <c r="D17" i="3"/>
  <c r="E17" i="3" s="1"/>
  <c r="G17" i="3" s="1"/>
  <c r="B18" i="3" s="1"/>
  <c r="D17" i="2" l="1"/>
  <c r="E17" i="2" s="1"/>
  <c r="G17" i="2" s="1"/>
  <c r="B18" i="2" s="1"/>
  <c r="D18" i="3"/>
  <c r="E18" i="3" s="1"/>
  <c r="G18" i="3" s="1"/>
  <c r="B19" i="3" s="1"/>
  <c r="D18" i="2" l="1"/>
  <c r="E18" i="2"/>
  <c r="G18" i="2" s="1"/>
  <c r="B19" i="2" s="1"/>
  <c r="D19" i="3"/>
  <c r="E19" i="3" s="1"/>
  <c r="G19" i="3" s="1"/>
  <c r="B20" i="3" s="1"/>
  <c r="D19" i="2" l="1"/>
  <c r="E19" i="2" s="1"/>
  <c r="G19" i="2" s="1"/>
  <c r="B20" i="2" s="1"/>
  <c r="D20" i="3"/>
  <c r="E20" i="3" s="1"/>
  <c r="G20" i="3" s="1"/>
  <c r="B21" i="3" s="1"/>
  <c r="D20" i="2" l="1"/>
  <c r="E20" i="2"/>
  <c r="G20" i="2" s="1"/>
  <c r="B21" i="2" s="1"/>
  <c r="D21" i="3"/>
  <c r="E21" i="3" s="1"/>
  <c r="G21" i="3" s="1"/>
  <c r="B22" i="3" s="1"/>
  <c r="D21" i="2" l="1"/>
  <c r="E21" i="2" s="1"/>
  <c r="G21" i="2" s="1"/>
  <c r="B22" i="2" s="1"/>
  <c r="D22" i="3"/>
  <c r="E22" i="3" s="1"/>
  <c r="G22" i="3" s="1"/>
  <c r="B23" i="3" s="1"/>
  <c r="D22" i="2" l="1"/>
  <c r="E22" i="2" s="1"/>
  <c r="G22" i="2" s="1"/>
  <c r="B23" i="2" s="1"/>
  <c r="D23" i="3"/>
  <c r="E23" i="3" s="1"/>
  <c r="G23" i="3" s="1"/>
  <c r="B24" i="3" s="1"/>
  <c r="D23" i="2" l="1"/>
  <c r="E23" i="2"/>
  <c r="G23" i="2" s="1"/>
  <c r="B24" i="2" s="1"/>
  <c r="D24" i="3"/>
  <c r="E24" i="3" s="1"/>
  <c r="G24" i="3" s="1"/>
  <c r="B25" i="3" s="1"/>
  <c r="D24" i="2" l="1"/>
  <c r="E24" i="2" s="1"/>
  <c r="G24" i="2" s="1"/>
  <c r="B25" i="2" s="1"/>
  <c r="D25" i="3"/>
  <c r="E25" i="3" s="1"/>
  <c r="G25" i="3" s="1"/>
  <c r="B26" i="3" s="1"/>
  <c r="D25" i="2" l="1"/>
  <c r="E25" i="2" s="1"/>
  <c r="G25" i="2" s="1"/>
  <c r="B26" i="2" s="1"/>
  <c r="D26" i="3"/>
  <c r="E26" i="3" s="1"/>
  <c r="G26" i="3" s="1"/>
  <c r="B27" i="3" s="1"/>
  <c r="D26" i="2" l="1"/>
  <c r="E26" i="2"/>
  <c r="G26" i="2" s="1"/>
  <c r="B27" i="2" s="1"/>
  <c r="D27" i="3"/>
  <c r="E27" i="3" s="1"/>
  <c r="G27" i="3" s="1"/>
  <c r="B28" i="3" s="1"/>
  <c r="D27" i="2" l="1"/>
  <c r="E27" i="2" s="1"/>
  <c r="G27" i="2" s="1"/>
  <c r="B28" i="2" s="1"/>
  <c r="D28" i="3"/>
  <c r="E28" i="3" s="1"/>
  <c r="G28" i="3" s="1"/>
  <c r="B29" i="3" s="1"/>
  <c r="D28" i="2" l="1"/>
  <c r="E28" i="2" s="1"/>
  <c r="G28" i="2" s="1"/>
  <c r="B29" i="2" s="1"/>
  <c r="D29" i="3"/>
  <c r="E29" i="3" s="1"/>
  <c r="G29" i="3" s="1"/>
  <c r="B30" i="3" s="1"/>
  <c r="D29" i="2" l="1"/>
  <c r="E29" i="2" s="1"/>
  <c r="G29" i="2" s="1"/>
  <c r="B30" i="2" s="1"/>
  <c r="D30" i="3"/>
  <c r="E30" i="3" s="1"/>
  <c r="G30" i="3" s="1"/>
  <c r="B31" i="3" s="1"/>
  <c r="D30" i="2" l="1"/>
  <c r="E30" i="2" s="1"/>
  <c r="G30" i="2" s="1"/>
  <c r="B31" i="2" s="1"/>
  <c r="D31" i="3"/>
  <c r="E31" i="3" s="1"/>
  <c r="G31" i="3" s="1"/>
  <c r="B32" i="3" s="1"/>
  <c r="D31" i="2" l="1"/>
  <c r="E31" i="2" s="1"/>
  <c r="G31" i="2" s="1"/>
  <c r="B32" i="2" s="1"/>
  <c r="D32" i="3"/>
  <c r="E32" i="3" s="1"/>
  <c r="G32" i="3" s="1"/>
  <c r="B33" i="3" s="1"/>
  <c r="D32" i="2" l="1"/>
  <c r="E32" i="2" s="1"/>
  <c r="G32" i="2" s="1"/>
  <c r="B33" i="2" s="1"/>
  <c r="D33" i="3"/>
  <c r="E33" i="3" s="1"/>
  <c r="G33" i="3" s="1"/>
  <c r="B34" i="3" s="1"/>
  <c r="D33" i="2" l="1"/>
  <c r="E33" i="2" s="1"/>
  <c r="G33" i="2" s="1"/>
  <c r="B34" i="2" s="1"/>
  <c r="D34" i="3"/>
  <c r="E34" i="3" s="1"/>
  <c r="G34" i="3" s="1"/>
  <c r="B35" i="3" s="1"/>
  <c r="D34" i="2" l="1"/>
  <c r="E34" i="2" s="1"/>
  <c r="G34" i="2" s="1"/>
  <c r="B35" i="2" s="1"/>
  <c r="D35" i="3"/>
  <c r="E35" i="3" s="1"/>
  <c r="G35" i="3" s="1"/>
  <c r="B36" i="3" s="1"/>
  <c r="D35" i="2" l="1"/>
  <c r="E35" i="2" s="1"/>
  <c r="G35" i="2" s="1"/>
  <c r="B36" i="2" s="1"/>
  <c r="D36" i="3"/>
  <c r="E36" i="3" s="1"/>
  <c r="G36" i="3" s="1"/>
  <c r="B37" i="3" s="1"/>
  <c r="D36" i="2" l="1"/>
  <c r="E36" i="2" s="1"/>
  <c r="G36" i="2" s="1"/>
  <c r="B37" i="2" s="1"/>
  <c r="D37" i="3"/>
  <c r="E37" i="3" s="1"/>
  <c r="G37" i="3" s="1"/>
  <c r="B38" i="3" s="1"/>
  <c r="E37" i="2" l="1"/>
  <c r="G37" i="2" s="1"/>
  <c r="B38" i="2" s="1"/>
  <c r="D37" i="2"/>
  <c r="D38" i="3"/>
  <c r="E38" i="3" s="1"/>
  <c r="G38" i="3" s="1"/>
  <c r="B39" i="3" s="1"/>
  <c r="D38" i="2" l="1"/>
  <c r="E38" i="2" s="1"/>
  <c r="G38" i="2" s="1"/>
  <c r="B39" i="2" s="1"/>
  <c r="D39" i="3"/>
  <c r="E39" i="3" s="1"/>
  <c r="G39" i="3" s="1"/>
  <c r="B40" i="3" s="1"/>
  <c r="D39" i="2" l="1"/>
  <c r="E39" i="2" s="1"/>
  <c r="G39" i="2" s="1"/>
  <c r="B40" i="2" s="1"/>
  <c r="D40" i="3"/>
  <c r="E40" i="3" s="1"/>
  <c r="G40" i="3" s="1"/>
  <c r="B41" i="3" s="1"/>
  <c r="D40" i="2" l="1"/>
  <c r="E40" i="2" s="1"/>
  <c r="G40" i="2" s="1"/>
  <c r="B41" i="2" s="1"/>
  <c r="D41" i="3"/>
  <c r="E41" i="3" s="1"/>
  <c r="G41" i="3" s="1"/>
  <c r="B42" i="3" s="1"/>
  <c r="D41" i="2" l="1"/>
  <c r="E41" i="2" s="1"/>
  <c r="G41" i="2" s="1"/>
  <c r="B42" i="2" s="1"/>
  <c r="D42" i="3"/>
  <c r="E42" i="3" s="1"/>
  <c r="G42" i="3" s="1"/>
  <c r="B43" i="3" s="1"/>
  <c r="D42" i="2" l="1"/>
  <c r="E42" i="2" s="1"/>
  <c r="G42" i="2" s="1"/>
  <c r="B43" i="2" s="1"/>
  <c r="D43" i="3"/>
  <c r="E43" i="3" s="1"/>
  <c r="G43" i="3" s="1"/>
  <c r="B44" i="3" s="1"/>
  <c r="D43" i="2" l="1"/>
  <c r="E43" i="2" s="1"/>
  <c r="G43" i="2" s="1"/>
  <c r="B44" i="2" s="1"/>
  <c r="D44" i="3"/>
  <c r="E44" i="3" s="1"/>
  <c r="G44" i="3" s="1"/>
  <c r="B45" i="3" s="1"/>
  <c r="D44" i="2" l="1"/>
  <c r="E44" i="2" s="1"/>
  <c r="G44" i="2" s="1"/>
  <c r="B45" i="2" s="1"/>
  <c r="D45" i="3"/>
  <c r="E45" i="3" s="1"/>
  <c r="G45" i="3" s="1"/>
  <c r="B46" i="3" s="1"/>
  <c r="D45" i="2" l="1"/>
  <c r="E45" i="2" s="1"/>
  <c r="G45" i="2" s="1"/>
  <c r="B46" i="2" s="1"/>
  <c r="D46" i="3"/>
  <c r="E46" i="3" s="1"/>
  <c r="G46" i="3" s="1"/>
  <c r="B47" i="3" s="1"/>
  <c r="D46" i="2" l="1"/>
  <c r="E46" i="2" s="1"/>
  <c r="G46" i="2" s="1"/>
  <c r="B47" i="2" s="1"/>
  <c r="D47" i="3"/>
  <c r="E47" i="3" s="1"/>
  <c r="G47" i="3" s="1"/>
  <c r="B48" i="3" s="1"/>
  <c r="D47" i="2" l="1"/>
  <c r="E47" i="2" s="1"/>
  <c r="G47" i="2" s="1"/>
  <c r="B48" i="2" s="1"/>
  <c r="D48" i="3"/>
  <c r="E48" i="3" s="1"/>
  <c r="G48" i="3" s="1"/>
  <c r="B49" i="3" s="1"/>
  <c r="D48" i="2" l="1"/>
  <c r="E48" i="2" s="1"/>
  <c r="G48" i="2" s="1"/>
  <c r="B49" i="2" s="1"/>
  <c r="D49" i="3"/>
  <c r="E49" i="3" s="1"/>
  <c r="G49" i="3" s="1"/>
  <c r="B50" i="3" s="1"/>
  <c r="D49" i="2" l="1"/>
  <c r="E49" i="2" s="1"/>
  <c r="G49" i="2" s="1"/>
  <c r="B50" i="2" s="1"/>
  <c r="D50" i="3"/>
  <c r="E50" i="3" s="1"/>
  <c r="G50" i="3" s="1"/>
  <c r="B51" i="3" s="1"/>
  <c r="D50" i="2" l="1"/>
  <c r="E50" i="2" s="1"/>
  <c r="G50" i="2" s="1"/>
  <c r="B51" i="2" s="1"/>
  <c r="D51" i="3"/>
  <c r="E51" i="3" s="1"/>
  <c r="G51" i="3" s="1"/>
  <c r="B52" i="3" s="1"/>
  <c r="D51" i="2" l="1"/>
  <c r="E51" i="2" s="1"/>
  <c r="G51" i="2" s="1"/>
  <c r="B52" i="2" s="1"/>
  <c r="D52" i="3"/>
  <c r="E52" i="3" s="1"/>
  <c r="G52" i="3" s="1"/>
  <c r="B53" i="3" s="1"/>
  <c r="D52" i="2" l="1"/>
  <c r="E52" i="2" s="1"/>
  <c r="G52" i="2" s="1"/>
  <c r="B53" i="2" s="1"/>
  <c r="D53" i="3"/>
  <c r="E53" i="3" s="1"/>
  <c r="G53" i="3" s="1"/>
  <c r="B54" i="3" s="1"/>
  <c r="D53" i="2" l="1"/>
  <c r="E53" i="2" s="1"/>
  <c r="G53" i="2" s="1"/>
  <c r="B54" i="2" s="1"/>
  <c r="D54" i="3"/>
  <c r="E54" i="3" s="1"/>
  <c r="G54" i="3" s="1"/>
  <c r="B55" i="3" s="1"/>
  <c r="D54" i="2" l="1"/>
  <c r="E54" i="2" s="1"/>
  <c r="G54" i="2" s="1"/>
  <c r="B55" i="2" s="1"/>
  <c r="D55" i="3"/>
  <c r="E55" i="3" s="1"/>
  <c r="G55" i="3" s="1"/>
  <c r="B56" i="3" s="1"/>
  <c r="D55" i="2" l="1"/>
  <c r="E55" i="2" s="1"/>
  <c r="G55" i="2" s="1"/>
  <c r="B56" i="2" s="1"/>
  <c r="D56" i="3"/>
  <c r="E56" i="3" s="1"/>
  <c r="G56" i="3" s="1"/>
  <c r="B57" i="3" s="1"/>
  <c r="D56" i="2" l="1"/>
  <c r="E56" i="2" s="1"/>
  <c r="G56" i="2" s="1"/>
  <c r="B57" i="2" s="1"/>
  <c r="D57" i="3"/>
  <c r="E57" i="3" s="1"/>
  <c r="G57" i="3" s="1"/>
  <c r="B58" i="3" s="1"/>
  <c r="D57" i="2" l="1"/>
  <c r="E57" i="2" s="1"/>
  <c r="G57" i="2" s="1"/>
  <c r="B58" i="2" s="1"/>
  <c r="D58" i="3"/>
  <c r="E58" i="3" s="1"/>
  <c r="G58" i="3" s="1"/>
  <c r="B59" i="3" s="1"/>
  <c r="D58" i="2" l="1"/>
  <c r="E58" i="2" s="1"/>
  <c r="G58" i="2" s="1"/>
  <c r="B59" i="2" s="1"/>
  <c r="D59" i="3"/>
  <c r="E59" i="3" s="1"/>
  <c r="G59" i="3" s="1"/>
  <c r="B60" i="3" s="1"/>
  <c r="D59" i="2" l="1"/>
  <c r="E59" i="2" s="1"/>
  <c r="G59" i="2" s="1"/>
  <c r="B60" i="2" s="1"/>
  <c r="D60" i="3"/>
  <c r="E60" i="3" s="1"/>
  <c r="G60" i="3" s="1"/>
  <c r="B61" i="3" s="1"/>
  <c r="D60" i="2" l="1"/>
  <c r="E60" i="2" s="1"/>
  <c r="G60" i="2" s="1"/>
  <c r="B61" i="2" s="1"/>
  <c r="D61" i="3"/>
  <c r="E61" i="3" s="1"/>
  <c r="G61" i="3" s="1"/>
  <c r="B62" i="3" s="1"/>
  <c r="D61" i="2" l="1"/>
  <c r="E61" i="2" s="1"/>
  <c r="G61" i="2" s="1"/>
  <c r="B62" i="2" s="1"/>
  <c r="D62" i="3"/>
  <c r="E62" i="3" s="1"/>
  <c r="G62" i="3" s="1"/>
  <c r="B63" i="3" s="1"/>
  <c r="D62" i="2" l="1"/>
  <c r="E62" i="2" s="1"/>
  <c r="G62" i="2" s="1"/>
  <c r="B63" i="2" s="1"/>
  <c r="D63" i="3"/>
  <c r="E63" i="3" s="1"/>
  <c r="G63" i="3" s="1"/>
  <c r="B64" i="3" s="1"/>
  <c r="D63" i="2" l="1"/>
  <c r="E63" i="2" s="1"/>
  <c r="G63" i="2" s="1"/>
  <c r="B64" i="2" s="1"/>
  <c r="D64" i="3"/>
  <c r="E64" i="3" s="1"/>
  <c r="G64" i="3" s="1"/>
  <c r="B65" i="3" s="1"/>
  <c r="D64" i="2" l="1"/>
  <c r="E64" i="2" s="1"/>
  <c r="G64" i="2" s="1"/>
  <c r="B65" i="2" s="1"/>
  <c r="D65" i="3"/>
  <c r="E65" i="3" s="1"/>
  <c r="G65" i="3" s="1"/>
  <c r="B66" i="3" s="1"/>
  <c r="D65" i="2" l="1"/>
  <c r="E65" i="2" s="1"/>
  <c r="G65" i="2" s="1"/>
  <c r="B66" i="2" s="1"/>
  <c r="D66" i="3"/>
  <c r="E66" i="3" s="1"/>
  <c r="G66" i="3" s="1"/>
  <c r="B67" i="3" s="1"/>
  <c r="D66" i="2" l="1"/>
  <c r="E66" i="2" s="1"/>
  <c r="G66" i="2" s="1"/>
  <c r="B67" i="2" s="1"/>
  <c r="D67" i="3"/>
  <c r="E67" i="3" s="1"/>
  <c r="G67" i="3" s="1"/>
  <c r="B68" i="3" s="1"/>
  <c r="D67" i="2" l="1"/>
  <c r="E67" i="2" s="1"/>
  <c r="G67" i="2" s="1"/>
  <c r="B68" i="2" s="1"/>
  <c r="D68" i="3"/>
  <c r="E68" i="3" s="1"/>
  <c r="G68" i="3" s="1"/>
  <c r="B69" i="3" s="1"/>
  <c r="D68" i="2" l="1"/>
  <c r="E68" i="2" s="1"/>
  <c r="G68" i="2" s="1"/>
  <c r="B69" i="2" s="1"/>
  <c r="D69" i="3"/>
  <c r="E69" i="3" s="1"/>
  <c r="G69" i="3" s="1"/>
  <c r="B70" i="3" s="1"/>
  <c r="D69" i="2" l="1"/>
  <c r="E69" i="2" s="1"/>
  <c r="G69" i="2" s="1"/>
  <c r="B70" i="2" s="1"/>
  <c r="D70" i="3"/>
  <c r="E70" i="3" s="1"/>
  <c r="G70" i="3" s="1"/>
  <c r="B71" i="3" s="1"/>
  <c r="D70" i="2" l="1"/>
  <c r="E70" i="2" s="1"/>
  <c r="G70" i="2" s="1"/>
  <c r="B71" i="2" s="1"/>
  <c r="D71" i="3"/>
  <c r="E71" i="3" s="1"/>
  <c r="G71" i="3" s="1"/>
  <c r="B72" i="3" s="1"/>
  <c r="D71" i="2" l="1"/>
  <c r="E71" i="2" s="1"/>
  <c r="G71" i="2" s="1"/>
  <c r="B72" i="2" s="1"/>
  <c r="D72" i="3"/>
  <c r="E72" i="3" s="1"/>
  <c r="G72" i="3" s="1"/>
  <c r="B73" i="3" s="1"/>
  <c r="D72" i="2" l="1"/>
  <c r="E72" i="2" s="1"/>
  <c r="G72" i="2" s="1"/>
  <c r="B73" i="2" s="1"/>
  <c r="D73" i="3"/>
  <c r="E73" i="3" s="1"/>
  <c r="G73" i="3" s="1"/>
  <c r="B74" i="3" s="1"/>
  <c r="D73" i="2" l="1"/>
  <c r="E73" i="2" s="1"/>
  <c r="G73" i="2" s="1"/>
  <c r="B74" i="2" s="1"/>
  <c r="D74" i="3"/>
  <c r="E74" i="3" s="1"/>
  <c r="G74" i="3" s="1"/>
  <c r="B75" i="3" s="1"/>
  <c r="D74" i="2" l="1"/>
  <c r="E74" i="2" s="1"/>
  <c r="G74" i="2" s="1"/>
  <c r="B75" i="2" s="1"/>
  <c r="D75" i="3"/>
  <c r="E75" i="3" s="1"/>
  <c r="G75" i="3" s="1"/>
  <c r="B76" i="3" s="1"/>
  <c r="D75" i="2" l="1"/>
  <c r="E75" i="2" s="1"/>
  <c r="G75" i="2" s="1"/>
  <c r="B76" i="2" s="1"/>
  <c r="D76" i="3"/>
  <c r="E76" i="3" s="1"/>
  <c r="G76" i="3" s="1"/>
  <c r="B77" i="3" s="1"/>
  <c r="D76" i="2" l="1"/>
  <c r="E76" i="2" s="1"/>
  <c r="G76" i="2" s="1"/>
  <c r="B77" i="2" s="1"/>
  <c r="D77" i="3"/>
  <c r="E77" i="3" s="1"/>
  <c r="G77" i="3" s="1"/>
  <c r="B78" i="3" s="1"/>
  <c r="D77" i="2" l="1"/>
  <c r="E77" i="2" s="1"/>
  <c r="G77" i="2" s="1"/>
  <c r="B78" i="2" s="1"/>
  <c r="D78" i="3"/>
  <c r="E78" i="3" s="1"/>
  <c r="G78" i="3" s="1"/>
  <c r="B79" i="3" s="1"/>
  <c r="D78" i="2" l="1"/>
  <c r="E78" i="2" s="1"/>
  <c r="G78" i="2" s="1"/>
  <c r="B79" i="2" s="1"/>
  <c r="D79" i="3"/>
  <c r="E79" i="3" s="1"/>
  <c r="G79" i="3" s="1"/>
  <c r="B80" i="3" s="1"/>
  <c r="D79" i="2" l="1"/>
  <c r="E79" i="2" s="1"/>
  <c r="G79" i="2" s="1"/>
  <c r="B80" i="2" s="1"/>
  <c r="D80" i="3"/>
  <c r="E80" i="3" s="1"/>
  <c r="G80" i="3" s="1"/>
  <c r="B81" i="3" s="1"/>
  <c r="D80" i="2" l="1"/>
  <c r="E80" i="2" s="1"/>
  <c r="G80" i="2" s="1"/>
  <c r="B81" i="2" s="1"/>
  <c r="D81" i="3"/>
  <c r="E81" i="3" s="1"/>
  <c r="G81" i="3" s="1"/>
  <c r="B82" i="3" s="1"/>
  <c r="D81" i="2" l="1"/>
  <c r="E81" i="2" s="1"/>
  <c r="G81" i="2" s="1"/>
  <c r="B82" i="2" s="1"/>
  <c r="D82" i="3"/>
  <c r="E82" i="3" s="1"/>
  <c r="G82" i="3" s="1"/>
  <c r="B83" i="3" s="1"/>
  <c r="D82" i="2" l="1"/>
  <c r="E82" i="2" s="1"/>
  <c r="G82" i="2" s="1"/>
  <c r="B83" i="2" s="1"/>
  <c r="D83" i="3"/>
  <c r="E83" i="3" s="1"/>
  <c r="G83" i="3" s="1"/>
  <c r="B84" i="3" s="1"/>
  <c r="D83" i="2" l="1"/>
  <c r="E83" i="2" s="1"/>
  <c r="G83" i="2" s="1"/>
  <c r="B84" i="2" s="1"/>
  <c r="D84" i="3"/>
  <c r="E84" i="3" s="1"/>
  <c r="G84" i="3" s="1"/>
  <c r="B85" i="3" s="1"/>
  <c r="D84" i="2" l="1"/>
  <c r="E84" i="2" s="1"/>
  <c r="G84" i="2" s="1"/>
  <c r="B85" i="2" s="1"/>
  <c r="D85" i="3"/>
  <c r="E85" i="3" s="1"/>
  <c r="G85" i="3" s="1"/>
  <c r="B86" i="3" s="1"/>
  <c r="D85" i="2" l="1"/>
  <c r="E85" i="2" s="1"/>
  <c r="G85" i="2" s="1"/>
  <c r="B86" i="2" s="1"/>
  <c r="D86" i="3"/>
  <c r="E86" i="3" s="1"/>
  <c r="G86" i="3" s="1"/>
  <c r="B87" i="3" s="1"/>
  <c r="D86" i="2" l="1"/>
  <c r="E86" i="2" s="1"/>
  <c r="G86" i="2" s="1"/>
  <c r="B87" i="2" s="1"/>
  <c r="D87" i="3"/>
  <c r="E87" i="3" s="1"/>
  <c r="G87" i="3" s="1"/>
  <c r="B88" i="3" s="1"/>
  <c r="D87" i="2" l="1"/>
  <c r="E87" i="2" s="1"/>
  <c r="G87" i="2" s="1"/>
  <c r="B88" i="2" s="1"/>
  <c r="D88" i="3"/>
  <c r="E88" i="3" s="1"/>
  <c r="G88" i="3" s="1"/>
  <c r="B89" i="3" s="1"/>
  <c r="D88" i="2" l="1"/>
  <c r="E88" i="2" s="1"/>
  <c r="G88" i="2" s="1"/>
  <c r="B89" i="2" s="1"/>
  <c r="D89" i="3"/>
  <c r="E89" i="3" s="1"/>
  <c r="G89" i="3" s="1"/>
  <c r="B90" i="3" s="1"/>
  <c r="D89" i="2" l="1"/>
  <c r="E89" i="2" s="1"/>
  <c r="G89" i="2" s="1"/>
  <c r="B90" i="2" s="1"/>
  <c r="D90" i="3"/>
  <c r="E90" i="3" s="1"/>
  <c r="G90" i="3" s="1"/>
  <c r="B91" i="3" s="1"/>
  <c r="D90" i="2" l="1"/>
  <c r="E90" i="2" s="1"/>
  <c r="G90" i="2" s="1"/>
  <c r="B91" i="2" s="1"/>
  <c r="D91" i="3"/>
  <c r="E91" i="3" s="1"/>
  <c r="G91" i="3" s="1"/>
  <c r="B92" i="3" s="1"/>
  <c r="D91" i="2" l="1"/>
  <c r="E91" i="2" s="1"/>
  <c r="G91" i="2" s="1"/>
  <c r="B92" i="2" s="1"/>
  <c r="D92" i="3"/>
  <c r="E92" i="3" s="1"/>
  <c r="G92" i="3" s="1"/>
  <c r="B93" i="3" s="1"/>
  <c r="D92" i="2" l="1"/>
  <c r="E92" i="2" s="1"/>
  <c r="G92" i="2" s="1"/>
  <c r="B93" i="2" s="1"/>
  <c r="D93" i="3"/>
  <c r="E93" i="3" s="1"/>
  <c r="G93" i="3" s="1"/>
  <c r="B94" i="3" s="1"/>
  <c r="D93" i="2" l="1"/>
  <c r="E93" i="2" s="1"/>
  <c r="G93" i="2" s="1"/>
  <c r="B94" i="2" s="1"/>
  <c r="D94" i="3"/>
  <c r="E94" i="3" s="1"/>
  <c r="G94" i="3" s="1"/>
  <c r="B95" i="3" s="1"/>
  <c r="D94" i="2" l="1"/>
  <c r="E94" i="2" s="1"/>
  <c r="G94" i="2" s="1"/>
  <c r="B95" i="2" s="1"/>
  <c r="D95" i="3"/>
  <c r="E95" i="3" s="1"/>
  <c r="G95" i="3" s="1"/>
  <c r="B96" i="3" s="1"/>
  <c r="D95" i="2" l="1"/>
  <c r="E95" i="2" s="1"/>
  <c r="G95" i="2" s="1"/>
  <c r="B96" i="2" s="1"/>
  <c r="D96" i="3"/>
  <c r="E96" i="3" s="1"/>
  <c r="G96" i="3" s="1"/>
  <c r="B97" i="3" s="1"/>
  <c r="D96" i="2" l="1"/>
  <c r="E96" i="2" s="1"/>
  <c r="G96" i="2" s="1"/>
  <c r="B97" i="2" s="1"/>
  <c r="D97" i="3"/>
  <c r="E97" i="3" s="1"/>
  <c r="G97" i="3" s="1"/>
  <c r="B98" i="3" s="1"/>
  <c r="D97" i="2" l="1"/>
  <c r="E97" i="2" s="1"/>
  <c r="G97" i="2" s="1"/>
  <c r="B98" i="2" s="1"/>
  <c r="D98" i="3"/>
  <c r="E98" i="3" s="1"/>
  <c r="G98" i="3" s="1"/>
  <c r="B99" i="3" s="1"/>
  <c r="D98" i="2" l="1"/>
  <c r="E98" i="2" s="1"/>
  <c r="G98" i="2" s="1"/>
  <c r="B99" i="2" s="1"/>
  <c r="D99" i="3"/>
  <c r="E99" i="3" s="1"/>
  <c r="G99" i="3" s="1"/>
  <c r="B100" i="3" s="1"/>
  <c r="D99" i="2" l="1"/>
  <c r="E99" i="2" s="1"/>
  <c r="G99" i="2" s="1"/>
  <c r="B100" i="2" s="1"/>
  <c r="D100" i="3"/>
  <c r="E100" i="3" s="1"/>
  <c r="G100" i="3" s="1"/>
  <c r="B101" i="3" s="1"/>
  <c r="D100" i="2" l="1"/>
  <c r="E100" i="2" s="1"/>
  <c r="G100" i="2" s="1"/>
  <c r="B101" i="2" s="1"/>
  <c r="D101" i="3"/>
  <c r="E101" i="3" s="1"/>
  <c r="G101" i="3" s="1"/>
  <c r="B102" i="3" s="1"/>
  <c r="D101" i="2" l="1"/>
  <c r="E101" i="2" s="1"/>
  <c r="G101" i="2" s="1"/>
  <c r="B102" i="2" s="1"/>
  <c r="D102" i="3"/>
  <c r="E102" i="3" s="1"/>
  <c r="G102" i="3" s="1"/>
  <c r="B103" i="3" s="1"/>
  <c r="D102" i="2" l="1"/>
  <c r="E102" i="2" s="1"/>
  <c r="G102" i="2" s="1"/>
  <c r="B103" i="2" s="1"/>
  <c r="D103" i="3"/>
  <c r="E103" i="3" s="1"/>
  <c r="G103" i="3" s="1"/>
  <c r="B104" i="3" s="1"/>
  <c r="D103" i="2" l="1"/>
  <c r="E103" i="2" s="1"/>
  <c r="G103" i="2" s="1"/>
  <c r="B104" i="2" s="1"/>
  <c r="D104" i="3"/>
  <c r="E104" i="3" s="1"/>
  <c r="G104" i="3" s="1"/>
  <c r="B105" i="3" s="1"/>
  <c r="D104" i="2" l="1"/>
  <c r="E104" i="2" s="1"/>
  <c r="G104" i="2" s="1"/>
  <c r="B105" i="2" s="1"/>
  <c r="D105" i="3"/>
  <c r="E105" i="3" s="1"/>
  <c r="G105" i="3" s="1"/>
  <c r="B106" i="3" s="1"/>
  <c r="D105" i="2" l="1"/>
  <c r="E105" i="2" s="1"/>
  <c r="G105" i="2" s="1"/>
  <c r="B106" i="2" s="1"/>
  <c r="D106" i="3"/>
  <c r="E106" i="3" s="1"/>
  <c r="G106" i="3" s="1"/>
  <c r="B107" i="3" s="1"/>
  <c r="D106" i="2" l="1"/>
  <c r="E106" i="2" s="1"/>
  <c r="G106" i="2" s="1"/>
  <c r="B107" i="2" s="1"/>
  <c r="D107" i="3"/>
  <c r="E107" i="3" s="1"/>
  <c r="G107" i="3" s="1"/>
  <c r="B108" i="3" s="1"/>
  <c r="D107" i="2" l="1"/>
  <c r="E107" i="2" s="1"/>
  <c r="G107" i="2" s="1"/>
  <c r="B108" i="2" s="1"/>
  <c r="D108" i="3"/>
  <c r="E108" i="3" s="1"/>
  <c r="G108" i="3" s="1"/>
  <c r="B109" i="3" s="1"/>
  <c r="D108" i="2" l="1"/>
  <c r="E108" i="2" s="1"/>
  <c r="G108" i="2" s="1"/>
  <c r="B109" i="2" s="1"/>
  <c r="D109" i="3"/>
  <c r="E109" i="3" s="1"/>
  <c r="G109" i="3" s="1"/>
  <c r="B110" i="3" s="1"/>
  <c r="D109" i="2" l="1"/>
  <c r="E109" i="2" s="1"/>
  <c r="G109" i="2" s="1"/>
  <c r="B110" i="2" s="1"/>
  <c r="D110" i="3"/>
  <c r="E110" i="3" s="1"/>
  <c r="G110" i="3" s="1"/>
  <c r="B111" i="3" s="1"/>
  <c r="D110" i="2" l="1"/>
  <c r="E110" i="2" s="1"/>
  <c r="G110" i="2" s="1"/>
  <c r="B111" i="2" s="1"/>
  <c r="D111" i="3"/>
  <c r="E111" i="3" s="1"/>
  <c r="G111" i="3" s="1"/>
  <c r="B112" i="3" s="1"/>
  <c r="D111" i="2" l="1"/>
  <c r="E111" i="2" s="1"/>
  <c r="G111" i="2" s="1"/>
  <c r="B112" i="2" s="1"/>
  <c r="D112" i="3"/>
  <c r="E112" i="3" s="1"/>
  <c r="G112" i="3" s="1"/>
  <c r="B113" i="3" s="1"/>
  <c r="D112" i="2" l="1"/>
  <c r="E112" i="2" s="1"/>
  <c r="G112" i="2" s="1"/>
  <c r="B113" i="2" s="1"/>
  <c r="D113" i="3"/>
  <c r="E113" i="3" s="1"/>
  <c r="G113" i="3" s="1"/>
  <c r="B114" i="3" s="1"/>
  <c r="D113" i="2" l="1"/>
  <c r="E113" i="2" s="1"/>
  <c r="G113" i="2" s="1"/>
  <c r="B114" i="2" s="1"/>
  <c r="D114" i="3"/>
  <c r="E114" i="3" s="1"/>
  <c r="G114" i="3" s="1"/>
  <c r="B115" i="3" s="1"/>
  <c r="D114" i="2" l="1"/>
  <c r="E114" i="2" s="1"/>
  <c r="G114" i="2" s="1"/>
  <c r="B115" i="2" s="1"/>
  <c r="D115" i="3"/>
  <c r="E115" i="3" s="1"/>
  <c r="G115" i="3" s="1"/>
  <c r="B116" i="3" s="1"/>
  <c r="D115" i="2" l="1"/>
  <c r="E115" i="2" s="1"/>
  <c r="G115" i="2" s="1"/>
  <c r="B116" i="2" s="1"/>
  <c r="D116" i="3"/>
  <c r="E116" i="3" s="1"/>
  <c r="G116" i="3" s="1"/>
  <c r="B117" i="3" s="1"/>
  <c r="D116" i="2" l="1"/>
  <c r="E116" i="2" s="1"/>
  <c r="G116" i="2" s="1"/>
  <c r="B117" i="2" s="1"/>
  <c r="D117" i="3"/>
  <c r="E117" i="3" s="1"/>
  <c r="G117" i="3" s="1"/>
  <c r="B118" i="3" s="1"/>
  <c r="D117" i="2" l="1"/>
  <c r="E117" i="2" s="1"/>
  <c r="G117" i="2" s="1"/>
  <c r="B118" i="2" s="1"/>
  <c r="D118" i="3"/>
  <c r="E118" i="3" s="1"/>
  <c r="G118" i="3" s="1"/>
  <c r="B119" i="3" s="1"/>
  <c r="D118" i="2" l="1"/>
  <c r="E118" i="2" s="1"/>
  <c r="G118" i="2" s="1"/>
  <c r="B119" i="2" s="1"/>
  <c r="D119" i="3"/>
  <c r="E119" i="3" s="1"/>
  <c r="G119" i="3" s="1"/>
  <c r="B120" i="3" s="1"/>
  <c r="D119" i="2" l="1"/>
  <c r="E119" i="2" s="1"/>
  <c r="G119" i="2" s="1"/>
  <c r="B120" i="2" s="1"/>
  <c r="D120" i="3"/>
  <c r="E120" i="3" s="1"/>
  <c r="G120" i="3" s="1"/>
  <c r="B121" i="3" s="1"/>
  <c r="D120" i="2" l="1"/>
  <c r="E120" i="2" s="1"/>
  <c r="G120" i="2" s="1"/>
  <c r="B121" i="2" s="1"/>
  <c r="D121" i="3"/>
  <c r="E121" i="3" s="1"/>
  <c r="G121" i="3" s="1"/>
  <c r="B122" i="3" s="1"/>
  <c r="D121" i="2" l="1"/>
  <c r="E121" i="2" s="1"/>
  <c r="G121" i="2" s="1"/>
  <c r="B122" i="2" s="1"/>
  <c r="D122" i="3"/>
  <c r="E122" i="3" s="1"/>
  <c r="G122" i="3" s="1"/>
  <c r="B123" i="3" s="1"/>
  <c r="D122" i="2" l="1"/>
  <c r="E122" i="2" s="1"/>
  <c r="G122" i="2" s="1"/>
  <c r="B123" i="2" s="1"/>
  <c r="D123" i="3"/>
  <c r="E123" i="3" s="1"/>
  <c r="G123" i="3" s="1"/>
  <c r="B124" i="3" s="1"/>
  <c r="D123" i="2" l="1"/>
  <c r="E123" i="2" s="1"/>
  <c r="G123" i="2" s="1"/>
  <c r="B124" i="2" s="1"/>
  <c r="D124" i="3"/>
  <c r="E124" i="3" s="1"/>
  <c r="G124" i="3" s="1"/>
  <c r="B125" i="3" s="1"/>
  <c r="D124" i="2" l="1"/>
  <c r="E124" i="2" s="1"/>
  <c r="G124" i="2" s="1"/>
  <c r="B125" i="2" s="1"/>
  <c r="D125" i="3"/>
  <c r="E125" i="3" s="1"/>
  <c r="G125" i="3" s="1"/>
  <c r="B126" i="3" s="1"/>
  <c r="D125" i="2" l="1"/>
  <c r="E125" i="2" s="1"/>
  <c r="G125" i="2" s="1"/>
  <c r="B126" i="2" s="1"/>
  <c r="D126" i="3"/>
  <c r="E126" i="3" s="1"/>
  <c r="G126" i="3" s="1"/>
  <c r="B127" i="3" s="1"/>
  <c r="D126" i="2" l="1"/>
  <c r="E126" i="2" s="1"/>
  <c r="G126" i="2" s="1"/>
  <c r="B127" i="2" s="1"/>
  <c r="D127" i="3"/>
  <c r="E127" i="3" s="1"/>
  <c r="G127" i="3" s="1"/>
  <c r="B128" i="3" s="1"/>
  <c r="D127" i="2" l="1"/>
  <c r="E127" i="2" s="1"/>
  <c r="G127" i="2" s="1"/>
  <c r="B128" i="2" s="1"/>
  <c r="D128" i="3"/>
  <c r="E128" i="3" s="1"/>
  <c r="G128" i="3" s="1"/>
  <c r="B129" i="3" s="1"/>
  <c r="D128" i="2" l="1"/>
  <c r="E128" i="2" s="1"/>
  <c r="G128" i="2" s="1"/>
  <c r="B129" i="2" s="1"/>
  <c r="D129" i="3"/>
  <c r="E129" i="3" s="1"/>
  <c r="G129" i="3" s="1"/>
  <c r="B130" i="3" s="1"/>
  <c r="D129" i="2" l="1"/>
  <c r="E129" i="2" s="1"/>
  <c r="G129" i="2" s="1"/>
  <c r="B130" i="2" s="1"/>
  <c r="D130" i="3"/>
  <c r="E130" i="3" s="1"/>
  <c r="G130" i="3" s="1"/>
  <c r="B131" i="3" s="1"/>
  <c r="D130" i="2" l="1"/>
  <c r="E130" i="2" s="1"/>
  <c r="G130" i="2" s="1"/>
  <c r="B131" i="2" s="1"/>
  <c r="D131" i="3"/>
  <c r="E131" i="3" s="1"/>
  <c r="G131" i="3" s="1"/>
  <c r="B132" i="3" s="1"/>
  <c r="D131" i="2" l="1"/>
  <c r="E131" i="2" s="1"/>
  <c r="G131" i="2" s="1"/>
  <c r="B132" i="2" s="1"/>
  <c r="D132" i="3"/>
  <c r="E132" i="3" s="1"/>
  <c r="G132" i="3" s="1"/>
  <c r="B133" i="3" s="1"/>
  <c r="D132" i="2" l="1"/>
  <c r="E132" i="2" s="1"/>
  <c r="G132" i="2" s="1"/>
  <c r="B133" i="2" s="1"/>
  <c r="D133" i="3"/>
  <c r="E133" i="3" s="1"/>
  <c r="G133" i="3" s="1"/>
  <c r="B134" i="3" s="1"/>
  <c r="D133" i="2" l="1"/>
  <c r="E133" i="2" s="1"/>
  <c r="G133" i="2" s="1"/>
  <c r="B134" i="2" s="1"/>
  <c r="D134" i="3"/>
  <c r="E134" i="3" s="1"/>
  <c r="G134" i="3" s="1"/>
  <c r="B135" i="3" s="1"/>
  <c r="D134" i="2" l="1"/>
  <c r="E134" i="2" s="1"/>
  <c r="G134" i="2" s="1"/>
  <c r="B135" i="2" s="1"/>
  <c r="D135" i="3"/>
  <c r="E135" i="3" s="1"/>
  <c r="G135" i="3" s="1"/>
  <c r="B136" i="3" s="1"/>
  <c r="D135" i="2" l="1"/>
  <c r="E135" i="2" s="1"/>
  <c r="G135" i="2" s="1"/>
  <c r="B136" i="2" s="1"/>
  <c r="D136" i="3"/>
  <c r="E136" i="3" s="1"/>
  <c r="G136" i="3" s="1"/>
  <c r="B137" i="3" s="1"/>
  <c r="D136" i="2" l="1"/>
  <c r="E136" i="2" s="1"/>
  <c r="G136" i="2" s="1"/>
  <c r="B137" i="2" s="1"/>
  <c r="D137" i="3"/>
  <c r="E137" i="3" s="1"/>
  <c r="G137" i="3" s="1"/>
  <c r="B138" i="3" s="1"/>
  <c r="D137" i="2" l="1"/>
  <c r="E137" i="2" s="1"/>
  <c r="G137" i="2" s="1"/>
  <c r="B138" i="2" s="1"/>
  <c r="D138" i="3"/>
  <c r="E138" i="3" s="1"/>
  <c r="G138" i="3" s="1"/>
  <c r="B139" i="3" s="1"/>
  <c r="D138" i="2" l="1"/>
  <c r="E138" i="2" s="1"/>
  <c r="G138" i="2" s="1"/>
  <c r="B139" i="2" s="1"/>
  <c r="D139" i="3"/>
  <c r="E139" i="3" s="1"/>
  <c r="G139" i="3" s="1"/>
  <c r="B140" i="3" s="1"/>
  <c r="D139" i="2" l="1"/>
  <c r="E139" i="2" s="1"/>
  <c r="G139" i="2" s="1"/>
  <c r="B140" i="2" s="1"/>
  <c r="D140" i="3"/>
  <c r="E140" i="3" s="1"/>
  <c r="G140" i="3" s="1"/>
  <c r="B141" i="3" s="1"/>
  <c r="D140" i="2" l="1"/>
  <c r="E140" i="2" s="1"/>
  <c r="G140" i="2" s="1"/>
  <c r="B141" i="2" s="1"/>
  <c r="D141" i="3"/>
  <c r="E141" i="3" s="1"/>
  <c r="G141" i="3" s="1"/>
  <c r="B142" i="3" s="1"/>
  <c r="D141" i="2" l="1"/>
  <c r="E141" i="2" s="1"/>
  <c r="G141" i="2" s="1"/>
  <c r="B142" i="2" s="1"/>
  <c r="D142" i="3"/>
  <c r="E142" i="3" s="1"/>
  <c r="G142" i="3" s="1"/>
  <c r="B143" i="3" s="1"/>
  <c r="D142" i="2" l="1"/>
  <c r="E142" i="2" s="1"/>
  <c r="G142" i="2" s="1"/>
  <c r="B143" i="2" s="1"/>
  <c r="D143" i="3"/>
  <c r="E143" i="3" s="1"/>
  <c r="G143" i="3" s="1"/>
  <c r="B144" i="3" s="1"/>
  <c r="D143" i="2" l="1"/>
  <c r="E143" i="2" s="1"/>
  <c r="G143" i="2" s="1"/>
  <c r="B144" i="2" s="1"/>
  <c r="D144" i="3"/>
  <c r="E144" i="3" s="1"/>
  <c r="G144" i="3" s="1"/>
  <c r="B145" i="3" s="1"/>
  <c r="D144" i="2" l="1"/>
  <c r="E144" i="2" s="1"/>
  <c r="G144" i="2" s="1"/>
  <c r="B145" i="2" s="1"/>
  <c r="D145" i="3"/>
  <c r="E145" i="3" s="1"/>
  <c r="G145" i="3" s="1"/>
  <c r="B146" i="3" s="1"/>
  <c r="D145" i="2" l="1"/>
  <c r="E145" i="2" s="1"/>
  <c r="G145" i="2" s="1"/>
  <c r="B146" i="2" s="1"/>
  <c r="D146" i="3"/>
  <c r="E146" i="3" s="1"/>
  <c r="G146" i="3" s="1"/>
  <c r="B147" i="3" s="1"/>
  <c r="D146" i="2" l="1"/>
  <c r="E146" i="2" s="1"/>
  <c r="G146" i="2" s="1"/>
  <c r="B147" i="2" s="1"/>
  <c r="D147" i="3"/>
  <c r="E147" i="3" s="1"/>
  <c r="G147" i="3" s="1"/>
  <c r="B148" i="3" s="1"/>
  <c r="D147" i="2" l="1"/>
  <c r="E147" i="2" s="1"/>
  <c r="G147" i="2" s="1"/>
  <c r="B148" i="2" s="1"/>
  <c r="D148" i="3"/>
  <c r="E148" i="3" s="1"/>
  <c r="G148" i="3" s="1"/>
  <c r="B149" i="3" s="1"/>
  <c r="D148" i="2" l="1"/>
  <c r="E148" i="2" s="1"/>
  <c r="G148" i="2" s="1"/>
  <c r="B149" i="2" s="1"/>
  <c r="D149" i="3"/>
  <c r="E149" i="3" s="1"/>
  <c r="G149" i="3" s="1"/>
  <c r="B150" i="3" s="1"/>
  <c r="D149" i="2" l="1"/>
  <c r="E149" i="2" s="1"/>
  <c r="G149" i="2" s="1"/>
  <c r="B150" i="2" s="1"/>
  <c r="D150" i="3"/>
  <c r="E150" i="3" s="1"/>
  <c r="G150" i="3" s="1"/>
  <c r="B151" i="3" s="1"/>
  <c r="D150" i="2" l="1"/>
  <c r="E150" i="2" s="1"/>
  <c r="G150" i="2" s="1"/>
  <c r="B151" i="2" s="1"/>
  <c r="D151" i="3"/>
  <c r="E151" i="3" s="1"/>
  <c r="G151" i="3" s="1"/>
  <c r="B152" i="3" s="1"/>
  <c r="D151" i="2" l="1"/>
  <c r="E151" i="2" s="1"/>
  <c r="G151" i="2" s="1"/>
  <c r="B152" i="2" s="1"/>
  <c r="D152" i="3"/>
  <c r="E152" i="3" s="1"/>
  <c r="G152" i="3" s="1"/>
  <c r="B153" i="3" s="1"/>
  <c r="D152" i="2" l="1"/>
  <c r="E152" i="2" s="1"/>
  <c r="G152" i="2" s="1"/>
  <c r="B153" i="2" s="1"/>
  <c r="D153" i="3"/>
  <c r="E153" i="3" s="1"/>
  <c r="G153" i="3" s="1"/>
  <c r="B154" i="3" s="1"/>
  <c r="D153" i="2" l="1"/>
  <c r="E153" i="2" s="1"/>
  <c r="G153" i="2" s="1"/>
  <c r="B154" i="2" s="1"/>
  <c r="D154" i="3"/>
  <c r="E154" i="3" s="1"/>
  <c r="G154" i="3" s="1"/>
  <c r="B155" i="3" s="1"/>
  <c r="D154" i="2" l="1"/>
  <c r="E154" i="2" s="1"/>
  <c r="G154" i="2" s="1"/>
  <c r="B155" i="2" s="1"/>
  <c r="D155" i="3"/>
  <c r="E155" i="3" s="1"/>
  <c r="G155" i="3" s="1"/>
  <c r="B156" i="3" s="1"/>
  <c r="D155" i="2" l="1"/>
  <c r="E155" i="2" s="1"/>
  <c r="G155" i="2" s="1"/>
  <c r="B156" i="2" s="1"/>
  <c r="D156" i="3"/>
  <c r="E156" i="3" s="1"/>
  <c r="G156" i="3" s="1"/>
  <c r="B157" i="3" s="1"/>
  <c r="D156" i="2" l="1"/>
  <c r="E156" i="2" s="1"/>
  <c r="G156" i="2" s="1"/>
  <c r="B157" i="2" s="1"/>
  <c r="D157" i="3"/>
  <c r="E157" i="3" s="1"/>
  <c r="G157" i="3" s="1"/>
  <c r="B158" i="3" s="1"/>
  <c r="D157" i="2" l="1"/>
  <c r="E157" i="2" s="1"/>
  <c r="G157" i="2" s="1"/>
  <c r="B158" i="2" s="1"/>
  <c r="D158" i="3"/>
  <c r="E158" i="3" s="1"/>
  <c r="G158" i="3" s="1"/>
  <c r="B159" i="3" s="1"/>
  <c r="D158" i="2" l="1"/>
  <c r="E158" i="2" s="1"/>
  <c r="G158" i="2" s="1"/>
  <c r="B159" i="2" s="1"/>
  <c r="D159" i="3"/>
  <c r="E159" i="3" s="1"/>
  <c r="G159" i="3" s="1"/>
  <c r="B160" i="3" s="1"/>
  <c r="D159" i="2" l="1"/>
  <c r="E159" i="2" s="1"/>
  <c r="G159" i="2" s="1"/>
  <c r="B160" i="2" s="1"/>
  <c r="D160" i="3"/>
  <c r="E160" i="3" s="1"/>
  <c r="G160" i="3" s="1"/>
  <c r="B161" i="3" s="1"/>
  <c r="D160" i="2" l="1"/>
  <c r="E160" i="2" s="1"/>
  <c r="G160" i="2" s="1"/>
  <c r="B161" i="2" s="1"/>
  <c r="D161" i="3"/>
  <c r="E161" i="3" s="1"/>
  <c r="G161" i="3" s="1"/>
  <c r="B162" i="3" s="1"/>
  <c r="D161" i="2" l="1"/>
  <c r="E161" i="2" s="1"/>
  <c r="G161" i="2" s="1"/>
  <c r="B162" i="2" s="1"/>
  <c r="D162" i="3"/>
  <c r="E162" i="3" s="1"/>
  <c r="G162" i="3" s="1"/>
  <c r="B163" i="3" s="1"/>
  <c r="D162" i="2" l="1"/>
  <c r="E162" i="2" s="1"/>
  <c r="G162" i="2" s="1"/>
  <c r="B163" i="2" s="1"/>
  <c r="D163" i="3"/>
  <c r="E163" i="3" s="1"/>
  <c r="G163" i="3" s="1"/>
  <c r="B164" i="3" s="1"/>
  <c r="D163" i="2" l="1"/>
  <c r="E163" i="2" s="1"/>
  <c r="G163" i="2" s="1"/>
  <c r="B164" i="2" s="1"/>
  <c r="D164" i="3"/>
  <c r="E164" i="3" s="1"/>
  <c r="G164" i="3" s="1"/>
  <c r="B165" i="3" s="1"/>
  <c r="D164" i="2" l="1"/>
  <c r="E164" i="2" s="1"/>
  <c r="G164" i="2" s="1"/>
  <c r="B165" i="2" s="1"/>
  <c r="D165" i="3"/>
  <c r="E165" i="3" s="1"/>
  <c r="G165" i="3" s="1"/>
  <c r="B166" i="3" s="1"/>
  <c r="D165" i="2" l="1"/>
  <c r="E165" i="2" s="1"/>
  <c r="G165" i="2" s="1"/>
  <c r="B166" i="2" s="1"/>
  <c r="D166" i="3"/>
  <c r="E166" i="3" s="1"/>
  <c r="G166" i="3" s="1"/>
  <c r="B167" i="3" s="1"/>
  <c r="D166" i="2" l="1"/>
  <c r="E166" i="2" s="1"/>
  <c r="G166" i="2" s="1"/>
  <c r="B167" i="2" s="1"/>
  <c r="D167" i="3"/>
  <c r="E167" i="3" s="1"/>
  <c r="G167" i="3" s="1"/>
  <c r="B168" i="3" s="1"/>
  <c r="D167" i="2" l="1"/>
  <c r="E167" i="2" s="1"/>
  <c r="G167" i="2" s="1"/>
  <c r="B168" i="2" s="1"/>
  <c r="D168" i="3"/>
  <c r="E168" i="3" s="1"/>
  <c r="G168" i="3" s="1"/>
  <c r="B169" i="3" s="1"/>
  <c r="D168" i="2" l="1"/>
  <c r="E168" i="2" s="1"/>
  <c r="G168" i="2" s="1"/>
  <c r="B169" i="2" s="1"/>
  <c r="D169" i="3"/>
  <c r="E169" i="3" s="1"/>
  <c r="G169" i="3" s="1"/>
  <c r="B170" i="3" s="1"/>
  <c r="D169" i="2" l="1"/>
  <c r="E169" i="2" s="1"/>
  <c r="G169" i="2" s="1"/>
  <c r="B170" i="2" s="1"/>
  <c r="D170" i="3"/>
  <c r="E170" i="3" s="1"/>
  <c r="G170" i="3" s="1"/>
  <c r="B171" i="3" s="1"/>
  <c r="D170" i="2" l="1"/>
  <c r="E170" i="2" s="1"/>
  <c r="G170" i="2" s="1"/>
  <c r="B171" i="2" s="1"/>
  <c r="D171" i="3"/>
  <c r="E171" i="3" s="1"/>
  <c r="G171" i="3" s="1"/>
  <c r="B172" i="3" s="1"/>
  <c r="D171" i="2" l="1"/>
  <c r="E171" i="2" s="1"/>
  <c r="G171" i="2" s="1"/>
  <c r="B172" i="2" s="1"/>
  <c r="D172" i="3"/>
  <c r="E172" i="3" s="1"/>
  <c r="G172" i="3" s="1"/>
  <c r="B173" i="3" s="1"/>
  <c r="D172" i="2" l="1"/>
  <c r="E172" i="2" s="1"/>
  <c r="G172" i="2" s="1"/>
  <c r="B173" i="2" s="1"/>
  <c r="D173" i="3"/>
  <c r="E173" i="3" s="1"/>
  <c r="G173" i="3" s="1"/>
  <c r="B174" i="3" s="1"/>
  <c r="D173" i="2" l="1"/>
  <c r="E173" i="2" s="1"/>
  <c r="G173" i="2" s="1"/>
  <c r="B174" i="2" s="1"/>
  <c r="D174" i="3"/>
  <c r="E174" i="3" s="1"/>
  <c r="G174" i="3" s="1"/>
  <c r="B175" i="3" s="1"/>
  <c r="D174" i="2" l="1"/>
  <c r="E174" i="2" s="1"/>
  <c r="G174" i="2" s="1"/>
  <c r="B175" i="2" s="1"/>
  <c r="D175" i="3"/>
  <c r="E175" i="3" s="1"/>
  <c r="G175" i="3" s="1"/>
  <c r="B176" i="3" s="1"/>
  <c r="D175" i="2" l="1"/>
  <c r="E175" i="2" s="1"/>
  <c r="G175" i="2" s="1"/>
  <c r="B176" i="2" s="1"/>
  <c r="D176" i="3"/>
  <c r="E176" i="3" s="1"/>
  <c r="G176" i="3" s="1"/>
  <c r="B177" i="3" s="1"/>
  <c r="D176" i="2" l="1"/>
  <c r="E176" i="2" s="1"/>
  <c r="G176" i="2" s="1"/>
  <c r="B177" i="2" s="1"/>
  <c r="D177" i="3"/>
  <c r="E177" i="3" s="1"/>
  <c r="G177" i="3" s="1"/>
  <c r="B178" i="3" s="1"/>
  <c r="D177" i="2" l="1"/>
  <c r="E177" i="2" s="1"/>
  <c r="G177" i="2" s="1"/>
  <c r="B178" i="2" s="1"/>
  <c r="D178" i="3"/>
  <c r="E178" i="3" s="1"/>
  <c r="G178" i="3" s="1"/>
  <c r="B179" i="3" s="1"/>
  <c r="D178" i="2" l="1"/>
  <c r="E178" i="2" s="1"/>
  <c r="G178" i="2" s="1"/>
  <c r="B179" i="2" s="1"/>
  <c r="D179" i="3"/>
  <c r="E179" i="3" s="1"/>
  <c r="G179" i="3" s="1"/>
  <c r="B180" i="3" s="1"/>
  <c r="D179" i="2" l="1"/>
  <c r="E179" i="2" s="1"/>
  <c r="G179" i="2" s="1"/>
  <c r="B180" i="2" s="1"/>
  <c r="D180" i="3"/>
  <c r="E180" i="3" s="1"/>
  <c r="G180" i="3" s="1"/>
  <c r="B181" i="3" s="1"/>
  <c r="D180" i="2" l="1"/>
  <c r="E180" i="2" s="1"/>
  <c r="G180" i="2" s="1"/>
  <c r="B181" i="2" s="1"/>
  <c r="D181" i="3"/>
  <c r="E181" i="3" s="1"/>
  <c r="G181" i="3" s="1"/>
  <c r="B182" i="3" s="1"/>
  <c r="D181" i="2" l="1"/>
  <c r="E181" i="2" s="1"/>
  <c r="G181" i="2" s="1"/>
  <c r="B182" i="2" s="1"/>
  <c r="D182" i="3"/>
  <c r="E182" i="3" s="1"/>
  <c r="G182" i="3" s="1"/>
  <c r="B183" i="3" s="1"/>
  <c r="D182" i="2" l="1"/>
  <c r="E182" i="2" s="1"/>
  <c r="G182" i="2" s="1"/>
  <c r="B183" i="2" s="1"/>
  <c r="D183" i="3"/>
  <c r="E183" i="3" s="1"/>
  <c r="G183" i="3" s="1"/>
  <c r="B184" i="3" s="1"/>
  <c r="D183" i="2" l="1"/>
  <c r="E183" i="2" s="1"/>
  <c r="G183" i="2" s="1"/>
  <c r="B184" i="2" s="1"/>
  <c r="D184" i="3"/>
  <c r="E184" i="3" s="1"/>
  <c r="G184" i="3" s="1"/>
  <c r="B185" i="3" s="1"/>
  <c r="D184" i="2" l="1"/>
  <c r="E184" i="2" s="1"/>
  <c r="G184" i="2" s="1"/>
  <c r="B185" i="2" s="1"/>
  <c r="D185" i="3"/>
  <c r="E185" i="3" s="1"/>
  <c r="G185" i="3" s="1"/>
  <c r="B186" i="3" s="1"/>
  <c r="D185" i="2" l="1"/>
  <c r="E185" i="2" s="1"/>
  <c r="G185" i="2" s="1"/>
  <c r="B186" i="2" s="1"/>
  <c r="D186" i="3"/>
  <c r="E186" i="3" s="1"/>
  <c r="G186" i="3" s="1"/>
  <c r="B187" i="3" s="1"/>
  <c r="D186" i="2" l="1"/>
  <c r="E186" i="2" s="1"/>
  <c r="G186" i="2" s="1"/>
  <c r="B187" i="2" s="1"/>
  <c r="D187" i="3"/>
  <c r="E187" i="3" s="1"/>
  <c r="G187" i="3" s="1"/>
  <c r="B188" i="3" s="1"/>
  <c r="D187" i="2" l="1"/>
  <c r="E187" i="2" s="1"/>
  <c r="G187" i="2" s="1"/>
  <c r="B188" i="2" s="1"/>
  <c r="D188" i="3"/>
  <c r="E188" i="3" s="1"/>
  <c r="G188" i="3" s="1"/>
  <c r="B189" i="3" s="1"/>
  <c r="D188" i="2" l="1"/>
  <c r="E188" i="2" s="1"/>
  <c r="G188" i="2" s="1"/>
  <c r="B189" i="2" s="1"/>
  <c r="D189" i="3"/>
  <c r="E189" i="3" s="1"/>
  <c r="G189" i="3" s="1"/>
  <c r="B190" i="3" s="1"/>
  <c r="D189" i="2" l="1"/>
  <c r="E189" i="2" s="1"/>
  <c r="G189" i="2" s="1"/>
  <c r="B190" i="2" s="1"/>
  <c r="D190" i="3"/>
  <c r="E190" i="3" s="1"/>
  <c r="G190" i="3" s="1"/>
  <c r="B191" i="3" s="1"/>
  <c r="D190" i="2" l="1"/>
  <c r="E190" i="2" s="1"/>
  <c r="G190" i="2" s="1"/>
  <c r="B191" i="2" s="1"/>
  <c r="D191" i="3"/>
  <c r="E191" i="3" s="1"/>
  <c r="G191" i="3" s="1"/>
  <c r="B192" i="3" s="1"/>
  <c r="D191" i="2" l="1"/>
  <c r="E191" i="2" s="1"/>
  <c r="G191" i="2" s="1"/>
  <c r="B192" i="2" s="1"/>
  <c r="D192" i="3"/>
  <c r="E192" i="3" s="1"/>
  <c r="G192" i="3" s="1"/>
  <c r="B193" i="3" s="1"/>
  <c r="D192" i="2" l="1"/>
  <c r="E192" i="2" s="1"/>
  <c r="G192" i="2" s="1"/>
  <c r="B193" i="2" s="1"/>
  <c r="D193" i="3"/>
  <c r="E193" i="3" s="1"/>
  <c r="G193" i="3" s="1"/>
  <c r="B194" i="3" s="1"/>
  <c r="D193" i="2" l="1"/>
  <c r="E193" i="2" s="1"/>
  <c r="G193" i="2" s="1"/>
  <c r="B194" i="2" s="1"/>
  <c r="D194" i="3"/>
  <c r="E194" i="3" s="1"/>
  <c r="G194" i="3" s="1"/>
  <c r="B195" i="3" s="1"/>
  <c r="D194" i="2" l="1"/>
  <c r="E194" i="2" s="1"/>
  <c r="G194" i="2" s="1"/>
  <c r="B195" i="2" s="1"/>
  <c r="D195" i="3"/>
  <c r="E195" i="3" s="1"/>
  <c r="G195" i="3" s="1"/>
  <c r="B196" i="3" s="1"/>
  <c r="D195" i="2" l="1"/>
  <c r="E195" i="2" s="1"/>
  <c r="G195" i="2" s="1"/>
  <c r="B196" i="2" s="1"/>
  <c r="D196" i="3"/>
  <c r="E196" i="3" s="1"/>
  <c r="G196" i="3" s="1"/>
  <c r="B197" i="3" s="1"/>
  <c r="D196" i="2" l="1"/>
  <c r="E196" i="2" s="1"/>
  <c r="G196" i="2" s="1"/>
  <c r="B197" i="2" s="1"/>
  <c r="D197" i="3"/>
  <c r="E197" i="3" s="1"/>
  <c r="G197" i="3" s="1"/>
  <c r="B198" i="3" s="1"/>
  <c r="D197" i="2" l="1"/>
  <c r="E197" i="2" s="1"/>
  <c r="G197" i="2" s="1"/>
  <c r="B198" i="2" s="1"/>
  <c r="D198" i="3"/>
  <c r="E198" i="3" s="1"/>
  <c r="G198" i="3" s="1"/>
  <c r="B199" i="3" s="1"/>
  <c r="D198" i="2" l="1"/>
  <c r="E198" i="2" s="1"/>
  <c r="G198" i="2" s="1"/>
  <c r="B199" i="2" s="1"/>
  <c r="D199" i="3"/>
  <c r="E199" i="3" s="1"/>
  <c r="G199" i="3" s="1"/>
  <c r="B200" i="3" s="1"/>
  <c r="D199" i="2" l="1"/>
  <c r="E199" i="2" s="1"/>
  <c r="G199" i="2" s="1"/>
  <c r="B200" i="2" s="1"/>
  <c r="D200" i="3"/>
  <c r="E200" i="3" s="1"/>
  <c r="G200" i="3" s="1"/>
  <c r="B201" i="3" s="1"/>
  <c r="D200" i="2" l="1"/>
  <c r="E200" i="2" s="1"/>
  <c r="G200" i="2" s="1"/>
  <c r="B201" i="2" s="1"/>
  <c r="D201" i="3"/>
  <c r="E201" i="3" s="1"/>
  <c r="G201" i="3" s="1"/>
  <c r="B202" i="3" s="1"/>
  <c r="D201" i="2" l="1"/>
  <c r="E201" i="2" s="1"/>
  <c r="G201" i="2" s="1"/>
  <c r="B202" i="2" s="1"/>
  <c r="D202" i="3"/>
  <c r="E202" i="3" s="1"/>
  <c r="G202" i="3" s="1"/>
  <c r="B203" i="3" s="1"/>
  <c r="D202" i="2" l="1"/>
  <c r="E202" i="2" s="1"/>
  <c r="G202" i="2" s="1"/>
  <c r="B203" i="2" s="1"/>
  <c r="D203" i="3"/>
  <c r="E203" i="3" s="1"/>
  <c r="G203" i="3" s="1"/>
  <c r="B204" i="3" s="1"/>
  <c r="D203" i="2" l="1"/>
  <c r="E203" i="2" s="1"/>
  <c r="G203" i="2" s="1"/>
  <c r="B204" i="2" s="1"/>
  <c r="D204" i="3"/>
  <c r="E204" i="3" s="1"/>
  <c r="G204" i="3" s="1"/>
  <c r="B205" i="3" s="1"/>
  <c r="D204" i="2" l="1"/>
  <c r="E204" i="2" s="1"/>
  <c r="G204" i="2" s="1"/>
  <c r="B205" i="2" s="1"/>
  <c r="D205" i="3"/>
  <c r="E205" i="3" s="1"/>
  <c r="G205" i="3" s="1"/>
  <c r="B206" i="3" s="1"/>
  <c r="D205" i="2" l="1"/>
  <c r="E205" i="2" s="1"/>
  <c r="G205" i="2" s="1"/>
  <c r="B206" i="2" s="1"/>
  <c r="D206" i="3"/>
  <c r="E206" i="3" s="1"/>
  <c r="G206" i="3" s="1"/>
  <c r="B207" i="3" s="1"/>
  <c r="D206" i="2" l="1"/>
  <c r="E206" i="2" s="1"/>
  <c r="G206" i="2" s="1"/>
  <c r="B207" i="2" s="1"/>
  <c r="D207" i="3"/>
  <c r="E207" i="3" s="1"/>
  <c r="G207" i="3" s="1"/>
  <c r="B208" i="3" s="1"/>
  <c r="D207" i="2" l="1"/>
  <c r="E207" i="2" s="1"/>
  <c r="G207" i="2" s="1"/>
  <c r="B208" i="2" s="1"/>
  <c r="D208" i="3"/>
  <c r="E208" i="3" s="1"/>
  <c r="G208" i="3" s="1"/>
  <c r="B209" i="3" s="1"/>
  <c r="D208" i="2" l="1"/>
  <c r="E208" i="2" s="1"/>
  <c r="G208" i="2" s="1"/>
  <c r="B209" i="2" s="1"/>
  <c r="D209" i="3"/>
  <c r="E209" i="3" s="1"/>
  <c r="G209" i="3" s="1"/>
  <c r="B210" i="3" s="1"/>
  <c r="D209" i="2" l="1"/>
  <c r="E209" i="2" s="1"/>
  <c r="G209" i="2" s="1"/>
  <c r="B210" i="2" s="1"/>
  <c r="D210" i="3"/>
  <c r="E210" i="3" s="1"/>
  <c r="G210" i="3" s="1"/>
  <c r="B211" i="3" s="1"/>
  <c r="D210" i="2" l="1"/>
  <c r="E210" i="2" s="1"/>
  <c r="G210" i="2" s="1"/>
  <c r="B211" i="2" s="1"/>
  <c r="D211" i="3"/>
  <c r="E211" i="3" s="1"/>
  <c r="G211" i="3" s="1"/>
  <c r="B212" i="3" s="1"/>
  <c r="D211" i="2" l="1"/>
  <c r="E211" i="2" s="1"/>
  <c r="G211" i="2" s="1"/>
  <c r="B212" i="2" s="1"/>
  <c r="D212" i="3"/>
  <c r="E212" i="3" s="1"/>
  <c r="G212" i="3" s="1"/>
  <c r="B213" i="3" s="1"/>
  <c r="D212" i="2" l="1"/>
  <c r="E212" i="2" s="1"/>
  <c r="G212" i="2" s="1"/>
  <c r="B213" i="2" s="1"/>
  <c r="D213" i="3"/>
  <c r="E213" i="3" s="1"/>
  <c r="G213" i="3" s="1"/>
  <c r="B214" i="3" s="1"/>
  <c r="D213" i="2" l="1"/>
  <c r="E213" i="2" s="1"/>
  <c r="G213" i="2" s="1"/>
  <c r="B214" i="2" s="1"/>
  <c r="D214" i="3"/>
  <c r="E214" i="3" s="1"/>
  <c r="G214" i="3" s="1"/>
  <c r="B215" i="3" s="1"/>
  <c r="D214" i="2" l="1"/>
  <c r="E214" i="2" s="1"/>
  <c r="G214" i="2" s="1"/>
  <c r="B215" i="2" s="1"/>
  <c r="D215" i="3"/>
  <c r="E215" i="3" s="1"/>
  <c r="G215" i="3" s="1"/>
  <c r="B216" i="3" s="1"/>
  <c r="D215" i="2" l="1"/>
  <c r="E215" i="2" s="1"/>
  <c r="G215" i="2" s="1"/>
  <c r="B216" i="2" s="1"/>
  <c r="D216" i="3"/>
  <c r="E216" i="3" s="1"/>
  <c r="G216" i="3" s="1"/>
  <c r="B217" i="3" s="1"/>
  <c r="D216" i="2" l="1"/>
  <c r="E216" i="2"/>
  <c r="G216" i="2" s="1"/>
  <c r="B217" i="2" s="1"/>
  <c r="D217" i="3"/>
  <c r="E217" i="3" s="1"/>
  <c r="G217" i="3" s="1"/>
  <c r="B218" i="3" s="1"/>
  <c r="D217" i="2" l="1"/>
  <c r="E217" i="2" s="1"/>
  <c r="G217" i="2" s="1"/>
  <c r="B218" i="2" s="1"/>
  <c r="D218" i="3"/>
  <c r="E218" i="3" s="1"/>
  <c r="G218" i="3" s="1"/>
  <c r="B219" i="3" s="1"/>
  <c r="D218" i="2" l="1"/>
  <c r="E218" i="2" s="1"/>
  <c r="G218" i="2" s="1"/>
  <c r="B219" i="2" s="1"/>
  <c r="D219" i="3"/>
  <c r="E219" i="3" s="1"/>
  <c r="G219" i="3" s="1"/>
  <c r="B220" i="3" s="1"/>
  <c r="D219" i="2" l="1"/>
  <c r="E219" i="2" s="1"/>
  <c r="G219" i="2" s="1"/>
  <c r="B220" i="2" s="1"/>
  <c r="D220" i="3"/>
  <c r="E220" i="3" s="1"/>
  <c r="G220" i="3" s="1"/>
  <c r="B221" i="3" s="1"/>
  <c r="D220" i="2" l="1"/>
  <c r="E220" i="2" s="1"/>
  <c r="G220" i="2" s="1"/>
  <c r="B221" i="2" s="1"/>
  <c r="D221" i="3"/>
  <c r="E221" i="3" s="1"/>
  <c r="G221" i="3" s="1"/>
  <c r="B222" i="3" s="1"/>
  <c r="D221" i="2" l="1"/>
  <c r="E221" i="2" s="1"/>
  <c r="G221" i="2" s="1"/>
  <c r="B222" i="2" s="1"/>
  <c r="D222" i="3"/>
  <c r="E222" i="3" s="1"/>
  <c r="G222" i="3" s="1"/>
  <c r="B223" i="3" s="1"/>
  <c r="D222" i="2" l="1"/>
  <c r="E222" i="2" s="1"/>
  <c r="G222" i="2" s="1"/>
  <c r="B223" i="2" s="1"/>
  <c r="D223" i="3"/>
  <c r="E223" i="3" s="1"/>
  <c r="G223" i="3" s="1"/>
  <c r="B224" i="3" s="1"/>
  <c r="D223" i="2" l="1"/>
  <c r="E223" i="2" s="1"/>
  <c r="G223" i="2" s="1"/>
  <c r="B224" i="2" s="1"/>
  <c r="D224" i="3"/>
  <c r="E224" i="3" s="1"/>
  <c r="G224" i="3" s="1"/>
  <c r="B225" i="3" s="1"/>
  <c r="D224" i="2" l="1"/>
  <c r="E224" i="2" s="1"/>
  <c r="G224" i="2" s="1"/>
  <c r="B225" i="2" s="1"/>
  <c r="D225" i="3"/>
  <c r="E225" i="3" s="1"/>
  <c r="G225" i="3" s="1"/>
  <c r="B226" i="3" s="1"/>
  <c r="D225" i="2" l="1"/>
  <c r="E225" i="2" s="1"/>
  <c r="G225" i="2" s="1"/>
  <c r="B226" i="2" s="1"/>
  <c r="D226" i="3"/>
  <c r="E226" i="3" s="1"/>
  <c r="G226" i="3" s="1"/>
  <c r="B227" i="3" s="1"/>
  <c r="D226" i="2" l="1"/>
  <c r="E226" i="2" s="1"/>
  <c r="G226" i="2" s="1"/>
  <c r="B227" i="2" s="1"/>
  <c r="D227" i="3"/>
  <c r="E227" i="3" s="1"/>
  <c r="G227" i="3" s="1"/>
  <c r="B228" i="3" s="1"/>
  <c r="D227" i="2" l="1"/>
  <c r="E227" i="2" s="1"/>
  <c r="G227" i="2" s="1"/>
  <c r="B228" i="2" s="1"/>
  <c r="D228" i="3"/>
  <c r="D229" i="3" s="1"/>
  <c r="O3" i="3" s="1"/>
  <c r="P3" i="3" s="1"/>
  <c r="D228" i="2" l="1"/>
  <c r="E228" i="2" s="1"/>
  <c r="G228" i="2" s="1"/>
  <c r="B229" i="2" s="1"/>
  <c r="E228" i="3"/>
  <c r="G228" i="3" s="1"/>
  <c r="D229" i="2" l="1"/>
  <c r="E229" i="2" s="1"/>
  <c r="G229" i="2" s="1"/>
  <c r="B230" i="2" s="1"/>
  <c r="D230" i="2" l="1"/>
  <c r="E230" i="2" s="1"/>
  <c r="G230" i="2" s="1"/>
  <c r="B231" i="2" s="1"/>
  <c r="D231" i="2" l="1"/>
  <c r="E231" i="2" s="1"/>
  <c r="G231" i="2" s="1"/>
  <c r="B232" i="2" s="1"/>
  <c r="D232" i="2" l="1"/>
  <c r="E232" i="2" s="1"/>
  <c r="G232" i="2" s="1"/>
  <c r="B233" i="2" s="1"/>
  <c r="D233" i="2" l="1"/>
  <c r="E233" i="2" s="1"/>
  <c r="G233" i="2" s="1"/>
  <c r="B234" i="2" s="1"/>
  <c r="D234" i="2" l="1"/>
  <c r="E234" i="2" s="1"/>
  <c r="G234" i="2" s="1"/>
  <c r="B235" i="2" s="1"/>
  <c r="D235" i="2" l="1"/>
  <c r="E235" i="2" s="1"/>
  <c r="G235" i="2" s="1"/>
  <c r="B236" i="2" s="1"/>
  <c r="D236" i="2" l="1"/>
  <c r="E236" i="2" s="1"/>
  <c r="G236" i="2" s="1"/>
  <c r="B237" i="2" s="1"/>
  <c r="D237" i="2" l="1"/>
  <c r="E237" i="2" s="1"/>
  <c r="G237" i="2" s="1"/>
  <c r="B238" i="2" s="1"/>
  <c r="D238" i="2" l="1"/>
  <c r="E238" i="2" s="1"/>
  <c r="G238" i="2" s="1"/>
  <c r="B239" i="2" s="1"/>
  <c r="D239" i="2" l="1"/>
  <c r="E239" i="2" s="1"/>
  <c r="G239" i="2" s="1"/>
  <c r="B240" i="2" s="1"/>
  <c r="D240" i="2" l="1"/>
  <c r="E240" i="2" s="1"/>
  <c r="G240" i="2" s="1"/>
  <c r="B241" i="2" s="1"/>
  <c r="D241" i="2" l="1"/>
  <c r="E241" i="2" s="1"/>
  <c r="G241" i="2" s="1"/>
  <c r="B242" i="2" s="1"/>
  <c r="D242" i="2" l="1"/>
  <c r="E242" i="2" s="1"/>
  <c r="G242" i="2" s="1"/>
  <c r="B243" i="2" s="1"/>
  <c r="D243" i="2" l="1"/>
  <c r="E243" i="2" s="1"/>
  <c r="G243" i="2" s="1"/>
  <c r="B244" i="2" s="1"/>
  <c r="D244" i="2" l="1"/>
  <c r="E244" i="2" s="1"/>
  <c r="G244" i="2" s="1"/>
  <c r="B245" i="2" s="1"/>
  <c r="D245" i="2" l="1"/>
  <c r="E245" i="2" s="1"/>
  <c r="G245" i="2" s="1"/>
  <c r="B246" i="2" s="1"/>
  <c r="D246" i="2" l="1"/>
  <c r="E246" i="2" s="1"/>
  <c r="G246" i="2" s="1"/>
  <c r="B247" i="2" s="1"/>
  <c r="D247" i="2" l="1"/>
  <c r="E247" i="2" s="1"/>
  <c r="G247" i="2" s="1"/>
  <c r="B248" i="2" s="1"/>
  <c r="D248" i="2" l="1"/>
  <c r="E248" i="2" s="1"/>
  <c r="G248" i="2" s="1"/>
  <c r="B249" i="2" s="1"/>
  <c r="D249" i="2" l="1"/>
  <c r="E249" i="2" s="1"/>
  <c r="G249" i="2" s="1"/>
  <c r="B250" i="2" s="1"/>
  <c r="D250" i="2" l="1"/>
  <c r="E250" i="2" s="1"/>
  <c r="G250" i="2" s="1"/>
  <c r="B251" i="2" s="1"/>
  <c r="D251" i="2" l="1"/>
  <c r="E251" i="2" s="1"/>
  <c r="G251" i="2" s="1"/>
  <c r="B252" i="2" s="1"/>
  <c r="D252" i="2" l="1"/>
  <c r="E252" i="2" s="1"/>
  <c r="G252" i="2" s="1"/>
  <c r="B253" i="2" s="1"/>
  <c r="D253" i="2" l="1"/>
  <c r="E253" i="2" s="1"/>
  <c r="G253" i="2" s="1"/>
  <c r="B254" i="2" s="1"/>
  <c r="D254" i="2" l="1"/>
  <c r="E254" i="2" s="1"/>
  <c r="G254" i="2" s="1"/>
  <c r="B255" i="2" s="1"/>
  <c r="D255" i="2" l="1"/>
  <c r="E255" i="2" s="1"/>
  <c r="G255" i="2" s="1"/>
  <c r="B256" i="2" s="1"/>
  <c r="D256" i="2" l="1"/>
  <c r="E256" i="2" s="1"/>
  <c r="G256" i="2" s="1"/>
  <c r="B257" i="2" s="1"/>
  <c r="D257" i="2" l="1"/>
  <c r="E257" i="2" s="1"/>
  <c r="G257" i="2" s="1"/>
  <c r="B258" i="2" s="1"/>
  <c r="D258" i="2" l="1"/>
  <c r="E258" i="2" s="1"/>
  <c r="G258" i="2" s="1"/>
  <c r="B259" i="2" s="1"/>
  <c r="D259" i="2" l="1"/>
  <c r="E259" i="2" s="1"/>
  <c r="G259" i="2" s="1"/>
  <c r="B260" i="2" s="1"/>
  <c r="D260" i="2" l="1"/>
  <c r="E260" i="2" s="1"/>
  <c r="G260" i="2" s="1"/>
  <c r="B261" i="2" s="1"/>
  <c r="D261" i="2" l="1"/>
  <c r="E261" i="2" s="1"/>
  <c r="G261" i="2" s="1"/>
  <c r="B262" i="2" s="1"/>
  <c r="D262" i="2" l="1"/>
  <c r="E262" i="2" s="1"/>
  <c r="G262" i="2" s="1"/>
  <c r="B263" i="2" s="1"/>
  <c r="D263" i="2" l="1"/>
  <c r="E263" i="2" s="1"/>
  <c r="G263" i="2" s="1"/>
  <c r="B264" i="2" s="1"/>
  <c r="D264" i="2" l="1"/>
  <c r="E264" i="2" s="1"/>
  <c r="G264" i="2" s="1"/>
  <c r="B265" i="2" s="1"/>
  <c r="D265" i="2" l="1"/>
  <c r="E265" i="2" s="1"/>
  <c r="G265" i="2" s="1"/>
  <c r="B266" i="2" s="1"/>
  <c r="D266" i="2" l="1"/>
  <c r="E266" i="2" s="1"/>
  <c r="G266" i="2" s="1"/>
  <c r="B267" i="2" s="1"/>
  <c r="D267" i="2" l="1"/>
  <c r="E267" i="2" s="1"/>
  <c r="G267" i="2" s="1"/>
  <c r="B268" i="2" s="1"/>
  <c r="D268" i="2" l="1"/>
  <c r="E268" i="2" s="1"/>
  <c r="G268" i="2" s="1"/>
  <c r="B269" i="2" s="1"/>
  <c r="D269" i="2" l="1"/>
  <c r="E269" i="2" s="1"/>
  <c r="G269" i="2" s="1"/>
  <c r="B270" i="2" s="1"/>
  <c r="D270" i="2" l="1"/>
  <c r="E270" i="2" s="1"/>
  <c r="G270" i="2" s="1"/>
  <c r="B271" i="2" s="1"/>
  <c r="D271" i="2" l="1"/>
  <c r="E271" i="2" s="1"/>
  <c r="G271" i="2" s="1"/>
  <c r="B272" i="2" s="1"/>
  <c r="D272" i="2" l="1"/>
  <c r="E272" i="2" s="1"/>
  <c r="G272" i="2" s="1"/>
  <c r="B273" i="2" s="1"/>
  <c r="D273" i="2" l="1"/>
  <c r="E273" i="2" s="1"/>
  <c r="G273" i="2" s="1"/>
  <c r="B274" i="2" s="1"/>
  <c r="D274" i="2" l="1"/>
  <c r="E274" i="2" s="1"/>
  <c r="G274" i="2" s="1"/>
  <c r="B275" i="2" s="1"/>
  <c r="D275" i="2" l="1"/>
  <c r="E275" i="2" s="1"/>
  <c r="G275" i="2" s="1"/>
  <c r="B276" i="2" s="1"/>
  <c r="D276" i="2" l="1"/>
  <c r="E276" i="2" s="1"/>
  <c r="G276" i="2" s="1"/>
  <c r="B277" i="2" s="1"/>
  <c r="D277" i="2" l="1"/>
  <c r="E277" i="2" s="1"/>
  <c r="G277" i="2" s="1"/>
  <c r="B278" i="2" s="1"/>
  <c r="D278" i="2" l="1"/>
  <c r="E278" i="2" s="1"/>
  <c r="G278" i="2" s="1"/>
  <c r="B279" i="2" s="1"/>
  <c r="D279" i="2" l="1"/>
  <c r="E279" i="2" s="1"/>
  <c r="G279" i="2" s="1"/>
  <c r="B280" i="2" s="1"/>
  <c r="D280" i="2" l="1"/>
  <c r="E280" i="2" s="1"/>
  <c r="G280" i="2" s="1"/>
  <c r="B281" i="2" s="1"/>
  <c r="D281" i="2" l="1"/>
  <c r="E281" i="2" s="1"/>
  <c r="G281" i="2" s="1"/>
  <c r="B282" i="2" s="1"/>
  <c r="D282" i="2" l="1"/>
  <c r="E282" i="2" s="1"/>
  <c r="G282" i="2" s="1"/>
  <c r="B283" i="2" s="1"/>
  <c r="D283" i="2" l="1"/>
  <c r="E283" i="2" s="1"/>
  <c r="G283" i="2" s="1"/>
  <c r="B284" i="2" s="1"/>
  <c r="D284" i="2" l="1"/>
  <c r="E284" i="2" s="1"/>
  <c r="G284" i="2" s="1"/>
  <c r="B285" i="2" s="1"/>
  <c r="D285" i="2" l="1"/>
  <c r="E285" i="2" s="1"/>
  <c r="G285" i="2" s="1"/>
  <c r="B286" i="2" s="1"/>
  <c r="D286" i="2" l="1"/>
  <c r="E286" i="2" s="1"/>
  <c r="G286" i="2" s="1"/>
  <c r="B287" i="2" s="1"/>
  <c r="D287" i="2" l="1"/>
  <c r="E287" i="2" s="1"/>
  <c r="G287" i="2" s="1"/>
  <c r="B288" i="2" s="1"/>
  <c r="D288" i="2" l="1"/>
  <c r="E288" i="2" s="1"/>
  <c r="G288" i="2" s="1"/>
  <c r="B289" i="2" s="1"/>
  <c r="D289" i="2" l="1"/>
  <c r="E289" i="2" s="1"/>
  <c r="G289" i="2" s="1"/>
  <c r="B290" i="2" s="1"/>
  <c r="D290" i="2" l="1"/>
  <c r="E290" i="2" s="1"/>
  <c r="G290" i="2" s="1"/>
  <c r="B291" i="2" s="1"/>
  <c r="D291" i="2" l="1"/>
  <c r="E291" i="2" s="1"/>
  <c r="G291" i="2" s="1"/>
  <c r="B292" i="2" s="1"/>
  <c r="D292" i="2" l="1"/>
  <c r="E292" i="2" s="1"/>
  <c r="G292" i="2" s="1"/>
  <c r="B293" i="2" s="1"/>
  <c r="D293" i="2" l="1"/>
  <c r="E293" i="2" s="1"/>
  <c r="G293" i="2" s="1"/>
  <c r="B294" i="2" s="1"/>
  <c r="D294" i="2" l="1"/>
  <c r="E294" i="2" s="1"/>
  <c r="G294" i="2" s="1"/>
  <c r="B295" i="2" s="1"/>
  <c r="D295" i="2" l="1"/>
  <c r="E295" i="2" s="1"/>
  <c r="G295" i="2" s="1"/>
  <c r="B296" i="2" s="1"/>
  <c r="D296" i="2" l="1"/>
  <c r="E296" i="2" s="1"/>
  <c r="G296" i="2" s="1"/>
  <c r="B297" i="2" s="1"/>
  <c r="D297" i="2" l="1"/>
  <c r="E297" i="2" s="1"/>
  <c r="G297" i="2" s="1"/>
  <c r="B298" i="2" s="1"/>
  <c r="D298" i="2" l="1"/>
  <c r="E298" i="2" s="1"/>
  <c r="G298" i="2" s="1"/>
  <c r="B299" i="2" s="1"/>
  <c r="D299" i="2" l="1"/>
  <c r="E299" i="2" s="1"/>
  <c r="G299" i="2" s="1"/>
  <c r="B300" i="2" s="1"/>
  <c r="D300" i="2" l="1"/>
  <c r="E300" i="2" s="1"/>
  <c r="G300" i="2" s="1"/>
  <c r="B301" i="2" s="1"/>
  <c r="D301" i="2" l="1"/>
  <c r="E301" i="2" s="1"/>
  <c r="G301" i="2" s="1"/>
  <c r="B302" i="2" s="1"/>
  <c r="D302" i="2" l="1"/>
  <c r="E302" i="2" s="1"/>
  <c r="G302" i="2" s="1"/>
  <c r="B303" i="2" s="1"/>
  <c r="D303" i="2" l="1"/>
  <c r="E303" i="2" s="1"/>
  <c r="G303" i="2" s="1"/>
  <c r="B304" i="2" s="1"/>
  <c r="D304" i="2" l="1"/>
  <c r="E304" i="2" s="1"/>
  <c r="G304" i="2" s="1"/>
  <c r="B305" i="2" s="1"/>
  <c r="D305" i="2" l="1"/>
  <c r="E305" i="2" s="1"/>
  <c r="G305" i="2" s="1"/>
  <c r="B306" i="2" s="1"/>
  <c r="D306" i="2" l="1"/>
  <c r="E306" i="2" s="1"/>
  <c r="G306" i="2" s="1"/>
  <c r="B307" i="2" s="1"/>
  <c r="D307" i="2" l="1"/>
  <c r="E307" i="2" s="1"/>
  <c r="G307" i="2" s="1"/>
  <c r="B308" i="2" s="1"/>
  <c r="D308" i="2" l="1"/>
  <c r="E308" i="2" s="1"/>
  <c r="G308" i="2" s="1"/>
  <c r="B309" i="2" s="1"/>
  <c r="D309" i="2" l="1"/>
  <c r="E309" i="2" s="1"/>
  <c r="G309" i="2" s="1"/>
  <c r="B310" i="2" s="1"/>
  <c r="D310" i="2" l="1"/>
  <c r="E310" i="2" s="1"/>
  <c r="G310" i="2" s="1"/>
  <c r="B311" i="2" s="1"/>
  <c r="D311" i="2" l="1"/>
  <c r="E311" i="2" s="1"/>
  <c r="G311" i="2" s="1"/>
  <c r="B312" i="2" s="1"/>
  <c r="D312" i="2" l="1"/>
  <c r="E312" i="2" s="1"/>
  <c r="G312" i="2" s="1"/>
  <c r="B313" i="2" s="1"/>
  <c r="D313" i="2" l="1"/>
  <c r="E313" i="2" s="1"/>
  <c r="G313" i="2" s="1"/>
  <c r="B314" i="2" s="1"/>
  <c r="D314" i="2" l="1"/>
  <c r="E314" i="2" s="1"/>
  <c r="G314" i="2" s="1"/>
  <c r="B315" i="2" s="1"/>
  <c r="D315" i="2" l="1"/>
  <c r="E315" i="2" s="1"/>
  <c r="G315" i="2" s="1"/>
  <c r="B316" i="2" s="1"/>
  <c r="D316" i="2" l="1"/>
  <c r="E316" i="2" s="1"/>
  <c r="G316" i="2" s="1"/>
  <c r="B317" i="2" s="1"/>
  <c r="D317" i="2" l="1"/>
  <c r="E317" i="2" s="1"/>
  <c r="G317" i="2" s="1"/>
  <c r="B318" i="2" s="1"/>
  <c r="D318" i="2" l="1"/>
  <c r="E318" i="2" s="1"/>
  <c r="G318" i="2" s="1"/>
  <c r="B319" i="2" s="1"/>
  <c r="D319" i="2" l="1"/>
  <c r="E319" i="2" s="1"/>
  <c r="G319" i="2" s="1"/>
  <c r="B320" i="2" s="1"/>
  <c r="D320" i="2" l="1"/>
  <c r="E320" i="2" s="1"/>
  <c r="G320" i="2" s="1"/>
  <c r="B321" i="2" s="1"/>
  <c r="D321" i="2" l="1"/>
  <c r="E321" i="2" s="1"/>
  <c r="G321" i="2" s="1"/>
  <c r="B322" i="2" s="1"/>
  <c r="D322" i="2" l="1"/>
  <c r="E322" i="2" s="1"/>
  <c r="G322" i="2" s="1"/>
  <c r="B323" i="2" s="1"/>
  <c r="D323" i="2" l="1"/>
  <c r="E323" i="2" s="1"/>
  <c r="G323" i="2" s="1"/>
  <c r="B324" i="2" s="1"/>
  <c r="D324" i="2" l="1"/>
  <c r="E324" i="2" s="1"/>
  <c r="G324" i="2" s="1"/>
  <c r="B325" i="2" s="1"/>
  <c r="D325" i="2" l="1"/>
  <c r="E325" i="2" s="1"/>
  <c r="G325" i="2" s="1"/>
  <c r="B326" i="2" s="1"/>
  <c r="D326" i="2" l="1"/>
  <c r="E326" i="2" s="1"/>
  <c r="G326" i="2" s="1"/>
  <c r="B327" i="2" s="1"/>
  <c r="D327" i="2" l="1"/>
  <c r="E327" i="2" s="1"/>
  <c r="G327" i="2" s="1"/>
  <c r="B328" i="2" s="1"/>
  <c r="D328" i="2" l="1"/>
  <c r="E328" i="2" s="1"/>
  <c r="G328" i="2" s="1"/>
  <c r="B329" i="2" s="1"/>
  <c r="D329" i="2" l="1"/>
  <c r="E329" i="2" s="1"/>
  <c r="G329" i="2" s="1"/>
  <c r="B330" i="2" s="1"/>
  <c r="D330" i="2" l="1"/>
  <c r="E330" i="2" s="1"/>
  <c r="G330" i="2" s="1"/>
  <c r="B331" i="2" s="1"/>
  <c r="D331" i="2" l="1"/>
  <c r="E331" i="2" s="1"/>
  <c r="G331" i="2" s="1"/>
  <c r="B332" i="2" s="1"/>
  <c r="D332" i="2" l="1"/>
  <c r="E332" i="2" s="1"/>
  <c r="G332" i="2" s="1"/>
  <c r="B333" i="2" s="1"/>
  <c r="D333" i="2" l="1"/>
  <c r="E333" i="2" s="1"/>
  <c r="G333" i="2" s="1"/>
  <c r="B334" i="2" s="1"/>
  <c r="D334" i="2" l="1"/>
  <c r="E334" i="2" s="1"/>
  <c r="G334" i="2" s="1"/>
  <c r="B335" i="2" s="1"/>
  <c r="D335" i="2" l="1"/>
  <c r="E335" i="2" s="1"/>
  <c r="G335" i="2" s="1"/>
  <c r="B336" i="2" s="1"/>
  <c r="D336" i="2" l="1"/>
  <c r="E336" i="2" s="1"/>
  <c r="G336" i="2" s="1"/>
  <c r="B337" i="2" s="1"/>
  <c r="D337" i="2" l="1"/>
  <c r="E337" i="2" s="1"/>
  <c r="G337" i="2" s="1"/>
  <c r="B338" i="2" s="1"/>
  <c r="D338" i="2" l="1"/>
  <c r="E338" i="2" s="1"/>
  <c r="G338" i="2" s="1"/>
  <c r="B339" i="2" s="1"/>
  <c r="D339" i="2" l="1"/>
  <c r="D340" i="2" s="1"/>
  <c r="E339" i="2" l="1"/>
  <c r="G339" i="2" s="1"/>
  <c r="O3" i="1" l="1"/>
  <c r="E5" i="1" l="1"/>
  <c r="F5" i="1" s="1"/>
  <c r="B6" i="1" s="1"/>
  <c r="D6" i="1" s="1"/>
  <c r="E6" i="1" l="1"/>
  <c r="F6" i="1" s="1"/>
  <c r="B7" i="1" s="1"/>
  <c r="D7" i="1" s="1"/>
  <c r="E7" i="1" l="1"/>
  <c r="F7" i="1" s="1"/>
  <c r="B8" i="1" s="1"/>
  <c r="D8" i="1" s="1"/>
  <c r="E8" i="1" l="1"/>
  <c r="F8" i="1" s="1"/>
  <c r="B9" i="1" s="1"/>
  <c r="D9" i="1" s="1"/>
  <c r="E9" i="1" l="1"/>
  <c r="F9" i="1" s="1"/>
  <c r="B10" i="1" s="1"/>
  <c r="D10" i="1" s="1"/>
  <c r="E10" i="1" l="1"/>
  <c r="F10" i="1" s="1"/>
  <c r="B11" i="1" s="1"/>
  <c r="D11" i="1" s="1"/>
  <c r="E11" i="1" l="1"/>
  <c r="F11" i="1" s="1"/>
  <c r="B12" i="1" s="1"/>
  <c r="D12" i="1" s="1"/>
  <c r="E12" i="1" l="1"/>
  <c r="F12" i="1" s="1"/>
  <c r="B13" i="1" s="1"/>
  <c r="D13" i="1" s="1"/>
  <c r="E13" i="1" l="1"/>
  <c r="F13" i="1" s="1"/>
  <c r="B14" i="1" s="1"/>
  <c r="D14" i="1" s="1"/>
  <c r="E14" i="1" l="1"/>
  <c r="F14" i="1" s="1"/>
  <c r="B15" i="1" s="1"/>
  <c r="D15" i="1" s="1"/>
  <c r="E15" i="1" l="1"/>
  <c r="F15" i="1" s="1"/>
  <c r="B16" i="1" s="1"/>
  <c r="D16" i="1" s="1"/>
  <c r="E16" i="1" l="1"/>
  <c r="F16" i="1" s="1"/>
  <c r="B17" i="1" s="1"/>
  <c r="D17" i="1" s="1"/>
  <c r="E17" i="1" l="1"/>
  <c r="F17" i="1" s="1"/>
  <c r="B18" i="1" s="1"/>
  <c r="D18" i="1" s="1"/>
  <c r="E18" i="1" l="1"/>
  <c r="F18" i="1" s="1"/>
  <c r="B19" i="1" s="1"/>
  <c r="D19" i="1" s="1"/>
  <c r="E19" i="1" l="1"/>
  <c r="F19" i="1" s="1"/>
  <c r="B20" i="1" s="1"/>
  <c r="D20" i="1" s="1"/>
  <c r="E20" i="1" l="1"/>
  <c r="F20" i="1" s="1"/>
  <c r="B21" i="1" s="1"/>
  <c r="D21" i="1" s="1"/>
  <c r="E21" i="1" l="1"/>
  <c r="F21" i="1" s="1"/>
  <c r="B22" i="1" s="1"/>
  <c r="D22" i="1" s="1"/>
  <c r="E22" i="1" l="1"/>
  <c r="F22" i="1" s="1"/>
  <c r="B23" i="1" s="1"/>
  <c r="D23" i="1" s="1"/>
  <c r="E23" i="1" l="1"/>
  <c r="F23" i="1" s="1"/>
  <c r="B24" i="1" s="1"/>
  <c r="D24" i="1" s="1"/>
  <c r="E24" i="1" l="1"/>
  <c r="F24" i="1" s="1"/>
  <c r="B25" i="1" s="1"/>
  <c r="D25" i="1" s="1"/>
  <c r="E25" i="1" l="1"/>
  <c r="F25" i="1" s="1"/>
  <c r="B26" i="1" s="1"/>
  <c r="D26" i="1" s="1"/>
  <c r="E26" i="1" l="1"/>
  <c r="F26" i="1" s="1"/>
  <c r="B27" i="1" s="1"/>
  <c r="D27" i="1" s="1"/>
  <c r="E27" i="1" l="1"/>
  <c r="F27" i="1" s="1"/>
  <c r="B28" i="1" s="1"/>
  <c r="D28" i="1" s="1"/>
  <c r="E28" i="1" l="1"/>
  <c r="F28" i="1" s="1"/>
  <c r="B29" i="1" s="1"/>
  <c r="D29" i="1" s="1"/>
  <c r="E29" i="1" l="1"/>
  <c r="F29" i="1" s="1"/>
  <c r="B30" i="1" s="1"/>
  <c r="D30" i="1" s="1"/>
  <c r="E30" i="1" l="1"/>
  <c r="F30" i="1" s="1"/>
  <c r="B31" i="1" s="1"/>
  <c r="D31" i="1" s="1"/>
  <c r="E31" i="1" l="1"/>
  <c r="F31" i="1" s="1"/>
  <c r="B32" i="1" s="1"/>
  <c r="D32" i="1" s="1"/>
  <c r="E32" i="1" l="1"/>
  <c r="F32" i="1" s="1"/>
  <c r="B33" i="1" s="1"/>
  <c r="D33" i="1" s="1"/>
  <c r="E33" i="1" l="1"/>
  <c r="F33" i="1" s="1"/>
  <c r="B34" i="1" s="1"/>
  <c r="D34" i="1" s="1"/>
  <c r="E34" i="1" l="1"/>
  <c r="F34" i="1" s="1"/>
  <c r="B35" i="1" s="1"/>
  <c r="D35" i="1" s="1"/>
  <c r="E35" i="1" l="1"/>
  <c r="F35" i="1" s="1"/>
  <c r="B36" i="1" s="1"/>
  <c r="D36" i="1" s="1"/>
  <c r="E36" i="1" l="1"/>
  <c r="F36" i="1" s="1"/>
  <c r="B37" i="1" s="1"/>
  <c r="D37" i="1" s="1"/>
  <c r="E37" i="1" l="1"/>
  <c r="F37" i="1" s="1"/>
  <c r="B38" i="1" s="1"/>
  <c r="D38" i="1" s="1"/>
  <c r="E38" i="1" l="1"/>
  <c r="F38" i="1" s="1"/>
  <c r="B39" i="1" s="1"/>
  <c r="D39" i="1" s="1"/>
  <c r="E39" i="1" l="1"/>
  <c r="F39" i="1" s="1"/>
  <c r="B40" i="1" s="1"/>
  <c r="D40" i="1" s="1"/>
  <c r="E40" i="1" l="1"/>
  <c r="F40" i="1" s="1"/>
  <c r="B41" i="1" s="1"/>
  <c r="D41" i="1" s="1"/>
  <c r="E41" i="1" l="1"/>
  <c r="F41" i="1" s="1"/>
  <c r="B42" i="1" s="1"/>
  <c r="D42" i="1" s="1"/>
  <c r="E42" i="1" l="1"/>
  <c r="F42" i="1" s="1"/>
  <c r="B43" i="1" s="1"/>
  <c r="D43" i="1" s="1"/>
  <c r="E43" i="1" l="1"/>
  <c r="F43" i="1" s="1"/>
  <c r="B44" i="1" s="1"/>
  <c r="D44" i="1" s="1"/>
  <c r="E44" i="1" l="1"/>
  <c r="F44" i="1" s="1"/>
  <c r="B45" i="1" s="1"/>
  <c r="D45" i="1" s="1"/>
  <c r="E45" i="1" l="1"/>
  <c r="F45" i="1" s="1"/>
  <c r="B46" i="1" s="1"/>
  <c r="D46" i="1" s="1"/>
  <c r="E46" i="1" l="1"/>
  <c r="F46" i="1" s="1"/>
  <c r="B47" i="1" s="1"/>
  <c r="D47" i="1" s="1"/>
  <c r="E47" i="1" l="1"/>
  <c r="F47" i="1" s="1"/>
  <c r="B48" i="1" s="1"/>
  <c r="D48" i="1" s="1"/>
  <c r="E48" i="1" l="1"/>
  <c r="F48" i="1" s="1"/>
  <c r="B49" i="1" s="1"/>
  <c r="D49" i="1" s="1"/>
  <c r="E49" i="1" l="1"/>
  <c r="F49" i="1" s="1"/>
  <c r="B50" i="1" s="1"/>
  <c r="D50" i="1" s="1"/>
  <c r="E50" i="1" l="1"/>
  <c r="F50" i="1" s="1"/>
  <c r="B51" i="1" s="1"/>
  <c r="D51" i="1" s="1"/>
  <c r="E51" i="1" l="1"/>
  <c r="F51" i="1" s="1"/>
  <c r="B52" i="1" s="1"/>
  <c r="D52" i="1" s="1"/>
  <c r="E52" i="1" l="1"/>
  <c r="F52" i="1" s="1"/>
  <c r="B53" i="1" s="1"/>
  <c r="D53" i="1" s="1"/>
  <c r="E53" i="1" l="1"/>
  <c r="F53" i="1" s="1"/>
  <c r="B54" i="1" s="1"/>
  <c r="D54" i="1" s="1"/>
  <c r="E54" i="1" l="1"/>
  <c r="F54" i="1" s="1"/>
  <c r="B55" i="1" s="1"/>
  <c r="D55" i="1" s="1"/>
  <c r="E55" i="1" l="1"/>
  <c r="F55" i="1" s="1"/>
  <c r="B56" i="1" s="1"/>
  <c r="D56" i="1" s="1"/>
  <c r="E56" i="1" l="1"/>
  <c r="F56" i="1" s="1"/>
  <c r="B57" i="1" s="1"/>
  <c r="D57" i="1" s="1"/>
  <c r="E57" i="1" l="1"/>
  <c r="F57" i="1" s="1"/>
  <c r="B58" i="1" s="1"/>
  <c r="D58" i="1" s="1"/>
  <c r="E58" i="1" l="1"/>
  <c r="F58" i="1" s="1"/>
  <c r="B59" i="1" s="1"/>
  <c r="D59" i="1" s="1"/>
  <c r="E59" i="1" l="1"/>
  <c r="F59" i="1" s="1"/>
  <c r="B60" i="1" s="1"/>
  <c r="D60" i="1" s="1"/>
  <c r="E60" i="1" l="1"/>
  <c r="F60" i="1" s="1"/>
  <c r="B61" i="1" s="1"/>
  <c r="D61" i="1" s="1"/>
  <c r="E61" i="1" l="1"/>
  <c r="F61" i="1" s="1"/>
  <c r="B62" i="1" s="1"/>
  <c r="D62" i="1" s="1"/>
  <c r="E62" i="1" l="1"/>
  <c r="F62" i="1" s="1"/>
  <c r="B63" i="1" s="1"/>
  <c r="D63" i="1" s="1"/>
  <c r="E63" i="1" l="1"/>
  <c r="F63" i="1" s="1"/>
  <c r="B64" i="1" s="1"/>
  <c r="D64" i="1" s="1"/>
  <c r="E64" i="1" l="1"/>
  <c r="F64" i="1" s="1"/>
  <c r="B65" i="1" s="1"/>
  <c r="D65" i="1" s="1"/>
  <c r="E65" i="1" l="1"/>
  <c r="F65" i="1" s="1"/>
  <c r="B66" i="1" s="1"/>
  <c r="D66" i="1" s="1"/>
  <c r="E66" i="1" l="1"/>
  <c r="F66" i="1" s="1"/>
  <c r="B67" i="1" s="1"/>
  <c r="D67" i="1" s="1"/>
  <c r="E67" i="1" l="1"/>
  <c r="F67" i="1" s="1"/>
  <c r="B68" i="1" s="1"/>
  <c r="D68" i="1" s="1"/>
  <c r="E68" i="1" l="1"/>
  <c r="F68" i="1" s="1"/>
  <c r="B69" i="1" s="1"/>
  <c r="D69" i="1" s="1"/>
  <c r="E69" i="1" l="1"/>
  <c r="F69" i="1" s="1"/>
  <c r="B70" i="1" s="1"/>
  <c r="D70" i="1" s="1"/>
  <c r="E70" i="1" l="1"/>
  <c r="F70" i="1" s="1"/>
  <c r="B71" i="1" s="1"/>
  <c r="D71" i="1" s="1"/>
  <c r="E71" i="1" l="1"/>
  <c r="F71" i="1" s="1"/>
  <c r="B72" i="1" s="1"/>
  <c r="D72" i="1" s="1"/>
  <c r="E72" i="1" l="1"/>
  <c r="F72" i="1" s="1"/>
  <c r="B73" i="1" s="1"/>
  <c r="D73" i="1" s="1"/>
  <c r="E73" i="1" l="1"/>
  <c r="F73" i="1" s="1"/>
  <c r="B74" i="1" s="1"/>
  <c r="D74" i="1" s="1"/>
  <c r="E74" i="1" l="1"/>
  <c r="F74" i="1" s="1"/>
  <c r="B75" i="1" s="1"/>
  <c r="D75" i="1" s="1"/>
  <c r="E75" i="1" l="1"/>
  <c r="F75" i="1" s="1"/>
  <c r="B76" i="1" s="1"/>
  <c r="D76" i="1" s="1"/>
  <c r="E76" i="1" l="1"/>
  <c r="F76" i="1" s="1"/>
  <c r="B77" i="1" s="1"/>
  <c r="D77" i="1" s="1"/>
  <c r="E77" i="1" l="1"/>
  <c r="F77" i="1" s="1"/>
  <c r="B78" i="1" s="1"/>
  <c r="D78" i="1" s="1"/>
  <c r="E78" i="1" l="1"/>
  <c r="F78" i="1" s="1"/>
  <c r="B79" i="1" s="1"/>
  <c r="D79" i="1" s="1"/>
  <c r="E79" i="1" l="1"/>
  <c r="F79" i="1" s="1"/>
  <c r="B80" i="1" s="1"/>
  <c r="D80" i="1" s="1"/>
  <c r="E80" i="1" l="1"/>
  <c r="F80" i="1" s="1"/>
  <c r="B81" i="1" s="1"/>
  <c r="D81" i="1" s="1"/>
  <c r="E81" i="1" l="1"/>
  <c r="F81" i="1" s="1"/>
  <c r="B82" i="1" s="1"/>
  <c r="D82" i="1" s="1"/>
  <c r="E82" i="1" l="1"/>
  <c r="F82" i="1" s="1"/>
  <c r="B83" i="1" s="1"/>
  <c r="D83" i="1" s="1"/>
  <c r="E83" i="1" l="1"/>
  <c r="F83" i="1" s="1"/>
  <c r="B84" i="1" s="1"/>
  <c r="D84" i="1" s="1"/>
  <c r="E84" i="1" l="1"/>
  <c r="F84" i="1" s="1"/>
  <c r="B85" i="1" s="1"/>
  <c r="D85" i="1" s="1"/>
  <c r="E85" i="1" l="1"/>
  <c r="F85" i="1" s="1"/>
  <c r="B86" i="1" s="1"/>
  <c r="D86" i="1" s="1"/>
  <c r="E86" i="1" l="1"/>
  <c r="F86" i="1" s="1"/>
  <c r="B87" i="1" s="1"/>
  <c r="D87" i="1" s="1"/>
  <c r="E87" i="1" l="1"/>
  <c r="F87" i="1" s="1"/>
  <c r="B88" i="1" s="1"/>
  <c r="D88" i="1" s="1"/>
  <c r="E88" i="1" l="1"/>
  <c r="F88" i="1" s="1"/>
  <c r="B89" i="1" s="1"/>
  <c r="D89" i="1" s="1"/>
  <c r="E89" i="1" l="1"/>
  <c r="F89" i="1" s="1"/>
  <c r="B90" i="1" s="1"/>
  <c r="D90" i="1" s="1"/>
  <c r="E90" i="1" l="1"/>
  <c r="F90" i="1" s="1"/>
  <c r="B91" i="1" s="1"/>
  <c r="D91" i="1" s="1"/>
  <c r="E91" i="1" l="1"/>
  <c r="F91" i="1" s="1"/>
  <c r="B92" i="1" s="1"/>
  <c r="D92" i="1" s="1"/>
  <c r="E92" i="1" l="1"/>
  <c r="F92" i="1" s="1"/>
  <c r="B93" i="1" s="1"/>
  <c r="D93" i="1" s="1"/>
  <c r="E93" i="1" l="1"/>
  <c r="F93" i="1" s="1"/>
  <c r="B94" i="1" s="1"/>
  <c r="D94" i="1" s="1"/>
  <c r="E94" i="1" l="1"/>
  <c r="F94" i="1" s="1"/>
  <c r="B95" i="1" s="1"/>
  <c r="D95" i="1" s="1"/>
  <c r="E95" i="1" l="1"/>
  <c r="F95" i="1" s="1"/>
  <c r="B96" i="1" s="1"/>
  <c r="D96" i="1" s="1"/>
  <c r="E96" i="1" l="1"/>
  <c r="F96" i="1" s="1"/>
  <c r="B97" i="1" s="1"/>
  <c r="D97" i="1" s="1"/>
  <c r="E97" i="1" l="1"/>
  <c r="F97" i="1" s="1"/>
  <c r="B98" i="1" s="1"/>
  <c r="D98" i="1" s="1"/>
  <c r="E98" i="1" l="1"/>
  <c r="F98" i="1" s="1"/>
  <c r="B99" i="1" s="1"/>
  <c r="D99" i="1" s="1"/>
  <c r="E99" i="1" l="1"/>
  <c r="F99" i="1" s="1"/>
  <c r="B100" i="1" s="1"/>
  <c r="D100" i="1" s="1"/>
  <c r="E100" i="1" l="1"/>
  <c r="F100" i="1" s="1"/>
  <c r="B101" i="1" s="1"/>
  <c r="D101" i="1" s="1"/>
  <c r="E101" i="1" l="1"/>
  <c r="F101" i="1" s="1"/>
  <c r="B102" i="1" s="1"/>
  <c r="D102" i="1" s="1"/>
  <c r="E102" i="1" l="1"/>
  <c r="F102" i="1" s="1"/>
  <c r="B103" i="1" s="1"/>
  <c r="D103" i="1" s="1"/>
  <c r="E103" i="1" l="1"/>
  <c r="F103" i="1" s="1"/>
  <c r="B104" i="1" s="1"/>
  <c r="D104" i="1" s="1"/>
  <c r="E104" i="1" l="1"/>
  <c r="F104" i="1" s="1"/>
  <c r="B105" i="1" s="1"/>
  <c r="D105" i="1" s="1"/>
  <c r="E105" i="1" l="1"/>
  <c r="F105" i="1" s="1"/>
  <c r="B106" i="1" s="1"/>
  <c r="D106" i="1" s="1"/>
  <c r="E106" i="1" l="1"/>
  <c r="F106" i="1" s="1"/>
  <c r="B107" i="1" s="1"/>
  <c r="D107" i="1" s="1"/>
  <c r="E107" i="1" l="1"/>
  <c r="F107" i="1" s="1"/>
  <c r="B108" i="1" s="1"/>
  <c r="D108" i="1" s="1"/>
  <c r="E108" i="1" l="1"/>
  <c r="F108" i="1" s="1"/>
  <c r="B109" i="1" s="1"/>
  <c r="D109" i="1" s="1"/>
  <c r="E109" i="1" l="1"/>
  <c r="F109" i="1" s="1"/>
  <c r="B110" i="1" s="1"/>
  <c r="D110" i="1" s="1"/>
  <c r="E110" i="1" l="1"/>
  <c r="F110" i="1" s="1"/>
  <c r="B111" i="1" s="1"/>
  <c r="D111" i="1" s="1"/>
  <c r="E111" i="1" l="1"/>
  <c r="F111" i="1" s="1"/>
  <c r="B112" i="1" s="1"/>
  <c r="D112" i="1" s="1"/>
  <c r="E112" i="1" l="1"/>
  <c r="F112" i="1" s="1"/>
  <c r="B113" i="1" s="1"/>
  <c r="D113" i="1" s="1"/>
  <c r="E113" i="1" l="1"/>
  <c r="F113" i="1" s="1"/>
  <c r="B114" i="1" s="1"/>
  <c r="D114" i="1" s="1"/>
  <c r="E114" i="1" l="1"/>
  <c r="F114" i="1" s="1"/>
  <c r="B115" i="1" s="1"/>
  <c r="D115" i="1" s="1"/>
  <c r="E115" i="1" l="1"/>
  <c r="F115" i="1" s="1"/>
  <c r="B116" i="1" s="1"/>
  <c r="D116" i="1" s="1"/>
  <c r="E116" i="1" l="1"/>
  <c r="F116" i="1" s="1"/>
  <c r="B117" i="1" s="1"/>
  <c r="D117" i="1" s="1"/>
  <c r="E117" i="1" l="1"/>
  <c r="F117" i="1" s="1"/>
  <c r="B118" i="1" s="1"/>
  <c r="D118" i="1" s="1"/>
  <c r="E118" i="1" l="1"/>
  <c r="F118" i="1" s="1"/>
  <c r="B119" i="1" s="1"/>
  <c r="D119" i="1" s="1"/>
  <c r="E119" i="1" l="1"/>
  <c r="F119" i="1" s="1"/>
  <c r="B120" i="1" s="1"/>
  <c r="D120" i="1" s="1"/>
  <c r="E120" i="1" l="1"/>
  <c r="F120" i="1" s="1"/>
  <c r="B121" i="1" s="1"/>
  <c r="D121" i="1" s="1"/>
  <c r="E121" i="1" l="1"/>
  <c r="F121" i="1" s="1"/>
  <c r="B122" i="1" s="1"/>
  <c r="D122" i="1" s="1"/>
  <c r="E122" i="1" l="1"/>
  <c r="F122" i="1" s="1"/>
  <c r="B123" i="1" s="1"/>
  <c r="D123" i="1" s="1"/>
  <c r="E123" i="1" l="1"/>
  <c r="F123" i="1" s="1"/>
  <c r="B124" i="1" s="1"/>
  <c r="D124" i="1" s="1"/>
  <c r="E124" i="1" l="1"/>
  <c r="F124" i="1" s="1"/>
  <c r="B125" i="1" s="1"/>
  <c r="D125" i="1" s="1"/>
  <c r="E125" i="1" l="1"/>
  <c r="F125" i="1" s="1"/>
  <c r="B126" i="1" s="1"/>
  <c r="D126" i="1" s="1"/>
  <c r="E126" i="1" l="1"/>
  <c r="F126" i="1" s="1"/>
  <c r="B127" i="1" s="1"/>
  <c r="D127" i="1" s="1"/>
  <c r="E127" i="1" l="1"/>
  <c r="F127" i="1" s="1"/>
  <c r="B128" i="1" s="1"/>
  <c r="D128" i="1" s="1"/>
  <c r="E128" i="1" l="1"/>
  <c r="F128" i="1" s="1"/>
  <c r="B129" i="1" s="1"/>
  <c r="D129" i="1" s="1"/>
  <c r="E129" i="1" l="1"/>
  <c r="F129" i="1" s="1"/>
  <c r="B130" i="1" s="1"/>
  <c r="D130" i="1" s="1"/>
  <c r="E130" i="1" l="1"/>
  <c r="F130" i="1" s="1"/>
  <c r="B131" i="1" s="1"/>
  <c r="D131" i="1" s="1"/>
  <c r="E131" i="1" l="1"/>
  <c r="F131" i="1" s="1"/>
  <c r="B132" i="1" s="1"/>
  <c r="D132" i="1" s="1"/>
  <c r="E132" i="1" l="1"/>
  <c r="F132" i="1" s="1"/>
  <c r="B133" i="1" s="1"/>
  <c r="D133" i="1" s="1"/>
  <c r="E133" i="1" l="1"/>
  <c r="F133" i="1" s="1"/>
  <c r="B134" i="1" s="1"/>
  <c r="D134" i="1" s="1"/>
  <c r="E134" i="1" l="1"/>
  <c r="F134" i="1" s="1"/>
  <c r="B135" i="1" s="1"/>
  <c r="D135" i="1" s="1"/>
  <c r="E135" i="1" l="1"/>
  <c r="F135" i="1" s="1"/>
  <c r="B136" i="1" s="1"/>
  <c r="D136" i="1" s="1"/>
  <c r="E136" i="1" l="1"/>
  <c r="F136" i="1" s="1"/>
  <c r="B137" i="1" s="1"/>
  <c r="D137" i="1" s="1"/>
  <c r="E137" i="1" l="1"/>
  <c r="F137" i="1" s="1"/>
  <c r="B138" i="1" s="1"/>
  <c r="D138" i="1" s="1"/>
  <c r="E138" i="1" l="1"/>
  <c r="F138" i="1" s="1"/>
  <c r="B139" i="1" s="1"/>
  <c r="D139" i="1" s="1"/>
  <c r="E139" i="1" l="1"/>
  <c r="F139" i="1" s="1"/>
  <c r="B140" i="1" s="1"/>
  <c r="D140" i="1" s="1"/>
  <c r="E140" i="1" l="1"/>
  <c r="F140" i="1" s="1"/>
  <c r="B141" i="1" s="1"/>
  <c r="D141" i="1" s="1"/>
  <c r="E141" i="1" l="1"/>
  <c r="F141" i="1" s="1"/>
  <c r="B142" i="1" s="1"/>
  <c r="D142" i="1" s="1"/>
  <c r="E142" i="1" l="1"/>
  <c r="F142" i="1" s="1"/>
  <c r="B143" i="1" s="1"/>
  <c r="D143" i="1" s="1"/>
  <c r="E143" i="1" l="1"/>
  <c r="F143" i="1" s="1"/>
  <c r="B144" i="1" s="1"/>
  <c r="D144" i="1" s="1"/>
  <c r="E144" i="1" l="1"/>
  <c r="F144" i="1" s="1"/>
  <c r="B145" i="1" s="1"/>
  <c r="D145" i="1" s="1"/>
  <c r="E145" i="1" l="1"/>
  <c r="F145" i="1" s="1"/>
  <c r="B146" i="1" s="1"/>
  <c r="D146" i="1" s="1"/>
  <c r="E146" i="1" l="1"/>
  <c r="F146" i="1" s="1"/>
  <c r="B147" i="1" s="1"/>
  <c r="D147" i="1" s="1"/>
  <c r="E147" i="1" l="1"/>
  <c r="F147" i="1" s="1"/>
  <c r="B148" i="1" s="1"/>
  <c r="D148" i="1" s="1"/>
  <c r="E148" i="1" l="1"/>
  <c r="F148" i="1" s="1"/>
  <c r="B149" i="1" s="1"/>
  <c r="D149" i="1" s="1"/>
  <c r="E149" i="1" l="1"/>
  <c r="F149" i="1" s="1"/>
  <c r="B150" i="1" s="1"/>
  <c r="D150" i="1" s="1"/>
  <c r="E150" i="1" l="1"/>
  <c r="F150" i="1" s="1"/>
  <c r="B151" i="1" s="1"/>
  <c r="D151" i="1" s="1"/>
  <c r="E151" i="1" l="1"/>
  <c r="F151" i="1" s="1"/>
  <c r="B152" i="1" s="1"/>
  <c r="D152" i="1" s="1"/>
  <c r="E152" i="1" l="1"/>
  <c r="F152" i="1" s="1"/>
  <c r="B153" i="1" s="1"/>
  <c r="D153" i="1" s="1"/>
  <c r="E153" i="1" l="1"/>
  <c r="F153" i="1" s="1"/>
  <c r="B154" i="1" s="1"/>
  <c r="D154" i="1" s="1"/>
  <c r="E154" i="1" l="1"/>
  <c r="F154" i="1" s="1"/>
  <c r="B155" i="1" s="1"/>
  <c r="D155" i="1" s="1"/>
  <c r="E155" i="1" l="1"/>
  <c r="F155" i="1" s="1"/>
  <c r="B156" i="1" s="1"/>
  <c r="D156" i="1" s="1"/>
  <c r="E156" i="1" l="1"/>
  <c r="F156" i="1" s="1"/>
  <c r="B157" i="1" s="1"/>
  <c r="D157" i="1" s="1"/>
  <c r="E157" i="1" l="1"/>
  <c r="F157" i="1" s="1"/>
  <c r="B158" i="1" s="1"/>
  <c r="D158" i="1" s="1"/>
  <c r="E158" i="1" l="1"/>
  <c r="F158" i="1" s="1"/>
  <c r="B159" i="1" s="1"/>
  <c r="D159" i="1" s="1"/>
  <c r="E159" i="1" l="1"/>
  <c r="F159" i="1" s="1"/>
  <c r="B160" i="1" s="1"/>
  <c r="D160" i="1" s="1"/>
  <c r="E160" i="1" l="1"/>
  <c r="F160" i="1" s="1"/>
  <c r="B161" i="1" s="1"/>
  <c r="D161" i="1" s="1"/>
  <c r="E161" i="1" l="1"/>
  <c r="F161" i="1" s="1"/>
  <c r="B162" i="1" s="1"/>
  <c r="D162" i="1" s="1"/>
  <c r="E162" i="1" l="1"/>
  <c r="F162" i="1" s="1"/>
  <c r="B163" i="1" s="1"/>
  <c r="D163" i="1" s="1"/>
  <c r="E163" i="1" l="1"/>
  <c r="F163" i="1" s="1"/>
  <c r="B164" i="1" s="1"/>
  <c r="D164" i="1" s="1"/>
  <c r="E164" i="1" l="1"/>
  <c r="F164" i="1" s="1"/>
  <c r="B165" i="1" s="1"/>
  <c r="D165" i="1" s="1"/>
  <c r="E165" i="1" l="1"/>
  <c r="F165" i="1" s="1"/>
  <c r="B166" i="1" s="1"/>
  <c r="D166" i="1" s="1"/>
  <c r="E166" i="1" l="1"/>
  <c r="F166" i="1" s="1"/>
  <c r="B167" i="1" s="1"/>
  <c r="D167" i="1" s="1"/>
  <c r="E167" i="1" l="1"/>
  <c r="F167" i="1" s="1"/>
  <c r="B168" i="1" s="1"/>
  <c r="D168" i="1" s="1"/>
  <c r="E168" i="1" l="1"/>
  <c r="F168" i="1" s="1"/>
  <c r="B169" i="1" s="1"/>
  <c r="D169" i="1" s="1"/>
  <c r="E169" i="1" l="1"/>
  <c r="F169" i="1" s="1"/>
  <c r="B170" i="1" s="1"/>
  <c r="D170" i="1" s="1"/>
  <c r="E170" i="1" l="1"/>
  <c r="F170" i="1" s="1"/>
  <c r="B171" i="1" s="1"/>
  <c r="D171" i="1" s="1"/>
  <c r="E171" i="1" l="1"/>
  <c r="F171" i="1" s="1"/>
  <c r="B172" i="1" s="1"/>
  <c r="D172" i="1" s="1"/>
  <c r="E172" i="1" l="1"/>
  <c r="F172" i="1" s="1"/>
  <c r="B173" i="1" s="1"/>
  <c r="D173" i="1" s="1"/>
  <c r="E173" i="1" l="1"/>
  <c r="F173" i="1" s="1"/>
  <c r="B174" i="1" s="1"/>
  <c r="D174" i="1" s="1"/>
  <c r="E174" i="1" l="1"/>
  <c r="F174" i="1" s="1"/>
  <c r="B175" i="1" s="1"/>
  <c r="D175" i="1" s="1"/>
  <c r="E175" i="1" l="1"/>
  <c r="F175" i="1" s="1"/>
  <c r="B176" i="1" s="1"/>
  <c r="D176" i="1" s="1"/>
  <c r="E176" i="1" l="1"/>
  <c r="F176" i="1" s="1"/>
  <c r="B177" i="1" s="1"/>
  <c r="D177" i="1" s="1"/>
  <c r="E177" i="1" l="1"/>
  <c r="F177" i="1" s="1"/>
  <c r="B178" i="1" s="1"/>
  <c r="D178" i="1" s="1"/>
  <c r="E178" i="1" l="1"/>
  <c r="F178" i="1" s="1"/>
  <c r="B179" i="1" s="1"/>
  <c r="D179" i="1" s="1"/>
  <c r="E179" i="1" l="1"/>
  <c r="F179" i="1" s="1"/>
  <c r="B180" i="1" s="1"/>
  <c r="D180" i="1" s="1"/>
  <c r="E180" i="1" l="1"/>
  <c r="F180" i="1" s="1"/>
  <c r="B181" i="1" s="1"/>
  <c r="D181" i="1" s="1"/>
  <c r="E181" i="1" l="1"/>
  <c r="F181" i="1" s="1"/>
  <c r="B182" i="1" s="1"/>
  <c r="D182" i="1" s="1"/>
  <c r="E182" i="1" l="1"/>
  <c r="F182" i="1" s="1"/>
  <c r="B183" i="1" s="1"/>
  <c r="D183" i="1" s="1"/>
  <c r="E183" i="1" l="1"/>
  <c r="F183" i="1" s="1"/>
  <c r="B184" i="1" s="1"/>
  <c r="D184" i="1" s="1"/>
  <c r="E184" i="1" l="1"/>
  <c r="F184" i="1" s="1"/>
  <c r="B185" i="1" s="1"/>
  <c r="D185" i="1" s="1"/>
  <c r="E185" i="1" l="1"/>
  <c r="F185" i="1" s="1"/>
  <c r="B186" i="1" s="1"/>
  <c r="D186" i="1" s="1"/>
  <c r="E186" i="1" l="1"/>
  <c r="F186" i="1" s="1"/>
  <c r="B187" i="1" s="1"/>
  <c r="D187" i="1" s="1"/>
  <c r="E187" i="1" l="1"/>
  <c r="F187" i="1" s="1"/>
  <c r="B188" i="1" s="1"/>
  <c r="D188" i="1" s="1"/>
  <c r="E188" i="1" l="1"/>
  <c r="F188" i="1" s="1"/>
  <c r="B189" i="1" s="1"/>
  <c r="D189" i="1" s="1"/>
  <c r="E189" i="1" l="1"/>
  <c r="F189" i="1" s="1"/>
  <c r="B190" i="1" s="1"/>
  <c r="D190" i="1" s="1"/>
  <c r="E190" i="1" l="1"/>
  <c r="F190" i="1" s="1"/>
  <c r="B191" i="1" s="1"/>
  <c r="D191" i="1" s="1"/>
  <c r="E191" i="1" l="1"/>
  <c r="F191" i="1" s="1"/>
  <c r="B192" i="1" s="1"/>
  <c r="D192" i="1" s="1"/>
  <c r="E192" i="1" l="1"/>
  <c r="F192" i="1" s="1"/>
  <c r="B193" i="1" s="1"/>
  <c r="D193" i="1" s="1"/>
  <c r="E193" i="1" l="1"/>
  <c r="F193" i="1" s="1"/>
  <c r="B194" i="1" s="1"/>
  <c r="D194" i="1" s="1"/>
  <c r="E194" i="1" l="1"/>
  <c r="F194" i="1" s="1"/>
  <c r="B195" i="1" s="1"/>
  <c r="D195" i="1" s="1"/>
  <c r="E195" i="1" l="1"/>
  <c r="F195" i="1" s="1"/>
  <c r="B196" i="1" s="1"/>
  <c r="D196" i="1" s="1"/>
  <c r="E196" i="1" l="1"/>
  <c r="F196" i="1" s="1"/>
  <c r="B197" i="1" s="1"/>
  <c r="D197" i="1" s="1"/>
  <c r="E197" i="1" l="1"/>
  <c r="F197" i="1" s="1"/>
  <c r="B198" i="1" s="1"/>
  <c r="D198" i="1" s="1"/>
  <c r="E198" i="1" l="1"/>
  <c r="F198" i="1" s="1"/>
  <c r="B199" i="1" s="1"/>
  <c r="D199" i="1" s="1"/>
  <c r="E199" i="1" l="1"/>
  <c r="F199" i="1" s="1"/>
  <c r="B200" i="1" s="1"/>
  <c r="D200" i="1" s="1"/>
  <c r="E200" i="1" l="1"/>
  <c r="F200" i="1" s="1"/>
  <c r="B201" i="1" s="1"/>
  <c r="D201" i="1" s="1"/>
  <c r="E201" i="1" l="1"/>
  <c r="F201" i="1" s="1"/>
  <c r="B202" i="1" s="1"/>
  <c r="D202" i="1" s="1"/>
  <c r="E202" i="1" l="1"/>
  <c r="F202" i="1" s="1"/>
  <c r="B203" i="1" s="1"/>
  <c r="D203" i="1" s="1"/>
  <c r="E203" i="1" l="1"/>
  <c r="F203" i="1" s="1"/>
  <c r="B204" i="1" s="1"/>
  <c r="D204" i="1" s="1"/>
  <c r="E204" i="1" l="1"/>
  <c r="F204" i="1" s="1"/>
  <c r="B205" i="1" s="1"/>
  <c r="D205" i="1" s="1"/>
  <c r="E205" i="1" l="1"/>
  <c r="F205" i="1" s="1"/>
  <c r="B206" i="1" s="1"/>
  <c r="D206" i="1" s="1"/>
  <c r="E206" i="1" l="1"/>
  <c r="F206" i="1" s="1"/>
  <c r="B207" i="1" s="1"/>
  <c r="D207" i="1" s="1"/>
  <c r="E207" i="1" l="1"/>
  <c r="F207" i="1" s="1"/>
  <c r="B208" i="1" s="1"/>
  <c r="D208" i="1" s="1"/>
  <c r="E208" i="1" l="1"/>
  <c r="F208" i="1" s="1"/>
  <c r="B209" i="1" s="1"/>
  <c r="D209" i="1" s="1"/>
  <c r="E209" i="1" l="1"/>
  <c r="F209" i="1" s="1"/>
  <c r="B210" i="1" s="1"/>
  <c r="D210" i="1" s="1"/>
  <c r="E210" i="1" l="1"/>
  <c r="F210" i="1" s="1"/>
  <c r="B211" i="1" s="1"/>
  <c r="D211" i="1" s="1"/>
  <c r="E211" i="1" l="1"/>
  <c r="F211" i="1" s="1"/>
  <c r="B212" i="1" s="1"/>
  <c r="D212" i="1" s="1"/>
  <c r="E212" i="1" l="1"/>
  <c r="F212" i="1" s="1"/>
  <c r="B213" i="1" s="1"/>
  <c r="D213" i="1" s="1"/>
  <c r="E213" i="1" l="1"/>
  <c r="F213" i="1" s="1"/>
  <c r="B214" i="1" s="1"/>
  <c r="D214" i="1" s="1"/>
  <c r="E214" i="1" l="1"/>
  <c r="F214" i="1" s="1"/>
  <c r="B215" i="1" s="1"/>
  <c r="D215" i="1" s="1"/>
  <c r="E215" i="1" l="1"/>
  <c r="F215" i="1" s="1"/>
  <c r="B216" i="1" s="1"/>
  <c r="D216" i="1" s="1"/>
  <c r="E216" i="1" l="1"/>
  <c r="F216" i="1" s="1"/>
  <c r="B217" i="1" s="1"/>
  <c r="D217" i="1" s="1"/>
  <c r="E217" i="1" l="1"/>
  <c r="F217" i="1" s="1"/>
  <c r="B218" i="1" s="1"/>
  <c r="D218" i="1" s="1"/>
  <c r="E218" i="1" l="1"/>
  <c r="F218" i="1" s="1"/>
  <c r="B219" i="1" s="1"/>
  <c r="D219" i="1" s="1"/>
  <c r="E219" i="1" l="1"/>
  <c r="F219" i="1" s="1"/>
  <c r="B220" i="1" s="1"/>
  <c r="D220" i="1" s="1"/>
  <c r="E220" i="1" l="1"/>
  <c r="F220" i="1" s="1"/>
  <c r="B221" i="1" s="1"/>
  <c r="D221" i="1" s="1"/>
  <c r="E221" i="1" l="1"/>
  <c r="F221" i="1" s="1"/>
  <c r="B222" i="1" s="1"/>
  <c r="D222" i="1" s="1"/>
  <c r="E222" i="1" l="1"/>
  <c r="F222" i="1" s="1"/>
  <c r="B223" i="1" s="1"/>
  <c r="D223" i="1" s="1"/>
  <c r="E223" i="1" l="1"/>
  <c r="F223" i="1" s="1"/>
  <c r="B224" i="1" s="1"/>
  <c r="D224" i="1" s="1"/>
  <c r="E224" i="1" l="1"/>
  <c r="F224" i="1" s="1"/>
  <c r="B225" i="1" s="1"/>
  <c r="D225" i="1" s="1"/>
  <c r="E225" i="1" l="1"/>
  <c r="F225" i="1" s="1"/>
  <c r="B226" i="1" s="1"/>
  <c r="D226" i="1" s="1"/>
  <c r="E226" i="1" l="1"/>
  <c r="F226" i="1" s="1"/>
  <c r="B227" i="1" s="1"/>
  <c r="D227" i="1" s="1"/>
  <c r="E227" i="1" l="1"/>
  <c r="F227" i="1" s="1"/>
  <c r="B228" i="1" s="1"/>
  <c r="D228" i="1" s="1"/>
  <c r="E228" i="1" l="1"/>
  <c r="F228" i="1" s="1"/>
  <c r="B229" i="1" s="1"/>
  <c r="D229" i="1" s="1"/>
  <c r="E229" i="1" l="1"/>
  <c r="F229" i="1" s="1"/>
  <c r="B230" i="1" s="1"/>
  <c r="D230" i="1" s="1"/>
  <c r="E230" i="1" l="1"/>
  <c r="F230" i="1" s="1"/>
  <c r="B231" i="1" s="1"/>
  <c r="D231" i="1" s="1"/>
  <c r="E231" i="1" l="1"/>
  <c r="F231" i="1" s="1"/>
  <c r="B232" i="1" s="1"/>
  <c r="D232" i="1" s="1"/>
  <c r="E232" i="1" l="1"/>
  <c r="F232" i="1" s="1"/>
  <c r="B233" i="1" s="1"/>
  <c r="D233" i="1" s="1"/>
  <c r="E233" i="1" l="1"/>
  <c r="F233" i="1" s="1"/>
  <c r="B234" i="1" s="1"/>
  <c r="D234" i="1" s="1"/>
  <c r="E234" i="1" l="1"/>
  <c r="F234" i="1" s="1"/>
  <c r="B235" i="1" s="1"/>
  <c r="D235" i="1" s="1"/>
  <c r="E235" i="1" l="1"/>
  <c r="F235" i="1" s="1"/>
  <c r="B236" i="1" s="1"/>
  <c r="D236" i="1" s="1"/>
  <c r="E236" i="1" l="1"/>
  <c r="F236" i="1" s="1"/>
  <c r="B237" i="1" s="1"/>
  <c r="D237" i="1" s="1"/>
  <c r="E237" i="1" l="1"/>
  <c r="F237" i="1" s="1"/>
  <c r="B238" i="1" s="1"/>
  <c r="D238" i="1" s="1"/>
  <c r="E238" i="1" l="1"/>
  <c r="F238" i="1" s="1"/>
  <c r="B239" i="1" s="1"/>
  <c r="D239" i="1" s="1"/>
  <c r="E239" i="1" l="1"/>
  <c r="F239" i="1" s="1"/>
  <c r="B240" i="1" s="1"/>
  <c r="D240" i="1" s="1"/>
  <c r="E240" i="1" l="1"/>
  <c r="F240" i="1" s="1"/>
  <c r="B241" i="1" s="1"/>
  <c r="D241" i="1" s="1"/>
  <c r="E241" i="1" l="1"/>
  <c r="F241" i="1" s="1"/>
  <c r="B242" i="1" s="1"/>
  <c r="D242" i="1" s="1"/>
  <c r="E242" i="1" l="1"/>
  <c r="F242" i="1" s="1"/>
  <c r="B243" i="1" s="1"/>
  <c r="D243" i="1" s="1"/>
  <c r="E243" i="1" l="1"/>
  <c r="F243" i="1" s="1"/>
  <c r="B244" i="1" s="1"/>
  <c r="D244" i="1" s="1"/>
  <c r="E244" i="1" l="1"/>
  <c r="F244" i="1" s="1"/>
  <c r="B245" i="1" s="1"/>
  <c r="D245" i="1" s="1"/>
  <c r="E245" i="1" l="1"/>
  <c r="F245" i="1" s="1"/>
  <c r="B246" i="1" s="1"/>
  <c r="D246" i="1" s="1"/>
  <c r="E246" i="1" l="1"/>
  <c r="F246" i="1" s="1"/>
  <c r="B247" i="1" s="1"/>
  <c r="D247" i="1" s="1"/>
  <c r="E247" i="1" l="1"/>
  <c r="F247" i="1" s="1"/>
  <c r="B248" i="1" s="1"/>
  <c r="D248" i="1" s="1"/>
  <c r="E248" i="1" l="1"/>
  <c r="F248" i="1" s="1"/>
  <c r="B249" i="1" s="1"/>
  <c r="D249" i="1" s="1"/>
  <c r="E249" i="1" l="1"/>
  <c r="F249" i="1" s="1"/>
  <c r="B250" i="1" s="1"/>
  <c r="D250" i="1" s="1"/>
  <c r="E250" i="1" l="1"/>
  <c r="F250" i="1" s="1"/>
  <c r="B251" i="1" s="1"/>
  <c r="D251" i="1" s="1"/>
  <c r="E251" i="1" l="1"/>
  <c r="F251" i="1" s="1"/>
  <c r="B252" i="1" s="1"/>
  <c r="D252" i="1" s="1"/>
  <c r="E252" i="1" l="1"/>
  <c r="F252" i="1" s="1"/>
  <c r="B253" i="1" s="1"/>
  <c r="D253" i="1" s="1"/>
  <c r="E253" i="1" l="1"/>
  <c r="F253" i="1" s="1"/>
  <c r="B254" i="1" s="1"/>
  <c r="D254" i="1" s="1"/>
  <c r="E254" i="1" l="1"/>
  <c r="F254" i="1" s="1"/>
  <c r="B255" i="1" s="1"/>
  <c r="D255" i="1" s="1"/>
  <c r="E255" i="1" l="1"/>
  <c r="F255" i="1" s="1"/>
  <c r="B256" i="1" s="1"/>
  <c r="D256" i="1" s="1"/>
  <c r="E256" i="1" l="1"/>
  <c r="F256" i="1" s="1"/>
  <c r="B257" i="1" s="1"/>
  <c r="D257" i="1" s="1"/>
  <c r="E257" i="1" l="1"/>
  <c r="F257" i="1" s="1"/>
  <c r="B258" i="1" s="1"/>
  <c r="D258" i="1" s="1"/>
  <c r="E258" i="1" l="1"/>
  <c r="F258" i="1" s="1"/>
  <c r="B259" i="1" s="1"/>
  <c r="D259" i="1" s="1"/>
  <c r="E259" i="1" l="1"/>
  <c r="F259" i="1" s="1"/>
  <c r="B260" i="1" s="1"/>
  <c r="D260" i="1" s="1"/>
  <c r="E260" i="1" l="1"/>
  <c r="F260" i="1" s="1"/>
  <c r="B261" i="1" s="1"/>
  <c r="D261" i="1" s="1"/>
  <c r="E261" i="1" l="1"/>
  <c r="F261" i="1" s="1"/>
  <c r="B262" i="1" s="1"/>
  <c r="D262" i="1" s="1"/>
  <c r="E262" i="1" l="1"/>
  <c r="F262" i="1" s="1"/>
  <c r="B263" i="1" s="1"/>
  <c r="D263" i="1" s="1"/>
  <c r="E263" i="1" l="1"/>
  <c r="F263" i="1" s="1"/>
  <c r="B264" i="1" s="1"/>
  <c r="D264" i="1" s="1"/>
  <c r="E264" i="1" l="1"/>
  <c r="F264" i="1" s="1"/>
  <c r="B265" i="1" s="1"/>
  <c r="D265" i="1" s="1"/>
  <c r="E265" i="1" l="1"/>
  <c r="F265" i="1" s="1"/>
  <c r="B266" i="1" s="1"/>
  <c r="D266" i="1" s="1"/>
  <c r="E266" i="1" l="1"/>
  <c r="F266" i="1" s="1"/>
  <c r="B267" i="1" s="1"/>
  <c r="D267" i="1" s="1"/>
  <c r="E267" i="1" l="1"/>
  <c r="F267" i="1" s="1"/>
  <c r="B268" i="1" s="1"/>
  <c r="D268" i="1" s="1"/>
  <c r="E268" i="1" l="1"/>
  <c r="F268" i="1" s="1"/>
  <c r="B269" i="1" s="1"/>
  <c r="D269" i="1" s="1"/>
  <c r="E269" i="1" l="1"/>
  <c r="F269" i="1" s="1"/>
  <c r="B270" i="1" s="1"/>
  <c r="D270" i="1" s="1"/>
  <c r="E270" i="1" l="1"/>
  <c r="F270" i="1" s="1"/>
  <c r="B271" i="1" s="1"/>
  <c r="D271" i="1" s="1"/>
  <c r="E271" i="1" l="1"/>
  <c r="F271" i="1" s="1"/>
  <c r="B272" i="1" s="1"/>
  <c r="D272" i="1" s="1"/>
  <c r="E272" i="1" l="1"/>
  <c r="F272" i="1" s="1"/>
  <c r="B273" i="1" s="1"/>
  <c r="D273" i="1" s="1"/>
  <c r="E273" i="1" l="1"/>
  <c r="F273" i="1" s="1"/>
  <c r="B274" i="1" s="1"/>
  <c r="D274" i="1" s="1"/>
  <c r="E274" i="1" l="1"/>
  <c r="F274" i="1" s="1"/>
  <c r="B275" i="1" s="1"/>
  <c r="D275" i="1" s="1"/>
  <c r="E275" i="1" l="1"/>
  <c r="F275" i="1" s="1"/>
  <c r="B276" i="1" s="1"/>
  <c r="D276" i="1" s="1"/>
  <c r="E276" i="1" l="1"/>
  <c r="F276" i="1" s="1"/>
  <c r="B277" i="1" s="1"/>
  <c r="D277" i="1" s="1"/>
  <c r="E277" i="1" l="1"/>
  <c r="F277" i="1" s="1"/>
  <c r="B278" i="1" s="1"/>
  <c r="D278" i="1" s="1"/>
  <c r="E278" i="1" l="1"/>
  <c r="F278" i="1" s="1"/>
  <c r="B279" i="1" s="1"/>
  <c r="D279" i="1" s="1"/>
  <c r="E279" i="1" l="1"/>
  <c r="F279" i="1" s="1"/>
  <c r="B280" i="1" s="1"/>
  <c r="D280" i="1" s="1"/>
  <c r="E280" i="1" l="1"/>
  <c r="F280" i="1" s="1"/>
  <c r="B281" i="1" s="1"/>
  <c r="D281" i="1" s="1"/>
  <c r="E281" i="1" l="1"/>
  <c r="F281" i="1" s="1"/>
  <c r="B282" i="1" s="1"/>
  <c r="D282" i="1" s="1"/>
  <c r="E282" i="1" l="1"/>
  <c r="F282" i="1" s="1"/>
  <c r="B283" i="1" s="1"/>
  <c r="D283" i="1" s="1"/>
  <c r="E283" i="1" l="1"/>
  <c r="F283" i="1" s="1"/>
  <c r="B284" i="1" s="1"/>
  <c r="D284" i="1" s="1"/>
  <c r="E284" i="1" l="1"/>
  <c r="F284" i="1" s="1"/>
  <c r="B285" i="1" s="1"/>
  <c r="D285" i="1" s="1"/>
  <c r="E285" i="1" l="1"/>
  <c r="F285" i="1" s="1"/>
  <c r="B286" i="1" s="1"/>
  <c r="D286" i="1" s="1"/>
  <c r="E286" i="1" l="1"/>
  <c r="F286" i="1" s="1"/>
  <c r="B287" i="1" s="1"/>
  <c r="D287" i="1" s="1"/>
  <c r="E287" i="1" l="1"/>
  <c r="F287" i="1" s="1"/>
  <c r="B288" i="1" s="1"/>
  <c r="D288" i="1" s="1"/>
  <c r="E288" i="1" l="1"/>
  <c r="F288" i="1" s="1"/>
  <c r="B289" i="1" s="1"/>
  <c r="D289" i="1" s="1"/>
  <c r="E289" i="1" l="1"/>
  <c r="F289" i="1" s="1"/>
  <c r="B290" i="1" s="1"/>
  <c r="D290" i="1" s="1"/>
  <c r="E290" i="1" l="1"/>
  <c r="F290" i="1" s="1"/>
  <c r="B291" i="1" s="1"/>
  <c r="D291" i="1" s="1"/>
  <c r="E291" i="1" l="1"/>
  <c r="F291" i="1" s="1"/>
  <c r="B292" i="1" s="1"/>
  <c r="D292" i="1" s="1"/>
  <c r="E292" i="1" l="1"/>
  <c r="F292" i="1" s="1"/>
  <c r="B293" i="1" s="1"/>
  <c r="D293" i="1" s="1"/>
  <c r="E293" i="1" l="1"/>
  <c r="F293" i="1" s="1"/>
  <c r="B294" i="1" s="1"/>
  <c r="D294" i="1" s="1"/>
  <c r="E294" i="1" l="1"/>
  <c r="F294" i="1" s="1"/>
  <c r="B295" i="1" s="1"/>
  <c r="D295" i="1" s="1"/>
  <c r="E295" i="1" l="1"/>
  <c r="F295" i="1" s="1"/>
  <c r="B296" i="1" s="1"/>
  <c r="D296" i="1" s="1"/>
  <c r="E296" i="1" l="1"/>
  <c r="F296" i="1" s="1"/>
  <c r="B297" i="1" s="1"/>
  <c r="D297" i="1" s="1"/>
  <c r="E297" i="1" l="1"/>
  <c r="F297" i="1" s="1"/>
  <c r="B298" i="1" s="1"/>
  <c r="D298" i="1" s="1"/>
  <c r="E298" i="1" l="1"/>
  <c r="F298" i="1" s="1"/>
  <c r="B299" i="1" s="1"/>
  <c r="D299" i="1" s="1"/>
  <c r="E299" i="1" l="1"/>
  <c r="F299" i="1" s="1"/>
  <c r="B300" i="1" s="1"/>
  <c r="D300" i="1" s="1"/>
  <c r="E300" i="1" l="1"/>
  <c r="F300" i="1" s="1"/>
  <c r="B301" i="1" s="1"/>
  <c r="D301" i="1" s="1"/>
  <c r="E301" i="1" l="1"/>
  <c r="F301" i="1" s="1"/>
  <c r="B302" i="1" s="1"/>
  <c r="D302" i="1" s="1"/>
  <c r="E302" i="1" l="1"/>
  <c r="F302" i="1" s="1"/>
  <c r="B303" i="1" s="1"/>
  <c r="D303" i="1" s="1"/>
  <c r="E303" i="1" l="1"/>
  <c r="F303" i="1" s="1"/>
  <c r="B304" i="1" s="1"/>
  <c r="D304" i="1" s="1"/>
  <c r="E304" i="1" l="1"/>
  <c r="F304" i="1" s="1"/>
  <c r="B305" i="1" s="1"/>
  <c r="D305" i="1" s="1"/>
  <c r="E305" i="1" l="1"/>
  <c r="F305" i="1" s="1"/>
  <c r="B306" i="1" s="1"/>
  <c r="D306" i="1" s="1"/>
  <c r="E306" i="1" l="1"/>
  <c r="F306" i="1" s="1"/>
  <c r="B307" i="1" s="1"/>
  <c r="D307" i="1" s="1"/>
  <c r="E307" i="1" l="1"/>
  <c r="F307" i="1" s="1"/>
  <c r="B308" i="1" s="1"/>
  <c r="D308" i="1" s="1"/>
  <c r="E308" i="1" l="1"/>
  <c r="F308" i="1" s="1"/>
  <c r="B309" i="1" s="1"/>
  <c r="D309" i="1" s="1"/>
  <c r="E309" i="1" l="1"/>
  <c r="F309" i="1" s="1"/>
  <c r="B310" i="1" s="1"/>
  <c r="D310" i="1" s="1"/>
  <c r="E310" i="1" l="1"/>
  <c r="F310" i="1" s="1"/>
  <c r="B311" i="1" s="1"/>
  <c r="D311" i="1" s="1"/>
  <c r="E311" i="1" l="1"/>
  <c r="F311" i="1" s="1"/>
  <c r="B312" i="1" s="1"/>
  <c r="D312" i="1" s="1"/>
  <c r="E312" i="1" l="1"/>
  <c r="F312" i="1" s="1"/>
  <c r="B313" i="1" s="1"/>
  <c r="D313" i="1" s="1"/>
  <c r="E313" i="1" l="1"/>
  <c r="F313" i="1" s="1"/>
  <c r="B314" i="1" s="1"/>
  <c r="D314" i="1" s="1"/>
  <c r="E314" i="1" l="1"/>
  <c r="F314" i="1" s="1"/>
  <c r="B315" i="1" s="1"/>
  <c r="D315" i="1" s="1"/>
  <c r="E315" i="1" l="1"/>
  <c r="F315" i="1" s="1"/>
  <c r="B316" i="1" s="1"/>
  <c r="D316" i="1" s="1"/>
  <c r="E316" i="1" l="1"/>
  <c r="F316" i="1" s="1"/>
  <c r="B317" i="1" s="1"/>
  <c r="D317" i="1" s="1"/>
  <c r="E317" i="1" l="1"/>
  <c r="F317" i="1" s="1"/>
  <c r="B318" i="1" s="1"/>
  <c r="D318" i="1" s="1"/>
  <c r="E318" i="1" l="1"/>
  <c r="F318" i="1" s="1"/>
  <c r="B319" i="1" s="1"/>
  <c r="D319" i="1" s="1"/>
  <c r="E319" i="1" l="1"/>
  <c r="F319" i="1" s="1"/>
  <c r="B320" i="1" s="1"/>
  <c r="D320" i="1" s="1"/>
  <c r="E320" i="1" l="1"/>
  <c r="F320" i="1" s="1"/>
  <c r="B321" i="1" s="1"/>
  <c r="D321" i="1" s="1"/>
  <c r="E321" i="1" l="1"/>
  <c r="F321" i="1" s="1"/>
  <c r="B322" i="1" s="1"/>
  <c r="D322" i="1" s="1"/>
  <c r="E322" i="1" l="1"/>
  <c r="F322" i="1" s="1"/>
  <c r="B323" i="1" s="1"/>
  <c r="D323" i="1" s="1"/>
  <c r="E323" i="1" l="1"/>
  <c r="F323" i="1" s="1"/>
  <c r="B324" i="1" s="1"/>
  <c r="D324" i="1" s="1"/>
  <c r="E324" i="1" l="1"/>
  <c r="F324" i="1" s="1"/>
  <c r="B325" i="1" s="1"/>
  <c r="D325" i="1" s="1"/>
  <c r="E325" i="1" l="1"/>
  <c r="F325" i="1" s="1"/>
  <c r="B326" i="1" s="1"/>
  <c r="D326" i="1" s="1"/>
  <c r="E326" i="1" l="1"/>
  <c r="F326" i="1" s="1"/>
  <c r="B327" i="1" s="1"/>
  <c r="D327" i="1" s="1"/>
  <c r="E327" i="1" l="1"/>
  <c r="F327" i="1" s="1"/>
  <c r="B328" i="1" s="1"/>
  <c r="D328" i="1" s="1"/>
  <c r="E328" i="1" l="1"/>
  <c r="F328" i="1" s="1"/>
  <c r="B329" i="1" s="1"/>
  <c r="D329" i="1" s="1"/>
  <c r="E329" i="1" l="1"/>
  <c r="F329" i="1" s="1"/>
  <c r="B330" i="1" s="1"/>
  <c r="D330" i="1" s="1"/>
  <c r="E330" i="1" l="1"/>
  <c r="F330" i="1" s="1"/>
  <c r="B331" i="1" s="1"/>
  <c r="D331" i="1" s="1"/>
  <c r="E331" i="1" l="1"/>
  <c r="F331" i="1" s="1"/>
  <c r="B332" i="1" s="1"/>
  <c r="D332" i="1" s="1"/>
  <c r="E332" i="1" l="1"/>
  <c r="F332" i="1" s="1"/>
  <c r="B333" i="1" s="1"/>
  <c r="D333" i="1" s="1"/>
  <c r="E333" i="1" l="1"/>
  <c r="F333" i="1" s="1"/>
  <c r="B334" i="1" s="1"/>
  <c r="D334" i="1" s="1"/>
  <c r="E334" i="1" l="1"/>
  <c r="F334" i="1" s="1"/>
  <c r="B335" i="1" s="1"/>
  <c r="D335" i="1" s="1"/>
  <c r="E335" i="1" l="1"/>
  <c r="F335" i="1" s="1"/>
  <c r="B336" i="1" s="1"/>
  <c r="D336" i="1" s="1"/>
  <c r="E336" i="1" l="1"/>
  <c r="F336" i="1" s="1"/>
  <c r="B337" i="1" s="1"/>
  <c r="D337" i="1" s="1"/>
  <c r="E337" i="1" l="1"/>
  <c r="F337" i="1" s="1"/>
  <c r="B338" i="1" s="1"/>
  <c r="D338" i="1" s="1"/>
  <c r="E338" i="1" l="1"/>
  <c r="F338" i="1" s="1"/>
  <c r="B339" i="1" s="1"/>
  <c r="D339" i="1" s="1"/>
  <c r="E339" i="1" l="1"/>
  <c r="F339" i="1" s="1"/>
  <c r="B340" i="1" s="1"/>
  <c r="D340" i="1" s="1"/>
  <c r="E340" i="1" l="1"/>
  <c r="F340" i="1" s="1"/>
  <c r="B341" i="1" s="1"/>
  <c r="D341" i="1" s="1"/>
  <c r="E341" i="1" l="1"/>
  <c r="F341" i="1" s="1"/>
  <c r="B342" i="1" s="1"/>
  <c r="D342" i="1" s="1"/>
  <c r="E342" i="1" l="1"/>
  <c r="F342" i="1" s="1"/>
  <c r="B343" i="1" s="1"/>
  <c r="D343" i="1" l="1"/>
  <c r="E343" i="1" s="1"/>
  <c r="F343" i="1" s="1"/>
  <c r="B344" i="1" s="1"/>
  <c r="D344" i="1" l="1"/>
  <c r="E344" i="1" s="1"/>
  <c r="F344" i="1" s="1"/>
  <c r="B345" i="1" s="1"/>
  <c r="D345" i="1" l="1"/>
  <c r="E345" i="1" s="1"/>
  <c r="F345" i="1" s="1"/>
  <c r="B346" i="1" s="1"/>
  <c r="D346" i="1" l="1"/>
  <c r="E346" i="1" s="1"/>
  <c r="F346" i="1" s="1"/>
  <c r="B347" i="1" s="1"/>
  <c r="D347" i="1" l="1"/>
  <c r="E347" i="1" l="1"/>
  <c r="F347" i="1" s="1"/>
  <c r="B348" i="1" s="1"/>
  <c r="D348" i="1" s="1"/>
  <c r="E348" i="1" s="1"/>
  <c r="F348" i="1" s="1"/>
  <c r="B349" i="1" s="1"/>
  <c r="D349" i="1" l="1"/>
  <c r="E349" i="1"/>
  <c r="F349" i="1" s="1"/>
  <c r="B350" i="1" s="1"/>
  <c r="D350" i="1" l="1"/>
  <c r="E350" i="1" s="1"/>
  <c r="F350" i="1" s="1"/>
  <c r="B351" i="1" s="1"/>
  <c r="D351" i="1" s="1"/>
  <c r="E351" i="1" s="1"/>
  <c r="F351" i="1" s="1"/>
  <c r="B352" i="1" s="1"/>
  <c r="D352" i="1" l="1"/>
  <c r="E352" i="1" s="1"/>
  <c r="F352" i="1" s="1"/>
  <c r="B353" i="1" s="1"/>
  <c r="D353" i="1" l="1"/>
  <c r="E353" i="1" s="1"/>
  <c r="F353" i="1" s="1"/>
  <c r="B354" i="1" s="1"/>
  <c r="D354" i="1" l="1"/>
  <c r="E354" i="1" s="1"/>
  <c r="F354" i="1" s="1"/>
  <c r="B355" i="1" s="1"/>
  <c r="D355" i="1" l="1"/>
  <c r="E355" i="1" s="1"/>
  <c r="F355" i="1" s="1"/>
  <c r="B356" i="1" s="1"/>
  <c r="D356" i="1" l="1"/>
  <c r="E356" i="1" s="1"/>
  <c r="F356" i="1" s="1"/>
  <c r="B357" i="1" s="1"/>
  <c r="D357" i="1" s="1"/>
  <c r="E357" i="1" s="1"/>
  <c r="F357" i="1" s="1"/>
  <c r="B358" i="1" s="1"/>
  <c r="D358" i="1" l="1"/>
  <c r="E358" i="1" s="1"/>
  <c r="F358" i="1" s="1"/>
  <c r="B359" i="1" s="1"/>
  <c r="D359" i="1" l="1"/>
  <c r="E359" i="1"/>
  <c r="F359" i="1" s="1"/>
  <c r="B360" i="1" s="1"/>
  <c r="D360" i="1" s="1"/>
  <c r="E360" i="1" s="1"/>
  <c r="F360" i="1" s="1"/>
  <c r="B361" i="1" s="1"/>
  <c r="D361" i="1" l="1"/>
  <c r="E361" i="1" s="1"/>
  <c r="F361" i="1" s="1"/>
  <c r="B362" i="1" s="1"/>
  <c r="D362" i="1" l="1"/>
  <c r="E362" i="1" s="1"/>
  <c r="F362" i="1" s="1"/>
  <c r="B363" i="1" s="1"/>
  <c r="D363" i="1" s="1"/>
  <c r="E363" i="1" s="1"/>
  <c r="F363" i="1" s="1"/>
  <c r="B364" i="1" s="1"/>
  <c r="D364" i="1" l="1"/>
  <c r="E364" i="1" s="1"/>
  <c r="F364" i="1" s="1"/>
  <c r="B365" i="1" s="1"/>
  <c r="D365" i="1" l="1"/>
  <c r="E365" i="1" s="1"/>
  <c r="F365" i="1" s="1"/>
  <c r="B366" i="1" s="1"/>
  <c r="D366" i="1" l="1"/>
  <c r="E366" i="1" s="1"/>
  <c r="F366" i="1" s="1"/>
  <c r="B367" i="1" s="1"/>
  <c r="D367" i="1" l="1"/>
  <c r="E367" i="1" s="1"/>
  <c r="F367" i="1" s="1"/>
  <c r="B368" i="1" s="1"/>
  <c r="D368" i="1" l="1"/>
  <c r="E368" i="1" s="1"/>
  <c r="F368" i="1" s="1"/>
  <c r="B369" i="1" s="1"/>
  <c r="D369" i="1" l="1"/>
  <c r="E369" i="1" s="1"/>
  <c r="F369" i="1" s="1"/>
  <c r="B370" i="1" s="1"/>
  <c r="D370" i="1" l="1"/>
  <c r="E370" i="1" s="1"/>
  <c r="F370" i="1" s="1"/>
  <c r="B371" i="1" s="1"/>
  <c r="D371" i="1" l="1"/>
  <c r="E371" i="1" s="1"/>
  <c r="F371" i="1" s="1"/>
  <c r="B372" i="1" s="1"/>
  <c r="D372" i="1" l="1"/>
  <c r="E372" i="1" s="1"/>
  <c r="F372" i="1" s="1"/>
  <c r="B373" i="1" s="1"/>
  <c r="D373" i="1" l="1"/>
  <c r="E373" i="1" s="1"/>
  <c r="F373" i="1" s="1"/>
  <c r="B374" i="1" s="1"/>
  <c r="D374" i="1" l="1"/>
  <c r="E374" i="1" s="1"/>
  <c r="F374" i="1" s="1"/>
  <c r="B375" i="1" s="1"/>
  <c r="D375" i="1" l="1"/>
  <c r="E375" i="1" s="1"/>
  <c r="F375" i="1" s="1"/>
  <c r="B376" i="1" s="1"/>
  <c r="D376" i="1" l="1"/>
  <c r="E376" i="1" s="1"/>
  <c r="F376" i="1" s="1"/>
  <c r="B377" i="1" s="1"/>
  <c r="D377" i="1" l="1"/>
  <c r="E377" i="1" s="1"/>
  <c r="F377" i="1" s="1"/>
  <c r="B378" i="1" s="1"/>
  <c r="D378" i="1" l="1"/>
  <c r="E378" i="1" s="1"/>
  <c r="F378" i="1" s="1"/>
  <c r="B379" i="1" s="1"/>
  <c r="D379" i="1" l="1"/>
  <c r="E379" i="1" s="1"/>
  <c r="F379" i="1" s="1"/>
  <c r="B380" i="1" s="1"/>
  <c r="D380" i="1" l="1"/>
  <c r="E380" i="1"/>
  <c r="F380" i="1" s="1"/>
  <c r="B381" i="1" s="1"/>
  <c r="D381" i="1" l="1"/>
  <c r="E381" i="1" s="1"/>
  <c r="F381" i="1" s="1"/>
  <c r="B382" i="1" s="1"/>
  <c r="D382" i="1" l="1"/>
  <c r="E382" i="1" s="1"/>
  <c r="F382" i="1" s="1"/>
  <c r="B383" i="1" s="1"/>
  <c r="D383" i="1" l="1"/>
  <c r="E383" i="1" s="1"/>
  <c r="F383" i="1" s="1"/>
  <c r="B384" i="1" s="1"/>
  <c r="D384" i="1" l="1"/>
  <c r="E384" i="1" s="1"/>
  <c r="F384" i="1" s="1"/>
  <c r="B385" i="1" s="1"/>
  <c r="D385" i="1" l="1"/>
  <c r="E385" i="1" s="1"/>
  <c r="F385" i="1" s="1"/>
  <c r="B386" i="1" s="1"/>
  <c r="D386" i="1" l="1"/>
  <c r="E386" i="1" s="1"/>
  <c r="F386" i="1" s="1"/>
  <c r="B387" i="1" s="1"/>
  <c r="D387" i="1" l="1"/>
  <c r="E387" i="1" s="1"/>
  <c r="F387" i="1" s="1"/>
  <c r="B388" i="1" s="1"/>
  <c r="D388" i="1" l="1"/>
  <c r="E388" i="1" s="1"/>
  <c r="F388" i="1" s="1"/>
  <c r="B389" i="1" s="1"/>
  <c r="D389" i="1" l="1"/>
  <c r="E389" i="1" s="1"/>
  <c r="F389" i="1" s="1"/>
  <c r="B390" i="1" s="1"/>
  <c r="D390" i="1" l="1"/>
  <c r="E390" i="1" s="1"/>
  <c r="F390" i="1" s="1"/>
  <c r="B391" i="1" s="1"/>
  <c r="D391" i="1" l="1"/>
  <c r="E391" i="1" s="1"/>
  <c r="F391" i="1" s="1"/>
  <c r="B392" i="1" s="1"/>
  <c r="D392" i="1" l="1"/>
  <c r="E392" i="1" s="1"/>
  <c r="F392" i="1" s="1"/>
  <c r="B393" i="1" s="1"/>
  <c r="D393" i="1" l="1"/>
  <c r="E393" i="1" s="1"/>
  <c r="F393" i="1" s="1"/>
  <c r="B394" i="1" s="1"/>
  <c r="D394" i="1" l="1"/>
  <c r="E394" i="1" s="1"/>
  <c r="F394" i="1" s="1"/>
  <c r="B395" i="1" s="1"/>
  <c r="D395" i="1" l="1"/>
  <c r="E395" i="1" s="1"/>
  <c r="F395" i="1" s="1"/>
  <c r="B396" i="1" s="1"/>
  <c r="D396" i="1" l="1"/>
  <c r="E396" i="1" s="1"/>
  <c r="F396" i="1" s="1"/>
  <c r="B397" i="1" s="1"/>
  <c r="D397" i="1" l="1"/>
  <c r="E397" i="1" s="1"/>
  <c r="F397" i="1" s="1"/>
  <c r="B398" i="1" s="1"/>
  <c r="D398" i="1" l="1"/>
  <c r="E398" i="1"/>
  <c r="F398" i="1" s="1"/>
  <c r="B399" i="1" s="1"/>
  <c r="D399" i="1" l="1"/>
  <c r="E399" i="1" s="1"/>
  <c r="F399" i="1" s="1"/>
  <c r="B400" i="1" s="1"/>
  <c r="D400" i="1" l="1"/>
  <c r="E400" i="1" s="1"/>
  <c r="F400" i="1" s="1"/>
  <c r="B401" i="1" s="1"/>
  <c r="D401" i="1" l="1"/>
  <c r="E401" i="1" s="1"/>
  <c r="F401" i="1" s="1"/>
  <c r="B402" i="1" s="1"/>
  <c r="D402" i="1" l="1"/>
  <c r="E402" i="1"/>
  <c r="F402" i="1" s="1"/>
  <c r="B403" i="1" s="1"/>
  <c r="D403" i="1" l="1"/>
  <c r="E403" i="1" s="1"/>
  <c r="F403" i="1" s="1"/>
  <c r="B404" i="1" s="1"/>
  <c r="D404" i="1" l="1"/>
  <c r="E404" i="1" s="1"/>
  <c r="F404" i="1" s="1"/>
  <c r="B405" i="1" s="1"/>
  <c r="D405" i="1" l="1"/>
  <c r="E405" i="1" s="1"/>
  <c r="F405" i="1" s="1"/>
  <c r="B406" i="1" s="1"/>
  <c r="D406" i="1" l="1"/>
  <c r="E406" i="1" s="1"/>
  <c r="F406" i="1" s="1"/>
  <c r="B407" i="1" s="1"/>
  <c r="D407" i="1" l="1"/>
  <c r="E407" i="1"/>
  <c r="F407" i="1" s="1"/>
  <c r="B408" i="1" s="1"/>
  <c r="D408" i="1" l="1"/>
  <c r="E408" i="1" s="1"/>
  <c r="F408" i="1" s="1"/>
  <c r="B409" i="1" s="1"/>
  <c r="D409" i="1" l="1"/>
  <c r="E409" i="1" s="1"/>
  <c r="F409" i="1" s="1"/>
  <c r="B410" i="1" s="1"/>
  <c r="D410" i="1" l="1"/>
  <c r="E410" i="1" s="1"/>
  <c r="F410" i="1" s="1"/>
  <c r="B411" i="1" s="1"/>
  <c r="D411" i="1" l="1"/>
  <c r="E411" i="1" s="1"/>
  <c r="F411" i="1" s="1"/>
  <c r="B412" i="1" s="1"/>
  <c r="D412" i="1" l="1"/>
  <c r="E412" i="1" s="1"/>
  <c r="F412" i="1" s="1"/>
  <c r="B413" i="1" s="1"/>
  <c r="D413" i="1" l="1"/>
  <c r="E413" i="1" s="1"/>
  <c r="F413" i="1" s="1"/>
  <c r="B414" i="1" s="1"/>
  <c r="D414" i="1" l="1"/>
  <c r="E414" i="1" s="1"/>
  <c r="F414" i="1" s="1"/>
  <c r="B415" i="1" s="1"/>
  <c r="D415" i="1" l="1"/>
  <c r="E415" i="1"/>
  <c r="F415" i="1" s="1"/>
  <c r="B416" i="1" s="1"/>
  <c r="D416" i="1" l="1"/>
  <c r="E416" i="1" s="1"/>
  <c r="F416" i="1" s="1"/>
  <c r="B417" i="1" s="1"/>
  <c r="D417" i="1" l="1"/>
  <c r="E417" i="1" s="1"/>
  <c r="F417" i="1" s="1"/>
  <c r="B418" i="1" s="1"/>
  <c r="D418" i="1" l="1"/>
  <c r="E418" i="1" s="1"/>
  <c r="F418" i="1" s="1"/>
  <c r="B419" i="1" s="1"/>
  <c r="D419" i="1" l="1"/>
  <c r="E419" i="1"/>
  <c r="F419" i="1" s="1"/>
  <c r="B420" i="1" s="1"/>
  <c r="D420" i="1" l="1"/>
  <c r="E420" i="1" s="1"/>
  <c r="F420" i="1" s="1"/>
  <c r="B421" i="1" s="1"/>
  <c r="D421" i="1" l="1"/>
  <c r="E421" i="1" s="1"/>
  <c r="F421" i="1" s="1"/>
  <c r="B422" i="1" s="1"/>
  <c r="D422" i="1" l="1"/>
  <c r="E422" i="1" s="1"/>
  <c r="F422" i="1" s="1"/>
  <c r="B423" i="1" s="1"/>
  <c r="D423" i="1" l="1"/>
  <c r="E423" i="1" s="1"/>
  <c r="F423" i="1" s="1"/>
  <c r="B424" i="1" s="1"/>
  <c r="D424" i="1" l="1"/>
  <c r="E424" i="1" s="1"/>
  <c r="F424" i="1" s="1"/>
  <c r="B425" i="1" s="1"/>
  <c r="D425" i="1" l="1"/>
  <c r="E425" i="1" s="1"/>
  <c r="F425" i="1" s="1"/>
  <c r="B426" i="1" s="1"/>
  <c r="D426" i="1" l="1"/>
  <c r="E426" i="1" s="1"/>
  <c r="F426" i="1" s="1"/>
  <c r="B427" i="1" s="1"/>
  <c r="D427" i="1" l="1"/>
  <c r="E427" i="1" s="1"/>
  <c r="F427" i="1" s="1"/>
  <c r="B428" i="1" s="1"/>
  <c r="D428" i="1" l="1"/>
  <c r="E428" i="1" s="1"/>
  <c r="F428" i="1" s="1"/>
  <c r="B429" i="1" s="1"/>
  <c r="D429" i="1" l="1"/>
  <c r="E429" i="1" s="1"/>
  <c r="F429" i="1" s="1"/>
  <c r="B430" i="1" s="1"/>
  <c r="D430" i="1" l="1"/>
  <c r="E430" i="1" s="1"/>
  <c r="F430" i="1" s="1"/>
  <c r="B431" i="1" s="1"/>
  <c r="D431" i="1" l="1"/>
  <c r="E431" i="1" s="1"/>
  <c r="F431" i="1" s="1"/>
  <c r="B432" i="1" s="1"/>
  <c r="D432" i="1" l="1"/>
  <c r="E432" i="1" s="1"/>
  <c r="F432" i="1" s="1"/>
  <c r="B433" i="1" s="1"/>
  <c r="D433" i="1" l="1"/>
  <c r="E433" i="1" s="1"/>
  <c r="F433" i="1" s="1"/>
  <c r="B434" i="1" s="1"/>
  <c r="D434" i="1" l="1"/>
  <c r="E434" i="1" s="1"/>
  <c r="F434" i="1" s="1"/>
  <c r="B435" i="1" s="1"/>
  <c r="D435" i="1" l="1"/>
  <c r="E435" i="1" s="1"/>
  <c r="F435" i="1" s="1"/>
  <c r="B436" i="1" s="1"/>
  <c r="D436" i="1" l="1"/>
  <c r="E436" i="1" s="1"/>
  <c r="F436" i="1" s="1"/>
  <c r="B437" i="1" s="1"/>
  <c r="D437" i="1" l="1"/>
  <c r="E437" i="1" s="1"/>
  <c r="F437" i="1" s="1"/>
  <c r="B438" i="1" s="1"/>
  <c r="D438" i="1" l="1"/>
  <c r="E438" i="1" s="1"/>
  <c r="F438" i="1" s="1"/>
  <c r="B439" i="1" s="1"/>
  <c r="D439" i="1" l="1"/>
  <c r="E439" i="1" s="1"/>
  <c r="F439" i="1" s="1"/>
  <c r="B440" i="1" s="1"/>
  <c r="D440" i="1" l="1"/>
  <c r="E440" i="1" s="1"/>
  <c r="F440" i="1" s="1"/>
  <c r="B441" i="1" s="1"/>
  <c r="D441" i="1" l="1"/>
  <c r="E441" i="1" s="1"/>
  <c r="F441" i="1" s="1"/>
  <c r="B442" i="1" s="1"/>
  <c r="D442" i="1" l="1"/>
  <c r="E442" i="1"/>
  <c r="F442" i="1" s="1"/>
  <c r="B443" i="1" s="1"/>
  <c r="D443" i="1" l="1"/>
  <c r="E443" i="1" s="1"/>
  <c r="F443" i="1" s="1"/>
  <c r="B444" i="1" s="1"/>
  <c r="D444" i="1" l="1"/>
  <c r="E444" i="1" s="1"/>
  <c r="F444" i="1" s="1"/>
  <c r="B445" i="1" s="1"/>
  <c r="D445" i="1" l="1"/>
  <c r="E445" i="1" s="1"/>
  <c r="F445" i="1" s="1"/>
  <c r="B446" i="1" s="1"/>
  <c r="D446" i="1" l="1"/>
  <c r="E446" i="1"/>
  <c r="F446" i="1" s="1"/>
  <c r="B447" i="1" s="1"/>
  <c r="D447" i="1" l="1"/>
  <c r="E447" i="1"/>
  <c r="F447" i="1" s="1"/>
  <c r="B448" i="1" s="1"/>
  <c r="D448" i="1" l="1"/>
  <c r="E448" i="1" s="1"/>
  <c r="F448" i="1" s="1"/>
  <c r="B449" i="1" s="1"/>
  <c r="D449" i="1" l="1"/>
  <c r="E449" i="1" s="1"/>
  <c r="F449" i="1" s="1"/>
  <c r="B450" i="1" s="1"/>
  <c r="D450" i="1" l="1"/>
  <c r="E450" i="1" s="1"/>
  <c r="F450" i="1" s="1"/>
  <c r="B451" i="1" s="1"/>
  <c r="D451" i="1" l="1"/>
  <c r="E451" i="1" s="1"/>
  <c r="F451" i="1" s="1"/>
  <c r="B452" i="1" s="1"/>
  <c r="D452" i="1" l="1"/>
  <c r="E452" i="1" s="1"/>
  <c r="F452" i="1" s="1"/>
  <c r="B453" i="1" s="1"/>
  <c r="D453" i="1" l="1"/>
  <c r="E453" i="1" s="1"/>
  <c r="F453" i="1" s="1"/>
  <c r="B454" i="1" s="1"/>
  <c r="D454" i="1" l="1"/>
  <c r="E454" i="1" s="1"/>
  <c r="F454" i="1" s="1"/>
  <c r="B455" i="1" s="1"/>
  <c r="D455" i="1" l="1"/>
  <c r="E455" i="1" s="1"/>
  <c r="F455" i="1" s="1"/>
  <c r="B456" i="1" s="1"/>
  <c r="D456" i="1" l="1"/>
  <c r="E456" i="1"/>
  <c r="F456" i="1" s="1"/>
  <c r="B457" i="1" s="1"/>
  <c r="D457" i="1" l="1"/>
  <c r="E457" i="1"/>
  <c r="F457" i="1" s="1"/>
  <c r="B458" i="1" s="1"/>
  <c r="D458" i="1" l="1"/>
  <c r="E458" i="1" s="1"/>
  <c r="F458" i="1" s="1"/>
  <c r="B459" i="1" s="1"/>
  <c r="D459" i="1" l="1"/>
  <c r="E459" i="1" s="1"/>
  <c r="F459" i="1" s="1"/>
  <c r="B460" i="1" s="1"/>
  <c r="D460" i="1" l="1"/>
  <c r="E460" i="1" s="1"/>
  <c r="F460" i="1" s="1"/>
  <c r="B461" i="1" s="1"/>
  <c r="D461" i="1" l="1"/>
  <c r="E461" i="1"/>
  <c r="F461" i="1" s="1"/>
  <c r="B462" i="1" s="1"/>
  <c r="D462" i="1" l="1"/>
  <c r="E462" i="1" s="1"/>
  <c r="F462" i="1" s="1"/>
  <c r="B463" i="1" s="1"/>
  <c r="D463" i="1" l="1"/>
  <c r="E463" i="1"/>
  <c r="F463" i="1" s="1"/>
  <c r="B464" i="1" s="1"/>
  <c r="D464" i="1" l="1"/>
  <c r="E464" i="1" s="1"/>
  <c r="F464" i="1" s="1"/>
  <c r="B465" i="1" s="1"/>
  <c r="D465" i="1" l="1"/>
  <c r="E465" i="1" s="1"/>
  <c r="F465" i="1" s="1"/>
  <c r="B466" i="1" s="1"/>
  <c r="D466" i="1" l="1"/>
  <c r="E466" i="1" s="1"/>
  <c r="F466" i="1" s="1"/>
  <c r="B467" i="1" s="1"/>
  <c r="D467" i="1" l="1"/>
  <c r="E467" i="1" s="1"/>
  <c r="F467" i="1" s="1"/>
  <c r="B468" i="1" s="1"/>
  <c r="D468" i="1" l="1"/>
  <c r="E468" i="1" s="1"/>
  <c r="F468" i="1" s="1"/>
  <c r="B469" i="1" s="1"/>
  <c r="D469" i="1" l="1"/>
  <c r="E469" i="1"/>
  <c r="F469" i="1" s="1"/>
  <c r="B470" i="1" s="1"/>
  <c r="D470" i="1" l="1"/>
  <c r="E470" i="1" s="1"/>
  <c r="F470" i="1" s="1"/>
  <c r="B471" i="1" s="1"/>
  <c r="D471" i="1" l="1"/>
  <c r="E471" i="1" s="1"/>
  <c r="F471" i="1" s="1"/>
  <c r="B472" i="1" s="1"/>
  <c r="D472" i="1" l="1"/>
  <c r="E472" i="1" s="1"/>
  <c r="F472" i="1" s="1"/>
  <c r="B473" i="1" s="1"/>
  <c r="D473" i="1" l="1"/>
  <c r="E473" i="1" s="1"/>
  <c r="F473" i="1" s="1"/>
  <c r="B474" i="1" s="1"/>
  <c r="D474" i="1" l="1"/>
  <c r="E474" i="1"/>
  <c r="F474" i="1" s="1"/>
  <c r="B475" i="1" s="1"/>
  <c r="D475" i="1" l="1"/>
  <c r="E475" i="1" s="1"/>
  <c r="F475" i="1" s="1"/>
  <c r="B476" i="1" s="1"/>
  <c r="D476" i="1" l="1"/>
  <c r="E476" i="1"/>
  <c r="F476" i="1" s="1"/>
  <c r="B477" i="1" s="1"/>
  <c r="D477" i="1" l="1"/>
  <c r="E477" i="1" s="1"/>
  <c r="F477" i="1" s="1"/>
  <c r="B478" i="1" s="1"/>
  <c r="D478" i="1" l="1"/>
  <c r="E478" i="1"/>
  <c r="F478" i="1" s="1"/>
  <c r="B479" i="1" s="1"/>
  <c r="D479" i="1" l="1"/>
  <c r="E479" i="1"/>
  <c r="F479" i="1" s="1"/>
  <c r="B480" i="1" s="1"/>
  <c r="D480" i="1" s="1"/>
  <c r="E480" i="1" s="1"/>
  <c r="F480" i="1" s="1"/>
  <c r="B481" i="1" s="1"/>
  <c r="D481" i="1" s="1"/>
  <c r="E481" i="1" s="1"/>
  <c r="F481" i="1" s="1"/>
  <c r="B482" i="1" s="1"/>
  <c r="D482" i="1" s="1"/>
  <c r="E482" i="1" s="1"/>
  <c r="F482" i="1" s="1"/>
  <c r="B483" i="1" s="1"/>
  <c r="D483" i="1" s="1"/>
  <c r="E483" i="1" s="1"/>
  <c r="F483" i="1" s="1"/>
  <c r="B484" i="1" s="1"/>
  <c r="D484" i="1" s="1"/>
  <c r="E484" i="1" s="1"/>
  <c r="F484" i="1" s="1"/>
  <c r="B485" i="1" s="1"/>
  <c r="D485" i="1" s="1"/>
  <c r="E485" i="1" s="1"/>
  <c r="F485" i="1" s="1"/>
  <c r="B486" i="1" s="1"/>
  <c r="D486" i="1" s="1"/>
  <c r="E486" i="1" s="1"/>
  <c r="F486" i="1" s="1"/>
  <c r="B487" i="1" s="1"/>
  <c r="D487" i="1" s="1"/>
  <c r="E487" i="1" s="1"/>
  <c r="F487" i="1" s="1"/>
  <c r="B488" i="1" s="1"/>
  <c r="D488" i="1" s="1"/>
  <c r="E488" i="1" s="1"/>
  <c r="F488" i="1" s="1"/>
  <c r="B489" i="1" s="1"/>
  <c r="D489" i="1" s="1"/>
  <c r="E489" i="1" s="1"/>
  <c r="F489" i="1" s="1"/>
  <c r="B490" i="1" s="1"/>
  <c r="D490" i="1" s="1"/>
  <c r="E490" i="1" s="1"/>
  <c r="F490" i="1" s="1"/>
  <c r="B491" i="1" s="1"/>
  <c r="D491" i="1" s="1"/>
  <c r="E491" i="1" s="1"/>
  <c r="F491" i="1" s="1"/>
  <c r="B492" i="1" s="1"/>
  <c r="D492" i="1" s="1"/>
  <c r="E492" i="1" s="1"/>
  <c r="F492" i="1" s="1"/>
  <c r="B493" i="1" s="1"/>
  <c r="D493" i="1" s="1"/>
  <c r="E493" i="1" s="1"/>
  <c r="F493" i="1" s="1"/>
  <c r="B494" i="1" s="1"/>
  <c r="D494" i="1" s="1"/>
  <c r="E494" i="1" s="1"/>
  <c r="F494" i="1" s="1"/>
  <c r="B495" i="1" s="1"/>
  <c r="D495" i="1" s="1"/>
  <c r="E495" i="1" s="1"/>
  <c r="F495" i="1" s="1"/>
  <c r="B496" i="1" s="1"/>
  <c r="D496" i="1" s="1"/>
  <c r="E496" i="1" s="1"/>
  <c r="F496" i="1" s="1"/>
  <c r="B497" i="1" s="1"/>
  <c r="D497" i="1" s="1"/>
  <c r="E497" i="1" s="1"/>
  <c r="F497" i="1" s="1"/>
  <c r="B498" i="1" s="1"/>
  <c r="D498" i="1" s="1"/>
  <c r="E498" i="1" s="1"/>
  <c r="F498" i="1" s="1"/>
  <c r="B499" i="1" s="1"/>
  <c r="D499" i="1" s="1"/>
  <c r="E499" i="1" s="1"/>
  <c r="F499" i="1" s="1"/>
  <c r="B500" i="1" s="1"/>
  <c r="D500" i="1" s="1"/>
  <c r="E500" i="1" s="1"/>
  <c r="F500" i="1" s="1"/>
  <c r="B501" i="1" s="1"/>
  <c r="D501" i="1" s="1"/>
  <c r="E501" i="1" s="1"/>
  <c r="F501" i="1" s="1"/>
  <c r="B502" i="1" s="1"/>
  <c r="D502" i="1" s="1"/>
  <c r="E502" i="1" s="1"/>
  <c r="F502" i="1" s="1"/>
  <c r="B503" i="1" s="1"/>
  <c r="D503" i="1" s="1"/>
  <c r="E503" i="1" s="1"/>
  <c r="F503" i="1" s="1"/>
  <c r="B504" i="1" s="1"/>
  <c r="D504" i="1" s="1"/>
  <c r="E504" i="1" s="1"/>
  <c r="F504" i="1" s="1"/>
  <c r="B505" i="1" s="1"/>
  <c r="D505" i="1" s="1"/>
  <c r="E505" i="1" s="1"/>
  <c r="F505" i="1" s="1"/>
  <c r="B506" i="1" s="1"/>
  <c r="D506" i="1" s="1"/>
  <c r="E506" i="1" s="1"/>
  <c r="F506" i="1" s="1"/>
  <c r="B507" i="1" s="1"/>
  <c r="D507" i="1" s="1"/>
  <c r="E507" i="1" s="1"/>
  <c r="F507" i="1" s="1"/>
  <c r="B508" i="1" s="1"/>
  <c r="D508" i="1" s="1"/>
  <c r="E508" i="1" s="1"/>
  <c r="F508" i="1" s="1"/>
  <c r="B509" i="1" s="1"/>
  <c r="D509" i="1" s="1"/>
  <c r="E509" i="1" s="1"/>
  <c r="F509" i="1" s="1"/>
  <c r="B510" i="1" s="1"/>
  <c r="D510" i="1" s="1"/>
  <c r="E510" i="1" s="1"/>
  <c r="F510" i="1" s="1"/>
  <c r="B511" i="1" s="1"/>
  <c r="D511" i="1" s="1"/>
  <c r="E511" i="1" s="1"/>
  <c r="F511" i="1" s="1"/>
  <c r="B512" i="1" s="1"/>
  <c r="D512" i="1" s="1"/>
  <c r="E512" i="1" s="1"/>
  <c r="F512" i="1" s="1"/>
  <c r="B513" i="1" s="1"/>
  <c r="D513" i="1" s="1"/>
  <c r="E513" i="1" s="1"/>
  <c r="F513" i="1" s="1"/>
  <c r="B514" i="1" s="1"/>
  <c r="D514" i="1" s="1"/>
  <c r="E514" i="1" s="1"/>
  <c r="F514" i="1" s="1"/>
  <c r="B515" i="1" s="1"/>
  <c r="D515" i="1" s="1"/>
  <c r="E515" i="1" s="1"/>
  <c r="F515" i="1" s="1"/>
  <c r="B516" i="1" s="1"/>
  <c r="D516" i="1" s="1"/>
  <c r="E516" i="1" s="1"/>
  <c r="F516" i="1" s="1"/>
  <c r="B517" i="1" s="1"/>
  <c r="D517" i="1" s="1"/>
  <c r="E517" i="1" s="1"/>
  <c r="F517" i="1" s="1"/>
  <c r="B518" i="1" s="1"/>
  <c r="D518" i="1" s="1"/>
  <c r="E518" i="1" s="1"/>
  <c r="F518" i="1" s="1"/>
  <c r="B519" i="1" s="1"/>
  <c r="D519" i="1" s="1"/>
  <c r="E519" i="1" s="1"/>
  <c r="F519" i="1" s="1"/>
  <c r="B520" i="1" s="1"/>
  <c r="D520" i="1" s="1"/>
  <c r="E520" i="1" s="1"/>
  <c r="F520" i="1" s="1"/>
  <c r="B521" i="1" s="1"/>
  <c r="D521" i="1" s="1"/>
  <c r="E521" i="1" s="1"/>
  <c r="F521" i="1" s="1"/>
  <c r="B522" i="1" s="1"/>
  <c r="D522" i="1" s="1"/>
  <c r="E522" i="1" s="1"/>
  <c r="F522" i="1" s="1"/>
  <c r="B523" i="1" s="1"/>
  <c r="D523" i="1" s="1"/>
  <c r="E523" i="1" s="1"/>
  <c r="F523" i="1" s="1"/>
  <c r="B524" i="1" s="1"/>
  <c r="D524" i="1" s="1"/>
  <c r="E524" i="1" s="1"/>
  <c r="F524" i="1" s="1"/>
  <c r="B525" i="1" s="1"/>
  <c r="D525" i="1" s="1"/>
  <c r="E525" i="1" s="1"/>
  <c r="F525" i="1" s="1"/>
  <c r="B526" i="1" s="1"/>
  <c r="D526" i="1" s="1"/>
  <c r="E526" i="1" s="1"/>
  <c r="F526" i="1" s="1"/>
  <c r="B527" i="1" s="1"/>
  <c r="D527" i="1" s="1"/>
  <c r="E527" i="1" s="1"/>
  <c r="F527" i="1" s="1"/>
  <c r="B528" i="1" s="1"/>
  <c r="D528" i="1" s="1"/>
  <c r="E528" i="1" s="1"/>
  <c r="F528" i="1" s="1"/>
  <c r="B529" i="1" s="1"/>
  <c r="D529" i="1" s="1"/>
  <c r="E529" i="1" s="1"/>
  <c r="F529" i="1" s="1"/>
  <c r="B530" i="1" s="1"/>
  <c r="D530" i="1" s="1"/>
  <c r="E530" i="1" s="1"/>
  <c r="F530" i="1" s="1"/>
  <c r="B531" i="1" s="1"/>
  <c r="D531" i="1" s="1"/>
  <c r="E531" i="1" s="1"/>
  <c r="F531" i="1" s="1"/>
  <c r="B532" i="1" s="1"/>
  <c r="D532" i="1" s="1"/>
  <c r="E532" i="1" s="1"/>
  <c r="F532" i="1" s="1"/>
  <c r="B533" i="1" s="1"/>
  <c r="D533" i="1" s="1"/>
  <c r="E533" i="1" s="1"/>
  <c r="F533" i="1" s="1"/>
  <c r="B534" i="1" s="1"/>
  <c r="D534" i="1" s="1"/>
  <c r="E534" i="1" s="1"/>
  <c r="F534" i="1" s="1"/>
  <c r="B535" i="1" s="1"/>
  <c r="D535" i="1" s="1"/>
  <c r="E535" i="1" s="1"/>
  <c r="F535" i="1" s="1"/>
  <c r="B536" i="1" s="1"/>
  <c r="D536" i="1" s="1"/>
  <c r="E536" i="1" s="1"/>
  <c r="F536" i="1" s="1"/>
  <c r="B537" i="1" s="1"/>
  <c r="D537" i="1" s="1"/>
  <c r="E537" i="1" s="1"/>
  <c r="F537" i="1" s="1"/>
  <c r="B538" i="1" s="1"/>
  <c r="D538" i="1" s="1"/>
  <c r="E538" i="1" s="1"/>
  <c r="F538" i="1" s="1"/>
  <c r="B539" i="1" s="1"/>
  <c r="D539" i="1" s="1"/>
  <c r="E539" i="1" s="1"/>
  <c r="F539" i="1" s="1"/>
  <c r="B540" i="1" s="1"/>
  <c r="D540" i="1" s="1"/>
  <c r="E540" i="1" s="1"/>
  <c r="F540" i="1" s="1"/>
  <c r="B541" i="1" s="1"/>
  <c r="D541" i="1" s="1"/>
  <c r="E541" i="1" s="1"/>
  <c r="F541" i="1" s="1"/>
  <c r="B542" i="1" s="1"/>
  <c r="D542" i="1" s="1"/>
  <c r="E542" i="1" s="1"/>
  <c r="F542" i="1" s="1"/>
  <c r="B543" i="1" s="1"/>
  <c r="D543" i="1" s="1"/>
  <c r="E543" i="1" s="1"/>
  <c r="F543" i="1" s="1"/>
  <c r="B544" i="1" s="1"/>
  <c r="D544" i="1" s="1"/>
  <c r="E544" i="1" s="1"/>
  <c r="F544" i="1" s="1"/>
  <c r="B545" i="1" s="1"/>
  <c r="D545" i="1" s="1"/>
  <c r="E545" i="1" s="1"/>
  <c r="F545" i="1" s="1"/>
  <c r="B546" i="1" s="1"/>
  <c r="D546" i="1" s="1"/>
  <c r="E546" i="1" s="1"/>
  <c r="F546" i="1" s="1"/>
  <c r="B547" i="1" s="1"/>
  <c r="D547" i="1" s="1"/>
  <c r="E547" i="1" s="1"/>
  <c r="F547" i="1" s="1"/>
  <c r="B548" i="1" s="1"/>
  <c r="D548" i="1" s="1"/>
  <c r="E548" i="1" s="1"/>
  <c r="F548" i="1" s="1"/>
  <c r="B549" i="1" s="1"/>
  <c r="D549" i="1" s="1"/>
  <c r="E549" i="1" s="1"/>
  <c r="F549" i="1" s="1"/>
  <c r="B550" i="1" s="1"/>
  <c r="D550" i="1" s="1"/>
  <c r="E550" i="1" s="1"/>
  <c r="F550" i="1" s="1"/>
  <c r="B551" i="1" s="1"/>
  <c r="D551" i="1" s="1"/>
  <c r="E551" i="1" s="1"/>
  <c r="F551" i="1" s="1"/>
  <c r="B552" i="1" s="1"/>
  <c r="D552" i="1" s="1"/>
  <c r="E552" i="1" s="1"/>
  <c r="F552" i="1" s="1"/>
  <c r="B553" i="1" s="1"/>
  <c r="D553" i="1" s="1"/>
  <c r="E553" i="1" s="1"/>
  <c r="F553" i="1" s="1"/>
  <c r="B554" i="1" s="1"/>
  <c r="D554" i="1" s="1"/>
  <c r="E554" i="1" s="1"/>
  <c r="F554" i="1" s="1"/>
  <c r="B555" i="1" s="1"/>
  <c r="D555" i="1" s="1"/>
  <c r="E555" i="1" s="1"/>
  <c r="F555" i="1" s="1"/>
  <c r="B556" i="1" s="1"/>
  <c r="D556" i="1" s="1"/>
  <c r="E556" i="1" s="1"/>
  <c r="F556" i="1" s="1"/>
  <c r="B557" i="1" s="1"/>
  <c r="D557" i="1" s="1"/>
  <c r="E557" i="1" s="1"/>
  <c r="F557" i="1" s="1"/>
  <c r="B558" i="1" s="1"/>
  <c r="D558" i="1" s="1"/>
  <c r="E558" i="1" s="1"/>
  <c r="F558" i="1" s="1"/>
  <c r="B559" i="1" s="1"/>
  <c r="D559" i="1" s="1"/>
  <c r="E559" i="1" s="1"/>
  <c r="F559" i="1" s="1"/>
  <c r="B560" i="1" s="1"/>
  <c r="D560" i="1" s="1"/>
  <c r="E560" i="1" s="1"/>
  <c r="F560" i="1" s="1"/>
  <c r="B561" i="1" s="1"/>
  <c r="D561" i="1" s="1"/>
  <c r="E561" i="1" s="1"/>
  <c r="F561" i="1" s="1"/>
  <c r="B562" i="1" s="1"/>
  <c r="D562" i="1" s="1"/>
  <c r="E562" i="1" s="1"/>
  <c r="F562" i="1" s="1"/>
  <c r="B563" i="1" s="1"/>
  <c r="D563" i="1" s="1"/>
  <c r="E563" i="1" s="1"/>
  <c r="F563" i="1" s="1"/>
  <c r="B564" i="1" s="1"/>
  <c r="D564" i="1" s="1"/>
  <c r="E564" i="1" s="1"/>
  <c r="F564" i="1" s="1"/>
  <c r="B565" i="1" s="1"/>
  <c r="D565" i="1" s="1"/>
  <c r="E565" i="1" s="1"/>
  <c r="F565" i="1" s="1"/>
  <c r="B566" i="1" s="1"/>
  <c r="D566" i="1" s="1"/>
  <c r="E566" i="1" s="1"/>
  <c r="F566" i="1" s="1"/>
  <c r="B567" i="1" s="1"/>
  <c r="D567" i="1" s="1"/>
  <c r="E567" i="1" s="1"/>
  <c r="F567" i="1" s="1"/>
  <c r="B568" i="1" s="1"/>
  <c r="D568" i="1" s="1"/>
  <c r="E568" i="1" s="1"/>
  <c r="F568" i="1" s="1"/>
  <c r="B569" i="1" s="1"/>
  <c r="D569" i="1" s="1"/>
  <c r="E569" i="1" s="1"/>
  <c r="F569" i="1" s="1"/>
  <c r="B570" i="1" s="1"/>
  <c r="D570" i="1" s="1"/>
  <c r="E570" i="1" s="1"/>
  <c r="F570" i="1" s="1"/>
  <c r="B571" i="1" s="1"/>
  <c r="D571" i="1" s="1"/>
  <c r="E571" i="1" s="1"/>
  <c r="F571" i="1" s="1"/>
  <c r="B572" i="1" s="1"/>
  <c r="D572" i="1" s="1"/>
  <c r="E572" i="1" s="1"/>
  <c r="F572" i="1" s="1"/>
  <c r="B573" i="1" s="1"/>
  <c r="D573" i="1" s="1"/>
  <c r="E573" i="1" s="1"/>
  <c r="F573" i="1" s="1"/>
  <c r="B574" i="1" s="1"/>
  <c r="D574" i="1" s="1"/>
  <c r="E574" i="1" s="1"/>
  <c r="F574" i="1" s="1"/>
  <c r="B575" i="1" s="1"/>
  <c r="D575" i="1" s="1"/>
  <c r="E575" i="1" s="1"/>
  <c r="F575" i="1" s="1"/>
  <c r="B576" i="1" s="1"/>
  <c r="D576" i="1" s="1"/>
  <c r="E576" i="1" s="1"/>
  <c r="F576" i="1" s="1"/>
  <c r="B577" i="1" s="1"/>
  <c r="D577" i="1" s="1"/>
  <c r="E577" i="1" s="1"/>
  <c r="F577" i="1" s="1"/>
  <c r="B578" i="1" s="1"/>
  <c r="D578" i="1" s="1"/>
  <c r="E578" i="1" s="1"/>
  <c r="F578" i="1" s="1"/>
  <c r="B579" i="1" s="1"/>
  <c r="D579" i="1" s="1"/>
  <c r="E579" i="1" s="1"/>
  <c r="F579" i="1" s="1"/>
  <c r="B580" i="1" s="1"/>
  <c r="D580" i="1" s="1"/>
  <c r="E580" i="1" s="1"/>
  <c r="F580" i="1" s="1"/>
  <c r="B581" i="1" s="1"/>
  <c r="D581" i="1" s="1"/>
  <c r="E581" i="1" s="1"/>
  <c r="F581" i="1" s="1"/>
  <c r="B582" i="1" s="1"/>
  <c r="D582" i="1" s="1"/>
  <c r="E582" i="1" s="1"/>
  <c r="F582" i="1" s="1"/>
  <c r="B583" i="1" s="1"/>
  <c r="D583" i="1" s="1"/>
  <c r="E583" i="1" s="1"/>
  <c r="F583" i="1" s="1"/>
  <c r="B584" i="1" s="1"/>
  <c r="D584" i="1" s="1"/>
  <c r="E584" i="1" s="1"/>
  <c r="F584" i="1" s="1"/>
  <c r="B585" i="1" s="1"/>
  <c r="D585" i="1" s="1"/>
  <c r="E585" i="1" s="1"/>
  <c r="F585" i="1" s="1"/>
  <c r="B586" i="1" s="1"/>
  <c r="D586" i="1" s="1"/>
  <c r="E586" i="1" s="1"/>
  <c r="F586" i="1" s="1"/>
  <c r="B587" i="1" s="1"/>
  <c r="D587" i="1" s="1"/>
  <c r="E587" i="1" s="1"/>
  <c r="F587" i="1" s="1"/>
  <c r="B588" i="1" s="1"/>
  <c r="D588" i="1" s="1"/>
  <c r="E588" i="1" s="1"/>
  <c r="F588" i="1" s="1"/>
  <c r="B589" i="1" s="1"/>
  <c r="D589" i="1" s="1"/>
  <c r="E589" i="1" s="1"/>
  <c r="F589" i="1" s="1"/>
  <c r="B590" i="1" s="1"/>
  <c r="D590" i="1" s="1"/>
  <c r="E590" i="1" s="1"/>
  <c r="F590" i="1" s="1"/>
  <c r="B591" i="1" s="1"/>
  <c r="D591" i="1" s="1"/>
  <c r="E591" i="1" s="1"/>
  <c r="F591" i="1" s="1"/>
  <c r="B592" i="1" s="1"/>
  <c r="D592" i="1" s="1"/>
  <c r="E592" i="1" s="1"/>
  <c r="F592" i="1" s="1"/>
  <c r="B593" i="1" s="1"/>
  <c r="D593" i="1" s="1"/>
  <c r="E593" i="1" s="1"/>
  <c r="F593" i="1" s="1"/>
  <c r="B594" i="1" s="1"/>
  <c r="D594" i="1" s="1"/>
  <c r="E594" i="1" s="1"/>
  <c r="F594" i="1" s="1"/>
  <c r="B595" i="1" s="1"/>
  <c r="D595" i="1" s="1"/>
  <c r="E595" i="1" s="1"/>
  <c r="F595" i="1" s="1"/>
  <c r="B596" i="1" s="1"/>
  <c r="D596" i="1" s="1"/>
  <c r="E596" i="1" s="1"/>
  <c r="F596" i="1" s="1"/>
  <c r="B597" i="1" s="1"/>
  <c r="D597" i="1" s="1"/>
  <c r="E597" i="1" s="1"/>
  <c r="F597" i="1" s="1"/>
  <c r="B598" i="1" s="1"/>
  <c r="D598" i="1" s="1"/>
  <c r="E598" i="1" s="1"/>
  <c r="F598" i="1" s="1"/>
  <c r="B599" i="1" s="1"/>
  <c r="D599" i="1" s="1"/>
  <c r="E599" i="1" s="1"/>
  <c r="F599" i="1" s="1"/>
  <c r="B600" i="1" s="1"/>
  <c r="D600" i="1" l="1"/>
  <c r="E600" i="1" s="1"/>
  <c r="F600" i="1" s="1"/>
  <c r="B601" i="1" s="1"/>
  <c r="D601" i="1" s="1"/>
  <c r="E601" i="1" s="1"/>
  <c r="F601" i="1" s="1"/>
  <c r="B602" i="1" s="1"/>
  <c r="D602" i="1" l="1"/>
  <c r="E602" i="1"/>
  <c r="F602" i="1" s="1"/>
  <c r="B603" i="1" s="1"/>
  <c r="D603" i="1" l="1"/>
  <c r="E603" i="1"/>
  <c r="F603" i="1" s="1"/>
  <c r="B604" i="1" s="1"/>
  <c r="D604" i="1" l="1"/>
  <c r="E604" i="1"/>
  <c r="F604" i="1" s="1"/>
  <c r="B605" i="1" s="1"/>
  <c r="D605" i="1" l="1"/>
  <c r="E605" i="1" s="1"/>
  <c r="F605" i="1" s="1"/>
  <c r="B606" i="1" s="1"/>
  <c r="D606" i="1" l="1"/>
  <c r="E606" i="1" s="1"/>
  <c r="F606" i="1" s="1"/>
  <c r="B607" i="1" s="1"/>
  <c r="D607" i="1" l="1"/>
  <c r="E607" i="1" s="1"/>
  <c r="F607" i="1" s="1"/>
  <c r="B608" i="1" s="1"/>
  <c r="D608" i="1" l="1"/>
  <c r="E608" i="1" s="1"/>
  <c r="F608" i="1" s="1"/>
  <c r="B609" i="1" s="1"/>
  <c r="D609" i="1" l="1"/>
  <c r="E609" i="1" s="1"/>
  <c r="F609" i="1" s="1"/>
  <c r="B610" i="1" s="1"/>
  <c r="D610" i="1" l="1"/>
  <c r="E610" i="1" s="1"/>
  <c r="F610" i="1" s="1"/>
  <c r="B611" i="1" s="1"/>
  <c r="D611" i="1" l="1"/>
  <c r="E611" i="1" s="1"/>
  <c r="F611" i="1" s="1"/>
  <c r="B612" i="1" s="1"/>
  <c r="D612" i="1" l="1"/>
  <c r="E612" i="1"/>
  <c r="F612" i="1" s="1"/>
  <c r="B613" i="1" s="1"/>
  <c r="D613" i="1" s="1"/>
  <c r="E613" i="1" s="1"/>
  <c r="F613" i="1" s="1"/>
  <c r="B614" i="1" s="1"/>
  <c r="D614" i="1" l="1"/>
  <c r="E614" i="1"/>
  <c r="F614" i="1" s="1"/>
  <c r="B615" i="1" s="1"/>
  <c r="D615" i="1" l="1"/>
  <c r="E615" i="1" s="1"/>
  <c r="F615" i="1" s="1"/>
  <c r="B616" i="1" s="1"/>
  <c r="D616" i="1" l="1"/>
  <c r="E616" i="1" s="1"/>
  <c r="F616" i="1" s="1"/>
  <c r="B617" i="1" s="1"/>
  <c r="D617" i="1" l="1"/>
  <c r="E617" i="1"/>
  <c r="F617" i="1" s="1"/>
  <c r="B618" i="1" s="1"/>
  <c r="D618" i="1" l="1"/>
  <c r="E618" i="1" s="1"/>
  <c r="F618" i="1" s="1"/>
  <c r="B619" i="1" s="1"/>
  <c r="D619" i="1" l="1"/>
  <c r="E619" i="1" s="1"/>
  <c r="F619" i="1" s="1"/>
  <c r="B620" i="1" s="1"/>
  <c r="D620" i="1" l="1"/>
  <c r="E620" i="1" s="1"/>
  <c r="F620" i="1" s="1"/>
  <c r="B621" i="1" s="1"/>
  <c r="D621" i="1" l="1"/>
  <c r="E621" i="1" s="1"/>
  <c r="F621" i="1" s="1"/>
  <c r="B622" i="1" s="1"/>
  <c r="D622" i="1" l="1"/>
  <c r="E622" i="1" s="1"/>
  <c r="F622" i="1" s="1"/>
  <c r="B623" i="1" s="1"/>
  <c r="D623" i="1" s="1"/>
  <c r="E623" i="1" s="1"/>
  <c r="F623" i="1" s="1"/>
  <c r="B624" i="1" s="1"/>
  <c r="D624" i="1" l="1"/>
  <c r="E624" i="1" s="1"/>
  <c r="F624" i="1" s="1"/>
  <c r="B625" i="1" s="1"/>
  <c r="D625" i="1" l="1"/>
  <c r="E625" i="1"/>
  <c r="F625" i="1" s="1"/>
  <c r="B626" i="1" s="1"/>
  <c r="D626" i="1" l="1"/>
  <c r="E626" i="1" s="1"/>
  <c r="F626" i="1" s="1"/>
  <c r="B627" i="1" s="1"/>
  <c r="D627" i="1" l="1"/>
  <c r="E627" i="1" s="1"/>
  <c r="F627" i="1" s="1"/>
  <c r="B628" i="1" s="1"/>
  <c r="D628" i="1" l="1"/>
  <c r="E628" i="1"/>
  <c r="F628" i="1" s="1"/>
  <c r="B629" i="1" s="1"/>
  <c r="D629" i="1" l="1"/>
  <c r="E629" i="1" s="1"/>
  <c r="F629" i="1" s="1"/>
  <c r="B630" i="1" s="1"/>
  <c r="D630" i="1" s="1"/>
  <c r="E630" i="1" s="1"/>
  <c r="F630" i="1" s="1"/>
  <c r="B631" i="1" s="1"/>
  <c r="D631" i="1" s="1"/>
  <c r="E631" i="1" s="1"/>
  <c r="F631" i="1" s="1"/>
  <c r="B632" i="1" s="1"/>
  <c r="D632" i="1" s="1"/>
  <c r="E632" i="1" s="1"/>
  <c r="F632" i="1" s="1"/>
  <c r="B633" i="1" s="1"/>
  <c r="D633" i="1" s="1"/>
  <c r="E633" i="1" s="1"/>
  <c r="F633" i="1" s="1"/>
  <c r="B634" i="1" s="1"/>
  <c r="D634" i="1" s="1"/>
  <c r="E634" i="1" s="1"/>
  <c r="F634" i="1" s="1"/>
  <c r="B635" i="1" s="1"/>
  <c r="D635" i="1" s="1"/>
  <c r="E635" i="1" s="1"/>
  <c r="F635" i="1" s="1"/>
  <c r="B636" i="1" s="1"/>
  <c r="D636" i="1" s="1"/>
  <c r="E636" i="1" s="1"/>
  <c r="F636" i="1" s="1"/>
  <c r="B637" i="1" s="1"/>
  <c r="D637" i="1" s="1"/>
  <c r="E637" i="1" s="1"/>
  <c r="F637" i="1" s="1"/>
  <c r="B638" i="1" s="1"/>
  <c r="D638" i="1" s="1"/>
  <c r="E638" i="1" s="1"/>
  <c r="F638" i="1" s="1"/>
  <c r="B639" i="1" s="1"/>
  <c r="D639" i="1" s="1"/>
  <c r="E639" i="1" s="1"/>
  <c r="F639" i="1" s="1"/>
  <c r="B640" i="1" s="1"/>
  <c r="D640" i="1" s="1"/>
  <c r="E640" i="1" s="1"/>
  <c r="F640" i="1" s="1"/>
  <c r="B641" i="1" s="1"/>
  <c r="D641" i="1" s="1"/>
  <c r="E641" i="1" s="1"/>
  <c r="F641" i="1" s="1"/>
  <c r="B642" i="1" s="1"/>
  <c r="D642" i="1" s="1"/>
  <c r="E642" i="1" s="1"/>
  <c r="F642" i="1" s="1"/>
  <c r="B643" i="1" s="1"/>
  <c r="D643" i="1" s="1"/>
  <c r="E643" i="1" s="1"/>
  <c r="F643" i="1" s="1"/>
  <c r="B644" i="1" s="1"/>
  <c r="D644" i="1" s="1"/>
  <c r="E644" i="1" s="1"/>
  <c r="F644" i="1" s="1"/>
  <c r="B645" i="1" s="1"/>
  <c r="D645" i="1" s="1"/>
  <c r="E645" i="1" s="1"/>
  <c r="F645" i="1" s="1"/>
  <c r="B646" i="1" s="1"/>
  <c r="D646" i="1" s="1"/>
  <c r="E646" i="1" s="1"/>
  <c r="F646" i="1" s="1"/>
  <c r="B647" i="1" s="1"/>
  <c r="D647" i="1" s="1"/>
  <c r="E647" i="1" s="1"/>
  <c r="F647" i="1" s="1"/>
  <c r="B648" i="1" s="1"/>
  <c r="D648" i="1" s="1"/>
  <c r="E648" i="1" s="1"/>
  <c r="F648" i="1" s="1"/>
  <c r="B649" i="1" s="1"/>
  <c r="D649" i="1" s="1"/>
  <c r="E649" i="1" s="1"/>
  <c r="F649" i="1" s="1"/>
  <c r="B650" i="1" s="1"/>
  <c r="D650" i="1" s="1"/>
  <c r="E650" i="1" s="1"/>
  <c r="F650" i="1" s="1"/>
  <c r="B651" i="1" s="1"/>
  <c r="D651" i="1" s="1"/>
  <c r="E651" i="1" s="1"/>
  <c r="F651" i="1" s="1"/>
  <c r="B652" i="1" s="1"/>
  <c r="D652" i="1" s="1"/>
  <c r="E652" i="1" s="1"/>
  <c r="F652" i="1" s="1"/>
  <c r="B653" i="1" s="1"/>
  <c r="D653" i="1" s="1"/>
  <c r="E653" i="1" s="1"/>
  <c r="F653" i="1" s="1"/>
  <c r="B654" i="1" s="1"/>
  <c r="D654" i="1" s="1"/>
  <c r="E654" i="1" s="1"/>
  <c r="F654" i="1" s="1"/>
  <c r="B655" i="1" s="1"/>
  <c r="D655" i="1" s="1"/>
  <c r="E655" i="1" s="1"/>
  <c r="F655" i="1" s="1"/>
  <c r="B656" i="1" s="1"/>
  <c r="D656" i="1" s="1"/>
  <c r="E656" i="1" s="1"/>
  <c r="F656" i="1" s="1"/>
  <c r="B657" i="1" s="1"/>
  <c r="D657" i="1" s="1"/>
  <c r="E657" i="1" s="1"/>
  <c r="F657" i="1" s="1"/>
  <c r="B658" i="1" s="1"/>
  <c r="D658" i="1" s="1"/>
  <c r="E658" i="1" s="1"/>
  <c r="F658" i="1" s="1"/>
  <c r="B659" i="1" s="1"/>
  <c r="D659" i="1" s="1"/>
  <c r="E659" i="1" s="1"/>
  <c r="F659" i="1" s="1"/>
  <c r="B660" i="1" s="1"/>
  <c r="D660" i="1" s="1"/>
  <c r="E660" i="1" s="1"/>
  <c r="F660" i="1" s="1"/>
  <c r="B661" i="1" s="1"/>
  <c r="D661" i="1" s="1"/>
  <c r="E661" i="1" s="1"/>
  <c r="F661" i="1" s="1"/>
  <c r="B662" i="1" s="1"/>
  <c r="D662" i="1" l="1"/>
  <c r="E662" i="1" s="1"/>
  <c r="F662" i="1" s="1"/>
  <c r="B663" i="1" s="1"/>
  <c r="D663" i="1" s="1"/>
  <c r="E663" i="1" s="1"/>
  <c r="F663" i="1" s="1"/>
  <c r="B664" i="1" s="1"/>
  <c r="D664" i="1" s="1"/>
  <c r="E664" i="1" s="1"/>
  <c r="F664" i="1" s="1"/>
  <c r="B665" i="1" s="1"/>
  <c r="D665" i="1" s="1"/>
  <c r="E665" i="1" s="1"/>
  <c r="F665" i="1" s="1"/>
  <c r="B666" i="1" s="1"/>
  <c r="D666" i="1" s="1"/>
  <c r="E666" i="1" s="1"/>
  <c r="F666" i="1" s="1"/>
  <c r="B667" i="1" s="1"/>
  <c r="D667" i="1" s="1"/>
  <c r="E667" i="1" s="1"/>
  <c r="F667" i="1" s="1"/>
  <c r="B668" i="1" s="1"/>
  <c r="D668" i="1" s="1"/>
  <c r="E668" i="1" s="1"/>
  <c r="F668" i="1" s="1"/>
  <c r="B669" i="1" s="1"/>
  <c r="D669" i="1" s="1"/>
  <c r="E669" i="1" s="1"/>
  <c r="F669" i="1" s="1"/>
  <c r="B670" i="1" s="1"/>
  <c r="D670" i="1" s="1"/>
  <c r="E670" i="1" s="1"/>
  <c r="F670" i="1" s="1"/>
  <c r="B671" i="1" s="1"/>
  <c r="D671" i="1" s="1"/>
  <c r="E671" i="1" s="1"/>
  <c r="F671" i="1" s="1"/>
  <c r="B672" i="1" s="1"/>
  <c r="D672" i="1" s="1"/>
  <c r="E672" i="1" s="1"/>
  <c r="F672" i="1" s="1"/>
  <c r="B673" i="1" s="1"/>
  <c r="D673" i="1" s="1"/>
  <c r="E673" i="1" s="1"/>
  <c r="F673" i="1" s="1"/>
  <c r="B674" i="1" s="1"/>
  <c r="D674" i="1" s="1"/>
  <c r="E674" i="1" s="1"/>
  <c r="F674" i="1" s="1"/>
  <c r="B675" i="1" s="1"/>
  <c r="D675" i="1" s="1"/>
  <c r="E675" i="1" s="1"/>
  <c r="F675" i="1" s="1"/>
  <c r="B676" i="1" s="1"/>
  <c r="D676" i="1" s="1"/>
  <c r="E676" i="1" s="1"/>
  <c r="F676" i="1" s="1"/>
  <c r="B677" i="1" s="1"/>
  <c r="D677" i="1" s="1"/>
  <c r="E677" i="1" s="1"/>
  <c r="F677" i="1" s="1"/>
  <c r="B678" i="1" s="1"/>
  <c r="D678" i="1" s="1"/>
  <c r="E678" i="1" s="1"/>
  <c r="F678" i="1" s="1"/>
  <c r="B679" i="1" s="1"/>
  <c r="D679" i="1" s="1"/>
  <c r="E679" i="1" s="1"/>
  <c r="F679" i="1" s="1"/>
  <c r="B680" i="1" s="1"/>
  <c r="D680" i="1" s="1"/>
  <c r="E680" i="1" s="1"/>
  <c r="F680" i="1" s="1"/>
  <c r="B681" i="1" s="1"/>
  <c r="D681" i="1" s="1"/>
  <c r="E681" i="1" s="1"/>
  <c r="F681" i="1" s="1"/>
  <c r="B682" i="1" s="1"/>
  <c r="D682" i="1" s="1"/>
  <c r="E682" i="1" s="1"/>
  <c r="F682" i="1" s="1"/>
  <c r="B683" i="1" s="1"/>
  <c r="D683" i="1" s="1"/>
  <c r="E683" i="1" s="1"/>
  <c r="F683" i="1" s="1"/>
  <c r="B684" i="1" s="1"/>
  <c r="D684" i="1" s="1"/>
  <c r="E684" i="1" s="1"/>
  <c r="F684" i="1" s="1"/>
  <c r="B685" i="1" s="1"/>
  <c r="D685" i="1" s="1"/>
  <c r="E685" i="1" s="1"/>
  <c r="F685" i="1" s="1"/>
  <c r="B686" i="1" s="1"/>
  <c r="D686" i="1" s="1"/>
  <c r="E686" i="1" s="1"/>
  <c r="F686" i="1" s="1"/>
  <c r="B687" i="1" s="1"/>
  <c r="D687" i="1" s="1"/>
  <c r="E687" i="1" s="1"/>
  <c r="F687" i="1" s="1"/>
  <c r="B688" i="1" s="1"/>
  <c r="D688" i="1" s="1"/>
  <c r="E688" i="1" s="1"/>
  <c r="F688" i="1" s="1"/>
  <c r="B689" i="1" s="1"/>
  <c r="D689" i="1" s="1"/>
  <c r="E689" i="1" s="1"/>
  <c r="F689" i="1" s="1"/>
  <c r="B690" i="1" s="1"/>
  <c r="D690" i="1" s="1"/>
  <c r="E690" i="1" s="1"/>
  <c r="F690" i="1" s="1"/>
  <c r="B691" i="1" s="1"/>
  <c r="D691" i="1" s="1"/>
  <c r="E691" i="1" s="1"/>
  <c r="F691" i="1" s="1"/>
  <c r="B692" i="1" s="1"/>
  <c r="D692" i="1" s="1"/>
  <c r="E692" i="1" l="1"/>
  <c r="F692" i="1" s="1"/>
  <c r="D693" i="1"/>
  <c r="E693" i="1" s="1"/>
</calcChain>
</file>

<file path=xl/sharedStrings.xml><?xml version="1.0" encoding="utf-8"?>
<sst xmlns="http://schemas.openxmlformats.org/spreadsheetml/2006/main" count="150" uniqueCount="40">
  <si>
    <t>NPV</t>
  </si>
  <si>
    <t>mes.kam</t>
  </si>
  <si>
    <t>Rata</t>
  </si>
  <si>
    <t>Uplata</t>
  </si>
  <si>
    <t>Kamata</t>
  </si>
  <si>
    <t>Kmata %</t>
  </si>
  <si>
    <t>Time</t>
  </si>
  <si>
    <t>1.600/m2</t>
  </si>
  <si>
    <t>ukupan dug eur</t>
  </si>
  <si>
    <t>kamata</t>
  </si>
  <si>
    <t>kam/m u eur</t>
  </si>
  <si>
    <t>dug + kamata</t>
  </si>
  <si>
    <t>otplata/g</t>
  </si>
  <si>
    <t>neto dug</t>
  </si>
  <si>
    <t>mesecna otplata</t>
  </si>
  <si>
    <t>mes</t>
  </si>
  <si>
    <t>336 mes</t>
  </si>
  <si>
    <t>28 god</t>
  </si>
  <si>
    <t>Disc/rate</t>
  </si>
  <si>
    <t>m.kam.rate</t>
  </si>
  <si>
    <t>ukupno upl.</t>
  </si>
  <si>
    <t>m/y</t>
  </si>
  <si>
    <t>god</t>
  </si>
  <si>
    <t>EUR</t>
  </si>
  <si>
    <t>Meseci/Godina</t>
  </si>
  <si>
    <t>1.800/m2</t>
  </si>
  <si>
    <t>Kamata EUR</t>
  </si>
  <si>
    <t>Ukupna Uplata EUR</t>
  </si>
  <si>
    <t>Meseci</t>
  </si>
  <si>
    <t>Godina</t>
  </si>
  <si>
    <t>Method 1</t>
  </si>
  <si>
    <t>Method 2</t>
  </si>
  <si>
    <t>Method 3</t>
  </si>
  <si>
    <t>(1 - (1 + 0.0025)</t>
  </si>
  <si>
    <t xml:space="preserve"> </t>
  </si>
  <si>
    <t>EUR/m2</t>
  </si>
  <si>
    <t>Stan/m2</t>
  </si>
  <si>
    <t>337 mes</t>
  </si>
  <si>
    <t>ctrl</t>
  </si>
  <si>
    <t>Rata/EUR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</si>
</sst>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B0F0"/>
      <name val="Arial Black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7">
    <xf numFmtId="0" fontId="0" fillId="0" borderId="0" xfId="0"/>
    <xf numFmtId="0" fontId="0" fillId="2" borderId="0" xfId="0" applyFill="1"/>
    <xf numFmtId="0" fontId="4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43" fontId="4" fillId="3" borderId="1" xfId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43" fontId="0" fillId="3" borderId="1" xfId="1" applyFont="1" applyFill="1" applyBorder="1" applyAlignment="1">
      <alignment horizontal="center"/>
    </xf>
    <xf numFmtId="43" fontId="0" fillId="3" borderId="1" xfId="0" applyNumberFormat="1" applyFill="1" applyBorder="1" applyAlignment="1">
      <alignment horizontal="center"/>
    </xf>
    <xf numFmtId="9" fontId="0" fillId="3" borderId="3" xfId="2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43" fontId="0" fillId="0" borderId="0" xfId="1" applyFont="1"/>
    <xf numFmtId="0" fontId="0" fillId="0" borderId="0" xfId="0" applyAlignment="1">
      <alignment horizontal="center"/>
    </xf>
    <xf numFmtId="43" fontId="2" fillId="5" borderId="1" xfId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43" fontId="5" fillId="5" borderId="1" xfId="1" applyFont="1" applyFill="1" applyBorder="1" applyAlignment="1">
      <alignment horizontal="center"/>
    </xf>
    <xf numFmtId="43" fontId="5" fillId="5" borderId="1" xfId="0" applyNumberFormat="1" applyFont="1" applyFill="1" applyBorder="1" applyAlignment="1">
      <alignment horizontal="center"/>
    </xf>
    <xf numFmtId="9" fontId="5" fillId="5" borderId="1" xfId="2" applyFont="1" applyFill="1" applyBorder="1" applyAlignment="1">
      <alignment horizontal="center"/>
    </xf>
    <xf numFmtId="43" fontId="0" fillId="5" borderId="3" xfId="0" applyNumberFormat="1" applyFill="1" applyBorder="1" applyAlignment="1">
      <alignment horizontal="center"/>
    </xf>
    <xf numFmtId="43" fontId="0" fillId="0" borderId="2" xfId="1" applyFont="1" applyBorder="1" applyAlignment="1">
      <alignment horizontal="center"/>
    </xf>
    <xf numFmtId="164" fontId="0" fillId="0" borderId="2" xfId="2" applyNumberFormat="1" applyFont="1" applyBorder="1" applyAlignment="1">
      <alignment horizontal="center"/>
    </xf>
    <xf numFmtId="43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43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43" fontId="0" fillId="0" borderId="0" xfId="0" applyNumberFormat="1"/>
    <xf numFmtId="43" fontId="0" fillId="7" borderId="2" xfId="0" applyNumberFormat="1" applyFill="1" applyBorder="1" applyAlignment="1">
      <alignment horizontal="center"/>
    </xf>
    <xf numFmtId="164" fontId="0" fillId="7" borderId="2" xfId="2" applyNumberFormat="1" applyFont="1" applyFill="1" applyBorder="1" applyAlignment="1">
      <alignment horizontal="center"/>
    </xf>
    <xf numFmtId="43" fontId="0" fillId="7" borderId="2" xfId="1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43" fontId="3" fillId="0" borderId="2" xfId="1" applyFont="1" applyBorder="1" applyAlignment="1">
      <alignment horizontal="center"/>
    </xf>
    <xf numFmtId="43" fontId="0" fillId="7" borderId="0" xfId="0" applyNumberFormat="1" applyFill="1" applyBorder="1" applyAlignment="1">
      <alignment horizontal="center"/>
    </xf>
    <xf numFmtId="164" fontId="0" fillId="7" borderId="0" xfId="2" applyNumberFormat="1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43" fontId="0" fillId="0" borderId="0" xfId="0" applyNumberFormat="1" applyBorder="1" applyAlignment="1">
      <alignment horizontal="center"/>
    </xf>
    <xf numFmtId="164" fontId="0" fillId="0" borderId="0" xfId="2" applyNumberFormat="1" applyFont="1" applyBorder="1" applyAlignment="1">
      <alignment horizontal="center"/>
    </xf>
    <xf numFmtId="43" fontId="0" fillId="0" borderId="0" xfId="1" applyFont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0" borderId="0" xfId="2" applyFont="1" applyBorder="1" applyAlignment="1">
      <alignment horizontal="center"/>
    </xf>
    <xf numFmtId="0" fontId="0" fillId="0" borderId="0" xfId="0" applyBorder="1"/>
    <xf numFmtId="43" fontId="6" fillId="8" borderId="0" xfId="1" applyFont="1" applyFill="1"/>
    <xf numFmtId="43" fontId="0" fillId="0" borderId="4" xfId="0" applyNumberFormat="1" applyBorder="1" applyAlignment="1">
      <alignment horizontal="center"/>
    </xf>
    <xf numFmtId="164" fontId="0" fillId="0" borderId="4" xfId="2" applyNumberFormat="1" applyFont="1" applyBorder="1" applyAlignment="1">
      <alignment horizontal="center"/>
    </xf>
    <xf numFmtId="43" fontId="0" fillId="0" borderId="4" xfId="1" applyFon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6" borderId="2" xfId="2" applyNumberFormat="1" applyFont="1" applyFill="1" applyBorder="1" applyAlignment="1">
      <alignment horizontal="center"/>
    </xf>
    <xf numFmtId="43" fontId="0" fillId="6" borderId="2" xfId="1" applyFont="1" applyFill="1" applyBorder="1" applyAlignment="1">
      <alignment horizontal="center"/>
    </xf>
    <xf numFmtId="43" fontId="0" fillId="6" borderId="0" xfId="0" applyNumberFormat="1" applyFill="1" applyBorder="1" applyAlignment="1">
      <alignment horizontal="center"/>
    </xf>
    <xf numFmtId="164" fontId="0" fillId="6" borderId="0" xfId="2" applyNumberFormat="1" applyFont="1" applyFill="1" applyBorder="1" applyAlignment="1">
      <alignment horizontal="center"/>
    </xf>
    <xf numFmtId="43" fontId="0" fillId="6" borderId="0" xfId="1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43" fontId="6" fillId="6" borderId="0" xfId="1" applyFont="1" applyFill="1"/>
    <xf numFmtId="43" fontId="0" fillId="8" borderId="0" xfId="0" applyNumberFormat="1" applyFill="1"/>
    <xf numFmtId="0" fontId="4" fillId="0" borderId="0" xfId="0" applyFon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/>
    <xf numFmtId="0" fontId="0" fillId="10" borderId="0" xfId="0" applyFill="1"/>
    <xf numFmtId="0" fontId="0" fillId="11" borderId="0" xfId="0" applyFill="1"/>
    <xf numFmtId="43" fontId="4" fillId="0" borderId="1" xfId="1" applyFont="1" applyBorder="1"/>
    <xf numFmtId="0" fontId="0" fillId="12" borderId="1" xfId="0" applyFill="1" applyBorder="1" applyAlignment="1">
      <alignment horizontal="right"/>
    </xf>
    <xf numFmtId="43" fontId="0" fillId="12" borderId="1" xfId="1" applyFont="1" applyFill="1" applyBorder="1"/>
    <xf numFmtId="43" fontId="0" fillId="10" borderId="1" xfId="1" applyFont="1" applyFill="1" applyBorder="1"/>
    <xf numFmtId="43" fontId="0" fillId="11" borderId="1" xfId="0" applyNumberFormat="1" applyFill="1" applyBorder="1"/>
    <xf numFmtId="9" fontId="0" fillId="0" borderId="2" xfId="2" applyFont="1" applyBorder="1" applyAlignment="1">
      <alignment horizontal="center"/>
    </xf>
    <xf numFmtId="43" fontId="0" fillId="13" borderId="2" xfId="0" applyNumberFormat="1" applyFill="1" applyBorder="1" applyAlignment="1">
      <alignment horizontal="center"/>
    </xf>
    <xf numFmtId="9" fontId="0" fillId="13" borderId="2" xfId="2" applyFont="1" applyFill="1" applyBorder="1" applyAlignment="1">
      <alignment horizontal="center"/>
    </xf>
    <xf numFmtId="43" fontId="0" fillId="13" borderId="2" xfId="1" applyFont="1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43" fontId="0" fillId="14" borderId="2" xfId="1" applyFont="1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43" fontId="0" fillId="15" borderId="2" xfId="1" applyFont="1" applyFill="1" applyBorder="1" applyAlignment="1">
      <alignment horizontal="center"/>
    </xf>
    <xf numFmtId="0" fontId="7" fillId="16" borderId="0" xfId="0" applyFont="1" applyFill="1" applyAlignment="1">
      <alignment horizontal="center" vertical="center"/>
    </xf>
    <xf numFmtId="0" fontId="7" fillId="16" borderId="0" xfId="0" applyFont="1" applyFill="1"/>
    <xf numFmtId="0" fontId="7" fillId="16" borderId="0" xfId="0" applyFont="1" applyFill="1" applyAlignment="1">
      <alignment horizontal="center"/>
    </xf>
    <xf numFmtId="0" fontId="8" fillId="17" borderId="0" xfId="0" applyFont="1" applyFill="1" applyAlignment="1">
      <alignment horizontal="center" vertical="center"/>
    </xf>
    <xf numFmtId="0" fontId="8" fillId="17" borderId="0" xfId="0" applyFont="1" applyFill="1"/>
    <xf numFmtId="0" fontId="8" fillId="17" borderId="0" xfId="0" applyFont="1" applyFill="1" applyAlignment="1">
      <alignment horizontal="center"/>
    </xf>
    <xf numFmtId="43" fontId="7" fillId="16" borderId="0" xfId="1" applyFont="1" applyFill="1"/>
    <xf numFmtId="9" fontId="8" fillId="17" borderId="0" xfId="2" applyFont="1" applyFill="1"/>
    <xf numFmtId="1" fontId="7" fillId="16" borderId="0" xfId="0" applyNumberFormat="1" applyFont="1" applyFill="1" applyAlignment="1">
      <alignment horizontal="center"/>
    </xf>
    <xf numFmtId="2" fontId="0" fillId="0" borderId="0" xfId="0" applyNumberFormat="1"/>
    <xf numFmtId="9" fontId="0" fillId="0" borderId="0" xfId="2" applyFont="1"/>
    <xf numFmtId="43" fontId="0" fillId="6" borderId="4" xfId="0" applyNumberFormat="1" applyFill="1" applyBorder="1" applyAlignment="1">
      <alignment horizontal="center"/>
    </xf>
    <xf numFmtId="43" fontId="0" fillId="6" borderId="4" xfId="1" applyFon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43" fontId="0" fillId="3" borderId="2" xfId="1" applyFont="1" applyFill="1" applyBorder="1" applyAlignment="1">
      <alignment horizontal="center"/>
    </xf>
    <xf numFmtId="0" fontId="9" fillId="0" borderId="0" xfId="0" applyFont="1"/>
    <xf numFmtId="0" fontId="0" fillId="3" borderId="2" xfId="0" applyFill="1" applyBorder="1" applyAlignment="1">
      <alignment horizontal="center"/>
    </xf>
    <xf numFmtId="43" fontId="3" fillId="3" borderId="2" xfId="1" applyFont="1" applyFill="1" applyBorder="1" applyAlignment="1">
      <alignment horizontal="center"/>
    </xf>
    <xf numFmtId="0" fontId="10" fillId="17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0" xfId="0" applyFont="1" applyFill="1"/>
    <xf numFmtId="1" fontId="7" fillId="6" borderId="0" xfId="0" applyNumberFormat="1" applyFont="1" applyFill="1" applyAlignment="1">
      <alignment horizontal="center"/>
    </xf>
    <xf numFmtId="0" fontId="0" fillId="6" borderId="0" xfId="0" applyFill="1"/>
    <xf numFmtId="43" fontId="8" fillId="6" borderId="0" xfId="0" applyNumberFormat="1" applyFont="1" applyFill="1"/>
    <xf numFmtId="0" fontId="8" fillId="6" borderId="0" xfId="0" applyFont="1" applyFill="1"/>
    <xf numFmtId="10" fontId="8" fillId="6" borderId="0" xfId="2" applyNumberFormat="1" applyFont="1" applyFill="1"/>
    <xf numFmtId="43" fontId="0" fillId="6" borderId="0" xfId="1" applyFont="1" applyFill="1"/>
    <xf numFmtId="43" fontId="0" fillId="6" borderId="0" xfId="0" applyNumberFormat="1" applyFill="1"/>
    <xf numFmtId="43" fontId="8" fillId="17" borderId="0" xfId="1" applyFont="1" applyFill="1" applyAlignment="1">
      <alignment horizontal="center"/>
    </xf>
    <xf numFmtId="43" fontId="8" fillId="17" borderId="0" xfId="1" applyFont="1" applyFill="1" applyAlignment="1">
      <alignment horizontal="center" vertical="center"/>
    </xf>
    <xf numFmtId="43" fontId="7" fillId="16" borderId="0" xfId="1" applyFont="1" applyFill="1" applyAlignment="1">
      <alignment horizontal="center"/>
    </xf>
    <xf numFmtId="1" fontId="8" fillId="17" borderId="0" xfId="0" applyNumberFormat="1" applyFont="1" applyFill="1" applyAlignment="1">
      <alignment horizontal="center"/>
    </xf>
    <xf numFmtId="165" fontId="8" fillId="17" borderId="0" xfId="0" applyNumberFormat="1" applyFont="1" applyFill="1" applyAlignment="1">
      <alignment horizontal="center" vertical="center"/>
    </xf>
    <xf numFmtId="9" fontId="8" fillId="17" borderId="0" xfId="2" applyFont="1" applyFill="1" applyAlignment="1">
      <alignment horizontal="center"/>
    </xf>
    <xf numFmtId="43" fontId="11" fillId="0" borderId="0" xfId="1" applyFont="1" applyAlignment="1">
      <alignment horizontal="center"/>
    </xf>
    <xf numFmtId="0" fontId="7" fillId="6" borderId="0" xfId="0" applyFont="1" applyFill="1" applyAlignment="1">
      <alignment horizontal="center" vertical="center"/>
    </xf>
    <xf numFmtId="43" fontId="8" fillId="6" borderId="0" xfId="1" applyFont="1" applyFill="1" applyAlignment="1">
      <alignment horizontal="center" vertical="center"/>
    </xf>
    <xf numFmtId="2" fontId="8" fillId="17" borderId="0" xfId="0" applyNumberFormat="1" applyFont="1" applyFill="1" applyAlignment="1">
      <alignment horizontal="center"/>
    </xf>
    <xf numFmtId="43" fontId="8" fillId="17" borderId="0" xfId="2" applyNumberFormat="1" applyFont="1" applyFill="1" applyAlignment="1">
      <alignment horizontal="center"/>
    </xf>
    <xf numFmtId="43" fontId="0" fillId="18" borderId="0" xfId="0" applyNumberFormat="1" applyFill="1"/>
    <xf numFmtId="0" fontId="0" fillId="18" borderId="0" xfId="0" applyFill="1"/>
    <xf numFmtId="43" fontId="0" fillId="18" borderId="0" xfId="1" applyFont="1" applyFill="1"/>
    <xf numFmtId="0" fontId="0" fillId="18" borderId="0" xfId="0" applyFill="1" applyAlignment="1">
      <alignment horizontal="center"/>
    </xf>
    <xf numFmtId="164" fontId="0" fillId="6" borderId="4" xfId="2" applyNumberFormat="1" applyFont="1" applyFill="1" applyBorder="1" applyAlignment="1">
      <alignment horizontal="center"/>
    </xf>
    <xf numFmtId="43" fontId="0" fillId="19" borderId="5" xfId="0" applyNumberFormat="1" applyFill="1" applyBorder="1" applyAlignment="1">
      <alignment horizontal="center"/>
    </xf>
    <xf numFmtId="164" fontId="0" fillId="19" borderId="5" xfId="2" applyNumberFormat="1" applyFont="1" applyFill="1" applyBorder="1" applyAlignment="1">
      <alignment horizontal="center"/>
    </xf>
    <xf numFmtId="43" fontId="0" fillId="19" borderId="5" xfId="1" applyFont="1" applyFill="1" applyBorder="1" applyAlignment="1">
      <alignment horizontal="center"/>
    </xf>
    <xf numFmtId="43" fontId="0" fillId="19" borderId="0" xfId="0" applyNumberFormat="1" applyFill="1" applyBorder="1" applyAlignment="1">
      <alignment horizontal="center"/>
    </xf>
    <xf numFmtId="164" fontId="0" fillId="19" borderId="0" xfId="2" applyNumberFormat="1" applyFont="1" applyFill="1" applyBorder="1" applyAlignment="1">
      <alignment horizontal="center"/>
    </xf>
    <xf numFmtId="43" fontId="0" fillId="19" borderId="0" xfId="1" applyFont="1" applyFill="1" applyBorder="1" applyAlignment="1">
      <alignment horizontal="center"/>
    </xf>
    <xf numFmtId="0" fontId="0" fillId="19" borderId="0" xfId="0" applyFill="1" applyBorder="1" applyAlignment="1">
      <alignment horizontal="center"/>
    </xf>
    <xf numFmtId="43" fontId="8" fillId="17" borderId="0" xfId="1" applyFont="1" applyFill="1"/>
    <xf numFmtId="43" fontId="0" fillId="14" borderId="2" xfId="0" applyNumberFormat="1" applyFill="1" applyBorder="1" applyAlignment="1">
      <alignment horizontal="center"/>
    </xf>
    <xf numFmtId="164" fontId="0" fillId="14" borderId="2" xfId="2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0223862642169732"/>
          <c:y val="6.9707877424412854E-2"/>
          <c:w val="0.77134035710324944"/>
          <c:h val="0.84348842758291576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'Kam 3% 90hAndrija'!$G$5:$G$340</c:f>
              <c:numCache>
                <c:formatCode>_(* #,##0.00_);_(* \(#,##0.00\);_(* "-"??_);_(@_)</c:formatCode>
                <c:ptCount val="336"/>
                <c:pt idx="0">
                  <c:v>90576.875</c:v>
                </c:pt>
                <c:pt idx="1">
                  <c:v>90403.317187499997</c:v>
                </c:pt>
                <c:pt idx="2">
                  <c:v>90229.325480468746</c:v>
                </c:pt>
                <c:pt idx="3">
                  <c:v>90054.898794169916</c:v>
                </c:pt>
                <c:pt idx="4">
                  <c:v>89880.036041155341</c:v>
                </c:pt>
                <c:pt idx="5">
                  <c:v>89704.736131258236</c:v>
                </c:pt>
                <c:pt idx="6">
                  <c:v>89528.997971586388</c:v>
                </c:pt>
                <c:pt idx="7">
                  <c:v>89352.820466515361</c:v>
                </c:pt>
                <c:pt idx="8">
                  <c:v>89176.202517681653</c:v>
                </c:pt>
                <c:pt idx="9">
                  <c:v>88999.143023975863</c:v>
                </c:pt>
                <c:pt idx="10">
                  <c:v>88821.640881535801</c:v>
                </c:pt>
                <c:pt idx="11">
                  <c:v>88643.694983739639</c:v>
                </c:pt>
                <c:pt idx="12">
                  <c:v>88465.304221198981</c:v>
                </c:pt>
                <c:pt idx="13">
                  <c:v>88286.467481751984</c:v>
                </c:pt>
                <c:pt idx="14">
                  <c:v>88107.183650456369</c:v>
                </c:pt>
                <c:pt idx="15">
                  <c:v>87927.451609582509</c:v>
                </c:pt>
                <c:pt idx="16">
                  <c:v>87747.270238606463</c:v>
                </c:pt>
                <c:pt idx="17">
                  <c:v>87566.638414202986</c:v>
                </c:pt>
                <c:pt idx="18">
                  <c:v>87385.555010238488</c:v>
                </c:pt>
                <c:pt idx="19">
                  <c:v>87204.018897764079</c:v>
                </c:pt>
                <c:pt idx="20">
                  <c:v>87022.028945008497</c:v>
                </c:pt>
                <c:pt idx="21">
                  <c:v>86839.584017371017</c:v>
                </c:pt>
                <c:pt idx="22">
                  <c:v>86656.682977414443</c:v>
                </c:pt>
                <c:pt idx="23">
                  <c:v>86473.324684857973</c:v>
                </c:pt>
                <c:pt idx="24">
                  <c:v>86289.507996570115</c:v>
                </c:pt>
                <c:pt idx="25">
                  <c:v>86105.231766561541</c:v>
                </c:pt>
                <c:pt idx="26">
                  <c:v>85920.494845977941</c:v>
                </c:pt>
                <c:pt idx="27">
                  <c:v>85735.296083092879</c:v>
                </c:pt>
                <c:pt idx="28">
                  <c:v>85549.634323300605</c:v>
                </c:pt>
                <c:pt idx="29">
                  <c:v>85363.50840910885</c:v>
                </c:pt>
                <c:pt idx="30">
                  <c:v>85176.917180131626</c:v>
                </c:pt>
                <c:pt idx="31">
                  <c:v>84989.85947308196</c:v>
                </c:pt>
                <c:pt idx="32">
                  <c:v>84802.334121764667</c:v>
                </c:pt>
                <c:pt idx="33">
                  <c:v>84614.339957069082</c:v>
                </c:pt>
                <c:pt idx="34">
                  <c:v>84425.875806961762</c:v>
                </c:pt>
                <c:pt idx="35">
                  <c:v>84236.940496479161</c:v>
                </c:pt>
                <c:pt idx="36">
                  <c:v>84047.532847720358</c:v>
                </c:pt>
                <c:pt idx="37">
                  <c:v>83857.651679839662</c:v>
                </c:pt>
                <c:pt idx="38">
                  <c:v>83667.295809039264</c:v>
                </c:pt>
                <c:pt idx="39">
                  <c:v>83476.464048561858</c:v>
                </c:pt>
                <c:pt idx="40">
                  <c:v>83285.155208683267</c:v>
                </c:pt>
                <c:pt idx="41">
                  <c:v>83093.368096704973</c:v>
                </c:pt>
                <c:pt idx="42">
                  <c:v>82901.101516946743</c:v>
                </c:pt>
                <c:pt idx="43">
                  <c:v>82708.354270739103</c:v>
                </c:pt>
                <c:pt idx="44">
                  <c:v>82515.125156415947</c:v>
                </c:pt>
                <c:pt idx="45">
                  <c:v>82321.412969306984</c:v>
                </c:pt>
                <c:pt idx="46">
                  <c:v>82127.216501730247</c:v>
                </c:pt>
                <c:pt idx="47">
                  <c:v>81932.534542984577</c:v>
                </c:pt>
                <c:pt idx="48">
                  <c:v>81737.365879342033</c:v>
                </c:pt>
                <c:pt idx="49">
                  <c:v>81541.709294040382</c:v>
                </c:pt>
                <c:pt idx="50">
                  <c:v>81345.563567275487</c:v>
                </c:pt>
                <c:pt idx="51">
                  <c:v>81148.927476193669</c:v>
                </c:pt>
                <c:pt idx="52">
                  <c:v>80951.799794884151</c:v>
                </c:pt>
                <c:pt idx="53">
                  <c:v>80754.179294371366</c:v>
                </c:pt>
                <c:pt idx="54">
                  <c:v>80556.064742607297</c:v>
                </c:pt>
                <c:pt idx="55">
                  <c:v>80357.454904463812</c:v>
                </c:pt>
                <c:pt idx="56">
                  <c:v>80158.348541724976</c:v>
                </c:pt>
                <c:pt idx="57">
                  <c:v>79958.744413079286</c:v>
                </c:pt>
                <c:pt idx="58">
                  <c:v>79758.641274111986</c:v>
                </c:pt>
                <c:pt idx="59">
                  <c:v>79558.037877297262</c:v>
                </c:pt>
                <c:pt idx="60">
                  <c:v>79356.932971990507</c:v>
                </c:pt>
                <c:pt idx="61">
                  <c:v>79155.32530442049</c:v>
                </c:pt>
                <c:pt idx="62">
                  <c:v>78953.21361768154</c:v>
                </c:pt>
                <c:pt idx="63">
                  <c:v>78750.596651725748</c:v>
                </c:pt>
                <c:pt idx="64">
                  <c:v>78547.473143355062</c:v>
                </c:pt>
                <c:pt idx="65">
                  <c:v>78343.841826213451</c:v>
                </c:pt>
                <c:pt idx="66">
                  <c:v>78139.70143077898</c:v>
                </c:pt>
                <c:pt idx="67">
                  <c:v>77935.050684355927</c:v>
                </c:pt>
                <c:pt idx="68">
                  <c:v>77729.88831106681</c:v>
                </c:pt>
                <c:pt idx="69">
                  <c:v>77524.213031844483</c:v>
                </c:pt>
                <c:pt idx="70">
                  <c:v>77318.023564424089</c:v>
                </c:pt>
                <c:pt idx="71">
                  <c:v>77111.318623335144</c:v>
                </c:pt>
                <c:pt idx="72">
                  <c:v>76904.096919893476</c:v>
                </c:pt>
                <c:pt idx="73">
                  <c:v>76696.357162193206</c:v>
                </c:pt>
                <c:pt idx="74">
                  <c:v>76488.098055098686</c:v>
                </c:pt>
                <c:pt idx="75">
                  <c:v>76279.318300236439</c:v>
                </c:pt>
                <c:pt idx="76">
                  <c:v>76070.016595987036</c:v>
                </c:pt>
                <c:pt idx="77">
                  <c:v>75860.191637477008</c:v>
                </c:pt>
                <c:pt idx="78">
                  <c:v>75649.842116570697</c:v>
                </c:pt>
                <c:pt idx="79">
                  <c:v>75438.966721862118</c:v>
                </c:pt>
                <c:pt idx="80">
                  <c:v>75227.56413866677</c:v>
                </c:pt>
                <c:pt idx="81">
                  <c:v>75015.633049013442</c:v>
                </c:pt>
                <c:pt idx="82">
                  <c:v>74803.172131635976</c:v>
                </c:pt>
                <c:pt idx="83">
                  <c:v>74590.18006196506</c:v>
                </c:pt>
                <c:pt idx="84">
                  <c:v>74376.655512119978</c:v>
                </c:pt>
                <c:pt idx="85">
                  <c:v>74162.597150900285</c:v>
                </c:pt>
                <c:pt idx="86">
                  <c:v>73948.003643777542</c:v>
                </c:pt>
                <c:pt idx="87">
                  <c:v>73732.873652886992</c:v>
                </c:pt>
                <c:pt idx="88">
                  <c:v>73517.20583701921</c:v>
                </c:pt>
                <c:pt idx="89">
                  <c:v>73300.998851611759</c:v>
                </c:pt>
                <c:pt idx="90">
                  <c:v>73084.251348740785</c:v>
                </c:pt>
                <c:pt idx="91">
                  <c:v>72866.961977112631</c:v>
                </c:pt>
                <c:pt idx="92">
                  <c:v>72649.129382055413</c:v>
                </c:pt>
                <c:pt idx="93">
                  <c:v>72430.752205510551</c:v>
                </c:pt>
                <c:pt idx="94">
                  <c:v>72211.829086024329</c:v>
                </c:pt>
                <c:pt idx="95">
                  <c:v>71992.358658739395</c:v>
                </c:pt>
                <c:pt idx="96">
                  <c:v>71772.33955538625</c:v>
                </c:pt>
                <c:pt idx="97">
                  <c:v>71551.770404274721</c:v>
                </c:pt>
                <c:pt idx="98">
                  <c:v>71330.649830285402</c:v>
                </c:pt>
                <c:pt idx="99">
                  <c:v>71108.976454861113</c:v>
                </c:pt>
                <c:pt idx="100">
                  <c:v>70886.748895998258</c:v>
                </c:pt>
                <c:pt idx="101">
                  <c:v>70663.965768238253</c:v>
                </c:pt>
                <c:pt idx="102">
                  <c:v>70440.625682658851</c:v>
                </c:pt>
                <c:pt idx="103">
                  <c:v>70216.727246865499</c:v>
                </c:pt>
                <c:pt idx="104">
                  <c:v>69992.269064982669</c:v>
                </c:pt>
                <c:pt idx="105">
                  <c:v>69767.249737645121</c:v>
                </c:pt>
                <c:pt idx="106">
                  <c:v>69541.667861989234</c:v>
                </c:pt>
                <c:pt idx="107">
                  <c:v>69315.522031644214</c:v>
                </c:pt>
                <c:pt idx="108">
                  <c:v>69088.810836723322</c:v>
                </c:pt>
                <c:pt idx="109">
                  <c:v>68861.532863815126</c:v>
                </c:pt>
                <c:pt idx="110">
                  <c:v>68633.686695974669</c:v>
                </c:pt>
                <c:pt idx="111">
                  <c:v>68405.270912714608</c:v>
                </c:pt>
                <c:pt idx="112">
                  <c:v>68176.284089996392</c:v>
                </c:pt>
                <c:pt idx="113">
                  <c:v>67946.724800221389</c:v>
                </c:pt>
                <c:pt idx="114">
                  <c:v>67716.59161222195</c:v>
                </c:pt>
                <c:pt idx="115">
                  <c:v>67485.883091252501</c:v>
                </c:pt>
                <c:pt idx="116">
                  <c:v>67254.597798980627</c:v>
                </c:pt>
                <c:pt idx="117">
                  <c:v>67022.734293478075</c:v>
                </c:pt>
                <c:pt idx="118">
                  <c:v>66790.291129211764</c:v>
                </c:pt>
                <c:pt idx="119">
                  <c:v>66557.266857034789</c:v>
                </c:pt>
                <c:pt idx="120">
                  <c:v>66323.66002417737</c:v>
                </c:pt>
                <c:pt idx="121">
                  <c:v>66089.46917423782</c:v>
                </c:pt>
                <c:pt idx="122">
                  <c:v>65854.692847173414</c:v>
                </c:pt>
                <c:pt idx="123">
                  <c:v>65619.329579291341</c:v>
                </c:pt>
                <c:pt idx="124">
                  <c:v>65383.377903239569</c:v>
                </c:pt>
                <c:pt idx="125">
                  <c:v>65146.836347997669</c:v>
                </c:pt>
                <c:pt idx="126">
                  <c:v>64909.703438867662</c:v>
                </c:pt>
                <c:pt idx="127">
                  <c:v>64671.977697464834</c:v>
                </c:pt>
                <c:pt idx="128">
                  <c:v>64433.657641708494</c:v>
                </c:pt>
                <c:pt idx="129">
                  <c:v>64194.741785812766</c:v>
                </c:pt>
                <c:pt idx="130">
                  <c:v>63955.228640277295</c:v>
                </c:pt>
                <c:pt idx="131">
                  <c:v>63715.116711877985</c:v>
                </c:pt>
                <c:pt idx="132">
                  <c:v>63474.404503657679</c:v>
                </c:pt>
                <c:pt idx="133">
                  <c:v>63233.090514916825</c:v>
                </c:pt>
                <c:pt idx="134">
                  <c:v>62991.173241204116</c:v>
                </c:pt>
                <c:pt idx="135">
                  <c:v>62748.651174307124</c:v>
                </c:pt>
                <c:pt idx="136">
                  <c:v>62505.522802242893</c:v>
                </c:pt>
                <c:pt idx="137">
                  <c:v>62261.786609248498</c:v>
                </c:pt>
                <c:pt idx="138">
                  <c:v>62017.441075771618</c:v>
                </c:pt>
                <c:pt idx="139">
                  <c:v>61772.484678461049</c:v>
                </c:pt>
                <c:pt idx="140">
                  <c:v>61526.915890157201</c:v>
                </c:pt>
                <c:pt idx="141">
                  <c:v>61280.733179882591</c:v>
                </c:pt>
                <c:pt idx="142">
                  <c:v>61033.935012832299</c:v>
                </c:pt>
                <c:pt idx="143">
                  <c:v>60786.519850364377</c:v>
                </c:pt>
                <c:pt idx="144">
                  <c:v>60538.486149990291</c:v>
                </c:pt>
                <c:pt idx="145">
                  <c:v>60289.83236536527</c:v>
                </c:pt>
                <c:pt idx="146">
                  <c:v>60040.556946278681</c:v>
                </c:pt>
                <c:pt idx="147">
                  <c:v>59790.658338644374</c:v>
                </c:pt>
                <c:pt idx="148">
                  <c:v>59540.134984490986</c:v>
                </c:pt>
                <c:pt idx="149">
                  <c:v>59288.985321952212</c:v>
                </c:pt>
                <c:pt idx="150">
                  <c:v>59037.207785257095</c:v>
                </c:pt>
                <c:pt idx="151">
                  <c:v>58784.800804720238</c:v>
                </c:pt>
                <c:pt idx="152">
                  <c:v>58531.76280673204</c:v>
                </c:pt>
                <c:pt idx="153">
                  <c:v>58278.092213748867</c:v>
                </c:pt>
                <c:pt idx="154">
                  <c:v>58023.78744428324</c:v>
                </c:pt>
                <c:pt idx="155">
                  <c:v>57768.846912893947</c:v>
                </c:pt>
                <c:pt idx="156">
                  <c:v>57513.269030176183</c:v>
                </c:pt>
                <c:pt idx="157">
                  <c:v>57257.052202751627</c:v>
                </c:pt>
                <c:pt idx="158">
                  <c:v>57000.194833258509</c:v>
                </c:pt>
                <c:pt idx="159">
                  <c:v>56742.695320341656</c:v>
                </c:pt>
                <c:pt idx="160">
                  <c:v>56484.552058642512</c:v>
                </c:pt>
                <c:pt idx="161">
                  <c:v>56225.763438789116</c:v>
                </c:pt>
                <c:pt idx="162">
                  <c:v>55966.327847386092</c:v>
                </c:pt>
                <c:pt idx="163">
                  <c:v>55706.243667004557</c:v>
                </c:pt>
                <c:pt idx="164">
                  <c:v>55445.509276172066</c:v>
                </c:pt>
                <c:pt idx="165">
                  <c:v>55184.123049362497</c:v>
                </c:pt>
                <c:pt idx="166">
                  <c:v>54922.083356985902</c:v>
                </c:pt>
                <c:pt idx="167">
                  <c:v>54659.388565378365</c:v>
                </c:pt>
                <c:pt idx="168">
                  <c:v>54396.037036791815</c:v>
                </c:pt>
                <c:pt idx="169">
                  <c:v>54132.027129383794</c:v>
                </c:pt>
                <c:pt idx="170">
                  <c:v>53867.357197207253</c:v>
                </c:pt>
                <c:pt idx="171">
                  <c:v>53602.025590200268</c:v>
                </c:pt>
                <c:pt idx="172">
                  <c:v>53336.030654175767</c:v>
                </c:pt>
                <c:pt idx="173">
                  <c:v>53069.370730811206</c:v>
                </c:pt>
                <c:pt idx="174">
                  <c:v>52802.044157638236</c:v>
                </c:pt>
                <c:pt idx="175">
                  <c:v>52534.04926803233</c:v>
                </c:pt>
                <c:pt idx="176">
                  <c:v>52265.384391202409</c:v>
                </c:pt>
                <c:pt idx="177">
                  <c:v>51996.047852180418</c:v>
                </c:pt>
                <c:pt idx="178">
                  <c:v>51726.037971810867</c:v>
                </c:pt>
                <c:pt idx="179">
                  <c:v>51455.353066740397</c:v>
                </c:pt>
                <c:pt idx="180">
                  <c:v>51183.991449407251</c:v>
                </c:pt>
                <c:pt idx="181">
                  <c:v>50911.95142803077</c:v>
                </c:pt>
                <c:pt idx="182">
                  <c:v>50639.23130660085</c:v>
                </c:pt>
                <c:pt idx="183">
                  <c:v>50365.829384867349</c:v>
                </c:pt>
                <c:pt idx="184">
                  <c:v>50091.74395832952</c:v>
                </c:pt>
                <c:pt idx="185">
                  <c:v>49816.97331822534</c:v>
                </c:pt>
                <c:pt idx="186">
                  <c:v>49541.515751520907</c:v>
                </c:pt>
                <c:pt idx="187">
                  <c:v>49265.369540899708</c:v>
                </c:pt>
                <c:pt idx="188">
                  <c:v>48988.532964751961</c:v>
                </c:pt>
                <c:pt idx="189">
                  <c:v>48711.00429716384</c:v>
                </c:pt>
                <c:pt idx="190">
                  <c:v>48432.781807906751</c:v>
                </c:pt>
                <c:pt idx="191">
                  <c:v>48153.863762426517</c:v>
                </c:pt>
                <c:pt idx="192">
                  <c:v>47874.248421832584</c:v>
                </c:pt>
                <c:pt idx="193">
                  <c:v>47593.934042887166</c:v>
                </c:pt>
                <c:pt idx="194">
                  <c:v>47312.918877994387</c:v>
                </c:pt>
                <c:pt idx="195">
                  <c:v>47031.201175189373</c:v>
                </c:pt>
                <c:pt idx="196">
                  <c:v>46748.779178127348</c:v>
                </c:pt>
                <c:pt idx="197">
                  <c:v>46465.651126072669</c:v>
                </c:pt>
                <c:pt idx="198">
                  <c:v>46181.815253887849</c:v>
                </c:pt>
                <c:pt idx="199">
                  <c:v>45897.269792022569</c:v>
                </c:pt>
                <c:pt idx="200">
                  <c:v>45612.012966502625</c:v>
                </c:pt>
                <c:pt idx="201">
                  <c:v>45326.042998918885</c:v>
                </c:pt>
                <c:pt idx="202">
                  <c:v>45039.358106416184</c:v>
                </c:pt>
                <c:pt idx="203">
                  <c:v>44751.956501682223</c:v>
                </c:pt>
                <c:pt idx="204">
                  <c:v>44463.836392936428</c:v>
                </c:pt>
                <c:pt idx="205">
                  <c:v>44174.995983918772</c:v>
                </c:pt>
                <c:pt idx="206">
                  <c:v>43885.433473878569</c:v>
                </c:pt>
                <c:pt idx="207">
                  <c:v>43595.147057563263</c:v>
                </c:pt>
                <c:pt idx="208">
                  <c:v>43304.134925207174</c:v>
                </c:pt>
                <c:pt idx="209">
                  <c:v>43012.395262520193</c:v>
                </c:pt>
                <c:pt idx="210">
                  <c:v>42719.926250676494</c:v>
                </c:pt>
                <c:pt idx="211">
                  <c:v>42426.726066303185</c:v>
                </c:pt>
                <c:pt idx="212">
                  <c:v>42132.792881468944</c:v>
                </c:pt>
                <c:pt idx="213">
                  <c:v>41838.124863672616</c:v>
                </c:pt>
                <c:pt idx="214">
                  <c:v>41542.720175831797</c:v>
                </c:pt>
                <c:pt idx="215">
                  <c:v>41246.576976271375</c:v>
                </c:pt>
                <c:pt idx="216">
                  <c:v>40949.693418712057</c:v>
                </c:pt>
                <c:pt idx="217">
                  <c:v>40652.06765225884</c:v>
                </c:pt>
                <c:pt idx="218">
                  <c:v>40353.697821389484</c:v>
                </c:pt>
                <c:pt idx="219">
                  <c:v>40054.582065942959</c:v>
                </c:pt>
                <c:pt idx="220">
                  <c:v>39754.718521107818</c:v>
                </c:pt>
                <c:pt idx="221">
                  <c:v>39454.105317410584</c:v>
                </c:pt>
                <c:pt idx="222">
                  <c:v>39152.740580704107</c:v>
                </c:pt>
                <c:pt idx="223">
                  <c:v>38850.622432155869</c:v>
                </c:pt>
                <c:pt idx="224">
                  <c:v>38547.748988236257</c:v>
                </c:pt>
                <c:pt idx="225">
                  <c:v>38244.118360706845</c:v>
                </c:pt>
                <c:pt idx="226">
                  <c:v>37939.728656608611</c:v>
                </c:pt>
                <c:pt idx="227">
                  <c:v>37634.577978250134</c:v>
                </c:pt>
                <c:pt idx="228">
                  <c:v>37328.664423195762</c:v>
                </c:pt>
                <c:pt idx="229">
                  <c:v>37021.986084253753</c:v>
                </c:pt>
                <c:pt idx="230">
                  <c:v>36714.541049464387</c:v>
                </c:pt>
                <c:pt idx="231">
                  <c:v>36406.327402088049</c:v>
                </c:pt>
                <c:pt idx="232">
                  <c:v>36097.34322059327</c:v>
                </c:pt>
                <c:pt idx="233">
                  <c:v>35787.586578644754</c:v>
                </c:pt>
                <c:pt idx="234">
                  <c:v>35477.055545091367</c:v>
                </c:pt>
                <c:pt idx="235">
                  <c:v>35165.748183954092</c:v>
                </c:pt>
                <c:pt idx="236">
                  <c:v>34853.662554413975</c:v>
                </c:pt>
                <c:pt idx="237">
                  <c:v>34540.796710800008</c:v>
                </c:pt>
                <c:pt idx="238">
                  <c:v>34227.148702577011</c:v>
                </c:pt>
                <c:pt idx="239">
                  <c:v>33912.716574333455</c:v>
                </c:pt>
                <c:pt idx="240">
                  <c:v>33597.498365769286</c:v>
                </c:pt>
                <c:pt idx="241">
                  <c:v>33281.492111683707</c:v>
                </c:pt>
                <c:pt idx="242">
                  <c:v>32964.695841962915</c:v>
                </c:pt>
                <c:pt idx="243">
                  <c:v>32647.10758156782</c:v>
                </c:pt>
                <c:pt idx="244">
                  <c:v>32328.725350521738</c:v>
                </c:pt>
                <c:pt idx="245">
                  <c:v>32009.547163898042</c:v>
                </c:pt>
                <c:pt idx="246">
                  <c:v>31689.571031807787</c:v>
                </c:pt>
                <c:pt idx="247">
                  <c:v>31368.794959387305</c:v>
                </c:pt>
                <c:pt idx="248">
                  <c:v>31047.216946785775</c:v>
                </c:pt>
                <c:pt idx="249">
                  <c:v>30724.83498915274</c:v>
                </c:pt>
                <c:pt idx="250">
                  <c:v>30401.647076625621</c:v>
                </c:pt>
                <c:pt idx="251">
                  <c:v>30077.651194317186</c:v>
                </c:pt>
                <c:pt idx="252">
                  <c:v>29752.845322302979</c:v>
                </c:pt>
                <c:pt idx="253">
                  <c:v>29427.227435608736</c:v>
                </c:pt>
                <c:pt idx="254">
                  <c:v>29100.795504197758</c:v>
                </c:pt>
                <c:pt idx="255">
                  <c:v>28773.547492958252</c:v>
                </c:pt>
                <c:pt idx="256">
                  <c:v>28445.481361690647</c:v>
                </c:pt>
                <c:pt idx="257">
                  <c:v>28116.595065094873</c:v>
                </c:pt>
                <c:pt idx="258">
                  <c:v>27786.886552757609</c:v>
                </c:pt>
                <c:pt idx="259">
                  <c:v>27456.353769139503</c:v>
                </c:pt>
                <c:pt idx="260">
                  <c:v>27124.994653562353</c:v>
                </c:pt>
                <c:pt idx="261">
                  <c:v>26792.807140196259</c:v>
                </c:pt>
                <c:pt idx="262">
                  <c:v>26459.789158046751</c:v>
                </c:pt>
                <c:pt idx="263">
                  <c:v>26125.93863094187</c:v>
                </c:pt>
                <c:pt idx="264">
                  <c:v>25791.253477519225</c:v>
                </c:pt>
                <c:pt idx="265">
                  <c:v>25455.731611213025</c:v>
                </c:pt>
                <c:pt idx="266">
                  <c:v>25119.370940241057</c:v>
                </c:pt>
                <c:pt idx="267">
                  <c:v>24782.169367591658</c:v>
                </c:pt>
                <c:pt idx="268">
                  <c:v>24444.124791010636</c:v>
                </c:pt>
                <c:pt idx="269">
                  <c:v>24105.235102988161</c:v>
                </c:pt>
                <c:pt idx="270">
                  <c:v>23765.498190745631</c:v>
                </c:pt>
                <c:pt idx="271">
                  <c:v>23424.911936222496</c:v>
                </c:pt>
                <c:pt idx="272">
                  <c:v>23083.474216063052</c:v>
                </c:pt>
                <c:pt idx="273">
                  <c:v>22741.18290160321</c:v>
                </c:pt>
                <c:pt idx="274">
                  <c:v>22398.035858857216</c:v>
                </c:pt>
                <c:pt idx="275">
                  <c:v>22054.030948504358</c:v>
                </c:pt>
                <c:pt idx="276">
                  <c:v>21709.16602587562</c:v>
                </c:pt>
                <c:pt idx="277">
                  <c:v>21363.438940940308</c:v>
                </c:pt>
                <c:pt idx="278">
                  <c:v>21016.847538292659</c:v>
                </c:pt>
                <c:pt idx="279">
                  <c:v>20669.389657138392</c:v>
                </c:pt>
                <c:pt idx="280">
                  <c:v>20321.063131281237</c:v>
                </c:pt>
                <c:pt idx="281">
                  <c:v>19971.865789109441</c:v>
                </c:pt>
                <c:pt idx="282">
                  <c:v>19621.795453582214</c:v>
                </c:pt>
                <c:pt idx="283">
                  <c:v>19270.849942216169</c:v>
                </c:pt>
                <c:pt idx="284">
                  <c:v>18919.027067071711</c:v>
                </c:pt>
                <c:pt idx="285">
                  <c:v>18566.324634739391</c:v>
                </c:pt>
                <c:pt idx="286">
                  <c:v>18212.740446326239</c:v>
                </c:pt>
                <c:pt idx="287">
                  <c:v>17858.272297442054</c:v>
                </c:pt>
                <c:pt idx="288">
                  <c:v>17502.917978185658</c:v>
                </c:pt>
                <c:pt idx="289">
                  <c:v>17146.675273131121</c:v>
                </c:pt>
                <c:pt idx="290">
                  <c:v>16789.541961313949</c:v>
                </c:pt>
                <c:pt idx="291">
                  <c:v>16431.515816217234</c:v>
                </c:pt>
                <c:pt idx="292">
                  <c:v>16072.594605757778</c:v>
                </c:pt>
                <c:pt idx="293">
                  <c:v>15712.776092272174</c:v>
                </c:pt>
                <c:pt idx="294">
                  <c:v>15352.058032502853</c:v>
                </c:pt>
                <c:pt idx="295">
                  <c:v>14990.43817758411</c:v>
                </c:pt>
                <c:pt idx="296">
                  <c:v>14627.914273028071</c:v>
                </c:pt>
                <c:pt idx="297">
                  <c:v>14264.484058710641</c:v>
                </c:pt>
                <c:pt idx="298">
                  <c:v>13900.145268857417</c:v>
                </c:pt>
                <c:pt idx="299">
                  <c:v>13534.89563202956</c:v>
                </c:pt>
                <c:pt idx="300">
                  <c:v>13168.732871109634</c:v>
                </c:pt>
                <c:pt idx="301">
                  <c:v>12801.654703287408</c:v>
                </c:pt>
                <c:pt idx="302">
                  <c:v>12433.658840045626</c:v>
                </c:pt>
                <c:pt idx="303">
                  <c:v>12064.742987145741</c:v>
                </c:pt>
                <c:pt idx="304">
                  <c:v>11694.904844613606</c:v>
                </c:pt>
                <c:pt idx="305">
                  <c:v>11324.142106725139</c:v>
                </c:pt>
                <c:pt idx="306">
                  <c:v>10952.452461991952</c:v>
                </c:pt>
                <c:pt idx="307">
                  <c:v>10579.833593146932</c:v>
                </c:pt>
                <c:pt idx="308">
                  <c:v>10206.283177129799</c:v>
                </c:pt>
                <c:pt idx="309">
                  <c:v>9831.7988850726233</c:v>
                </c:pt>
                <c:pt idx="310">
                  <c:v>9456.3783822853056</c:v>
                </c:pt>
                <c:pt idx="311">
                  <c:v>9080.0193282410182</c:v>
                </c:pt>
                <c:pt idx="312">
                  <c:v>8702.7193765616212</c:v>
                </c:pt>
                <c:pt idx="313">
                  <c:v>8324.4761750030248</c:v>
                </c:pt>
                <c:pt idx="314">
                  <c:v>7945.2873654405321</c:v>
                </c:pt>
                <c:pt idx="315">
                  <c:v>7565.1505838541334</c:v>
                </c:pt>
                <c:pt idx="316">
                  <c:v>7184.0634603137687</c:v>
                </c:pt>
                <c:pt idx="317">
                  <c:v>6802.023618964553</c:v>
                </c:pt>
                <c:pt idx="318">
                  <c:v>6419.0286780119641</c:v>
                </c:pt>
                <c:pt idx="319">
                  <c:v>6035.0762497069936</c:v>
                </c:pt>
                <c:pt idx="320">
                  <c:v>5650.1639403312611</c:v>
                </c:pt>
                <c:pt idx="321">
                  <c:v>5264.289350182089</c:v>
                </c:pt>
                <c:pt idx="322">
                  <c:v>4877.4500735575439</c:v>
                </c:pt>
                <c:pt idx="323">
                  <c:v>4489.6436987414381</c:v>
                </c:pt>
                <c:pt idx="324">
                  <c:v>4100.867807988292</c:v>
                </c:pt>
                <c:pt idx="325">
                  <c:v>3711.1199775082632</c:v>
                </c:pt>
                <c:pt idx="326">
                  <c:v>3320.397777452034</c:v>
                </c:pt>
                <c:pt idx="327">
                  <c:v>2928.6987718956639</c:v>
                </c:pt>
                <c:pt idx="328">
                  <c:v>2536.0205188254031</c:v>
                </c:pt>
                <c:pt idx="329">
                  <c:v>2142.3605701224665</c:v>
                </c:pt>
                <c:pt idx="330">
                  <c:v>1747.7164715477725</c:v>
                </c:pt>
                <c:pt idx="331">
                  <c:v>1352.0857627266419</c:v>
                </c:pt>
                <c:pt idx="332">
                  <c:v>955.46597713345841</c:v>
                </c:pt>
                <c:pt idx="333">
                  <c:v>557.85464207629207</c:v>
                </c:pt>
                <c:pt idx="334">
                  <c:v>159.24927868148279</c:v>
                </c:pt>
                <c:pt idx="335">
                  <c:v>-240.35259812181351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2-457E-BDBF-B86FD5A0F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488384"/>
        <c:axId val="85489920"/>
        <c:axId val="0"/>
      </c:bar3DChart>
      <c:catAx>
        <c:axId val="8548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489920"/>
        <c:crosses val="autoZero"/>
        <c:auto val="1"/>
        <c:lblAlgn val="ctr"/>
        <c:lblOffset val="100"/>
        <c:noMultiLvlLbl val="0"/>
      </c:catAx>
      <c:valAx>
        <c:axId val="8548992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5488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163925897057259"/>
          <c:y val="6.5392893849433864E-2"/>
          <c:w val="0.88792237965293319"/>
          <c:h val="0.8434884275829157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'Kam 3.0% 328000'!$H$5:$H$692</c:f>
              <c:strCache>
                <c:ptCount val="6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</c:strCache>
            </c:strRef>
          </c:tx>
          <c:invertIfNegative val="0"/>
          <c:cat>
            <c:numRef>
              <c:f>'Kam 3.0% 328000'!$H$5:$H$371</c:f>
              <c:numCache>
                <c:formatCode>General</c:formatCode>
                <c:ptCount val="3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</c:numCache>
            </c:numRef>
          </c:cat>
          <c:val>
            <c:numRef>
              <c:f>'Kam 3.0% 328000'!$B$5:$B$370</c:f>
              <c:numCache>
                <c:formatCode>_(* #,##0.00_);_(* \(#,##0.00\);_(* "-"??_);_(@_)</c:formatCode>
                <c:ptCount val="366"/>
                <c:pt idx="0">
                  <c:v>328000</c:v>
                </c:pt>
                <c:pt idx="1">
                  <c:v>327820</c:v>
                </c:pt>
                <c:pt idx="2">
                  <c:v>327639.55</c:v>
                </c:pt>
                <c:pt idx="3">
                  <c:v>327458.64887500001</c:v>
                </c:pt>
                <c:pt idx="4">
                  <c:v>327277.29549718753</c:v>
                </c:pt>
                <c:pt idx="5">
                  <c:v>327095.48873593047</c:v>
                </c:pt>
                <c:pt idx="6">
                  <c:v>326913.22745777032</c:v>
                </c:pt>
                <c:pt idx="7">
                  <c:v>326730.51052641473</c:v>
                </c:pt>
                <c:pt idx="8">
                  <c:v>326547.33680273074</c:v>
                </c:pt>
                <c:pt idx="9">
                  <c:v>326363.70514473756</c:v>
                </c:pt>
                <c:pt idx="10">
                  <c:v>326179.61440759938</c:v>
                </c:pt>
                <c:pt idx="11">
                  <c:v>325995.06344361836</c:v>
                </c:pt>
                <c:pt idx="12">
                  <c:v>325810.05110222741</c:v>
                </c:pt>
                <c:pt idx="13">
                  <c:v>325624.57622998301</c:v>
                </c:pt>
                <c:pt idx="14">
                  <c:v>325438.63767055795</c:v>
                </c:pt>
                <c:pt idx="15">
                  <c:v>325252.23426473432</c:v>
                </c:pt>
                <c:pt idx="16">
                  <c:v>325065.36485039617</c:v>
                </c:pt>
                <c:pt idx="17">
                  <c:v>324878.02826252219</c:v>
                </c:pt>
                <c:pt idx="18">
                  <c:v>324690.2233331785</c:v>
                </c:pt>
                <c:pt idx="19">
                  <c:v>324501.94889151142</c:v>
                </c:pt>
                <c:pt idx="20">
                  <c:v>324313.2037637402</c:v>
                </c:pt>
                <c:pt idx="21">
                  <c:v>324123.98677314952</c:v>
                </c:pt>
                <c:pt idx="22">
                  <c:v>323934.29674008238</c:v>
                </c:pt>
                <c:pt idx="23">
                  <c:v>323744.13248193258</c:v>
                </c:pt>
                <c:pt idx="24">
                  <c:v>323553.49281313742</c:v>
                </c:pt>
                <c:pt idx="25">
                  <c:v>323362.37654517026</c:v>
                </c:pt>
                <c:pt idx="26">
                  <c:v>323170.78248653316</c:v>
                </c:pt>
                <c:pt idx="27">
                  <c:v>322978.7094427495</c:v>
                </c:pt>
                <c:pt idx="28">
                  <c:v>322786.15621635638</c:v>
                </c:pt>
                <c:pt idx="29">
                  <c:v>322593.12160689727</c:v>
                </c:pt>
                <c:pt idx="30">
                  <c:v>322399.60441091453</c:v>
                </c:pt>
                <c:pt idx="31">
                  <c:v>322205.60342194181</c:v>
                </c:pt>
                <c:pt idx="32">
                  <c:v>322011.11743049667</c:v>
                </c:pt>
                <c:pt idx="33">
                  <c:v>321816.14522407291</c:v>
                </c:pt>
                <c:pt idx="34">
                  <c:v>321620.68558713311</c:v>
                </c:pt>
                <c:pt idx="35">
                  <c:v>321424.73730110092</c:v>
                </c:pt>
                <c:pt idx="36">
                  <c:v>321228.29914435366</c:v>
                </c:pt>
                <c:pt idx="37">
                  <c:v>321031.36989221454</c:v>
                </c:pt>
                <c:pt idx="38">
                  <c:v>320833.94831694505</c:v>
                </c:pt>
                <c:pt idx="39">
                  <c:v>320636.0331877374</c:v>
                </c:pt>
                <c:pt idx="40">
                  <c:v>320437.62327070674</c:v>
                </c:pt>
                <c:pt idx="41">
                  <c:v>320238.71732888353</c:v>
                </c:pt>
                <c:pt idx="42">
                  <c:v>320039.31412220572</c:v>
                </c:pt>
                <c:pt idx="43">
                  <c:v>319839.4124075112</c:v>
                </c:pt>
                <c:pt idx="44">
                  <c:v>319639.01093852997</c:v>
                </c:pt>
                <c:pt idx="45">
                  <c:v>319438.10846587631</c:v>
                </c:pt>
                <c:pt idx="46">
                  <c:v>319236.70373704098</c:v>
                </c:pt>
                <c:pt idx="47">
                  <c:v>319034.79549638357</c:v>
                </c:pt>
                <c:pt idx="48">
                  <c:v>318832.38248512452</c:v>
                </c:pt>
                <c:pt idx="49">
                  <c:v>318629.46344133734</c:v>
                </c:pt>
                <c:pt idx="50">
                  <c:v>318426.0370999407</c:v>
                </c:pt>
                <c:pt idx="51">
                  <c:v>318222.10219269054</c:v>
                </c:pt>
                <c:pt idx="52">
                  <c:v>318017.65744817228</c:v>
                </c:pt>
                <c:pt idx="53">
                  <c:v>317812.70159179269</c:v>
                </c:pt>
                <c:pt idx="54">
                  <c:v>317607.2333457722</c:v>
                </c:pt>
                <c:pt idx="55">
                  <c:v>317401.25142913661</c:v>
                </c:pt>
                <c:pt idx="56">
                  <c:v>317194.75455770944</c:v>
                </c:pt>
                <c:pt idx="57">
                  <c:v>316987.74144410371</c:v>
                </c:pt>
                <c:pt idx="58">
                  <c:v>316780.21079771395</c:v>
                </c:pt>
                <c:pt idx="59">
                  <c:v>316572.16132470826</c:v>
                </c:pt>
                <c:pt idx="60">
                  <c:v>316363.59172802005</c:v>
                </c:pt>
                <c:pt idx="61">
                  <c:v>316154.50070734008</c:v>
                </c:pt>
                <c:pt idx="62">
                  <c:v>315944.88695910841</c:v>
                </c:pt>
                <c:pt idx="63">
                  <c:v>315734.74917650619</c:v>
                </c:pt>
                <c:pt idx="64">
                  <c:v>315524.08604944748</c:v>
                </c:pt>
                <c:pt idx="65">
                  <c:v>315312.89626457111</c:v>
                </c:pt>
                <c:pt idx="66">
                  <c:v>315101.17850523256</c:v>
                </c:pt>
                <c:pt idx="67">
                  <c:v>314888.93145149562</c:v>
                </c:pt>
                <c:pt idx="68">
                  <c:v>314676.15378012438</c:v>
                </c:pt>
                <c:pt idx="69">
                  <c:v>314462.84416457469</c:v>
                </c:pt>
                <c:pt idx="70">
                  <c:v>314249.00127498613</c:v>
                </c:pt>
                <c:pt idx="71">
                  <c:v>314034.62377817358</c:v>
                </c:pt>
                <c:pt idx="72">
                  <c:v>313819.71033761901</c:v>
                </c:pt>
                <c:pt idx="73">
                  <c:v>313604.25961346307</c:v>
                </c:pt>
                <c:pt idx="74">
                  <c:v>313388.27026249672</c:v>
                </c:pt>
                <c:pt idx="75">
                  <c:v>313171.74093815294</c:v>
                </c:pt>
                <c:pt idx="76">
                  <c:v>312954.67029049835</c:v>
                </c:pt>
                <c:pt idx="77">
                  <c:v>312737.05696622463</c:v>
                </c:pt>
                <c:pt idx="78">
                  <c:v>312518.89960864017</c:v>
                </c:pt>
                <c:pt idx="79">
                  <c:v>312300.19685766177</c:v>
                </c:pt>
                <c:pt idx="80">
                  <c:v>312080.94734980591</c:v>
                </c:pt>
                <c:pt idx="81">
                  <c:v>311861.14971818042</c:v>
                </c:pt>
                <c:pt idx="82">
                  <c:v>311640.80259247584</c:v>
                </c:pt>
                <c:pt idx="83">
                  <c:v>311419.90459895704</c:v>
                </c:pt>
                <c:pt idx="84">
                  <c:v>311198.45436045446</c:v>
                </c:pt>
                <c:pt idx="85">
                  <c:v>310976.4504963556</c:v>
                </c:pt>
                <c:pt idx="86">
                  <c:v>310753.89162259648</c:v>
                </c:pt>
                <c:pt idx="87">
                  <c:v>310530.77635165298</c:v>
                </c:pt>
                <c:pt idx="88">
                  <c:v>310307.10329253209</c:v>
                </c:pt>
                <c:pt idx="89">
                  <c:v>310082.87105076341</c:v>
                </c:pt>
                <c:pt idx="90">
                  <c:v>309858.07822839031</c:v>
                </c:pt>
                <c:pt idx="91">
                  <c:v>309632.72342396126</c:v>
                </c:pt>
                <c:pt idx="92">
                  <c:v>309406.80523252115</c:v>
                </c:pt>
                <c:pt idx="93">
                  <c:v>309180.32224560244</c:v>
                </c:pt>
                <c:pt idx="94">
                  <c:v>308953.27305121644</c:v>
                </c:pt>
                <c:pt idx="95">
                  <c:v>308725.65623384446</c:v>
                </c:pt>
                <c:pt idx="96">
                  <c:v>308497.47037442907</c:v>
                </c:pt>
                <c:pt idx="97">
                  <c:v>308268.71405036515</c:v>
                </c:pt>
                <c:pt idx="98">
                  <c:v>308039.38583549106</c:v>
                </c:pt>
                <c:pt idx="99">
                  <c:v>307809.48430007981</c:v>
                </c:pt>
                <c:pt idx="100">
                  <c:v>307579.00801083003</c:v>
                </c:pt>
                <c:pt idx="101">
                  <c:v>307347.95553085709</c:v>
                </c:pt>
                <c:pt idx="102">
                  <c:v>307116.32541968423</c:v>
                </c:pt>
                <c:pt idx="103">
                  <c:v>306884.11623323342</c:v>
                </c:pt>
                <c:pt idx="104">
                  <c:v>306651.3265238165</c:v>
                </c:pt>
                <c:pt idx="105">
                  <c:v>306417.95484012604</c:v>
                </c:pt>
                <c:pt idx="106">
                  <c:v>306183.99972722633</c:v>
                </c:pt>
                <c:pt idx="107">
                  <c:v>305949.45972654439</c:v>
                </c:pt>
                <c:pt idx="108">
                  <c:v>305714.33337586076</c:v>
                </c:pt>
                <c:pt idx="109">
                  <c:v>305478.61920930044</c:v>
                </c:pt>
                <c:pt idx="110">
                  <c:v>305242.3157573237</c:v>
                </c:pt>
                <c:pt idx="111">
                  <c:v>305005.421546717</c:v>
                </c:pt>
                <c:pt idx="112">
                  <c:v>304767.93510058377</c:v>
                </c:pt>
                <c:pt idx="113">
                  <c:v>304529.85493833525</c:v>
                </c:pt>
                <c:pt idx="114">
                  <c:v>304291.1795756811</c:v>
                </c:pt>
                <c:pt idx="115">
                  <c:v>304051.9075246203</c:v>
                </c:pt>
                <c:pt idx="116">
                  <c:v>303812.03729343187</c:v>
                </c:pt>
                <c:pt idx="117">
                  <c:v>303571.56738666544</c:v>
                </c:pt>
                <c:pt idx="118">
                  <c:v>303330.49630513211</c:v>
                </c:pt>
                <c:pt idx="119">
                  <c:v>303088.82254589495</c:v>
                </c:pt>
                <c:pt idx="120">
                  <c:v>302846.5446022597</c:v>
                </c:pt>
                <c:pt idx="121">
                  <c:v>302603.66096376535</c:v>
                </c:pt>
                <c:pt idx="122">
                  <c:v>302360.17011617473</c:v>
                </c:pt>
                <c:pt idx="123">
                  <c:v>302116.07054146519</c:v>
                </c:pt>
                <c:pt idx="124">
                  <c:v>301871.36071781884</c:v>
                </c:pt>
                <c:pt idx="125">
                  <c:v>301626.03911961342</c:v>
                </c:pt>
                <c:pt idx="126">
                  <c:v>301380.10421741247</c:v>
                </c:pt>
                <c:pt idx="127">
                  <c:v>301133.55447795603</c:v>
                </c:pt>
                <c:pt idx="128">
                  <c:v>300886.38836415095</c:v>
                </c:pt>
                <c:pt idx="129">
                  <c:v>300638.60433506133</c:v>
                </c:pt>
                <c:pt idx="130">
                  <c:v>300390.200845899</c:v>
                </c:pt>
                <c:pt idx="131">
                  <c:v>300141.17634801375</c:v>
                </c:pt>
                <c:pt idx="132">
                  <c:v>299891.52928888379</c:v>
                </c:pt>
                <c:pt idx="133">
                  <c:v>299641.25811210601</c:v>
                </c:pt>
                <c:pt idx="134">
                  <c:v>299390.36125738628</c:v>
                </c:pt>
                <c:pt idx="135">
                  <c:v>299138.83716052974</c:v>
                </c:pt>
                <c:pt idx="136">
                  <c:v>298886.68425343104</c:v>
                </c:pt>
                <c:pt idx="137">
                  <c:v>298633.90096406464</c:v>
                </c:pt>
                <c:pt idx="138">
                  <c:v>298380.48571647482</c:v>
                </c:pt>
                <c:pt idx="139">
                  <c:v>298126.43693076604</c:v>
                </c:pt>
                <c:pt idx="140">
                  <c:v>297871.75302309293</c:v>
                </c:pt>
                <c:pt idx="141">
                  <c:v>297616.43240565067</c:v>
                </c:pt>
                <c:pt idx="142">
                  <c:v>297360.47348666482</c:v>
                </c:pt>
                <c:pt idx="143">
                  <c:v>297103.87467038148</c:v>
                </c:pt>
                <c:pt idx="144">
                  <c:v>296846.63435705745</c:v>
                </c:pt>
                <c:pt idx="145">
                  <c:v>296588.75094295008</c:v>
                </c:pt>
                <c:pt idx="146">
                  <c:v>296330.22282030748</c:v>
                </c:pt>
                <c:pt idx="147">
                  <c:v>296071.04837735824</c:v>
                </c:pt>
                <c:pt idx="148">
                  <c:v>295811.22599830164</c:v>
                </c:pt>
                <c:pt idx="149">
                  <c:v>295550.75406329741</c:v>
                </c:pt>
                <c:pt idx="150">
                  <c:v>295289.63094845566</c:v>
                </c:pt>
                <c:pt idx="151">
                  <c:v>295027.85502582678</c:v>
                </c:pt>
                <c:pt idx="152">
                  <c:v>294765.42466339137</c:v>
                </c:pt>
                <c:pt idx="153">
                  <c:v>294502.33822504984</c:v>
                </c:pt>
                <c:pt idx="154">
                  <c:v>294238.59407061245</c:v>
                </c:pt>
                <c:pt idx="155">
                  <c:v>293974.19055578898</c:v>
                </c:pt>
                <c:pt idx="156">
                  <c:v>293709.12603217846</c:v>
                </c:pt>
                <c:pt idx="157">
                  <c:v>293443.39884725888</c:v>
                </c:pt>
                <c:pt idx="158">
                  <c:v>293177.00734437705</c:v>
                </c:pt>
                <c:pt idx="159">
                  <c:v>292909.94986273802</c:v>
                </c:pt>
                <c:pt idx="160">
                  <c:v>292642.22473739489</c:v>
                </c:pt>
                <c:pt idx="161">
                  <c:v>292373.83029923838</c:v>
                </c:pt>
                <c:pt idx="162">
                  <c:v>292104.76487498649</c:v>
                </c:pt>
                <c:pt idx="163">
                  <c:v>291835.02678717393</c:v>
                </c:pt>
                <c:pt idx="164">
                  <c:v>291564.61435414187</c:v>
                </c:pt>
                <c:pt idx="165">
                  <c:v>291293.52589002723</c:v>
                </c:pt>
                <c:pt idx="166">
                  <c:v>291021.7597047523</c:v>
                </c:pt>
                <c:pt idx="167">
                  <c:v>290749.31410401419</c:v>
                </c:pt>
                <c:pt idx="168">
                  <c:v>290476.18738927424</c:v>
                </c:pt>
                <c:pt idx="169">
                  <c:v>290202.37785774743</c:v>
                </c:pt>
                <c:pt idx="170">
                  <c:v>289927.88380239182</c:v>
                </c:pt>
                <c:pt idx="171">
                  <c:v>289652.70351189782</c:v>
                </c:pt>
                <c:pt idx="172">
                  <c:v>289376.83527067758</c:v>
                </c:pt>
                <c:pt idx="173">
                  <c:v>289100.27735885425</c:v>
                </c:pt>
                <c:pt idx="174">
                  <c:v>288823.02805225138</c:v>
                </c:pt>
                <c:pt idx="175">
                  <c:v>288545.085622382</c:v>
                </c:pt>
                <c:pt idx="176">
                  <c:v>288266.44833643798</c:v>
                </c:pt>
                <c:pt idx="177">
                  <c:v>287987.11445727909</c:v>
                </c:pt>
                <c:pt idx="178">
                  <c:v>287707.08224342228</c:v>
                </c:pt>
                <c:pt idx="179">
                  <c:v>287426.34994903085</c:v>
                </c:pt>
                <c:pt idx="180">
                  <c:v>287144.9158239034</c:v>
                </c:pt>
                <c:pt idx="181">
                  <c:v>286862.77811346314</c:v>
                </c:pt>
                <c:pt idx="182">
                  <c:v>286579.93505874678</c:v>
                </c:pt>
                <c:pt idx="183">
                  <c:v>286296.38489639363</c:v>
                </c:pt>
                <c:pt idx="184">
                  <c:v>286012.12585863459</c:v>
                </c:pt>
                <c:pt idx="185">
                  <c:v>285727.1561732812</c:v>
                </c:pt>
                <c:pt idx="186">
                  <c:v>285441.47406371438</c:v>
                </c:pt>
                <c:pt idx="187">
                  <c:v>285155.07774887368</c:v>
                </c:pt>
                <c:pt idx="188">
                  <c:v>284867.96544324583</c:v>
                </c:pt>
                <c:pt idx="189">
                  <c:v>284580.13535685395</c:v>
                </c:pt>
                <c:pt idx="190">
                  <c:v>284291.58569524606</c:v>
                </c:pt>
                <c:pt idx="191">
                  <c:v>284002.3146594842</c:v>
                </c:pt>
                <c:pt idx="192">
                  <c:v>283712.32044613292</c:v>
                </c:pt>
                <c:pt idx="193">
                  <c:v>283421.60124724824</c:v>
                </c:pt>
                <c:pt idx="194">
                  <c:v>283130.15525036637</c:v>
                </c:pt>
                <c:pt idx="195">
                  <c:v>282837.98063849227</c:v>
                </c:pt>
                <c:pt idx="196">
                  <c:v>282545.0755900885</c:v>
                </c:pt>
                <c:pt idx="197">
                  <c:v>282251.43827906373</c:v>
                </c:pt>
                <c:pt idx="198">
                  <c:v>281957.06687476137</c:v>
                </c:pt>
                <c:pt idx="199">
                  <c:v>281661.95954194828</c:v>
                </c:pt>
                <c:pt idx="200">
                  <c:v>281366.11444080313</c:v>
                </c:pt>
                <c:pt idx="201">
                  <c:v>281069.52972690511</c:v>
                </c:pt>
                <c:pt idx="202">
                  <c:v>280772.2035512224</c:v>
                </c:pt>
                <c:pt idx="203">
                  <c:v>280474.13406010048</c:v>
                </c:pt>
                <c:pt idx="204">
                  <c:v>280175.31939525076</c:v>
                </c:pt>
                <c:pt idx="205">
                  <c:v>279875.75769373891</c:v>
                </c:pt>
                <c:pt idx="206">
                  <c:v>279575.44708797324</c:v>
                </c:pt>
                <c:pt idx="207">
                  <c:v>279274.38570569316</c:v>
                </c:pt>
                <c:pt idx="208">
                  <c:v>278972.57166995737</c:v>
                </c:pt>
                <c:pt idx="209">
                  <c:v>278670.00309913227</c:v>
                </c:pt>
                <c:pt idx="210">
                  <c:v>278366.67810688011</c:v>
                </c:pt>
                <c:pt idx="211">
                  <c:v>278062.5948021473</c:v>
                </c:pt>
                <c:pt idx="212">
                  <c:v>277757.75128915266</c:v>
                </c:pt>
                <c:pt idx="213">
                  <c:v>277452.14566737553</c:v>
                </c:pt>
                <c:pt idx="214">
                  <c:v>277145.77603154397</c:v>
                </c:pt>
                <c:pt idx="215">
                  <c:v>276838.64047162281</c:v>
                </c:pt>
                <c:pt idx="216">
                  <c:v>276530.73707280186</c:v>
                </c:pt>
                <c:pt idx="217">
                  <c:v>276222.06391548389</c:v>
                </c:pt>
                <c:pt idx="218">
                  <c:v>275912.61907527258</c:v>
                </c:pt>
                <c:pt idx="219">
                  <c:v>275602.40062296076</c:v>
                </c:pt>
                <c:pt idx="220">
                  <c:v>275291.40662451816</c:v>
                </c:pt>
                <c:pt idx="221">
                  <c:v>274979.63514107943</c:v>
                </c:pt>
                <c:pt idx="222">
                  <c:v>274667.0842289321</c:v>
                </c:pt>
                <c:pt idx="223">
                  <c:v>274353.75193950441</c:v>
                </c:pt>
                <c:pt idx="224">
                  <c:v>274039.63631935319</c:v>
                </c:pt>
                <c:pt idx="225">
                  <c:v>273724.7354101516</c:v>
                </c:pt>
                <c:pt idx="226">
                  <c:v>273409.047248677</c:v>
                </c:pt>
                <c:pt idx="227">
                  <c:v>273092.5698667987</c:v>
                </c:pt>
                <c:pt idx="228">
                  <c:v>272775.3012914657</c:v>
                </c:pt>
                <c:pt idx="229">
                  <c:v>272457.23954469437</c:v>
                </c:pt>
                <c:pt idx="230">
                  <c:v>272138.38264355611</c:v>
                </c:pt>
                <c:pt idx="231">
                  <c:v>271818.72860016499</c:v>
                </c:pt>
                <c:pt idx="232">
                  <c:v>271498.2754216654</c:v>
                </c:pt>
                <c:pt idx="233">
                  <c:v>271177.02111021959</c:v>
                </c:pt>
                <c:pt idx="234">
                  <c:v>270854.96366299514</c:v>
                </c:pt>
                <c:pt idx="235">
                  <c:v>270532.10107215261</c:v>
                </c:pt>
                <c:pt idx="236">
                  <c:v>270208.43132483301</c:v>
                </c:pt>
                <c:pt idx="237">
                  <c:v>269883.95240314509</c:v>
                </c:pt>
                <c:pt idx="238">
                  <c:v>269558.66228415293</c:v>
                </c:pt>
                <c:pt idx="239">
                  <c:v>269232.55893986329</c:v>
                </c:pt>
                <c:pt idx="240">
                  <c:v>268905.64033721294</c:v>
                </c:pt>
                <c:pt idx="241">
                  <c:v>268577.90443805599</c:v>
                </c:pt>
                <c:pt idx="242">
                  <c:v>268249.34919915115</c:v>
                </c:pt>
                <c:pt idx="243">
                  <c:v>267919.97257214901</c:v>
                </c:pt>
                <c:pt idx="244">
                  <c:v>267589.77250357938</c:v>
                </c:pt>
                <c:pt idx="245">
                  <c:v>267258.74693483836</c:v>
                </c:pt>
                <c:pt idx="246">
                  <c:v>266926.89380217547</c:v>
                </c:pt>
                <c:pt idx="247">
                  <c:v>266594.21103668091</c:v>
                </c:pt>
                <c:pt idx="248">
                  <c:v>266260.69656427263</c:v>
                </c:pt>
                <c:pt idx="249">
                  <c:v>265926.34830568329</c:v>
                </c:pt>
                <c:pt idx="250">
                  <c:v>265591.16417644749</c:v>
                </c:pt>
                <c:pt idx="251">
                  <c:v>265255.14208688861</c:v>
                </c:pt>
                <c:pt idx="252">
                  <c:v>264918.27994210582</c:v>
                </c:pt>
                <c:pt idx="253">
                  <c:v>264580.57564196107</c:v>
                </c:pt>
                <c:pt idx="254">
                  <c:v>264242.02708106599</c:v>
                </c:pt>
                <c:pt idx="255">
                  <c:v>263902.63214876864</c:v>
                </c:pt>
                <c:pt idx="256">
                  <c:v>263562.38872914057</c:v>
                </c:pt>
                <c:pt idx="257">
                  <c:v>263221.29470096342</c:v>
                </c:pt>
                <c:pt idx="258">
                  <c:v>262879.34793771582</c:v>
                </c:pt>
                <c:pt idx="259">
                  <c:v>262536.54630756011</c:v>
                </c:pt>
                <c:pt idx="260">
                  <c:v>262192.88767332904</c:v>
                </c:pt>
                <c:pt idx="261">
                  <c:v>261848.36989251233</c:v>
                </c:pt>
                <c:pt idx="262">
                  <c:v>261502.99081724364</c:v>
                </c:pt>
                <c:pt idx="263">
                  <c:v>261156.74829428672</c:v>
                </c:pt>
                <c:pt idx="264">
                  <c:v>260809.64016502243</c:v>
                </c:pt>
                <c:pt idx="265">
                  <c:v>260461.66426543499</c:v>
                </c:pt>
                <c:pt idx="266">
                  <c:v>260112.81842609859</c:v>
                </c:pt>
                <c:pt idx="267">
                  <c:v>259763.10047216385</c:v>
                </c:pt>
                <c:pt idx="268">
                  <c:v>259412.50822334425</c:v>
                </c:pt>
                <c:pt idx="269">
                  <c:v>259061.03949390262</c:v>
                </c:pt>
                <c:pt idx="270">
                  <c:v>258708.69209263739</c:v>
                </c:pt>
                <c:pt idx="271">
                  <c:v>258355.46382286897</c:v>
                </c:pt>
                <c:pt idx="272">
                  <c:v>258001.35248242615</c:v>
                </c:pt>
                <c:pt idx="273">
                  <c:v>257646.35586363223</c:v>
                </c:pt>
                <c:pt idx="274">
                  <c:v>257290.47175329132</c:v>
                </c:pt>
                <c:pt idx="275">
                  <c:v>256933.69793267455</c:v>
                </c:pt>
                <c:pt idx="276">
                  <c:v>256576.03217750625</c:v>
                </c:pt>
                <c:pt idx="277">
                  <c:v>256217.47225795002</c:v>
                </c:pt>
                <c:pt idx="278">
                  <c:v>255858.01593859491</c:v>
                </c:pt>
                <c:pt idx="279">
                  <c:v>255497.66097844139</c:v>
                </c:pt>
                <c:pt idx="280">
                  <c:v>255136.40513088749</c:v>
                </c:pt>
                <c:pt idx="281">
                  <c:v>254774.2461437147</c:v>
                </c:pt>
                <c:pt idx="282">
                  <c:v>254411.18175907398</c:v>
                </c:pt>
                <c:pt idx="283">
                  <c:v>254047.20971347168</c:v>
                </c:pt>
                <c:pt idx="284">
                  <c:v>253682.32773775535</c:v>
                </c:pt>
                <c:pt idx="285">
                  <c:v>253316.53355709973</c:v>
                </c:pt>
                <c:pt idx="286">
                  <c:v>252949.82489099249</c:v>
                </c:pt>
                <c:pt idx="287">
                  <c:v>252582.19945321998</c:v>
                </c:pt>
                <c:pt idx="288">
                  <c:v>252213.65495185304</c:v>
                </c:pt>
                <c:pt idx="289">
                  <c:v>251844.18908923268</c:v>
                </c:pt>
                <c:pt idx="290">
                  <c:v>251473.79956195576</c:v>
                </c:pt>
                <c:pt idx="291">
                  <c:v>251102.48406086065</c:v>
                </c:pt>
                <c:pt idx="292">
                  <c:v>250730.24027101279</c:v>
                </c:pt>
                <c:pt idx="293">
                  <c:v>250357.06587169031</c:v>
                </c:pt>
                <c:pt idx="294">
                  <c:v>249982.95853636955</c:v>
                </c:pt>
                <c:pt idx="295">
                  <c:v>249607.91593271049</c:v>
                </c:pt>
                <c:pt idx="296">
                  <c:v>249231.93572254226</c:v>
                </c:pt>
                <c:pt idx="297">
                  <c:v>248855.01556184862</c:v>
                </c:pt>
                <c:pt idx="298">
                  <c:v>248477.15310075323</c:v>
                </c:pt>
                <c:pt idx="299">
                  <c:v>248098.3459835051</c:v>
                </c:pt>
                <c:pt idx="300">
                  <c:v>247718.59184846387</c:v>
                </c:pt>
                <c:pt idx="301">
                  <c:v>247337.88832808501</c:v>
                </c:pt>
                <c:pt idx="302">
                  <c:v>246956.23304890524</c:v>
                </c:pt>
                <c:pt idx="303">
                  <c:v>246573.6236315275</c:v>
                </c:pt>
                <c:pt idx="304">
                  <c:v>246190.05769060631</c:v>
                </c:pt>
                <c:pt idx="305">
                  <c:v>245805.53283483282</c:v>
                </c:pt>
                <c:pt idx="306">
                  <c:v>245420.04666691989</c:v>
                </c:pt>
                <c:pt idx="307">
                  <c:v>245033.59678358719</c:v>
                </c:pt>
                <c:pt idx="308">
                  <c:v>244646.18077554615</c:v>
                </c:pt>
                <c:pt idx="309">
                  <c:v>244257.796227485</c:v>
                </c:pt>
                <c:pt idx="310">
                  <c:v>243868.44071805372</c:v>
                </c:pt>
                <c:pt idx="311">
                  <c:v>243478.11181984885</c:v>
                </c:pt>
                <c:pt idx="312">
                  <c:v>243086.80709939849</c:v>
                </c:pt>
                <c:pt idx="313">
                  <c:v>242694.524117147</c:v>
                </c:pt>
                <c:pt idx="314">
                  <c:v>242301.26042743988</c:v>
                </c:pt>
                <c:pt idx="315">
                  <c:v>241907.01357850849</c:v>
                </c:pt>
                <c:pt idx="316">
                  <c:v>241511.78111245474</c:v>
                </c:pt>
                <c:pt idx="317">
                  <c:v>241115.56056523588</c:v>
                </c:pt>
                <c:pt idx="318">
                  <c:v>240718.34946664897</c:v>
                </c:pt>
                <c:pt idx="319">
                  <c:v>240320.14534031559</c:v>
                </c:pt>
                <c:pt idx="320">
                  <c:v>239920.94570366637</c:v>
                </c:pt>
                <c:pt idx="321">
                  <c:v>239520.74806792554</c:v>
                </c:pt>
                <c:pt idx="322">
                  <c:v>239119.54993809536</c:v>
                </c:pt>
                <c:pt idx="323">
                  <c:v>238717.34881294059</c:v>
                </c:pt>
                <c:pt idx="324">
                  <c:v>238314.14218497294</c:v>
                </c:pt>
                <c:pt idx="325">
                  <c:v>237909.92754043537</c:v>
                </c:pt>
                <c:pt idx="326">
                  <c:v>237504.70235928646</c:v>
                </c:pt>
                <c:pt idx="327">
                  <c:v>237098.46411518467</c:v>
                </c:pt>
                <c:pt idx="328">
                  <c:v>236691.21027547264</c:v>
                </c:pt>
                <c:pt idx="329">
                  <c:v>236282.93830116131</c:v>
                </c:pt>
                <c:pt idx="330">
                  <c:v>235873.6456469142</c:v>
                </c:pt>
                <c:pt idx="331">
                  <c:v>235463.32976103149</c:v>
                </c:pt>
                <c:pt idx="332">
                  <c:v>235051.98808543407</c:v>
                </c:pt>
                <c:pt idx="333">
                  <c:v>234639.61805564765</c:v>
                </c:pt>
                <c:pt idx="334">
                  <c:v>234226.21710078677</c:v>
                </c:pt>
                <c:pt idx="335">
                  <c:v>233811.78264353875</c:v>
                </c:pt>
                <c:pt idx="336">
                  <c:v>233396.3121001476</c:v>
                </c:pt>
                <c:pt idx="337">
                  <c:v>232979.80288039797</c:v>
                </c:pt>
                <c:pt idx="338">
                  <c:v>232562.25238759897</c:v>
                </c:pt>
                <c:pt idx="339">
                  <c:v>232143.65801856798</c:v>
                </c:pt>
                <c:pt idx="340">
                  <c:v>231724.01716361439</c:v>
                </c:pt>
                <c:pt idx="341">
                  <c:v>231303.32720652342</c:v>
                </c:pt>
                <c:pt idx="342">
                  <c:v>230881.58552453973</c:v>
                </c:pt>
                <c:pt idx="343">
                  <c:v>230458.78948835109</c:v>
                </c:pt>
                <c:pt idx="344">
                  <c:v>230034.93646207196</c:v>
                </c:pt>
                <c:pt idx="345">
                  <c:v>229610.02380322714</c:v>
                </c:pt>
                <c:pt idx="346">
                  <c:v>229184.04886273522</c:v>
                </c:pt>
                <c:pt idx="347">
                  <c:v>228757.00898489205</c:v>
                </c:pt>
                <c:pt idx="348">
                  <c:v>228328.90150735428</c:v>
                </c:pt>
                <c:pt idx="349">
                  <c:v>227899.72376112267</c:v>
                </c:pt>
                <c:pt idx="350">
                  <c:v>227469.47307052548</c:v>
                </c:pt>
                <c:pt idx="351">
                  <c:v>227038.14675320179</c:v>
                </c:pt>
                <c:pt idx="352">
                  <c:v>226605.74212008479</c:v>
                </c:pt>
                <c:pt idx="353">
                  <c:v>226172.25647538499</c:v>
                </c:pt>
                <c:pt idx="354">
                  <c:v>225737.68711657345</c:v>
                </c:pt>
                <c:pt idx="355">
                  <c:v>225302.03133436487</c:v>
                </c:pt>
                <c:pt idx="356">
                  <c:v>224865.28641270078</c:v>
                </c:pt>
                <c:pt idx="357">
                  <c:v>224427.44962873252</c:v>
                </c:pt>
                <c:pt idx="358">
                  <c:v>223988.51825280435</c:v>
                </c:pt>
                <c:pt idx="359">
                  <c:v>223548.48954843637</c:v>
                </c:pt>
                <c:pt idx="360">
                  <c:v>223107.36077230747</c:v>
                </c:pt>
                <c:pt idx="361">
                  <c:v>222665.12917423825</c:v>
                </c:pt>
                <c:pt idx="362">
                  <c:v>222221.79199717383</c:v>
                </c:pt>
                <c:pt idx="363">
                  <c:v>221777.34647716678</c:v>
                </c:pt>
                <c:pt idx="364">
                  <c:v>221331.7898433597</c:v>
                </c:pt>
                <c:pt idx="365">
                  <c:v>220885.11931796808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98-4082-A59D-A819440F2E7C}"/>
            </c:ext>
          </c:extLst>
        </c:ser>
        <c:ser>
          <c:idx val="1"/>
          <c:order val="1"/>
          <c:tx>
            <c:strRef>
              <c:f>'Kam 3.0% 328000'!$H$678</c:f>
              <c:strCache>
                <c:ptCount val="1"/>
                <c:pt idx="0">
                  <c:v>674</c:v>
                </c:pt>
              </c:strCache>
            </c:strRef>
          </c:tx>
          <c:invertIfNegative val="0"/>
          <c:cat>
            <c:numRef>
              <c:f>'Kam 3.0% 328000'!$H$5:$H$371</c:f>
              <c:numCache>
                <c:formatCode>General</c:formatCode>
                <c:ptCount val="3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4898-4082-A59D-A819440F2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549056"/>
        <c:axId val="85550592"/>
        <c:axId val="0"/>
      </c:bar3DChart>
      <c:catAx>
        <c:axId val="8554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550592"/>
        <c:crosses val="autoZero"/>
        <c:auto val="1"/>
        <c:lblAlgn val="ctr"/>
        <c:lblOffset val="100"/>
        <c:noMultiLvlLbl val="0"/>
      </c:catAx>
      <c:valAx>
        <c:axId val="8555059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55490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81464057909164"/>
          <c:y val="0.49964205930569361"/>
          <c:w val="0.24918535942090836"/>
          <c:h val="0.1560553474505007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0223862642169732"/>
          <c:y val="6.9707877424412854E-2"/>
          <c:w val="0.77134035710324944"/>
          <c:h val="0.84348842758291576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'Kam 3.5% 96000'!$B$5:$B$339</c:f>
              <c:numCache>
                <c:formatCode>_(* #,##0.00_);_(* \(#,##0.00\);_(* "-"??_);_(@_)</c:formatCode>
                <c:ptCount val="335"/>
                <c:pt idx="0">
                  <c:v>96000</c:v>
                </c:pt>
                <c:pt idx="1">
                  <c:v>95830</c:v>
                </c:pt>
                <c:pt idx="2">
                  <c:v>95659.504166666666</c:v>
                </c:pt>
                <c:pt idx="3">
                  <c:v>95488.511053819442</c:v>
                </c:pt>
                <c:pt idx="4">
                  <c:v>95317.019211059742</c:v>
                </c:pt>
                <c:pt idx="5">
                  <c:v>95145.027183758662</c:v>
                </c:pt>
                <c:pt idx="6">
                  <c:v>94972.533513044618</c:v>
                </c:pt>
                <c:pt idx="7">
                  <c:v>94799.536735791</c:v>
                </c:pt>
                <c:pt idx="8">
                  <c:v>94626.035384603718</c:v>
                </c:pt>
                <c:pt idx="9">
                  <c:v>94452.027987808819</c:v>
                </c:pt>
                <c:pt idx="10">
                  <c:v>94277.513069439927</c:v>
                </c:pt>
                <c:pt idx="11">
                  <c:v>94102.489149225788</c:v>
                </c:pt>
                <c:pt idx="12">
                  <c:v>93926.954742577698</c:v>
                </c:pt>
                <c:pt idx="13">
                  <c:v>93750.908360576883</c:v>
                </c:pt>
                <c:pt idx="14">
                  <c:v>93574.348509961899</c:v>
                </c:pt>
                <c:pt idx="15">
                  <c:v>93397.27369311596</c:v>
                </c:pt>
                <c:pt idx="16">
                  <c:v>93219.682408054214</c:v>
                </c:pt>
                <c:pt idx="17">
                  <c:v>93041.573148411044</c:v>
                </c:pt>
                <c:pt idx="18">
                  <c:v>92862.944403427246</c:v>
                </c:pt>
                <c:pt idx="19">
                  <c:v>92683.794657937236</c:v>
                </c:pt>
                <c:pt idx="20">
                  <c:v>92504.122392356221</c:v>
                </c:pt>
                <c:pt idx="21">
                  <c:v>92323.926082667254</c:v>
                </c:pt>
                <c:pt idx="22">
                  <c:v>92143.204200408363</c:v>
                </c:pt>
                <c:pt idx="23">
                  <c:v>91961.955212659552</c:v>
                </c:pt>
                <c:pt idx="24">
                  <c:v>91780.177582029806</c:v>
                </c:pt>
                <c:pt idx="25">
                  <c:v>91597.869766644057</c:v>
                </c:pt>
                <c:pt idx="26">
                  <c:v>91415.030220130095</c:v>
                </c:pt>
                <c:pt idx="27">
                  <c:v>91231.657391605477</c:v>
                </c:pt>
                <c:pt idx="28">
                  <c:v>91047.749725664326</c:v>
                </c:pt>
                <c:pt idx="29">
                  <c:v>90863.305662364175</c:v>
                </c:pt>
                <c:pt idx="30">
                  <c:v>90678.323637212743</c:v>
                </c:pt>
                <c:pt idx="31">
                  <c:v>90492.802081154616</c:v>
                </c:pt>
                <c:pt idx="32">
                  <c:v>90306.739420557977</c:v>
                </c:pt>
                <c:pt idx="33">
                  <c:v>90120.134077201277</c:v>
                </c:pt>
                <c:pt idx="34">
                  <c:v>89932.984468259776</c:v>
                </c:pt>
                <c:pt idx="35">
                  <c:v>89745.289006292194</c:v>
                </c:pt>
                <c:pt idx="36">
                  <c:v>89557.046099227213</c:v>
                </c:pt>
                <c:pt idx="37">
                  <c:v>89368.254150349952</c:v>
                </c:pt>
                <c:pt idx="38">
                  <c:v>89178.91155828847</c:v>
                </c:pt>
                <c:pt idx="39">
                  <c:v>88989.016717000151</c:v>
                </c:pt>
                <c:pt idx="40">
                  <c:v>88798.568015758065</c:v>
                </c:pt>
                <c:pt idx="41">
                  <c:v>88607.563839137365</c:v>
                </c:pt>
                <c:pt idx="42">
                  <c:v>88416.002567001517</c:v>
                </c:pt>
                <c:pt idx="43">
                  <c:v>88223.882574488598</c:v>
                </c:pt>
                <c:pt idx="44">
                  <c:v>88031.202231997522</c:v>
                </c:pt>
                <c:pt idx="45">
                  <c:v>87837.959905174182</c:v>
                </c:pt>
                <c:pt idx="46">
                  <c:v>87644.153954897614</c:v>
                </c:pt>
                <c:pt idx="47">
                  <c:v>87449.782737266069</c:v>
                </c:pt>
                <c:pt idx="48">
                  <c:v>87254.8446035831</c:v>
                </c:pt>
                <c:pt idx="49">
                  <c:v>87059.337900343555</c:v>
                </c:pt>
                <c:pt idx="50">
                  <c:v>86863.260969219555</c:v>
                </c:pt>
                <c:pt idx="51">
                  <c:v>86666.612147046442</c:v>
                </c:pt>
                <c:pt idx="52">
                  <c:v>86469.389765808664</c:v>
                </c:pt>
                <c:pt idx="53">
                  <c:v>86271.592152625613</c:v>
                </c:pt>
                <c:pt idx="54">
                  <c:v>86073.217629737439</c:v>
                </c:pt>
                <c:pt idx="55">
                  <c:v>85874.264514490846</c:v>
                </c:pt>
                <c:pt idx="56">
                  <c:v>85674.731119324773</c:v>
                </c:pt>
                <c:pt idx="57">
                  <c:v>85474.615751756137</c:v>
                </c:pt>
                <c:pt idx="58">
                  <c:v>85273.916714365419</c:v>
                </c:pt>
                <c:pt idx="59">
                  <c:v>85072.632304782324</c:v>
                </c:pt>
                <c:pt idx="60">
                  <c:v>84870.760815671267</c:v>
                </c:pt>
                <c:pt idx="61">
                  <c:v>84668.300534716967</c:v>
                </c:pt>
                <c:pt idx="62">
                  <c:v>84465.249744609886</c:v>
                </c:pt>
                <c:pt idx="63">
                  <c:v>84261.606723031669</c:v>
                </c:pt>
                <c:pt idx="64">
                  <c:v>84057.369742640512</c:v>
                </c:pt>
                <c:pt idx="65">
                  <c:v>83852.537071056548</c:v>
                </c:pt>
                <c:pt idx="66">
                  <c:v>83647.106970847133</c:v>
                </c:pt>
                <c:pt idx="67">
                  <c:v>83441.077699512098</c:v>
                </c:pt>
                <c:pt idx="68">
                  <c:v>83234.447509469013</c:v>
                </c:pt>
                <c:pt idx="69">
                  <c:v>83027.214648038294</c:v>
                </c:pt>
                <c:pt idx="70">
                  <c:v>82819.377357428413</c:v>
                </c:pt>
                <c:pt idx="71">
                  <c:v>82610.933874720911</c:v>
                </c:pt>
                <c:pt idx="72">
                  <c:v>82401.882431855513</c:v>
                </c:pt>
                <c:pt idx="73">
                  <c:v>82192.221255615092</c:v>
                </c:pt>
                <c:pt idx="74">
                  <c:v>81981.948567610641</c:v>
                </c:pt>
                <c:pt idx="75">
                  <c:v>81771.062584266168</c:v>
                </c:pt>
                <c:pt idx="76">
                  <c:v>81559.561516803617</c:v>
                </c:pt>
                <c:pt idx="77">
                  <c:v>81347.443571227632</c:v>
                </c:pt>
                <c:pt idx="78">
                  <c:v>81134.706948310384</c:v>
                </c:pt>
                <c:pt idx="79">
                  <c:v>80921.349843576289</c:v>
                </c:pt>
                <c:pt idx="80">
                  <c:v>80707.370447286725</c:v>
                </c:pt>
                <c:pt idx="81">
                  <c:v>80492.766944424642</c:v>
                </c:pt>
                <c:pt idx="82">
                  <c:v>80277.537514679221</c:v>
                </c:pt>
                <c:pt idx="83">
                  <c:v>80061.680332430362</c:v>
                </c:pt>
                <c:pt idx="84">
                  <c:v>79845.193566733287</c:v>
                </c:pt>
                <c:pt idx="85">
                  <c:v>79628.07538130293</c:v>
                </c:pt>
                <c:pt idx="86">
                  <c:v>79410.323934498403</c:v>
                </c:pt>
                <c:pt idx="87">
                  <c:v>79191.937379307361</c:v>
                </c:pt>
                <c:pt idx="88">
                  <c:v>78972.913863330337</c:v>
                </c:pt>
                <c:pt idx="89">
                  <c:v>78753.251528765046</c:v>
                </c:pt>
                <c:pt idx="90">
                  <c:v>78532.948512390605</c:v>
                </c:pt>
                <c:pt idx="91">
                  <c:v>78312.002945551751</c:v>
                </c:pt>
                <c:pt idx="92">
                  <c:v>78090.412954142943</c:v>
                </c:pt>
                <c:pt idx="93">
                  <c:v>77868.176658592522</c:v>
                </c:pt>
                <c:pt idx="94">
                  <c:v>77645.292173846756</c:v>
                </c:pt>
                <c:pt idx="95">
                  <c:v>77421.757609353808</c:v>
                </c:pt>
                <c:pt idx="96">
                  <c:v>77197.571069047757</c:v>
                </c:pt>
                <c:pt idx="97">
                  <c:v>76972.730651332473</c:v>
                </c:pt>
                <c:pt idx="98">
                  <c:v>76747.234449065523</c:v>
                </c:pt>
                <c:pt idx="99">
                  <c:v>76521.080549541963</c:v>
                </c:pt>
                <c:pt idx="100">
                  <c:v>76294.267034478122</c:v>
                </c:pt>
                <c:pt idx="101">
                  <c:v>76066.791979995352</c:v>
                </c:pt>
                <c:pt idx="102">
                  <c:v>75838.653456603672</c:v>
                </c:pt>
                <c:pt idx="103">
                  <c:v>75609.849529185434</c:v>
                </c:pt>
                <c:pt idx="104">
                  <c:v>75380.378256978889</c:v>
                </c:pt>
                <c:pt idx="105">
                  <c:v>75150.23769356175</c:v>
                </c:pt>
                <c:pt idx="106">
                  <c:v>74919.425886834637</c:v>
                </c:pt>
                <c:pt idx="107">
                  <c:v>74687.940879004571</c:v>
                </c:pt>
                <c:pt idx="108">
                  <c:v>74455.78070656833</c:v>
                </c:pt>
                <c:pt idx="109">
                  <c:v>74222.943400295815</c:v>
                </c:pt>
                <c:pt idx="110">
                  <c:v>73989.426985213344</c:v>
                </c:pt>
                <c:pt idx="111">
                  <c:v>73755.229480586888</c:v>
                </c:pt>
                <c:pt idx="112">
                  <c:v>73520.348899905264</c:v>
                </c:pt>
                <c:pt idx="113">
                  <c:v>73284.783250863315</c:v>
                </c:pt>
                <c:pt idx="114">
                  <c:v>73048.530535344995</c:v>
                </c:pt>
                <c:pt idx="115">
                  <c:v>72811.588749406423</c:v>
                </c:pt>
                <c:pt idx="116">
                  <c:v>72573.955883258852</c:v>
                </c:pt>
                <c:pt idx="117">
                  <c:v>72335.62992125169</c:v>
                </c:pt>
                <c:pt idx="118">
                  <c:v>72096.608841855341</c:v>
                </c:pt>
                <c:pt idx="119">
                  <c:v>71856.89061764408</c:v>
                </c:pt>
                <c:pt idx="120">
                  <c:v>71616.473215278878</c:v>
                </c:pt>
                <c:pt idx="121">
                  <c:v>71375.354595490106</c:v>
                </c:pt>
                <c:pt idx="122">
                  <c:v>71133.532713060282</c:v>
                </c:pt>
                <c:pt idx="123">
                  <c:v>70891.005516806705</c:v>
                </c:pt>
                <c:pt idx="124">
                  <c:v>70647.770949564059</c:v>
                </c:pt>
                <c:pt idx="125">
                  <c:v>70403.826948166956</c:v>
                </c:pt>
                <c:pt idx="126">
                  <c:v>70159.171443432439</c:v>
                </c:pt>
                <c:pt idx="127">
                  <c:v>69913.80236014245</c:v>
                </c:pt>
                <c:pt idx="128">
                  <c:v>69667.717617026196</c:v>
                </c:pt>
                <c:pt idx="129">
                  <c:v>69420.915126742519</c:v>
                </c:pt>
                <c:pt idx="130">
                  <c:v>69173.392795862179</c:v>
                </c:pt>
                <c:pt idx="131">
                  <c:v>68925.148524850112</c:v>
                </c:pt>
                <c:pt idx="132">
                  <c:v>68676.18020804759</c:v>
                </c:pt>
                <c:pt idx="133">
                  <c:v>68426.485733654394</c:v>
                </c:pt>
                <c:pt idx="134">
                  <c:v>68176.062983710886</c:v>
                </c:pt>
                <c:pt idx="135">
                  <c:v>67924.909834080041</c:v>
                </c:pt>
                <c:pt idx="136">
                  <c:v>67673.02415442944</c:v>
                </c:pt>
                <c:pt idx="137">
                  <c:v>67420.403808213188</c:v>
                </c:pt>
                <c:pt idx="138">
                  <c:v>67167.046652653808</c:v>
                </c:pt>
                <c:pt idx="139">
                  <c:v>66912.95053872405</c:v>
                </c:pt>
                <c:pt idx="140">
                  <c:v>66658.113311128662</c:v>
                </c:pt>
                <c:pt idx="141">
                  <c:v>66402.532808286123</c:v>
                </c:pt>
                <c:pt idx="142">
                  <c:v>66146.206862310297</c:v>
                </c:pt>
                <c:pt idx="143">
                  <c:v>65889.133298992034</c:v>
                </c:pt>
                <c:pt idx="144">
                  <c:v>65631.309937780767</c:v>
                </c:pt>
                <c:pt idx="145">
                  <c:v>65372.734591765955</c:v>
                </c:pt>
                <c:pt idx="146">
                  <c:v>65113.405067658605</c:v>
                </c:pt>
                <c:pt idx="147">
                  <c:v>64853.319165772606</c:v>
                </c:pt>
                <c:pt idx="148">
                  <c:v>64592.474680006111</c:v>
                </c:pt>
                <c:pt idx="149">
                  <c:v>64330.869397822797</c:v>
                </c:pt>
                <c:pt idx="150">
                  <c:v>64068.501100233116</c:v>
                </c:pt>
                <c:pt idx="151">
                  <c:v>63805.367561775463</c:v>
                </c:pt>
                <c:pt idx="152">
                  <c:v>63541.466550497309</c:v>
                </c:pt>
                <c:pt idx="153">
                  <c:v>63276.795827936257</c:v>
                </c:pt>
                <c:pt idx="154">
                  <c:v>63011.353149101073</c:v>
                </c:pt>
                <c:pt idx="155">
                  <c:v>62745.136262452615</c:v>
                </c:pt>
                <c:pt idx="156">
                  <c:v>62478.142909884766</c:v>
                </c:pt>
                <c:pt idx="157">
                  <c:v>62210.370826705264</c:v>
                </c:pt>
                <c:pt idx="158">
                  <c:v>61941.817741616491</c:v>
                </c:pt>
                <c:pt idx="159">
                  <c:v>61672.481376696203</c:v>
                </c:pt>
                <c:pt idx="160">
                  <c:v>61402.359447378236</c:v>
                </c:pt>
                <c:pt idx="161">
                  <c:v>61131.449662433086</c:v>
                </c:pt>
                <c:pt idx="162">
                  <c:v>60859.749723948516</c:v>
                </c:pt>
                <c:pt idx="163">
                  <c:v>60587.257327310035</c:v>
                </c:pt>
                <c:pt idx="164">
                  <c:v>60313.970161181358</c:v>
                </c:pt>
                <c:pt idx="165">
                  <c:v>60039.885907484801</c:v>
                </c:pt>
                <c:pt idx="166">
                  <c:v>59765.002241381633</c:v>
                </c:pt>
                <c:pt idx="167">
                  <c:v>59489.316831252327</c:v>
                </c:pt>
                <c:pt idx="168">
                  <c:v>59212.827338676812</c:v>
                </c:pt>
                <c:pt idx="169">
                  <c:v>58935.531418414619</c:v>
                </c:pt>
                <c:pt idx="170">
                  <c:v>58657.426718384995</c:v>
                </c:pt>
                <c:pt idx="171">
                  <c:v>58378.51087964695</c:v>
                </c:pt>
                <c:pt idx="172">
                  <c:v>58098.781536379254</c:v>
                </c:pt>
                <c:pt idx="173">
                  <c:v>57818.236315860362</c:v>
                </c:pt>
                <c:pt idx="174">
                  <c:v>57536.872838448289</c:v>
                </c:pt>
                <c:pt idx="175">
                  <c:v>57254.688717560428</c:v>
                </c:pt>
                <c:pt idx="176">
                  <c:v>56971.681559653312</c:v>
                </c:pt>
                <c:pt idx="177">
                  <c:v>56687.848964202298</c:v>
                </c:pt>
                <c:pt idx="178">
                  <c:v>56403.188523681223</c:v>
                </c:pt>
                <c:pt idx="179">
                  <c:v>56117.697823541959</c:v>
                </c:pt>
                <c:pt idx="180">
                  <c:v>55831.374442193955</c:v>
                </c:pt>
                <c:pt idx="181">
                  <c:v>55544.215950983686</c:v>
                </c:pt>
                <c:pt idx="182">
                  <c:v>55256.219914174057</c:v>
                </c:pt>
                <c:pt idx="183">
                  <c:v>54967.38388892373</c:v>
                </c:pt>
                <c:pt idx="184">
                  <c:v>54677.705425266424</c:v>
                </c:pt>
                <c:pt idx="185">
                  <c:v>54387.182066090114</c:v>
                </c:pt>
                <c:pt idx="186">
                  <c:v>54095.811347116207</c:v>
                </c:pt>
                <c:pt idx="187">
                  <c:v>53803.590796878627</c:v>
                </c:pt>
                <c:pt idx="188">
                  <c:v>53510.517936702854</c:v>
                </c:pt>
                <c:pt idx="189">
                  <c:v>53216.590280684904</c:v>
                </c:pt>
                <c:pt idx="190">
                  <c:v>52921.805335670237</c:v>
                </c:pt>
                <c:pt idx="191">
                  <c:v>52626.160601232608</c:v>
                </c:pt>
                <c:pt idx="192">
                  <c:v>52329.653569652874</c:v>
                </c:pt>
                <c:pt idx="193">
                  <c:v>52032.281725897694</c:v>
                </c:pt>
                <c:pt idx="194">
                  <c:v>51734.042547598227</c:v>
                </c:pt>
                <c:pt idx="195">
                  <c:v>51434.933505028719</c:v>
                </c:pt>
                <c:pt idx="196">
                  <c:v>51134.952061085052</c:v>
                </c:pt>
                <c:pt idx="197">
                  <c:v>50834.095671263218</c:v>
                </c:pt>
                <c:pt idx="198">
                  <c:v>50532.361783637738</c:v>
                </c:pt>
                <c:pt idx="199">
                  <c:v>50229.747838840012</c:v>
                </c:pt>
                <c:pt idx="200">
                  <c:v>49926.251270036628</c:v>
                </c:pt>
                <c:pt idx="201">
                  <c:v>49621.869502907568</c:v>
                </c:pt>
                <c:pt idx="202">
                  <c:v>49316.599955624384</c:v>
                </c:pt>
                <c:pt idx="203">
                  <c:v>49010.440038828288</c:v>
                </c:pt>
                <c:pt idx="204">
                  <c:v>48703.387155608201</c:v>
                </c:pt>
                <c:pt idx="205">
                  <c:v>48395.438701478728</c:v>
                </c:pt>
                <c:pt idx="206">
                  <c:v>48086.592064358039</c:v>
                </c:pt>
                <c:pt idx="207">
                  <c:v>47776.844624545753</c:v>
                </c:pt>
                <c:pt idx="208">
                  <c:v>47466.193754700675</c:v>
                </c:pt>
                <c:pt idx="209">
                  <c:v>47154.636819818552</c:v>
                </c:pt>
                <c:pt idx="210">
                  <c:v>46842.17117720969</c:v>
                </c:pt>
                <c:pt idx="211">
                  <c:v>46528.794176476549</c:v>
                </c:pt>
                <c:pt idx="212">
                  <c:v>46214.503159491273</c:v>
                </c:pt>
                <c:pt idx="213">
                  <c:v>45899.29546037312</c:v>
                </c:pt>
                <c:pt idx="214">
                  <c:v>45583.168405465876</c:v>
                </c:pt>
                <c:pt idx="215">
                  <c:v>45266.119313315154</c:v>
                </c:pt>
                <c:pt idx="216">
                  <c:v>44948.145494645658</c:v>
                </c:pt>
                <c:pt idx="217">
                  <c:v>44629.244252338372</c:v>
                </c:pt>
                <c:pt idx="218">
                  <c:v>44309.41288140769</c:v>
                </c:pt>
                <c:pt idx="219">
                  <c:v>43988.648668978465</c:v>
                </c:pt>
                <c:pt idx="220">
                  <c:v>43666.948894262983</c:v>
                </c:pt>
                <c:pt idx="221">
                  <c:v>43344.31082853792</c:v>
                </c:pt>
                <c:pt idx="222">
                  <c:v>43020.731735121153</c:v>
                </c:pt>
                <c:pt idx="223">
                  <c:v>42696.208869348593</c:v>
                </c:pt>
                <c:pt idx="224">
                  <c:v>42370.739478550859</c:v>
                </c:pt>
                <c:pt idx="225">
                  <c:v>42044.320802029964</c:v>
                </c:pt>
                <c:pt idx="226">
                  <c:v>41716.950071035884</c:v>
                </c:pt>
                <c:pt idx="227">
                  <c:v>41388.624508743073</c:v>
                </c:pt>
                <c:pt idx="228">
                  <c:v>41059.341330226904</c:v>
                </c:pt>
                <c:pt idx="229">
                  <c:v>40729.097742440063</c:v>
                </c:pt>
                <c:pt idx="230">
                  <c:v>40397.890944188846</c:v>
                </c:pt>
                <c:pt idx="231">
                  <c:v>40065.718126109394</c:v>
                </c:pt>
                <c:pt idx="232">
                  <c:v>39732.576470643879</c:v>
                </c:pt>
                <c:pt idx="233">
                  <c:v>39398.463152016593</c:v>
                </c:pt>
                <c:pt idx="234">
                  <c:v>39063.375336209974</c:v>
                </c:pt>
                <c:pt idx="235">
                  <c:v>38727.310180940585</c:v>
                </c:pt>
                <c:pt idx="236">
                  <c:v>38390.264835634996</c:v>
                </c:pt>
                <c:pt idx="237">
                  <c:v>38052.236441405599</c:v>
                </c:pt>
                <c:pt idx="238">
                  <c:v>37713.222131026363</c:v>
                </c:pt>
                <c:pt idx="239">
                  <c:v>37373.219028908527</c:v>
                </c:pt>
                <c:pt idx="240">
                  <c:v>37032.224251076179</c:v>
                </c:pt>
                <c:pt idx="241">
                  <c:v>36690.23490514182</c:v>
                </c:pt>
                <c:pt idx="242">
                  <c:v>36347.248090281821</c:v>
                </c:pt>
                <c:pt idx="243">
                  <c:v>36003.260897211811</c:v>
                </c:pt>
                <c:pt idx="244">
                  <c:v>35658.27040816201</c:v>
                </c:pt>
                <c:pt idx="245">
                  <c:v>35312.273696852484</c:v>
                </c:pt>
                <c:pt idx="246">
                  <c:v>34965.267828468306</c:v>
                </c:pt>
                <c:pt idx="247">
                  <c:v>34617.24985963467</c:v>
                </c:pt>
                <c:pt idx="248">
                  <c:v>34268.216838391942</c:v>
                </c:pt>
                <c:pt idx="249">
                  <c:v>33918.165804170581</c:v>
                </c:pt>
                <c:pt idx="250">
                  <c:v>33567.093787766076</c:v>
                </c:pt>
                <c:pt idx="251">
                  <c:v>33214.997811313726</c:v>
                </c:pt>
                <c:pt idx="252">
                  <c:v>32861.874888263388</c:v>
                </c:pt>
                <c:pt idx="253">
                  <c:v>32507.722023354159</c:v>
                </c:pt>
                <c:pt idx="254">
                  <c:v>32152.536212588941</c:v>
                </c:pt>
                <c:pt idx="255">
                  <c:v>31796.31444320899</c:v>
                </c:pt>
                <c:pt idx="256">
                  <c:v>31439.053693668349</c:v>
                </c:pt>
                <c:pt idx="257">
                  <c:v>31080.750933608215</c:v>
                </c:pt>
                <c:pt idx="258">
                  <c:v>30721.403123831238</c:v>
                </c:pt>
                <c:pt idx="259">
                  <c:v>30361.007216275746</c:v>
                </c:pt>
                <c:pt idx="260">
                  <c:v>29999.560153989885</c:v>
                </c:pt>
                <c:pt idx="261">
                  <c:v>29637.058871105688</c:v>
                </c:pt>
                <c:pt idx="262">
                  <c:v>29273.500292813078</c:v>
                </c:pt>
                <c:pt idx="263">
                  <c:v>28908.881335333783</c:v>
                </c:pt>
                <c:pt idx="264">
                  <c:v>28543.198905895173</c:v>
                </c:pt>
                <c:pt idx="265">
                  <c:v>28176.449902704033</c:v>
                </c:pt>
                <c:pt idx="266">
                  <c:v>27808.631214920253</c:v>
                </c:pt>
                <c:pt idx="267">
                  <c:v>27439.739722630438</c:v>
                </c:pt>
                <c:pt idx="268">
                  <c:v>27069.772296821444</c:v>
                </c:pt>
                <c:pt idx="269">
                  <c:v>26698.725799353841</c:v>
                </c:pt>
                <c:pt idx="270">
                  <c:v>26326.597082935288</c:v>
                </c:pt>
                <c:pt idx="271">
                  <c:v>25953.382991093851</c:v>
                </c:pt>
                <c:pt idx="272">
                  <c:v>25579.080358151208</c:v>
                </c:pt>
                <c:pt idx="273">
                  <c:v>25203.686009195815</c:v>
                </c:pt>
                <c:pt idx="274">
                  <c:v>24827.196760055969</c:v>
                </c:pt>
                <c:pt idx="275">
                  <c:v>24449.609417272801</c:v>
                </c:pt>
                <c:pt idx="276">
                  <c:v>24070.920778073181</c:v>
                </c:pt>
                <c:pt idx="277">
                  <c:v>23691.127630342562</c:v>
                </c:pt>
                <c:pt idx="278">
                  <c:v>23310.22675259773</c:v>
                </c:pt>
                <c:pt idx="279">
                  <c:v>22928.214913959473</c:v>
                </c:pt>
                <c:pt idx="280">
                  <c:v>22545.088874125187</c:v>
                </c:pt>
                <c:pt idx="281">
                  <c:v>22160.845383341384</c:v>
                </c:pt>
                <c:pt idx="282">
                  <c:v>21775.48118237613</c:v>
                </c:pt>
                <c:pt idx="283">
                  <c:v>21388.993002491396</c:v>
                </c:pt>
                <c:pt idx="284">
                  <c:v>21001.377565415329</c:v>
                </c:pt>
                <c:pt idx="285">
                  <c:v>20612.631583314458</c:v>
                </c:pt>
                <c:pt idx="286">
                  <c:v>20222.751758765793</c:v>
                </c:pt>
                <c:pt idx="287">
                  <c:v>19831.734784728858</c:v>
                </c:pt>
                <c:pt idx="288">
                  <c:v>19439.577344517649</c:v>
                </c:pt>
                <c:pt idx="289">
                  <c:v>19046.276111772491</c:v>
                </c:pt>
                <c:pt idx="290">
                  <c:v>18651.827750431828</c:v>
                </c:pt>
                <c:pt idx="291">
                  <c:v>18256.228914703923</c:v>
                </c:pt>
                <c:pt idx="292">
                  <c:v>17859.476249038475</c:v>
                </c:pt>
                <c:pt idx="293">
                  <c:v>17461.56638809817</c:v>
                </c:pt>
                <c:pt idx="294">
                  <c:v>17062.495956730123</c:v>
                </c:pt>
                <c:pt idx="295">
                  <c:v>16662.261569937251</c:v>
                </c:pt>
                <c:pt idx="296">
                  <c:v>16260.859832849568</c:v>
                </c:pt>
                <c:pt idx="297">
                  <c:v>15858.287340695379</c:v>
                </c:pt>
                <c:pt idx="298">
                  <c:v>15454.540678772406</c:v>
                </c:pt>
                <c:pt idx="299">
                  <c:v>15049.616422418825</c:v>
                </c:pt>
                <c:pt idx="300">
                  <c:v>14643.511136984212</c:v>
                </c:pt>
                <c:pt idx="301">
                  <c:v>14236.221377800417</c:v>
                </c:pt>
                <c:pt idx="302">
                  <c:v>13827.743690152334</c:v>
                </c:pt>
                <c:pt idx="303">
                  <c:v>13418.074609248612</c:v>
                </c:pt>
                <c:pt idx="304">
                  <c:v>13007.210660192253</c:v>
                </c:pt>
                <c:pt idx="305">
                  <c:v>12595.148357951148</c:v>
                </c:pt>
                <c:pt idx="306">
                  <c:v>12181.884207328505</c:v>
                </c:pt>
                <c:pt idx="307">
                  <c:v>11767.414702933213</c:v>
                </c:pt>
                <c:pt idx="308">
                  <c:v>11351.736329150101</c:v>
                </c:pt>
                <c:pt idx="309">
                  <c:v>10934.845560110121</c:v>
                </c:pt>
                <c:pt idx="310">
                  <c:v>10516.738859660443</c:v>
                </c:pt>
                <c:pt idx="311">
                  <c:v>10097.412681334454</c:v>
                </c:pt>
                <c:pt idx="312">
                  <c:v>9676.8634683216787</c:v>
                </c:pt>
                <c:pt idx="313">
                  <c:v>9255.0876534376166</c:v>
                </c:pt>
                <c:pt idx="314">
                  <c:v>8832.0816590934755</c:v>
                </c:pt>
                <c:pt idx="315">
                  <c:v>8407.841897265831</c:v>
                </c:pt>
                <c:pt idx="316">
                  <c:v>7982.3647694661904</c:v>
                </c:pt>
                <c:pt idx="317">
                  <c:v>7555.6466667104669</c:v>
                </c:pt>
                <c:pt idx="318">
                  <c:v>7127.683969488372</c:v>
                </c:pt>
                <c:pt idx="319">
                  <c:v>6698.473047732713</c:v>
                </c:pt>
                <c:pt idx="320">
                  <c:v>6268.0102607886001</c:v>
                </c:pt>
                <c:pt idx="321">
                  <c:v>5836.2919573825666</c:v>
                </c:pt>
                <c:pt idx="322">
                  <c:v>5403.3144755915991</c:v>
                </c:pt>
                <c:pt idx="323">
                  <c:v>4969.0741428120746</c:v>
                </c:pt>
                <c:pt idx="324">
                  <c:v>4533.5672757286102</c:v>
                </c:pt>
                <c:pt idx="325">
                  <c:v>4096.7901802828183</c:v>
                </c:pt>
                <c:pt idx="326">
                  <c:v>3658.7391516419766</c:v>
                </c:pt>
                <c:pt idx="327">
                  <c:v>3219.4104741675992</c:v>
                </c:pt>
                <c:pt idx="328">
                  <c:v>2778.8004213839213</c:v>
                </c:pt>
                <c:pt idx="329">
                  <c:v>2336.9052559462912</c:v>
                </c:pt>
                <c:pt idx="330">
                  <c:v>1893.7212296094676</c:v>
                </c:pt>
                <c:pt idx="331">
                  <c:v>1449.2445831958287</c:v>
                </c:pt>
                <c:pt idx="332">
                  <c:v>1003.4715465634831</c:v>
                </c:pt>
                <c:pt idx="333">
                  <c:v>556.39833857429323</c:v>
                </c:pt>
                <c:pt idx="334">
                  <c:v>108.02116706180163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F-4AD6-A0C9-84624D894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230464"/>
        <c:axId val="119232000"/>
        <c:axId val="0"/>
      </c:bar3DChart>
      <c:catAx>
        <c:axId val="119230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232000"/>
        <c:crosses val="autoZero"/>
        <c:auto val="1"/>
        <c:lblAlgn val="ctr"/>
        <c:lblOffset val="100"/>
        <c:noMultiLvlLbl val="0"/>
      </c:catAx>
      <c:valAx>
        <c:axId val="119232000"/>
        <c:scaling>
          <c:orientation val="minMax"/>
          <c:max val="96000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19230464"/>
        <c:crosses val="autoZero"/>
        <c:crossBetween val="between"/>
        <c:majorUnit val="10000"/>
        <c:minorUnit val="200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0223862642169732"/>
          <c:y val="6.9707877424412854E-2"/>
          <c:w val="0.77134035710324944"/>
          <c:h val="0.84348842758291576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'Kam 3.5%41000'!$B$5:$B$228</c:f>
              <c:numCache>
                <c:formatCode>_(* #,##0.00_);_(* \(#,##0.00\);_(* "-"??_);_(@_)</c:formatCode>
                <c:ptCount val="224"/>
                <c:pt idx="0">
                  <c:v>41000</c:v>
                </c:pt>
                <c:pt idx="1">
                  <c:v>40869.583333333336</c:v>
                </c:pt>
                <c:pt idx="2">
                  <c:v>40738.786284722228</c:v>
                </c:pt>
                <c:pt idx="3">
                  <c:v>40607.607744719331</c:v>
                </c:pt>
                <c:pt idx="4">
                  <c:v>40476.046600641428</c:v>
                </c:pt>
                <c:pt idx="5">
                  <c:v>40344.101736559969</c:v>
                </c:pt>
                <c:pt idx="6">
                  <c:v>40211.7720332916</c:v>
                </c:pt>
                <c:pt idx="7">
                  <c:v>40079.056368388701</c:v>
                </c:pt>
                <c:pt idx="8">
                  <c:v>39945.953616129838</c:v>
                </c:pt>
                <c:pt idx="9">
                  <c:v>39812.46264751022</c:v>
                </c:pt>
                <c:pt idx="10">
                  <c:v>39678.582330232122</c:v>
                </c:pt>
                <c:pt idx="11">
                  <c:v>39544.311528695296</c:v>
                </c:pt>
                <c:pt idx="12">
                  <c:v>39409.649103987322</c:v>
                </c:pt>
                <c:pt idx="13">
                  <c:v>39274.593913873949</c:v>
                </c:pt>
                <c:pt idx="14">
                  <c:v>39139.144812789411</c:v>
                </c:pt>
                <c:pt idx="15">
                  <c:v>39003.300651826714</c:v>
                </c:pt>
                <c:pt idx="16">
                  <c:v>38867.060278727877</c:v>
                </c:pt>
                <c:pt idx="17">
                  <c:v>38730.422537874168</c:v>
                </c:pt>
                <c:pt idx="18">
                  <c:v>38593.3862702763</c:v>
                </c:pt>
                <c:pt idx="19">
                  <c:v>38455.950313564608</c:v>
                </c:pt>
                <c:pt idx="20">
                  <c:v>38318.113501979169</c:v>
                </c:pt>
                <c:pt idx="21">
                  <c:v>38179.874666359945</c:v>
                </c:pt>
                <c:pt idx="22">
                  <c:v>38041.232634136832</c:v>
                </c:pt>
                <c:pt idx="23">
                  <c:v>37902.186229319734</c:v>
                </c:pt>
                <c:pt idx="24">
                  <c:v>37762.734272488582</c:v>
                </c:pt>
                <c:pt idx="25">
                  <c:v>37622.875580783344</c:v>
                </c:pt>
                <c:pt idx="26">
                  <c:v>37482.608967893961</c:v>
                </c:pt>
                <c:pt idx="27">
                  <c:v>37341.93324405032</c:v>
                </c:pt>
                <c:pt idx="28">
                  <c:v>37200.847216012131</c:v>
                </c:pt>
                <c:pt idx="29">
                  <c:v>37059.349687058835</c:v>
                </c:pt>
                <c:pt idx="30">
                  <c:v>36917.439456979424</c:v>
                </c:pt>
                <c:pt idx="31">
                  <c:v>36775.11532206228</c:v>
                </c:pt>
                <c:pt idx="32">
                  <c:v>36632.376075084961</c:v>
                </c:pt>
                <c:pt idx="33">
                  <c:v>36489.220505303958</c:v>
                </c:pt>
                <c:pt idx="34">
                  <c:v>36345.647398444431</c:v>
                </c:pt>
                <c:pt idx="35">
                  <c:v>36201.655536689897</c:v>
                </c:pt>
                <c:pt idx="36">
                  <c:v>36057.243698671911</c:v>
                </c:pt>
                <c:pt idx="37">
                  <c:v>35912.410659459703</c:v>
                </c:pt>
                <c:pt idx="38">
                  <c:v>35767.155190549791</c:v>
                </c:pt>
                <c:pt idx="39">
                  <c:v>35621.476059855559</c:v>
                </c:pt>
                <c:pt idx="40">
                  <c:v>35475.372031696803</c:v>
                </c:pt>
                <c:pt idx="41">
                  <c:v>35328.841866789255</c:v>
                </c:pt>
                <c:pt idx="42">
                  <c:v>35181.884322234058</c:v>
                </c:pt>
                <c:pt idx="43">
                  <c:v>35034.498151507243</c:v>
                </c:pt>
                <c:pt idx="44">
                  <c:v>34886.682104449137</c:v>
                </c:pt>
                <c:pt idx="45">
                  <c:v>34738.43492725378</c:v>
                </c:pt>
                <c:pt idx="46">
                  <c:v>34589.755362458272</c:v>
                </c:pt>
                <c:pt idx="47">
                  <c:v>34440.642148932107</c:v>
                </c:pt>
                <c:pt idx="48">
                  <c:v>34291.094021866491</c:v>
                </c:pt>
                <c:pt idx="49">
                  <c:v>34141.109712763602</c:v>
                </c:pt>
                <c:pt idx="50">
                  <c:v>33990.687949425832</c:v>
                </c:pt>
                <c:pt idx="51">
                  <c:v>33839.827455944993</c:v>
                </c:pt>
                <c:pt idx="52">
                  <c:v>33688.5269526915</c:v>
                </c:pt>
                <c:pt idx="53">
                  <c:v>33536.785156303515</c:v>
                </c:pt>
                <c:pt idx="54">
                  <c:v>33384.600779676068</c:v>
                </c:pt>
                <c:pt idx="55">
                  <c:v>33231.972531950123</c:v>
                </c:pt>
                <c:pt idx="56">
                  <c:v>33078.899118501642</c:v>
                </c:pt>
                <c:pt idx="57">
                  <c:v>32925.379240930604</c:v>
                </c:pt>
                <c:pt idx="58">
                  <c:v>32771.411597049984</c:v>
                </c:pt>
                <c:pt idx="59">
                  <c:v>32616.994880874714</c:v>
                </c:pt>
                <c:pt idx="60">
                  <c:v>32462.127782610598</c:v>
                </c:pt>
                <c:pt idx="61">
                  <c:v>32306.808988643214</c:v>
                </c:pt>
                <c:pt idx="62">
                  <c:v>32151.037181526757</c:v>
                </c:pt>
                <c:pt idx="63">
                  <c:v>31994.811039972876</c:v>
                </c:pt>
                <c:pt idx="64">
                  <c:v>31838.129238839465</c:v>
                </c:pt>
                <c:pt idx="65">
                  <c:v>31680.990449119414</c:v>
                </c:pt>
                <c:pt idx="66">
                  <c:v>31523.393337929345</c:v>
                </c:pt>
                <c:pt idx="67">
                  <c:v>31365.336568498304</c:v>
                </c:pt>
                <c:pt idx="68">
                  <c:v>31206.818800156423</c:v>
                </c:pt>
                <c:pt idx="69">
                  <c:v>31047.838688323547</c:v>
                </c:pt>
                <c:pt idx="70">
                  <c:v>30888.394884497826</c:v>
                </c:pt>
                <c:pt idx="71">
                  <c:v>30728.486036244278</c:v>
                </c:pt>
                <c:pt idx="72">
                  <c:v>30568.110787183323</c:v>
                </c:pt>
                <c:pt idx="73">
                  <c:v>30407.267776979275</c:v>
                </c:pt>
                <c:pt idx="74">
                  <c:v>30245.955641328797</c:v>
                </c:pt>
                <c:pt idx="75">
                  <c:v>30084.17301194934</c:v>
                </c:pt>
                <c:pt idx="76">
                  <c:v>29921.918516567526</c:v>
                </c:pt>
                <c:pt idx="77">
                  <c:v>29759.190778907516</c:v>
                </c:pt>
                <c:pt idx="78">
                  <c:v>29595.988418679328</c:v>
                </c:pt>
                <c:pt idx="79">
                  <c:v>29432.310051567143</c:v>
                </c:pt>
                <c:pt idx="80">
                  <c:v>29268.154289217546</c:v>
                </c:pt>
                <c:pt idx="81">
                  <c:v>29103.519739227762</c:v>
                </c:pt>
                <c:pt idx="82">
                  <c:v>28938.405005133842</c:v>
                </c:pt>
                <c:pt idx="83">
                  <c:v>28772.808686398814</c:v>
                </c:pt>
                <c:pt idx="84">
                  <c:v>28606.729378400811</c:v>
                </c:pt>
                <c:pt idx="85">
                  <c:v>28440.165672421146</c:v>
                </c:pt>
                <c:pt idx="86">
                  <c:v>28273.116155632375</c:v>
                </c:pt>
                <c:pt idx="87">
                  <c:v>28105.579411086303</c:v>
                </c:pt>
                <c:pt idx="88">
                  <c:v>27937.554017701972</c:v>
                </c:pt>
                <c:pt idx="89">
                  <c:v>27769.038550253601</c:v>
                </c:pt>
                <c:pt idx="90">
                  <c:v>27600.031579358507</c:v>
                </c:pt>
                <c:pt idx="91">
                  <c:v>27430.531671464971</c:v>
                </c:pt>
                <c:pt idx="92">
                  <c:v>27260.537388840075</c:v>
                </c:pt>
                <c:pt idx="93">
                  <c:v>27090.047289557526</c:v>
                </c:pt>
                <c:pt idx="94">
                  <c:v>26919.059927485403</c:v>
                </c:pt>
                <c:pt idx="95">
                  <c:v>26747.573852273901</c:v>
                </c:pt>
                <c:pt idx="96">
                  <c:v>26575.587609343034</c:v>
                </c:pt>
                <c:pt idx="97">
                  <c:v>26403.099739870286</c:v>
                </c:pt>
                <c:pt idx="98">
                  <c:v>26230.108780778242</c:v>
                </c:pt>
                <c:pt idx="99">
                  <c:v>26056.613264722178</c:v>
                </c:pt>
                <c:pt idx="100">
                  <c:v>25882.611720077617</c:v>
                </c:pt>
                <c:pt idx="101">
                  <c:v>25708.102670927845</c:v>
                </c:pt>
                <c:pt idx="102">
                  <c:v>25533.084637051383</c:v>
                </c:pt>
                <c:pt idx="103">
                  <c:v>25357.556133909449</c:v>
                </c:pt>
                <c:pt idx="104">
                  <c:v>25181.515672633352</c:v>
                </c:pt>
                <c:pt idx="105">
                  <c:v>25004.961760011865</c:v>
                </c:pt>
                <c:pt idx="106">
                  <c:v>24827.892898478567</c:v>
                </c:pt>
                <c:pt idx="107">
                  <c:v>24650.30758609913</c:v>
                </c:pt>
                <c:pt idx="108">
                  <c:v>24472.204316558586</c:v>
                </c:pt>
                <c:pt idx="109">
                  <c:v>24293.581579148547</c:v>
                </c:pt>
                <c:pt idx="110">
                  <c:v>24114.437858754398</c:v>
                </c:pt>
                <c:pt idx="111">
                  <c:v>23934.771635842433</c:v>
                </c:pt>
                <c:pt idx="112">
                  <c:v>23754.581386446975</c:v>
                </c:pt>
                <c:pt idx="113">
                  <c:v>23573.865582157447</c:v>
                </c:pt>
                <c:pt idx="114">
                  <c:v>23392.622690105407</c:v>
                </c:pt>
                <c:pt idx="115">
                  <c:v>23210.851172951549</c:v>
                </c:pt>
                <c:pt idx="116">
                  <c:v>23028.549488872657</c:v>
                </c:pt>
                <c:pt idx="117">
                  <c:v>22845.716091548536</c:v>
                </c:pt>
                <c:pt idx="118">
                  <c:v>22662.349430148886</c:v>
                </c:pt>
                <c:pt idx="119">
                  <c:v>22478.447949320154</c:v>
                </c:pt>
                <c:pt idx="120">
                  <c:v>22294.010089172338</c:v>
                </c:pt>
                <c:pt idx="121">
                  <c:v>22109.034285265756</c:v>
                </c:pt>
                <c:pt idx="122">
                  <c:v>21923.518968597782</c:v>
                </c:pt>
                <c:pt idx="123">
                  <c:v>21737.462565589525</c:v>
                </c:pt>
                <c:pt idx="124">
                  <c:v>21550.863498072496</c:v>
                </c:pt>
                <c:pt idx="125">
                  <c:v>21363.720183275207</c:v>
                </c:pt>
                <c:pt idx="126">
                  <c:v>21176.031033809759</c:v>
                </c:pt>
                <c:pt idx="127">
                  <c:v>20987.794457658372</c:v>
                </c:pt>
                <c:pt idx="128">
                  <c:v>20799.008858159876</c:v>
                </c:pt>
                <c:pt idx="129">
                  <c:v>20609.672633996175</c:v>
                </c:pt>
                <c:pt idx="130">
                  <c:v>20419.784179178663</c:v>
                </c:pt>
                <c:pt idx="131">
                  <c:v>20229.341883034602</c:v>
                </c:pt>
                <c:pt idx="132">
                  <c:v>20038.344130193454</c:v>
                </c:pt>
                <c:pt idx="133">
                  <c:v>19846.789300573186</c:v>
                </c:pt>
                <c:pt idx="134">
                  <c:v>19654.675769366524</c:v>
                </c:pt>
                <c:pt idx="135">
                  <c:v>19462.001907027177</c:v>
                </c:pt>
                <c:pt idx="136">
                  <c:v>19268.766079256005</c:v>
                </c:pt>
                <c:pt idx="137">
                  <c:v>19074.96664698717</c:v>
                </c:pt>
                <c:pt idx="138">
                  <c:v>18880.601966374215</c:v>
                </c:pt>
                <c:pt idx="139">
                  <c:v>18685.67038877614</c:v>
                </c:pt>
                <c:pt idx="140">
                  <c:v>18490.170260743402</c:v>
                </c:pt>
                <c:pt idx="141">
                  <c:v>18294.099924003902</c:v>
                </c:pt>
                <c:pt idx="142">
                  <c:v>18097.457715448912</c:v>
                </c:pt>
                <c:pt idx="143">
                  <c:v>17900.241967118971</c:v>
                </c:pt>
                <c:pt idx="144">
                  <c:v>17702.451006189734</c:v>
                </c:pt>
                <c:pt idx="145">
                  <c:v>17504.083154957789</c:v>
                </c:pt>
                <c:pt idx="146">
                  <c:v>17305.136730826416</c:v>
                </c:pt>
                <c:pt idx="147">
                  <c:v>17105.610046291327</c:v>
                </c:pt>
                <c:pt idx="148">
                  <c:v>16905.501408926342</c:v>
                </c:pt>
                <c:pt idx="149">
                  <c:v>16704.809121369046</c:v>
                </c:pt>
                <c:pt idx="150">
                  <c:v>16503.531481306371</c:v>
                </c:pt>
                <c:pt idx="151">
                  <c:v>16301.666781460182</c:v>
                </c:pt>
                <c:pt idx="152">
                  <c:v>16099.213309572775</c:v>
                </c:pt>
                <c:pt idx="153">
                  <c:v>15896.169348392363</c:v>
                </c:pt>
                <c:pt idx="154">
                  <c:v>15692.533175658507</c:v>
                </c:pt>
                <c:pt idx="155">
                  <c:v>15488.303064087511</c:v>
                </c:pt>
                <c:pt idx="156">
                  <c:v>15283.477281357767</c:v>
                </c:pt>
                <c:pt idx="157">
                  <c:v>15078.05409009506</c:v>
                </c:pt>
                <c:pt idx="158">
                  <c:v>14872.031747857838</c:v>
                </c:pt>
                <c:pt idx="159">
                  <c:v>14665.408507122424</c:v>
                </c:pt>
                <c:pt idx="160">
                  <c:v>14458.182615268197</c:v>
                </c:pt>
                <c:pt idx="161">
                  <c:v>14250.35231456273</c:v>
                </c:pt>
                <c:pt idx="162">
                  <c:v>14041.915842146871</c:v>
                </c:pt>
                <c:pt idx="163">
                  <c:v>13832.871430019799</c:v>
                </c:pt>
                <c:pt idx="164">
                  <c:v>13623.217305024024</c:v>
                </c:pt>
                <c:pt idx="165">
                  <c:v>13412.951688830344</c:v>
                </c:pt>
                <c:pt idx="166">
                  <c:v>13202.072797922767</c:v>
                </c:pt>
                <c:pt idx="167">
                  <c:v>12990.578843583375</c:v>
                </c:pt>
                <c:pt idx="168">
                  <c:v>12778.468031877159</c:v>
                </c:pt>
                <c:pt idx="169">
                  <c:v>12565.7385636368</c:v>
                </c:pt>
                <c:pt idx="170">
                  <c:v>12352.388634447407</c:v>
                </c:pt>
                <c:pt idx="171">
                  <c:v>12138.416434631212</c:v>
                </c:pt>
                <c:pt idx="172">
                  <c:v>11923.820149232219</c:v>
                </c:pt>
                <c:pt idx="173">
                  <c:v>11708.597958000813</c:v>
                </c:pt>
                <c:pt idx="174">
                  <c:v>11492.748035378316</c:v>
                </c:pt>
                <c:pt idx="175">
                  <c:v>11276.268550481502</c:v>
                </c:pt>
                <c:pt idx="176">
                  <c:v>11059.157667087073</c:v>
                </c:pt>
                <c:pt idx="177">
                  <c:v>10841.413543616076</c:v>
                </c:pt>
                <c:pt idx="178">
                  <c:v>10623.03433311829</c:v>
                </c:pt>
                <c:pt idx="179">
                  <c:v>10404.018183256552</c:v>
                </c:pt>
                <c:pt idx="180">
                  <c:v>10184.36323629105</c:v>
                </c:pt>
                <c:pt idx="181">
                  <c:v>9964.0676290635656</c:v>
                </c:pt>
                <c:pt idx="182">
                  <c:v>9743.1294929816686</c:v>
                </c:pt>
                <c:pt idx="183">
                  <c:v>9521.5469540028644</c:v>
                </c:pt>
                <c:pt idx="184">
                  <c:v>9299.3181326187059</c:v>
                </c:pt>
                <c:pt idx="185">
                  <c:v>9076.4411438388433</c:v>
                </c:pt>
                <c:pt idx="186">
                  <c:v>8852.9140971750403</c:v>
                </c:pt>
                <c:pt idx="187">
                  <c:v>8628.7350966251342</c:v>
                </c:pt>
                <c:pt idx="188">
                  <c:v>8403.9022406569584</c:v>
                </c:pt>
                <c:pt idx="189">
                  <c:v>8178.4136221922072</c:v>
                </c:pt>
                <c:pt idx="190">
                  <c:v>7952.2673285902674</c:v>
                </c:pt>
                <c:pt idx="191">
                  <c:v>7725.4614416319891</c:v>
                </c:pt>
                <c:pt idx="192">
                  <c:v>7497.9940375034157</c:v>
                </c:pt>
                <c:pt idx="193">
                  <c:v>7269.8631867794675</c:v>
                </c:pt>
                <c:pt idx="194">
                  <c:v>7041.0669544075745</c:v>
                </c:pt>
                <c:pt idx="195">
                  <c:v>6811.6033996912629</c:v>
                </c:pt>
                <c:pt idx="196">
                  <c:v>6581.4705762736958</c:v>
                </c:pt>
                <c:pt idx="197">
                  <c:v>6350.6665321211603</c:v>
                </c:pt>
                <c:pt idx="198">
                  <c:v>6119.1893095065134</c:v>
                </c:pt>
                <c:pt idx="199">
                  <c:v>5887.0369449925738</c:v>
                </c:pt>
                <c:pt idx="200">
                  <c:v>5654.2074694154689</c:v>
                </c:pt>
                <c:pt idx="201">
                  <c:v>5420.6989078679308</c:v>
                </c:pt>
                <c:pt idx="202">
                  <c:v>5186.5092796825456</c:v>
                </c:pt>
                <c:pt idx="203">
                  <c:v>4951.6365984149534</c:v>
                </c:pt>
                <c:pt idx="204">
                  <c:v>4716.0788718269969</c:v>
                </c:pt>
                <c:pt idx="205">
                  <c:v>4479.8341018698256</c:v>
                </c:pt>
                <c:pt idx="206">
                  <c:v>4242.9002846669464</c:v>
                </c:pt>
                <c:pt idx="207">
                  <c:v>4005.2754104972246</c:v>
                </c:pt>
                <c:pt idx="208">
                  <c:v>3766.9574637778414</c:v>
                </c:pt>
                <c:pt idx="209">
                  <c:v>3527.9444230471936</c:v>
                </c:pt>
                <c:pt idx="210">
                  <c:v>3288.2342609477478</c:v>
                </c:pt>
                <c:pt idx="211">
                  <c:v>3047.8249442088454</c:v>
                </c:pt>
                <c:pt idx="212">
                  <c:v>2806.7144336294546</c:v>
                </c:pt>
                <c:pt idx="213">
                  <c:v>2564.900684060874</c:v>
                </c:pt>
                <c:pt idx="214">
                  <c:v>2322.3816443893847</c:v>
                </c:pt>
                <c:pt idx="215">
                  <c:v>2079.1552575188539</c:v>
                </c:pt>
                <c:pt idx="216">
                  <c:v>1835.2194603532839</c:v>
                </c:pt>
                <c:pt idx="217">
                  <c:v>1590.5721837793144</c:v>
                </c:pt>
                <c:pt idx="218">
                  <c:v>1345.2113526486708</c:v>
                </c:pt>
                <c:pt idx="219">
                  <c:v>1099.1348857605626</c:v>
                </c:pt>
                <c:pt idx="220">
                  <c:v>852.34069584403096</c:v>
                </c:pt>
                <c:pt idx="221">
                  <c:v>604.82668954024268</c:v>
                </c:pt>
                <c:pt idx="222">
                  <c:v>356.59076738473505</c:v>
                </c:pt>
                <c:pt idx="223">
                  <c:v>107.63082378960718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9-4154-B469-325BC5310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9269632"/>
        <c:axId val="119271424"/>
        <c:axId val="0"/>
      </c:bar3DChart>
      <c:catAx>
        <c:axId val="11926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271424"/>
        <c:crosses val="autoZero"/>
        <c:auto val="1"/>
        <c:lblAlgn val="ctr"/>
        <c:lblOffset val="100"/>
        <c:noMultiLvlLbl val="0"/>
      </c:catAx>
      <c:valAx>
        <c:axId val="11927142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19269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182247875795186"/>
          <c:y val="7.0847794511122997E-2"/>
          <c:w val="7.9702944970861694E-2"/>
          <c:h val="0.620979707633633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6600605785840253E-2"/>
          <c:y val="6.5392893849433864E-2"/>
          <c:w val="0.83177993008921991"/>
          <c:h val="0.84348842758291576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'Kam 4%75000'!$I$5:$I$361</c:f>
              <c:numCache>
                <c:formatCode>General</c:formatCode>
                <c:ptCount val="3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</c:numCache>
            </c:numRef>
          </c:cat>
          <c:val>
            <c:numRef>
              <c:f>'Kam 4%75000'!$B$5:$B$361</c:f>
              <c:numCache>
                <c:formatCode>_(* #,##0.00_);_(* \(#,##0.00\);_(* "-"??_);_(@_)</c:formatCode>
                <c:ptCount val="357"/>
                <c:pt idx="0">
                  <c:v>75000</c:v>
                </c:pt>
                <c:pt idx="1">
                  <c:v>74890</c:v>
                </c:pt>
                <c:pt idx="2">
                  <c:v>74779.633333333331</c:v>
                </c:pt>
                <c:pt idx="3">
                  <c:v>74668.89877777778</c:v>
                </c:pt>
                <c:pt idx="4">
                  <c:v>74557.795107037033</c:v>
                </c:pt>
                <c:pt idx="5">
                  <c:v>74446.321090727157</c:v>
                </c:pt>
                <c:pt idx="6">
                  <c:v>74334.475494362909</c:v>
                </c:pt>
                <c:pt idx="7">
                  <c:v>74222.257079344112</c:v>
                </c:pt>
                <c:pt idx="8">
                  <c:v>74109.664602941921</c:v>
                </c:pt>
                <c:pt idx="9">
                  <c:v>73996.696818285054</c:v>
                </c:pt>
                <c:pt idx="10">
                  <c:v>73883.352474346</c:v>
                </c:pt>
                <c:pt idx="11">
                  <c:v>73769.630315927148</c:v>
                </c:pt>
                <c:pt idx="12">
                  <c:v>73655.529083646907</c:v>
                </c:pt>
                <c:pt idx="13">
                  <c:v>73541.047513925732</c:v>
                </c:pt>
                <c:pt idx="14">
                  <c:v>73426.184338972147</c:v>
                </c:pt>
                <c:pt idx="15">
                  <c:v>73310.938286768724</c:v>
                </c:pt>
                <c:pt idx="16">
                  <c:v>73195.308081057956</c:v>
                </c:pt>
                <c:pt idx="17">
                  <c:v>73079.292441328143</c:v>
                </c:pt>
                <c:pt idx="18">
                  <c:v>72962.890082799233</c:v>
                </c:pt>
                <c:pt idx="19">
                  <c:v>72846.099716408557</c:v>
                </c:pt>
                <c:pt idx="20">
                  <c:v>72728.920048796586</c:v>
                </c:pt>
                <c:pt idx="21">
                  <c:v>72611.349782292571</c:v>
                </c:pt>
                <c:pt idx="22">
                  <c:v>72493.387614900217</c:v>
                </c:pt>
                <c:pt idx="23">
                  <c:v>72375.032240283224</c:v>
                </c:pt>
                <c:pt idx="24">
                  <c:v>72256.282347750835</c:v>
                </c:pt>
                <c:pt idx="25">
                  <c:v>72137.136622243343</c:v>
                </c:pt>
                <c:pt idx="26">
                  <c:v>72017.593744317492</c:v>
                </c:pt>
                <c:pt idx="27">
                  <c:v>71897.652390131887</c:v>
                </c:pt>
                <c:pt idx="28">
                  <c:v>71777.311231432323</c:v>
                </c:pt>
                <c:pt idx="29">
                  <c:v>71656.5689355371</c:v>
                </c:pt>
                <c:pt idx="30">
                  <c:v>71535.424165322227</c:v>
                </c:pt>
                <c:pt idx="31">
                  <c:v>71413.875579206637</c:v>
                </c:pt>
                <c:pt idx="32">
                  <c:v>71291.921831137326</c:v>
                </c:pt>
                <c:pt idx="33">
                  <c:v>71169.561570574457</c:v>
                </c:pt>
                <c:pt idx="34">
                  <c:v>71046.793442476366</c:v>
                </c:pt>
                <c:pt idx="35">
                  <c:v>70923.616087284623</c:v>
                </c:pt>
                <c:pt idx="36">
                  <c:v>70800.028140908908</c:v>
                </c:pt>
                <c:pt idx="37">
                  <c:v>70676.028234711936</c:v>
                </c:pt>
                <c:pt idx="38">
                  <c:v>70551.61499549431</c:v>
                </c:pt>
                <c:pt idx="39">
                  <c:v>70426.787045479286</c:v>
                </c:pt>
                <c:pt idx="40">
                  <c:v>70301.543002297549</c:v>
                </c:pt>
                <c:pt idx="41">
                  <c:v>70175.881478971874</c:v>
                </c:pt>
                <c:pt idx="42">
                  <c:v>70049.801083901781</c:v>
                </c:pt>
                <c:pt idx="43">
                  <c:v>69923.300420848114</c:v>
                </c:pt>
                <c:pt idx="44">
                  <c:v>69796.378088917612</c:v>
                </c:pt>
                <c:pt idx="45">
                  <c:v>69669.032682547331</c:v>
                </c:pt>
                <c:pt idx="46">
                  <c:v>69541.262791489149</c:v>
                </c:pt>
                <c:pt idx="47">
                  <c:v>69413.067000794108</c:v>
                </c:pt>
                <c:pt idx="48">
                  <c:v>69284.443890796756</c:v>
                </c:pt>
                <c:pt idx="49">
                  <c:v>69155.392037099416</c:v>
                </c:pt>
                <c:pt idx="50">
                  <c:v>69025.910010556414</c:v>
                </c:pt>
                <c:pt idx="51">
                  <c:v>68895.996377258271</c:v>
                </c:pt>
                <c:pt idx="52">
                  <c:v>68765.649698515801</c:v>
                </c:pt>
                <c:pt idx="53">
                  <c:v>68634.868530844193</c:v>
                </c:pt>
                <c:pt idx="54">
                  <c:v>68503.651425947013</c:v>
                </c:pt>
                <c:pt idx="55">
                  <c:v>68371.996930700174</c:v>
                </c:pt>
                <c:pt idx="56">
                  <c:v>68239.903587135836</c:v>
                </c:pt>
                <c:pt idx="57">
                  <c:v>68107.369932426285</c:v>
                </c:pt>
                <c:pt idx="58">
                  <c:v>67974.39449886771</c:v>
                </c:pt>
                <c:pt idx="59">
                  <c:v>67840.97581386393</c:v>
                </c:pt>
                <c:pt idx="60">
                  <c:v>67707.11239991014</c:v>
                </c:pt>
                <c:pt idx="61">
                  <c:v>67572.802774576514</c:v>
                </c:pt>
                <c:pt idx="62">
                  <c:v>67438.045450491772</c:v>
                </c:pt>
                <c:pt idx="63">
                  <c:v>67302.838935326741</c:v>
                </c:pt>
                <c:pt idx="64">
                  <c:v>67167.181731777833</c:v>
                </c:pt>
                <c:pt idx="65">
                  <c:v>67031.072337550431</c:v>
                </c:pt>
                <c:pt idx="66">
                  <c:v>66894.509245342269</c:v>
                </c:pt>
                <c:pt idx="67">
                  <c:v>66757.490942826742</c:v>
                </c:pt>
                <c:pt idx="68">
                  <c:v>66620.015912636169</c:v>
                </c:pt>
                <c:pt idx="69">
                  <c:v>66482.082632344958</c:v>
                </c:pt>
                <c:pt idx="70">
                  <c:v>66343.689574452772</c:v>
                </c:pt>
                <c:pt idx="71">
                  <c:v>66204.835206367614</c:v>
                </c:pt>
                <c:pt idx="72">
                  <c:v>66065.517990388835</c:v>
                </c:pt>
                <c:pt idx="73">
                  <c:v>65925.736383690135</c:v>
                </c:pt>
                <c:pt idx="74">
                  <c:v>65785.488838302437</c:v>
                </c:pt>
                <c:pt idx="75">
                  <c:v>65644.773801096773</c:v>
                </c:pt>
                <c:pt idx="76">
                  <c:v>65503.589713767098</c:v>
                </c:pt>
                <c:pt idx="77">
                  <c:v>65361.935012812988</c:v>
                </c:pt>
                <c:pt idx="78">
                  <c:v>65219.808129522367</c:v>
                </c:pt>
                <c:pt idx="79">
                  <c:v>65077.207489954111</c:v>
                </c:pt>
                <c:pt idx="80">
                  <c:v>64934.131514920628</c:v>
                </c:pt>
                <c:pt idx="81">
                  <c:v>64790.578619970365</c:v>
                </c:pt>
                <c:pt idx="82">
                  <c:v>64646.547215370265</c:v>
                </c:pt>
                <c:pt idx="83">
                  <c:v>64502.035706088165</c:v>
                </c:pt>
                <c:pt idx="84">
                  <c:v>64357.042491775122</c:v>
                </c:pt>
                <c:pt idx="85">
                  <c:v>64211.565966747708</c:v>
                </c:pt>
                <c:pt idx="86">
                  <c:v>64065.604519970198</c:v>
                </c:pt>
                <c:pt idx="87">
                  <c:v>63919.156535036767</c:v>
                </c:pt>
                <c:pt idx="88">
                  <c:v>63772.220390153554</c:v>
                </c:pt>
                <c:pt idx="89">
                  <c:v>63624.794458120734</c:v>
                </c:pt>
                <c:pt idx="90">
                  <c:v>63476.877106314467</c:v>
                </c:pt>
                <c:pt idx="91">
                  <c:v>63328.466696668846</c:v>
                </c:pt>
                <c:pt idx="92">
                  <c:v>63179.561585657742</c:v>
                </c:pt>
                <c:pt idx="93">
                  <c:v>63030.160124276605</c:v>
                </c:pt>
                <c:pt idx="94">
                  <c:v>62880.260658024192</c:v>
                </c:pt>
                <c:pt idx="95">
                  <c:v>62729.86152688427</c:v>
                </c:pt>
                <c:pt idx="96">
                  <c:v>62578.961065307216</c:v>
                </c:pt>
                <c:pt idx="97">
                  <c:v>62427.557602191577</c:v>
                </c:pt>
                <c:pt idx="98">
                  <c:v>62275.649460865548</c:v>
                </c:pt>
                <c:pt idx="99">
                  <c:v>62123.234959068432</c:v>
                </c:pt>
                <c:pt idx="100">
                  <c:v>61970.31240893199</c:v>
                </c:pt>
                <c:pt idx="101">
                  <c:v>61816.880116961765</c:v>
                </c:pt>
                <c:pt idx="102">
                  <c:v>61662.936384018307</c:v>
                </c:pt>
                <c:pt idx="103">
                  <c:v>61508.479505298368</c:v>
                </c:pt>
                <c:pt idx="104">
                  <c:v>61353.507770316028</c:v>
                </c:pt>
                <c:pt idx="105">
                  <c:v>61198.019462883749</c:v>
                </c:pt>
                <c:pt idx="106">
                  <c:v>61042.012861093361</c:v>
                </c:pt>
                <c:pt idx="107">
                  <c:v>60885.486237297002</c:v>
                </c:pt>
                <c:pt idx="108">
                  <c:v>60728.437858087993</c:v>
                </c:pt>
                <c:pt idx="109">
                  <c:v>60570.86598428162</c:v>
                </c:pt>
                <c:pt idx="110">
                  <c:v>60412.768870895889</c:v>
                </c:pt>
                <c:pt idx="111">
                  <c:v>60254.144767132209</c:v>
                </c:pt>
                <c:pt idx="112">
                  <c:v>60094.991916355983</c:v>
                </c:pt>
                <c:pt idx="113">
                  <c:v>59935.308556077172</c:v>
                </c:pt>
                <c:pt idx="114">
                  <c:v>59775.092917930764</c:v>
                </c:pt>
                <c:pt idx="115">
                  <c:v>59614.343227657198</c:v>
                </c:pt>
                <c:pt idx="116">
                  <c:v>59453.05770508272</c:v>
                </c:pt>
                <c:pt idx="117">
                  <c:v>59291.234564099665</c:v>
                </c:pt>
                <c:pt idx="118">
                  <c:v>59128.872012646665</c:v>
                </c:pt>
                <c:pt idx="119">
                  <c:v>58965.968252688821</c:v>
                </c:pt>
                <c:pt idx="120">
                  <c:v>58802.521480197785</c:v>
                </c:pt>
                <c:pt idx="121">
                  <c:v>58638.529885131778</c:v>
                </c:pt>
                <c:pt idx="122">
                  <c:v>58473.991651415548</c:v>
                </c:pt>
                <c:pt idx="123">
                  <c:v>58308.904956920269</c:v>
                </c:pt>
                <c:pt idx="124">
                  <c:v>58143.267973443333</c:v>
                </c:pt>
                <c:pt idx="125">
                  <c:v>57977.078866688142</c:v>
                </c:pt>
                <c:pt idx="126">
                  <c:v>57810.335796243766</c:v>
                </c:pt>
                <c:pt idx="127">
                  <c:v>57643.036915564575</c:v>
                </c:pt>
                <c:pt idx="128">
                  <c:v>57475.180371949791</c:v>
                </c:pt>
                <c:pt idx="129">
                  <c:v>57306.764306522957</c:v>
                </c:pt>
                <c:pt idx="130">
                  <c:v>57137.786854211365</c:v>
                </c:pt>
                <c:pt idx="131">
                  <c:v>56968.246143725402</c:v>
                </c:pt>
                <c:pt idx="132">
                  <c:v>56798.140297537822</c:v>
                </c:pt>
                <c:pt idx="133">
                  <c:v>56627.467431862948</c:v>
                </c:pt>
                <c:pt idx="134">
                  <c:v>56456.225656635826</c:v>
                </c:pt>
                <c:pt idx="135">
                  <c:v>56284.413075491277</c:v>
                </c:pt>
                <c:pt idx="136">
                  <c:v>56112.027785742917</c:v>
                </c:pt>
                <c:pt idx="137">
                  <c:v>55939.067878362061</c:v>
                </c:pt>
                <c:pt idx="138">
                  <c:v>55765.531437956604</c:v>
                </c:pt>
                <c:pt idx="139">
                  <c:v>55591.416542749794</c:v>
                </c:pt>
                <c:pt idx="140">
                  <c:v>55416.721264558961</c:v>
                </c:pt>
                <c:pt idx="141">
                  <c:v>55241.443668774155</c:v>
                </c:pt>
                <c:pt idx="142">
                  <c:v>55065.581814336736</c:v>
                </c:pt>
                <c:pt idx="143">
                  <c:v>54889.133753717855</c:v>
                </c:pt>
                <c:pt idx="144">
                  <c:v>54712.097532896914</c:v>
                </c:pt>
                <c:pt idx="145">
                  <c:v>54534.471191339901</c:v>
                </c:pt>
                <c:pt idx="146">
                  <c:v>54356.252761977703</c:v>
                </c:pt>
                <c:pt idx="147">
                  <c:v>54177.440271184292</c:v>
                </c:pt>
                <c:pt idx="148">
                  <c:v>53998.031738754908</c:v>
                </c:pt>
                <c:pt idx="149">
                  <c:v>53818.02517788409</c:v>
                </c:pt>
                <c:pt idx="150">
                  <c:v>53637.418595143703</c:v>
                </c:pt>
                <c:pt idx="151">
                  <c:v>53456.209990460848</c:v>
                </c:pt>
                <c:pt idx="152">
                  <c:v>53274.397357095717</c:v>
                </c:pt>
                <c:pt idx="153">
                  <c:v>53091.978681619366</c:v>
                </c:pt>
                <c:pt idx="154">
                  <c:v>52908.951943891429</c:v>
                </c:pt>
                <c:pt idx="155">
                  <c:v>52725.315117037731</c:v>
                </c:pt>
                <c:pt idx="156">
                  <c:v>52541.06616742786</c:v>
                </c:pt>
                <c:pt idx="157">
                  <c:v>52356.203054652622</c:v>
                </c:pt>
                <c:pt idx="158">
                  <c:v>52170.723731501464</c:v>
                </c:pt>
                <c:pt idx="159">
                  <c:v>51984.6261439398</c:v>
                </c:pt>
                <c:pt idx="160">
                  <c:v>51797.908231086265</c:v>
                </c:pt>
                <c:pt idx="161">
                  <c:v>51610.567925189884</c:v>
                </c:pt>
                <c:pt idx="162">
                  <c:v>51422.603151607182</c:v>
                </c:pt>
                <c:pt idx="163">
                  <c:v>51234.011828779207</c:v>
                </c:pt>
                <c:pt idx="164">
                  <c:v>51044.791868208471</c:v>
                </c:pt>
                <c:pt idx="165">
                  <c:v>50854.941174435829</c:v>
                </c:pt>
                <c:pt idx="166">
                  <c:v>50664.457645017283</c:v>
                </c:pt>
                <c:pt idx="167">
                  <c:v>50473.339170500672</c:v>
                </c:pt>
                <c:pt idx="168">
                  <c:v>50281.583634402341</c:v>
                </c:pt>
                <c:pt idx="169">
                  <c:v>50089.18891318368</c:v>
                </c:pt>
                <c:pt idx="170">
                  <c:v>49896.152876227628</c:v>
                </c:pt>
                <c:pt idx="171">
                  <c:v>49702.47338581505</c:v>
                </c:pt>
                <c:pt idx="172">
                  <c:v>49508.148297101099</c:v>
                </c:pt>
                <c:pt idx="173">
                  <c:v>49313.175458091435</c:v>
                </c:pt>
                <c:pt idx="174">
                  <c:v>49117.552709618409</c:v>
                </c:pt>
                <c:pt idx="175">
                  <c:v>48921.27788531714</c:v>
                </c:pt>
                <c:pt idx="176">
                  <c:v>48724.348811601529</c:v>
                </c:pt>
                <c:pt idx="177">
                  <c:v>48526.763307640198</c:v>
                </c:pt>
                <c:pt idx="178">
                  <c:v>48328.519185332334</c:v>
                </c:pt>
                <c:pt idx="179">
                  <c:v>48129.614249283441</c:v>
                </c:pt>
                <c:pt idx="180">
                  <c:v>47930.046296781053</c:v>
                </c:pt>
                <c:pt idx="181">
                  <c:v>47729.813117770325</c:v>
                </c:pt>
                <c:pt idx="182">
                  <c:v>47528.912494829558</c:v>
                </c:pt>
                <c:pt idx="183">
                  <c:v>47327.342203145658</c:v>
                </c:pt>
                <c:pt idx="184">
                  <c:v>47125.100010489477</c:v>
                </c:pt>
                <c:pt idx="185">
                  <c:v>46922.183677191111</c:v>
                </c:pt>
                <c:pt idx="186">
                  <c:v>46718.590956115084</c:v>
                </c:pt>
                <c:pt idx="187">
                  <c:v>46514.319592635467</c:v>
                </c:pt>
                <c:pt idx="188">
                  <c:v>46309.367324610917</c:v>
                </c:pt>
                <c:pt idx="189">
                  <c:v>46103.731882359622</c:v>
                </c:pt>
                <c:pt idx="190">
                  <c:v>45897.410988634154</c:v>
                </c:pt>
                <c:pt idx="191">
                  <c:v>45690.402358596271</c:v>
                </c:pt>
                <c:pt idx="192">
                  <c:v>45482.703699791593</c:v>
                </c:pt>
                <c:pt idx="193">
                  <c:v>45274.312712124229</c:v>
                </c:pt>
                <c:pt idx="194">
                  <c:v>45065.227087831307</c:v>
                </c:pt>
                <c:pt idx="195">
                  <c:v>44855.444511457412</c:v>
                </c:pt>
                <c:pt idx="196">
                  <c:v>44644.96265982894</c:v>
                </c:pt>
                <c:pt idx="197">
                  <c:v>44433.779202028367</c:v>
                </c:pt>
                <c:pt idx="198">
                  <c:v>44221.891799368459</c:v>
                </c:pt>
                <c:pt idx="199">
                  <c:v>44009.298105366353</c:v>
                </c:pt>
                <c:pt idx="200">
                  <c:v>43795.995765717576</c:v>
                </c:pt>
                <c:pt idx="201">
                  <c:v>43581.982418269967</c:v>
                </c:pt>
                <c:pt idx="202">
                  <c:v>43367.255692997533</c:v>
                </c:pt>
                <c:pt idx="203">
                  <c:v>43151.813211974193</c:v>
                </c:pt>
                <c:pt idx="204">
                  <c:v>42935.652589347439</c:v>
                </c:pt>
                <c:pt idx="205">
                  <c:v>42718.771431311929</c:v>
                </c:pt>
                <c:pt idx="206">
                  <c:v>42501.167336082966</c:v>
                </c:pt>
                <c:pt idx="207">
                  <c:v>42282.83789386991</c:v>
                </c:pt>
                <c:pt idx="208">
                  <c:v>42063.780686849474</c:v>
                </c:pt>
                <c:pt idx="209">
                  <c:v>41843.993289138969</c:v>
                </c:pt>
                <c:pt idx="210">
                  <c:v>41623.473266769433</c:v>
                </c:pt>
                <c:pt idx="211">
                  <c:v>41402.218177658666</c:v>
                </c:pt>
                <c:pt idx="212">
                  <c:v>41180.225571584197</c:v>
                </c:pt>
                <c:pt idx="213">
                  <c:v>40957.492990156141</c:v>
                </c:pt>
                <c:pt idx="214">
                  <c:v>40734.017966789994</c:v>
                </c:pt>
                <c:pt idx="215">
                  <c:v>40509.798026679295</c:v>
                </c:pt>
                <c:pt idx="216">
                  <c:v>40284.830686768226</c:v>
                </c:pt>
                <c:pt idx="217">
                  <c:v>40059.113455724117</c:v>
                </c:pt>
                <c:pt idx="218">
                  <c:v>39832.64383390986</c:v>
                </c:pt>
                <c:pt idx="219">
                  <c:v>39605.419313356229</c:v>
                </c:pt>
                <c:pt idx="220">
                  <c:v>39377.437377734081</c:v>
                </c:pt>
                <c:pt idx="221">
                  <c:v>39148.695502326525</c:v>
                </c:pt>
                <c:pt idx="222">
                  <c:v>38919.191154000946</c:v>
                </c:pt>
                <c:pt idx="223">
                  <c:v>38688.921791180946</c:v>
                </c:pt>
                <c:pt idx="224">
                  <c:v>38457.884863818217</c:v>
                </c:pt>
                <c:pt idx="225">
                  <c:v>38226.077813364274</c:v>
                </c:pt>
                <c:pt idx="226">
                  <c:v>37993.498072742157</c:v>
                </c:pt>
                <c:pt idx="227">
                  <c:v>37760.143066317964</c:v>
                </c:pt>
                <c:pt idx="228">
                  <c:v>37526.010209872358</c:v>
                </c:pt>
                <c:pt idx="229">
                  <c:v>37291.096910571934</c:v>
                </c:pt>
                <c:pt idx="230">
                  <c:v>37055.400566940509</c:v>
                </c:pt>
                <c:pt idx="231">
                  <c:v>36818.918568830311</c:v>
                </c:pt>
                <c:pt idx="232">
                  <c:v>36581.648297393076</c:v>
                </c:pt>
                <c:pt idx="233">
                  <c:v>36343.587125051054</c:v>
                </c:pt>
                <c:pt idx="234">
                  <c:v>36104.732415467894</c:v>
                </c:pt>
                <c:pt idx="235">
                  <c:v>35865.081523519453</c:v>
                </c:pt>
                <c:pt idx="236">
                  <c:v>35624.631795264519</c:v>
                </c:pt>
                <c:pt idx="237">
                  <c:v>35383.380567915403</c:v>
                </c:pt>
                <c:pt idx="238">
                  <c:v>35141.325169808457</c:v>
                </c:pt>
                <c:pt idx="239">
                  <c:v>34898.462920374484</c:v>
                </c:pt>
                <c:pt idx="240">
                  <c:v>34654.791130109064</c:v>
                </c:pt>
                <c:pt idx="241">
                  <c:v>34410.307100542763</c:v>
                </c:pt>
                <c:pt idx="242">
                  <c:v>34165.008124211236</c:v>
                </c:pt>
                <c:pt idx="243">
                  <c:v>33918.891484625274</c:v>
                </c:pt>
                <c:pt idx="244">
                  <c:v>33671.954456240688</c:v>
                </c:pt>
                <c:pt idx="245">
                  <c:v>33424.194304428158</c:v>
                </c:pt>
                <c:pt idx="246">
                  <c:v>33175.608285442919</c:v>
                </c:pt>
                <c:pt idx="247">
                  <c:v>32926.193646394393</c:v>
                </c:pt>
                <c:pt idx="248">
                  <c:v>32675.947625215711</c:v>
                </c:pt>
                <c:pt idx="249">
                  <c:v>32424.867450633094</c:v>
                </c:pt>
                <c:pt idx="250">
                  <c:v>32172.950342135206</c:v>
                </c:pt>
                <c:pt idx="251">
                  <c:v>31920.193509942324</c:v>
                </c:pt>
                <c:pt idx="252">
                  <c:v>31666.594154975464</c:v>
                </c:pt>
                <c:pt idx="253">
                  <c:v>31412.149468825384</c:v>
                </c:pt>
                <c:pt idx="254">
                  <c:v>31156.856633721469</c:v>
                </c:pt>
                <c:pt idx="255">
                  <c:v>30900.71282250054</c:v>
                </c:pt>
                <c:pt idx="256">
                  <c:v>30643.715198575541</c:v>
                </c:pt>
                <c:pt idx="257">
                  <c:v>30385.860915904126</c:v>
                </c:pt>
                <c:pt idx="258">
                  <c:v>30127.147118957138</c:v>
                </c:pt>
                <c:pt idx="259">
                  <c:v>29867.570942686994</c:v>
                </c:pt>
                <c:pt idx="260">
                  <c:v>29607.129512495951</c:v>
                </c:pt>
                <c:pt idx="261">
                  <c:v>29345.819944204271</c:v>
                </c:pt>
                <c:pt idx="262">
                  <c:v>29083.639344018287</c:v>
                </c:pt>
                <c:pt idx="263">
                  <c:v>28820.584808498348</c:v>
                </c:pt>
                <c:pt idx="264">
                  <c:v>28556.653424526678</c:v>
                </c:pt>
                <c:pt idx="265">
                  <c:v>28291.842269275101</c:v>
                </c:pt>
                <c:pt idx="266">
                  <c:v>28026.148410172686</c:v>
                </c:pt>
                <c:pt idx="267">
                  <c:v>27759.56890487326</c:v>
                </c:pt>
                <c:pt idx="268">
                  <c:v>27492.100801222838</c:v>
                </c:pt>
                <c:pt idx="269">
                  <c:v>27223.741137226913</c:v>
                </c:pt>
                <c:pt idx="270">
                  <c:v>26954.486941017669</c:v>
                </c:pt>
                <c:pt idx="271">
                  <c:v>26684.33523082106</c:v>
                </c:pt>
                <c:pt idx="272">
                  <c:v>26413.283014923796</c:v>
                </c:pt>
                <c:pt idx="273">
                  <c:v>26141.327291640209</c:v>
                </c:pt>
                <c:pt idx="274">
                  <c:v>25868.46504927901</c:v>
                </c:pt>
                <c:pt idx="275">
                  <c:v>25594.693266109938</c:v>
                </c:pt>
                <c:pt idx="276">
                  <c:v>25320.008910330303</c:v>
                </c:pt>
                <c:pt idx="277">
                  <c:v>25044.408940031404</c:v>
                </c:pt>
                <c:pt idx="278">
                  <c:v>24767.890303164841</c:v>
                </c:pt>
                <c:pt idx="279">
                  <c:v>24490.449937508722</c:v>
                </c:pt>
                <c:pt idx="280">
                  <c:v>24212.084770633752</c:v>
                </c:pt>
                <c:pt idx="281">
                  <c:v>23932.791719869198</c:v>
                </c:pt>
                <c:pt idx="282">
                  <c:v>23652.56769226876</c:v>
                </c:pt>
                <c:pt idx="283">
                  <c:v>23371.409584576322</c:v>
                </c:pt>
                <c:pt idx="284">
                  <c:v>23089.314283191576</c:v>
                </c:pt>
                <c:pt idx="285">
                  <c:v>22806.278664135549</c:v>
                </c:pt>
                <c:pt idx="286">
                  <c:v>22522.299593016</c:v>
                </c:pt>
                <c:pt idx="287">
                  <c:v>22237.37392499272</c:v>
                </c:pt>
                <c:pt idx="288">
                  <c:v>21951.498504742696</c:v>
                </c:pt>
                <c:pt idx="289">
                  <c:v>21664.67016642517</c:v>
                </c:pt>
                <c:pt idx="290">
                  <c:v>21376.885733646588</c:v>
                </c:pt>
                <c:pt idx="291">
                  <c:v>21088.14201942541</c:v>
                </c:pt>
                <c:pt idx="292">
                  <c:v>20798.435826156827</c:v>
                </c:pt>
                <c:pt idx="293">
                  <c:v>20507.76394557735</c:v>
                </c:pt>
                <c:pt idx="294">
                  <c:v>20216.123158729275</c:v>
                </c:pt>
                <c:pt idx="295">
                  <c:v>19923.510235925038</c:v>
                </c:pt>
                <c:pt idx="296">
                  <c:v>19629.921936711453</c:v>
                </c:pt>
                <c:pt idx="297">
                  <c:v>19335.355009833824</c:v>
                </c:pt>
                <c:pt idx="298">
                  <c:v>19039.806193199936</c:v>
                </c:pt>
                <c:pt idx="299">
                  <c:v>18743.272213843935</c:v>
                </c:pt>
                <c:pt idx="300">
                  <c:v>18445.749787890083</c:v>
                </c:pt>
                <c:pt idx="301">
                  <c:v>18147.235620516385</c:v>
                </c:pt>
                <c:pt idx="302">
                  <c:v>17847.726405918107</c:v>
                </c:pt>
                <c:pt idx="303">
                  <c:v>17547.218827271168</c:v>
                </c:pt>
                <c:pt idx="304">
                  <c:v>17245.709556695405</c:v>
                </c:pt>
                <c:pt idx="305">
                  <c:v>16943.195255217724</c:v>
                </c:pt>
                <c:pt idx="306">
                  <c:v>16639.672572735119</c:v>
                </c:pt>
                <c:pt idx="307">
                  <c:v>16335.13814797757</c:v>
                </c:pt>
                <c:pt idx="308">
                  <c:v>16029.588608470829</c:v>
                </c:pt>
                <c:pt idx="309">
                  <c:v>15723.020570499066</c:v>
                </c:pt>
                <c:pt idx="310">
                  <c:v>15415.430639067396</c:v>
                </c:pt>
                <c:pt idx="311">
                  <c:v>15106.815407864287</c:v>
                </c:pt>
                <c:pt idx="312">
                  <c:v>14797.171459223835</c:v>
                </c:pt>
                <c:pt idx="313">
                  <c:v>14486.495364087914</c:v>
                </c:pt>
                <c:pt idx="314">
                  <c:v>14174.783681968207</c:v>
                </c:pt>
                <c:pt idx="315">
                  <c:v>13862.032960908102</c:v>
                </c:pt>
                <c:pt idx="316">
                  <c:v>13548.239737444463</c:v>
                </c:pt>
                <c:pt idx="317">
                  <c:v>13233.400536569277</c:v>
                </c:pt>
                <c:pt idx="318">
                  <c:v>12917.511871691175</c:v>
                </c:pt>
                <c:pt idx="319">
                  <c:v>12600.570244596813</c:v>
                </c:pt>
                <c:pt idx="320">
                  <c:v>12282.572145412136</c:v>
                </c:pt>
                <c:pt idx="321">
                  <c:v>11963.514052563509</c:v>
                </c:pt>
                <c:pt idx="322">
                  <c:v>11643.392432738721</c:v>
                </c:pt>
                <c:pt idx="323">
                  <c:v>11322.20374084785</c:v>
                </c:pt>
                <c:pt idx="324">
                  <c:v>10999.944419984009</c:v>
                </c:pt>
                <c:pt idx="325">
                  <c:v>10676.610901383956</c:v>
                </c:pt>
                <c:pt idx="326">
                  <c:v>10352.199604388568</c:v>
                </c:pt>
                <c:pt idx="327">
                  <c:v>10026.706936403198</c:v>
                </c:pt>
                <c:pt idx="328">
                  <c:v>9700.129292857875</c:v>
                </c:pt>
                <c:pt idx="329">
                  <c:v>9372.4630571674006</c:v>
                </c:pt>
                <c:pt idx="330">
                  <c:v>9043.7046006912915</c:v>
                </c:pt>
                <c:pt idx="331">
                  <c:v>8713.8502826935965</c:v>
                </c:pt>
                <c:pt idx="332">
                  <c:v>8382.8964503025745</c:v>
                </c:pt>
                <c:pt idx="333">
                  <c:v>8050.8394384702497</c:v>
                </c:pt>
                <c:pt idx="334">
                  <c:v>7717.6755699318173</c:v>
                </c:pt>
                <c:pt idx="335">
                  <c:v>7383.4011551649237</c:v>
                </c:pt>
                <c:pt idx="336">
                  <c:v>7048.0124923488065</c:v>
                </c:pt>
                <c:pt idx="337">
                  <c:v>6711.5058673233025</c:v>
                </c:pt>
                <c:pt idx="338">
                  <c:v>6373.8775535477134</c:v>
                </c:pt>
                <c:pt idx="339">
                  <c:v>6035.123812059539</c:v>
                </c:pt>
                <c:pt idx="340">
                  <c:v>5695.2408914330708</c:v>
                </c:pt>
                <c:pt idx="341">
                  <c:v>5354.225027737848</c:v>
                </c:pt>
                <c:pt idx="342">
                  <c:v>5012.0724444969737</c:v>
                </c:pt>
                <c:pt idx="343">
                  <c:v>4668.779352645297</c:v>
                </c:pt>
                <c:pt idx="344">
                  <c:v>4324.3419504874482</c:v>
                </c:pt>
                <c:pt idx="345">
                  <c:v>3978.75642365574</c:v>
                </c:pt>
                <c:pt idx="346">
                  <c:v>3632.0189450679259</c:v>
                </c:pt>
                <c:pt idx="347">
                  <c:v>3284.1256748848191</c:v>
                </c:pt>
                <c:pt idx="348">
                  <c:v>2935.0727604677686</c:v>
                </c:pt>
                <c:pt idx="349">
                  <c:v>2584.8563363359945</c:v>
                </c:pt>
                <c:pt idx="350">
                  <c:v>2233.4725241237811</c:v>
                </c:pt>
                <c:pt idx="351">
                  <c:v>1880.917432537527</c:v>
                </c:pt>
                <c:pt idx="352">
                  <c:v>1527.1871573126521</c:v>
                </c:pt>
                <c:pt idx="353">
                  <c:v>1172.2777811703609</c:v>
                </c:pt>
                <c:pt idx="354">
                  <c:v>816.18537377426196</c:v>
                </c:pt>
                <c:pt idx="355">
                  <c:v>458.90599168684287</c:v>
                </c:pt>
                <c:pt idx="356">
                  <c:v>100.43567832579902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B6-4CE6-BFAB-A70EE3E64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6256640"/>
        <c:axId val="118895360"/>
        <c:axId val="0"/>
      </c:bar3DChart>
      <c:catAx>
        <c:axId val="8625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895360"/>
        <c:crosses val="autoZero"/>
        <c:auto val="1"/>
        <c:lblAlgn val="ctr"/>
        <c:lblOffset val="100"/>
        <c:noMultiLvlLbl val="0"/>
      </c:catAx>
      <c:valAx>
        <c:axId val="11889536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62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1182247875795186"/>
          <c:y val="7.0847794511122997E-2"/>
          <c:w val="7.9702944970861694E-2"/>
          <c:h val="0.620979707633633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0223862642169732"/>
          <c:y val="6.9707877424412854E-2"/>
          <c:w val="0.77134035710324944"/>
          <c:h val="0.84348842758291576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'Kam 5% 75000'!$I$5:$I$371</c:f>
              <c:numCache>
                <c:formatCode>General</c:formatCode>
                <c:ptCount val="3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cat>
          <c:val>
            <c:numRef>
              <c:f>'Kam 5% 75000'!$B$5:$B$370</c:f>
              <c:numCache>
                <c:formatCode>_(* #,##0.00_);_(* \(#,##0.00\);_(* "-"??_);_(@_)</c:formatCode>
                <c:ptCount val="366"/>
                <c:pt idx="0">
                  <c:v>75000</c:v>
                </c:pt>
                <c:pt idx="1">
                  <c:v>74912.5</c:v>
                </c:pt>
                <c:pt idx="2">
                  <c:v>74824.635416666672</c:v>
                </c:pt>
                <c:pt idx="3">
                  <c:v>74736.404730902781</c:v>
                </c:pt>
                <c:pt idx="4">
                  <c:v>74647.806417281536</c:v>
                </c:pt>
                <c:pt idx="5">
                  <c:v>74558.838944020215</c:v>
                </c:pt>
                <c:pt idx="6">
                  <c:v>74469.50077295363</c:v>
                </c:pt>
                <c:pt idx="7">
                  <c:v>74379.790359507606</c:v>
                </c:pt>
                <c:pt idx="8">
                  <c:v>74289.706152672225</c:v>
                </c:pt>
                <c:pt idx="9">
                  <c:v>74199.246594975019</c:v>
                </c:pt>
                <c:pt idx="10">
                  <c:v>74108.410122454079</c:v>
                </c:pt>
                <c:pt idx="11">
                  <c:v>74017.195164630975</c:v>
                </c:pt>
                <c:pt idx="12">
                  <c:v>73925.6001444836</c:v>
                </c:pt>
                <c:pt idx="13">
                  <c:v>73833.623478418944</c:v>
                </c:pt>
                <c:pt idx="14">
                  <c:v>73741.263576245692</c:v>
                </c:pt>
                <c:pt idx="15">
                  <c:v>73648.51884114671</c:v>
                </c:pt>
                <c:pt idx="16">
                  <c:v>73555.387669651493</c:v>
                </c:pt>
                <c:pt idx="17">
                  <c:v>73461.868451608374</c:v>
                </c:pt>
                <c:pt idx="18">
                  <c:v>73367.959570156745</c:v>
                </c:pt>
                <c:pt idx="19">
                  <c:v>73273.659401699071</c:v>
                </c:pt>
                <c:pt idx="20">
                  <c:v>73178.966315872822</c:v>
                </c:pt>
                <c:pt idx="21">
                  <c:v>73083.878675522297</c:v>
                </c:pt>
                <c:pt idx="22">
                  <c:v>72988.394836670312</c:v>
                </c:pt>
                <c:pt idx="23">
                  <c:v>72892.513148489772</c:v>
                </c:pt>
                <c:pt idx="24">
                  <c:v>72796.231953275143</c:v>
                </c:pt>
                <c:pt idx="25">
                  <c:v>72699.549586413792</c:v>
                </c:pt>
                <c:pt idx="26">
                  <c:v>72602.46437635718</c:v>
                </c:pt>
                <c:pt idx="27">
                  <c:v>72504.974644592003</c:v>
                </c:pt>
                <c:pt idx="28">
                  <c:v>72407.078705611129</c:v>
                </c:pt>
                <c:pt idx="29">
                  <c:v>72308.774866884516</c:v>
                </c:pt>
                <c:pt idx="30">
                  <c:v>72210.061428829868</c:v>
                </c:pt>
                <c:pt idx="31">
                  <c:v>72110.93668478333</c:v>
                </c:pt>
                <c:pt idx="32">
                  <c:v>72011.398920969921</c:v>
                </c:pt>
                <c:pt idx="33">
                  <c:v>71911.446416473962</c:v>
                </c:pt>
                <c:pt idx="34">
                  <c:v>71811.077443209273</c:v>
                </c:pt>
                <c:pt idx="35">
                  <c:v>71710.290265889314</c:v>
                </c:pt>
                <c:pt idx="36">
                  <c:v>71609.08314199718</c:v>
                </c:pt>
                <c:pt idx="37">
                  <c:v>71507.454321755504</c:v>
                </c:pt>
                <c:pt idx="38">
                  <c:v>71405.402048096148</c:v>
                </c:pt>
                <c:pt idx="39">
                  <c:v>71302.924556629878</c:v>
                </c:pt>
                <c:pt idx="40">
                  <c:v>71200.02007561583</c:v>
                </c:pt>
                <c:pt idx="41">
                  <c:v>71096.686825930898</c:v>
                </c:pt>
                <c:pt idx="42">
                  <c:v>70992.923021038936</c:v>
                </c:pt>
                <c:pt idx="43">
                  <c:v>70888.726866959929</c:v>
                </c:pt>
                <c:pt idx="44">
                  <c:v>70784.096562238934</c:v>
                </c:pt>
                <c:pt idx="45">
                  <c:v>70679.030297914927</c:v>
                </c:pt>
                <c:pt idx="46">
                  <c:v>70573.526257489575</c:v>
                </c:pt>
                <c:pt idx="47">
                  <c:v>70467.582616895786</c:v>
                </c:pt>
                <c:pt idx="48">
                  <c:v>70361.19754446618</c:v>
                </c:pt>
                <c:pt idx="49">
                  <c:v>70254.369200901463</c:v>
                </c:pt>
                <c:pt idx="50">
                  <c:v>70147.095739238546</c:v>
                </c:pt>
                <c:pt idx="51">
                  <c:v>70039.375304818706</c:v>
                </c:pt>
                <c:pt idx="52">
                  <c:v>69931.206035255454</c:v>
                </c:pt>
                <c:pt idx="53">
                  <c:v>69822.586060402347</c:v>
                </c:pt>
                <c:pt idx="54">
                  <c:v>69713.513502320697</c:v>
                </c:pt>
                <c:pt idx="55">
                  <c:v>69603.986475247031</c:v>
                </c:pt>
                <c:pt idx="56">
                  <c:v>69494.003085560558</c:v>
                </c:pt>
                <c:pt idx="57">
                  <c:v>69383.561431750393</c:v>
                </c:pt>
                <c:pt idx="58">
                  <c:v>69272.659604382687</c:v>
                </c:pt>
                <c:pt idx="59">
                  <c:v>69161.29568606762</c:v>
                </c:pt>
                <c:pt idx="60">
                  <c:v>69049.467751426229</c:v>
                </c:pt>
                <c:pt idx="61">
                  <c:v>68937.173867057165</c:v>
                </c:pt>
                <c:pt idx="62">
                  <c:v>68824.41209150324</c:v>
                </c:pt>
                <c:pt idx="63">
                  <c:v>68711.180475217843</c:v>
                </c:pt>
                <c:pt idx="64">
                  <c:v>68597.477060531251</c:v>
                </c:pt>
                <c:pt idx="65">
                  <c:v>68483.299881616796</c:v>
                </c:pt>
                <c:pt idx="66">
                  <c:v>68368.646964456872</c:v>
                </c:pt>
                <c:pt idx="67">
                  <c:v>68253.516326808778</c:v>
                </c:pt>
                <c:pt idx="68">
                  <c:v>68137.905978170485</c:v>
                </c:pt>
                <c:pt idx="69">
                  <c:v>68021.813919746201</c:v>
                </c:pt>
                <c:pt idx="70">
                  <c:v>67905.238144411807</c:v>
                </c:pt>
                <c:pt idx="71">
                  <c:v>67788.176636680189</c:v>
                </c:pt>
                <c:pt idx="72">
                  <c:v>67670.627372666364</c:v>
                </c:pt>
                <c:pt idx="73">
                  <c:v>67552.588320052469</c:v>
                </c:pt>
                <c:pt idx="74">
                  <c:v>67434.057438052681</c:v>
                </c:pt>
                <c:pt idx="75">
                  <c:v>67315.032677377894</c:v>
                </c:pt>
                <c:pt idx="76">
                  <c:v>67195.511980200303</c:v>
                </c:pt>
                <c:pt idx="77">
                  <c:v>67075.493280117807</c:v>
                </c:pt>
                <c:pt idx="78">
                  <c:v>66954.974502118304</c:v>
                </c:pt>
                <c:pt idx="79">
                  <c:v>66833.9535625438</c:v>
                </c:pt>
                <c:pt idx="80">
                  <c:v>66712.428369054396</c:v>
                </c:pt>
                <c:pt idx="81">
                  <c:v>66590.396820592126</c:v>
                </c:pt>
                <c:pt idx="82">
                  <c:v>66467.856807344593</c:v>
                </c:pt>
                <c:pt idx="83">
                  <c:v>66344.806210708528</c:v>
                </c:pt>
                <c:pt idx="84">
                  <c:v>66221.242903253151</c:v>
                </c:pt>
                <c:pt idx="85">
                  <c:v>66097.164748683368</c:v>
                </c:pt>
                <c:pt idx="86">
                  <c:v>65972.569601802883</c:v>
                </c:pt>
                <c:pt idx="87">
                  <c:v>65847.45530847706</c:v>
                </c:pt>
                <c:pt idx="88">
                  <c:v>65721.819705595713</c:v>
                </c:pt>
                <c:pt idx="89">
                  <c:v>65595.660621035699</c:v>
                </c:pt>
                <c:pt idx="90">
                  <c:v>65468.975873623349</c:v>
                </c:pt>
                <c:pt idx="91">
                  <c:v>65341.763273096774</c:v>
                </c:pt>
                <c:pt idx="92">
                  <c:v>65214.020620068011</c:v>
                </c:pt>
                <c:pt idx="93">
                  <c:v>65085.745705984962</c:v>
                </c:pt>
                <c:pt idx="94">
                  <c:v>64956.936313093232</c:v>
                </c:pt>
                <c:pt idx="95">
                  <c:v>64827.590214397787</c:v>
                </c:pt>
                <c:pt idx="96">
                  <c:v>64697.705173624447</c:v>
                </c:pt>
                <c:pt idx="97">
                  <c:v>64567.278945181213</c:v>
                </c:pt>
                <c:pt idx="98">
                  <c:v>64436.309274119471</c:v>
                </c:pt>
                <c:pt idx="99">
                  <c:v>64304.793896094969</c:v>
                </c:pt>
                <c:pt idx="100">
                  <c:v>64172.730537328694</c:v>
                </c:pt>
                <c:pt idx="101">
                  <c:v>64040.116914567567</c:v>
                </c:pt>
                <c:pt idx="102">
                  <c:v>63906.950735044935</c:v>
                </c:pt>
                <c:pt idx="103">
                  <c:v>63773.229696440954</c:v>
                </c:pt>
                <c:pt idx="104">
                  <c:v>63638.951486842794</c:v>
                </c:pt>
                <c:pt idx="105">
                  <c:v>63504.113784704641</c:v>
                </c:pt>
                <c:pt idx="106">
                  <c:v>63368.71425880758</c:v>
                </c:pt>
                <c:pt idx="107">
                  <c:v>63232.750568219279</c:v>
                </c:pt>
                <c:pt idx="108">
                  <c:v>63096.220362253523</c:v>
                </c:pt>
                <c:pt idx="109">
                  <c:v>62959.121280429579</c:v>
                </c:pt>
                <c:pt idx="110">
                  <c:v>62821.450952431369</c:v>
                </c:pt>
                <c:pt idx="111">
                  <c:v>62683.206998066496</c:v>
                </c:pt>
                <c:pt idx="112">
                  <c:v>62544.387027225108</c:v>
                </c:pt>
                <c:pt idx="113">
                  <c:v>62404.988639838542</c:v>
                </c:pt>
                <c:pt idx="114">
                  <c:v>62265.009425837867</c:v>
                </c:pt>
                <c:pt idx="115">
                  <c:v>62124.446965112191</c:v>
                </c:pt>
                <c:pt idx="116">
                  <c:v>61983.298827466824</c:v>
                </c:pt>
                <c:pt idx="117">
                  <c:v>61841.562572581272</c:v>
                </c:pt>
                <c:pt idx="118">
                  <c:v>61699.235749967025</c:v>
                </c:pt>
                <c:pt idx="119">
                  <c:v>61556.315898925219</c:v>
                </c:pt>
                <c:pt idx="120">
                  <c:v>61412.80054850407</c:v>
                </c:pt>
                <c:pt idx="121">
                  <c:v>61268.687217456172</c:v>
                </c:pt>
                <c:pt idx="122">
                  <c:v>61123.973414195571</c:v>
                </c:pt>
                <c:pt idx="123">
                  <c:v>60978.65663675472</c:v>
                </c:pt>
                <c:pt idx="124">
                  <c:v>60832.734372741201</c:v>
                </c:pt>
                <c:pt idx="125">
                  <c:v>60686.204099294286</c:v>
                </c:pt>
                <c:pt idx="126">
                  <c:v>60539.063283041345</c:v>
                </c:pt>
                <c:pt idx="127">
                  <c:v>60391.309380054015</c:v>
                </c:pt>
                <c:pt idx="128">
                  <c:v>60242.939835804238</c:v>
                </c:pt>
                <c:pt idx="129">
                  <c:v>60093.952085120087</c:v>
                </c:pt>
                <c:pt idx="130">
                  <c:v>59944.343552141421</c:v>
                </c:pt>
                <c:pt idx="131">
                  <c:v>59794.111650275343</c:v>
                </c:pt>
                <c:pt idx="132">
                  <c:v>59643.253782151492</c:v>
                </c:pt>
                <c:pt idx="133">
                  <c:v>59491.767339577127</c:v>
                </c:pt>
                <c:pt idx="134">
                  <c:v>59339.649703492032</c:v>
                </c:pt>
                <c:pt idx="135">
                  <c:v>59186.89824392325</c:v>
                </c:pt>
                <c:pt idx="136">
                  <c:v>59033.510319939596</c:v>
                </c:pt>
                <c:pt idx="137">
                  <c:v>58879.483279606015</c:v>
                </c:pt>
                <c:pt idx="138">
                  <c:v>58724.814459937705</c:v>
                </c:pt>
                <c:pt idx="139">
                  <c:v>58569.501186854111</c:v>
                </c:pt>
                <c:pt idx="140">
                  <c:v>58413.540775132671</c:v>
                </c:pt>
                <c:pt idx="141">
                  <c:v>58256.930528362391</c:v>
                </c:pt>
                <c:pt idx="142">
                  <c:v>58099.667738897231</c:v>
                </c:pt>
                <c:pt idx="143">
                  <c:v>57941.749687809301</c:v>
                </c:pt>
                <c:pt idx="144">
                  <c:v>57783.173644841838</c:v>
                </c:pt>
                <c:pt idx="145">
                  <c:v>57623.936868362012</c:v>
                </c:pt>
                <c:pt idx="146">
                  <c:v>57464.036605313522</c:v>
                </c:pt>
                <c:pt idx="147">
                  <c:v>57303.470091168994</c:v>
                </c:pt>
                <c:pt idx="148">
                  <c:v>57142.234549882196</c:v>
                </c:pt>
                <c:pt idx="149">
                  <c:v>56980.327193840036</c:v>
                </c:pt>
                <c:pt idx="150">
                  <c:v>56817.745223814367</c:v>
                </c:pt>
                <c:pt idx="151">
                  <c:v>56654.485828913595</c:v>
                </c:pt>
                <c:pt idx="152">
                  <c:v>56490.546186534069</c:v>
                </c:pt>
                <c:pt idx="153">
                  <c:v>56325.923462311293</c:v>
                </c:pt>
                <c:pt idx="154">
                  <c:v>56160.614810070925</c:v>
                </c:pt>
                <c:pt idx="155">
                  <c:v>55994.617371779554</c:v>
                </c:pt>
                <c:pt idx="156">
                  <c:v>55827.928277495303</c:v>
                </c:pt>
                <c:pt idx="157">
                  <c:v>55660.544645318201</c:v>
                </c:pt>
                <c:pt idx="158">
                  <c:v>55492.463581340358</c:v>
                </c:pt>
                <c:pt idx="159">
                  <c:v>55323.68217959594</c:v>
                </c:pt>
                <c:pt idx="160">
                  <c:v>55154.197522010923</c:v>
                </c:pt>
                <c:pt idx="161">
                  <c:v>54984.006678352634</c:v>
                </c:pt>
                <c:pt idx="162">
                  <c:v>54813.106706179104</c:v>
                </c:pt>
                <c:pt idx="163">
                  <c:v>54641.494650788183</c:v>
                </c:pt>
                <c:pt idx="164">
                  <c:v>54469.167545166471</c:v>
                </c:pt>
                <c:pt idx="165">
                  <c:v>54296.122409937998</c:v>
                </c:pt>
                <c:pt idx="166">
                  <c:v>54122.356253312741</c:v>
                </c:pt>
                <c:pt idx="167">
                  <c:v>53947.866071034878</c:v>
                </c:pt>
                <c:pt idx="168">
                  <c:v>53772.648846330856</c:v>
                </c:pt>
                <c:pt idx="169">
                  <c:v>53596.701549857236</c:v>
                </c:pt>
                <c:pt idx="170">
                  <c:v>53420.021139648306</c:v>
                </c:pt>
                <c:pt idx="171">
                  <c:v>53242.604561063505</c:v>
                </c:pt>
                <c:pt idx="172">
                  <c:v>53064.448746734604</c:v>
                </c:pt>
                <c:pt idx="173">
                  <c:v>52885.550616512664</c:v>
                </c:pt>
                <c:pt idx="174">
                  <c:v>52705.907077414799</c:v>
                </c:pt>
                <c:pt idx="175">
                  <c:v>52525.515023570697</c:v>
                </c:pt>
                <c:pt idx="176">
                  <c:v>52344.371336168908</c:v>
                </c:pt>
                <c:pt idx="177">
                  <c:v>52162.472883402945</c:v>
                </c:pt>
                <c:pt idx="178">
                  <c:v>51979.816520417124</c:v>
                </c:pt>
                <c:pt idx="179">
                  <c:v>51796.399089252198</c:v>
                </c:pt>
                <c:pt idx="180">
                  <c:v>51612.217418790751</c:v>
                </c:pt>
                <c:pt idx="181">
                  <c:v>51427.268324702382</c:v>
                </c:pt>
                <c:pt idx="182">
                  <c:v>51241.548609388643</c:v>
                </c:pt>
                <c:pt idx="183">
                  <c:v>51055.055061927764</c:v>
                </c:pt>
                <c:pt idx="184">
                  <c:v>50867.78445801913</c:v>
                </c:pt>
                <c:pt idx="185">
                  <c:v>50679.733559927547</c:v>
                </c:pt>
                <c:pt idx="186">
                  <c:v>50490.899116427245</c:v>
                </c:pt>
                <c:pt idx="187">
                  <c:v>50301.277862745694</c:v>
                </c:pt>
                <c:pt idx="188">
                  <c:v>50110.866520507137</c:v>
                </c:pt>
                <c:pt idx="189">
                  <c:v>49919.661797675915</c:v>
                </c:pt>
                <c:pt idx="190">
                  <c:v>49727.660388499564</c:v>
                </c:pt>
                <c:pt idx="191">
                  <c:v>49534.858973451643</c:v>
                </c:pt>
                <c:pt idx="192">
                  <c:v>49341.254219174356</c:v>
                </c:pt>
                <c:pt idx="193">
                  <c:v>49146.842778420913</c:v>
                </c:pt>
                <c:pt idx="194">
                  <c:v>48951.621289997667</c:v>
                </c:pt>
                <c:pt idx="195">
                  <c:v>48755.586378705993</c:v>
                </c:pt>
                <c:pt idx="196">
                  <c:v>48558.734655283937</c:v>
                </c:pt>
                <c:pt idx="197">
                  <c:v>48361.062716347624</c:v>
                </c:pt>
                <c:pt idx="198">
                  <c:v>48162.567144332403</c:v>
                </c:pt>
                <c:pt idx="199">
                  <c:v>47963.244507433788</c:v>
                </c:pt>
                <c:pt idx="200">
                  <c:v>47763.091359548096</c:v>
                </c:pt>
                <c:pt idx="201">
                  <c:v>47562.104240212881</c:v>
                </c:pt>
                <c:pt idx="202">
                  <c:v>47360.279674547099</c:v>
                </c:pt>
                <c:pt idx="203">
                  <c:v>47157.614173191047</c:v>
                </c:pt>
                <c:pt idx="204">
                  <c:v>46954.104232246013</c:v>
                </c:pt>
                <c:pt idx="205">
                  <c:v>46749.746333213705</c:v>
                </c:pt>
                <c:pt idx="206">
                  <c:v>46544.536942935432</c:v>
                </c:pt>
                <c:pt idx="207">
                  <c:v>46338.472513531</c:v>
                </c:pt>
                <c:pt idx="208">
                  <c:v>46131.549482337381</c:v>
                </c:pt>
                <c:pt idx="209">
                  <c:v>45923.764271847118</c:v>
                </c:pt>
                <c:pt idx="210">
                  <c:v>45715.113289646484</c:v>
                </c:pt>
                <c:pt idx="211">
                  <c:v>45505.592928353348</c:v>
                </c:pt>
                <c:pt idx="212">
                  <c:v>45295.199565554823</c:v>
                </c:pt>
                <c:pt idx="213">
                  <c:v>45083.929563744634</c:v>
                </c:pt>
                <c:pt idx="214">
                  <c:v>44871.779270260238</c:v>
                </c:pt>
                <c:pt idx="215">
                  <c:v>44658.745017219655</c:v>
                </c:pt>
                <c:pt idx="216">
                  <c:v>44444.823121458074</c:v>
                </c:pt>
                <c:pt idx="217">
                  <c:v>44230.009884464147</c:v>
                </c:pt>
                <c:pt idx="218">
                  <c:v>44014.301592316078</c:v>
                </c:pt>
                <c:pt idx="219">
                  <c:v>43797.694515617397</c:v>
                </c:pt>
                <c:pt idx="220">
                  <c:v>43580.184909432472</c:v>
                </c:pt>
                <c:pt idx="221">
                  <c:v>43361.769013221776</c:v>
                </c:pt>
                <c:pt idx="222">
                  <c:v>43142.443050776863</c:v>
                </c:pt>
                <c:pt idx="223">
                  <c:v>42922.203230155101</c:v>
                </c:pt>
                <c:pt idx="224">
                  <c:v>42701.045743614079</c:v>
                </c:pt>
                <c:pt idx="225">
                  <c:v>42478.966767545804</c:v>
                </c:pt>
                <c:pt idx="226">
                  <c:v>42255.962462410578</c:v>
                </c:pt>
                <c:pt idx="227">
                  <c:v>42032.028972670625</c:v>
                </c:pt>
                <c:pt idx="228">
                  <c:v>41807.162426723422</c:v>
                </c:pt>
                <c:pt idx="229">
                  <c:v>41581.358936834768</c:v>
                </c:pt>
                <c:pt idx="230">
                  <c:v>41354.614599071581</c:v>
                </c:pt>
                <c:pt idx="231">
                  <c:v>41126.925493234383</c:v>
                </c:pt>
                <c:pt idx="232">
                  <c:v>40898.287682789523</c:v>
                </c:pt>
                <c:pt idx="233">
                  <c:v>40668.697214801148</c:v>
                </c:pt>
                <c:pt idx="234">
                  <c:v>40438.150119862818</c:v>
                </c:pt>
                <c:pt idx="235">
                  <c:v>40206.642412028916</c:v>
                </c:pt>
                <c:pt idx="236">
                  <c:v>39974.170088745705</c:v>
                </c:pt>
                <c:pt idx="237">
                  <c:v>39740.729130782143</c:v>
                </c:pt>
                <c:pt idx="238">
                  <c:v>39506.315502160403</c:v>
                </c:pt>
                <c:pt idx="239">
                  <c:v>39270.92515008607</c:v>
                </c:pt>
                <c:pt idx="240">
                  <c:v>39034.554004878097</c:v>
                </c:pt>
                <c:pt idx="241">
                  <c:v>38797.197979898425</c:v>
                </c:pt>
                <c:pt idx="242">
                  <c:v>38558.852971481334</c:v>
                </c:pt>
                <c:pt idx="243">
                  <c:v>38319.514858862509</c:v>
                </c:pt>
                <c:pt idx="244">
                  <c:v>38079.179504107771</c:v>
                </c:pt>
                <c:pt idx="245">
                  <c:v>37837.842752041557</c:v>
                </c:pt>
                <c:pt idx="246">
                  <c:v>37595.500430175067</c:v>
                </c:pt>
                <c:pt idx="247">
                  <c:v>37352.148348634131</c:v>
                </c:pt>
                <c:pt idx="248">
                  <c:v>37107.782300086772</c:v>
                </c:pt>
                <c:pt idx="249">
                  <c:v>36862.398059670464</c:v>
                </c:pt>
                <c:pt idx="250">
                  <c:v>36615.991384919093</c:v>
                </c:pt>
                <c:pt idx="251">
                  <c:v>36368.558015689589</c:v>
                </c:pt>
                <c:pt idx="252">
                  <c:v>36120.093674088297</c:v>
                </c:pt>
                <c:pt idx="253">
                  <c:v>35870.594064396995</c:v>
                </c:pt>
                <c:pt idx="254">
                  <c:v>35620.054872998648</c:v>
                </c:pt>
                <c:pt idx="255">
                  <c:v>35368.471768302807</c:v>
                </c:pt>
                <c:pt idx="256">
                  <c:v>35115.840400670735</c:v>
                </c:pt>
                <c:pt idx="257">
                  <c:v>34862.156402340195</c:v>
                </c:pt>
                <c:pt idx="258">
                  <c:v>34607.415387349945</c:v>
                </c:pt>
                <c:pt idx="259">
                  <c:v>34351.612951463903</c:v>
                </c:pt>
                <c:pt idx="260">
                  <c:v>34094.744672095003</c:v>
                </c:pt>
                <c:pt idx="261">
                  <c:v>33836.806108228731</c:v>
                </c:pt>
                <c:pt idx="262">
                  <c:v>33577.792800346353</c:v>
                </c:pt>
                <c:pt idx="263">
                  <c:v>33317.700270347799</c:v>
                </c:pt>
                <c:pt idx="264">
                  <c:v>33056.524021474252</c:v>
                </c:pt>
                <c:pt idx="265">
                  <c:v>32794.259538230392</c:v>
                </c:pt>
                <c:pt idx="266">
                  <c:v>32530.902286306351</c:v>
                </c:pt>
                <c:pt idx="267">
                  <c:v>32266.447712499295</c:v>
                </c:pt>
                <c:pt idx="268">
                  <c:v>32000.891244634709</c:v>
                </c:pt>
                <c:pt idx="269">
                  <c:v>31734.228291487354</c:v>
                </c:pt>
                <c:pt idx="270">
                  <c:v>31466.454242701886</c:v>
                </c:pt>
                <c:pt idx="271">
                  <c:v>31197.564468713143</c:v>
                </c:pt>
                <c:pt idx="272">
                  <c:v>30927.554320666113</c:v>
                </c:pt>
                <c:pt idx="273">
                  <c:v>30656.419130335555</c:v>
                </c:pt>
                <c:pt idx="274">
                  <c:v>30384.154210045286</c:v>
                </c:pt>
                <c:pt idx="275">
                  <c:v>30110.754852587143</c:v>
                </c:pt>
                <c:pt idx="276">
                  <c:v>29836.216331139589</c:v>
                </c:pt>
                <c:pt idx="277">
                  <c:v>29560.533899186004</c:v>
                </c:pt>
                <c:pt idx="278">
                  <c:v>29283.702790432613</c:v>
                </c:pt>
                <c:pt idx="279">
                  <c:v>29005.718218726084</c:v>
                </c:pt>
                <c:pt idx="280">
                  <c:v>28726.575377970777</c:v>
                </c:pt>
                <c:pt idx="281">
                  <c:v>28446.269442045657</c:v>
                </c:pt>
                <c:pt idx="282">
                  <c:v>28164.795564720847</c:v>
                </c:pt>
                <c:pt idx="283">
                  <c:v>27882.148879573851</c:v>
                </c:pt>
                <c:pt idx="284">
                  <c:v>27598.324499905408</c:v>
                </c:pt>
                <c:pt idx="285">
                  <c:v>27313.317518655014</c:v>
                </c:pt>
                <c:pt idx="286">
                  <c:v>27027.123008316077</c:v>
                </c:pt>
                <c:pt idx="287">
                  <c:v>26739.736020850727</c:v>
                </c:pt>
                <c:pt idx="288">
                  <c:v>26451.151587604272</c:v>
                </c:pt>
                <c:pt idx="289">
                  <c:v>26161.364719219291</c:v>
                </c:pt>
                <c:pt idx="290">
                  <c:v>25870.370405549373</c:v>
                </c:pt>
                <c:pt idx="291">
                  <c:v>25578.163615572495</c:v>
                </c:pt>
                <c:pt idx="292">
                  <c:v>25284.739297304048</c:v>
                </c:pt>
                <c:pt idx="293">
                  <c:v>24990.092377709483</c:v>
                </c:pt>
                <c:pt idx="294">
                  <c:v>24694.217762616605</c:v>
                </c:pt>
                <c:pt idx="295">
                  <c:v>24397.110336627506</c:v>
                </c:pt>
                <c:pt idx="296">
                  <c:v>24098.76496303012</c:v>
                </c:pt>
                <c:pt idx="297">
                  <c:v>23799.176483709412</c:v>
                </c:pt>
                <c:pt idx="298">
                  <c:v>23498.3397190582</c:v>
                </c:pt>
                <c:pt idx="299">
                  <c:v>23196.24946788761</c:v>
                </c:pt>
                <c:pt idx="300">
                  <c:v>22892.900507337141</c:v>
                </c:pt>
                <c:pt idx="301">
                  <c:v>22588.287592784378</c:v>
                </c:pt>
                <c:pt idx="302">
                  <c:v>22282.405457754314</c:v>
                </c:pt>
                <c:pt idx="303">
                  <c:v>21975.24881382829</c:v>
                </c:pt>
                <c:pt idx="304">
                  <c:v>21666.812350552573</c:v>
                </c:pt>
                <c:pt idx="305">
                  <c:v>21357.090735346541</c:v>
                </c:pt>
                <c:pt idx="306">
                  <c:v>21046.078613410486</c:v>
                </c:pt>
                <c:pt idx="307">
                  <c:v>20733.770607633029</c:v>
                </c:pt>
                <c:pt idx="308">
                  <c:v>20420.161318498165</c:v>
                </c:pt>
                <c:pt idx="309">
                  <c:v>20105.245323991909</c:v>
                </c:pt>
                <c:pt idx="310">
                  <c:v>19789.017179508541</c:v>
                </c:pt>
                <c:pt idx="311">
                  <c:v>19471.471417756493</c:v>
                </c:pt>
                <c:pt idx="312">
                  <c:v>19152.60254866381</c:v>
                </c:pt>
                <c:pt idx="313">
                  <c:v>18832.405059283243</c:v>
                </c:pt>
                <c:pt idx="314">
                  <c:v>18510.873413696921</c:v>
                </c:pt>
                <c:pt idx="315">
                  <c:v>18188.002052920659</c:v>
                </c:pt>
                <c:pt idx="316">
                  <c:v>17863.78539480783</c:v>
                </c:pt>
                <c:pt idx="317">
                  <c:v>17538.217833952862</c:v>
                </c:pt>
                <c:pt idx="318">
                  <c:v>17211.293741594331</c:v>
                </c:pt>
                <c:pt idx="319">
                  <c:v>16883.00746551764</c:v>
                </c:pt>
                <c:pt idx="320">
                  <c:v>16553.353329957296</c:v>
                </c:pt>
                <c:pt idx="321">
                  <c:v>16222.325635498783</c:v>
                </c:pt>
                <c:pt idx="322">
                  <c:v>15889.918658980027</c:v>
                </c:pt>
                <c:pt idx="323">
                  <c:v>15556.126653392443</c:v>
                </c:pt>
                <c:pt idx="324">
                  <c:v>15220.943847781578</c:v>
                </c:pt>
                <c:pt idx="325">
                  <c:v>14884.364447147334</c:v>
                </c:pt>
                <c:pt idx="326">
                  <c:v>14546.382632343782</c:v>
                </c:pt>
                <c:pt idx="327">
                  <c:v>14206.992559978547</c:v>
                </c:pt>
                <c:pt idx="328">
                  <c:v>13866.188362311792</c:v>
                </c:pt>
                <c:pt idx="329">
                  <c:v>13523.964147154758</c:v>
                </c:pt>
                <c:pt idx="330">
                  <c:v>13180.313997767904</c:v>
                </c:pt>
                <c:pt idx="331">
                  <c:v>12835.231972758604</c:v>
                </c:pt>
                <c:pt idx="332">
                  <c:v>12488.712105978431</c:v>
                </c:pt>
                <c:pt idx="333">
                  <c:v>12140.748406420009</c:v>
                </c:pt>
                <c:pt idx="334">
                  <c:v>11791.334858113425</c:v>
                </c:pt>
                <c:pt idx="335">
                  <c:v>11440.46542002223</c:v>
                </c:pt>
                <c:pt idx="336">
                  <c:v>11088.134025938989</c:v>
                </c:pt>
                <c:pt idx="337">
                  <c:v>10734.334584380402</c:v>
                </c:pt>
                <c:pt idx="338">
                  <c:v>10379.060978481986</c:v>
                </c:pt>
                <c:pt idx="339">
                  <c:v>10022.307065892328</c:v>
                </c:pt>
                <c:pt idx="340">
                  <c:v>9664.0666786668789</c:v>
                </c:pt>
                <c:pt idx="341">
                  <c:v>9304.3336231613248</c:v>
                </c:pt>
                <c:pt idx="342">
                  <c:v>8943.1016799244971</c:v>
                </c:pt>
                <c:pt idx="343">
                  <c:v>8580.3646035908496</c:v>
                </c:pt>
                <c:pt idx="344">
                  <c:v>8216.1161227724788</c:v>
                </c:pt>
                <c:pt idx="345">
                  <c:v>7850.3499399506982</c:v>
                </c:pt>
                <c:pt idx="346">
                  <c:v>7483.0597313671597</c:v>
                </c:pt>
                <c:pt idx="347">
                  <c:v>7114.2391469145232</c:v>
                </c:pt>
                <c:pt idx="348">
                  <c:v>6743.8818100266672</c:v>
                </c:pt>
                <c:pt idx="349">
                  <c:v>6371.9813175684449</c:v>
                </c:pt>
                <c:pt idx="350">
                  <c:v>5998.53123972498</c:v>
                </c:pt>
                <c:pt idx="351">
                  <c:v>5623.5251198905007</c:v>
                </c:pt>
                <c:pt idx="352">
                  <c:v>5246.9564745567113</c:v>
                </c:pt>
                <c:pt idx="353">
                  <c:v>4868.8187932006977</c:v>
                </c:pt>
                <c:pt idx="354">
                  <c:v>4489.1055381723672</c:v>
                </c:pt>
                <c:pt idx="355">
                  <c:v>4107.8101445814191</c:v>
                </c:pt>
                <c:pt idx="356">
                  <c:v>3724.9260201838415</c:v>
                </c:pt>
                <c:pt idx="357">
                  <c:v>3340.446545267941</c:v>
                </c:pt>
                <c:pt idx="358">
                  <c:v>2954.3650725398907</c:v>
                </c:pt>
                <c:pt idx="359">
                  <c:v>2566.6749270088067</c:v>
                </c:pt>
                <c:pt idx="360">
                  <c:v>2177.3694058713431</c:v>
                </c:pt>
                <c:pt idx="361">
                  <c:v>1786.441778395807</c:v>
                </c:pt>
                <c:pt idx="362">
                  <c:v>1393.8852858057894</c:v>
                </c:pt>
                <c:pt idx="363">
                  <c:v>999.69314116331361</c:v>
                </c:pt>
                <c:pt idx="364">
                  <c:v>603.85852925149413</c:v>
                </c:pt>
                <c:pt idx="365">
                  <c:v>206.37460645670865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A-4673-9D77-311C69439F97}"/>
            </c:ext>
          </c:extLst>
        </c:ser>
        <c:ser>
          <c:idx val="1"/>
          <c:order val="1"/>
          <c:tx>
            <c:v>Vrednost</c:v>
          </c:tx>
          <c:invertIfNegative val="0"/>
          <c:cat>
            <c:numRef>
              <c:f>'Kam 5% 75000'!$I$5:$I$371</c:f>
              <c:numCache>
                <c:formatCode>General</c:formatCode>
                <c:ptCount val="36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136A-4673-9D77-311C69439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8933376"/>
        <c:axId val="118934912"/>
        <c:axId val="0"/>
      </c:bar3DChart>
      <c:catAx>
        <c:axId val="11893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934912"/>
        <c:crosses val="autoZero"/>
        <c:auto val="1"/>
        <c:lblAlgn val="ctr"/>
        <c:lblOffset val="100"/>
        <c:noMultiLvlLbl val="0"/>
      </c:catAx>
      <c:valAx>
        <c:axId val="1189349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18933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5</xdr:row>
      <xdr:rowOff>95250</xdr:rowOff>
    </xdr:from>
    <xdr:to>
      <xdr:col>21</xdr:col>
      <xdr:colOff>647700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285749</xdr:colOff>
      <xdr:row>6</xdr:row>
      <xdr:rowOff>57150</xdr:rowOff>
    </xdr:from>
    <xdr:to>
      <xdr:col>215</xdr:col>
      <xdr:colOff>542924</xdr:colOff>
      <xdr:row>21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5</xdr:row>
      <xdr:rowOff>38100</xdr:rowOff>
    </xdr:from>
    <xdr:to>
      <xdr:col>20</xdr:col>
      <xdr:colOff>571501</xdr:colOff>
      <xdr:row>20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5</xdr:row>
      <xdr:rowOff>38100</xdr:rowOff>
    </xdr:from>
    <xdr:to>
      <xdr:col>21</xdr:col>
      <xdr:colOff>9525</xdr:colOff>
      <xdr:row>20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257174</xdr:colOff>
      <xdr:row>5</xdr:row>
      <xdr:rowOff>114300</xdr:rowOff>
    </xdr:from>
    <xdr:to>
      <xdr:col>19</xdr:col>
      <xdr:colOff>381000</xdr:colOff>
      <xdr:row>21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4</xdr:row>
      <xdr:rowOff>142875</xdr:rowOff>
    </xdr:from>
    <xdr:to>
      <xdr:col>19</xdr:col>
      <xdr:colOff>466725</xdr:colOff>
      <xdr:row>20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471"/>
  <sheetViews>
    <sheetView workbookViewId="0">
      <selection activeCell="A6" sqref="A6"/>
    </sheetView>
  </sheetViews>
  <sheetFormatPr defaultRowHeight="15" x14ac:dyDescent="0.25"/>
  <cols>
    <col min="1" max="1" width="3.7109375" customWidth="1"/>
    <col min="2" max="2" width="14.85546875" customWidth="1"/>
    <col min="4" max="4" width="12.42578125" customWidth="1"/>
    <col min="5" max="5" width="12.5703125" customWidth="1"/>
    <col min="6" max="6" width="13.28515625" bestFit="1" customWidth="1"/>
    <col min="7" max="7" width="10.5703125" customWidth="1"/>
    <col min="8" max="8" width="15.7109375" customWidth="1"/>
    <col min="11" max="11" width="11.5703125" bestFit="1" customWidth="1"/>
    <col min="12" max="12" width="13.28515625" bestFit="1" customWidth="1"/>
    <col min="13" max="13" width="11.28515625" bestFit="1" customWidth="1"/>
    <col min="14" max="14" width="12.28515625" bestFit="1" customWidth="1"/>
    <col min="15" max="15" width="11.5703125" bestFit="1" customWidth="1"/>
    <col min="19" max="19" width="10.5703125" bestFit="1" customWidth="1"/>
    <col min="21" max="21" width="14" customWidth="1"/>
    <col min="22" max="22" width="14" bestFit="1" customWidth="1"/>
    <col min="23" max="23" width="3.7109375" style="95" customWidth="1"/>
    <col min="24" max="24" width="10.5703125" style="95" bestFit="1" customWidth="1"/>
    <col min="25" max="25" width="7.28515625" style="95" customWidth="1"/>
    <col min="26" max="26" width="12" style="95" bestFit="1" customWidth="1"/>
    <col min="27" max="27" width="10.5703125" style="95" bestFit="1" customWidth="1"/>
    <col min="28" max="28" width="9.140625" style="95"/>
    <col min="29" max="29" width="10.5703125" style="95" bestFit="1" customWidth="1"/>
    <col min="30" max="30" width="12.85546875" style="95" bestFit="1" customWidth="1"/>
    <col min="31" max="31" width="18.5703125" customWidth="1"/>
    <col min="32" max="32" width="10.5703125" bestFit="1" customWidth="1"/>
    <col min="33" max="33" width="14.5703125" bestFit="1" customWidth="1"/>
  </cols>
  <sheetData>
    <row r="1" spans="1:38" ht="18.75" x14ac:dyDescent="0.4">
      <c r="A1" s="1"/>
      <c r="B1" s="107" t="s">
        <v>30</v>
      </c>
      <c r="D1" s="88"/>
      <c r="F1" s="26"/>
      <c r="K1" s="107" t="s">
        <v>31</v>
      </c>
      <c r="V1" s="107" t="s">
        <v>32</v>
      </c>
      <c r="W1" s="108"/>
      <c r="X1" s="103" t="s">
        <v>39</v>
      </c>
      <c r="Y1" s="74" t="s">
        <v>28</v>
      </c>
      <c r="Z1" s="74" t="s">
        <v>29</v>
      </c>
      <c r="AA1" s="80" t="s">
        <v>23</v>
      </c>
      <c r="AB1" s="74" t="s">
        <v>4</v>
      </c>
      <c r="AC1" s="72" t="s">
        <v>35</v>
      </c>
      <c r="AD1" s="103" t="s">
        <v>26</v>
      </c>
      <c r="AE1" s="74" t="s">
        <v>27</v>
      </c>
      <c r="AF1" s="103" t="s">
        <v>36</v>
      </c>
      <c r="AG1" s="93"/>
      <c r="AH1" s="92"/>
      <c r="AI1" s="94"/>
      <c r="AJ1" s="93"/>
      <c r="AK1" s="93"/>
      <c r="AL1" s="95"/>
    </row>
    <row r="2" spans="1:38" ht="15.75" thickBot="1" x14ac:dyDescent="0.3">
      <c r="K2" s="2" t="s">
        <v>0</v>
      </c>
      <c r="L2" s="3" t="s">
        <v>1</v>
      </c>
      <c r="M2" s="3" t="s">
        <v>2</v>
      </c>
      <c r="N2" s="3" t="s">
        <v>3</v>
      </c>
      <c r="O2" s="3" t="s">
        <v>4</v>
      </c>
      <c r="P2" s="3" t="s">
        <v>5</v>
      </c>
      <c r="Q2" s="3" t="s">
        <v>6</v>
      </c>
      <c r="R2" s="3" t="s">
        <v>25</v>
      </c>
      <c r="W2" s="109"/>
      <c r="X2" s="91">
        <v>400</v>
      </c>
      <c r="Y2" s="105">
        <v>337</v>
      </c>
      <c r="Z2" s="104">
        <v>28.083333333333332</v>
      </c>
      <c r="AA2" s="101">
        <v>91026.305808088451</v>
      </c>
      <c r="AB2" s="106">
        <v>0.03</v>
      </c>
      <c r="AC2" s="111">
        <v>1650</v>
      </c>
      <c r="AD2" s="101">
        <v>43773.694191911549</v>
      </c>
      <c r="AE2" s="102">
        <v>134800</v>
      </c>
      <c r="AF2" s="110">
        <f>AA2/AC2</f>
        <v>55.16745806550815</v>
      </c>
      <c r="AG2" s="96"/>
      <c r="AH2" s="97"/>
      <c r="AI2" s="97"/>
      <c r="AJ2" s="97"/>
      <c r="AK2" s="98"/>
      <c r="AL2" s="95"/>
    </row>
    <row r="3" spans="1:38" ht="16.5" thickTop="1" thickBot="1" x14ac:dyDescent="0.3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5" t="s">
        <v>14</v>
      </c>
      <c r="I3" s="4" t="s">
        <v>15</v>
      </c>
      <c r="K3" s="6">
        <f>400*(1-(1+0.0025)^-337)/0.0025</f>
        <v>91026.30580808864</v>
      </c>
      <c r="L3" s="7">
        <f>0.03/12</f>
        <v>2.5000000000000001E-3</v>
      </c>
      <c r="M3" s="8">
        <v>400</v>
      </c>
      <c r="N3" s="8">
        <f>H342</f>
        <v>134800</v>
      </c>
      <c r="O3" s="9">
        <f>D342</f>
        <v>43409.046520382886</v>
      </c>
      <c r="P3" s="10">
        <f>O3/K3</f>
        <v>0.47688463389805652</v>
      </c>
      <c r="Q3" s="11" t="s">
        <v>37</v>
      </c>
      <c r="R3" s="9">
        <f>K3/1650</f>
        <v>55.167458065508264</v>
      </c>
      <c r="S3" s="12"/>
      <c r="U3" s="51"/>
      <c r="Y3" s="99"/>
      <c r="AA3" s="95">
        <v>399.00249376557895</v>
      </c>
      <c r="AE3" s="95"/>
      <c r="AF3" s="95"/>
      <c r="AG3" s="99"/>
      <c r="AH3" s="95"/>
      <c r="AI3" s="95"/>
      <c r="AJ3" s="95"/>
      <c r="AK3" s="95"/>
      <c r="AL3" s="95"/>
    </row>
    <row r="4" spans="1:38" ht="16.5" thickTop="1" thickBot="1" x14ac:dyDescent="0.3">
      <c r="B4" s="13"/>
      <c r="C4" s="13"/>
      <c r="D4" s="13"/>
      <c r="E4" s="13"/>
      <c r="F4" s="13"/>
      <c r="G4" s="13"/>
      <c r="H4" s="13"/>
      <c r="K4" s="14">
        <f>4800*(1-(1+0.03)^-28.083)/0.03</f>
        <v>90239.079700210961</v>
      </c>
      <c r="L4" s="18">
        <v>0.03</v>
      </c>
      <c r="M4" s="16">
        <f>M3*12</f>
        <v>4800</v>
      </c>
      <c r="N4" s="17">
        <f>F33</f>
        <v>134400</v>
      </c>
      <c r="O4" s="17">
        <f>N4-K4</f>
        <v>44160.920299789039</v>
      </c>
      <c r="P4" s="18">
        <f>O4/K4</f>
        <v>0.48937689132578555</v>
      </c>
      <c r="Q4" s="15" t="s">
        <v>17</v>
      </c>
      <c r="R4" s="19">
        <f>K4/1650</f>
        <v>54.690351333461187</v>
      </c>
      <c r="Y4" s="100"/>
      <c r="AA4" s="95">
        <v>797.00996884346512</v>
      </c>
      <c r="AE4" s="95"/>
      <c r="AF4" s="95"/>
      <c r="AG4" s="100"/>
      <c r="AH4" s="95"/>
      <c r="AI4" s="95"/>
      <c r="AJ4" s="95"/>
      <c r="AK4" s="95"/>
      <c r="AL4" s="95"/>
    </row>
    <row r="5" spans="1:38" ht="15.75" thickTop="1" x14ac:dyDescent="0.25">
      <c r="B5" s="87">
        <f>1650*55</f>
        <v>90750</v>
      </c>
      <c r="C5" s="21">
        <v>0.03</v>
      </c>
      <c r="D5" s="22">
        <f>B5*(0.03/12)</f>
        <v>226.875</v>
      </c>
      <c r="E5" s="22">
        <f>B5+D5</f>
        <v>90976.875</v>
      </c>
      <c r="F5" s="20">
        <f>H5*12</f>
        <v>4800</v>
      </c>
      <c r="G5" s="22">
        <f>E5-H5</f>
        <v>90576.875</v>
      </c>
      <c r="H5" s="22">
        <v>400</v>
      </c>
      <c r="I5" s="23">
        <v>1</v>
      </c>
      <c r="K5" s="112">
        <f>N5-O5</f>
        <v>50149.54847978997</v>
      </c>
      <c r="L5" s="113"/>
      <c r="M5" s="113"/>
      <c r="N5" s="114">
        <v>74140</v>
      </c>
      <c r="O5" s="114">
        <v>23990.451520210034</v>
      </c>
      <c r="P5" s="113"/>
      <c r="Q5" s="113"/>
      <c r="R5" s="115" t="s">
        <v>38</v>
      </c>
      <c r="AA5" s="95">
        <v>1194.0249065770026</v>
      </c>
      <c r="AE5" s="95"/>
      <c r="AF5" s="95"/>
      <c r="AG5" s="95"/>
      <c r="AH5" s="95"/>
      <c r="AI5" s="95"/>
      <c r="AJ5" s="95"/>
      <c r="AK5" s="95"/>
      <c r="AL5" s="95"/>
    </row>
    <row r="6" spans="1:38" x14ac:dyDescent="0.25">
      <c r="B6" s="22">
        <f>G5</f>
        <v>90576.875</v>
      </c>
      <c r="C6" s="21">
        <v>0.03</v>
      </c>
      <c r="D6" s="22">
        <f t="shared" ref="D6:D69" si="0">B6*(0.03/12)</f>
        <v>226.44218750000002</v>
      </c>
      <c r="E6" s="22">
        <f>B6+D6</f>
        <v>90803.317187499997</v>
      </c>
      <c r="F6" s="20">
        <f t="shared" ref="F6:F32" si="1">H6*12</f>
        <v>4800</v>
      </c>
      <c r="G6" s="22">
        <f t="shared" ref="G6:G69" si="2">E6-H6</f>
        <v>90403.317187499997</v>
      </c>
      <c r="H6" s="22">
        <v>400</v>
      </c>
      <c r="I6" s="23">
        <v>2</v>
      </c>
      <c r="AA6" s="95">
        <v>1590.0497821217029</v>
      </c>
    </row>
    <row r="7" spans="1:38" x14ac:dyDescent="0.25">
      <c r="B7" s="22">
        <f>G6</f>
        <v>90403.317187499997</v>
      </c>
      <c r="C7" s="21">
        <v>0.03</v>
      </c>
      <c r="D7" s="22">
        <f t="shared" si="0"/>
        <v>226.00829296875</v>
      </c>
      <c r="E7" s="22">
        <f t="shared" ref="E7:E70" si="3">B7+D7</f>
        <v>90629.325480468746</v>
      </c>
      <c r="F7" s="20">
        <f t="shared" si="1"/>
        <v>4800</v>
      </c>
      <c r="G7" s="22">
        <f t="shared" si="2"/>
        <v>90229.325480468746</v>
      </c>
      <c r="H7" s="22">
        <v>400</v>
      </c>
      <c r="I7" s="23">
        <v>3</v>
      </c>
      <c r="AA7" s="95">
        <v>1985.08706446054</v>
      </c>
    </row>
    <row r="8" spans="1:38" x14ac:dyDescent="0.25">
      <c r="B8" s="22">
        <f t="shared" ref="B8:B27" si="4">G7</f>
        <v>90229.325480468746</v>
      </c>
      <c r="C8" s="21">
        <v>0.03</v>
      </c>
      <c r="D8" s="22">
        <f t="shared" si="0"/>
        <v>225.57331370117186</v>
      </c>
      <c r="E8" s="22">
        <f t="shared" si="3"/>
        <v>90454.898794169916</v>
      </c>
      <c r="F8" s="20">
        <f t="shared" si="1"/>
        <v>4800</v>
      </c>
      <c r="G8" s="22">
        <f t="shared" si="2"/>
        <v>90054.898794169916</v>
      </c>
      <c r="H8" s="22">
        <v>400</v>
      </c>
      <c r="I8" s="23">
        <v>4</v>
      </c>
      <c r="AA8" s="95">
        <v>2379.1392164194745</v>
      </c>
    </row>
    <row r="9" spans="1:38" x14ac:dyDescent="0.25">
      <c r="B9" s="22">
        <f t="shared" si="4"/>
        <v>90054.898794169916</v>
      </c>
      <c r="C9" s="21">
        <v>0.03</v>
      </c>
      <c r="D9" s="22">
        <f t="shared" si="0"/>
        <v>225.13724698542478</v>
      </c>
      <c r="E9" s="22">
        <f t="shared" si="3"/>
        <v>90280.036041155341</v>
      </c>
      <c r="F9" s="20">
        <f t="shared" si="1"/>
        <v>4800</v>
      </c>
      <c r="G9" s="22">
        <f t="shared" si="2"/>
        <v>89880.036041155341</v>
      </c>
      <c r="H9" s="22">
        <v>400</v>
      </c>
      <c r="I9" s="23">
        <v>5</v>
      </c>
      <c r="AA9" s="95">
        <v>2772.2086946827671</v>
      </c>
    </row>
    <row r="10" spans="1:38" x14ac:dyDescent="0.25">
      <c r="B10" s="22">
        <f t="shared" si="4"/>
        <v>89880.036041155341</v>
      </c>
      <c r="C10" s="21">
        <v>0.03</v>
      </c>
      <c r="D10" s="22">
        <f t="shared" si="0"/>
        <v>224.70009010288837</v>
      </c>
      <c r="E10" s="22">
        <f t="shared" si="3"/>
        <v>90104.736131258236</v>
      </c>
      <c r="F10" s="20">
        <f t="shared" si="1"/>
        <v>4800</v>
      </c>
      <c r="G10" s="22">
        <f t="shared" si="2"/>
        <v>89704.736131258236</v>
      </c>
      <c r="H10" s="22">
        <v>400</v>
      </c>
      <c r="I10" s="23">
        <v>6</v>
      </c>
      <c r="AA10" s="95">
        <v>3164.2979498082368</v>
      </c>
    </row>
    <row r="11" spans="1:38" x14ac:dyDescent="0.25">
      <c r="B11" s="22">
        <f t="shared" si="4"/>
        <v>89704.736131258236</v>
      </c>
      <c r="C11" s="21">
        <v>0.03</v>
      </c>
      <c r="D11" s="22">
        <f t="shared" si="0"/>
        <v>224.26184032814558</v>
      </c>
      <c r="E11" s="22">
        <f t="shared" si="3"/>
        <v>89928.997971586388</v>
      </c>
      <c r="F11" s="20">
        <f t="shared" si="1"/>
        <v>4800</v>
      </c>
      <c r="G11" s="22">
        <f t="shared" si="2"/>
        <v>89528.997971586388</v>
      </c>
      <c r="H11" s="22">
        <v>400</v>
      </c>
      <c r="I11" s="23">
        <v>7</v>
      </c>
      <c r="AA11" s="95">
        <v>3555.4094262426261</v>
      </c>
    </row>
    <row r="12" spans="1:38" x14ac:dyDescent="0.25">
      <c r="B12" s="22">
        <f t="shared" si="4"/>
        <v>89528.997971586388</v>
      </c>
      <c r="C12" s="21">
        <v>0.03</v>
      </c>
      <c r="D12" s="22">
        <f t="shared" si="0"/>
        <v>223.82249492896597</v>
      </c>
      <c r="E12" s="22">
        <f t="shared" si="3"/>
        <v>89752.820466515361</v>
      </c>
      <c r="F12" s="20">
        <f t="shared" si="1"/>
        <v>4800</v>
      </c>
      <c r="G12" s="22">
        <f t="shared" si="2"/>
        <v>89352.820466515361</v>
      </c>
      <c r="H12" s="22">
        <v>400</v>
      </c>
      <c r="I12" s="23">
        <v>8</v>
      </c>
      <c r="AA12" s="95">
        <v>3945.545562336772</v>
      </c>
    </row>
    <row r="13" spans="1:38" x14ac:dyDescent="0.25">
      <c r="B13" s="22">
        <f t="shared" si="4"/>
        <v>89352.820466515361</v>
      </c>
      <c r="C13" s="21">
        <v>0.03</v>
      </c>
      <c r="D13" s="22">
        <f t="shared" si="0"/>
        <v>223.38205116628842</v>
      </c>
      <c r="E13" s="22">
        <f t="shared" si="3"/>
        <v>89576.202517681653</v>
      </c>
      <c r="F13" s="20">
        <f t="shared" si="1"/>
        <v>4800</v>
      </c>
      <c r="G13" s="22">
        <f t="shared" si="2"/>
        <v>89176.202517681653</v>
      </c>
      <c r="H13" s="22">
        <v>400</v>
      </c>
      <c r="I13" s="23">
        <v>9</v>
      </c>
      <c r="AA13" s="95">
        <v>4334.7087903608635</v>
      </c>
    </row>
    <row r="14" spans="1:38" x14ac:dyDescent="0.25">
      <c r="B14" s="22">
        <f t="shared" si="4"/>
        <v>89176.202517681653</v>
      </c>
      <c r="C14" s="21">
        <v>0.03</v>
      </c>
      <c r="D14" s="22">
        <f t="shared" si="0"/>
        <v>222.94050629420414</v>
      </c>
      <c r="E14" s="22">
        <f t="shared" si="3"/>
        <v>89399.143023975863</v>
      </c>
      <c r="F14" s="20">
        <f t="shared" si="1"/>
        <v>4800</v>
      </c>
      <c r="G14" s="22">
        <f t="shared" si="2"/>
        <v>88999.143023975863</v>
      </c>
      <c r="H14" s="22">
        <v>400</v>
      </c>
      <c r="I14" s="23">
        <v>10</v>
      </c>
      <c r="AA14" s="95">
        <v>4722.901536519561</v>
      </c>
    </row>
    <row r="15" spans="1:38" x14ac:dyDescent="0.25">
      <c r="B15" s="22">
        <f t="shared" si="4"/>
        <v>88999.143023975863</v>
      </c>
      <c r="C15" s="21">
        <v>0.03</v>
      </c>
      <c r="D15" s="22">
        <f t="shared" si="0"/>
        <v>222.49785755993966</v>
      </c>
      <c r="E15" s="22">
        <f t="shared" si="3"/>
        <v>89221.640881535801</v>
      </c>
      <c r="F15" s="20">
        <f t="shared" si="1"/>
        <v>4800</v>
      </c>
      <c r="G15" s="22">
        <f t="shared" si="2"/>
        <v>88821.640881535801</v>
      </c>
      <c r="H15" s="22">
        <v>400</v>
      </c>
      <c r="I15" s="23">
        <v>11</v>
      </c>
      <c r="AA15" s="95">
        <v>5110.1262209671286</v>
      </c>
    </row>
    <row r="16" spans="1:38" x14ac:dyDescent="0.25">
      <c r="B16" s="22">
        <f t="shared" si="4"/>
        <v>88821.640881535801</v>
      </c>
      <c r="C16" s="21">
        <v>0.03</v>
      </c>
      <c r="D16" s="22">
        <f t="shared" si="0"/>
        <v>222.05410220383951</v>
      </c>
      <c r="E16" s="22">
        <f t="shared" si="3"/>
        <v>89043.694983739639</v>
      </c>
      <c r="F16" s="20">
        <f t="shared" si="1"/>
        <v>4800</v>
      </c>
      <c r="G16" s="22">
        <f t="shared" si="2"/>
        <v>88643.694983739639</v>
      </c>
      <c r="H16" s="22">
        <v>400</v>
      </c>
      <c r="I16" s="23">
        <v>12</v>
      </c>
      <c r="AA16" s="95">
        <v>5496.3852578225669</v>
      </c>
    </row>
    <row r="17" spans="2:27" x14ac:dyDescent="0.25">
      <c r="B17" s="22">
        <f t="shared" si="4"/>
        <v>88643.694983739639</v>
      </c>
      <c r="C17" s="21">
        <v>0.03</v>
      </c>
      <c r="D17" s="22">
        <f t="shared" si="0"/>
        <v>221.60923745934909</v>
      </c>
      <c r="E17" s="22">
        <f t="shared" si="3"/>
        <v>88865.304221198981</v>
      </c>
      <c r="F17" s="20">
        <f t="shared" si="1"/>
        <v>4800</v>
      </c>
      <c r="G17" s="22">
        <f t="shared" si="2"/>
        <v>88465.304221198981</v>
      </c>
      <c r="H17" s="22">
        <v>400</v>
      </c>
      <c r="I17" s="23">
        <v>13</v>
      </c>
      <c r="AA17" s="95">
        <v>5881.6810551845929</v>
      </c>
    </row>
    <row r="18" spans="2:27" x14ac:dyDescent="0.25">
      <c r="B18" s="22">
        <f t="shared" si="4"/>
        <v>88465.304221198981</v>
      </c>
      <c r="C18" s="21">
        <v>0.03</v>
      </c>
      <c r="D18" s="22">
        <f t="shared" si="0"/>
        <v>221.16326055299746</v>
      </c>
      <c r="E18" s="22">
        <f t="shared" si="3"/>
        <v>88686.467481751984</v>
      </c>
      <c r="F18" s="20">
        <f t="shared" si="1"/>
        <v>4800</v>
      </c>
      <c r="G18" s="22">
        <f t="shared" si="2"/>
        <v>88286.467481751984</v>
      </c>
      <c r="H18" s="22">
        <v>400</v>
      </c>
      <c r="I18" s="23">
        <v>14</v>
      </c>
      <c r="AA18" s="95">
        <v>6266.016015146718</v>
      </c>
    </row>
    <row r="19" spans="2:27" x14ac:dyDescent="0.25">
      <c r="B19" s="24">
        <f t="shared" si="4"/>
        <v>88286.467481751984</v>
      </c>
      <c r="C19" s="21">
        <v>0.03</v>
      </c>
      <c r="D19" s="22">
        <f t="shared" si="0"/>
        <v>220.71616870437995</v>
      </c>
      <c r="E19" s="24">
        <f t="shared" si="3"/>
        <v>88507.183650456369</v>
      </c>
      <c r="F19" s="20">
        <f t="shared" si="1"/>
        <v>4800</v>
      </c>
      <c r="G19" s="22">
        <f t="shared" si="2"/>
        <v>88107.183650456369</v>
      </c>
      <c r="H19" s="22">
        <v>400</v>
      </c>
      <c r="I19" s="25">
        <v>15</v>
      </c>
      <c r="AA19" s="95">
        <v>6649.3925338121871</v>
      </c>
    </row>
    <row r="20" spans="2:27" x14ac:dyDescent="0.25">
      <c r="B20" s="22">
        <f t="shared" si="4"/>
        <v>88107.183650456369</v>
      </c>
      <c r="C20" s="21">
        <v>0.03</v>
      </c>
      <c r="D20" s="22">
        <f t="shared" si="0"/>
        <v>220.26795912614094</v>
      </c>
      <c r="E20" s="22">
        <f t="shared" si="3"/>
        <v>88327.451609582509</v>
      </c>
      <c r="F20" s="20">
        <f t="shared" si="1"/>
        <v>4800</v>
      </c>
      <c r="G20" s="22">
        <f t="shared" si="2"/>
        <v>87927.451609582509</v>
      </c>
      <c r="H20" s="22">
        <v>400</v>
      </c>
      <c r="I20" s="23">
        <v>16</v>
      </c>
      <c r="AA20" s="95">
        <v>7031.8130013088976</v>
      </c>
    </row>
    <row r="21" spans="2:27" x14ac:dyDescent="0.25">
      <c r="B21" s="22">
        <f t="shared" si="4"/>
        <v>87927.451609582509</v>
      </c>
      <c r="C21" s="21">
        <v>0.03</v>
      </c>
      <c r="D21" s="22">
        <f t="shared" si="0"/>
        <v>219.81862902395628</v>
      </c>
      <c r="E21" s="22">
        <f t="shared" si="3"/>
        <v>88147.270238606463</v>
      </c>
      <c r="F21" s="20">
        <f t="shared" si="1"/>
        <v>4800</v>
      </c>
      <c r="G21" s="22">
        <f t="shared" si="2"/>
        <v>87747.270238606463</v>
      </c>
      <c r="H21" s="22">
        <v>400</v>
      </c>
      <c r="I21" s="23">
        <v>17</v>
      </c>
      <c r="AA21" s="95">
        <v>7413.2798018043813</v>
      </c>
    </row>
    <row r="22" spans="2:27" x14ac:dyDescent="0.25">
      <c r="B22" s="22">
        <f t="shared" si="4"/>
        <v>87747.270238606463</v>
      </c>
      <c r="C22" s="21">
        <v>0.03</v>
      </c>
      <c r="D22" s="22">
        <f>B22*(0.03/12)</f>
        <v>219.36817559651615</v>
      </c>
      <c r="E22" s="22">
        <f t="shared" si="3"/>
        <v>87966.638414202986</v>
      </c>
      <c r="F22" s="20">
        <f t="shared" si="1"/>
        <v>4800</v>
      </c>
      <c r="G22" s="22">
        <f t="shared" si="2"/>
        <v>87566.638414202986</v>
      </c>
      <c r="H22" s="22">
        <v>400</v>
      </c>
      <c r="I22" s="23">
        <v>18</v>
      </c>
      <c r="L22" t="s">
        <v>33</v>
      </c>
      <c r="M22" s="26"/>
      <c r="AA22" s="95">
        <v>7793.7953135205616</v>
      </c>
    </row>
    <row r="23" spans="2:27" x14ac:dyDescent="0.25">
      <c r="B23" s="22">
        <f t="shared" si="4"/>
        <v>87566.638414202986</v>
      </c>
      <c r="C23" s="21">
        <v>0.03</v>
      </c>
      <c r="D23" s="22">
        <f t="shared" si="0"/>
        <v>218.91659603550747</v>
      </c>
      <c r="E23" s="22">
        <f t="shared" si="3"/>
        <v>87785.555010238488</v>
      </c>
      <c r="F23" s="20">
        <f t="shared" si="1"/>
        <v>4800</v>
      </c>
      <c r="G23" s="22">
        <f t="shared" si="2"/>
        <v>87385.555010238488</v>
      </c>
      <c r="H23" s="22">
        <v>400</v>
      </c>
      <c r="I23" s="23">
        <v>19</v>
      </c>
      <c r="L23">
        <f>(1-(1+0.0025))</f>
        <v>-2.4999999999999467E-3</v>
      </c>
      <c r="M23" s="26">
        <f>220*(1-(1+0.0025)^-337)/0.0025</f>
        <v>50064.468194448746</v>
      </c>
      <c r="N23" s="26"/>
      <c r="AA23" s="95">
        <v>8173.3619087486886</v>
      </c>
    </row>
    <row r="24" spans="2:27" x14ac:dyDescent="0.25">
      <c r="B24" s="22">
        <f t="shared" si="4"/>
        <v>87385.555010238488</v>
      </c>
      <c r="C24" s="21">
        <v>0.03</v>
      </c>
      <c r="D24" s="22">
        <f t="shared" si="0"/>
        <v>218.46388752559622</v>
      </c>
      <c r="E24" s="22">
        <f t="shared" si="3"/>
        <v>87604.018897764079</v>
      </c>
      <c r="F24" s="20">
        <f t="shared" si="1"/>
        <v>4800</v>
      </c>
      <c r="G24" s="22">
        <f t="shared" si="2"/>
        <v>87204.018897764079</v>
      </c>
      <c r="H24" s="22">
        <v>400</v>
      </c>
      <c r="I24" s="23">
        <v>20</v>
      </c>
      <c r="K24" s="12"/>
      <c r="M24" s="26"/>
      <c r="O24" s="26"/>
      <c r="AA24" s="95">
        <v>8551.9819538640168</v>
      </c>
    </row>
    <row r="25" spans="2:27" x14ac:dyDescent="0.25">
      <c r="B25" s="22">
        <f t="shared" si="4"/>
        <v>87204.018897764079</v>
      </c>
      <c r="C25" s="21">
        <v>0.03</v>
      </c>
      <c r="D25" s="22">
        <f t="shared" si="0"/>
        <v>218.0100472444102</v>
      </c>
      <c r="E25" s="22">
        <f t="shared" si="3"/>
        <v>87422.028945008497</v>
      </c>
      <c r="F25" s="20">
        <f t="shared" si="1"/>
        <v>4800</v>
      </c>
      <c r="G25" s="22">
        <f t="shared" si="2"/>
        <v>87022.028945008497</v>
      </c>
      <c r="H25" s="22">
        <v>400</v>
      </c>
      <c r="I25" s="23">
        <v>21</v>
      </c>
      <c r="L25" t="s">
        <v>34</v>
      </c>
      <c r="AA25" s="95">
        <v>8929.6578093406606</v>
      </c>
    </row>
    <row r="26" spans="2:27" x14ac:dyDescent="0.25">
      <c r="B26" s="22">
        <f t="shared" si="4"/>
        <v>87022.028945008497</v>
      </c>
      <c r="C26" s="21">
        <v>0.03</v>
      </c>
      <c r="D26" s="22">
        <f t="shared" si="0"/>
        <v>217.55507236252126</v>
      </c>
      <c r="E26" s="22">
        <f t="shared" si="3"/>
        <v>87239.584017371017</v>
      </c>
      <c r="F26" s="20">
        <f t="shared" si="1"/>
        <v>4800</v>
      </c>
      <c r="G26" s="22">
        <f t="shared" si="2"/>
        <v>86839.584017371017</v>
      </c>
      <c r="H26" s="22">
        <v>400</v>
      </c>
      <c r="I26" s="23">
        <v>22</v>
      </c>
      <c r="AA26" s="95">
        <v>9306.3918297662331</v>
      </c>
    </row>
    <row r="27" spans="2:27" x14ac:dyDescent="0.25">
      <c r="B27" s="22">
        <f t="shared" si="4"/>
        <v>86839.584017371017</v>
      </c>
      <c r="C27" s="21">
        <v>0.03</v>
      </c>
      <c r="D27" s="22">
        <f t="shared" si="0"/>
        <v>217.09896004342755</v>
      </c>
      <c r="E27" s="22">
        <f t="shared" si="3"/>
        <v>87056.682977414443</v>
      </c>
      <c r="F27" s="20">
        <f t="shared" si="1"/>
        <v>4800</v>
      </c>
      <c r="G27" s="22">
        <f t="shared" si="2"/>
        <v>86656.682977414443</v>
      </c>
      <c r="H27" s="22">
        <v>400</v>
      </c>
      <c r="I27" s="23">
        <v>23</v>
      </c>
      <c r="AA27" s="95">
        <v>9682.1863638565901</v>
      </c>
    </row>
    <row r="28" spans="2:27" x14ac:dyDescent="0.25">
      <c r="B28" s="22">
        <f>G27</f>
        <v>86656.682977414443</v>
      </c>
      <c r="C28" s="21">
        <v>0.03</v>
      </c>
      <c r="D28" s="22">
        <f t="shared" si="0"/>
        <v>216.64170744353612</v>
      </c>
      <c r="E28" s="22">
        <f t="shared" si="3"/>
        <v>86873.324684857973</v>
      </c>
      <c r="F28" s="20">
        <f t="shared" si="1"/>
        <v>4800</v>
      </c>
      <c r="G28" s="22">
        <f t="shared" si="2"/>
        <v>86473.324684857973</v>
      </c>
      <c r="H28" s="22">
        <v>400</v>
      </c>
      <c r="I28" s="23">
        <v>24</v>
      </c>
      <c r="AA28" s="95">
        <v>10057.043754470402</v>
      </c>
    </row>
    <row r="29" spans="2:27" x14ac:dyDescent="0.25">
      <c r="B29" s="22">
        <f t="shared" ref="B29:B92" si="5">G28</f>
        <v>86473.324684857973</v>
      </c>
      <c r="C29" s="21">
        <v>0.03</v>
      </c>
      <c r="D29" s="22">
        <f t="shared" si="0"/>
        <v>216.18331171214493</v>
      </c>
      <c r="E29" s="22">
        <f t="shared" si="3"/>
        <v>86689.507996570115</v>
      </c>
      <c r="F29" s="20">
        <f t="shared" si="1"/>
        <v>4800</v>
      </c>
      <c r="G29" s="22">
        <f t="shared" si="2"/>
        <v>86289.507996570115</v>
      </c>
      <c r="H29" s="22">
        <v>400</v>
      </c>
      <c r="I29" s="23">
        <v>25</v>
      </c>
      <c r="AA29" s="95">
        <v>10430.966338623832</v>
      </c>
    </row>
    <row r="30" spans="2:27" x14ac:dyDescent="0.25">
      <c r="B30" s="22">
        <f t="shared" si="5"/>
        <v>86289.507996570115</v>
      </c>
      <c r="C30" s="21">
        <v>0.03</v>
      </c>
      <c r="D30" s="22">
        <f t="shared" si="0"/>
        <v>215.72376999142529</v>
      </c>
      <c r="E30" s="22">
        <f t="shared" si="3"/>
        <v>86505.231766561541</v>
      </c>
      <c r="F30" s="20">
        <f t="shared" si="1"/>
        <v>4800</v>
      </c>
      <c r="G30" s="22">
        <f t="shared" si="2"/>
        <v>86105.231766561541</v>
      </c>
      <c r="H30" s="22">
        <v>400</v>
      </c>
      <c r="I30" s="23">
        <v>26</v>
      </c>
      <c r="AA30" s="95">
        <v>10803.956447505065</v>
      </c>
    </row>
    <row r="31" spans="2:27" x14ac:dyDescent="0.25">
      <c r="B31" s="22">
        <f t="shared" si="5"/>
        <v>86105.231766561541</v>
      </c>
      <c r="C31" s="21">
        <v>0.03</v>
      </c>
      <c r="D31" s="22">
        <f t="shared" si="0"/>
        <v>215.26307941640385</v>
      </c>
      <c r="E31" s="22">
        <f t="shared" si="3"/>
        <v>86320.494845977941</v>
      </c>
      <c r="F31" s="20">
        <f t="shared" si="1"/>
        <v>4800</v>
      </c>
      <c r="G31" s="22">
        <f t="shared" si="2"/>
        <v>85920.494845977941</v>
      </c>
      <c r="H31" s="22">
        <v>400</v>
      </c>
      <c r="I31" s="23">
        <v>27</v>
      </c>
      <c r="AA31" s="95">
        <v>11176.016406488838</v>
      </c>
    </row>
    <row r="32" spans="2:27" x14ac:dyDescent="0.25">
      <c r="B32" s="27">
        <f t="shared" si="5"/>
        <v>85920.494845977941</v>
      </c>
      <c r="C32" s="21">
        <v>0.03</v>
      </c>
      <c r="D32" s="22">
        <f t="shared" si="0"/>
        <v>214.80123711494485</v>
      </c>
      <c r="E32" s="27">
        <f t="shared" si="3"/>
        <v>86135.296083092879</v>
      </c>
      <c r="F32" s="29">
        <f t="shared" si="1"/>
        <v>4800</v>
      </c>
      <c r="G32" s="27">
        <f t="shared" si="2"/>
        <v>85735.296083092879</v>
      </c>
      <c r="H32" s="22">
        <v>400</v>
      </c>
      <c r="I32" s="89">
        <v>28</v>
      </c>
      <c r="AA32" s="95">
        <v>11547.148535150953</v>
      </c>
    </row>
    <row r="33" spans="2:27" x14ac:dyDescent="0.25">
      <c r="B33" s="22">
        <f t="shared" si="5"/>
        <v>85735.296083092879</v>
      </c>
      <c r="C33" s="21">
        <v>0.03</v>
      </c>
      <c r="D33" s="22">
        <f t="shared" si="0"/>
        <v>214.33824020773221</v>
      </c>
      <c r="E33" s="22">
        <f t="shared" si="3"/>
        <v>85949.634323300605</v>
      </c>
      <c r="F33" s="90">
        <f>SUM(F5:F32)</f>
        <v>134400</v>
      </c>
      <c r="G33" s="22">
        <f t="shared" si="2"/>
        <v>85549.634323300605</v>
      </c>
      <c r="H33" s="22">
        <v>400</v>
      </c>
      <c r="I33" s="23">
        <v>29</v>
      </c>
      <c r="AA33" s="95">
        <v>11917.355147282737</v>
      </c>
    </row>
    <row r="34" spans="2:27" x14ac:dyDescent="0.25">
      <c r="B34" s="22">
        <f t="shared" si="5"/>
        <v>85549.634323300605</v>
      </c>
      <c r="C34" s="21">
        <v>0.03</v>
      </c>
      <c r="D34" s="22">
        <f t="shared" si="0"/>
        <v>213.87408580825152</v>
      </c>
      <c r="E34" s="22">
        <f t="shared" si="3"/>
        <v>85763.50840910885</v>
      </c>
      <c r="F34" s="20"/>
      <c r="G34" s="22">
        <f t="shared" si="2"/>
        <v>85363.50840910885</v>
      </c>
      <c r="H34" s="22">
        <v>400</v>
      </c>
      <c r="I34" s="23">
        <v>30</v>
      </c>
      <c r="AA34" s="95">
        <v>12286.638550905467</v>
      </c>
    </row>
    <row r="35" spans="2:27" x14ac:dyDescent="0.25">
      <c r="B35" s="22">
        <f t="shared" si="5"/>
        <v>85363.50840910885</v>
      </c>
      <c r="C35" s="21">
        <v>0.03</v>
      </c>
      <c r="D35" s="22">
        <f t="shared" si="0"/>
        <v>213.40877102277213</v>
      </c>
      <c r="E35" s="22">
        <f t="shared" si="3"/>
        <v>85576.917180131626</v>
      </c>
      <c r="F35" s="20"/>
      <c r="G35" s="22">
        <f t="shared" si="2"/>
        <v>85176.917180131626</v>
      </c>
      <c r="H35" s="22">
        <v>400</v>
      </c>
      <c r="I35" s="23">
        <v>31</v>
      </c>
      <c r="AA35" s="95">
        <v>12655.001048284743</v>
      </c>
    </row>
    <row r="36" spans="2:27" x14ac:dyDescent="0.25">
      <c r="B36" s="22">
        <f t="shared" si="5"/>
        <v>85176.917180131626</v>
      </c>
      <c r="C36" s="21">
        <v>0.03</v>
      </c>
      <c r="D36" s="22">
        <f t="shared" si="0"/>
        <v>212.94229295032906</v>
      </c>
      <c r="E36" s="22">
        <f t="shared" si="3"/>
        <v>85389.85947308196</v>
      </c>
      <c r="F36" s="20"/>
      <c r="G36" s="22">
        <f t="shared" si="2"/>
        <v>84989.85947308196</v>
      </c>
      <c r="H36" s="22">
        <v>400</v>
      </c>
      <c r="I36" s="23">
        <v>32</v>
      </c>
      <c r="AA36" s="95">
        <v>13022.444935944877</v>
      </c>
    </row>
    <row r="37" spans="2:27" x14ac:dyDescent="0.25">
      <c r="B37" s="22">
        <f t="shared" si="5"/>
        <v>84989.85947308196</v>
      </c>
      <c r="C37" s="21">
        <v>0.03</v>
      </c>
      <c r="D37" s="22">
        <f t="shared" si="0"/>
        <v>212.4746486827049</v>
      </c>
      <c r="E37" s="22">
        <f t="shared" si="3"/>
        <v>85202.334121764667</v>
      </c>
      <c r="F37" s="20"/>
      <c r="G37" s="22">
        <f t="shared" si="2"/>
        <v>84802.334121764667</v>
      </c>
      <c r="H37" s="22">
        <v>400</v>
      </c>
      <c r="I37" s="23">
        <v>33</v>
      </c>
      <c r="AA37" s="95">
        <v>13388.972504683155</v>
      </c>
    </row>
    <row r="38" spans="2:27" x14ac:dyDescent="0.25">
      <c r="B38" s="22">
        <f t="shared" si="5"/>
        <v>84802.334121764667</v>
      </c>
      <c r="C38" s="21">
        <v>0.03</v>
      </c>
      <c r="D38" s="22">
        <f t="shared" si="0"/>
        <v>212.00583530441168</v>
      </c>
      <c r="E38" s="22">
        <f t="shared" si="3"/>
        <v>85014.339957069082</v>
      </c>
      <c r="F38" s="20"/>
      <c r="G38" s="22">
        <f t="shared" si="2"/>
        <v>84614.339957069082</v>
      </c>
      <c r="H38" s="22">
        <v>400</v>
      </c>
      <c r="I38" s="23">
        <v>34</v>
      </c>
      <c r="AA38" s="95">
        <v>13754.586039584194</v>
      </c>
    </row>
    <row r="39" spans="2:27" x14ac:dyDescent="0.25">
      <c r="B39" s="22">
        <f t="shared" si="5"/>
        <v>84614.339957069082</v>
      </c>
      <c r="C39" s="21">
        <v>0.03</v>
      </c>
      <c r="D39" s="22">
        <f t="shared" si="0"/>
        <v>211.5358498926727</v>
      </c>
      <c r="E39" s="22">
        <f t="shared" si="3"/>
        <v>84825.875806961762</v>
      </c>
      <c r="F39" s="20"/>
      <c r="G39" s="22">
        <f t="shared" si="2"/>
        <v>84425.875806961762</v>
      </c>
      <c r="H39" s="22">
        <v>400</v>
      </c>
      <c r="I39" s="23">
        <v>35</v>
      </c>
      <c r="AA39" s="95">
        <v>14119.287820034091</v>
      </c>
    </row>
    <row r="40" spans="2:27" x14ac:dyDescent="0.25">
      <c r="B40" s="22">
        <f t="shared" si="5"/>
        <v>84425.875806961762</v>
      </c>
      <c r="C40" s="21">
        <v>0.03</v>
      </c>
      <c r="D40" s="22">
        <f t="shared" si="0"/>
        <v>211.06468951740442</v>
      </c>
      <c r="E40" s="22">
        <f t="shared" si="3"/>
        <v>84636.940496479161</v>
      </c>
      <c r="F40" s="20"/>
      <c r="G40" s="22">
        <f t="shared" si="2"/>
        <v>84236.940496479161</v>
      </c>
      <c r="H40" s="22">
        <v>400</v>
      </c>
      <c r="I40" s="23">
        <v>36</v>
      </c>
      <c r="AA40" s="95">
        <v>14483.080119734754</v>
      </c>
    </row>
    <row r="41" spans="2:27" x14ac:dyDescent="0.25">
      <c r="B41" s="22">
        <f t="shared" si="5"/>
        <v>84236.940496479161</v>
      </c>
      <c r="C41" s="21">
        <v>0.03</v>
      </c>
      <c r="D41" s="22">
        <f t="shared" si="0"/>
        <v>210.59235124119792</v>
      </c>
      <c r="E41" s="22">
        <f t="shared" si="3"/>
        <v>84447.532847720358</v>
      </c>
      <c r="F41" s="20"/>
      <c r="G41" s="22">
        <f t="shared" si="2"/>
        <v>84047.532847720358</v>
      </c>
      <c r="H41" s="22">
        <v>400</v>
      </c>
      <c r="I41" s="23">
        <v>37</v>
      </c>
      <c r="AA41" s="95">
        <v>14845.965206717952</v>
      </c>
    </row>
    <row r="42" spans="2:27" x14ac:dyDescent="0.25">
      <c r="B42" s="22">
        <f t="shared" si="5"/>
        <v>84047.532847720358</v>
      </c>
      <c r="C42" s="21">
        <v>0.03</v>
      </c>
      <c r="D42" s="22">
        <f t="shared" si="0"/>
        <v>210.11883211930089</v>
      </c>
      <c r="E42" s="22">
        <f t="shared" si="3"/>
        <v>84257.651679839662</v>
      </c>
      <c r="F42" s="20"/>
      <c r="G42" s="22">
        <f t="shared" si="2"/>
        <v>83857.651679839662</v>
      </c>
      <c r="H42" s="22">
        <v>400</v>
      </c>
      <c r="I42" s="23">
        <v>38</v>
      </c>
      <c r="AA42" s="95">
        <v>15207.945343359537</v>
      </c>
    </row>
    <row r="43" spans="2:27" x14ac:dyDescent="0.25">
      <c r="B43" s="22">
        <f t="shared" si="5"/>
        <v>83857.651679839662</v>
      </c>
      <c r="C43" s="21">
        <v>0.03</v>
      </c>
      <c r="D43" s="22">
        <f t="shared" si="0"/>
        <v>209.64412919959915</v>
      </c>
      <c r="E43" s="22">
        <f t="shared" si="3"/>
        <v>84067.295809039264</v>
      </c>
      <c r="F43" s="20"/>
      <c r="G43" s="22">
        <f t="shared" si="2"/>
        <v>83667.295809039264</v>
      </c>
      <c r="H43" s="22">
        <v>400</v>
      </c>
      <c r="I43" s="23">
        <v>39</v>
      </c>
      <c r="AA43" s="95">
        <v>15569.02278639356</v>
      </c>
    </row>
    <row r="44" spans="2:27" x14ac:dyDescent="0.25">
      <c r="B44" s="22">
        <f t="shared" si="5"/>
        <v>83667.295809039264</v>
      </c>
      <c r="C44" s="21">
        <v>0.03</v>
      </c>
      <c r="D44" s="22">
        <f t="shared" si="0"/>
        <v>209.16823952259816</v>
      </c>
      <c r="E44" s="22">
        <f t="shared" si="3"/>
        <v>83876.464048561858</v>
      </c>
      <c r="F44" s="20"/>
      <c r="G44" s="22">
        <f t="shared" si="2"/>
        <v>83476.464048561858</v>
      </c>
      <c r="H44" s="22">
        <v>400</v>
      </c>
      <c r="I44" s="23">
        <v>40</v>
      </c>
      <c r="AA44" s="95">
        <v>15929.199786926221</v>
      </c>
    </row>
    <row r="45" spans="2:27" x14ac:dyDescent="0.25">
      <c r="B45" s="22">
        <f t="shared" si="5"/>
        <v>83476.464048561858</v>
      </c>
      <c r="C45" s="21">
        <v>0.03</v>
      </c>
      <c r="D45" s="22">
        <f t="shared" si="0"/>
        <v>208.69116012140466</v>
      </c>
      <c r="E45" s="22">
        <f t="shared" si="3"/>
        <v>83685.155208683267</v>
      </c>
      <c r="F45" s="20"/>
      <c r="G45" s="22">
        <f t="shared" si="2"/>
        <v>83285.155208683267</v>
      </c>
      <c r="H45" s="22">
        <v>400</v>
      </c>
      <c r="I45" s="23">
        <v>41</v>
      </c>
      <c r="AA45" s="95">
        <v>16288.478590450097</v>
      </c>
    </row>
    <row r="46" spans="2:27" x14ac:dyDescent="0.25">
      <c r="B46" s="22">
        <f t="shared" si="5"/>
        <v>83285.155208683267</v>
      </c>
      <c r="C46" s="21">
        <v>0.03</v>
      </c>
      <c r="D46" s="22">
        <f t="shared" si="0"/>
        <v>208.21288802170818</v>
      </c>
      <c r="E46" s="22">
        <f t="shared" si="3"/>
        <v>83493.368096704973</v>
      </c>
      <c r="F46" s="20"/>
      <c r="G46" s="22">
        <f t="shared" si="2"/>
        <v>83093.368096704973</v>
      </c>
      <c r="H46" s="22">
        <v>400</v>
      </c>
      <c r="I46" s="23">
        <v>42</v>
      </c>
      <c r="AA46" s="95">
        <v>16646.861436857936</v>
      </c>
    </row>
    <row r="47" spans="2:27" x14ac:dyDescent="0.25">
      <c r="B47" s="22">
        <f t="shared" si="5"/>
        <v>83093.368096704973</v>
      </c>
      <c r="C47" s="21">
        <v>0.03</v>
      </c>
      <c r="D47" s="22">
        <f t="shared" si="0"/>
        <v>207.73342024176245</v>
      </c>
      <c r="E47" s="22">
        <f t="shared" si="3"/>
        <v>83301.101516946743</v>
      </c>
      <c r="F47" s="20"/>
      <c r="G47" s="22">
        <f t="shared" si="2"/>
        <v>82901.101516946743</v>
      </c>
      <c r="H47" s="22">
        <v>400</v>
      </c>
      <c r="I47" s="23">
        <v>43</v>
      </c>
      <c r="AA47" s="95">
        <v>17004.350560456787</v>
      </c>
    </row>
    <row r="48" spans="2:27" x14ac:dyDescent="0.25">
      <c r="B48" s="22">
        <f t="shared" si="5"/>
        <v>82901.101516946743</v>
      </c>
      <c r="C48" s="21">
        <v>0.03</v>
      </c>
      <c r="D48" s="22">
        <f t="shared" si="0"/>
        <v>207.25275379236686</v>
      </c>
      <c r="E48" s="22">
        <f t="shared" si="3"/>
        <v>83108.354270739103</v>
      </c>
      <c r="F48" s="20"/>
      <c r="G48" s="22">
        <f t="shared" si="2"/>
        <v>82708.354270739103</v>
      </c>
      <c r="H48" s="22">
        <v>400</v>
      </c>
      <c r="I48" s="23">
        <v>44</v>
      </c>
      <c r="AA48" s="95">
        <v>17360.948189981827</v>
      </c>
    </row>
    <row r="49" spans="2:27" x14ac:dyDescent="0.25">
      <c r="B49" s="22">
        <f t="shared" si="5"/>
        <v>82708.354270739103</v>
      </c>
      <c r="C49" s="21">
        <v>0.03</v>
      </c>
      <c r="D49" s="22">
        <f t="shared" si="0"/>
        <v>206.77088567684777</v>
      </c>
      <c r="E49" s="22">
        <f t="shared" si="3"/>
        <v>82915.125156415947</v>
      </c>
      <c r="F49" s="20"/>
      <c r="G49" s="22">
        <f t="shared" si="2"/>
        <v>82515.125156415947</v>
      </c>
      <c r="H49" s="22">
        <v>400</v>
      </c>
      <c r="I49" s="23">
        <v>45</v>
      </c>
      <c r="AA49" s="95">
        <v>17716.656548610299</v>
      </c>
    </row>
    <row r="50" spans="2:27" x14ac:dyDescent="0.25">
      <c r="B50" s="22">
        <f t="shared" si="5"/>
        <v>82515.125156415947</v>
      </c>
      <c r="C50" s="21">
        <v>0.03</v>
      </c>
      <c r="D50" s="22">
        <f t="shared" si="0"/>
        <v>206.28781289103986</v>
      </c>
      <c r="E50" s="22">
        <f t="shared" si="3"/>
        <v>82721.412969306984</v>
      </c>
      <c r="F50" s="20"/>
      <c r="G50" s="22">
        <f t="shared" si="2"/>
        <v>82321.412969306984</v>
      </c>
      <c r="H50" s="22">
        <v>400</v>
      </c>
      <c r="I50" s="23">
        <v>46</v>
      </c>
      <c r="AA50" s="95">
        <v>18071.477853975357</v>
      </c>
    </row>
    <row r="51" spans="2:27" x14ac:dyDescent="0.25">
      <c r="B51" s="22">
        <f t="shared" si="5"/>
        <v>82321.412969306984</v>
      </c>
      <c r="C51" s="21">
        <v>0.03</v>
      </c>
      <c r="D51" s="22">
        <f t="shared" si="0"/>
        <v>205.80353242326746</v>
      </c>
      <c r="E51" s="22">
        <f t="shared" si="3"/>
        <v>82527.216501730247</v>
      </c>
      <c r="F51" s="20"/>
      <c r="G51" s="22">
        <f t="shared" si="2"/>
        <v>82127.216501730247</v>
      </c>
      <c r="H51" s="22">
        <v>400</v>
      </c>
      <c r="I51" s="23">
        <v>47</v>
      </c>
      <c r="AA51" s="95">
        <v>18425.414318179901</v>
      </c>
    </row>
    <row r="52" spans="2:27" x14ac:dyDescent="0.25">
      <c r="B52" s="22">
        <f t="shared" si="5"/>
        <v>82127.216501730247</v>
      </c>
      <c r="C52" s="21">
        <v>0.03</v>
      </c>
      <c r="D52" s="22">
        <f t="shared" si="0"/>
        <v>205.31804125432564</v>
      </c>
      <c r="E52" s="22">
        <f t="shared" si="3"/>
        <v>82332.534542984577</v>
      </c>
      <c r="F52" s="20"/>
      <c r="G52" s="22">
        <f t="shared" si="2"/>
        <v>81932.534542984577</v>
      </c>
      <c r="H52" s="22">
        <v>400</v>
      </c>
      <c r="I52" s="23">
        <v>48</v>
      </c>
      <c r="AA52" s="95">
        <v>18778.468147810356</v>
      </c>
    </row>
    <row r="53" spans="2:27" x14ac:dyDescent="0.25">
      <c r="B53" s="22">
        <f t="shared" si="5"/>
        <v>81932.534542984577</v>
      </c>
      <c r="C53" s="21">
        <v>0.03</v>
      </c>
      <c r="D53" s="22">
        <f t="shared" si="0"/>
        <v>204.83133635746145</v>
      </c>
      <c r="E53" s="22">
        <f t="shared" si="3"/>
        <v>82137.365879342033</v>
      </c>
      <c r="F53" s="20"/>
      <c r="G53" s="22">
        <f t="shared" si="2"/>
        <v>81737.365879342033</v>
      </c>
      <c r="H53" s="22">
        <v>400</v>
      </c>
      <c r="I53" s="23">
        <v>49</v>
      </c>
      <c r="AA53" s="95">
        <v>19130.641543950482</v>
      </c>
    </row>
    <row r="54" spans="2:27" x14ac:dyDescent="0.25">
      <c r="B54" s="22">
        <f t="shared" si="5"/>
        <v>81737.365879342033</v>
      </c>
      <c r="C54" s="21">
        <v>0.03</v>
      </c>
      <c r="D54" s="22">
        <f t="shared" si="0"/>
        <v>204.34341469835508</v>
      </c>
      <c r="E54" s="22">
        <f t="shared" si="3"/>
        <v>81941.709294040382</v>
      </c>
      <c r="F54" s="20"/>
      <c r="G54" s="22">
        <f t="shared" si="2"/>
        <v>81541.709294040382</v>
      </c>
      <c r="H54" s="22">
        <v>400</v>
      </c>
      <c r="I54" s="23">
        <v>50</v>
      </c>
      <c r="AA54" s="95">
        <v>19481.936702194991</v>
      </c>
    </row>
    <row r="55" spans="2:27" x14ac:dyDescent="0.25">
      <c r="B55" s="22">
        <f t="shared" si="5"/>
        <v>81541.709294040382</v>
      </c>
      <c r="C55" s="21">
        <v>0.03</v>
      </c>
      <c r="D55" s="22">
        <f t="shared" si="0"/>
        <v>203.85427323510095</v>
      </c>
      <c r="E55" s="22">
        <f t="shared" si="3"/>
        <v>81745.563567275487</v>
      </c>
      <c r="F55" s="20"/>
      <c r="G55" s="22">
        <f t="shared" si="2"/>
        <v>81345.563567275487</v>
      </c>
      <c r="H55" s="22">
        <v>400</v>
      </c>
      <c r="I55" s="23">
        <v>51</v>
      </c>
      <c r="AA55" s="95">
        <v>19832.355812663314</v>
      </c>
    </row>
    <row r="56" spans="2:27" x14ac:dyDescent="0.25">
      <c r="B56" s="22">
        <f t="shared" si="5"/>
        <v>81345.563567275487</v>
      </c>
      <c r="C56" s="21">
        <v>0.03</v>
      </c>
      <c r="D56" s="22">
        <f t="shared" si="0"/>
        <v>203.36390891818871</v>
      </c>
      <c r="E56" s="22">
        <f t="shared" si="3"/>
        <v>81548.927476193669</v>
      </c>
      <c r="F56" s="20"/>
      <c r="G56" s="22">
        <f t="shared" si="2"/>
        <v>81148.927476193669</v>
      </c>
      <c r="H56" s="22">
        <v>400</v>
      </c>
      <c r="I56" s="23">
        <v>52</v>
      </c>
      <c r="AA56" s="95">
        <v>20181.901060013275</v>
      </c>
    </row>
    <row r="57" spans="2:27" x14ac:dyDescent="0.25">
      <c r="B57" s="22">
        <f t="shared" si="5"/>
        <v>81148.927476193669</v>
      </c>
      <c r="C57" s="21">
        <v>0.03</v>
      </c>
      <c r="D57" s="22">
        <f t="shared" si="0"/>
        <v>202.87231869048418</v>
      </c>
      <c r="E57" s="22">
        <f t="shared" si="3"/>
        <v>81351.799794884151</v>
      </c>
      <c r="F57" s="20"/>
      <c r="G57" s="22">
        <f t="shared" si="2"/>
        <v>80951.799794884151</v>
      </c>
      <c r="H57" s="22">
        <v>400</v>
      </c>
      <c r="I57" s="23">
        <v>53</v>
      </c>
      <c r="AA57" s="95">
        <v>20530.574623454639</v>
      </c>
    </row>
    <row r="58" spans="2:27" x14ac:dyDescent="0.25">
      <c r="B58" s="22">
        <f t="shared" si="5"/>
        <v>80951.799794884151</v>
      </c>
      <c r="C58" s="21">
        <v>0.03</v>
      </c>
      <c r="D58" s="22">
        <f t="shared" si="0"/>
        <v>202.37949948721038</v>
      </c>
      <c r="E58" s="22">
        <f t="shared" si="3"/>
        <v>81154.179294371366</v>
      </c>
      <c r="F58" s="20"/>
      <c r="G58" s="22">
        <f t="shared" si="2"/>
        <v>80754.179294371366</v>
      </c>
      <c r="H58" s="22">
        <v>400</v>
      </c>
      <c r="I58" s="23">
        <v>54</v>
      </c>
      <c r="AA58" s="95">
        <v>20878.378676762724</v>
      </c>
    </row>
    <row r="59" spans="2:27" x14ac:dyDescent="0.25">
      <c r="B59" s="22">
        <f t="shared" si="5"/>
        <v>80754.179294371366</v>
      </c>
      <c r="C59" s="21">
        <v>0.03</v>
      </c>
      <c r="D59" s="22">
        <f t="shared" si="0"/>
        <v>201.88544823592841</v>
      </c>
      <c r="E59" s="22">
        <f t="shared" si="3"/>
        <v>80956.064742607297</v>
      </c>
      <c r="F59" s="20"/>
      <c r="G59" s="22">
        <f t="shared" si="2"/>
        <v>80556.064742607297</v>
      </c>
      <c r="H59" s="22">
        <v>400</v>
      </c>
      <c r="I59" s="23">
        <v>55</v>
      </c>
      <c r="AA59" s="95">
        <v>21225.315388291987</v>
      </c>
    </row>
    <row r="60" spans="2:27" x14ac:dyDescent="0.25">
      <c r="B60" s="22">
        <f t="shared" si="5"/>
        <v>80556.064742607297</v>
      </c>
      <c r="C60" s="21">
        <v>0.03</v>
      </c>
      <c r="D60" s="22">
        <f t="shared" si="0"/>
        <v>201.39016185651826</v>
      </c>
      <c r="E60" s="22">
        <f t="shared" si="3"/>
        <v>80757.454904463812</v>
      </c>
      <c r="F60" s="20"/>
      <c r="G60" s="22">
        <f t="shared" si="2"/>
        <v>80357.454904463812</v>
      </c>
      <c r="H60" s="22">
        <v>400</v>
      </c>
      <c r="I60" s="23">
        <v>56</v>
      </c>
      <c r="AA60" s="95">
        <v>21571.386920989506</v>
      </c>
    </row>
    <row r="61" spans="2:27" x14ac:dyDescent="0.25">
      <c r="B61" s="22">
        <f t="shared" si="5"/>
        <v>80357.454904463812</v>
      </c>
      <c r="C61" s="21">
        <v>0.03</v>
      </c>
      <c r="D61" s="22">
        <f t="shared" si="0"/>
        <v>200.89363726115954</v>
      </c>
      <c r="E61" s="22">
        <f t="shared" si="3"/>
        <v>80558.348541724976</v>
      </c>
      <c r="F61" s="20"/>
      <c r="G61" s="22">
        <f t="shared" si="2"/>
        <v>80158.348541724976</v>
      </c>
      <c r="H61" s="22">
        <v>400</v>
      </c>
      <c r="I61" s="23">
        <v>57</v>
      </c>
      <c r="AA61" s="95">
        <v>21916.595432408474</v>
      </c>
    </row>
    <row r="62" spans="2:27" x14ac:dyDescent="0.25">
      <c r="B62" s="22">
        <f t="shared" si="5"/>
        <v>80158.348541724976</v>
      </c>
      <c r="C62" s="21">
        <v>0.03</v>
      </c>
      <c r="D62" s="22">
        <f t="shared" si="0"/>
        <v>200.39587135431245</v>
      </c>
      <c r="E62" s="22">
        <f t="shared" si="3"/>
        <v>80358.744413079286</v>
      </c>
      <c r="F62" s="20"/>
      <c r="G62" s="22">
        <f t="shared" si="2"/>
        <v>79958.744413079286</v>
      </c>
      <c r="H62" s="22">
        <v>400</v>
      </c>
      <c r="I62" s="23">
        <v>58</v>
      </c>
      <c r="AA62" s="95">
        <v>22260.943074721665</v>
      </c>
    </row>
    <row r="63" spans="2:27" x14ac:dyDescent="0.25">
      <c r="B63" s="22">
        <f t="shared" si="5"/>
        <v>79958.744413079286</v>
      </c>
      <c r="C63" s="21">
        <v>0.03</v>
      </c>
      <c r="D63" s="22">
        <f t="shared" si="0"/>
        <v>199.89686103269821</v>
      </c>
      <c r="E63" s="22">
        <f t="shared" si="3"/>
        <v>80158.641274111986</v>
      </c>
      <c r="F63" s="20"/>
      <c r="G63" s="22">
        <f t="shared" si="2"/>
        <v>79758.641274111986</v>
      </c>
      <c r="H63" s="22">
        <v>400</v>
      </c>
      <c r="I63" s="23">
        <v>59</v>
      </c>
      <c r="AA63" s="95">
        <v>22604.431994734819</v>
      </c>
    </row>
    <row r="64" spans="2:27" x14ac:dyDescent="0.25">
      <c r="B64" s="22">
        <f t="shared" si="5"/>
        <v>79758.641274111986</v>
      </c>
      <c r="C64" s="21">
        <v>0.03</v>
      </c>
      <c r="D64" s="22">
        <f t="shared" si="0"/>
        <v>199.39660318527996</v>
      </c>
      <c r="E64" s="22">
        <f t="shared" si="3"/>
        <v>79958.037877297262</v>
      </c>
      <c r="F64" s="20"/>
      <c r="G64" s="22">
        <f t="shared" si="2"/>
        <v>79558.037877297262</v>
      </c>
      <c r="H64" s="22">
        <v>400</v>
      </c>
      <c r="I64" s="23">
        <v>60</v>
      </c>
      <c r="AA64" s="95">
        <v>22947.06433390006</v>
      </c>
    </row>
    <row r="65" spans="2:27" x14ac:dyDescent="0.25">
      <c r="B65" s="22">
        <f t="shared" si="5"/>
        <v>79558.037877297262</v>
      </c>
      <c r="C65" s="21">
        <v>0.03</v>
      </c>
      <c r="D65" s="22">
        <f t="shared" si="0"/>
        <v>198.89509469324315</v>
      </c>
      <c r="E65" s="22">
        <f t="shared" si="3"/>
        <v>79756.932971990507</v>
      </c>
      <c r="F65" s="20"/>
      <c r="G65" s="22">
        <f t="shared" si="2"/>
        <v>79356.932971990507</v>
      </c>
      <c r="H65" s="22">
        <v>400</v>
      </c>
      <c r="I65" s="23">
        <v>61</v>
      </c>
      <c r="AA65" s="95">
        <v>23288.842228329224</v>
      </c>
    </row>
    <row r="66" spans="2:27" x14ac:dyDescent="0.25">
      <c r="B66" s="22">
        <f t="shared" si="5"/>
        <v>79356.932971990507</v>
      </c>
      <c r="C66" s="21">
        <v>0.03</v>
      </c>
      <c r="D66" s="22">
        <f t="shared" si="0"/>
        <v>198.39233242997628</v>
      </c>
      <c r="E66" s="22">
        <f t="shared" si="3"/>
        <v>79555.32530442049</v>
      </c>
      <c r="F66" s="20"/>
      <c r="G66" s="22">
        <f t="shared" si="2"/>
        <v>79155.32530442049</v>
      </c>
      <c r="H66" s="22">
        <v>400</v>
      </c>
      <c r="I66" s="23">
        <v>62</v>
      </c>
      <c r="AA66" s="95">
        <v>23629.767808807199</v>
      </c>
    </row>
    <row r="67" spans="2:27" x14ac:dyDescent="0.25">
      <c r="B67" s="22">
        <f t="shared" si="5"/>
        <v>79155.32530442049</v>
      </c>
      <c r="C67" s="21">
        <v>0.03</v>
      </c>
      <c r="D67" s="22">
        <f t="shared" si="0"/>
        <v>197.88831326105122</v>
      </c>
      <c r="E67" s="22">
        <f t="shared" si="3"/>
        <v>79353.21361768154</v>
      </c>
      <c r="F67" s="20"/>
      <c r="G67" s="22">
        <f t="shared" si="2"/>
        <v>78953.21361768154</v>
      </c>
      <c r="H67" s="22">
        <v>400</v>
      </c>
      <c r="I67" s="23">
        <v>63</v>
      </c>
      <c r="AA67" s="95">
        <v>23969.843200805182</v>
      </c>
    </row>
    <row r="68" spans="2:27" x14ac:dyDescent="0.25">
      <c r="B68" s="22">
        <f t="shared" si="5"/>
        <v>78953.21361768154</v>
      </c>
      <c r="C68" s="21">
        <v>0.03</v>
      </c>
      <c r="D68" s="22">
        <f t="shared" si="0"/>
        <v>197.38303404420387</v>
      </c>
      <c r="E68" s="22">
        <f t="shared" si="3"/>
        <v>79150.596651725748</v>
      </c>
      <c r="F68" s="20"/>
      <c r="G68" s="22">
        <f t="shared" si="2"/>
        <v>78750.596651725748</v>
      </c>
      <c r="H68" s="22">
        <v>400</v>
      </c>
      <c r="I68" s="23">
        <v>64</v>
      </c>
      <c r="J68">
        <f>I68/12</f>
        <v>5.333333333333333</v>
      </c>
      <c r="AA68" s="95">
        <v>24309.070524493934</v>
      </c>
    </row>
    <row r="69" spans="2:27" x14ac:dyDescent="0.25">
      <c r="B69" s="22">
        <f t="shared" si="5"/>
        <v>78750.596651725748</v>
      </c>
      <c r="C69" s="21">
        <v>0.03</v>
      </c>
      <c r="D69" s="22">
        <f t="shared" si="0"/>
        <v>196.87649162931439</v>
      </c>
      <c r="E69" s="22">
        <f t="shared" si="3"/>
        <v>78947.473143355062</v>
      </c>
      <c r="F69" s="20"/>
      <c r="G69" s="22">
        <f t="shared" si="2"/>
        <v>78547.473143355062</v>
      </c>
      <c r="H69" s="22">
        <v>400</v>
      </c>
      <c r="I69" s="23">
        <v>65</v>
      </c>
      <c r="AA69" s="95">
        <v>24647.451894757032</v>
      </c>
    </row>
    <row r="70" spans="2:27" x14ac:dyDescent="0.25">
      <c r="B70" s="22">
        <f t="shared" si="5"/>
        <v>78547.473143355062</v>
      </c>
      <c r="C70" s="21">
        <v>0.03</v>
      </c>
      <c r="D70" s="22">
        <f t="shared" ref="D70:D133" si="6">B70*(0.03/12)</f>
        <v>196.36868285838767</v>
      </c>
      <c r="E70" s="22">
        <f t="shared" si="3"/>
        <v>78743.841826213451</v>
      </c>
      <c r="F70" s="20"/>
      <c r="G70" s="22">
        <f t="shared" ref="G70:G133" si="7">E70-H70</f>
        <v>78343.841826213451</v>
      </c>
      <c r="H70" s="22">
        <v>400</v>
      </c>
      <c r="I70" s="23">
        <v>66</v>
      </c>
      <c r="AA70" s="95">
        <v>24984.989421204027</v>
      </c>
    </row>
    <row r="71" spans="2:27" x14ac:dyDescent="0.25">
      <c r="B71" s="22">
        <f t="shared" si="5"/>
        <v>78343.841826213451</v>
      </c>
      <c r="C71" s="21">
        <v>0.03</v>
      </c>
      <c r="D71" s="22">
        <f t="shared" si="6"/>
        <v>195.85960456553363</v>
      </c>
      <c r="E71" s="22">
        <f t="shared" ref="E71:E134" si="8">B71+D71</f>
        <v>78539.70143077898</v>
      </c>
      <c r="F71" s="20"/>
      <c r="G71" s="22">
        <f t="shared" si="7"/>
        <v>78139.70143077898</v>
      </c>
      <c r="H71" s="22">
        <v>400</v>
      </c>
      <c r="I71" s="23">
        <v>67</v>
      </c>
      <c r="AA71" s="95">
        <v>25321.68520818356</v>
      </c>
    </row>
    <row r="72" spans="2:27" x14ac:dyDescent="0.25">
      <c r="B72" s="22">
        <f t="shared" si="5"/>
        <v>78139.70143077898</v>
      </c>
      <c r="C72" s="21">
        <v>0.03</v>
      </c>
      <c r="D72" s="22">
        <f t="shared" si="6"/>
        <v>195.34925357694746</v>
      </c>
      <c r="E72" s="22">
        <f t="shared" si="8"/>
        <v>78335.050684355927</v>
      </c>
      <c r="F72" s="20"/>
      <c r="G72" s="22">
        <f t="shared" si="7"/>
        <v>77935.050684355927</v>
      </c>
      <c r="H72" s="22">
        <v>400</v>
      </c>
      <c r="I72" s="23">
        <v>68</v>
      </c>
      <c r="AA72" s="95">
        <v>25657.541354796558</v>
      </c>
    </row>
    <row r="73" spans="2:27" x14ac:dyDescent="0.25">
      <c r="B73" s="22">
        <f t="shared" si="5"/>
        <v>77935.050684355927</v>
      </c>
      <c r="C73" s="21">
        <v>0.03</v>
      </c>
      <c r="D73" s="22">
        <f t="shared" si="6"/>
        <v>194.83762671088982</v>
      </c>
      <c r="E73" s="22">
        <f t="shared" si="8"/>
        <v>78129.88831106681</v>
      </c>
      <c r="F73" s="20"/>
      <c r="G73" s="22">
        <f t="shared" si="7"/>
        <v>77729.88831106681</v>
      </c>
      <c r="H73" s="22">
        <v>400</v>
      </c>
      <c r="I73" s="23">
        <v>69</v>
      </c>
      <c r="AA73" s="95">
        <v>25992.55995490928</v>
      </c>
    </row>
    <row r="74" spans="2:27" x14ac:dyDescent="0.25">
      <c r="B74" s="22">
        <f t="shared" si="5"/>
        <v>77729.88831106681</v>
      </c>
      <c r="C74" s="21">
        <v>0.03</v>
      </c>
      <c r="D74" s="22">
        <f t="shared" si="6"/>
        <v>194.32472077766704</v>
      </c>
      <c r="E74" s="22">
        <f t="shared" si="8"/>
        <v>77924.213031844483</v>
      </c>
      <c r="F74" s="20"/>
      <c r="G74" s="22">
        <f t="shared" si="7"/>
        <v>77524.213031844483</v>
      </c>
      <c r="H74" s="22">
        <v>400</v>
      </c>
      <c r="I74" s="23">
        <v>70</v>
      </c>
      <c r="AA74" s="95">
        <v>26326.74309716636</v>
      </c>
    </row>
    <row r="75" spans="2:27" x14ac:dyDescent="0.25">
      <c r="B75" s="22">
        <f t="shared" si="5"/>
        <v>77524.213031844483</v>
      </c>
      <c r="C75" s="21">
        <v>0.03</v>
      </c>
      <c r="D75" s="22">
        <f t="shared" si="6"/>
        <v>193.81053257961122</v>
      </c>
      <c r="E75" s="22">
        <f t="shared" si="8"/>
        <v>77718.023564424089</v>
      </c>
      <c r="F75" s="20"/>
      <c r="G75" s="22">
        <f t="shared" si="7"/>
        <v>77318.023564424089</v>
      </c>
      <c r="H75" s="22">
        <v>400</v>
      </c>
      <c r="I75" s="23">
        <v>71</v>
      </c>
      <c r="AA75" s="95">
        <v>26660.092865003833</v>
      </c>
    </row>
    <row r="76" spans="2:27" x14ac:dyDescent="0.25">
      <c r="B76" s="22">
        <f t="shared" si="5"/>
        <v>77318.023564424089</v>
      </c>
      <c r="C76" s="21">
        <v>0.03</v>
      </c>
      <c r="D76" s="22">
        <f t="shared" si="6"/>
        <v>193.29505891106024</v>
      </c>
      <c r="E76" s="22">
        <f t="shared" si="8"/>
        <v>77511.318623335144</v>
      </c>
      <c r="F76" s="20"/>
      <c r="G76" s="22">
        <f t="shared" si="7"/>
        <v>77111.318623335144</v>
      </c>
      <c r="H76" s="22">
        <v>400</v>
      </c>
      <c r="I76" s="23">
        <v>72</v>
      </c>
      <c r="AA76" s="95">
        <v>26992.611336662172</v>
      </c>
    </row>
    <row r="77" spans="2:27" x14ac:dyDescent="0.25">
      <c r="B77" s="22">
        <f t="shared" si="5"/>
        <v>77111.318623335144</v>
      </c>
      <c r="C77" s="21">
        <v>0.03</v>
      </c>
      <c r="D77" s="22">
        <f t="shared" si="6"/>
        <v>192.77829655833787</v>
      </c>
      <c r="E77" s="22">
        <f t="shared" si="8"/>
        <v>77304.096919893476</v>
      </c>
      <c r="F77" s="20"/>
      <c r="G77" s="22">
        <f t="shared" si="7"/>
        <v>76904.096919893476</v>
      </c>
      <c r="H77" s="22">
        <v>400</v>
      </c>
      <c r="I77" s="23">
        <v>73</v>
      </c>
      <c r="AA77" s="95">
        <v>27324.300585199169</v>
      </c>
    </row>
    <row r="78" spans="2:27" x14ac:dyDescent="0.25">
      <c r="B78" s="22">
        <f t="shared" si="5"/>
        <v>76904.096919893476</v>
      </c>
      <c r="C78" s="21">
        <v>0.03</v>
      </c>
      <c r="D78" s="22">
        <f t="shared" si="6"/>
        <v>192.2602422997337</v>
      </c>
      <c r="E78" s="22">
        <f t="shared" si="8"/>
        <v>77096.357162193206</v>
      </c>
      <c r="F78" s="20"/>
      <c r="G78" s="22">
        <f t="shared" si="7"/>
        <v>76696.357162193206</v>
      </c>
      <c r="H78" s="22">
        <v>400</v>
      </c>
      <c r="I78" s="23">
        <v>74</v>
      </c>
      <c r="AA78" s="95">
        <v>27655.162678502911</v>
      </c>
    </row>
    <row r="79" spans="2:27" x14ac:dyDescent="0.25">
      <c r="B79" s="22">
        <f t="shared" si="5"/>
        <v>76696.357162193206</v>
      </c>
      <c r="C79" s="21">
        <v>0.03</v>
      </c>
      <c r="D79" s="22">
        <f t="shared" si="6"/>
        <v>191.74089290548301</v>
      </c>
      <c r="E79" s="22">
        <f t="shared" si="8"/>
        <v>76888.098055098686</v>
      </c>
      <c r="F79" s="20"/>
      <c r="G79" s="22">
        <f t="shared" si="7"/>
        <v>76488.098055098686</v>
      </c>
      <c r="H79" s="22">
        <v>400</v>
      </c>
      <c r="I79" s="23">
        <v>75</v>
      </c>
      <c r="AA79" s="95">
        <v>27985.199679304635</v>
      </c>
    </row>
    <row r="80" spans="2:27" x14ac:dyDescent="0.25">
      <c r="B80" s="22">
        <f t="shared" si="5"/>
        <v>76488.098055098686</v>
      </c>
      <c r="C80" s="21">
        <v>0.03</v>
      </c>
      <c r="D80" s="22">
        <f t="shared" si="6"/>
        <v>191.22024513774673</v>
      </c>
      <c r="E80" s="22">
        <f t="shared" si="8"/>
        <v>76679.318300236439</v>
      </c>
      <c r="F80" s="20"/>
      <c r="G80" s="22">
        <f t="shared" si="7"/>
        <v>76279.318300236439</v>
      </c>
      <c r="H80" s="22">
        <v>400</v>
      </c>
      <c r="I80" s="23">
        <v>76</v>
      </c>
      <c r="AA80" s="95">
        <v>28314.413645191649</v>
      </c>
    </row>
    <row r="81" spans="2:27" x14ac:dyDescent="0.25">
      <c r="B81" s="22">
        <f t="shared" si="5"/>
        <v>76279.318300236439</v>
      </c>
      <c r="C81" s="21">
        <v>0.03</v>
      </c>
      <c r="D81" s="22">
        <f t="shared" si="6"/>
        <v>190.69829575059109</v>
      </c>
      <c r="E81" s="22">
        <f t="shared" si="8"/>
        <v>76470.016595987036</v>
      </c>
      <c r="F81" s="20"/>
      <c r="G81" s="22">
        <f t="shared" si="7"/>
        <v>76070.016595987036</v>
      </c>
      <c r="H81" s="22">
        <v>400</v>
      </c>
      <c r="I81" s="23">
        <v>77</v>
      </c>
      <c r="AA81" s="95">
        <v>28642.806628620099</v>
      </c>
    </row>
    <row r="82" spans="2:27" x14ac:dyDescent="0.25">
      <c r="B82" s="22">
        <f t="shared" si="5"/>
        <v>76070.016595987036</v>
      </c>
      <c r="C82" s="21">
        <v>0.03</v>
      </c>
      <c r="D82" s="22">
        <f t="shared" si="6"/>
        <v>190.17504148996758</v>
      </c>
      <c r="E82" s="22">
        <f t="shared" si="8"/>
        <v>76260.191637477008</v>
      </c>
      <c r="F82" s="20"/>
      <c r="G82" s="22">
        <f t="shared" si="7"/>
        <v>75860.191637477008</v>
      </c>
      <c r="H82" s="22">
        <v>400</v>
      </c>
      <c r="I82" s="23">
        <v>78</v>
      </c>
      <c r="AA82" s="95">
        <v>28970.380676927762</v>
      </c>
    </row>
    <row r="83" spans="2:27" x14ac:dyDescent="0.25">
      <c r="B83" s="22">
        <f t="shared" si="5"/>
        <v>75860.191637477008</v>
      </c>
      <c r="C83" s="21">
        <v>0.03</v>
      </c>
      <c r="D83" s="22">
        <f t="shared" si="6"/>
        <v>189.65047909369252</v>
      </c>
      <c r="E83" s="22">
        <f t="shared" si="8"/>
        <v>76049.842116570697</v>
      </c>
      <c r="F83" s="20"/>
      <c r="G83" s="22">
        <f t="shared" si="7"/>
        <v>75649.842116570697</v>
      </c>
      <c r="H83" s="22">
        <v>400</v>
      </c>
      <c r="I83" s="23">
        <v>79</v>
      </c>
      <c r="AA83" s="95">
        <v>29297.137832346889</v>
      </c>
    </row>
    <row r="84" spans="2:27" x14ac:dyDescent="0.25">
      <c r="B84" s="22">
        <f t="shared" si="5"/>
        <v>75649.842116570697</v>
      </c>
      <c r="C84" s="21">
        <v>0.03</v>
      </c>
      <c r="D84" s="22">
        <f t="shared" si="6"/>
        <v>189.12460529142675</v>
      </c>
      <c r="E84" s="22">
        <f t="shared" si="8"/>
        <v>75838.966721862118</v>
      </c>
      <c r="F84" s="20"/>
      <c r="G84" s="22">
        <f t="shared" si="7"/>
        <v>75438.966721862118</v>
      </c>
      <c r="H84" s="22">
        <v>400</v>
      </c>
      <c r="I84" s="23">
        <v>80</v>
      </c>
      <c r="AA84" s="95">
        <v>29623.080132016854</v>
      </c>
    </row>
    <row r="85" spans="2:27" x14ac:dyDescent="0.25">
      <c r="B85" s="22">
        <f t="shared" si="5"/>
        <v>75438.966721862118</v>
      </c>
      <c r="C85" s="21">
        <v>0.03</v>
      </c>
      <c r="D85" s="22">
        <f t="shared" si="6"/>
        <v>188.5974168046553</v>
      </c>
      <c r="E85" s="22">
        <f t="shared" si="8"/>
        <v>75627.56413866677</v>
      </c>
      <c r="F85" s="20"/>
      <c r="G85" s="22">
        <f t="shared" si="7"/>
        <v>75227.56413866677</v>
      </c>
      <c r="H85" s="22">
        <v>400</v>
      </c>
      <c r="I85" s="23">
        <v>81</v>
      </c>
      <c r="AA85" s="95">
        <v>29948.20960799684</v>
      </c>
    </row>
    <row r="86" spans="2:27" x14ac:dyDescent="0.25">
      <c r="B86" s="22">
        <f t="shared" si="5"/>
        <v>75227.56413866677</v>
      </c>
      <c r="C86" s="21">
        <v>0.03</v>
      </c>
      <c r="D86" s="22">
        <f t="shared" si="6"/>
        <v>188.06891034666694</v>
      </c>
      <c r="E86" s="22">
        <f t="shared" si="8"/>
        <v>75415.633049013442</v>
      </c>
      <c r="F86" s="20"/>
      <c r="G86" s="22">
        <f t="shared" si="7"/>
        <v>75015.633049013442</v>
      </c>
      <c r="H86" s="22">
        <v>400</v>
      </c>
      <c r="I86" s="23">
        <v>82</v>
      </c>
      <c r="AA86" s="95">
        <v>30272.528287278641</v>
      </c>
    </row>
    <row r="87" spans="2:27" x14ac:dyDescent="0.25">
      <c r="B87" s="22">
        <f t="shared" si="5"/>
        <v>75015.633049013442</v>
      </c>
      <c r="C87" s="21">
        <v>0.03</v>
      </c>
      <c r="D87" s="22">
        <f t="shared" si="6"/>
        <v>187.53908262253361</v>
      </c>
      <c r="E87" s="22">
        <f t="shared" si="8"/>
        <v>75203.172131635976</v>
      </c>
      <c r="F87" s="20"/>
      <c r="G87" s="22">
        <f t="shared" si="7"/>
        <v>74803.172131635976</v>
      </c>
      <c r="H87" s="22">
        <v>400</v>
      </c>
      <c r="I87" s="23">
        <v>83</v>
      </c>
      <c r="AA87" s="95">
        <v>30596.03819179914</v>
      </c>
    </row>
    <row r="88" spans="2:27" x14ac:dyDescent="0.25">
      <c r="B88" s="22">
        <f t="shared" si="5"/>
        <v>74803.172131635976</v>
      </c>
      <c r="C88" s="21">
        <v>0.03</v>
      </c>
      <c r="D88" s="22">
        <f t="shared" si="6"/>
        <v>187.00793032908993</v>
      </c>
      <c r="E88" s="22">
        <f t="shared" si="8"/>
        <v>74990.18006196506</v>
      </c>
      <c r="F88" s="20"/>
      <c r="G88" s="22">
        <f t="shared" si="7"/>
        <v>74590.18006196506</v>
      </c>
      <c r="H88" s="22">
        <v>400</v>
      </c>
      <c r="I88" s="23">
        <v>84</v>
      </c>
      <c r="AA88" s="95">
        <v>30918.741338452997</v>
      </c>
    </row>
    <row r="89" spans="2:27" x14ac:dyDescent="0.25">
      <c r="B89" s="22">
        <f t="shared" si="5"/>
        <v>74590.18006196506</v>
      </c>
      <c r="C89" s="21">
        <v>0.03</v>
      </c>
      <c r="D89" s="22">
        <f t="shared" si="6"/>
        <v>186.47545015491266</v>
      </c>
      <c r="E89" s="22">
        <f t="shared" si="8"/>
        <v>74776.655512119978</v>
      </c>
      <c r="F89" s="20"/>
      <c r="G89" s="22">
        <f t="shared" si="7"/>
        <v>74376.655512119978</v>
      </c>
      <c r="H89" s="22">
        <v>400</v>
      </c>
      <c r="I89" s="23">
        <v>85</v>
      </c>
      <c r="AA89" s="95">
        <v>31240.639739105234</v>
      </c>
    </row>
    <row r="90" spans="2:27" x14ac:dyDescent="0.25">
      <c r="B90" s="22">
        <f t="shared" si="5"/>
        <v>74376.655512119978</v>
      </c>
      <c r="C90" s="21">
        <v>0.03</v>
      </c>
      <c r="D90" s="22">
        <f t="shared" si="6"/>
        <v>185.94163878029994</v>
      </c>
      <c r="E90" s="22">
        <f t="shared" si="8"/>
        <v>74562.597150900285</v>
      </c>
      <c r="F90" s="20"/>
      <c r="G90" s="22">
        <f t="shared" si="7"/>
        <v>74162.597150900285</v>
      </c>
      <c r="H90" s="22">
        <v>400</v>
      </c>
      <c r="I90" s="23">
        <v>86</v>
      </c>
      <c r="AA90" s="95">
        <v>31561.735400603702</v>
      </c>
    </row>
    <row r="91" spans="2:27" x14ac:dyDescent="0.25">
      <c r="B91" s="22">
        <f t="shared" si="5"/>
        <v>74162.597150900285</v>
      </c>
      <c r="C91" s="21">
        <v>0.03</v>
      </c>
      <c r="D91" s="22">
        <f t="shared" si="6"/>
        <v>185.40649287725071</v>
      </c>
      <c r="E91" s="22">
        <f t="shared" si="8"/>
        <v>74348.003643777542</v>
      </c>
      <c r="F91" s="20"/>
      <c r="G91" s="22">
        <f t="shared" si="7"/>
        <v>73948.003643777542</v>
      </c>
      <c r="H91" s="22">
        <v>400</v>
      </c>
      <c r="I91" s="23">
        <v>87</v>
      </c>
      <c r="AA91" s="95">
        <v>31882.030324791729</v>
      </c>
    </row>
    <row r="92" spans="2:27" x14ac:dyDescent="0.25">
      <c r="B92" s="22">
        <f t="shared" si="5"/>
        <v>73948.003643777542</v>
      </c>
      <c r="C92" s="21">
        <v>0.03</v>
      </c>
      <c r="D92" s="22">
        <f t="shared" si="6"/>
        <v>184.87000910944386</v>
      </c>
      <c r="E92" s="22">
        <f t="shared" si="8"/>
        <v>74132.873652886992</v>
      </c>
      <c r="F92" s="20"/>
      <c r="G92" s="22">
        <f t="shared" si="7"/>
        <v>73732.873652886992</v>
      </c>
      <c r="H92" s="22">
        <v>400</v>
      </c>
      <c r="I92" s="23">
        <v>88</v>
      </c>
      <c r="AA92" s="95">
        <v>32201.526508520412</v>
      </c>
    </row>
    <row r="93" spans="2:27" x14ac:dyDescent="0.25">
      <c r="B93" s="22">
        <f t="shared" ref="B93:B156" si="9">G92</f>
        <v>73732.873652886992</v>
      </c>
      <c r="C93" s="21">
        <v>0.03</v>
      </c>
      <c r="D93" s="22">
        <f t="shared" si="6"/>
        <v>184.33218413221749</v>
      </c>
      <c r="E93" s="22">
        <f t="shared" si="8"/>
        <v>73917.20583701921</v>
      </c>
      <c r="F93" s="20"/>
      <c r="G93" s="22">
        <f t="shared" si="7"/>
        <v>73517.20583701921</v>
      </c>
      <c r="H93" s="22">
        <v>400</v>
      </c>
      <c r="I93" s="23">
        <v>89</v>
      </c>
      <c r="AA93" s="95">
        <v>32520.225943661262</v>
      </c>
    </row>
    <row r="94" spans="2:27" x14ac:dyDescent="0.25">
      <c r="B94" s="22">
        <f t="shared" si="9"/>
        <v>73517.20583701921</v>
      </c>
      <c r="C94" s="21">
        <v>0.03</v>
      </c>
      <c r="D94" s="22">
        <f t="shared" si="6"/>
        <v>183.79301459254802</v>
      </c>
      <c r="E94" s="22">
        <f t="shared" si="8"/>
        <v>73700.998851611759</v>
      </c>
      <c r="F94" s="20"/>
      <c r="G94" s="22">
        <f t="shared" si="7"/>
        <v>73300.998851611759</v>
      </c>
      <c r="H94" s="22">
        <v>400</v>
      </c>
      <c r="I94" s="23">
        <v>90</v>
      </c>
      <c r="AA94" s="95">
        <v>32838.130617118448</v>
      </c>
    </row>
    <row r="95" spans="2:27" x14ac:dyDescent="0.25">
      <c r="B95" s="22">
        <f t="shared" si="9"/>
        <v>73300.998851611759</v>
      </c>
      <c r="C95" s="21">
        <v>0.03</v>
      </c>
      <c r="D95" s="22">
        <f t="shared" si="6"/>
        <v>183.25249712902939</v>
      </c>
      <c r="E95" s="22">
        <f t="shared" si="8"/>
        <v>73484.251348740785</v>
      </c>
      <c r="F95" s="20"/>
      <c r="G95" s="22">
        <f t="shared" si="7"/>
        <v>73084.251348740785</v>
      </c>
      <c r="H95" s="22">
        <v>400</v>
      </c>
      <c r="I95" s="23">
        <v>91</v>
      </c>
      <c r="AA95" s="95">
        <v>33155.242510841344</v>
      </c>
    </row>
    <row r="96" spans="2:27" x14ac:dyDescent="0.25">
      <c r="B96" s="22">
        <f t="shared" si="9"/>
        <v>73084.251348740785</v>
      </c>
      <c r="C96" s="21">
        <v>0.03</v>
      </c>
      <c r="D96" s="22">
        <f t="shared" si="6"/>
        <v>182.71062837185195</v>
      </c>
      <c r="E96" s="22">
        <f t="shared" si="8"/>
        <v>73266.961977112631</v>
      </c>
      <c r="F96" s="20"/>
      <c r="G96" s="22">
        <f t="shared" si="7"/>
        <v>72866.961977112631</v>
      </c>
      <c r="H96" s="22">
        <v>400</v>
      </c>
      <c r="I96" s="23">
        <v>92</v>
      </c>
      <c r="AA96" s="95">
        <v>33471.563601836751</v>
      </c>
    </row>
    <row r="97" spans="2:27" x14ac:dyDescent="0.25">
      <c r="B97" s="22">
        <f t="shared" si="9"/>
        <v>72866.961977112631</v>
      </c>
      <c r="C97" s="21">
        <v>0.03</v>
      </c>
      <c r="D97" s="22">
        <f t="shared" si="6"/>
        <v>182.16740494278159</v>
      </c>
      <c r="E97" s="22">
        <f t="shared" si="8"/>
        <v>73049.129382055413</v>
      </c>
      <c r="F97" s="20"/>
      <c r="G97" s="22">
        <f t="shared" si="7"/>
        <v>72649.129382055413</v>
      </c>
      <c r="H97" s="22">
        <v>400</v>
      </c>
      <c r="I97" s="23">
        <v>93</v>
      </c>
      <c r="AA97" s="95">
        <v>33787.095862181282</v>
      </c>
    </row>
    <row r="98" spans="2:27" x14ac:dyDescent="0.25">
      <c r="B98" s="22">
        <f t="shared" si="9"/>
        <v>72649.129382055413</v>
      </c>
      <c r="C98" s="21">
        <v>0.03</v>
      </c>
      <c r="D98" s="22">
        <f t="shared" si="6"/>
        <v>181.62282345513853</v>
      </c>
      <c r="E98" s="22">
        <f t="shared" si="8"/>
        <v>72830.752205510551</v>
      </c>
      <c r="F98" s="20"/>
      <c r="G98" s="22">
        <f t="shared" si="7"/>
        <v>72430.752205510551</v>
      </c>
      <c r="H98" s="22">
        <v>400</v>
      </c>
      <c r="I98" s="23">
        <v>94</v>
      </c>
      <c r="AA98" s="95">
        <v>34101.841259033703</v>
      </c>
    </row>
    <row r="99" spans="2:27" x14ac:dyDescent="0.25">
      <c r="B99" s="22">
        <f t="shared" si="9"/>
        <v>72430.752205510551</v>
      </c>
      <c r="C99" s="21">
        <v>0.03</v>
      </c>
      <c r="D99" s="22">
        <f t="shared" si="6"/>
        <v>181.07688051377639</v>
      </c>
      <c r="E99" s="22">
        <f t="shared" si="8"/>
        <v>72611.829086024329</v>
      </c>
      <c r="F99" s="20"/>
      <c r="G99" s="22">
        <f t="shared" si="7"/>
        <v>72211.829086024329</v>
      </c>
      <c r="H99" s="22">
        <v>400</v>
      </c>
      <c r="I99" s="23">
        <v>95</v>
      </c>
      <c r="AA99" s="95">
        <v>34415.80175464708</v>
      </c>
    </row>
    <row r="100" spans="2:27" x14ac:dyDescent="0.25">
      <c r="B100" s="22">
        <f t="shared" si="9"/>
        <v>72211.829086024329</v>
      </c>
      <c r="C100" s="21">
        <v>0.03</v>
      </c>
      <c r="D100" s="22">
        <f t="shared" si="6"/>
        <v>180.52957271506082</v>
      </c>
      <c r="E100" s="22">
        <f t="shared" si="8"/>
        <v>72392.358658739395</v>
      </c>
      <c r="F100" s="20"/>
      <c r="G100" s="22">
        <f t="shared" si="7"/>
        <v>71992.358658739395</v>
      </c>
      <c r="H100" s="22">
        <v>400</v>
      </c>
      <c r="I100" s="23">
        <v>96</v>
      </c>
      <c r="AA100" s="95">
        <v>34728.979306381123</v>
      </c>
    </row>
    <row r="101" spans="2:27" x14ac:dyDescent="0.25">
      <c r="B101" s="22">
        <f t="shared" si="9"/>
        <v>71992.358658739395</v>
      </c>
      <c r="C101" s="21">
        <v>0.03</v>
      </c>
      <c r="D101" s="22">
        <f t="shared" si="6"/>
        <v>179.98089664684849</v>
      </c>
      <c r="E101" s="22">
        <f t="shared" si="8"/>
        <v>72172.33955538625</v>
      </c>
      <c r="F101" s="20"/>
      <c r="G101" s="22">
        <f t="shared" si="7"/>
        <v>71772.33955538625</v>
      </c>
      <c r="H101" s="22">
        <v>400</v>
      </c>
      <c r="I101" s="23">
        <v>97</v>
      </c>
      <c r="AA101" s="95">
        <v>35041.375866714312</v>
      </c>
    </row>
    <row r="102" spans="2:27" x14ac:dyDescent="0.25">
      <c r="B102" s="22">
        <f t="shared" si="9"/>
        <v>71772.33955538625</v>
      </c>
      <c r="C102" s="21">
        <v>0.03</v>
      </c>
      <c r="D102" s="22">
        <f t="shared" si="6"/>
        <v>179.43084888846562</v>
      </c>
      <c r="E102" s="22">
        <f t="shared" si="8"/>
        <v>71951.770404274721</v>
      </c>
      <c r="F102" s="20"/>
      <c r="G102" s="22">
        <f t="shared" si="7"/>
        <v>71551.770404274721</v>
      </c>
      <c r="H102" s="22">
        <v>400</v>
      </c>
      <c r="I102" s="23">
        <v>98</v>
      </c>
      <c r="AA102" s="95">
        <v>35352.993383256166</v>
      </c>
    </row>
    <row r="103" spans="2:27" x14ac:dyDescent="0.25">
      <c r="B103" s="22">
        <f t="shared" si="9"/>
        <v>71551.770404274721</v>
      </c>
      <c r="C103" s="21">
        <v>0.03</v>
      </c>
      <c r="D103" s="22">
        <f t="shared" si="6"/>
        <v>178.87942601068681</v>
      </c>
      <c r="E103" s="22">
        <f t="shared" si="8"/>
        <v>71730.649830285402</v>
      </c>
      <c r="F103" s="20"/>
      <c r="G103" s="22">
        <f t="shared" si="7"/>
        <v>71330.649830285402</v>
      </c>
      <c r="H103" s="22">
        <v>400</v>
      </c>
      <c r="I103" s="23">
        <v>99</v>
      </c>
      <c r="AA103" s="95">
        <v>35663.833798759268</v>
      </c>
    </row>
    <row r="104" spans="2:27" x14ac:dyDescent="0.25">
      <c r="B104" s="22">
        <f t="shared" si="9"/>
        <v>71330.649830285402</v>
      </c>
      <c r="C104" s="21">
        <v>0.03</v>
      </c>
      <c r="D104" s="22">
        <f t="shared" si="6"/>
        <v>178.32662457571351</v>
      </c>
      <c r="E104" s="22">
        <f t="shared" si="8"/>
        <v>71508.976454861113</v>
      </c>
      <c r="F104" s="20"/>
      <c r="G104" s="22">
        <f t="shared" si="7"/>
        <v>71108.976454861113</v>
      </c>
      <c r="H104" s="22">
        <v>400</v>
      </c>
      <c r="I104" s="23">
        <v>100</v>
      </c>
      <c r="AA104" s="95">
        <v>35973.899051131433</v>
      </c>
    </row>
    <row r="105" spans="2:27" x14ac:dyDescent="0.25">
      <c r="B105" s="22">
        <f t="shared" si="9"/>
        <v>71108.976454861113</v>
      </c>
      <c r="C105" s="21">
        <v>0.03</v>
      </c>
      <c r="D105" s="22">
        <f t="shared" si="6"/>
        <v>177.77244113715278</v>
      </c>
      <c r="E105" s="22">
        <f t="shared" si="8"/>
        <v>71286.748895998258</v>
      </c>
      <c r="F105" s="20"/>
      <c r="G105" s="22">
        <f t="shared" si="7"/>
        <v>70886.748895998258</v>
      </c>
      <c r="H105" s="22">
        <v>400</v>
      </c>
      <c r="I105" s="23">
        <v>101</v>
      </c>
      <c r="AA105" s="95">
        <v>36283.191073447815</v>
      </c>
    </row>
    <row r="106" spans="2:27" x14ac:dyDescent="0.25">
      <c r="B106" s="22">
        <f t="shared" si="9"/>
        <v>70886.748895998258</v>
      </c>
      <c r="C106" s="21">
        <v>0.03</v>
      </c>
      <c r="D106" s="22">
        <f t="shared" si="6"/>
        <v>177.21687223999564</v>
      </c>
      <c r="E106" s="22">
        <f t="shared" si="8"/>
        <v>71063.965768238253</v>
      </c>
      <c r="F106" s="20"/>
      <c r="G106" s="22">
        <f t="shared" si="7"/>
        <v>70663.965768238253</v>
      </c>
      <c r="H106" s="22">
        <v>400</v>
      </c>
      <c r="I106" s="23">
        <v>102</v>
      </c>
      <c r="AA106" s="95">
        <v>36591.711793962881</v>
      </c>
    </row>
    <row r="107" spans="2:27" x14ac:dyDescent="0.25">
      <c r="B107" s="22">
        <f t="shared" si="9"/>
        <v>70663.965768238253</v>
      </c>
      <c r="C107" s="21">
        <v>0.03</v>
      </c>
      <c r="D107" s="22">
        <f t="shared" si="6"/>
        <v>176.65991442059564</v>
      </c>
      <c r="E107" s="22">
        <f t="shared" si="8"/>
        <v>70840.625682658851</v>
      </c>
      <c r="F107" s="20"/>
      <c r="G107" s="22">
        <f t="shared" si="7"/>
        <v>70440.625682658851</v>
      </c>
      <c r="H107" s="22">
        <v>400</v>
      </c>
      <c r="I107" s="23">
        <v>103</v>
      </c>
      <c r="AA107" s="95">
        <v>36899.463136122584</v>
      </c>
    </row>
    <row r="108" spans="2:27" x14ac:dyDescent="0.25">
      <c r="B108" s="22">
        <f t="shared" si="9"/>
        <v>70440.625682658851</v>
      </c>
      <c r="C108" s="21">
        <v>0.03</v>
      </c>
      <c r="D108" s="22">
        <f t="shared" si="6"/>
        <v>176.10156420664714</v>
      </c>
      <c r="E108" s="22">
        <f t="shared" si="8"/>
        <v>70616.727246865499</v>
      </c>
      <c r="F108" s="20"/>
      <c r="G108" s="22">
        <f t="shared" si="7"/>
        <v>70216.727246865499</v>
      </c>
      <c r="H108" s="22">
        <v>400</v>
      </c>
      <c r="I108" s="23">
        <v>104</v>
      </c>
      <c r="AA108" s="95">
        <v>37206.447018576138</v>
      </c>
    </row>
    <row r="109" spans="2:27" x14ac:dyDescent="0.25">
      <c r="B109" s="22">
        <f t="shared" si="9"/>
        <v>70216.727246865499</v>
      </c>
      <c r="C109" s="21">
        <v>0.03</v>
      </c>
      <c r="D109" s="22">
        <f t="shared" si="6"/>
        <v>175.54181811716376</v>
      </c>
      <c r="E109" s="22">
        <f t="shared" si="8"/>
        <v>70392.269064982669</v>
      </c>
      <c r="F109" s="20"/>
      <c r="G109" s="22">
        <f t="shared" si="7"/>
        <v>69992.269064982669</v>
      </c>
      <c r="H109" s="22">
        <v>400</v>
      </c>
      <c r="I109" s="23">
        <v>105</v>
      </c>
      <c r="AA109" s="95">
        <v>37512.665355188161</v>
      </c>
    </row>
    <row r="110" spans="2:27" x14ac:dyDescent="0.25">
      <c r="B110" s="22">
        <f t="shared" si="9"/>
        <v>69992.269064982669</v>
      </c>
      <c r="C110" s="21">
        <v>0.03</v>
      </c>
      <c r="D110" s="22">
        <f t="shared" si="6"/>
        <v>174.98067266245667</v>
      </c>
      <c r="E110" s="22">
        <f t="shared" si="8"/>
        <v>70167.249737645121</v>
      </c>
      <c r="F110" s="20"/>
      <c r="G110" s="22">
        <f t="shared" si="7"/>
        <v>69767.249737645121</v>
      </c>
      <c r="H110" s="22">
        <v>400</v>
      </c>
      <c r="I110" s="23">
        <v>106</v>
      </c>
      <c r="AA110" s="95">
        <v>37818.120055050531</v>
      </c>
    </row>
    <row r="111" spans="2:27" x14ac:dyDescent="0.25">
      <c r="B111" s="22">
        <f t="shared" si="9"/>
        <v>69767.249737645121</v>
      </c>
      <c r="C111" s="21">
        <v>0.03</v>
      </c>
      <c r="D111" s="22">
        <f t="shared" si="6"/>
        <v>174.41812434411281</v>
      </c>
      <c r="E111" s="22">
        <f t="shared" si="8"/>
        <v>69941.667861989234</v>
      </c>
      <c r="F111" s="20"/>
      <c r="G111" s="22">
        <f t="shared" si="7"/>
        <v>69541.667861989234</v>
      </c>
      <c r="H111" s="22">
        <v>400</v>
      </c>
      <c r="I111" s="23">
        <v>107</v>
      </c>
      <c r="AA111" s="95">
        <v>38122.81302249428</v>
      </c>
    </row>
    <row r="112" spans="2:27" x14ac:dyDescent="0.25">
      <c r="B112" s="22">
        <f t="shared" si="9"/>
        <v>69541.667861989234</v>
      </c>
      <c r="C112" s="21">
        <v>0.03</v>
      </c>
      <c r="D112" s="22">
        <f t="shared" si="6"/>
        <v>173.85416965497308</v>
      </c>
      <c r="E112" s="22">
        <f t="shared" si="8"/>
        <v>69715.522031644214</v>
      </c>
      <c r="F112" s="20"/>
      <c r="G112" s="22">
        <f t="shared" si="7"/>
        <v>69315.522031644214</v>
      </c>
      <c r="H112" s="22">
        <v>400</v>
      </c>
      <c r="I112" s="23">
        <v>108</v>
      </c>
      <c r="AA112" s="95">
        <v>38426.746157101516</v>
      </c>
    </row>
    <row r="113" spans="2:27" x14ac:dyDescent="0.25">
      <c r="B113" s="22">
        <f t="shared" si="9"/>
        <v>69315.522031644214</v>
      </c>
      <c r="C113" s="21">
        <v>0.03</v>
      </c>
      <c r="D113" s="22">
        <f t="shared" si="6"/>
        <v>173.28880507911055</v>
      </c>
      <c r="E113" s="22">
        <f t="shared" si="8"/>
        <v>69488.810836723322</v>
      </c>
      <c r="F113" s="20"/>
      <c r="G113" s="22">
        <f t="shared" si="7"/>
        <v>69088.810836723322</v>
      </c>
      <c r="H113" s="22">
        <v>400</v>
      </c>
      <c r="I113" s="23">
        <v>109</v>
      </c>
      <c r="AA113" s="95">
        <v>38729.921353717225</v>
      </c>
    </row>
    <row r="114" spans="2:27" x14ac:dyDescent="0.25">
      <c r="B114" s="22">
        <f t="shared" si="9"/>
        <v>69088.810836723322</v>
      </c>
      <c r="C114" s="21">
        <v>0.03</v>
      </c>
      <c r="D114" s="22">
        <f t="shared" si="6"/>
        <v>172.72202709180831</v>
      </c>
      <c r="E114" s="22">
        <f t="shared" si="8"/>
        <v>69261.532863815126</v>
      </c>
      <c r="F114" s="20"/>
      <c r="G114" s="22">
        <f t="shared" si="7"/>
        <v>68861.532863815126</v>
      </c>
      <c r="H114" s="22">
        <v>400</v>
      </c>
      <c r="I114" s="23">
        <v>110</v>
      </c>
      <c r="AA114" s="95">
        <v>39032.340502461069</v>
      </c>
    </row>
    <row r="115" spans="2:27" x14ac:dyDescent="0.25">
      <c r="B115" s="22">
        <f t="shared" si="9"/>
        <v>68861.532863815126</v>
      </c>
      <c r="C115" s="21">
        <v>0.03</v>
      </c>
      <c r="D115" s="22">
        <f t="shared" si="6"/>
        <v>172.15383215953781</v>
      </c>
      <c r="E115" s="22">
        <f t="shared" si="8"/>
        <v>69033.686695974669</v>
      </c>
      <c r="F115" s="20"/>
      <c r="G115" s="22">
        <f t="shared" si="7"/>
        <v>68633.686695974669</v>
      </c>
      <c r="H115" s="22">
        <v>400</v>
      </c>
      <c r="I115" s="23">
        <v>111</v>
      </c>
      <c r="AA115" s="95">
        <v>39334.005488739211</v>
      </c>
    </row>
    <row r="116" spans="2:27" x14ac:dyDescent="0.25">
      <c r="B116" s="22">
        <f t="shared" si="9"/>
        <v>68633.686695974669</v>
      </c>
      <c r="C116" s="21">
        <v>0.03</v>
      </c>
      <c r="D116" s="22">
        <f t="shared" si="6"/>
        <v>171.58421673993666</v>
      </c>
      <c r="E116" s="22">
        <f t="shared" si="8"/>
        <v>68805.270912714608</v>
      </c>
      <c r="F116" s="20"/>
      <c r="G116" s="22">
        <f t="shared" si="7"/>
        <v>68405.270912714608</v>
      </c>
      <c r="H116" s="22">
        <v>400</v>
      </c>
      <c r="I116" s="23">
        <v>112</v>
      </c>
      <c r="AA116" s="95">
        <v>39634.91819325606</v>
      </c>
    </row>
    <row r="117" spans="2:27" x14ac:dyDescent="0.25">
      <c r="B117" s="22">
        <f t="shared" si="9"/>
        <v>68405.270912714608</v>
      </c>
      <c r="C117" s="21">
        <v>0.03</v>
      </c>
      <c r="D117" s="22">
        <f t="shared" si="6"/>
        <v>171.01317728178651</v>
      </c>
      <c r="E117" s="22">
        <f t="shared" si="8"/>
        <v>68576.284089996392</v>
      </c>
      <c r="F117" s="20"/>
      <c r="G117" s="22">
        <f t="shared" si="7"/>
        <v>68176.284089996392</v>
      </c>
      <c r="H117" s="22">
        <v>400</v>
      </c>
      <c r="I117" s="23">
        <v>113</v>
      </c>
      <c r="AA117" s="95">
        <v>39935.080492025998</v>
      </c>
    </row>
    <row r="118" spans="2:27" x14ac:dyDescent="0.25">
      <c r="B118" s="22">
        <f t="shared" si="9"/>
        <v>68176.284089996392</v>
      </c>
      <c r="C118" s="21">
        <v>0.03</v>
      </c>
      <c r="D118" s="22">
        <f t="shared" si="6"/>
        <v>170.44071022499099</v>
      </c>
      <c r="E118" s="22">
        <f t="shared" si="8"/>
        <v>68346.724800221389</v>
      </c>
      <c r="F118" s="20"/>
      <c r="G118" s="22">
        <f t="shared" si="7"/>
        <v>67946.724800221389</v>
      </c>
      <c r="H118" s="22">
        <v>400</v>
      </c>
      <c r="I118" s="23">
        <v>114</v>
      </c>
      <c r="AA118" s="95">
        <v>40234.494256385013</v>
      </c>
    </row>
    <row r="119" spans="2:27" x14ac:dyDescent="0.25">
      <c r="B119" s="22">
        <f t="shared" si="9"/>
        <v>67946.724800221389</v>
      </c>
      <c r="C119" s="21">
        <v>0.03</v>
      </c>
      <c r="D119" s="22">
        <f t="shared" si="6"/>
        <v>169.86681200055347</v>
      </c>
      <c r="E119" s="22">
        <f t="shared" si="8"/>
        <v>68116.59161222195</v>
      </c>
      <c r="F119" s="20"/>
      <c r="G119" s="22">
        <f t="shared" si="7"/>
        <v>67716.59161222195</v>
      </c>
      <c r="H119" s="22">
        <v>400</v>
      </c>
      <c r="I119" s="23">
        <v>115</v>
      </c>
      <c r="AA119" s="95">
        <v>40533.161353002513</v>
      </c>
    </row>
    <row r="120" spans="2:27" x14ac:dyDescent="0.25">
      <c r="B120" s="22">
        <f t="shared" si="9"/>
        <v>67716.59161222195</v>
      </c>
      <c r="C120" s="21">
        <v>0.03</v>
      </c>
      <c r="D120" s="22">
        <f t="shared" si="6"/>
        <v>169.29147903055488</v>
      </c>
      <c r="E120" s="22">
        <f t="shared" si="8"/>
        <v>67885.883091252501</v>
      </c>
      <c r="F120" s="20"/>
      <c r="G120" s="22">
        <f t="shared" si="7"/>
        <v>67485.883091252501</v>
      </c>
      <c r="H120" s="22">
        <v>400</v>
      </c>
      <c r="I120" s="23">
        <v>116</v>
      </c>
      <c r="AA120" s="95">
        <v>40831.083643892773</v>
      </c>
    </row>
    <row r="121" spans="2:27" x14ac:dyDescent="0.25">
      <c r="B121" s="22">
        <f t="shared" si="9"/>
        <v>67485.883091252501</v>
      </c>
      <c r="C121" s="21">
        <v>0.03</v>
      </c>
      <c r="D121" s="22">
        <f t="shared" si="6"/>
        <v>168.71470772813126</v>
      </c>
      <c r="E121" s="22">
        <f t="shared" si="8"/>
        <v>67654.597798980627</v>
      </c>
      <c r="F121" s="20"/>
      <c r="G121" s="22">
        <f t="shared" si="7"/>
        <v>67254.597798980627</v>
      </c>
      <c r="H121" s="22">
        <v>400</v>
      </c>
      <c r="I121" s="23">
        <v>117</v>
      </c>
      <c r="AA121" s="95">
        <v>41128.2629864267</v>
      </c>
    </row>
    <row r="122" spans="2:27" x14ac:dyDescent="0.25">
      <c r="B122" s="22">
        <f t="shared" si="9"/>
        <v>67254.597798980627</v>
      </c>
      <c r="C122" s="21">
        <v>0.03</v>
      </c>
      <c r="D122" s="22">
        <f t="shared" si="6"/>
        <v>168.13649449745157</v>
      </c>
      <c r="E122" s="22">
        <f t="shared" si="8"/>
        <v>67422.734293478075</v>
      </c>
      <c r="F122" s="20"/>
      <c r="G122" s="22">
        <f t="shared" si="7"/>
        <v>67022.734293478075</v>
      </c>
      <c r="H122" s="22">
        <v>400</v>
      </c>
      <c r="I122" s="23">
        <v>118</v>
      </c>
      <c r="AA122" s="95">
        <v>41424.701233343323</v>
      </c>
    </row>
    <row r="123" spans="2:27" x14ac:dyDescent="0.25">
      <c r="B123" s="22">
        <f t="shared" si="9"/>
        <v>67022.734293478075</v>
      </c>
      <c r="C123" s="21">
        <v>0.03</v>
      </c>
      <c r="D123" s="22">
        <f t="shared" si="6"/>
        <v>167.55683573369518</v>
      </c>
      <c r="E123" s="22">
        <f t="shared" si="8"/>
        <v>67190.291129211764</v>
      </c>
      <c r="F123" s="20"/>
      <c r="G123" s="22">
        <f t="shared" si="7"/>
        <v>66790.291129211764</v>
      </c>
      <c r="H123" s="22">
        <v>400</v>
      </c>
      <c r="I123" s="23">
        <v>119</v>
      </c>
      <c r="AA123" s="95">
        <v>41720.400232761429</v>
      </c>
    </row>
    <row r="124" spans="2:27" x14ac:dyDescent="0.25">
      <c r="B124" s="22">
        <f t="shared" si="9"/>
        <v>66790.291129211764</v>
      </c>
      <c r="C124" s="21">
        <v>0.03</v>
      </c>
      <c r="D124" s="22">
        <f t="shared" si="6"/>
        <v>166.97572782302942</v>
      </c>
      <c r="E124" s="22">
        <f t="shared" si="8"/>
        <v>66957.266857034789</v>
      </c>
      <c r="F124" s="20"/>
      <c r="G124" s="22">
        <f t="shared" si="7"/>
        <v>66557.266857034789</v>
      </c>
      <c r="H124" s="22">
        <v>400</v>
      </c>
      <c r="I124" s="23">
        <v>120</v>
      </c>
      <c r="AA124" s="95">
        <v>42015.361828190944</v>
      </c>
    </row>
    <row r="125" spans="2:27" x14ac:dyDescent="0.25">
      <c r="B125" s="22">
        <f t="shared" si="9"/>
        <v>66557.266857034789</v>
      </c>
      <c r="C125" s="21">
        <v>0.03</v>
      </c>
      <c r="D125" s="22">
        <f t="shared" si="6"/>
        <v>166.39316714258698</v>
      </c>
      <c r="E125" s="22">
        <f t="shared" si="8"/>
        <v>66723.66002417737</v>
      </c>
      <c r="F125" s="20"/>
      <c r="G125" s="22">
        <f t="shared" si="7"/>
        <v>66323.66002417737</v>
      </c>
      <c r="H125" s="22">
        <v>400</v>
      </c>
      <c r="I125" s="23">
        <v>121</v>
      </c>
      <c r="AA125" s="95">
        <v>42309.587858544561</v>
      </c>
    </row>
    <row r="126" spans="2:27" x14ac:dyDescent="0.25">
      <c r="B126" s="22">
        <f t="shared" si="9"/>
        <v>66323.66002417737</v>
      </c>
      <c r="C126" s="21">
        <v>0.03</v>
      </c>
      <c r="D126" s="22">
        <f t="shared" si="6"/>
        <v>165.80915006044344</v>
      </c>
      <c r="E126" s="22">
        <f t="shared" si="8"/>
        <v>66489.46917423782</v>
      </c>
      <c r="F126" s="20"/>
      <c r="G126" s="22">
        <f t="shared" si="7"/>
        <v>66089.46917423782</v>
      </c>
      <c r="H126" s="22">
        <v>400</v>
      </c>
      <c r="I126" s="23">
        <v>122</v>
      </c>
      <c r="AA126" s="95">
        <v>42603.080158149191</v>
      </c>
    </row>
    <row r="127" spans="2:27" x14ac:dyDescent="0.25">
      <c r="B127" s="22">
        <f t="shared" si="9"/>
        <v>66089.46917423782</v>
      </c>
      <c r="C127" s="21">
        <v>0.03</v>
      </c>
      <c r="D127" s="22">
        <f t="shared" si="6"/>
        <v>165.22367293559455</v>
      </c>
      <c r="E127" s="22">
        <f t="shared" si="8"/>
        <v>66254.692847173414</v>
      </c>
      <c r="F127" s="20"/>
      <c r="G127" s="22">
        <f t="shared" si="7"/>
        <v>65854.692847173414</v>
      </c>
      <c r="H127" s="22">
        <v>400</v>
      </c>
      <c r="I127" s="23">
        <v>123</v>
      </c>
      <c r="AA127" s="95">
        <v>42895.840556757285</v>
      </c>
    </row>
    <row r="128" spans="2:27" x14ac:dyDescent="0.25">
      <c r="B128" s="22">
        <f t="shared" si="9"/>
        <v>65854.692847173414</v>
      </c>
      <c r="C128" s="21">
        <v>0.03</v>
      </c>
      <c r="D128" s="22">
        <f t="shared" si="6"/>
        <v>164.63673211793355</v>
      </c>
      <c r="E128" s="22">
        <f t="shared" si="8"/>
        <v>66019.329579291341</v>
      </c>
      <c r="F128" s="20"/>
      <c r="G128" s="22">
        <f t="shared" si="7"/>
        <v>65619.329579291341</v>
      </c>
      <c r="H128" s="22">
        <v>400</v>
      </c>
      <c r="I128" s="23">
        <v>124</v>
      </c>
      <c r="AA128" s="95">
        <v>43187.870879558388</v>
      </c>
    </row>
    <row r="129" spans="2:27" x14ac:dyDescent="0.25">
      <c r="B129" s="22">
        <f t="shared" si="9"/>
        <v>65619.329579291341</v>
      </c>
      <c r="C129" s="21">
        <v>0.03</v>
      </c>
      <c r="D129" s="22">
        <f t="shared" si="6"/>
        <v>164.04832394822836</v>
      </c>
      <c r="E129" s="22">
        <f t="shared" si="8"/>
        <v>65783.377903239569</v>
      </c>
      <c r="F129" s="20"/>
      <c r="G129" s="22">
        <f t="shared" si="7"/>
        <v>65383.377903239569</v>
      </c>
      <c r="H129" s="22">
        <v>400</v>
      </c>
      <c r="I129" s="23">
        <v>125</v>
      </c>
      <c r="AA129" s="95">
        <v>43479.172947190411</v>
      </c>
    </row>
    <row r="130" spans="2:27" x14ac:dyDescent="0.25">
      <c r="B130" s="22">
        <f t="shared" si="9"/>
        <v>65383.377903239569</v>
      </c>
      <c r="C130" s="21">
        <v>0.03</v>
      </c>
      <c r="D130" s="22">
        <f t="shared" si="6"/>
        <v>163.45844475809892</v>
      </c>
      <c r="E130" s="22">
        <f t="shared" si="8"/>
        <v>65546.836347997669</v>
      </c>
      <c r="F130" s="20"/>
      <c r="G130" s="22">
        <f t="shared" si="7"/>
        <v>65146.836347997669</v>
      </c>
      <c r="H130" s="22">
        <v>400</v>
      </c>
      <c r="I130" s="23">
        <v>126</v>
      </c>
      <c r="AA130" s="95">
        <v>43769.748575751029</v>
      </c>
    </row>
    <row r="131" spans="2:27" x14ac:dyDescent="0.25">
      <c r="B131" s="22">
        <f t="shared" si="9"/>
        <v>65146.836347997669</v>
      </c>
      <c r="C131" s="21">
        <v>0.03</v>
      </c>
      <c r="D131" s="22">
        <f t="shared" si="6"/>
        <v>162.86709086999417</v>
      </c>
      <c r="E131" s="22">
        <f t="shared" si="8"/>
        <v>65309.703438867662</v>
      </c>
      <c r="F131" s="20"/>
      <c r="G131" s="22">
        <f t="shared" si="7"/>
        <v>64909.703438867662</v>
      </c>
      <c r="H131" s="22">
        <v>400</v>
      </c>
      <c r="I131" s="23">
        <v>127</v>
      </c>
      <c r="AA131" s="95">
        <v>44059.599576808985</v>
      </c>
    </row>
    <row r="132" spans="2:27" x14ac:dyDescent="0.25">
      <c r="B132" s="22">
        <f t="shared" si="9"/>
        <v>64909.703438867662</v>
      </c>
      <c r="C132" s="21">
        <v>0.03</v>
      </c>
      <c r="D132" s="22">
        <f t="shared" si="6"/>
        <v>162.27425859716917</v>
      </c>
      <c r="E132" s="22">
        <f t="shared" si="8"/>
        <v>65071.977697464834</v>
      </c>
      <c r="F132" s="20"/>
      <c r="G132" s="22">
        <f t="shared" si="7"/>
        <v>64671.977697464834</v>
      </c>
      <c r="H132" s="22">
        <v>400</v>
      </c>
      <c r="I132" s="23">
        <v>128</v>
      </c>
      <c r="AA132" s="95">
        <v>44348.727757415436</v>
      </c>
    </row>
    <row r="133" spans="2:27" x14ac:dyDescent="0.25">
      <c r="B133" s="22">
        <f t="shared" si="9"/>
        <v>64671.977697464834</v>
      </c>
      <c r="C133" s="21">
        <v>0.03</v>
      </c>
      <c r="D133" s="22">
        <f t="shared" si="6"/>
        <v>161.67994424366208</v>
      </c>
      <c r="E133" s="22">
        <f t="shared" si="8"/>
        <v>64833.657641708494</v>
      </c>
      <c r="F133" s="20"/>
      <c r="G133" s="22">
        <f t="shared" si="7"/>
        <v>64433.657641708494</v>
      </c>
      <c r="H133" s="22">
        <v>400</v>
      </c>
      <c r="I133" s="23">
        <v>129</v>
      </c>
      <c r="AA133" s="95">
        <v>44637.134920115161</v>
      </c>
    </row>
    <row r="134" spans="2:27" x14ac:dyDescent="0.25">
      <c r="B134" s="22">
        <f t="shared" si="9"/>
        <v>64433.657641708494</v>
      </c>
      <c r="C134" s="21">
        <v>0.03</v>
      </c>
      <c r="D134" s="22">
        <f t="shared" ref="D134:D197" si="10">B134*(0.03/12)</f>
        <v>161.08414410427125</v>
      </c>
      <c r="E134" s="22">
        <f t="shared" si="8"/>
        <v>64594.741785812766</v>
      </c>
      <c r="F134" s="20"/>
      <c r="G134" s="22">
        <f t="shared" ref="G134:G197" si="11">E134-H134</f>
        <v>64194.741785812766</v>
      </c>
      <c r="H134" s="22">
        <v>400</v>
      </c>
      <c r="I134" s="23">
        <v>130</v>
      </c>
      <c r="AA134" s="95">
        <v>44924.82286295775</v>
      </c>
    </row>
    <row r="135" spans="2:27" x14ac:dyDescent="0.25">
      <c r="B135" s="22">
        <f t="shared" si="9"/>
        <v>64194.741785812766</v>
      </c>
      <c r="C135" s="21">
        <v>0.03</v>
      </c>
      <c r="D135" s="22">
        <f t="shared" si="10"/>
        <v>160.48685446453192</v>
      </c>
      <c r="E135" s="22">
        <f t="shared" ref="E135:E198" si="12">B135+D135</f>
        <v>64355.228640277295</v>
      </c>
      <c r="F135" s="20"/>
      <c r="G135" s="22">
        <f t="shared" si="11"/>
        <v>63955.228640277295</v>
      </c>
      <c r="H135" s="22">
        <v>400</v>
      </c>
      <c r="I135" s="23">
        <v>131</v>
      </c>
      <c r="AA135" s="95">
        <v>45211.793379508978</v>
      </c>
    </row>
    <row r="136" spans="2:27" x14ac:dyDescent="0.25">
      <c r="B136" s="22">
        <f t="shared" si="9"/>
        <v>63955.228640277295</v>
      </c>
      <c r="C136" s="21">
        <v>0.03</v>
      </c>
      <c r="D136" s="22">
        <f t="shared" si="10"/>
        <v>159.88807160069325</v>
      </c>
      <c r="E136" s="22">
        <f t="shared" si="12"/>
        <v>64115.116711877985</v>
      </c>
      <c r="F136" s="20"/>
      <c r="G136" s="22">
        <f t="shared" si="11"/>
        <v>63715.116711877985</v>
      </c>
      <c r="H136" s="22">
        <v>400</v>
      </c>
      <c r="I136" s="23">
        <v>132</v>
      </c>
      <c r="AA136" s="95">
        <v>45498.048258861825</v>
      </c>
    </row>
    <row r="137" spans="2:27" x14ac:dyDescent="0.25">
      <c r="B137" s="22">
        <f t="shared" si="9"/>
        <v>63715.116711877985</v>
      </c>
      <c r="C137" s="21">
        <v>0.03</v>
      </c>
      <c r="D137" s="22">
        <f t="shared" si="10"/>
        <v>159.28779177969497</v>
      </c>
      <c r="E137" s="22">
        <f t="shared" si="12"/>
        <v>63874.404503657679</v>
      </c>
      <c r="F137" s="20"/>
      <c r="G137" s="22">
        <f t="shared" si="11"/>
        <v>63474.404503657679</v>
      </c>
      <c r="H137" s="22">
        <v>400</v>
      </c>
      <c r="I137" s="23">
        <v>133</v>
      </c>
      <c r="AA137" s="95">
        <v>45783.589285647693</v>
      </c>
    </row>
    <row r="138" spans="2:27" x14ac:dyDescent="0.25">
      <c r="B138" s="22">
        <f t="shared" si="9"/>
        <v>63474.404503657679</v>
      </c>
      <c r="C138" s="21">
        <v>0.03</v>
      </c>
      <c r="D138" s="22">
        <f t="shared" si="10"/>
        <v>158.68601125914421</v>
      </c>
      <c r="E138" s="22">
        <f t="shared" si="12"/>
        <v>63633.090514916825</v>
      </c>
      <c r="F138" s="20"/>
      <c r="G138" s="22">
        <f t="shared" si="11"/>
        <v>63233.090514916825</v>
      </c>
      <c r="H138" s="22">
        <v>400</v>
      </c>
      <c r="I138" s="23">
        <v>134</v>
      </c>
      <c r="AA138" s="95">
        <v>46068.418240047569</v>
      </c>
    </row>
    <row r="139" spans="2:27" x14ac:dyDescent="0.25">
      <c r="B139" s="22">
        <f t="shared" si="9"/>
        <v>63233.090514916825</v>
      </c>
      <c r="C139" s="21">
        <v>0.03</v>
      </c>
      <c r="D139" s="22">
        <f t="shared" si="10"/>
        <v>158.08272628729208</v>
      </c>
      <c r="E139" s="22">
        <f t="shared" si="12"/>
        <v>63391.173241204116</v>
      </c>
      <c r="F139" s="20"/>
      <c r="G139" s="22">
        <f t="shared" si="11"/>
        <v>62991.173241204116</v>
      </c>
      <c r="H139" s="22">
        <v>400</v>
      </c>
      <c r="I139" s="23">
        <v>135</v>
      </c>
      <c r="AA139" s="95">
        <v>46352.536897803038</v>
      </c>
    </row>
    <row r="140" spans="2:27" x14ac:dyDescent="0.25">
      <c r="B140" s="22">
        <f t="shared" si="9"/>
        <v>62991.173241204116</v>
      </c>
      <c r="C140" s="21">
        <v>0.03</v>
      </c>
      <c r="D140" s="22">
        <f t="shared" si="10"/>
        <v>157.47793310301029</v>
      </c>
      <c r="E140" s="22">
        <f t="shared" si="12"/>
        <v>63148.651174307124</v>
      </c>
      <c r="F140" s="20"/>
      <c r="G140" s="22">
        <f t="shared" si="11"/>
        <v>62748.651174307124</v>
      </c>
      <c r="H140" s="22">
        <v>400</v>
      </c>
      <c r="I140" s="23">
        <v>136</v>
      </c>
      <c r="AA140" s="95">
        <v>46635.947030227471</v>
      </c>
    </row>
    <row r="141" spans="2:27" x14ac:dyDescent="0.25">
      <c r="B141" s="22">
        <f t="shared" si="9"/>
        <v>62748.651174307124</v>
      </c>
      <c r="C141" s="21">
        <v>0.03</v>
      </c>
      <c r="D141" s="22">
        <f t="shared" si="10"/>
        <v>156.8716279357678</v>
      </c>
      <c r="E141" s="22">
        <f t="shared" si="12"/>
        <v>62905.522802242893</v>
      </c>
      <c r="F141" s="20"/>
      <c r="G141" s="22">
        <f t="shared" si="11"/>
        <v>62505.522802242893</v>
      </c>
      <c r="H141" s="22">
        <v>400</v>
      </c>
      <c r="I141" s="23">
        <v>137</v>
      </c>
      <c r="AA141" s="95">
        <v>46918.650404216925</v>
      </c>
    </row>
    <row r="142" spans="2:27" x14ac:dyDescent="0.25">
      <c r="B142" s="22">
        <f t="shared" si="9"/>
        <v>62505.522802242893</v>
      </c>
      <c r="C142" s="21">
        <v>0.03</v>
      </c>
      <c r="D142" s="22">
        <f t="shared" si="10"/>
        <v>156.26380700560725</v>
      </c>
      <c r="E142" s="22">
        <f t="shared" si="12"/>
        <v>62661.786609248498</v>
      </c>
      <c r="F142" s="20"/>
      <c r="G142" s="22">
        <f t="shared" si="11"/>
        <v>62261.786609248498</v>
      </c>
      <c r="H142" s="22">
        <v>400</v>
      </c>
      <c r="I142" s="23">
        <v>138</v>
      </c>
      <c r="AA142" s="95">
        <v>47200.648782261269</v>
      </c>
    </row>
    <row r="143" spans="2:27" x14ac:dyDescent="0.25">
      <c r="B143" s="22">
        <f t="shared" si="9"/>
        <v>62261.786609248498</v>
      </c>
      <c r="C143" s="21">
        <v>0.03</v>
      </c>
      <c r="D143" s="22">
        <f t="shared" si="10"/>
        <v>155.65446652312124</v>
      </c>
      <c r="E143" s="22">
        <f t="shared" si="12"/>
        <v>62417.441075771618</v>
      </c>
      <c r="F143" s="20"/>
      <c r="G143" s="22">
        <f t="shared" si="11"/>
        <v>62017.441075771618</v>
      </c>
      <c r="H143" s="22">
        <v>400</v>
      </c>
      <c r="I143" s="23">
        <v>139</v>
      </c>
      <c r="AA143" s="95">
        <v>47481.943922455124</v>
      </c>
    </row>
    <row r="144" spans="2:27" x14ac:dyDescent="0.25">
      <c r="B144" s="22">
        <f t="shared" si="9"/>
        <v>62017.441075771618</v>
      </c>
      <c r="C144" s="21">
        <v>0.03</v>
      </c>
      <c r="D144" s="22">
        <f t="shared" si="10"/>
        <v>155.04360268942904</v>
      </c>
      <c r="E144" s="22">
        <f t="shared" si="12"/>
        <v>62172.484678461049</v>
      </c>
      <c r="F144" s="20"/>
      <c r="G144" s="22">
        <f t="shared" si="11"/>
        <v>61772.484678461049</v>
      </c>
      <c r="H144" s="22">
        <v>400</v>
      </c>
      <c r="I144" s="23">
        <v>140</v>
      </c>
      <c r="AA144" s="95">
        <v>47762.537578508847</v>
      </c>
    </row>
    <row r="145" spans="2:27" x14ac:dyDescent="0.25">
      <c r="B145" s="22">
        <f t="shared" si="9"/>
        <v>61772.484678461049</v>
      </c>
      <c r="C145" s="21">
        <v>0.03</v>
      </c>
      <c r="D145" s="22">
        <f t="shared" si="10"/>
        <v>154.43121169615262</v>
      </c>
      <c r="E145" s="22">
        <f t="shared" si="12"/>
        <v>61926.915890157201</v>
      </c>
      <c r="F145" s="20"/>
      <c r="G145" s="22">
        <f t="shared" si="11"/>
        <v>61526.915890157201</v>
      </c>
      <c r="H145" s="22">
        <v>400</v>
      </c>
      <c r="I145" s="23">
        <v>141</v>
      </c>
      <c r="AA145" s="95">
        <v>48042.431499759441</v>
      </c>
    </row>
    <row r="146" spans="2:27" x14ac:dyDescent="0.25">
      <c r="B146" s="22">
        <f t="shared" si="9"/>
        <v>61526.915890157201</v>
      </c>
      <c r="C146" s="21">
        <v>0.03</v>
      </c>
      <c r="D146" s="22">
        <f t="shared" si="10"/>
        <v>153.81728972539301</v>
      </c>
      <c r="E146" s="22">
        <f t="shared" si="12"/>
        <v>61680.733179882591</v>
      </c>
      <c r="F146" s="20"/>
      <c r="G146" s="22">
        <f t="shared" si="11"/>
        <v>61280.733179882591</v>
      </c>
      <c r="H146" s="22">
        <v>400</v>
      </c>
      <c r="I146" s="23">
        <v>142</v>
      </c>
      <c r="AA146" s="95">
        <v>48321.627431181485</v>
      </c>
    </row>
    <row r="147" spans="2:27" x14ac:dyDescent="0.25">
      <c r="B147" s="22">
        <f t="shared" si="9"/>
        <v>61280.733179882591</v>
      </c>
      <c r="C147" s="21">
        <v>0.03</v>
      </c>
      <c r="D147" s="22">
        <f t="shared" si="10"/>
        <v>153.20183294970647</v>
      </c>
      <c r="E147" s="22">
        <f t="shared" si="12"/>
        <v>61433.935012832299</v>
      </c>
      <c r="F147" s="20"/>
      <c r="G147" s="22">
        <f t="shared" si="11"/>
        <v>61033.935012832299</v>
      </c>
      <c r="H147" s="22">
        <v>400</v>
      </c>
      <c r="I147" s="23">
        <v>143</v>
      </c>
      <c r="AA147" s="95">
        <v>48600.12711339799</v>
      </c>
    </row>
    <row r="148" spans="2:27" x14ac:dyDescent="0.25">
      <c r="B148" s="22">
        <f t="shared" si="9"/>
        <v>61033.935012832299</v>
      </c>
      <c r="C148" s="21">
        <v>0.03</v>
      </c>
      <c r="D148" s="22">
        <f t="shared" si="10"/>
        <v>152.58483753208074</v>
      </c>
      <c r="E148" s="22">
        <f t="shared" si="12"/>
        <v>61186.519850364377</v>
      </c>
      <c r="F148" s="20"/>
      <c r="G148" s="22">
        <f t="shared" si="11"/>
        <v>60786.519850364377</v>
      </c>
      <c r="H148" s="22">
        <v>400</v>
      </c>
      <c r="I148" s="23">
        <v>144</v>
      </c>
      <c r="AA148" s="95">
        <v>48877.932282691247</v>
      </c>
    </row>
    <row r="149" spans="2:27" x14ac:dyDescent="0.25">
      <c r="B149" s="22">
        <f t="shared" si="9"/>
        <v>60786.519850364377</v>
      </c>
      <c r="C149" s="21">
        <v>0.03</v>
      </c>
      <c r="D149" s="22">
        <f t="shared" si="10"/>
        <v>151.96629962591095</v>
      </c>
      <c r="E149" s="22">
        <f t="shared" si="12"/>
        <v>60938.486149990291</v>
      </c>
      <c r="F149" s="20"/>
      <c r="G149" s="22">
        <f t="shared" si="11"/>
        <v>60538.486149990291</v>
      </c>
      <c r="H149" s="22">
        <v>400</v>
      </c>
      <c r="I149" s="23">
        <v>145</v>
      </c>
      <c r="AA149" s="95">
        <v>49155.044671013711</v>
      </c>
    </row>
    <row r="150" spans="2:27" x14ac:dyDescent="0.25">
      <c r="B150" s="22">
        <f t="shared" si="9"/>
        <v>60538.486149990291</v>
      </c>
      <c r="C150" s="21">
        <v>0.03</v>
      </c>
      <c r="D150" s="22">
        <f t="shared" si="10"/>
        <v>151.34621537497574</v>
      </c>
      <c r="E150" s="22">
        <f t="shared" si="12"/>
        <v>60689.83236536527</v>
      </c>
      <c r="F150" s="20"/>
      <c r="G150" s="22">
        <f t="shared" si="11"/>
        <v>60289.83236536527</v>
      </c>
      <c r="H150" s="22">
        <v>400</v>
      </c>
      <c r="I150" s="23">
        <v>146</v>
      </c>
      <c r="AA150" s="95">
        <v>49431.466005998707</v>
      </c>
    </row>
    <row r="151" spans="2:27" x14ac:dyDescent="0.25">
      <c r="B151" s="22">
        <f t="shared" si="9"/>
        <v>60289.83236536527</v>
      </c>
      <c r="C151" s="21">
        <v>0.03</v>
      </c>
      <c r="D151" s="22">
        <f t="shared" si="10"/>
        <v>150.72458091341318</v>
      </c>
      <c r="E151" s="22">
        <f t="shared" si="12"/>
        <v>60440.556946278681</v>
      </c>
      <c r="F151" s="20"/>
      <c r="G151" s="22">
        <f t="shared" si="11"/>
        <v>60040.556946278681</v>
      </c>
      <c r="H151" s="22">
        <v>400</v>
      </c>
      <c r="I151" s="23">
        <v>147</v>
      </c>
      <c r="AA151" s="95">
        <v>49707.198010971275</v>
      </c>
    </row>
    <row r="152" spans="2:27" x14ac:dyDescent="0.25">
      <c r="B152" s="22">
        <f t="shared" si="9"/>
        <v>60040.556946278681</v>
      </c>
      <c r="C152" s="21">
        <v>0.03</v>
      </c>
      <c r="D152" s="22">
        <f t="shared" si="10"/>
        <v>150.10139236569671</v>
      </c>
      <c r="E152" s="22">
        <f t="shared" si="12"/>
        <v>60190.658338644374</v>
      </c>
      <c r="F152" s="20"/>
      <c r="G152" s="22">
        <f t="shared" si="11"/>
        <v>59790.658338644374</v>
      </c>
      <c r="H152" s="22">
        <v>400</v>
      </c>
      <c r="I152" s="23">
        <v>148</v>
      </c>
      <c r="AA152" s="95">
        <v>49982.242404958866</v>
      </c>
    </row>
    <row r="153" spans="2:27" x14ac:dyDescent="0.25">
      <c r="B153" s="22">
        <f t="shared" si="9"/>
        <v>59790.658338644374</v>
      </c>
      <c r="C153" s="21">
        <v>0.03</v>
      </c>
      <c r="D153" s="22">
        <f t="shared" si="10"/>
        <v>149.47664584661095</v>
      </c>
      <c r="E153" s="22">
        <f t="shared" si="12"/>
        <v>59940.134984490986</v>
      </c>
      <c r="F153" s="20"/>
      <c r="G153" s="22">
        <f t="shared" si="11"/>
        <v>59540.134984490986</v>
      </c>
      <c r="H153" s="22">
        <v>400</v>
      </c>
      <c r="I153" s="23">
        <v>149</v>
      </c>
      <c r="AA153" s="95">
        <v>50256.600902702106</v>
      </c>
    </row>
    <row r="154" spans="2:27" x14ac:dyDescent="0.25">
      <c r="B154" s="22">
        <f t="shared" si="9"/>
        <v>59540.134984490986</v>
      </c>
      <c r="C154" s="21">
        <v>0.03</v>
      </c>
      <c r="D154" s="22">
        <f t="shared" si="10"/>
        <v>148.85033746122747</v>
      </c>
      <c r="E154" s="22">
        <f t="shared" si="12"/>
        <v>59688.985321952212</v>
      </c>
      <c r="F154" s="20"/>
      <c r="G154" s="22">
        <f t="shared" si="11"/>
        <v>59288.985321952212</v>
      </c>
      <c r="H154" s="22">
        <v>400</v>
      </c>
      <c r="I154" s="23">
        <v>150</v>
      </c>
      <c r="AA154" s="95">
        <v>50530.275214665446</v>
      </c>
    </row>
    <row r="155" spans="2:27" x14ac:dyDescent="0.25">
      <c r="B155" s="22">
        <f t="shared" si="9"/>
        <v>59288.985321952212</v>
      </c>
      <c r="C155" s="21">
        <v>0.03</v>
      </c>
      <c r="D155" s="22">
        <f t="shared" si="10"/>
        <v>148.22246330488053</v>
      </c>
      <c r="E155" s="22">
        <f t="shared" si="12"/>
        <v>59437.207785257095</v>
      </c>
      <c r="F155" s="20"/>
      <c r="G155" s="22">
        <f t="shared" si="11"/>
        <v>59037.207785257095</v>
      </c>
      <c r="H155" s="22">
        <v>400</v>
      </c>
      <c r="I155" s="23">
        <v>151</v>
      </c>
      <c r="AA155" s="95">
        <v>50803.267047047812</v>
      </c>
    </row>
    <row r="156" spans="2:27" x14ac:dyDescent="0.25">
      <c r="B156" s="22">
        <f t="shared" si="9"/>
        <v>59037.207785257095</v>
      </c>
      <c r="C156" s="21">
        <v>0.03</v>
      </c>
      <c r="D156" s="22">
        <f t="shared" si="10"/>
        <v>147.59301946314275</v>
      </c>
      <c r="E156" s="22">
        <f t="shared" si="12"/>
        <v>59184.800804720238</v>
      </c>
      <c r="F156" s="20"/>
      <c r="G156" s="22">
        <f t="shared" si="11"/>
        <v>58784.800804720238</v>
      </c>
      <c r="H156" s="22">
        <v>400</v>
      </c>
      <c r="I156" s="23">
        <v>152</v>
      </c>
      <c r="AA156" s="95">
        <v>51075.578101793333</v>
      </c>
    </row>
    <row r="157" spans="2:27" x14ac:dyDescent="0.25">
      <c r="B157" s="22">
        <f t="shared" ref="B157:B220" si="13">G156</f>
        <v>58784.800804720238</v>
      </c>
      <c r="C157" s="21">
        <v>0.03</v>
      </c>
      <c r="D157" s="22">
        <f t="shared" si="10"/>
        <v>146.96200201180059</v>
      </c>
      <c r="E157" s="22">
        <f t="shared" si="12"/>
        <v>58931.76280673204</v>
      </c>
      <c r="F157" s="20"/>
      <c r="G157" s="22">
        <f t="shared" si="11"/>
        <v>58531.76280673204</v>
      </c>
      <c r="H157" s="22">
        <v>400</v>
      </c>
      <c r="I157" s="23">
        <v>153</v>
      </c>
      <c r="AA157" s="95">
        <v>51347.210076601812</v>
      </c>
    </row>
    <row r="158" spans="2:27" x14ac:dyDescent="0.25">
      <c r="B158" s="22">
        <f t="shared" si="13"/>
        <v>58531.76280673204</v>
      </c>
      <c r="C158" s="21">
        <v>0.03</v>
      </c>
      <c r="D158" s="22">
        <f t="shared" si="10"/>
        <v>146.32940701683012</v>
      </c>
      <c r="E158" s="22">
        <f t="shared" si="12"/>
        <v>58678.092213748867</v>
      </c>
      <c r="F158" s="20"/>
      <c r="G158" s="22">
        <f t="shared" si="11"/>
        <v>58278.092213748867</v>
      </c>
      <c r="H158" s="22">
        <v>400</v>
      </c>
      <c r="I158" s="23">
        <v>154</v>
      </c>
      <c r="AA158" s="95">
        <v>51618.164664939453</v>
      </c>
    </row>
    <row r="159" spans="2:27" x14ac:dyDescent="0.25">
      <c r="B159" s="22">
        <f t="shared" si="13"/>
        <v>58278.092213748867</v>
      </c>
      <c r="C159" s="21">
        <v>0.03</v>
      </c>
      <c r="D159" s="22">
        <f t="shared" si="10"/>
        <v>145.69523053437217</v>
      </c>
      <c r="E159" s="22">
        <f t="shared" si="12"/>
        <v>58423.78744428324</v>
      </c>
      <c r="F159" s="20"/>
      <c r="G159" s="22">
        <f t="shared" si="11"/>
        <v>58023.78744428324</v>
      </c>
      <c r="H159" s="22">
        <v>400</v>
      </c>
      <c r="I159" s="23">
        <v>155</v>
      </c>
      <c r="AA159" s="95">
        <v>51888.443556049329</v>
      </c>
    </row>
    <row r="160" spans="2:27" x14ac:dyDescent="0.25">
      <c r="B160" s="22">
        <f t="shared" si="13"/>
        <v>58023.78744428324</v>
      </c>
      <c r="C160" s="21">
        <v>0.03</v>
      </c>
      <c r="D160" s="22">
        <f t="shared" si="10"/>
        <v>145.05946861070811</v>
      </c>
      <c r="E160" s="22">
        <f t="shared" si="12"/>
        <v>58168.846912893947</v>
      </c>
      <c r="F160" s="20"/>
      <c r="G160" s="22">
        <f t="shared" si="11"/>
        <v>57768.846912893947</v>
      </c>
      <c r="H160" s="22">
        <v>400</v>
      </c>
      <c r="I160" s="23">
        <v>156</v>
      </c>
      <c r="AA160" s="95">
        <v>52158.048434961929</v>
      </c>
    </row>
    <row r="161" spans="2:27" x14ac:dyDescent="0.25">
      <c r="B161" s="22">
        <f t="shared" si="13"/>
        <v>57768.846912893947</v>
      </c>
      <c r="C161" s="21">
        <v>0.03</v>
      </c>
      <c r="D161" s="22">
        <f t="shared" si="10"/>
        <v>144.42211728223486</v>
      </c>
      <c r="E161" s="22">
        <f t="shared" si="12"/>
        <v>57913.269030176183</v>
      </c>
      <c r="F161" s="20"/>
      <c r="G161" s="22">
        <f t="shared" si="11"/>
        <v>57513.269030176183</v>
      </c>
      <c r="H161" s="22">
        <v>400</v>
      </c>
      <c r="I161" s="23">
        <v>157</v>
      </c>
      <c r="AA161" s="95">
        <v>52426.980982505651</v>
      </c>
    </row>
    <row r="162" spans="2:27" x14ac:dyDescent="0.25">
      <c r="B162" s="22">
        <f t="shared" si="13"/>
        <v>57513.269030176183</v>
      </c>
      <c r="C162" s="21">
        <v>0.03</v>
      </c>
      <c r="D162" s="22">
        <f t="shared" si="10"/>
        <v>143.78317257544046</v>
      </c>
      <c r="E162" s="22">
        <f t="shared" si="12"/>
        <v>57657.052202751627</v>
      </c>
      <c r="F162" s="20"/>
      <c r="G162" s="22">
        <f t="shared" si="11"/>
        <v>57257.052202751627</v>
      </c>
      <c r="H162" s="22">
        <v>400</v>
      </c>
      <c r="I162" s="23">
        <v>158</v>
      </c>
      <c r="AA162" s="95">
        <v>52695.242875317352</v>
      </c>
    </row>
    <row r="163" spans="2:27" x14ac:dyDescent="0.25">
      <c r="B163" s="22">
        <f t="shared" si="13"/>
        <v>57257.052202751627</v>
      </c>
      <c r="C163" s="21">
        <v>0.03</v>
      </c>
      <c r="D163" s="22">
        <f t="shared" si="10"/>
        <v>143.14263050687907</v>
      </c>
      <c r="E163" s="22">
        <f t="shared" si="12"/>
        <v>57400.194833258509</v>
      </c>
      <c r="F163" s="20"/>
      <c r="G163" s="22">
        <f t="shared" si="11"/>
        <v>57000.194833258509</v>
      </c>
      <c r="H163" s="22">
        <v>400</v>
      </c>
      <c r="I163" s="23">
        <v>159</v>
      </c>
      <c r="AA163" s="95">
        <v>52962.835785852709</v>
      </c>
    </row>
    <row r="164" spans="2:27" x14ac:dyDescent="0.25">
      <c r="B164" s="22">
        <f t="shared" si="13"/>
        <v>57000.194833258509</v>
      </c>
      <c r="C164" s="21">
        <v>0.03</v>
      </c>
      <c r="D164" s="22">
        <f t="shared" si="10"/>
        <v>142.50048708314628</v>
      </c>
      <c r="E164" s="22">
        <f t="shared" si="12"/>
        <v>57142.695320341656</v>
      </c>
      <c r="F164" s="20"/>
      <c r="G164" s="22">
        <f t="shared" si="11"/>
        <v>56742.695320341656</v>
      </c>
      <c r="H164" s="22">
        <v>400</v>
      </c>
      <c r="I164" s="23">
        <v>160</v>
      </c>
      <c r="AA164" s="95">
        <v>53229.761382396711</v>
      </c>
    </row>
    <row r="165" spans="2:27" x14ac:dyDescent="0.25">
      <c r="B165" s="22">
        <f t="shared" si="13"/>
        <v>56742.695320341656</v>
      </c>
      <c r="C165" s="21">
        <v>0.03</v>
      </c>
      <c r="D165" s="22">
        <f t="shared" si="10"/>
        <v>141.85673830085415</v>
      </c>
      <c r="E165" s="22">
        <f t="shared" si="12"/>
        <v>56884.552058642512</v>
      </c>
      <c r="F165" s="20"/>
      <c r="G165" s="22">
        <f t="shared" si="11"/>
        <v>56484.552058642512</v>
      </c>
      <c r="H165" s="22">
        <v>400</v>
      </c>
      <c r="I165" s="23">
        <v>161</v>
      </c>
      <c r="AA165" s="95">
        <v>53496.021329074028</v>
      </c>
    </row>
    <row r="166" spans="2:27" x14ac:dyDescent="0.25">
      <c r="B166" s="22">
        <f t="shared" si="13"/>
        <v>56484.552058642512</v>
      </c>
      <c r="C166" s="21">
        <v>0.03</v>
      </c>
      <c r="D166" s="22">
        <f t="shared" si="10"/>
        <v>141.21138014660627</v>
      </c>
      <c r="E166" s="22">
        <f t="shared" si="12"/>
        <v>56625.763438789116</v>
      </c>
      <c r="F166" s="20"/>
      <c r="G166" s="22">
        <f t="shared" si="11"/>
        <v>56225.763438789116</v>
      </c>
      <c r="H166" s="22">
        <v>400</v>
      </c>
      <c r="I166" s="23">
        <v>162</v>
      </c>
      <c r="AA166" s="95">
        <v>53761.617285859378</v>
      </c>
    </row>
    <row r="167" spans="2:27" x14ac:dyDescent="0.25">
      <c r="B167" s="22">
        <f t="shared" si="13"/>
        <v>56225.763438789116</v>
      </c>
      <c r="C167" s="21">
        <v>0.03</v>
      </c>
      <c r="D167" s="22">
        <f t="shared" si="10"/>
        <v>140.56440859697278</v>
      </c>
      <c r="E167" s="22">
        <f t="shared" si="12"/>
        <v>56366.327847386092</v>
      </c>
      <c r="F167" s="20"/>
      <c r="G167" s="22">
        <f t="shared" si="11"/>
        <v>55966.327847386092</v>
      </c>
      <c r="H167" s="22">
        <v>400</v>
      </c>
      <c r="I167" s="23">
        <v>163</v>
      </c>
      <c r="AA167" s="95">
        <v>54026.550908587895</v>
      </c>
    </row>
    <row r="168" spans="2:27" x14ac:dyDescent="0.25">
      <c r="B168" s="22">
        <f t="shared" si="13"/>
        <v>55966.327847386092</v>
      </c>
      <c r="C168" s="21">
        <v>0.03</v>
      </c>
      <c r="D168" s="22">
        <f t="shared" si="10"/>
        <v>139.91581961846524</v>
      </c>
      <c r="E168" s="22">
        <f t="shared" si="12"/>
        <v>56106.243667004557</v>
      </c>
      <c r="F168" s="20"/>
      <c r="G168" s="22">
        <f t="shared" si="11"/>
        <v>55706.243667004557</v>
      </c>
      <c r="H168" s="22">
        <v>400</v>
      </c>
      <c r="I168" s="23">
        <v>164</v>
      </c>
      <c r="AA168" s="95">
        <v>54290.823848965476</v>
      </c>
    </row>
    <row r="169" spans="2:27" x14ac:dyDescent="0.25">
      <c r="B169" s="22">
        <f t="shared" si="13"/>
        <v>55706.243667004557</v>
      </c>
      <c r="C169" s="21">
        <v>0.03</v>
      </c>
      <c r="D169" s="22">
        <f t="shared" si="10"/>
        <v>139.2656091675114</v>
      </c>
      <c r="E169" s="22">
        <f t="shared" si="12"/>
        <v>55845.509276172066</v>
      </c>
      <c r="F169" s="20"/>
      <c r="G169" s="22">
        <f t="shared" si="11"/>
        <v>55445.509276172066</v>
      </c>
      <c r="H169" s="22">
        <v>400</v>
      </c>
      <c r="I169" s="23">
        <v>165</v>
      </c>
      <c r="AA169" s="95">
        <v>54554.437754579034</v>
      </c>
    </row>
    <row r="170" spans="2:27" x14ac:dyDescent="0.25">
      <c r="B170" s="22">
        <f t="shared" si="13"/>
        <v>55445.509276172066</v>
      </c>
      <c r="C170" s="21">
        <v>0.03</v>
      </c>
      <c r="D170" s="22">
        <f t="shared" si="10"/>
        <v>138.61377319043018</v>
      </c>
      <c r="E170" s="22">
        <f t="shared" si="12"/>
        <v>55584.123049362497</v>
      </c>
      <c r="F170" s="20"/>
      <c r="G170" s="22">
        <f t="shared" si="11"/>
        <v>55184.123049362497</v>
      </c>
      <c r="H170" s="22">
        <v>400</v>
      </c>
      <c r="I170" s="23">
        <v>166</v>
      </c>
      <c r="AA170" s="95">
        <v>54817.394268906755</v>
      </c>
    </row>
    <row r="171" spans="2:27" x14ac:dyDescent="0.25">
      <c r="B171" s="22">
        <f t="shared" si="13"/>
        <v>55184.123049362497</v>
      </c>
      <c r="C171" s="21">
        <v>0.03</v>
      </c>
      <c r="D171" s="22">
        <f t="shared" si="10"/>
        <v>137.96030762340624</v>
      </c>
      <c r="E171" s="22">
        <f t="shared" si="12"/>
        <v>55322.083356985902</v>
      </c>
      <c r="F171" s="20"/>
      <c r="G171" s="22">
        <f t="shared" si="11"/>
        <v>54922.083356985902</v>
      </c>
      <c r="H171" s="22">
        <v>400</v>
      </c>
      <c r="I171" s="23">
        <v>167</v>
      </c>
      <c r="AA171" s="95">
        <v>55079.695031328432</v>
      </c>
    </row>
    <row r="172" spans="2:27" x14ac:dyDescent="0.25">
      <c r="B172" s="22">
        <f t="shared" si="13"/>
        <v>54922.083356985902</v>
      </c>
      <c r="C172" s="21">
        <v>0.03</v>
      </c>
      <c r="D172" s="22">
        <f t="shared" si="10"/>
        <v>137.30520839246475</v>
      </c>
      <c r="E172" s="22">
        <f t="shared" si="12"/>
        <v>55059.388565378365</v>
      </c>
      <c r="F172" s="20"/>
      <c r="G172" s="22">
        <f t="shared" si="11"/>
        <v>54659.388565378365</v>
      </c>
      <c r="H172" s="22">
        <v>400</v>
      </c>
      <c r="I172" s="23">
        <v>168</v>
      </c>
      <c r="AA172" s="95">
        <v>55341.341677135584</v>
      </c>
    </row>
    <row r="173" spans="2:27" x14ac:dyDescent="0.25">
      <c r="B173" s="22">
        <f t="shared" si="13"/>
        <v>54659.388565378365</v>
      </c>
      <c r="C173" s="21">
        <v>0.03</v>
      </c>
      <c r="D173" s="22">
        <f t="shared" si="10"/>
        <v>136.64847141344592</v>
      </c>
      <c r="E173" s="22">
        <f t="shared" si="12"/>
        <v>54796.037036791815</v>
      </c>
      <c r="F173" s="20"/>
      <c r="G173" s="22">
        <f t="shared" si="11"/>
        <v>54396.037036791815</v>
      </c>
      <c r="H173" s="22">
        <v>400</v>
      </c>
      <c r="I173" s="23">
        <v>169</v>
      </c>
      <c r="AA173" s="95">
        <v>55602.335837541723</v>
      </c>
    </row>
    <row r="174" spans="2:27" x14ac:dyDescent="0.25">
      <c r="B174" s="22">
        <f t="shared" si="13"/>
        <v>54396.037036791815</v>
      </c>
      <c r="C174" s="21">
        <v>0.03</v>
      </c>
      <c r="D174" s="22">
        <f t="shared" si="10"/>
        <v>135.99009259197953</v>
      </c>
      <c r="E174" s="22">
        <f t="shared" si="12"/>
        <v>54532.027129383794</v>
      </c>
      <c r="F174" s="20"/>
      <c r="G174" s="22">
        <f t="shared" si="11"/>
        <v>54132.027129383794</v>
      </c>
      <c r="H174" s="22">
        <v>400</v>
      </c>
      <c r="I174" s="23">
        <v>170</v>
      </c>
      <c r="AA174" s="95">
        <v>55862.679139692475</v>
      </c>
    </row>
    <row r="175" spans="2:27" x14ac:dyDescent="0.25">
      <c r="B175" s="22">
        <f t="shared" si="13"/>
        <v>54132.027129383794</v>
      </c>
      <c r="C175" s="21">
        <v>0.03</v>
      </c>
      <c r="D175" s="22">
        <f t="shared" si="10"/>
        <v>135.3300678234595</v>
      </c>
      <c r="E175" s="22">
        <f t="shared" si="12"/>
        <v>54267.357197207253</v>
      </c>
      <c r="F175" s="20"/>
      <c r="G175" s="22">
        <f t="shared" si="11"/>
        <v>53867.357197207253</v>
      </c>
      <c r="H175" s="22">
        <v>400</v>
      </c>
      <c r="I175" s="23">
        <v>171</v>
      </c>
      <c r="AA175" s="95">
        <v>56122.373206675788</v>
      </c>
    </row>
    <row r="176" spans="2:27" x14ac:dyDescent="0.25">
      <c r="B176" s="22">
        <f t="shared" si="13"/>
        <v>53867.357197207253</v>
      </c>
      <c r="C176" s="21">
        <v>0.03</v>
      </c>
      <c r="D176" s="22">
        <f t="shared" si="10"/>
        <v>134.66839299301813</v>
      </c>
      <c r="E176" s="22">
        <f t="shared" si="12"/>
        <v>54002.025590200268</v>
      </c>
      <c r="F176" s="20"/>
      <c r="G176" s="22">
        <f t="shared" si="11"/>
        <v>53602.025590200268</v>
      </c>
      <c r="H176" s="22">
        <v>400</v>
      </c>
      <c r="I176" s="23">
        <v>172</v>
      </c>
      <c r="AA176" s="95">
        <v>56381.419657531951</v>
      </c>
    </row>
    <row r="177" spans="2:27" x14ac:dyDescent="0.25">
      <c r="B177" s="22">
        <f t="shared" si="13"/>
        <v>53602.025590200268</v>
      </c>
      <c r="C177" s="21">
        <v>0.03</v>
      </c>
      <c r="D177" s="22">
        <f t="shared" si="10"/>
        <v>134.00506397550066</v>
      </c>
      <c r="E177" s="22">
        <f t="shared" si="12"/>
        <v>53736.030654175767</v>
      </c>
      <c r="F177" s="20"/>
      <c r="G177" s="22">
        <f t="shared" si="11"/>
        <v>53336.030654175767</v>
      </c>
      <c r="H177" s="22">
        <v>400</v>
      </c>
      <c r="I177" s="23">
        <v>173</v>
      </c>
      <c r="AA177" s="95">
        <v>56639.820107263789</v>
      </c>
    </row>
    <row r="178" spans="2:27" x14ac:dyDescent="0.25">
      <c r="B178" s="22">
        <f t="shared" si="13"/>
        <v>53336.030654175767</v>
      </c>
      <c r="C178" s="21">
        <v>0.03</v>
      </c>
      <c r="D178" s="22">
        <f t="shared" si="10"/>
        <v>133.34007663543943</v>
      </c>
      <c r="E178" s="22">
        <f t="shared" si="12"/>
        <v>53469.370730811206</v>
      </c>
      <c r="F178" s="20"/>
      <c r="G178" s="22">
        <f t="shared" si="11"/>
        <v>53069.370730811206</v>
      </c>
      <c r="H178" s="22">
        <v>400</v>
      </c>
      <c r="I178" s="23">
        <v>174</v>
      </c>
      <c r="AA178" s="95">
        <v>56897.576166846658</v>
      </c>
    </row>
    <row r="179" spans="2:27" x14ac:dyDescent="0.25">
      <c r="B179" s="22">
        <f t="shared" si="13"/>
        <v>53069.370730811206</v>
      </c>
      <c r="C179" s="21">
        <v>0.03</v>
      </c>
      <c r="D179" s="22">
        <f t="shared" si="10"/>
        <v>132.67342682702801</v>
      </c>
      <c r="E179" s="22">
        <f t="shared" si="12"/>
        <v>53202.044157638236</v>
      </c>
      <c r="F179" s="20"/>
      <c r="G179" s="22">
        <f t="shared" si="11"/>
        <v>52802.044157638236</v>
      </c>
      <c r="H179" s="22">
        <v>400</v>
      </c>
      <c r="I179" s="23">
        <v>175</v>
      </c>
      <c r="AA179" s="95">
        <v>57154.689443238552</v>
      </c>
    </row>
    <row r="180" spans="2:27" x14ac:dyDescent="0.25">
      <c r="B180" s="22">
        <f t="shared" si="13"/>
        <v>52802.044157638236</v>
      </c>
      <c r="C180" s="21">
        <v>0.03</v>
      </c>
      <c r="D180" s="22">
        <f t="shared" si="10"/>
        <v>132.0051103940956</v>
      </c>
      <c r="E180" s="22">
        <f t="shared" si="12"/>
        <v>52934.04926803233</v>
      </c>
      <c r="F180" s="20"/>
      <c r="G180" s="22">
        <f t="shared" si="11"/>
        <v>52534.04926803233</v>
      </c>
      <c r="H180" s="22">
        <v>400</v>
      </c>
      <c r="I180" s="23">
        <v>176</v>
      </c>
      <c r="AA180" s="95">
        <v>57411.161539390094</v>
      </c>
    </row>
    <row r="181" spans="2:27" x14ac:dyDescent="0.25">
      <c r="B181" s="22">
        <f t="shared" si="13"/>
        <v>52534.04926803233</v>
      </c>
      <c r="C181" s="21">
        <v>0.03</v>
      </c>
      <c r="D181" s="22">
        <f t="shared" si="10"/>
        <v>131.33512317008083</v>
      </c>
      <c r="E181" s="22">
        <f t="shared" si="12"/>
        <v>52665.384391202409</v>
      </c>
      <c r="F181" s="20"/>
      <c r="G181" s="22">
        <f t="shared" si="11"/>
        <v>52265.384391202409</v>
      </c>
      <c r="H181" s="22">
        <v>400</v>
      </c>
      <c r="I181" s="23">
        <v>177</v>
      </c>
      <c r="AA181" s="95">
        <v>57666.994054254435</v>
      </c>
    </row>
    <row r="182" spans="2:27" x14ac:dyDescent="0.25">
      <c r="B182" s="22">
        <f t="shared" si="13"/>
        <v>52265.384391202409</v>
      </c>
      <c r="C182" s="21">
        <v>0.03</v>
      </c>
      <c r="D182" s="22">
        <f t="shared" si="10"/>
        <v>130.66346097800601</v>
      </c>
      <c r="E182" s="22">
        <f t="shared" si="12"/>
        <v>52396.047852180418</v>
      </c>
      <c r="F182" s="20"/>
      <c r="G182" s="22">
        <f t="shared" si="11"/>
        <v>51996.047852180418</v>
      </c>
      <c r="H182" s="22">
        <v>400</v>
      </c>
      <c r="I182" s="23">
        <v>178</v>
      </c>
      <c r="AA182" s="95">
        <v>57922.188582797447</v>
      </c>
    </row>
    <row r="183" spans="2:27" x14ac:dyDescent="0.25">
      <c r="B183" s="22">
        <f t="shared" si="13"/>
        <v>51996.047852180418</v>
      </c>
      <c r="C183" s="21">
        <v>0.03</v>
      </c>
      <c r="D183" s="22">
        <f t="shared" si="10"/>
        <v>129.99011963045103</v>
      </c>
      <c r="E183" s="22">
        <f t="shared" si="12"/>
        <v>52126.037971810867</v>
      </c>
      <c r="F183" s="20"/>
      <c r="G183" s="22">
        <f t="shared" si="11"/>
        <v>51726.037971810867</v>
      </c>
      <c r="H183" s="22">
        <v>400</v>
      </c>
      <c r="I183" s="23">
        <v>179</v>
      </c>
      <c r="AA183" s="95">
        <v>58176.746716007416</v>
      </c>
    </row>
    <row r="184" spans="2:27" x14ac:dyDescent="0.25">
      <c r="B184" s="22">
        <f t="shared" si="13"/>
        <v>51726.037971810867</v>
      </c>
      <c r="C184" s="21">
        <v>0.03</v>
      </c>
      <c r="D184" s="22">
        <f t="shared" si="10"/>
        <v>129.31509492952716</v>
      </c>
      <c r="E184" s="22">
        <f t="shared" si="12"/>
        <v>51855.353066740397</v>
      </c>
      <c r="F184" s="20"/>
      <c r="G184" s="22">
        <f t="shared" si="11"/>
        <v>51455.353066740397</v>
      </c>
      <c r="H184" s="22">
        <v>400</v>
      </c>
      <c r="I184" s="23">
        <v>180</v>
      </c>
      <c r="AA184" s="95">
        <v>58430.670040905155</v>
      </c>
    </row>
    <row r="185" spans="2:27" x14ac:dyDescent="0.25">
      <c r="B185" s="22">
        <f t="shared" si="13"/>
        <v>51455.353066740397</v>
      </c>
      <c r="C185" s="21">
        <v>0.03</v>
      </c>
      <c r="D185" s="22">
        <f t="shared" si="10"/>
        <v>128.63838266685099</v>
      </c>
      <c r="E185" s="22">
        <f t="shared" si="12"/>
        <v>51583.991449407251</v>
      </c>
      <c r="F185" s="20"/>
      <c r="G185" s="22">
        <f t="shared" si="11"/>
        <v>51183.991449407251</v>
      </c>
      <c r="H185" s="22">
        <v>400</v>
      </c>
      <c r="I185" s="23">
        <v>181</v>
      </c>
      <c r="AA185" s="95">
        <v>58683.960140553754</v>
      </c>
    </row>
    <row r="186" spans="2:27" x14ac:dyDescent="0.25">
      <c r="B186" s="22">
        <f t="shared" si="13"/>
        <v>51183.991449407251</v>
      </c>
      <c r="C186" s="21">
        <v>0.03</v>
      </c>
      <c r="D186" s="22">
        <f t="shared" si="10"/>
        <v>127.95997862351813</v>
      </c>
      <c r="E186" s="22">
        <f t="shared" si="12"/>
        <v>51311.95142803077</v>
      </c>
      <c r="F186" s="20"/>
      <c r="G186" s="22">
        <f t="shared" si="11"/>
        <v>50911.95142803077</v>
      </c>
      <c r="H186" s="22">
        <v>400</v>
      </c>
      <c r="I186" s="23">
        <v>182</v>
      </c>
      <c r="AA186" s="95">
        <v>58936.618594068575</v>
      </c>
    </row>
    <row r="187" spans="2:27" x14ac:dyDescent="0.25">
      <c r="B187" s="22">
        <f t="shared" si="13"/>
        <v>50911.95142803077</v>
      </c>
      <c r="C187" s="21">
        <v>0.03</v>
      </c>
      <c r="D187" s="22">
        <f t="shared" si="10"/>
        <v>127.27987857007693</v>
      </c>
      <c r="E187" s="22">
        <f t="shared" si="12"/>
        <v>51039.23130660085</v>
      </c>
      <c r="F187" s="20"/>
      <c r="G187" s="22">
        <f t="shared" si="11"/>
        <v>50639.23130660085</v>
      </c>
      <c r="H187" s="22">
        <v>400</v>
      </c>
      <c r="I187" s="23">
        <v>183</v>
      </c>
      <c r="AA187" s="95">
        <v>59188.646976627024</v>
      </c>
    </row>
    <row r="188" spans="2:27" x14ac:dyDescent="0.25">
      <c r="B188" s="22">
        <f t="shared" si="13"/>
        <v>50639.23130660085</v>
      </c>
      <c r="C188" s="21">
        <v>0.03</v>
      </c>
      <c r="D188" s="22">
        <f t="shared" si="10"/>
        <v>126.59807826650213</v>
      </c>
      <c r="E188" s="22">
        <f t="shared" si="12"/>
        <v>50765.829384867349</v>
      </c>
      <c r="F188" s="20"/>
      <c r="G188" s="22">
        <f t="shared" si="11"/>
        <v>50365.829384867349</v>
      </c>
      <c r="H188" s="22">
        <v>400</v>
      </c>
      <c r="I188" s="23">
        <v>184</v>
      </c>
      <c r="AA188" s="95">
        <v>59440.046859478316</v>
      </c>
    </row>
    <row r="189" spans="2:27" x14ac:dyDescent="0.25">
      <c r="B189" s="22">
        <f t="shared" si="13"/>
        <v>50365.829384867349</v>
      </c>
      <c r="C189" s="21">
        <v>0.03</v>
      </c>
      <c r="D189" s="22">
        <f t="shared" si="10"/>
        <v>125.91457346216838</v>
      </c>
      <c r="E189" s="22">
        <f t="shared" si="12"/>
        <v>50491.74395832952</v>
      </c>
      <c r="F189" s="20"/>
      <c r="G189" s="22">
        <f t="shared" si="11"/>
        <v>50091.74395832952</v>
      </c>
      <c r="H189" s="22">
        <v>400</v>
      </c>
      <c r="I189" s="23">
        <v>185</v>
      </c>
      <c r="J189">
        <f>I189/12</f>
        <v>15.416666666666666</v>
      </c>
      <c r="AA189" s="95">
        <v>59690.819809953427</v>
      </c>
    </row>
    <row r="190" spans="2:27" x14ac:dyDescent="0.25">
      <c r="B190" s="22">
        <f t="shared" si="13"/>
        <v>50091.74395832952</v>
      </c>
      <c r="C190" s="21">
        <v>0.03</v>
      </c>
      <c r="D190" s="22">
        <f t="shared" si="10"/>
        <v>125.22935989582381</v>
      </c>
      <c r="E190" s="22">
        <f t="shared" si="12"/>
        <v>50216.97331822534</v>
      </c>
      <c r="F190" s="20"/>
      <c r="G190" s="22">
        <f t="shared" si="11"/>
        <v>49816.97331822534</v>
      </c>
      <c r="H190" s="22">
        <v>400</v>
      </c>
      <c r="I190" s="23">
        <v>186</v>
      </c>
      <c r="AA190" s="95">
        <v>59940.967391474725</v>
      </c>
    </row>
    <row r="191" spans="2:27" x14ac:dyDescent="0.25">
      <c r="B191" s="22">
        <f t="shared" si="13"/>
        <v>49816.97331822534</v>
      </c>
      <c r="C191" s="21">
        <v>0.03</v>
      </c>
      <c r="D191" s="22">
        <f t="shared" si="10"/>
        <v>124.54243329556336</v>
      </c>
      <c r="E191" s="22">
        <f t="shared" si="12"/>
        <v>49941.515751520907</v>
      </c>
      <c r="F191" s="20"/>
      <c r="G191" s="22">
        <f t="shared" si="11"/>
        <v>49541.515751520907</v>
      </c>
      <c r="H191" s="22">
        <v>400</v>
      </c>
      <c r="I191" s="23">
        <v>187</v>
      </c>
      <c r="AA191" s="95">
        <v>60190.491163565799</v>
      </c>
    </row>
    <row r="192" spans="2:27" x14ac:dyDescent="0.25">
      <c r="B192" s="22">
        <f t="shared" si="13"/>
        <v>49541.515751520907</v>
      </c>
      <c r="C192" s="21">
        <v>0.03</v>
      </c>
      <c r="D192" s="22">
        <f t="shared" si="10"/>
        <v>123.85378937880228</v>
      </c>
      <c r="E192" s="22">
        <f t="shared" si="12"/>
        <v>49665.369540899708</v>
      </c>
      <c r="F192" s="20"/>
      <c r="G192" s="22">
        <f t="shared" si="11"/>
        <v>49265.369540899708</v>
      </c>
      <c r="H192" s="22">
        <v>400</v>
      </c>
      <c r="I192" s="23">
        <v>188</v>
      </c>
      <c r="AA192" s="95">
        <v>60439.392681861144</v>
      </c>
    </row>
    <row r="193" spans="2:27" x14ac:dyDescent="0.25">
      <c r="B193" s="22">
        <f t="shared" si="13"/>
        <v>49265.369540899708</v>
      </c>
      <c r="C193" s="21">
        <v>0.03</v>
      </c>
      <c r="D193" s="22">
        <f t="shared" si="10"/>
        <v>123.16342385224927</v>
      </c>
      <c r="E193" s="22">
        <f t="shared" si="12"/>
        <v>49388.532964751961</v>
      </c>
      <c r="F193" s="20"/>
      <c r="G193" s="22">
        <f t="shared" si="11"/>
        <v>48988.532964751961</v>
      </c>
      <c r="H193" s="22">
        <v>400</v>
      </c>
      <c r="I193" s="23">
        <v>189</v>
      </c>
      <c r="AA193" s="95">
        <v>60687.673498115852</v>
      </c>
    </row>
    <row r="194" spans="2:27" x14ac:dyDescent="0.25">
      <c r="B194" s="22">
        <f t="shared" si="13"/>
        <v>48988.532964751961</v>
      </c>
      <c r="C194" s="21">
        <v>0.03</v>
      </c>
      <c r="D194" s="22">
        <f t="shared" si="10"/>
        <v>122.4713324118799</v>
      </c>
      <c r="E194" s="22">
        <f t="shared" si="12"/>
        <v>49111.00429716384</v>
      </c>
      <c r="F194" s="20"/>
      <c r="G194" s="22">
        <f t="shared" si="11"/>
        <v>48711.00429716384</v>
      </c>
      <c r="H194" s="22">
        <v>400</v>
      </c>
      <c r="I194" s="23">
        <v>190</v>
      </c>
      <c r="AA194" s="95">
        <v>60935.33516021532</v>
      </c>
    </row>
    <row r="195" spans="2:27" x14ac:dyDescent="0.25">
      <c r="B195" s="22">
        <f t="shared" si="13"/>
        <v>48711.00429716384</v>
      </c>
      <c r="C195" s="21">
        <v>0.03</v>
      </c>
      <c r="D195" s="22">
        <f t="shared" si="10"/>
        <v>121.7775107429096</v>
      </c>
      <c r="E195" s="22">
        <f t="shared" si="12"/>
        <v>48832.781807906751</v>
      </c>
      <c r="F195" s="20"/>
      <c r="G195" s="22">
        <f t="shared" si="11"/>
        <v>48432.781807906751</v>
      </c>
      <c r="H195" s="22">
        <v>400</v>
      </c>
      <c r="I195" s="23">
        <v>191</v>
      </c>
      <c r="AA195" s="95">
        <v>61182.379212184853</v>
      </c>
    </row>
    <row r="196" spans="2:27" x14ac:dyDescent="0.25">
      <c r="B196" s="22">
        <f t="shared" si="13"/>
        <v>48432.781807906751</v>
      </c>
      <c r="C196" s="21">
        <v>0.03</v>
      </c>
      <c r="D196" s="22">
        <f t="shared" si="10"/>
        <v>121.08195451976688</v>
      </c>
      <c r="E196" s="22">
        <f t="shared" si="12"/>
        <v>48553.863762426517</v>
      </c>
      <c r="F196" s="20"/>
      <c r="G196" s="22">
        <f t="shared" si="11"/>
        <v>48153.863762426517</v>
      </c>
      <c r="H196" s="22">
        <v>400</v>
      </c>
      <c r="I196" s="23">
        <v>192</v>
      </c>
      <c r="AA196" s="95">
        <v>61428.807194199326</v>
      </c>
    </row>
    <row r="197" spans="2:27" x14ac:dyDescent="0.25">
      <c r="B197" s="22">
        <f t="shared" si="13"/>
        <v>48153.863762426517</v>
      </c>
      <c r="C197" s="21">
        <v>0.03</v>
      </c>
      <c r="D197" s="22">
        <f t="shared" si="10"/>
        <v>120.38465940606629</v>
      </c>
      <c r="E197" s="22">
        <f t="shared" si="12"/>
        <v>48274.248421832584</v>
      </c>
      <c r="F197" s="20"/>
      <c r="G197" s="22">
        <f t="shared" si="11"/>
        <v>47874.248421832584</v>
      </c>
      <c r="H197" s="22">
        <v>400</v>
      </c>
      <c r="I197" s="23">
        <v>193</v>
      </c>
      <c r="AA197" s="95">
        <v>61674.620642592847</v>
      </c>
    </row>
    <row r="198" spans="2:27" x14ac:dyDescent="0.25">
      <c r="B198" s="22">
        <f t="shared" si="13"/>
        <v>47874.248421832584</v>
      </c>
      <c r="C198" s="21">
        <v>0.03</v>
      </c>
      <c r="D198" s="22">
        <f t="shared" ref="D198:D261" si="14">B198*(0.03/12)</f>
        <v>119.68562105458146</v>
      </c>
      <c r="E198" s="22">
        <f t="shared" si="12"/>
        <v>47993.934042887166</v>
      </c>
      <c r="F198" s="20"/>
      <c r="G198" s="22">
        <f t="shared" ref="G198:G261" si="15">E198-H198</f>
        <v>47593.934042887166</v>
      </c>
      <c r="H198" s="22">
        <v>400</v>
      </c>
      <c r="I198" s="23">
        <v>194</v>
      </c>
      <c r="AA198" s="95">
        <v>61919.821089868172</v>
      </c>
    </row>
    <row r="199" spans="2:27" x14ac:dyDescent="0.25">
      <c r="B199" s="22">
        <f t="shared" si="13"/>
        <v>47593.934042887166</v>
      </c>
      <c r="C199" s="21">
        <v>0.03</v>
      </c>
      <c r="D199" s="22">
        <f t="shared" si="14"/>
        <v>118.98483510721792</v>
      </c>
      <c r="E199" s="22">
        <f t="shared" ref="E199:E262" si="16">B199+D199</f>
        <v>47712.918877994387</v>
      </c>
      <c r="F199" s="20"/>
      <c r="G199" s="22">
        <f t="shared" si="15"/>
        <v>47312.918877994387</v>
      </c>
      <c r="H199" s="22">
        <v>400</v>
      </c>
      <c r="I199" s="23">
        <v>195</v>
      </c>
      <c r="AA199" s="95">
        <v>62164.410064706404</v>
      </c>
    </row>
    <row r="200" spans="2:27" x14ac:dyDescent="0.25">
      <c r="B200" s="22">
        <f t="shared" si="13"/>
        <v>47312.918877994387</v>
      </c>
      <c r="C200" s="21">
        <v>0.03</v>
      </c>
      <c r="D200" s="22">
        <f t="shared" si="14"/>
        <v>118.28229719498597</v>
      </c>
      <c r="E200" s="22">
        <f t="shared" si="16"/>
        <v>47431.201175189373</v>
      </c>
      <c r="F200" s="20"/>
      <c r="G200" s="22">
        <f t="shared" si="15"/>
        <v>47031.201175189373</v>
      </c>
      <c r="H200" s="22">
        <v>400</v>
      </c>
      <c r="I200" s="23">
        <v>196</v>
      </c>
      <c r="AA200" s="95">
        <v>62408.389091976445</v>
      </c>
    </row>
    <row r="201" spans="2:27" x14ac:dyDescent="0.25">
      <c r="B201" s="22">
        <f t="shared" si="13"/>
        <v>47031.201175189373</v>
      </c>
      <c r="C201" s="21">
        <v>0.03</v>
      </c>
      <c r="D201" s="22">
        <f t="shared" si="14"/>
        <v>117.57800293797344</v>
      </c>
      <c r="E201" s="22">
        <f t="shared" si="16"/>
        <v>47148.779178127348</v>
      </c>
      <c r="F201" s="20"/>
      <c r="G201" s="22">
        <f t="shared" si="15"/>
        <v>46748.779178127348</v>
      </c>
      <c r="H201" s="22">
        <v>400</v>
      </c>
      <c r="I201" s="23">
        <v>197</v>
      </c>
      <c r="AA201" s="95">
        <v>62651.759692744585</v>
      </c>
    </row>
    <row r="202" spans="2:27" x14ac:dyDescent="0.25">
      <c r="B202" s="22">
        <f t="shared" si="13"/>
        <v>46748.779178127348</v>
      </c>
      <c r="C202" s="21">
        <v>0.03</v>
      </c>
      <c r="D202" s="22">
        <f t="shared" si="14"/>
        <v>116.87194794531837</v>
      </c>
      <c r="E202" s="22">
        <f t="shared" si="16"/>
        <v>46865.651126072669</v>
      </c>
      <c r="F202" s="20"/>
      <c r="G202" s="22">
        <f t="shared" si="15"/>
        <v>46465.651126072669</v>
      </c>
      <c r="H202" s="22">
        <v>400</v>
      </c>
      <c r="I202" s="23">
        <v>198</v>
      </c>
      <c r="AA202" s="95">
        <v>62894.523384283879</v>
      </c>
    </row>
    <row r="203" spans="2:27" x14ac:dyDescent="0.25">
      <c r="B203" s="22">
        <f t="shared" si="13"/>
        <v>46465.651126072669</v>
      </c>
      <c r="C203" s="21">
        <v>0.03</v>
      </c>
      <c r="D203" s="22">
        <f t="shared" si="14"/>
        <v>116.16412781518167</v>
      </c>
      <c r="E203" s="22">
        <f t="shared" si="16"/>
        <v>46581.815253887849</v>
      </c>
      <c r="F203" s="20"/>
      <c r="G203" s="22">
        <f t="shared" si="15"/>
        <v>46181.815253887849</v>
      </c>
      <c r="H203" s="22">
        <v>400</v>
      </c>
      <c r="I203" s="23">
        <v>199</v>
      </c>
      <c r="AA203" s="95">
        <v>63136.681680083668</v>
      </c>
    </row>
    <row r="204" spans="2:27" x14ac:dyDescent="0.25">
      <c r="B204" s="22">
        <f t="shared" si="13"/>
        <v>46181.815253887849</v>
      </c>
      <c r="C204" s="21">
        <v>0.03</v>
      </c>
      <c r="D204" s="22">
        <f t="shared" si="14"/>
        <v>115.45453813471963</v>
      </c>
      <c r="E204" s="22">
        <f t="shared" si="16"/>
        <v>46297.269792022569</v>
      </c>
      <c r="F204" s="20"/>
      <c r="G204" s="22">
        <f t="shared" si="15"/>
        <v>45897.269792022569</v>
      </c>
      <c r="H204" s="22">
        <v>400</v>
      </c>
      <c r="I204" s="23">
        <v>200</v>
      </c>
      <c r="AA204" s="95">
        <v>63378.23608985902</v>
      </c>
    </row>
    <row r="205" spans="2:27" x14ac:dyDescent="0.25">
      <c r="B205" s="22">
        <f t="shared" si="13"/>
        <v>45897.269792022569</v>
      </c>
      <c r="C205" s="21">
        <v>0.03</v>
      </c>
      <c r="D205" s="22">
        <f t="shared" si="14"/>
        <v>114.74317448005642</v>
      </c>
      <c r="E205" s="22">
        <f t="shared" si="16"/>
        <v>46012.012966502625</v>
      </c>
      <c r="F205" s="20"/>
      <c r="G205" s="22">
        <f t="shared" si="15"/>
        <v>45612.012966502625</v>
      </c>
      <c r="H205" s="22">
        <v>400</v>
      </c>
      <c r="I205" s="23">
        <v>201</v>
      </c>
      <c r="AA205" s="95">
        <v>63619.188119560109</v>
      </c>
    </row>
    <row r="206" spans="2:27" x14ac:dyDescent="0.25">
      <c r="B206" s="22">
        <f t="shared" si="13"/>
        <v>45612.012966502625</v>
      </c>
      <c r="C206" s="21">
        <v>0.03</v>
      </c>
      <c r="D206" s="22">
        <f t="shared" si="14"/>
        <v>114.03003241625656</v>
      </c>
      <c r="E206" s="22">
        <f t="shared" si="16"/>
        <v>45726.042998918885</v>
      </c>
      <c r="F206" s="20"/>
      <c r="G206" s="22">
        <f t="shared" si="15"/>
        <v>45326.042998918885</v>
      </c>
      <c r="H206" s="22">
        <v>400</v>
      </c>
      <c r="I206" s="23">
        <v>202</v>
      </c>
      <c r="AA206" s="95">
        <v>63859.53927138164</v>
      </c>
    </row>
    <row r="207" spans="2:27" x14ac:dyDescent="0.25">
      <c r="B207" s="22">
        <f t="shared" si="13"/>
        <v>45326.042998918885</v>
      </c>
      <c r="C207" s="21">
        <v>0.03</v>
      </c>
      <c r="D207" s="22">
        <f t="shared" si="14"/>
        <v>113.31510749729722</v>
      </c>
      <c r="E207" s="22">
        <f t="shared" si="16"/>
        <v>45439.358106416184</v>
      </c>
      <c r="F207" s="20"/>
      <c r="G207" s="22">
        <f t="shared" si="15"/>
        <v>45039.358106416184</v>
      </c>
      <c r="H207" s="22">
        <v>400</v>
      </c>
      <c r="I207" s="23">
        <v>203</v>
      </c>
      <c r="AA207" s="95">
        <v>64099.291043772209</v>
      </c>
    </row>
    <row r="208" spans="2:27" x14ac:dyDescent="0.25">
      <c r="B208" s="22">
        <f t="shared" si="13"/>
        <v>45039.358106416184</v>
      </c>
      <c r="C208" s="21">
        <v>0.03</v>
      </c>
      <c r="D208" s="22">
        <f t="shared" si="14"/>
        <v>112.59839526604047</v>
      </c>
      <c r="E208" s="22">
        <f t="shared" si="16"/>
        <v>45151.956501682223</v>
      </c>
      <c r="F208" s="20"/>
      <c r="G208" s="22">
        <f t="shared" si="15"/>
        <v>44751.956501682223</v>
      </c>
      <c r="H208" s="22">
        <v>400</v>
      </c>
      <c r="I208" s="23">
        <v>204</v>
      </c>
      <c r="AA208" s="95">
        <v>64338.444931443599</v>
      </c>
    </row>
    <row r="209" spans="2:27" x14ac:dyDescent="0.25">
      <c r="B209" s="22">
        <f t="shared" si="13"/>
        <v>44751.956501682223</v>
      </c>
      <c r="C209" s="21">
        <v>0.03</v>
      </c>
      <c r="D209" s="22">
        <f t="shared" si="14"/>
        <v>111.87989125420556</v>
      </c>
      <c r="E209" s="22">
        <f t="shared" si="16"/>
        <v>44863.836392936428</v>
      </c>
      <c r="F209" s="20"/>
      <c r="G209" s="22">
        <f t="shared" si="15"/>
        <v>44463.836392936428</v>
      </c>
      <c r="H209" s="22">
        <v>400</v>
      </c>
      <c r="I209" s="23">
        <v>205</v>
      </c>
      <c r="AA209" s="95">
        <v>64577.002425380131</v>
      </c>
    </row>
    <row r="210" spans="2:27" x14ac:dyDescent="0.25">
      <c r="B210" s="22">
        <f t="shared" si="13"/>
        <v>44463.836392936428</v>
      </c>
      <c r="C210" s="21">
        <v>0.03</v>
      </c>
      <c r="D210" s="22">
        <f t="shared" si="14"/>
        <v>111.15959098234107</v>
      </c>
      <c r="E210" s="22">
        <f t="shared" si="16"/>
        <v>44574.995983918772</v>
      </c>
      <c r="F210" s="20"/>
      <c r="G210" s="22">
        <f t="shared" si="15"/>
        <v>44174.995983918772</v>
      </c>
      <c r="H210" s="22">
        <v>400</v>
      </c>
      <c r="I210" s="23">
        <v>206</v>
      </c>
      <c r="AA210" s="95">
        <v>64814.965012848013</v>
      </c>
    </row>
    <row r="211" spans="2:27" x14ac:dyDescent="0.25">
      <c r="B211" s="22">
        <f t="shared" si="13"/>
        <v>44174.995983918772</v>
      </c>
      <c r="C211" s="21">
        <v>0.03</v>
      </c>
      <c r="D211" s="22">
        <f t="shared" si="14"/>
        <v>110.43748995979693</v>
      </c>
      <c r="E211" s="22">
        <f t="shared" si="16"/>
        <v>44285.433473878569</v>
      </c>
      <c r="F211" s="20"/>
      <c r="G211" s="22">
        <f t="shared" si="15"/>
        <v>43885.433473878569</v>
      </c>
      <c r="H211" s="22">
        <v>400</v>
      </c>
      <c r="I211" s="23">
        <v>207</v>
      </c>
      <c r="AA211" s="95">
        <v>65052.334177404511</v>
      </c>
    </row>
    <row r="212" spans="2:27" x14ac:dyDescent="0.25">
      <c r="B212" s="22">
        <f t="shared" si="13"/>
        <v>43885.433473878569</v>
      </c>
      <c r="C212" s="21">
        <v>0.03</v>
      </c>
      <c r="D212" s="22">
        <f t="shared" si="14"/>
        <v>109.71358368469643</v>
      </c>
      <c r="E212" s="22">
        <f t="shared" si="16"/>
        <v>43995.147057563263</v>
      </c>
      <c r="F212" s="20"/>
      <c r="G212" s="22">
        <f t="shared" si="15"/>
        <v>43595.147057563263</v>
      </c>
      <c r="H212" s="22">
        <v>400</v>
      </c>
      <c r="I212" s="23">
        <v>208</v>
      </c>
      <c r="AA212" s="95">
        <v>65289.111398907218</v>
      </c>
    </row>
    <row r="213" spans="2:27" x14ac:dyDescent="0.25">
      <c r="B213" s="22">
        <f t="shared" si="13"/>
        <v>43595.147057563263</v>
      </c>
      <c r="C213" s="21">
        <v>0.03</v>
      </c>
      <c r="D213" s="22">
        <f t="shared" si="14"/>
        <v>108.98786764390816</v>
      </c>
      <c r="E213" s="22">
        <f t="shared" si="16"/>
        <v>43704.134925207174</v>
      </c>
      <c r="F213" s="20"/>
      <c r="G213" s="22">
        <f t="shared" si="15"/>
        <v>43304.134925207174</v>
      </c>
      <c r="H213" s="22">
        <v>400</v>
      </c>
      <c r="I213" s="23">
        <v>209</v>
      </c>
      <c r="AA213" s="95">
        <v>65525.298153523421</v>
      </c>
    </row>
    <row r="214" spans="2:27" x14ac:dyDescent="0.25">
      <c r="B214" s="22">
        <f t="shared" si="13"/>
        <v>43304.134925207174</v>
      </c>
      <c r="C214" s="21">
        <v>0.03</v>
      </c>
      <c r="D214" s="22">
        <f t="shared" si="14"/>
        <v>108.26033731301794</v>
      </c>
      <c r="E214" s="22">
        <f t="shared" si="16"/>
        <v>43412.395262520193</v>
      </c>
      <c r="F214" s="20"/>
      <c r="G214" s="22">
        <f t="shared" si="15"/>
        <v>43012.395262520193</v>
      </c>
      <c r="H214" s="22">
        <v>400</v>
      </c>
      <c r="I214" s="23">
        <v>210</v>
      </c>
      <c r="AA214" s="95">
        <v>65760.895913739048</v>
      </c>
    </row>
    <row r="215" spans="2:27" x14ac:dyDescent="0.25">
      <c r="B215" s="22">
        <f t="shared" si="13"/>
        <v>43012.395262520193</v>
      </c>
      <c r="C215" s="21">
        <v>0.03</v>
      </c>
      <c r="D215" s="22">
        <f t="shared" si="14"/>
        <v>107.53098815630048</v>
      </c>
      <c r="E215" s="22">
        <f t="shared" si="16"/>
        <v>43119.926250676494</v>
      </c>
      <c r="F215" s="20"/>
      <c r="G215" s="22">
        <f t="shared" si="15"/>
        <v>42719.926250676494</v>
      </c>
      <c r="H215" s="22">
        <v>400</v>
      </c>
      <c r="I215" s="23">
        <v>211</v>
      </c>
      <c r="AA215" s="95">
        <v>65995.906148368129</v>
      </c>
    </row>
    <row r="216" spans="2:27" x14ac:dyDescent="0.25">
      <c r="B216" s="22">
        <f t="shared" si="13"/>
        <v>42719.926250676494</v>
      </c>
      <c r="C216" s="21">
        <v>0.03</v>
      </c>
      <c r="D216" s="22">
        <f t="shared" si="14"/>
        <v>106.79981562669124</v>
      </c>
      <c r="E216" s="22">
        <f t="shared" si="16"/>
        <v>42826.726066303185</v>
      </c>
      <c r="F216" s="20"/>
      <c r="G216" s="22">
        <f t="shared" si="15"/>
        <v>42426.726066303185</v>
      </c>
      <c r="H216" s="22">
        <v>400</v>
      </c>
      <c r="I216" s="23">
        <v>212</v>
      </c>
      <c r="AA216" s="95">
        <v>66230.330322561727</v>
      </c>
    </row>
    <row r="217" spans="2:27" x14ac:dyDescent="0.25">
      <c r="B217" s="22">
        <f t="shared" si="13"/>
        <v>42426.726066303185</v>
      </c>
      <c r="C217" s="21">
        <v>0.03</v>
      </c>
      <c r="D217" s="22">
        <f t="shared" si="14"/>
        <v>106.06681516575796</v>
      </c>
      <c r="E217" s="22">
        <f t="shared" si="16"/>
        <v>42532.792881468944</v>
      </c>
      <c r="F217" s="20"/>
      <c r="G217" s="22">
        <f t="shared" si="15"/>
        <v>42132.792881468944</v>
      </c>
      <c r="H217" s="22">
        <v>400</v>
      </c>
      <c r="I217" s="23">
        <v>213</v>
      </c>
      <c r="AA217" s="95">
        <v>66464.169897817177</v>
      </c>
    </row>
    <row r="218" spans="2:27" x14ac:dyDescent="0.25">
      <c r="B218" s="22">
        <f t="shared" si="13"/>
        <v>42132.792881468944</v>
      </c>
      <c r="C218" s="21">
        <v>0.03</v>
      </c>
      <c r="D218" s="22">
        <f t="shared" si="14"/>
        <v>105.33198220367237</v>
      </c>
      <c r="E218" s="22">
        <f t="shared" si="16"/>
        <v>42238.124863672616</v>
      </c>
      <c r="F218" s="20"/>
      <c r="G218" s="22">
        <f t="shared" si="15"/>
        <v>41838.124863672616</v>
      </c>
      <c r="H218" s="22">
        <v>400</v>
      </c>
      <c r="I218" s="23">
        <v>214</v>
      </c>
      <c r="AA218" s="95">
        <v>66697.426331987212</v>
      </c>
    </row>
    <row r="219" spans="2:27" x14ac:dyDescent="0.25">
      <c r="B219" s="22">
        <f t="shared" si="13"/>
        <v>41838.124863672616</v>
      </c>
      <c r="C219" s="21">
        <v>0.03</v>
      </c>
      <c r="D219" s="22">
        <f t="shared" si="14"/>
        <v>104.59531215918155</v>
      </c>
      <c r="E219" s="22">
        <f t="shared" si="16"/>
        <v>41942.720175831797</v>
      </c>
      <c r="F219" s="20"/>
      <c r="G219" s="22">
        <f t="shared" si="15"/>
        <v>41542.720175831797</v>
      </c>
      <c r="H219" s="22">
        <v>400</v>
      </c>
      <c r="I219" s="23">
        <v>215</v>
      </c>
      <c r="AA219" s="95">
        <v>66930.101079288957</v>
      </c>
    </row>
    <row r="220" spans="2:27" x14ac:dyDescent="0.25">
      <c r="B220" s="22">
        <f t="shared" si="13"/>
        <v>41542.720175831797</v>
      </c>
      <c r="C220" s="21">
        <v>0.03</v>
      </c>
      <c r="D220" s="22">
        <f t="shared" si="14"/>
        <v>103.8568004395795</v>
      </c>
      <c r="E220" s="22">
        <f t="shared" si="16"/>
        <v>41646.576976271375</v>
      </c>
      <c r="F220" s="20"/>
      <c r="G220" s="22">
        <f t="shared" si="15"/>
        <v>41246.576976271375</v>
      </c>
      <c r="H220" s="22">
        <v>400</v>
      </c>
      <c r="I220" s="23">
        <v>216</v>
      </c>
      <c r="AA220" s="95">
        <v>67162.195590313189</v>
      </c>
    </row>
    <row r="221" spans="2:27" x14ac:dyDescent="0.25">
      <c r="B221" s="22">
        <f t="shared" ref="B221:B284" si="17">G220</f>
        <v>41246.576976271375</v>
      </c>
      <c r="C221" s="21">
        <v>0.03</v>
      </c>
      <c r="D221" s="22">
        <f t="shared" si="14"/>
        <v>103.11644244067844</v>
      </c>
      <c r="E221" s="22">
        <f t="shared" si="16"/>
        <v>41349.693418712057</v>
      </c>
      <c r="F221" s="20"/>
      <c r="G221" s="22">
        <f t="shared" si="15"/>
        <v>40949.693418712057</v>
      </c>
      <c r="H221" s="22">
        <v>400</v>
      </c>
      <c r="I221" s="23">
        <v>217</v>
      </c>
      <c r="AA221" s="95">
        <v>67393.711312033091</v>
      </c>
    </row>
    <row r="222" spans="2:27" x14ac:dyDescent="0.25">
      <c r="B222" s="22">
        <f t="shared" si="17"/>
        <v>40949.693418712057</v>
      </c>
      <c r="C222" s="21">
        <v>0.03</v>
      </c>
      <c r="D222" s="22">
        <f t="shared" si="14"/>
        <v>102.37423354678015</v>
      </c>
      <c r="E222" s="22">
        <f t="shared" si="16"/>
        <v>41052.06765225884</v>
      </c>
      <c r="F222" s="20"/>
      <c r="G222" s="22">
        <f t="shared" si="15"/>
        <v>40652.06765225884</v>
      </c>
      <c r="H222" s="22">
        <v>400</v>
      </c>
      <c r="I222" s="23">
        <v>218</v>
      </c>
      <c r="AA222" s="95">
        <v>67624.649687813566</v>
      </c>
    </row>
    <row r="223" spans="2:27" x14ac:dyDescent="0.25">
      <c r="B223" s="22">
        <f t="shared" si="17"/>
        <v>40652.06765225884</v>
      </c>
      <c r="C223" s="21">
        <v>0.03</v>
      </c>
      <c r="D223" s="22">
        <f t="shared" si="14"/>
        <v>101.6301691306471</v>
      </c>
      <c r="E223" s="22">
        <f t="shared" si="16"/>
        <v>40753.697821389484</v>
      </c>
      <c r="F223" s="20"/>
      <c r="G223" s="22">
        <f t="shared" si="15"/>
        <v>40353.697821389484</v>
      </c>
      <c r="H223" s="22">
        <v>400</v>
      </c>
      <c r="I223" s="23">
        <v>219</v>
      </c>
      <c r="AA223" s="95">
        <v>67855.012157420002</v>
      </c>
    </row>
    <row r="224" spans="2:27" x14ac:dyDescent="0.25">
      <c r="B224" s="22">
        <f t="shared" si="17"/>
        <v>40353.697821389484</v>
      </c>
      <c r="C224" s="21">
        <v>0.03</v>
      </c>
      <c r="D224" s="22">
        <f t="shared" si="14"/>
        <v>100.88424455347371</v>
      </c>
      <c r="E224" s="22">
        <f t="shared" si="16"/>
        <v>40454.582065942959</v>
      </c>
      <c r="F224" s="20"/>
      <c r="G224" s="22">
        <f t="shared" si="15"/>
        <v>40054.582065942959</v>
      </c>
      <c r="H224" s="22">
        <v>400</v>
      </c>
      <c r="I224" s="23">
        <v>220</v>
      </c>
      <c r="AA224" s="95">
        <v>68084.800157027435</v>
      </c>
    </row>
    <row r="225" spans="2:27" x14ac:dyDescent="0.25">
      <c r="B225" s="22">
        <f t="shared" si="17"/>
        <v>40054.582065942959</v>
      </c>
      <c r="C225" s="21">
        <v>0.03</v>
      </c>
      <c r="D225" s="22">
        <f t="shared" si="14"/>
        <v>100.1364551648574</v>
      </c>
      <c r="E225" s="22">
        <f t="shared" si="16"/>
        <v>40154.718521107818</v>
      </c>
      <c r="F225" s="20"/>
      <c r="G225" s="22">
        <f t="shared" si="15"/>
        <v>39754.718521107818</v>
      </c>
      <c r="H225" s="22">
        <v>400</v>
      </c>
      <c r="I225" s="23">
        <v>221</v>
      </c>
      <c r="AA225" s="95">
        <v>68314.015119229356</v>
      </c>
    </row>
    <row r="226" spans="2:27" x14ac:dyDescent="0.25">
      <c r="B226" s="22">
        <f t="shared" si="17"/>
        <v>39754.718521107818</v>
      </c>
      <c r="C226" s="21">
        <v>0.03</v>
      </c>
      <c r="D226" s="22">
        <f t="shared" si="14"/>
        <v>99.38679630276954</v>
      </c>
      <c r="E226" s="22">
        <f t="shared" si="16"/>
        <v>39854.105317410584</v>
      </c>
      <c r="F226" s="20"/>
      <c r="G226" s="22">
        <f t="shared" si="15"/>
        <v>39454.105317410584</v>
      </c>
      <c r="H226" s="22">
        <v>400</v>
      </c>
      <c r="I226" s="23">
        <v>222</v>
      </c>
      <c r="AA226" s="95">
        <v>68542.658473046744</v>
      </c>
    </row>
    <row r="227" spans="2:27" x14ac:dyDescent="0.25">
      <c r="B227" s="22">
        <f t="shared" si="17"/>
        <v>39454.105317410584</v>
      </c>
      <c r="C227" s="21">
        <v>0.03</v>
      </c>
      <c r="D227" s="22">
        <f t="shared" si="14"/>
        <v>98.635263293526464</v>
      </c>
      <c r="E227" s="22">
        <f t="shared" si="16"/>
        <v>39552.740580704107</v>
      </c>
      <c r="F227" s="20"/>
      <c r="G227" s="22">
        <f t="shared" si="15"/>
        <v>39152.740580704107</v>
      </c>
      <c r="H227" s="22">
        <v>400</v>
      </c>
      <c r="I227" s="23">
        <v>223</v>
      </c>
      <c r="AA227" s="95">
        <v>68770.731643936888</v>
      </c>
    </row>
    <row r="228" spans="2:27" x14ac:dyDescent="0.25">
      <c r="B228" s="22">
        <f t="shared" si="17"/>
        <v>39152.740580704107</v>
      </c>
      <c r="C228" s="21">
        <v>0.03</v>
      </c>
      <c r="D228" s="22">
        <f t="shared" si="14"/>
        <v>97.881851451760269</v>
      </c>
      <c r="E228" s="22">
        <f t="shared" si="16"/>
        <v>39250.622432155869</v>
      </c>
      <c r="F228" s="20"/>
      <c r="G228" s="22">
        <f t="shared" si="15"/>
        <v>38850.622432155869</v>
      </c>
      <c r="H228" s="22">
        <v>400</v>
      </c>
      <c r="I228" s="23">
        <v>224</v>
      </c>
      <c r="AA228" s="95">
        <v>68998.236053802379</v>
      </c>
    </row>
    <row r="229" spans="2:27" x14ac:dyDescent="0.25">
      <c r="B229" s="22">
        <f t="shared" si="17"/>
        <v>38850.622432155869</v>
      </c>
      <c r="C229" s="21">
        <v>0.03</v>
      </c>
      <c r="D229" s="22">
        <f t="shared" si="14"/>
        <v>97.126556080389676</v>
      </c>
      <c r="E229" s="22">
        <f t="shared" si="16"/>
        <v>38947.748988236257</v>
      </c>
      <c r="F229" s="20"/>
      <c r="G229" s="22">
        <f t="shared" si="15"/>
        <v>38547.748988236257</v>
      </c>
      <c r="H229" s="22">
        <v>400</v>
      </c>
      <c r="I229" s="23">
        <v>225</v>
      </c>
      <c r="AA229" s="95">
        <v>69225.173120999869</v>
      </c>
    </row>
    <row r="230" spans="2:27" x14ac:dyDescent="0.25">
      <c r="B230" s="22">
        <f t="shared" si="17"/>
        <v>38547.748988236257</v>
      </c>
      <c r="C230" s="21">
        <v>0.03</v>
      </c>
      <c r="D230" s="22">
        <f t="shared" si="14"/>
        <v>96.369372470590648</v>
      </c>
      <c r="E230" s="22">
        <f t="shared" si="16"/>
        <v>38644.118360706845</v>
      </c>
      <c r="F230" s="20"/>
      <c r="G230" s="22">
        <f t="shared" si="15"/>
        <v>38244.118360706845</v>
      </c>
      <c r="H230" s="22">
        <v>400</v>
      </c>
      <c r="I230" s="23">
        <v>226</v>
      </c>
      <c r="AA230" s="95">
        <v>69451.544260348994</v>
      </c>
    </row>
    <row r="231" spans="2:27" x14ac:dyDescent="0.25">
      <c r="B231" s="22">
        <f t="shared" si="17"/>
        <v>38244.118360706845</v>
      </c>
      <c r="C231" s="21">
        <v>0.03</v>
      </c>
      <c r="D231" s="22">
        <f t="shared" si="14"/>
        <v>95.610295901767117</v>
      </c>
      <c r="E231" s="22">
        <f t="shared" si="16"/>
        <v>38339.728656608611</v>
      </c>
      <c r="F231" s="20"/>
      <c r="G231" s="22">
        <f t="shared" si="15"/>
        <v>37939.728656608611</v>
      </c>
      <c r="H231" s="22">
        <v>400</v>
      </c>
      <c r="I231" s="23">
        <v>227</v>
      </c>
      <c r="AA231" s="95">
        <v>69677.350883141131</v>
      </c>
    </row>
    <row r="232" spans="2:27" x14ac:dyDescent="0.25">
      <c r="B232" s="22">
        <f t="shared" si="17"/>
        <v>37939.728656608611</v>
      </c>
      <c r="C232" s="21">
        <v>0.03</v>
      </c>
      <c r="D232" s="22">
        <f t="shared" si="14"/>
        <v>94.849321641521527</v>
      </c>
      <c r="E232" s="22">
        <f t="shared" si="16"/>
        <v>38034.577978250134</v>
      </c>
      <c r="F232" s="20"/>
      <c r="G232" s="22">
        <f t="shared" si="15"/>
        <v>37634.577978250134</v>
      </c>
      <c r="H232" s="22">
        <v>400</v>
      </c>
      <c r="I232" s="23">
        <v>228</v>
      </c>
      <c r="AA232" s="95">
        <v>69902.594397148263</v>
      </c>
    </row>
    <row r="233" spans="2:27" x14ac:dyDescent="0.25">
      <c r="B233" s="22">
        <f t="shared" si="17"/>
        <v>37634.577978250134</v>
      </c>
      <c r="C233" s="21">
        <v>0.03</v>
      </c>
      <c r="D233" s="22">
        <f t="shared" si="14"/>
        <v>94.086444945625331</v>
      </c>
      <c r="E233" s="22">
        <f t="shared" si="16"/>
        <v>37728.664423195762</v>
      </c>
      <c r="F233" s="20"/>
      <c r="G233" s="22">
        <f t="shared" si="15"/>
        <v>37328.664423195762</v>
      </c>
      <c r="H233" s="22">
        <v>400</v>
      </c>
      <c r="I233" s="23">
        <v>229</v>
      </c>
      <c r="AA233" s="95">
        <v>70127.276206631665</v>
      </c>
    </row>
    <row r="234" spans="2:27" x14ac:dyDescent="0.25">
      <c r="B234" s="22">
        <f t="shared" si="17"/>
        <v>37328.664423195762</v>
      </c>
      <c r="C234" s="21">
        <v>0.03</v>
      </c>
      <c r="D234" s="22">
        <f t="shared" si="14"/>
        <v>93.321661057989402</v>
      </c>
      <c r="E234" s="22">
        <f t="shared" si="16"/>
        <v>37421.986084253753</v>
      </c>
      <c r="F234" s="20"/>
      <c r="G234" s="22">
        <f t="shared" si="15"/>
        <v>37021.986084253753</v>
      </c>
      <c r="H234" s="22">
        <v>400</v>
      </c>
      <c r="I234" s="23">
        <v>230</v>
      </c>
      <c r="AA234" s="95">
        <v>70351.397712350808</v>
      </c>
    </row>
    <row r="235" spans="2:27" x14ac:dyDescent="0.25">
      <c r="B235" s="22">
        <f t="shared" si="17"/>
        <v>37021.986084253753</v>
      </c>
      <c r="C235" s="21">
        <v>0.03</v>
      </c>
      <c r="D235" s="22">
        <f t="shared" si="14"/>
        <v>92.554965210634379</v>
      </c>
      <c r="E235" s="22">
        <f t="shared" si="16"/>
        <v>37114.541049464387</v>
      </c>
      <c r="F235" s="20"/>
      <c r="G235" s="22">
        <f t="shared" si="15"/>
        <v>36714.541049464387</v>
      </c>
      <c r="H235" s="22">
        <v>400</v>
      </c>
      <c r="I235" s="23">
        <v>231</v>
      </c>
      <c r="AA235" s="95">
        <v>70574.960311571864</v>
      </c>
    </row>
    <row r="236" spans="2:27" x14ac:dyDescent="0.25">
      <c r="B236" s="22">
        <f t="shared" si="17"/>
        <v>36714.541049464387</v>
      </c>
      <c r="C236" s="21">
        <v>0.03</v>
      </c>
      <c r="D236" s="22">
        <f t="shared" si="14"/>
        <v>91.786352623660974</v>
      </c>
      <c r="E236" s="22">
        <f t="shared" si="16"/>
        <v>36806.327402088049</v>
      </c>
      <c r="F236" s="20"/>
      <c r="G236" s="22">
        <f t="shared" si="15"/>
        <v>36406.327402088049</v>
      </c>
      <c r="H236" s="22">
        <v>400</v>
      </c>
      <c r="I236" s="23">
        <v>232</v>
      </c>
      <c r="AA236" s="95">
        <v>70797.96539807666</v>
      </c>
    </row>
    <row r="237" spans="2:27" x14ac:dyDescent="0.25">
      <c r="B237" s="22">
        <f t="shared" si="17"/>
        <v>36406.327402088049</v>
      </c>
      <c r="C237" s="21">
        <v>0.03</v>
      </c>
      <c r="D237" s="22">
        <f t="shared" si="14"/>
        <v>91.015818505220125</v>
      </c>
      <c r="E237" s="22">
        <f t="shared" si="16"/>
        <v>36497.34322059327</v>
      </c>
      <c r="F237" s="20"/>
      <c r="G237" s="22">
        <f t="shared" si="15"/>
        <v>36097.34322059327</v>
      </c>
      <c r="H237" s="22">
        <v>400</v>
      </c>
      <c r="I237" s="23">
        <v>233</v>
      </c>
      <c r="AA237" s="95">
        <v>71020.414362171228</v>
      </c>
    </row>
    <row r="238" spans="2:27" x14ac:dyDescent="0.25">
      <c r="B238" s="22">
        <f t="shared" si="17"/>
        <v>36097.34322059327</v>
      </c>
      <c r="C238" s="21">
        <v>0.03</v>
      </c>
      <c r="D238" s="22">
        <f t="shared" si="14"/>
        <v>90.24335805148317</v>
      </c>
      <c r="E238" s="22">
        <f t="shared" si="16"/>
        <v>36187.586578644754</v>
      </c>
      <c r="F238" s="20"/>
      <c r="G238" s="22">
        <f t="shared" si="15"/>
        <v>35787.586578644754</v>
      </c>
      <c r="H238" s="22">
        <v>400</v>
      </c>
      <c r="I238" s="23">
        <v>234</v>
      </c>
      <c r="AA238" s="95">
        <v>71242.308590694491</v>
      </c>
    </row>
    <row r="239" spans="2:27" x14ac:dyDescent="0.25">
      <c r="B239" s="22">
        <f t="shared" si="17"/>
        <v>35787.586578644754</v>
      </c>
      <c r="C239" s="21">
        <v>0.03</v>
      </c>
      <c r="D239" s="22">
        <f t="shared" si="14"/>
        <v>89.468966446611887</v>
      </c>
      <c r="E239" s="22">
        <f t="shared" si="16"/>
        <v>35877.055545091367</v>
      </c>
      <c r="F239" s="20"/>
      <c r="G239" s="22">
        <f t="shared" si="15"/>
        <v>35477.055545091367</v>
      </c>
      <c r="H239" s="22">
        <v>400</v>
      </c>
      <c r="I239" s="23">
        <v>235</v>
      </c>
      <c r="AA239" s="95">
        <v>71463.649467026917</v>
      </c>
    </row>
    <row r="240" spans="2:27" x14ac:dyDescent="0.25">
      <c r="B240" s="22">
        <f t="shared" si="17"/>
        <v>35477.055545091367</v>
      </c>
      <c r="C240" s="21">
        <v>0.03</v>
      </c>
      <c r="D240" s="22">
        <f t="shared" si="14"/>
        <v>88.692638862728415</v>
      </c>
      <c r="E240" s="22">
        <f t="shared" si="16"/>
        <v>35565.748183954092</v>
      </c>
      <c r="F240" s="20"/>
      <c r="G240" s="22">
        <f t="shared" si="15"/>
        <v>35165.748183954092</v>
      </c>
      <c r="H240" s="22">
        <v>400</v>
      </c>
      <c r="I240" s="23">
        <v>236</v>
      </c>
      <c r="AA240" s="95">
        <v>71684.438371099168</v>
      </c>
    </row>
    <row r="241" spans="2:27" x14ac:dyDescent="0.25">
      <c r="B241" s="22">
        <f t="shared" si="17"/>
        <v>35165.748183954092</v>
      </c>
      <c r="C241" s="21">
        <v>0.03</v>
      </c>
      <c r="D241" s="22">
        <f t="shared" si="14"/>
        <v>87.914370459885234</v>
      </c>
      <c r="E241" s="22">
        <f t="shared" si="16"/>
        <v>35253.662554413975</v>
      </c>
      <c r="F241" s="20"/>
      <c r="G241" s="22">
        <f t="shared" si="15"/>
        <v>34853.662554413975</v>
      </c>
      <c r="H241" s="22">
        <v>400</v>
      </c>
      <c r="I241" s="23">
        <v>237</v>
      </c>
      <c r="AA241" s="95">
        <v>71904.676679400654</v>
      </c>
    </row>
    <row r="242" spans="2:27" x14ac:dyDescent="0.25">
      <c r="B242" s="22">
        <f t="shared" si="17"/>
        <v>34853.662554413975</v>
      </c>
      <c r="C242" s="21">
        <v>0.03</v>
      </c>
      <c r="D242" s="22">
        <f t="shared" si="14"/>
        <v>87.134156386034945</v>
      </c>
      <c r="E242" s="22">
        <f t="shared" si="16"/>
        <v>34940.796710800008</v>
      </c>
      <c r="F242" s="20"/>
      <c r="G242" s="22">
        <f t="shared" si="15"/>
        <v>34540.796710800008</v>
      </c>
      <c r="H242" s="22">
        <v>400</v>
      </c>
      <c r="I242" s="23">
        <v>238</v>
      </c>
      <c r="AA242" s="95">
        <v>72124.365764988193</v>
      </c>
    </row>
    <row r="243" spans="2:27" x14ac:dyDescent="0.25">
      <c r="B243" s="22">
        <f t="shared" si="17"/>
        <v>34540.796710800008</v>
      </c>
      <c r="C243" s="21">
        <v>0.03</v>
      </c>
      <c r="D243" s="22">
        <f t="shared" si="14"/>
        <v>86.351991777000023</v>
      </c>
      <c r="E243" s="22">
        <f t="shared" si="16"/>
        <v>34627.148702577011</v>
      </c>
      <c r="F243" s="20"/>
      <c r="G243" s="22">
        <f t="shared" si="15"/>
        <v>34227.148702577011</v>
      </c>
      <c r="H243" s="22">
        <v>400</v>
      </c>
      <c r="I243" s="23">
        <v>239</v>
      </c>
      <c r="AA243" s="95">
        <v>72343.506997494449</v>
      </c>
    </row>
    <row r="244" spans="2:27" x14ac:dyDescent="0.25">
      <c r="B244" s="22">
        <f t="shared" si="17"/>
        <v>34227.148702577011</v>
      </c>
      <c r="C244" s="21">
        <v>0.03</v>
      </c>
      <c r="D244" s="22">
        <f t="shared" si="14"/>
        <v>85.567871756442528</v>
      </c>
      <c r="E244" s="22">
        <f t="shared" si="16"/>
        <v>34312.716574333455</v>
      </c>
      <c r="F244" s="20"/>
      <c r="G244" s="22">
        <f t="shared" si="15"/>
        <v>33912.716574333455</v>
      </c>
      <c r="H244" s="22">
        <v>400</v>
      </c>
      <c r="I244" s="23">
        <v>240</v>
      </c>
      <c r="AA244" s="95">
        <v>72562.101743136605</v>
      </c>
    </row>
    <row r="245" spans="2:27" x14ac:dyDescent="0.25">
      <c r="B245" s="22">
        <f t="shared" si="17"/>
        <v>33912.716574333455</v>
      </c>
      <c r="C245" s="21">
        <v>0.03</v>
      </c>
      <c r="D245" s="22">
        <f t="shared" si="14"/>
        <v>84.78179143583364</v>
      </c>
      <c r="E245" s="22">
        <f t="shared" si="16"/>
        <v>33997.498365769286</v>
      </c>
      <c r="F245" s="20"/>
      <c r="G245" s="22">
        <f t="shared" si="15"/>
        <v>33597.498365769286</v>
      </c>
      <c r="H245" s="22">
        <v>400</v>
      </c>
      <c r="I245" s="23">
        <v>241</v>
      </c>
      <c r="AA245" s="95">
        <v>72780.151364724778</v>
      </c>
    </row>
    <row r="246" spans="2:27" x14ac:dyDescent="0.25">
      <c r="B246" s="22">
        <f t="shared" si="17"/>
        <v>33597.498365769286</v>
      </c>
      <c r="C246" s="21">
        <v>0.03</v>
      </c>
      <c r="D246" s="22">
        <f t="shared" si="14"/>
        <v>83.993745914423215</v>
      </c>
      <c r="E246" s="22">
        <f t="shared" si="16"/>
        <v>33681.492111683707</v>
      </c>
      <c r="F246" s="20"/>
      <c r="G246" s="22">
        <f t="shared" si="15"/>
        <v>33281.492111683707</v>
      </c>
      <c r="H246" s="22">
        <v>400</v>
      </c>
      <c r="I246" s="23">
        <v>242</v>
      </c>
      <c r="AA246" s="95">
        <v>72997.657221670583</v>
      </c>
    </row>
    <row r="247" spans="2:27" x14ac:dyDescent="0.25">
      <c r="B247" s="22">
        <f t="shared" si="17"/>
        <v>33281.492111683707</v>
      </c>
      <c r="C247" s="21">
        <v>0.03</v>
      </c>
      <c r="D247" s="22">
        <f t="shared" si="14"/>
        <v>83.203730279209267</v>
      </c>
      <c r="E247" s="22">
        <f t="shared" si="16"/>
        <v>33364.695841962915</v>
      </c>
      <c r="F247" s="20"/>
      <c r="G247" s="22">
        <f t="shared" si="15"/>
        <v>32964.695841962915</v>
      </c>
      <c r="H247" s="22">
        <v>400</v>
      </c>
      <c r="I247" s="23">
        <v>243</v>
      </c>
      <c r="AA247" s="95">
        <v>73214.620669995595</v>
      </c>
    </row>
    <row r="248" spans="2:27" x14ac:dyDescent="0.25">
      <c r="B248" s="22">
        <f t="shared" si="17"/>
        <v>32964.695841962915</v>
      </c>
      <c r="C248" s="21">
        <v>0.03</v>
      </c>
      <c r="D248" s="22">
        <f t="shared" si="14"/>
        <v>82.411739604907297</v>
      </c>
      <c r="E248" s="22">
        <f t="shared" si="16"/>
        <v>33047.10758156782</v>
      </c>
      <c r="F248" s="20"/>
      <c r="G248" s="22">
        <f t="shared" si="15"/>
        <v>32647.10758156782</v>
      </c>
      <c r="H248" s="22">
        <v>400</v>
      </c>
      <c r="I248" s="23">
        <v>244</v>
      </c>
      <c r="AA248" s="95">
        <v>73431.043062339755</v>
      </c>
    </row>
    <row r="249" spans="2:27" x14ac:dyDescent="0.25">
      <c r="B249" s="22">
        <f t="shared" si="17"/>
        <v>32647.10758156782</v>
      </c>
      <c r="C249" s="21">
        <v>0.03</v>
      </c>
      <c r="D249" s="22">
        <f t="shared" si="14"/>
        <v>81.617768953919551</v>
      </c>
      <c r="E249" s="22">
        <f t="shared" si="16"/>
        <v>32728.725350521738</v>
      </c>
      <c r="F249" s="20"/>
      <c r="G249" s="22">
        <f t="shared" si="15"/>
        <v>32328.725350521738</v>
      </c>
      <c r="H249" s="22">
        <v>400</v>
      </c>
      <c r="I249" s="23">
        <v>245</v>
      </c>
      <c r="AA249" s="95">
        <v>73646.925747969828</v>
      </c>
    </row>
    <row r="250" spans="2:27" x14ac:dyDescent="0.25">
      <c r="B250" s="22">
        <f t="shared" si="17"/>
        <v>32328.725350521738</v>
      </c>
      <c r="C250" s="21">
        <v>0.03</v>
      </c>
      <c r="D250" s="22">
        <f t="shared" si="14"/>
        <v>80.821813376304348</v>
      </c>
      <c r="E250" s="22">
        <f t="shared" si="16"/>
        <v>32409.547163898042</v>
      </c>
      <c r="F250" s="20"/>
      <c r="G250" s="22">
        <f t="shared" si="15"/>
        <v>32009.547163898042</v>
      </c>
      <c r="H250" s="22">
        <v>400</v>
      </c>
      <c r="I250" s="23">
        <v>246</v>
      </c>
      <c r="AA250" s="95">
        <v>73862.270072787855</v>
      </c>
    </row>
    <row r="251" spans="2:27" x14ac:dyDescent="0.25">
      <c r="B251" s="22">
        <f t="shared" si="17"/>
        <v>32009.547163898042</v>
      </c>
      <c r="C251" s="21">
        <v>0.03</v>
      </c>
      <c r="D251" s="22">
        <f t="shared" si="14"/>
        <v>80.023867909745107</v>
      </c>
      <c r="E251" s="22">
        <f t="shared" si="16"/>
        <v>32089.571031807787</v>
      </c>
      <c r="F251" s="20"/>
      <c r="G251" s="22">
        <f t="shared" si="15"/>
        <v>31689.571031807787</v>
      </c>
      <c r="H251" s="22">
        <v>400</v>
      </c>
      <c r="I251" s="23">
        <v>247</v>
      </c>
      <c r="AA251" s="95">
        <v>74077.077379339491</v>
      </c>
    </row>
    <row r="252" spans="2:27" x14ac:dyDescent="0.25">
      <c r="B252" s="22">
        <f t="shared" si="17"/>
        <v>31689.571031807787</v>
      </c>
      <c r="C252" s="21">
        <v>0.03</v>
      </c>
      <c r="D252" s="22">
        <f t="shared" si="14"/>
        <v>79.223927579519469</v>
      </c>
      <c r="E252" s="22">
        <f t="shared" si="16"/>
        <v>31768.794959387305</v>
      </c>
      <c r="F252" s="20"/>
      <c r="G252" s="22">
        <f t="shared" si="15"/>
        <v>31368.794959387305</v>
      </c>
      <c r="H252" s="22">
        <v>400</v>
      </c>
      <c r="I252" s="23">
        <v>248</v>
      </c>
      <c r="AA252" s="95">
        <v>74291.349006822435</v>
      </c>
    </row>
    <row r="253" spans="2:27" x14ac:dyDescent="0.25">
      <c r="B253" s="22">
        <f t="shared" si="17"/>
        <v>31368.794959387305</v>
      </c>
      <c r="C253" s="21">
        <v>0.03</v>
      </c>
      <c r="D253" s="22">
        <f t="shared" si="14"/>
        <v>78.421987398468261</v>
      </c>
      <c r="E253" s="22">
        <f t="shared" si="16"/>
        <v>31447.216946785775</v>
      </c>
      <c r="F253" s="20"/>
      <c r="G253" s="22">
        <f t="shared" si="15"/>
        <v>31047.216946785775</v>
      </c>
      <c r="H253" s="22">
        <v>400</v>
      </c>
      <c r="I253" s="23">
        <v>249</v>
      </c>
      <c r="AA253" s="95">
        <v>74505.086291094703</v>
      </c>
    </row>
    <row r="254" spans="2:27" x14ac:dyDescent="0.25">
      <c r="B254" s="22">
        <f t="shared" si="17"/>
        <v>31047.216946785775</v>
      </c>
      <c r="C254" s="21">
        <v>0.03</v>
      </c>
      <c r="D254" s="22">
        <f t="shared" si="14"/>
        <v>77.618042366964445</v>
      </c>
      <c r="E254" s="22">
        <f t="shared" si="16"/>
        <v>31124.83498915274</v>
      </c>
      <c r="F254" s="20"/>
      <c r="G254" s="22">
        <f t="shared" si="15"/>
        <v>30724.83498915274</v>
      </c>
      <c r="H254" s="22">
        <v>400</v>
      </c>
      <c r="I254" s="23">
        <v>250</v>
      </c>
      <c r="AA254" s="95">
        <v>74718.290564682975</v>
      </c>
    </row>
    <row r="255" spans="2:27" x14ac:dyDescent="0.25">
      <c r="B255" s="22">
        <f t="shared" si="17"/>
        <v>30724.83498915274</v>
      </c>
      <c r="C255" s="21">
        <v>0.03</v>
      </c>
      <c r="D255" s="22">
        <f t="shared" si="14"/>
        <v>76.812087472881856</v>
      </c>
      <c r="E255" s="22">
        <f t="shared" si="16"/>
        <v>30801.647076625621</v>
      </c>
      <c r="F255" s="20"/>
      <c r="G255" s="22">
        <f t="shared" si="15"/>
        <v>30401.647076625621</v>
      </c>
      <c r="H255" s="22">
        <v>400</v>
      </c>
      <c r="I255" s="23">
        <v>251</v>
      </c>
      <c r="AA255" s="95">
        <v>74930.963156791011</v>
      </c>
    </row>
    <row r="256" spans="2:27" x14ac:dyDescent="0.25">
      <c r="B256" s="22">
        <f t="shared" si="17"/>
        <v>30401.647076625621</v>
      </c>
      <c r="C256" s="21">
        <v>0.03</v>
      </c>
      <c r="D256" s="22">
        <f t="shared" si="14"/>
        <v>76.004117691564048</v>
      </c>
      <c r="E256" s="22">
        <f t="shared" si="16"/>
        <v>30477.651194317186</v>
      </c>
      <c r="F256" s="20"/>
      <c r="G256" s="22">
        <f t="shared" si="15"/>
        <v>30077.651194317186</v>
      </c>
      <c r="H256" s="22">
        <v>400</v>
      </c>
      <c r="I256" s="23">
        <v>252</v>
      </c>
      <c r="AA256" s="95">
        <v>75143.10539330772</v>
      </c>
    </row>
    <row r="257" spans="2:27" x14ac:dyDescent="0.25">
      <c r="B257" s="22">
        <f t="shared" si="17"/>
        <v>30077.651194317186</v>
      </c>
      <c r="C257" s="21">
        <v>0.03</v>
      </c>
      <c r="D257" s="22">
        <f t="shared" si="14"/>
        <v>75.194127985792974</v>
      </c>
      <c r="E257" s="22">
        <f t="shared" si="16"/>
        <v>30152.845322302979</v>
      </c>
      <c r="F257" s="20"/>
      <c r="G257" s="22">
        <f t="shared" si="15"/>
        <v>29752.845322302979</v>
      </c>
      <c r="H257" s="22">
        <v>400</v>
      </c>
      <c r="I257" s="23">
        <v>253</v>
      </c>
      <c r="AA257" s="95">
        <v>75354.71859681567</v>
      </c>
    </row>
    <row r="258" spans="2:27" x14ac:dyDescent="0.25">
      <c r="B258" s="22">
        <f t="shared" si="17"/>
        <v>29752.845322302979</v>
      </c>
      <c r="C258" s="21">
        <v>0.03</v>
      </c>
      <c r="D258" s="22">
        <f t="shared" si="14"/>
        <v>74.382113305757443</v>
      </c>
      <c r="E258" s="22">
        <f t="shared" si="16"/>
        <v>29827.227435608736</v>
      </c>
      <c r="F258" s="20"/>
      <c r="G258" s="22">
        <f t="shared" si="15"/>
        <v>29427.227435608736</v>
      </c>
      <c r="H258" s="22">
        <v>400</v>
      </c>
      <c r="I258" s="23">
        <v>254</v>
      </c>
      <c r="AA258" s="95">
        <v>75565.804086599193</v>
      </c>
    </row>
    <row r="259" spans="2:27" x14ac:dyDescent="0.25">
      <c r="B259" s="22">
        <f t="shared" si="17"/>
        <v>29427.227435608736</v>
      </c>
      <c r="C259" s="21">
        <v>0.03</v>
      </c>
      <c r="D259" s="22">
        <f t="shared" si="14"/>
        <v>73.568068589021848</v>
      </c>
      <c r="E259" s="22">
        <f t="shared" si="16"/>
        <v>29500.795504197758</v>
      </c>
      <c r="F259" s="20"/>
      <c r="G259" s="22">
        <f t="shared" si="15"/>
        <v>29100.795504197758</v>
      </c>
      <c r="H259" s="22">
        <v>400</v>
      </c>
      <c r="I259" s="23">
        <v>255</v>
      </c>
      <c r="AA259" s="95">
        <v>75776.363178652537</v>
      </c>
    </row>
    <row r="260" spans="2:27" x14ac:dyDescent="0.25">
      <c r="B260" s="22">
        <f t="shared" si="17"/>
        <v>29100.795504197758</v>
      </c>
      <c r="C260" s="21">
        <v>0.03</v>
      </c>
      <c r="D260" s="22">
        <f t="shared" si="14"/>
        <v>72.751988760494399</v>
      </c>
      <c r="E260" s="22">
        <f t="shared" si="16"/>
        <v>29173.547492958252</v>
      </c>
      <c r="F260" s="20"/>
      <c r="G260" s="22">
        <f t="shared" si="15"/>
        <v>28773.547492958252</v>
      </c>
      <c r="H260" s="22">
        <v>400</v>
      </c>
      <c r="I260" s="23">
        <v>256</v>
      </c>
      <c r="AA260" s="95">
        <v>75986.397185688314</v>
      </c>
    </row>
    <row r="261" spans="2:27" x14ac:dyDescent="0.25">
      <c r="B261" s="22">
        <f t="shared" si="17"/>
        <v>28773.547492958252</v>
      </c>
      <c r="C261" s="21">
        <v>0.03</v>
      </c>
      <c r="D261" s="22">
        <f t="shared" si="14"/>
        <v>71.933868732395638</v>
      </c>
      <c r="E261" s="22">
        <f t="shared" si="16"/>
        <v>28845.481361690647</v>
      </c>
      <c r="F261" s="20"/>
      <c r="G261" s="22">
        <f t="shared" si="15"/>
        <v>28445.481361690647</v>
      </c>
      <c r="H261" s="22">
        <v>400</v>
      </c>
      <c r="I261" s="23">
        <v>257</v>
      </c>
      <c r="AA261" s="95">
        <v>76195.907417145441</v>
      </c>
    </row>
    <row r="262" spans="2:27" x14ac:dyDescent="0.25">
      <c r="B262" s="22">
        <f t="shared" si="17"/>
        <v>28445.481361690647</v>
      </c>
      <c r="C262" s="21">
        <v>0.03</v>
      </c>
      <c r="D262" s="22">
        <f t="shared" ref="D262:D325" si="18">B262*(0.03/12)</f>
        <v>71.113703404226612</v>
      </c>
      <c r="E262" s="22">
        <f t="shared" si="16"/>
        <v>28516.595065094873</v>
      </c>
      <c r="F262" s="20"/>
      <c r="G262" s="22">
        <f t="shared" ref="G262:G325" si="19">E262-H262</f>
        <v>28116.595065094873</v>
      </c>
      <c r="H262" s="22">
        <v>400</v>
      </c>
      <c r="I262" s="23">
        <v>258</v>
      </c>
      <c r="AA262" s="95">
        <v>76404.89517919744</v>
      </c>
    </row>
    <row r="263" spans="2:27" x14ac:dyDescent="0.25">
      <c r="B263" s="22">
        <f t="shared" si="17"/>
        <v>28116.595065094873</v>
      </c>
      <c r="C263" s="21">
        <v>0.03</v>
      </c>
      <c r="D263" s="22">
        <f t="shared" si="18"/>
        <v>70.291487662737183</v>
      </c>
      <c r="E263" s="22">
        <f t="shared" ref="E263:E326" si="20">B263+D263</f>
        <v>28186.886552757609</v>
      </c>
      <c r="F263" s="20"/>
      <c r="G263" s="22">
        <f t="shared" si="19"/>
        <v>27786.886552757609</v>
      </c>
      <c r="H263" s="22">
        <v>400</v>
      </c>
      <c r="I263" s="23">
        <v>259</v>
      </c>
      <c r="AA263" s="95">
        <v>76613.361774760546</v>
      </c>
    </row>
    <row r="264" spans="2:27" x14ac:dyDescent="0.25">
      <c r="B264" s="22">
        <f t="shared" si="17"/>
        <v>27786.886552757609</v>
      </c>
      <c r="C264" s="21">
        <v>0.03</v>
      </c>
      <c r="D264" s="22">
        <f t="shared" si="18"/>
        <v>69.467216381894019</v>
      </c>
      <c r="E264" s="22">
        <f t="shared" si="20"/>
        <v>27856.353769139503</v>
      </c>
      <c r="F264" s="20"/>
      <c r="G264" s="22">
        <f t="shared" si="19"/>
        <v>27456.353769139503</v>
      </c>
      <c r="H264" s="22">
        <v>400</v>
      </c>
      <c r="I264" s="23">
        <v>260</v>
      </c>
      <c r="AA264" s="95">
        <v>76821.308503501787</v>
      </c>
    </row>
    <row r="265" spans="2:27" x14ac:dyDescent="0.25">
      <c r="B265" s="22">
        <f t="shared" si="17"/>
        <v>27456.353769139503</v>
      </c>
      <c r="C265" s="21">
        <v>0.03</v>
      </c>
      <c r="D265" s="22">
        <f t="shared" si="18"/>
        <v>68.640884422848757</v>
      </c>
      <c r="E265" s="22">
        <f t="shared" si="20"/>
        <v>27524.994653562353</v>
      </c>
      <c r="F265" s="20"/>
      <c r="G265" s="22">
        <f t="shared" si="19"/>
        <v>27124.994653562353</v>
      </c>
      <c r="H265" s="22">
        <v>400</v>
      </c>
      <c r="I265" s="23">
        <v>261</v>
      </c>
      <c r="AA265" s="95">
        <v>77028.736661847157</v>
      </c>
    </row>
    <row r="266" spans="2:27" x14ac:dyDescent="0.25">
      <c r="B266" s="22">
        <f t="shared" si="17"/>
        <v>27124.994653562353</v>
      </c>
      <c r="C266" s="21">
        <v>0.03</v>
      </c>
      <c r="D266" s="22">
        <f t="shared" si="18"/>
        <v>67.812486633905877</v>
      </c>
      <c r="E266" s="22">
        <f t="shared" si="20"/>
        <v>27192.807140196259</v>
      </c>
      <c r="F266" s="20"/>
      <c r="G266" s="22">
        <f t="shared" si="19"/>
        <v>26792.807140196259</v>
      </c>
      <c r="H266" s="22">
        <v>400</v>
      </c>
      <c r="I266" s="23">
        <v>262</v>
      </c>
      <c r="AA266" s="95">
        <v>77235.647542989696</v>
      </c>
    </row>
    <row r="267" spans="2:27" x14ac:dyDescent="0.25">
      <c r="B267" s="22">
        <f t="shared" si="17"/>
        <v>26792.807140196259</v>
      </c>
      <c r="C267" s="21">
        <v>0.03</v>
      </c>
      <c r="D267" s="22">
        <f t="shared" si="18"/>
        <v>66.982017850490649</v>
      </c>
      <c r="E267" s="22">
        <f t="shared" si="20"/>
        <v>26859.789158046751</v>
      </c>
      <c r="F267" s="20"/>
      <c r="G267" s="22">
        <f t="shared" si="19"/>
        <v>26459.789158046751</v>
      </c>
      <c r="H267" s="22">
        <v>400</v>
      </c>
      <c r="I267" s="23">
        <v>263</v>
      </c>
      <c r="AA267" s="95">
        <v>77442.042436897435</v>
      </c>
    </row>
    <row r="268" spans="2:27" x14ac:dyDescent="0.25">
      <c r="B268" s="22">
        <f t="shared" si="17"/>
        <v>26459.789158046751</v>
      </c>
      <c r="C268" s="21">
        <v>0.03</v>
      </c>
      <c r="D268" s="22">
        <f t="shared" si="18"/>
        <v>66.149472895116872</v>
      </c>
      <c r="E268" s="22">
        <f t="shared" si="20"/>
        <v>26525.93863094187</v>
      </c>
      <c r="F268" s="20"/>
      <c r="G268" s="22">
        <f t="shared" si="19"/>
        <v>26125.93863094187</v>
      </c>
      <c r="H268" s="22">
        <v>400</v>
      </c>
      <c r="I268" s="23">
        <v>264</v>
      </c>
      <c r="AA268" s="95">
        <v>77647.922630321642</v>
      </c>
    </row>
    <row r="269" spans="2:27" x14ac:dyDescent="0.25">
      <c r="B269" s="22">
        <f t="shared" si="17"/>
        <v>26125.93863094187</v>
      </c>
      <c r="C269" s="21">
        <v>0.03</v>
      </c>
      <c r="D269" s="22">
        <f t="shared" si="18"/>
        <v>65.314846577354672</v>
      </c>
      <c r="E269" s="22">
        <f t="shared" si="20"/>
        <v>26191.253477519225</v>
      </c>
      <c r="F269" s="20"/>
      <c r="G269" s="22">
        <f t="shared" si="19"/>
        <v>25791.253477519225</v>
      </c>
      <c r="H269" s="22">
        <v>400</v>
      </c>
      <c r="I269" s="23">
        <v>265</v>
      </c>
      <c r="AA269" s="95">
        <v>77853.289406804615</v>
      </c>
    </row>
    <row r="270" spans="2:27" x14ac:dyDescent="0.25">
      <c r="B270" s="22">
        <f t="shared" si="17"/>
        <v>25791.253477519225</v>
      </c>
      <c r="C270" s="21">
        <v>0.03</v>
      </c>
      <c r="D270" s="22">
        <f t="shared" si="18"/>
        <v>64.478133693798071</v>
      </c>
      <c r="E270" s="22">
        <f t="shared" si="20"/>
        <v>25855.731611213025</v>
      </c>
      <c r="F270" s="20"/>
      <c r="G270" s="22">
        <f t="shared" si="19"/>
        <v>25455.731611213025</v>
      </c>
      <c r="H270" s="22">
        <v>400</v>
      </c>
      <c r="I270" s="23">
        <v>266</v>
      </c>
      <c r="AA270" s="95">
        <v>78058.144046687885</v>
      </c>
    </row>
    <row r="271" spans="2:27" x14ac:dyDescent="0.25">
      <c r="B271" s="22">
        <f t="shared" si="17"/>
        <v>25455.731611213025</v>
      </c>
      <c r="C271" s="21">
        <v>0.03</v>
      </c>
      <c r="D271" s="22">
        <f t="shared" si="18"/>
        <v>63.639329028032563</v>
      </c>
      <c r="E271" s="22">
        <f t="shared" si="20"/>
        <v>25519.370940241057</v>
      </c>
      <c r="F271" s="20"/>
      <c r="G271" s="22">
        <f t="shared" si="19"/>
        <v>25119.370940241057</v>
      </c>
      <c r="H271" s="22">
        <v>400</v>
      </c>
      <c r="I271" s="23">
        <v>267</v>
      </c>
      <c r="AA271" s="95">
        <v>78262.487827120087</v>
      </c>
    </row>
    <row r="272" spans="2:27" x14ac:dyDescent="0.25">
      <c r="B272" s="22">
        <f t="shared" si="17"/>
        <v>25119.370940241057</v>
      </c>
      <c r="C272" s="21">
        <v>0.03</v>
      </c>
      <c r="D272" s="22">
        <f t="shared" si="18"/>
        <v>62.798427350602644</v>
      </c>
      <c r="E272" s="22">
        <f t="shared" si="20"/>
        <v>25182.169367591658</v>
      </c>
      <c r="F272" s="20"/>
      <c r="G272" s="22">
        <f t="shared" si="19"/>
        <v>24782.169367591658</v>
      </c>
      <c r="H272" s="22">
        <v>400</v>
      </c>
      <c r="I272" s="23">
        <v>268</v>
      </c>
      <c r="AA272" s="95">
        <v>78466.322022064924</v>
      </c>
    </row>
    <row r="273" spans="2:27" x14ac:dyDescent="0.25">
      <c r="B273" s="22">
        <f t="shared" si="17"/>
        <v>24782.169367591658</v>
      </c>
      <c r="C273" s="21">
        <v>0.03</v>
      </c>
      <c r="D273" s="22">
        <f t="shared" si="18"/>
        <v>61.955423418979144</v>
      </c>
      <c r="E273" s="22">
        <f t="shared" si="20"/>
        <v>24844.124791010636</v>
      </c>
      <c r="F273" s="20"/>
      <c r="G273" s="22">
        <f t="shared" si="19"/>
        <v>24444.124791010636</v>
      </c>
      <c r="H273" s="22">
        <v>400</v>
      </c>
      <c r="I273" s="23">
        <v>269</v>
      </c>
      <c r="AA273" s="95">
        <v>78669.647902309138</v>
      </c>
    </row>
    <row r="274" spans="2:27" x14ac:dyDescent="0.25">
      <c r="B274" s="22">
        <f t="shared" si="17"/>
        <v>24444.124791010636</v>
      </c>
      <c r="C274" s="21">
        <v>0.03</v>
      </c>
      <c r="D274" s="22">
        <f t="shared" si="18"/>
        <v>61.110311977526592</v>
      </c>
      <c r="E274" s="22">
        <f t="shared" si="20"/>
        <v>24505.235102988161</v>
      </c>
      <c r="F274" s="20"/>
      <c r="G274" s="22">
        <f t="shared" si="19"/>
        <v>24105.235102988161</v>
      </c>
      <c r="H274" s="22">
        <v>400</v>
      </c>
      <c r="I274" s="23">
        <v>270</v>
      </c>
      <c r="AA274" s="95">
        <v>78872.466735470472</v>
      </c>
    </row>
    <row r="275" spans="2:27" x14ac:dyDescent="0.25">
      <c r="B275" s="22">
        <f t="shared" si="17"/>
        <v>24105.235102988161</v>
      </c>
      <c r="C275" s="21">
        <v>0.03</v>
      </c>
      <c r="D275" s="22">
        <f t="shared" si="18"/>
        <v>60.263087757470402</v>
      </c>
      <c r="E275" s="22">
        <f t="shared" si="20"/>
        <v>24165.498190745631</v>
      </c>
      <c r="F275" s="20"/>
      <c r="G275" s="22">
        <f t="shared" si="19"/>
        <v>23765.498190745631</v>
      </c>
      <c r="H275" s="22">
        <v>400</v>
      </c>
      <c r="I275" s="23">
        <v>271</v>
      </c>
      <c r="AA275" s="95">
        <v>79074.779786005442</v>
      </c>
    </row>
    <row r="276" spans="2:27" x14ac:dyDescent="0.25">
      <c r="B276" s="22">
        <f t="shared" si="17"/>
        <v>23765.498190745631</v>
      </c>
      <c r="C276" s="21">
        <v>0.03</v>
      </c>
      <c r="D276" s="22">
        <f t="shared" si="18"/>
        <v>59.413745476864079</v>
      </c>
      <c r="E276" s="22">
        <f t="shared" si="20"/>
        <v>23824.911936222496</v>
      </c>
      <c r="F276" s="20"/>
      <c r="G276" s="22">
        <f t="shared" si="19"/>
        <v>23424.911936222496</v>
      </c>
      <c r="H276" s="22">
        <v>400</v>
      </c>
      <c r="I276" s="23">
        <v>272</v>
      </c>
      <c r="AA276" s="95">
        <v>79276.588315217392</v>
      </c>
    </row>
    <row r="277" spans="2:27" x14ac:dyDescent="0.25">
      <c r="B277" s="22">
        <f t="shared" si="17"/>
        <v>23424.911936222496</v>
      </c>
      <c r="C277" s="21">
        <v>0.03</v>
      </c>
      <c r="D277" s="22">
        <f t="shared" si="18"/>
        <v>58.562279840556243</v>
      </c>
      <c r="E277" s="22">
        <f t="shared" si="20"/>
        <v>23483.474216063052</v>
      </c>
      <c r="F277" s="20"/>
      <c r="G277" s="22">
        <f t="shared" si="19"/>
        <v>23083.474216063052</v>
      </c>
      <c r="H277" s="22">
        <v>400</v>
      </c>
      <c r="I277" s="23">
        <v>273</v>
      </c>
      <c r="AA277" s="95">
        <v>79477.89358126423</v>
      </c>
    </row>
    <row r="278" spans="2:27" x14ac:dyDescent="0.25">
      <c r="B278" s="22">
        <f t="shared" si="17"/>
        <v>23083.474216063052</v>
      </c>
      <c r="C278" s="21">
        <v>0.03</v>
      </c>
      <c r="D278" s="22">
        <f t="shared" si="18"/>
        <v>57.708685540157632</v>
      </c>
      <c r="E278" s="22">
        <f t="shared" si="20"/>
        <v>23141.18290160321</v>
      </c>
      <c r="F278" s="20"/>
      <c r="G278" s="22">
        <f t="shared" si="19"/>
        <v>22741.18290160321</v>
      </c>
      <c r="H278" s="22">
        <v>400</v>
      </c>
      <c r="I278" s="23">
        <v>274</v>
      </c>
      <c r="AA278" s="95">
        <v>79678.696839166325</v>
      </c>
    </row>
    <row r="279" spans="2:27" x14ac:dyDescent="0.25">
      <c r="B279" s="22">
        <f t="shared" si="17"/>
        <v>22741.18290160321</v>
      </c>
      <c r="C279" s="21">
        <v>0.03</v>
      </c>
      <c r="D279" s="22">
        <f t="shared" si="18"/>
        <v>56.852957254008025</v>
      </c>
      <c r="E279" s="22">
        <f t="shared" si="20"/>
        <v>22798.035858857216</v>
      </c>
      <c r="F279" s="20"/>
      <c r="G279" s="22">
        <f t="shared" si="19"/>
        <v>22398.035858857216</v>
      </c>
      <c r="H279" s="22">
        <v>400</v>
      </c>
      <c r="I279" s="23">
        <v>275</v>
      </c>
      <c r="AA279" s="95">
        <v>79878.999340814276</v>
      </c>
    </row>
    <row r="280" spans="2:27" x14ac:dyDescent="0.25">
      <c r="B280" s="22">
        <f t="shared" si="17"/>
        <v>22398.035858857216</v>
      </c>
      <c r="C280" s="21">
        <v>0.03</v>
      </c>
      <c r="D280" s="22">
        <f t="shared" si="18"/>
        <v>55.99508964714304</v>
      </c>
      <c r="E280" s="22">
        <f t="shared" si="20"/>
        <v>22454.030948504358</v>
      </c>
      <c r="F280" s="20"/>
      <c r="G280" s="22">
        <f t="shared" si="19"/>
        <v>22054.030948504358</v>
      </c>
      <c r="H280" s="22">
        <v>400</v>
      </c>
      <c r="I280" s="23">
        <v>276</v>
      </c>
      <c r="AA280" s="95">
        <v>80078.802334976834</v>
      </c>
    </row>
    <row r="281" spans="2:27" x14ac:dyDescent="0.25">
      <c r="B281" s="22">
        <f t="shared" si="17"/>
        <v>22054.030948504358</v>
      </c>
      <c r="C281" s="21">
        <v>0.03</v>
      </c>
      <c r="D281" s="22">
        <f t="shared" si="18"/>
        <v>55.135077371260898</v>
      </c>
      <c r="E281" s="22">
        <f t="shared" si="20"/>
        <v>22109.16602587562</v>
      </c>
      <c r="F281" s="20"/>
      <c r="G281" s="22">
        <f t="shared" si="19"/>
        <v>21709.16602587562</v>
      </c>
      <c r="H281" s="22">
        <v>400</v>
      </c>
      <c r="I281" s="23">
        <v>277</v>
      </c>
      <c r="AA281" s="95">
        <v>80278.107067308534</v>
      </c>
    </row>
    <row r="282" spans="2:27" x14ac:dyDescent="0.25">
      <c r="B282" s="22">
        <f t="shared" si="17"/>
        <v>21709.16602587562</v>
      </c>
      <c r="C282" s="21">
        <v>0.03</v>
      </c>
      <c r="D282" s="22">
        <f t="shared" si="18"/>
        <v>54.272915064689052</v>
      </c>
      <c r="E282" s="22">
        <f t="shared" si="20"/>
        <v>21763.438940940308</v>
      </c>
      <c r="F282" s="20"/>
      <c r="G282" s="22">
        <f t="shared" si="19"/>
        <v>21363.438940940308</v>
      </c>
      <c r="H282" s="22">
        <v>400</v>
      </c>
      <c r="I282" s="23">
        <v>278</v>
      </c>
      <c r="AA282" s="95">
        <v>80476.914780357663</v>
      </c>
    </row>
    <row r="283" spans="2:27" x14ac:dyDescent="0.25">
      <c r="B283" s="22">
        <f t="shared" si="17"/>
        <v>21363.438940940308</v>
      </c>
      <c r="C283" s="21">
        <v>0.03</v>
      </c>
      <c r="D283" s="22">
        <f t="shared" si="18"/>
        <v>53.408597352350775</v>
      </c>
      <c r="E283" s="22">
        <f t="shared" si="20"/>
        <v>21416.847538292659</v>
      </c>
      <c r="F283" s="20"/>
      <c r="G283" s="22">
        <f t="shared" si="19"/>
        <v>21016.847538292659</v>
      </c>
      <c r="H283" s="22">
        <v>400</v>
      </c>
      <c r="I283" s="23">
        <v>279</v>
      </c>
      <c r="AA283" s="95">
        <v>80675.22671357372</v>
      </c>
    </row>
    <row r="284" spans="2:27" x14ac:dyDescent="0.25">
      <c r="B284" s="22">
        <f t="shared" si="17"/>
        <v>21016.847538292659</v>
      </c>
      <c r="C284" s="21">
        <v>0.03</v>
      </c>
      <c r="D284" s="22">
        <f t="shared" si="18"/>
        <v>52.54211884573165</v>
      </c>
      <c r="E284" s="22">
        <f t="shared" si="20"/>
        <v>21069.389657138392</v>
      </c>
      <c r="F284" s="20"/>
      <c r="G284" s="22">
        <f t="shared" si="19"/>
        <v>20669.389657138392</v>
      </c>
      <c r="H284" s="22">
        <v>400</v>
      </c>
      <c r="I284" s="23">
        <v>280</v>
      </c>
      <c r="AA284" s="95">
        <v>80873.044103315406</v>
      </c>
    </row>
    <row r="285" spans="2:27" x14ac:dyDescent="0.25">
      <c r="B285" s="22">
        <f t="shared" ref="B285:B340" si="21">G284</f>
        <v>20669.389657138392</v>
      </c>
      <c r="C285" s="21">
        <v>0.03</v>
      </c>
      <c r="D285" s="22">
        <f t="shared" si="18"/>
        <v>51.673474142845983</v>
      </c>
      <c r="E285" s="22">
        <f t="shared" si="20"/>
        <v>20721.063131281237</v>
      </c>
      <c r="F285" s="20"/>
      <c r="G285" s="22">
        <f t="shared" si="19"/>
        <v>20321.063131281237</v>
      </c>
      <c r="H285" s="22">
        <v>400</v>
      </c>
      <c r="I285" s="23">
        <v>281</v>
      </c>
      <c r="AA285" s="95">
        <v>81070.368182858263</v>
      </c>
    </row>
    <row r="286" spans="2:27" x14ac:dyDescent="0.25">
      <c r="B286" s="22">
        <f t="shared" si="21"/>
        <v>20321.063131281237</v>
      </c>
      <c r="C286" s="21">
        <v>0.03</v>
      </c>
      <c r="D286" s="22">
        <f t="shared" si="18"/>
        <v>50.802657828203095</v>
      </c>
      <c r="E286" s="22">
        <f t="shared" si="20"/>
        <v>20371.865789109441</v>
      </c>
      <c r="F286" s="20"/>
      <c r="G286" s="22">
        <f t="shared" si="19"/>
        <v>19971.865789109441</v>
      </c>
      <c r="H286" s="22">
        <v>400</v>
      </c>
      <c r="I286" s="23">
        <v>282</v>
      </c>
      <c r="AA286" s="95">
        <v>81267.200182402259</v>
      </c>
    </row>
    <row r="287" spans="2:27" x14ac:dyDescent="0.25">
      <c r="B287" s="22">
        <f t="shared" si="21"/>
        <v>19971.865789109441</v>
      </c>
      <c r="C287" s="21">
        <v>0.03</v>
      </c>
      <c r="D287" s="22">
        <f t="shared" si="18"/>
        <v>49.929664472773602</v>
      </c>
      <c r="E287" s="22">
        <f t="shared" si="20"/>
        <v>20021.795453582214</v>
      </c>
      <c r="F287" s="20"/>
      <c r="G287" s="22">
        <f t="shared" si="19"/>
        <v>19621.795453582214</v>
      </c>
      <c r="H287" s="22">
        <v>400</v>
      </c>
      <c r="I287" s="23">
        <v>283</v>
      </c>
      <c r="AA287" s="95">
        <v>81463.541329079555</v>
      </c>
    </row>
    <row r="288" spans="2:27" x14ac:dyDescent="0.25">
      <c r="B288" s="22">
        <f t="shared" si="21"/>
        <v>19621.795453582214</v>
      </c>
      <c r="C288" s="21">
        <v>0.03</v>
      </c>
      <c r="D288" s="22">
        <f t="shared" si="18"/>
        <v>49.054488633955536</v>
      </c>
      <c r="E288" s="22">
        <f t="shared" si="20"/>
        <v>19670.849942216169</v>
      </c>
      <c r="F288" s="20"/>
      <c r="G288" s="22">
        <f t="shared" si="19"/>
        <v>19270.849942216169</v>
      </c>
      <c r="H288" s="22">
        <v>400</v>
      </c>
      <c r="I288" s="23">
        <v>284</v>
      </c>
      <c r="AA288" s="95">
        <v>81659.392846962146</v>
      </c>
    </row>
    <row r="289" spans="2:27" x14ac:dyDescent="0.25">
      <c r="B289" s="22">
        <f t="shared" si="21"/>
        <v>19270.849942216169</v>
      </c>
      <c r="C289" s="21">
        <v>0.03</v>
      </c>
      <c r="D289" s="22">
        <f t="shared" si="18"/>
        <v>48.177124855540427</v>
      </c>
      <c r="E289" s="22">
        <f t="shared" si="20"/>
        <v>19319.027067071711</v>
      </c>
      <c r="F289" s="20"/>
      <c r="G289" s="22">
        <f t="shared" si="19"/>
        <v>18919.027067071711</v>
      </c>
      <c r="H289" s="22">
        <v>400</v>
      </c>
      <c r="I289" s="23">
        <v>285</v>
      </c>
      <c r="AA289" s="95">
        <v>81854.755957069472</v>
      </c>
    </row>
    <row r="290" spans="2:27" x14ac:dyDescent="0.25">
      <c r="B290" s="22">
        <f t="shared" si="21"/>
        <v>18919.027067071711</v>
      </c>
      <c r="C290" s="21">
        <v>0.03</v>
      </c>
      <c r="D290" s="22">
        <f t="shared" si="18"/>
        <v>47.297567667679282</v>
      </c>
      <c r="E290" s="22">
        <f t="shared" si="20"/>
        <v>18966.324634739391</v>
      </c>
      <c r="F290" s="20"/>
      <c r="G290" s="22">
        <f t="shared" si="19"/>
        <v>18566.324634739391</v>
      </c>
      <c r="H290" s="22">
        <v>400</v>
      </c>
      <c r="I290" s="23">
        <v>286</v>
      </c>
      <c r="AA290" s="95">
        <v>82049.631877376014</v>
      </c>
    </row>
    <row r="291" spans="2:27" x14ac:dyDescent="0.25">
      <c r="B291" s="22">
        <f t="shared" si="21"/>
        <v>18566.324634739391</v>
      </c>
      <c r="C291" s="21">
        <v>0.03</v>
      </c>
      <c r="D291" s="22">
        <f t="shared" si="18"/>
        <v>46.415811586848477</v>
      </c>
      <c r="E291" s="22">
        <f t="shared" si="20"/>
        <v>18612.740446326239</v>
      </c>
      <c r="F291" s="20"/>
      <c r="G291" s="22">
        <f t="shared" si="19"/>
        <v>18212.740446326239</v>
      </c>
      <c r="H291" s="22">
        <v>400</v>
      </c>
      <c r="I291" s="23">
        <v>287</v>
      </c>
      <c r="AA291" s="95">
        <v>82244.021822818977</v>
      </c>
    </row>
    <row r="292" spans="2:27" x14ac:dyDescent="0.25">
      <c r="B292" s="22">
        <f t="shared" si="21"/>
        <v>18212.740446326239</v>
      </c>
      <c r="C292" s="21">
        <v>0.03</v>
      </c>
      <c r="D292" s="22">
        <f t="shared" si="18"/>
        <v>45.531851115815599</v>
      </c>
      <c r="E292" s="22">
        <f t="shared" si="20"/>
        <v>18258.272297442054</v>
      </c>
      <c r="F292" s="20"/>
      <c r="G292" s="22">
        <f t="shared" si="19"/>
        <v>17858.272297442054</v>
      </c>
      <c r="H292" s="22">
        <v>400</v>
      </c>
      <c r="I292" s="23">
        <v>288</v>
      </c>
      <c r="AA292" s="95">
        <v>82437.927005305697</v>
      </c>
    </row>
    <row r="293" spans="2:27" x14ac:dyDescent="0.25">
      <c r="B293" s="22">
        <f t="shared" si="21"/>
        <v>17858.272297442054</v>
      </c>
      <c r="C293" s="21">
        <v>0.03</v>
      </c>
      <c r="D293" s="22">
        <f t="shared" si="18"/>
        <v>44.645680743605134</v>
      </c>
      <c r="E293" s="22">
        <f t="shared" si="20"/>
        <v>17902.917978185658</v>
      </c>
      <c r="F293" s="20"/>
      <c r="G293" s="22">
        <f t="shared" si="19"/>
        <v>17502.917978185658</v>
      </c>
      <c r="H293" s="22">
        <v>400</v>
      </c>
      <c r="I293" s="23">
        <v>289</v>
      </c>
      <c r="AA293" s="95">
        <v>82631.348633721398</v>
      </c>
    </row>
    <row r="294" spans="2:27" x14ac:dyDescent="0.25">
      <c r="B294" s="22">
        <f t="shared" si="21"/>
        <v>17502.917978185658</v>
      </c>
      <c r="C294" s="21">
        <v>0.03</v>
      </c>
      <c r="D294" s="22">
        <f t="shared" si="18"/>
        <v>43.757294945464146</v>
      </c>
      <c r="E294" s="22">
        <f t="shared" si="20"/>
        <v>17546.675273131121</v>
      </c>
      <c r="F294" s="20"/>
      <c r="G294" s="22">
        <f t="shared" si="19"/>
        <v>17146.675273131121</v>
      </c>
      <c r="H294" s="22">
        <v>400</v>
      </c>
      <c r="I294" s="23">
        <v>290</v>
      </c>
      <c r="AA294" s="95">
        <v>82824.287913936569</v>
      </c>
    </row>
    <row r="295" spans="2:27" x14ac:dyDescent="0.25">
      <c r="B295" s="22">
        <f t="shared" si="21"/>
        <v>17146.675273131121</v>
      </c>
      <c r="C295" s="21">
        <v>0.03</v>
      </c>
      <c r="D295" s="22">
        <f t="shared" si="18"/>
        <v>42.866688182827801</v>
      </c>
      <c r="E295" s="22">
        <f t="shared" si="20"/>
        <v>17189.541961313949</v>
      </c>
      <c r="F295" s="20"/>
      <c r="G295" s="22">
        <f t="shared" si="19"/>
        <v>16789.541961313949</v>
      </c>
      <c r="H295" s="22">
        <v>400</v>
      </c>
      <c r="I295" s="23">
        <v>291</v>
      </c>
      <c r="AA295" s="95">
        <v>83016.746048814515</v>
      </c>
    </row>
    <row r="296" spans="2:27" x14ac:dyDescent="0.25">
      <c r="B296" s="22">
        <f t="shared" si="21"/>
        <v>16789.541961313949</v>
      </c>
      <c r="C296" s="21">
        <v>0.03</v>
      </c>
      <c r="D296" s="22">
        <f t="shared" si="18"/>
        <v>41.973854903284874</v>
      </c>
      <c r="E296" s="22">
        <f t="shared" si="20"/>
        <v>16831.515816217234</v>
      </c>
      <c r="F296" s="20"/>
      <c r="G296" s="22">
        <f t="shared" si="19"/>
        <v>16431.515816217234</v>
      </c>
      <c r="H296" s="22">
        <v>400</v>
      </c>
      <c r="I296" s="23">
        <v>292</v>
      </c>
      <c r="AA296" s="95">
        <v>83208.724238218958</v>
      </c>
    </row>
    <row r="297" spans="2:27" x14ac:dyDescent="0.25">
      <c r="B297" s="22">
        <f t="shared" si="21"/>
        <v>16431.515816217234</v>
      </c>
      <c r="C297" s="21">
        <v>0.03</v>
      </c>
      <c r="D297" s="22">
        <f t="shared" si="18"/>
        <v>41.078789540543085</v>
      </c>
      <c r="E297" s="22">
        <f t="shared" si="20"/>
        <v>16472.594605757778</v>
      </c>
      <c r="F297" s="20"/>
      <c r="G297" s="22">
        <f t="shared" si="19"/>
        <v>16072.594605757778</v>
      </c>
      <c r="H297" s="22">
        <v>400</v>
      </c>
      <c r="I297" s="23">
        <v>293</v>
      </c>
      <c r="AA297" s="95">
        <v>83400.223679021408</v>
      </c>
    </row>
    <row r="298" spans="2:27" x14ac:dyDescent="0.25">
      <c r="B298" s="22">
        <f t="shared" si="21"/>
        <v>16072.594605757778</v>
      </c>
      <c r="C298" s="21">
        <v>0.03</v>
      </c>
      <c r="D298" s="22">
        <f t="shared" si="18"/>
        <v>40.18148651439445</v>
      </c>
      <c r="E298" s="22">
        <f t="shared" si="20"/>
        <v>16112.776092272174</v>
      </c>
      <c r="F298" s="20"/>
      <c r="G298" s="22">
        <f t="shared" si="19"/>
        <v>15712.776092272174</v>
      </c>
      <c r="H298" s="22">
        <v>400</v>
      </c>
      <c r="I298" s="23">
        <v>294</v>
      </c>
      <c r="AA298" s="95">
        <v>83591.245565108635</v>
      </c>
    </row>
    <row r="299" spans="2:27" x14ac:dyDescent="0.25">
      <c r="B299" s="22">
        <f t="shared" si="21"/>
        <v>15712.776092272174</v>
      </c>
      <c r="C299" s="21">
        <v>0.03</v>
      </c>
      <c r="D299" s="22">
        <f t="shared" si="18"/>
        <v>39.281940230680434</v>
      </c>
      <c r="E299" s="22">
        <f t="shared" si="20"/>
        <v>15752.058032502853</v>
      </c>
      <c r="F299" s="20"/>
      <c r="G299" s="22">
        <f t="shared" si="19"/>
        <v>15352.058032502853</v>
      </c>
      <c r="H299" s="22">
        <v>400</v>
      </c>
      <c r="I299" s="23">
        <v>295</v>
      </c>
      <c r="AA299" s="95">
        <v>83781.791087390142</v>
      </c>
    </row>
    <row r="300" spans="2:27" x14ac:dyDescent="0.25">
      <c r="B300" s="22">
        <f t="shared" si="21"/>
        <v>15352.058032502853</v>
      </c>
      <c r="C300" s="21">
        <v>0.03</v>
      </c>
      <c r="D300" s="22">
        <f t="shared" si="18"/>
        <v>38.380145081257133</v>
      </c>
      <c r="E300" s="22">
        <f t="shared" si="20"/>
        <v>15390.43817758411</v>
      </c>
      <c r="F300" s="20"/>
      <c r="G300" s="22">
        <f t="shared" si="19"/>
        <v>14990.43817758411</v>
      </c>
      <c r="H300" s="22">
        <v>400</v>
      </c>
      <c r="I300" s="23">
        <v>296</v>
      </c>
      <c r="AA300" s="95">
        <v>83971.861433805621</v>
      </c>
    </row>
    <row r="301" spans="2:27" x14ac:dyDescent="0.25">
      <c r="B301" s="22">
        <f t="shared" si="21"/>
        <v>14990.43817758411</v>
      </c>
      <c r="C301" s="21">
        <v>0.03</v>
      </c>
      <c r="D301" s="22">
        <f t="shared" si="18"/>
        <v>37.476095443960276</v>
      </c>
      <c r="E301" s="22">
        <f t="shared" si="20"/>
        <v>15027.914273028071</v>
      </c>
      <c r="F301" s="20"/>
      <c r="G301" s="22">
        <f t="shared" si="19"/>
        <v>14627.914273028071</v>
      </c>
      <c r="H301" s="22">
        <v>400</v>
      </c>
      <c r="I301" s="23">
        <v>297</v>
      </c>
      <c r="AA301" s="95">
        <v>84161.457789332286</v>
      </c>
    </row>
    <row r="302" spans="2:27" x14ac:dyDescent="0.25">
      <c r="B302" s="22">
        <f t="shared" si="21"/>
        <v>14627.914273028071</v>
      </c>
      <c r="C302" s="21">
        <v>0.03</v>
      </c>
      <c r="D302" s="22">
        <f t="shared" si="18"/>
        <v>36.569785682570178</v>
      </c>
      <c r="E302" s="22">
        <f t="shared" si="20"/>
        <v>14664.484058710641</v>
      </c>
      <c r="F302" s="20"/>
      <c r="G302" s="22">
        <f t="shared" si="19"/>
        <v>14264.484058710641</v>
      </c>
      <c r="H302" s="22">
        <v>400</v>
      </c>
      <c r="I302" s="23">
        <v>298</v>
      </c>
      <c r="AA302" s="95">
        <v>84350.581335992305</v>
      </c>
    </row>
    <row r="303" spans="2:27" x14ac:dyDescent="0.25">
      <c r="B303" s="22">
        <f t="shared" si="21"/>
        <v>14264.484058710641</v>
      </c>
      <c r="C303" s="21">
        <v>0.03</v>
      </c>
      <c r="D303" s="22">
        <f t="shared" si="18"/>
        <v>35.661210146776604</v>
      </c>
      <c r="E303" s="22">
        <f t="shared" si="20"/>
        <v>14300.145268857417</v>
      </c>
      <c r="F303" s="20"/>
      <c r="G303" s="22">
        <f t="shared" si="19"/>
        <v>13900.145268857417</v>
      </c>
      <c r="H303" s="22">
        <v>400</v>
      </c>
      <c r="I303" s="23">
        <v>299</v>
      </c>
      <c r="AA303" s="95">
        <v>84539.233252860155</v>
      </c>
    </row>
    <row r="304" spans="2:27" x14ac:dyDescent="0.25">
      <c r="B304" s="22">
        <f t="shared" si="21"/>
        <v>13900.145268857417</v>
      </c>
      <c r="C304" s="21">
        <v>0.03</v>
      </c>
      <c r="D304" s="22">
        <f t="shared" si="18"/>
        <v>34.750363172143544</v>
      </c>
      <c r="E304" s="22">
        <f t="shared" si="20"/>
        <v>13934.89563202956</v>
      </c>
      <c r="F304" s="20"/>
      <c r="G304" s="22">
        <f t="shared" si="19"/>
        <v>13534.89563202956</v>
      </c>
      <c r="H304" s="22">
        <v>400</v>
      </c>
      <c r="I304" s="23">
        <v>300</v>
      </c>
      <c r="AA304" s="95">
        <v>84727.414716069979</v>
      </c>
    </row>
    <row r="305" spans="2:27" x14ac:dyDescent="0.25">
      <c r="B305" s="22">
        <f t="shared" si="21"/>
        <v>13534.89563202956</v>
      </c>
      <c r="C305" s="21">
        <v>0.03</v>
      </c>
      <c r="D305" s="22">
        <f t="shared" si="18"/>
        <v>33.8372390800739</v>
      </c>
      <c r="E305" s="22">
        <f t="shared" si="20"/>
        <v>13568.732871109634</v>
      </c>
      <c r="F305" s="20"/>
      <c r="G305" s="22">
        <f t="shared" si="19"/>
        <v>13168.732871109634</v>
      </c>
      <c r="H305" s="22">
        <v>400</v>
      </c>
      <c r="I305" s="23">
        <v>301</v>
      </c>
      <c r="AA305" s="95">
        <v>84915.126898822913</v>
      </c>
    </row>
    <row r="306" spans="2:27" x14ac:dyDescent="0.25">
      <c r="B306" s="22">
        <f t="shared" si="21"/>
        <v>13168.732871109634</v>
      </c>
      <c r="C306" s="21">
        <v>0.03</v>
      </c>
      <c r="D306" s="22">
        <f t="shared" si="18"/>
        <v>32.921832177774085</v>
      </c>
      <c r="E306" s="22">
        <f t="shared" si="20"/>
        <v>13201.654703287408</v>
      </c>
      <c r="F306" s="20"/>
      <c r="G306" s="22">
        <f t="shared" si="19"/>
        <v>12801.654703287408</v>
      </c>
      <c r="H306" s="22">
        <v>400</v>
      </c>
      <c r="I306" s="23">
        <v>302</v>
      </c>
      <c r="AA306" s="95">
        <v>85102.370971394412</v>
      </c>
    </row>
    <row r="307" spans="2:27" x14ac:dyDescent="0.25">
      <c r="B307" s="22">
        <f t="shared" si="21"/>
        <v>12801.654703287408</v>
      </c>
      <c r="C307" s="21">
        <v>0.03</v>
      </c>
      <c r="D307" s="22">
        <f t="shared" si="18"/>
        <v>32.004136758218522</v>
      </c>
      <c r="E307" s="22">
        <f t="shared" si="20"/>
        <v>12833.658840045626</v>
      </c>
      <c r="F307" s="20"/>
      <c r="G307" s="22">
        <f t="shared" si="19"/>
        <v>12433.658840045626</v>
      </c>
      <c r="H307" s="22">
        <v>400</v>
      </c>
      <c r="I307" s="23">
        <v>303</v>
      </c>
      <c r="AA307" s="95">
        <v>85289.148101141545</v>
      </c>
    </row>
    <row r="308" spans="2:27" x14ac:dyDescent="0.25">
      <c r="B308" s="22">
        <f t="shared" si="21"/>
        <v>12433.658840045626</v>
      </c>
      <c r="C308" s="21">
        <v>0.03</v>
      </c>
      <c r="D308" s="22">
        <f t="shared" si="18"/>
        <v>31.084147100114066</v>
      </c>
      <c r="E308" s="22">
        <f t="shared" si="20"/>
        <v>12464.742987145741</v>
      </c>
      <c r="F308" s="20"/>
      <c r="G308" s="22">
        <f t="shared" si="19"/>
        <v>12064.742987145741</v>
      </c>
      <c r="H308" s="22">
        <v>400</v>
      </c>
      <c r="I308" s="23">
        <v>304</v>
      </c>
      <c r="AA308" s="95">
        <v>85475.459452510288</v>
      </c>
    </row>
    <row r="309" spans="2:27" x14ac:dyDescent="0.25">
      <c r="B309" s="22">
        <f t="shared" si="21"/>
        <v>12064.742987145741</v>
      </c>
      <c r="C309" s="21">
        <v>0.03</v>
      </c>
      <c r="D309" s="22">
        <f t="shared" si="18"/>
        <v>30.161857467864351</v>
      </c>
      <c r="E309" s="22">
        <f t="shared" si="20"/>
        <v>12094.904844613606</v>
      </c>
      <c r="F309" s="20"/>
      <c r="G309" s="22">
        <f t="shared" si="19"/>
        <v>11694.904844613606</v>
      </c>
      <c r="H309" s="22">
        <v>400</v>
      </c>
      <c r="I309" s="23">
        <v>305</v>
      </c>
      <c r="AA309" s="95">
        <v>85661.306187042675</v>
      </c>
    </row>
    <row r="310" spans="2:27" x14ac:dyDescent="0.25">
      <c r="B310" s="22">
        <f t="shared" si="21"/>
        <v>11694.904844613606</v>
      </c>
      <c r="C310" s="21">
        <v>0.03</v>
      </c>
      <c r="D310" s="22">
        <f t="shared" si="18"/>
        <v>29.237262111534015</v>
      </c>
      <c r="E310" s="22">
        <f t="shared" si="20"/>
        <v>11724.142106725139</v>
      </c>
      <c r="F310" s="20"/>
      <c r="G310" s="22">
        <f t="shared" si="19"/>
        <v>11324.142106725139</v>
      </c>
      <c r="H310" s="22">
        <v>400</v>
      </c>
      <c r="I310" s="23">
        <v>306</v>
      </c>
      <c r="AA310" s="95">
        <v>85846.689463384217</v>
      </c>
    </row>
    <row r="311" spans="2:27" x14ac:dyDescent="0.25">
      <c r="B311" s="22">
        <f t="shared" si="21"/>
        <v>11324.142106725139</v>
      </c>
      <c r="C311" s="21">
        <v>0.03</v>
      </c>
      <c r="D311" s="22">
        <f t="shared" si="18"/>
        <v>28.310355266812849</v>
      </c>
      <c r="E311" s="22">
        <f t="shared" si="20"/>
        <v>11352.452461991952</v>
      </c>
      <c r="F311" s="20"/>
      <c r="G311" s="22">
        <f t="shared" si="19"/>
        <v>10952.452461991952</v>
      </c>
      <c r="H311" s="22">
        <v>400</v>
      </c>
      <c r="I311" s="23">
        <v>307</v>
      </c>
      <c r="AA311" s="95">
        <v>86031.61043729099</v>
      </c>
    </row>
    <row r="312" spans="2:27" x14ac:dyDescent="0.25">
      <c r="B312" s="22">
        <f t="shared" si="21"/>
        <v>10952.452461991952</v>
      </c>
      <c r="C312" s="21">
        <v>0.03</v>
      </c>
      <c r="D312" s="22">
        <f t="shared" si="18"/>
        <v>27.381131154979879</v>
      </c>
      <c r="E312" s="22">
        <f t="shared" si="20"/>
        <v>10979.833593146932</v>
      </c>
      <c r="F312" s="20"/>
      <c r="G312" s="22">
        <f t="shared" si="19"/>
        <v>10579.833593146932</v>
      </c>
      <c r="H312" s="22">
        <v>400</v>
      </c>
      <c r="I312" s="23">
        <v>308</v>
      </c>
      <c r="AA312" s="95">
        <v>86216.070261636894</v>
      </c>
    </row>
    <row r="313" spans="2:27" x14ac:dyDescent="0.25">
      <c r="B313" s="22">
        <f t="shared" si="21"/>
        <v>10579.833593146932</v>
      </c>
      <c r="C313" s="21">
        <v>0.03</v>
      </c>
      <c r="D313" s="22">
        <f t="shared" si="18"/>
        <v>26.449583982867331</v>
      </c>
      <c r="E313" s="22">
        <f t="shared" si="20"/>
        <v>10606.283177129799</v>
      </c>
      <c r="F313" s="20"/>
      <c r="G313" s="22">
        <f t="shared" si="19"/>
        <v>10206.283177129799</v>
      </c>
      <c r="H313" s="22">
        <v>400</v>
      </c>
      <c r="I313" s="23">
        <v>309</v>
      </c>
      <c r="AA313" s="95">
        <v>86400.070086420834</v>
      </c>
    </row>
    <row r="314" spans="2:27" x14ac:dyDescent="0.25">
      <c r="B314" s="22">
        <f t="shared" si="21"/>
        <v>10206.283177129799</v>
      </c>
      <c r="C314" s="21">
        <v>0.03</v>
      </c>
      <c r="D314" s="22">
        <f t="shared" si="18"/>
        <v>25.515707942824498</v>
      </c>
      <c r="E314" s="22">
        <f t="shared" si="20"/>
        <v>10231.798885072623</v>
      </c>
      <c r="F314" s="20"/>
      <c r="G314" s="22">
        <f t="shared" si="19"/>
        <v>9831.7988850726233</v>
      </c>
      <c r="H314" s="22">
        <v>400</v>
      </c>
      <c r="I314" s="23">
        <v>310</v>
      </c>
      <c r="AA314" s="95">
        <v>86583.611058773895</v>
      </c>
    </row>
    <row r="315" spans="2:27" x14ac:dyDescent="0.25">
      <c r="B315" s="22">
        <f t="shared" si="21"/>
        <v>9831.7988850726233</v>
      </c>
      <c r="C315" s="21">
        <v>0.03</v>
      </c>
      <c r="D315" s="22">
        <f t="shared" si="18"/>
        <v>24.579497212681559</v>
      </c>
      <c r="E315" s="22">
        <f t="shared" si="20"/>
        <v>9856.3783822853056</v>
      </c>
      <c r="F315" s="20"/>
      <c r="G315" s="22">
        <f t="shared" si="19"/>
        <v>9456.3783822853056</v>
      </c>
      <c r="H315" s="22">
        <v>400</v>
      </c>
      <c r="I315" s="23">
        <v>311</v>
      </c>
      <c r="AA315" s="95">
        <v>86766.694322966461</v>
      </c>
    </row>
    <row r="316" spans="2:27" x14ac:dyDescent="0.25">
      <c r="B316" s="22">
        <f t="shared" si="21"/>
        <v>9456.3783822853056</v>
      </c>
      <c r="C316" s="21">
        <v>0.03</v>
      </c>
      <c r="D316" s="22">
        <f t="shared" si="18"/>
        <v>23.640945955713264</v>
      </c>
      <c r="E316" s="22">
        <f t="shared" si="20"/>
        <v>9480.0193282410182</v>
      </c>
      <c r="F316" s="20"/>
      <c r="G316" s="22">
        <f t="shared" si="19"/>
        <v>9080.0193282410182</v>
      </c>
      <c r="H316" s="22">
        <v>400</v>
      </c>
      <c r="I316" s="23">
        <v>312</v>
      </c>
      <c r="AA316" s="95">
        <v>86949.321020415417</v>
      </c>
    </row>
    <row r="317" spans="2:27" x14ac:dyDescent="0.25">
      <c r="B317" s="22">
        <f t="shared" si="21"/>
        <v>9080.0193282410182</v>
      </c>
      <c r="C317" s="21">
        <v>0.03</v>
      </c>
      <c r="D317" s="22">
        <f t="shared" si="18"/>
        <v>22.700048320602544</v>
      </c>
      <c r="E317" s="22">
        <f t="shared" si="20"/>
        <v>9102.7193765616212</v>
      </c>
      <c r="F317" s="20"/>
      <c r="G317" s="22">
        <f t="shared" si="19"/>
        <v>8702.7193765616212</v>
      </c>
      <c r="H317" s="22">
        <v>400</v>
      </c>
      <c r="I317" s="23">
        <v>313</v>
      </c>
      <c r="AA317" s="95">
        <v>87131.492289691188</v>
      </c>
    </row>
    <row r="318" spans="2:27" x14ac:dyDescent="0.25">
      <c r="B318" s="22">
        <f t="shared" si="21"/>
        <v>8702.7193765616212</v>
      </c>
      <c r="C318" s="21">
        <v>0.03</v>
      </c>
      <c r="D318" s="22">
        <f t="shared" si="18"/>
        <v>21.756798441404055</v>
      </c>
      <c r="E318" s="22">
        <f t="shared" si="20"/>
        <v>8724.4761750030248</v>
      </c>
      <c r="F318" s="20"/>
      <c r="G318" s="22">
        <f t="shared" si="19"/>
        <v>8324.4761750030248</v>
      </c>
      <c r="H318" s="22">
        <v>400</v>
      </c>
      <c r="I318" s="23">
        <v>314</v>
      </c>
      <c r="AA318" s="95">
        <v>87313.209266524878</v>
      </c>
    </row>
    <row r="319" spans="2:27" x14ac:dyDescent="0.25">
      <c r="B319" s="22">
        <f t="shared" si="21"/>
        <v>8324.4761750030248</v>
      </c>
      <c r="C319" s="21">
        <v>0.03</v>
      </c>
      <c r="D319" s="22">
        <f t="shared" si="18"/>
        <v>20.811190437507562</v>
      </c>
      <c r="E319" s="22">
        <f t="shared" si="20"/>
        <v>8345.2873654405321</v>
      </c>
      <c r="F319" s="20"/>
      <c r="G319" s="22">
        <f t="shared" si="19"/>
        <v>7945.2873654405321</v>
      </c>
      <c r="H319" s="22">
        <v>400</v>
      </c>
      <c r="I319" s="23">
        <v>315</v>
      </c>
      <c r="AA319" s="95">
        <v>87494.473083815334</v>
      </c>
    </row>
    <row r="320" spans="2:27" x14ac:dyDescent="0.25">
      <c r="B320" s="22">
        <f t="shared" si="21"/>
        <v>7945.2873654405321</v>
      </c>
      <c r="C320" s="21">
        <v>0.03</v>
      </c>
      <c r="D320" s="22">
        <f t="shared" si="18"/>
        <v>19.863218413601331</v>
      </c>
      <c r="E320" s="22">
        <f t="shared" si="20"/>
        <v>7965.1505838541334</v>
      </c>
      <c r="F320" s="20"/>
      <c r="G320" s="22">
        <f t="shared" si="19"/>
        <v>7565.1505838541334</v>
      </c>
      <c r="H320" s="22">
        <v>400</v>
      </c>
      <c r="I320" s="23">
        <v>316</v>
      </c>
      <c r="AA320" s="95">
        <v>87675.284871636235</v>
      </c>
    </row>
    <row r="321" spans="2:27" x14ac:dyDescent="0.25">
      <c r="B321" s="22">
        <f t="shared" si="21"/>
        <v>7565.1505838541334</v>
      </c>
      <c r="C321" s="21">
        <v>0.03</v>
      </c>
      <c r="D321" s="22">
        <f t="shared" si="18"/>
        <v>18.912876459635335</v>
      </c>
      <c r="E321" s="22">
        <f t="shared" si="20"/>
        <v>7584.0634603137687</v>
      </c>
      <c r="F321" s="20"/>
      <c r="G321" s="22">
        <f t="shared" si="19"/>
        <v>7184.0634603137687</v>
      </c>
      <c r="H321" s="22">
        <v>400</v>
      </c>
      <c r="I321" s="23">
        <v>317</v>
      </c>
      <c r="AA321" s="95">
        <v>87855.645757243125</v>
      </c>
    </row>
    <row r="322" spans="2:27" x14ac:dyDescent="0.25">
      <c r="B322" s="22">
        <f t="shared" si="21"/>
        <v>7184.0634603137687</v>
      </c>
      <c r="C322" s="21">
        <v>0.03</v>
      </c>
      <c r="D322" s="22">
        <f t="shared" si="18"/>
        <v>17.960158650784422</v>
      </c>
      <c r="E322" s="22">
        <f t="shared" si="20"/>
        <v>7202.023618964553</v>
      </c>
      <c r="F322" s="20"/>
      <c r="G322" s="22">
        <f t="shared" si="19"/>
        <v>6802.023618964553</v>
      </c>
      <c r="H322" s="22">
        <v>400</v>
      </c>
      <c r="I322" s="23">
        <v>318</v>
      </c>
      <c r="AA322" s="95">
        <v>88035.55686508042</v>
      </c>
    </row>
    <row r="323" spans="2:27" x14ac:dyDescent="0.25">
      <c r="B323" s="22">
        <f t="shared" si="21"/>
        <v>6802.023618964553</v>
      </c>
      <c r="C323" s="21">
        <v>0.03</v>
      </c>
      <c r="D323" s="22">
        <f t="shared" si="18"/>
        <v>17.005059047411383</v>
      </c>
      <c r="E323" s="22">
        <f t="shared" si="20"/>
        <v>6819.0286780119641</v>
      </c>
      <c r="F323" s="20"/>
      <c r="G323" s="22">
        <f t="shared" si="19"/>
        <v>6419.0286780119641</v>
      </c>
      <c r="H323" s="22">
        <v>400</v>
      </c>
      <c r="I323" s="23">
        <v>319</v>
      </c>
      <c r="AA323" s="95">
        <v>88215.019316788457</v>
      </c>
    </row>
    <row r="324" spans="2:27" x14ac:dyDescent="0.25">
      <c r="B324" s="22">
        <f t="shared" si="21"/>
        <v>6419.0286780119641</v>
      </c>
      <c r="C324" s="21">
        <v>0.03</v>
      </c>
      <c r="D324" s="22">
        <f t="shared" si="18"/>
        <v>16.047571695029909</v>
      </c>
      <c r="E324" s="22">
        <f t="shared" si="20"/>
        <v>6435.0762497069936</v>
      </c>
      <c r="F324" s="20"/>
      <c r="G324" s="22">
        <f t="shared" si="19"/>
        <v>6035.0762497069936</v>
      </c>
      <c r="H324" s="22">
        <v>400</v>
      </c>
      <c r="I324" s="23">
        <v>320</v>
      </c>
      <c r="AA324" s="95">
        <v>88394.034231210404</v>
      </c>
    </row>
    <row r="325" spans="2:27" x14ac:dyDescent="0.25">
      <c r="B325" s="22">
        <f t="shared" si="21"/>
        <v>6035.0762497069936</v>
      </c>
      <c r="C325" s="21">
        <v>0.03</v>
      </c>
      <c r="D325" s="22">
        <f t="shared" si="18"/>
        <v>15.087690624267484</v>
      </c>
      <c r="E325" s="22">
        <f t="shared" si="20"/>
        <v>6050.1639403312611</v>
      </c>
      <c r="F325" s="20"/>
      <c r="G325" s="22">
        <f t="shared" si="19"/>
        <v>5650.1639403312611</v>
      </c>
      <c r="H325" s="22">
        <v>400</v>
      </c>
      <c r="I325" s="23">
        <v>321</v>
      </c>
      <c r="AA325" s="95">
        <v>88572.602724399403</v>
      </c>
    </row>
    <row r="326" spans="2:27" x14ac:dyDescent="0.25">
      <c r="B326" s="22">
        <f t="shared" si="21"/>
        <v>5650.1639403312611</v>
      </c>
      <c r="C326" s="21">
        <v>0.03</v>
      </c>
      <c r="D326" s="22">
        <f t="shared" ref="D326:D340" si="22">B326*(0.03/12)</f>
        <v>14.125409850828152</v>
      </c>
      <c r="E326" s="22">
        <f t="shared" si="20"/>
        <v>5664.289350182089</v>
      </c>
      <c r="F326" s="20"/>
      <c r="G326" s="22">
        <f t="shared" ref="G326:G340" si="23">E326-H326</f>
        <v>5264.289350182089</v>
      </c>
      <c r="H326" s="22">
        <v>400</v>
      </c>
      <c r="I326" s="23">
        <v>322</v>
      </c>
      <c r="AA326" s="95">
        <v>88750.725909625355</v>
      </c>
    </row>
    <row r="327" spans="2:27" x14ac:dyDescent="0.25">
      <c r="B327" s="22">
        <f t="shared" si="21"/>
        <v>5264.289350182089</v>
      </c>
      <c r="C327" s="21">
        <v>0.03</v>
      </c>
      <c r="D327" s="22">
        <f t="shared" si="22"/>
        <v>13.160723375455223</v>
      </c>
      <c r="E327" s="22">
        <f t="shared" ref="E327:E340" si="24">B327+D327</f>
        <v>5277.4500735575439</v>
      </c>
      <c r="F327" s="20"/>
      <c r="G327" s="22">
        <f t="shared" si="23"/>
        <v>4877.4500735575439</v>
      </c>
      <c r="H327" s="22">
        <v>400</v>
      </c>
      <c r="I327" s="23">
        <v>323</v>
      </c>
      <c r="AA327" s="95">
        <v>88928.404897381886</v>
      </c>
    </row>
    <row r="328" spans="2:27" x14ac:dyDescent="0.25">
      <c r="B328" s="22">
        <f t="shared" si="21"/>
        <v>4877.4500735575439</v>
      </c>
      <c r="C328" s="21">
        <v>0.03</v>
      </c>
      <c r="D328" s="22">
        <f t="shared" si="22"/>
        <v>12.193625183893859</v>
      </c>
      <c r="E328" s="22">
        <f t="shared" si="24"/>
        <v>4889.6436987414381</v>
      </c>
      <c r="F328" s="20"/>
      <c r="G328" s="22">
        <f t="shared" si="23"/>
        <v>4489.6436987414381</v>
      </c>
      <c r="H328" s="22">
        <v>400</v>
      </c>
      <c r="I328" s="23">
        <v>324</v>
      </c>
      <c r="AA328" s="95">
        <v>89105.64079539341</v>
      </c>
    </row>
    <row r="329" spans="2:27" x14ac:dyDescent="0.25">
      <c r="B329" s="22">
        <f t="shared" si="21"/>
        <v>4489.6436987414381</v>
      </c>
      <c r="C329" s="21">
        <v>0.03</v>
      </c>
      <c r="D329" s="22">
        <f t="shared" si="22"/>
        <v>11.224109246853596</v>
      </c>
      <c r="E329" s="22">
        <f t="shared" si="24"/>
        <v>4500.867807988292</v>
      </c>
      <c r="F329" s="20"/>
      <c r="G329" s="22">
        <f t="shared" si="23"/>
        <v>4100.867807988292</v>
      </c>
      <c r="H329" s="22">
        <v>400</v>
      </c>
      <c r="I329" s="23">
        <v>325</v>
      </c>
      <c r="AA329" s="95">
        <v>89282.434708621848</v>
      </c>
    </row>
    <row r="330" spans="2:27" x14ac:dyDescent="0.25">
      <c r="B330" s="22">
        <f t="shared" si="21"/>
        <v>4100.867807988292</v>
      </c>
      <c r="C330" s="21">
        <v>0.03</v>
      </c>
      <c r="D330" s="22">
        <f t="shared" si="22"/>
        <v>10.25216951997073</v>
      </c>
      <c r="E330" s="22">
        <f t="shared" si="24"/>
        <v>4111.1199775082632</v>
      </c>
      <c r="F330" s="20"/>
      <c r="G330" s="22">
        <f t="shared" si="23"/>
        <v>3711.1199775082632</v>
      </c>
      <c r="H330" s="22">
        <v>400</v>
      </c>
      <c r="I330" s="23">
        <v>326</v>
      </c>
      <c r="AA330" s="95">
        <v>89458.787739273655</v>
      </c>
    </row>
    <row r="331" spans="2:27" x14ac:dyDescent="0.25">
      <c r="B331" s="22">
        <f t="shared" si="21"/>
        <v>3711.1199775082632</v>
      </c>
      <c r="C331" s="21">
        <v>0.03</v>
      </c>
      <c r="D331" s="22">
        <f t="shared" si="22"/>
        <v>9.277799943770658</v>
      </c>
      <c r="E331" s="22">
        <f t="shared" si="24"/>
        <v>3720.397777452034</v>
      </c>
      <c r="F331" s="20"/>
      <c r="G331" s="22">
        <f t="shared" si="23"/>
        <v>3320.397777452034</v>
      </c>
      <c r="H331" s="22">
        <v>400</v>
      </c>
      <c r="I331" s="23">
        <v>327</v>
      </c>
      <c r="AA331" s="95">
        <v>89634.700986806623</v>
      </c>
    </row>
    <row r="332" spans="2:27" x14ac:dyDescent="0.25">
      <c r="B332" s="22">
        <f t="shared" si="21"/>
        <v>3320.397777452034</v>
      </c>
      <c r="C332" s="21">
        <v>0.03</v>
      </c>
      <c r="D332" s="22">
        <f t="shared" si="22"/>
        <v>8.3009944436300849</v>
      </c>
      <c r="E332" s="22">
        <f t="shared" si="24"/>
        <v>3328.6987718956639</v>
      </c>
      <c r="F332" s="20"/>
      <c r="G332" s="22">
        <f t="shared" si="23"/>
        <v>2928.6987718956639</v>
      </c>
      <c r="H332" s="22">
        <v>400</v>
      </c>
      <c r="I332" s="23">
        <v>328</v>
      </c>
      <c r="AA332" s="95">
        <v>89810.1755479368</v>
      </c>
    </row>
    <row r="333" spans="2:27" x14ac:dyDescent="0.25">
      <c r="B333" s="22">
        <f t="shared" si="21"/>
        <v>2928.6987718956639</v>
      </c>
      <c r="C333" s="21">
        <v>0.03</v>
      </c>
      <c r="D333" s="22">
        <f t="shared" si="22"/>
        <v>7.3217469297391595</v>
      </c>
      <c r="E333" s="22">
        <f t="shared" si="24"/>
        <v>2936.0205188254031</v>
      </c>
      <c r="F333" s="20"/>
      <c r="G333" s="22">
        <f t="shared" si="23"/>
        <v>2536.0205188254031</v>
      </c>
      <c r="H333" s="22">
        <v>400</v>
      </c>
      <c r="I333" s="23">
        <v>329</v>
      </c>
      <c r="AA333" s="95">
        <v>89985.212516645173</v>
      </c>
    </row>
    <row r="334" spans="2:27" x14ac:dyDescent="0.25">
      <c r="B334" s="22">
        <f t="shared" si="21"/>
        <v>2536.0205188254031</v>
      </c>
      <c r="C334" s="21">
        <v>0.03</v>
      </c>
      <c r="D334" s="22">
        <f t="shared" si="22"/>
        <v>6.3400512970635079</v>
      </c>
      <c r="E334" s="22">
        <f t="shared" si="24"/>
        <v>2542.3605701224665</v>
      </c>
      <c r="F334" s="20"/>
      <c r="G334" s="22">
        <f t="shared" si="23"/>
        <v>2142.3605701224665</v>
      </c>
      <c r="H334" s="22">
        <v>400</v>
      </c>
      <c r="I334" s="23">
        <v>330</v>
      </c>
      <c r="AA334" s="95">
        <v>90159.812984184697</v>
      </c>
    </row>
    <row r="335" spans="2:27" x14ac:dyDescent="0.25">
      <c r="B335" s="22">
        <f t="shared" si="21"/>
        <v>2142.3605701224665</v>
      </c>
      <c r="C335" s="21">
        <v>0.03</v>
      </c>
      <c r="D335" s="22">
        <f t="shared" si="22"/>
        <v>5.3559014253061665</v>
      </c>
      <c r="E335" s="22">
        <f t="shared" si="24"/>
        <v>2147.7164715477725</v>
      </c>
      <c r="F335" s="20"/>
      <c r="G335" s="22">
        <f t="shared" si="23"/>
        <v>1747.7164715477725</v>
      </c>
      <c r="H335" s="22">
        <v>400</v>
      </c>
      <c r="I335" s="23">
        <v>331</v>
      </c>
      <c r="AA335" s="95">
        <v>90333.978039086986</v>
      </c>
    </row>
    <row r="336" spans="2:27" x14ac:dyDescent="0.25">
      <c r="B336" s="22">
        <f t="shared" si="21"/>
        <v>1747.7164715477725</v>
      </c>
      <c r="C336" s="21">
        <v>0.03</v>
      </c>
      <c r="D336" s="22">
        <f t="shared" si="22"/>
        <v>4.3692911788694309</v>
      </c>
      <c r="E336" s="22">
        <f t="shared" si="24"/>
        <v>1752.0857627266419</v>
      </c>
      <c r="F336" s="20"/>
      <c r="G336" s="22">
        <f t="shared" si="23"/>
        <v>1352.0857627266419</v>
      </c>
      <c r="H336" s="22">
        <v>400</v>
      </c>
      <c r="I336" s="23">
        <v>332</v>
      </c>
      <c r="AA336" s="95">
        <v>90507.708767169068</v>
      </c>
    </row>
    <row r="337" spans="2:27" x14ac:dyDescent="0.25">
      <c r="B337" s="22">
        <f t="shared" si="21"/>
        <v>1352.0857627266419</v>
      </c>
      <c r="C337" s="21">
        <v>0.03</v>
      </c>
      <c r="D337" s="22">
        <f t="shared" si="22"/>
        <v>3.3802144068166049</v>
      </c>
      <c r="E337" s="22">
        <f t="shared" si="24"/>
        <v>1355.4659771334584</v>
      </c>
      <c r="F337" s="20"/>
      <c r="G337" s="22">
        <f t="shared" si="23"/>
        <v>955.46597713345841</v>
      </c>
      <c r="H337" s="22">
        <v>400</v>
      </c>
      <c r="I337" s="23">
        <v>333</v>
      </c>
      <c r="AA337" s="95">
        <v>90681.006251540195</v>
      </c>
    </row>
    <row r="338" spans="2:27" x14ac:dyDescent="0.25">
      <c r="B338" s="22">
        <f t="shared" si="21"/>
        <v>955.46597713345841</v>
      </c>
      <c r="C338" s="21">
        <v>0.03</v>
      </c>
      <c r="D338" s="22">
        <f t="shared" si="22"/>
        <v>2.3886649428336462</v>
      </c>
      <c r="E338" s="22">
        <f t="shared" si="24"/>
        <v>957.85464207629207</v>
      </c>
      <c r="F338" s="20"/>
      <c r="G338" s="22">
        <f t="shared" si="23"/>
        <v>557.85464207629207</v>
      </c>
      <c r="H338" s="22">
        <v>400</v>
      </c>
      <c r="I338" s="23">
        <v>334</v>
      </c>
      <c r="AA338" s="95">
        <v>90853.871572608681</v>
      </c>
    </row>
    <row r="339" spans="2:27" x14ac:dyDescent="0.25">
      <c r="B339" s="22">
        <f t="shared" si="21"/>
        <v>557.85464207629207</v>
      </c>
      <c r="C339" s="21">
        <v>0.03</v>
      </c>
      <c r="D339" s="22">
        <f t="shared" si="22"/>
        <v>1.3946366051907302</v>
      </c>
      <c r="E339" s="22">
        <f t="shared" si="24"/>
        <v>559.24927868148279</v>
      </c>
      <c r="F339" s="20"/>
      <c r="G339" s="22">
        <f t="shared" si="23"/>
        <v>159.24927868148279</v>
      </c>
      <c r="H339" s="22">
        <v>400</v>
      </c>
      <c r="I339" s="23">
        <v>335</v>
      </c>
      <c r="AA339" s="95">
        <v>91026.305808088451</v>
      </c>
    </row>
    <row r="340" spans="2:27" x14ac:dyDescent="0.25">
      <c r="B340" s="83">
        <f t="shared" si="21"/>
        <v>159.24927868148279</v>
      </c>
      <c r="C340" s="46">
        <v>0.03</v>
      </c>
      <c r="D340" s="24">
        <f t="shared" si="22"/>
        <v>0.39812319670370699</v>
      </c>
      <c r="E340" s="83">
        <f t="shared" si="24"/>
        <v>159.64740187818649</v>
      </c>
      <c r="F340" s="84"/>
      <c r="G340" s="83">
        <f t="shared" si="23"/>
        <v>-240.35259812181351</v>
      </c>
      <c r="H340" s="22">
        <v>400</v>
      </c>
      <c r="I340" s="85">
        <v>336</v>
      </c>
      <c r="J340" s="13">
        <f>336/12</f>
        <v>28</v>
      </c>
    </row>
    <row r="341" spans="2:27" x14ac:dyDescent="0.25">
      <c r="B341" s="83">
        <f t="shared" ref="B341" si="25">G340</f>
        <v>-240.35259812181351</v>
      </c>
      <c r="C341" s="46">
        <v>0.03</v>
      </c>
      <c r="D341" s="24">
        <f t="shared" ref="D341" si="26">B341*(0.03/12)</f>
        <v>-0.60088149530453383</v>
      </c>
      <c r="E341" s="83">
        <f t="shared" ref="E341:E342" si="27">B341+D341</f>
        <v>-240.95347961711803</v>
      </c>
      <c r="F341" s="84"/>
      <c r="G341" s="83">
        <f t="shared" ref="G341" si="28">E341-H341</f>
        <v>-640.95347961711809</v>
      </c>
      <c r="H341" s="22">
        <v>400</v>
      </c>
      <c r="I341" s="86">
        <v>337</v>
      </c>
    </row>
    <row r="342" spans="2:27" x14ac:dyDescent="0.25">
      <c r="B342" s="32">
        <f>H342-D342</f>
        <v>91390.953479617106</v>
      </c>
      <c r="C342" s="33"/>
      <c r="D342" s="27">
        <f>SUM(D5:D341)</f>
        <v>43409.046520382886</v>
      </c>
      <c r="E342" s="32">
        <f t="shared" si="27"/>
        <v>134800</v>
      </c>
      <c r="F342" s="32"/>
      <c r="G342" s="32"/>
      <c r="H342" s="32">
        <f>SUM(H5:H341)</f>
        <v>134800</v>
      </c>
      <c r="I342" s="34"/>
    </row>
    <row r="343" spans="2:27" x14ac:dyDescent="0.25">
      <c r="B343" s="35"/>
      <c r="C343" s="36"/>
      <c r="D343" s="35"/>
      <c r="E343" s="35"/>
      <c r="F343" s="37"/>
      <c r="G343" s="35"/>
      <c r="H343" s="35"/>
      <c r="I343" s="38"/>
    </row>
    <row r="345" spans="2:27" x14ac:dyDescent="0.25">
      <c r="B345" s="35"/>
      <c r="C345" s="36"/>
      <c r="D345" s="35"/>
      <c r="E345" s="35"/>
      <c r="F345" s="37"/>
      <c r="G345" s="35"/>
      <c r="H345" s="35"/>
      <c r="I345" s="38"/>
    </row>
    <row r="346" spans="2:27" x14ac:dyDescent="0.25">
      <c r="B346" s="35"/>
      <c r="C346" s="36"/>
      <c r="D346" s="35"/>
      <c r="E346" s="35"/>
      <c r="F346" s="37"/>
      <c r="G346" s="35"/>
      <c r="H346" s="35"/>
      <c r="I346" s="38"/>
    </row>
    <row r="347" spans="2:27" x14ac:dyDescent="0.25">
      <c r="B347" s="35"/>
      <c r="C347" s="36"/>
      <c r="D347" s="35"/>
      <c r="E347" s="35"/>
      <c r="F347" s="37"/>
      <c r="G347" s="35"/>
      <c r="H347" s="35"/>
      <c r="I347" s="38"/>
    </row>
    <row r="348" spans="2:27" x14ac:dyDescent="0.25">
      <c r="B348" s="35"/>
      <c r="C348" s="36"/>
      <c r="D348" s="35"/>
      <c r="E348" s="35"/>
      <c r="F348" s="37"/>
      <c r="G348" s="35"/>
      <c r="H348" s="35"/>
      <c r="I348" s="38"/>
    </row>
    <row r="349" spans="2:27" x14ac:dyDescent="0.25">
      <c r="B349" s="35"/>
      <c r="C349" s="36"/>
      <c r="D349" s="35"/>
      <c r="E349" s="35"/>
      <c r="F349" s="37"/>
      <c r="G349" s="35"/>
      <c r="H349" s="35"/>
      <c r="I349" s="38"/>
    </row>
    <row r="350" spans="2:27" x14ac:dyDescent="0.25">
      <c r="B350" s="35"/>
      <c r="C350" s="36"/>
      <c r="D350" s="35"/>
      <c r="E350" s="35"/>
      <c r="F350" s="37"/>
      <c r="G350" s="35"/>
      <c r="H350" s="35"/>
      <c r="I350" s="38"/>
    </row>
    <row r="351" spans="2:27" x14ac:dyDescent="0.25">
      <c r="B351" s="35"/>
      <c r="C351" s="36"/>
      <c r="D351" s="35"/>
      <c r="E351" s="35"/>
      <c r="F351" s="37"/>
      <c r="G351" s="35"/>
      <c r="H351" s="35"/>
      <c r="I351" s="38"/>
    </row>
    <row r="352" spans="2:27" x14ac:dyDescent="0.25">
      <c r="B352" s="35"/>
      <c r="C352" s="36"/>
      <c r="D352" s="35"/>
      <c r="E352" s="35"/>
      <c r="F352" s="37"/>
      <c r="G352" s="35"/>
      <c r="H352" s="35"/>
      <c r="I352" s="38"/>
      <c r="J352">
        <f>I352/12</f>
        <v>0</v>
      </c>
    </row>
    <row r="353" spans="2:9" x14ac:dyDescent="0.25">
      <c r="B353" s="35"/>
      <c r="C353" s="36"/>
      <c r="D353" s="35"/>
      <c r="E353" s="35"/>
      <c r="F353" s="37"/>
      <c r="G353" s="35"/>
      <c r="H353" s="35"/>
      <c r="I353" s="38"/>
    </row>
    <row r="354" spans="2:9" x14ac:dyDescent="0.25">
      <c r="B354" s="35"/>
      <c r="C354" s="36"/>
      <c r="D354" s="35"/>
      <c r="E354" s="35"/>
      <c r="F354" s="37"/>
      <c r="G354" s="35"/>
      <c r="H354" s="35"/>
      <c r="I354" s="38"/>
    </row>
    <row r="355" spans="2:9" x14ac:dyDescent="0.25">
      <c r="B355" s="35"/>
      <c r="C355" s="36"/>
      <c r="D355" s="35"/>
      <c r="E355" s="35"/>
      <c r="F355" s="37"/>
      <c r="G355" s="35"/>
      <c r="H355" s="35"/>
      <c r="I355" s="38"/>
    </row>
    <row r="356" spans="2:9" x14ac:dyDescent="0.25">
      <c r="B356" s="35"/>
      <c r="C356" s="36"/>
      <c r="D356" s="35"/>
      <c r="E356" s="35"/>
      <c r="F356" s="37"/>
      <c r="G356" s="35"/>
      <c r="H356" s="35"/>
      <c r="I356" s="38"/>
    </row>
    <row r="357" spans="2:9" x14ac:dyDescent="0.25">
      <c r="B357" s="35"/>
      <c r="C357" s="36"/>
      <c r="D357" s="35"/>
      <c r="E357" s="35"/>
      <c r="F357" s="37"/>
      <c r="G357" s="35"/>
      <c r="H357" s="35"/>
      <c r="I357" s="38"/>
    </row>
    <row r="358" spans="2:9" x14ac:dyDescent="0.25">
      <c r="B358" s="35"/>
      <c r="C358" s="36"/>
      <c r="D358" s="35"/>
      <c r="E358" s="35"/>
      <c r="F358" s="37"/>
      <c r="G358" s="35"/>
      <c r="H358" s="35"/>
      <c r="I358" s="38"/>
    </row>
    <row r="359" spans="2:9" x14ac:dyDescent="0.25">
      <c r="B359" s="35"/>
      <c r="C359" s="36"/>
      <c r="D359" s="35"/>
      <c r="E359" s="35"/>
      <c r="F359" s="37"/>
      <c r="G359" s="35"/>
      <c r="H359" s="35"/>
      <c r="I359" s="38"/>
    </row>
    <row r="360" spans="2:9" x14ac:dyDescent="0.25">
      <c r="B360" s="35"/>
      <c r="C360" s="36"/>
      <c r="D360" s="35"/>
      <c r="E360" s="35"/>
      <c r="F360" s="37"/>
      <c r="G360" s="35"/>
      <c r="H360" s="35"/>
      <c r="I360" s="38"/>
    </row>
    <row r="361" spans="2:9" x14ac:dyDescent="0.25">
      <c r="B361" s="35"/>
      <c r="C361" s="36"/>
      <c r="D361" s="35"/>
      <c r="E361" s="35"/>
      <c r="F361" s="37"/>
      <c r="G361" s="35"/>
      <c r="H361" s="35"/>
      <c r="I361" s="38"/>
    </row>
    <row r="362" spans="2:9" x14ac:dyDescent="0.25">
      <c r="B362" s="35"/>
      <c r="C362" s="36"/>
      <c r="D362" s="35"/>
      <c r="E362" s="35"/>
      <c r="F362" s="37"/>
      <c r="G362" s="35"/>
      <c r="H362" s="35"/>
      <c r="I362" s="38"/>
    </row>
    <row r="363" spans="2:9" x14ac:dyDescent="0.25">
      <c r="B363" s="35"/>
      <c r="C363" s="36"/>
      <c r="D363" s="35"/>
      <c r="E363" s="35"/>
      <c r="F363" s="37"/>
      <c r="G363" s="35"/>
      <c r="H363" s="35"/>
      <c r="I363" s="38"/>
    </row>
    <row r="364" spans="2:9" x14ac:dyDescent="0.25">
      <c r="B364" s="35"/>
      <c r="C364" s="36"/>
      <c r="D364" s="35"/>
      <c r="E364" s="35"/>
      <c r="F364" s="37"/>
      <c r="G364" s="35"/>
      <c r="H364" s="35"/>
      <c r="I364" s="38"/>
    </row>
    <row r="365" spans="2:9" x14ac:dyDescent="0.25">
      <c r="B365" s="35"/>
      <c r="C365" s="36"/>
      <c r="D365" s="35"/>
      <c r="E365" s="35"/>
      <c r="F365" s="37"/>
      <c r="G365" s="35"/>
      <c r="H365" s="35"/>
      <c r="I365" s="38"/>
    </row>
    <row r="366" spans="2:9" x14ac:dyDescent="0.25">
      <c r="B366" s="35"/>
      <c r="C366" s="36"/>
      <c r="D366" s="35"/>
      <c r="E366" s="35"/>
      <c r="F366" s="37"/>
      <c r="G366" s="35"/>
      <c r="H366" s="35"/>
      <c r="I366" s="38"/>
    </row>
    <row r="367" spans="2:9" x14ac:dyDescent="0.25">
      <c r="B367" s="35"/>
      <c r="C367" s="36"/>
      <c r="D367" s="35"/>
      <c r="E367" s="35"/>
      <c r="F367" s="37"/>
      <c r="G367" s="35"/>
      <c r="H367" s="35"/>
      <c r="I367" s="38"/>
    </row>
    <row r="368" spans="2:9" x14ac:dyDescent="0.25">
      <c r="B368" s="35"/>
      <c r="C368" s="36"/>
      <c r="D368" s="35"/>
      <c r="E368" s="35"/>
      <c r="F368" s="37"/>
      <c r="G368" s="35"/>
      <c r="H368" s="35"/>
      <c r="I368" s="38"/>
    </row>
    <row r="369" spans="2:10" x14ac:dyDescent="0.25">
      <c r="B369" s="35"/>
      <c r="C369" s="36"/>
      <c r="D369" s="35"/>
      <c r="E369" s="35"/>
      <c r="F369" s="37"/>
      <c r="G369" s="35"/>
      <c r="H369" s="35"/>
      <c r="I369" s="38"/>
    </row>
    <row r="370" spans="2:10" x14ac:dyDescent="0.25">
      <c r="B370" s="35"/>
      <c r="C370" s="36"/>
      <c r="D370" s="35"/>
      <c r="E370" s="35"/>
      <c r="F370" s="37"/>
      <c r="G370" s="35"/>
      <c r="H370" s="35"/>
      <c r="I370" s="38"/>
      <c r="J370">
        <f>I370/12</f>
        <v>0</v>
      </c>
    </row>
    <row r="371" spans="2:10" x14ac:dyDescent="0.25">
      <c r="B371" s="35"/>
      <c r="C371" s="39"/>
      <c r="D371" s="35"/>
      <c r="E371" s="35"/>
      <c r="F371" s="37"/>
      <c r="G371" s="35"/>
      <c r="H371" s="35"/>
      <c r="I371" s="38"/>
    </row>
    <row r="372" spans="2:10" x14ac:dyDescent="0.25">
      <c r="B372" s="35"/>
      <c r="C372" s="39"/>
      <c r="D372" s="35"/>
      <c r="E372" s="35"/>
      <c r="F372" s="37"/>
      <c r="G372" s="35"/>
      <c r="H372" s="35"/>
      <c r="I372" s="38"/>
    </row>
    <row r="373" spans="2:10" x14ac:dyDescent="0.25">
      <c r="B373" s="35"/>
      <c r="C373" s="39"/>
      <c r="D373" s="35"/>
      <c r="E373" s="35"/>
      <c r="F373" s="37"/>
      <c r="G373" s="35"/>
      <c r="H373" s="35"/>
      <c r="I373" s="38"/>
    </row>
    <row r="374" spans="2:10" x14ac:dyDescent="0.25">
      <c r="B374" s="35"/>
      <c r="C374" s="39"/>
      <c r="D374" s="35"/>
      <c r="E374" s="35"/>
      <c r="F374" s="37"/>
      <c r="G374" s="35"/>
      <c r="H374" s="35"/>
      <c r="I374" s="38"/>
    </row>
    <row r="375" spans="2:10" x14ac:dyDescent="0.25">
      <c r="B375" s="35"/>
      <c r="C375" s="39"/>
      <c r="D375" s="35"/>
      <c r="E375" s="35"/>
      <c r="F375" s="37"/>
      <c r="G375" s="35"/>
      <c r="H375" s="35"/>
      <c r="I375" s="38"/>
    </row>
    <row r="376" spans="2:10" x14ac:dyDescent="0.25">
      <c r="B376" s="35"/>
      <c r="C376" s="39"/>
      <c r="D376" s="35"/>
      <c r="E376" s="35"/>
      <c r="F376" s="37"/>
      <c r="G376" s="35"/>
      <c r="H376" s="35"/>
      <c r="I376" s="38"/>
    </row>
    <row r="377" spans="2:10" x14ac:dyDescent="0.25">
      <c r="B377" s="35"/>
      <c r="C377" s="39"/>
      <c r="D377" s="35"/>
      <c r="E377" s="35"/>
      <c r="F377" s="37"/>
      <c r="G377" s="35"/>
      <c r="H377" s="35"/>
      <c r="I377" s="38"/>
    </row>
    <row r="378" spans="2:10" x14ac:dyDescent="0.25">
      <c r="B378" s="35"/>
      <c r="C378" s="39"/>
      <c r="D378" s="35"/>
      <c r="E378" s="35"/>
      <c r="F378" s="37"/>
      <c r="G378" s="35"/>
      <c r="H378" s="35"/>
      <c r="I378" s="38"/>
    </row>
    <row r="379" spans="2:10" x14ac:dyDescent="0.25">
      <c r="B379" s="35"/>
      <c r="C379" s="39"/>
      <c r="D379" s="35"/>
      <c r="E379" s="35"/>
      <c r="F379" s="37"/>
      <c r="G379" s="35"/>
      <c r="H379" s="35"/>
      <c r="I379" s="38"/>
    </row>
    <row r="380" spans="2:10" x14ac:dyDescent="0.25">
      <c r="B380" s="35"/>
      <c r="C380" s="39"/>
      <c r="D380" s="35"/>
      <c r="E380" s="35"/>
      <c r="F380" s="37"/>
      <c r="G380" s="35"/>
      <c r="H380" s="35"/>
      <c r="I380" s="38"/>
    </row>
    <row r="381" spans="2:10" x14ac:dyDescent="0.25">
      <c r="B381" s="35"/>
      <c r="C381" s="39"/>
      <c r="D381" s="35"/>
      <c r="E381" s="35"/>
      <c r="F381" s="37"/>
      <c r="G381" s="35"/>
      <c r="H381" s="35"/>
      <c r="I381" s="38"/>
    </row>
    <row r="382" spans="2:10" x14ac:dyDescent="0.25">
      <c r="B382" s="35"/>
      <c r="C382" s="39"/>
      <c r="D382" s="35"/>
      <c r="E382" s="35"/>
      <c r="F382" s="37"/>
      <c r="G382" s="35"/>
      <c r="H382" s="35"/>
      <c r="I382" s="38"/>
    </row>
    <row r="383" spans="2:10" x14ac:dyDescent="0.25">
      <c r="B383" s="35"/>
      <c r="C383" s="39"/>
      <c r="D383" s="35"/>
      <c r="E383" s="35"/>
      <c r="F383" s="37"/>
      <c r="G383" s="35"/>
      <c r="H383" s="35"/>
      <c r="I383" s="38"/>
    </row>
    <row r="384" spans="2:10" x14ac:dyDescent="0.25">
      <c r="B384" s="35"/>
      <c r="C384" s="39"/>
      <c r="D384" s="35"/>
      <c r="E384" s="35"/>
      <c r="F384" s="37"/>
      <c r="G384" s="35"/>
      <c r="H384" s="35"/>
      <c r="I384" s="38"/>
    </row>
    <row r="385" spans="2:9" x14ac:dyDescent="0.25">
      <c r="B385" s="35"/>
      <c r="C385" s="39"/>
      <c r="D385" s="35"/>
      <c r="E385" s="35"/>
      <c r="F385" s="37"/>
      <c r="G385" s="35"/>
      <c r="H385" s="35"/>
      <c r="I385" s="38"/>
    </row>
    <row r="386" spans="2:9" x14ac:dyDescent="0.25">
      <c r="B386" s="35"/>
      <c r="C386" s="39"/>
      <c r="D386" s="35"/>
      <c r="E386" s="35"/>
      <c r="F386" s="37"/>
      <c r="G386" s="35"/>
      <c r="H386" s="35"/>
      <c r="I386" s="38"/>
    </row>
    <row r="387" spans="2:9" x14ac:dyDescent="0.25">
      <c r="B387" s="35"/>
      <c r="C387" s="39"/>
      <c r="D387" s="35"/>
      <c r="E387" s="35"/>
      <c r="F387" s="37"/>
      <c r="G387" s="35"/>
      <c r="H387" s="35"/>
      <c r="I387" s="38"/>
    </row>
    <row r="388" spans="2:9" x14ac:dyDescent="0.25">
      <c r="B388" s="35"/>
      <c r="C388" s="39"/>
      <c r="D388" s="35"/>
      <c r="E388" s="35"/>
      <c r="F388" s="37"/>
      <c r="G388" s="35"/>
      <c r="H388" s="35"/>
      <c r="I388" s="38"/>
    </row>
    <row r="389" spans="2:9" x14ac:dyDescent="0.25">
      <c r="B389" s="35"/>
      <c r="C389" s="39"/>
      <c r="D389" s="35"/>
      <c r="E389" s="35"/>
      <c r="F389" s="37"/>
      <c r="G389" s="35"/>
      <c r="H389" s="35"/>
      <c r="I389" s="38"/>
    </row>
    <row r="390" spans="2:9" x14ac:dyDescent="0.25">
      <c r="B390" s="35"/>
      <c r="C390" s="39"/>
      <c r="D390" s="35"/>
      <c r="E390" s="35"/>
      <c r="F390" s="37"/>
      <c r="G390" s="35"/>
      <c r="H390" s="35"/>
      <c r="I390" s="38"/>
    </row>
    <row r="391" spans="2:9" x14ac:dyDescent="0.25">
      <c r="B391" s="35"/>
      <c r="C391" s="39"/>
      <c r="D391" s="35"/>
      <c r="E391" s="35"/>
      <c r="F391" s="37"/>
      <c r="G391" s="35"/>
      <c r="H391" s="35"/>
      <c r="I391" s="38"/>
    </row>
    <row r="392" spans="2:9" x14ac:dyDescent="0.25">
      <c r="B392" s="35"/>
      <c r="C392" s="39"/>
      <c r="D392" s="35"/>
      <c r="E392" s="35"/>
      <c r="F392" s="37"/>
      <c r="G392" s="35"/>
      <c r="H392" s="35"/>
      <c r="I392" s="38"/>
    </row>
    <row r="393" spans="2:9" x14ac:dyDescent="0.25">
      <c r="B393" s="35"/>
      <c r="C393" s="39"/>
      <c r="D393" s="35"/>
      <c r="E393" s="35"/>
      <c r="F393" s="37"/>
      <c r="G393" s="35"/>
      <c r="H393" s="35"/>
      <c r="I393" s="38"/>
    </row>
    <row r="394" spans="2:9" x14ac:dyDescent="0.25">
      <c r="B394" s="35"/>
      <c r="C394" s="39"/>
      <c r="D394" s="35"/>
      <c r="E394" s="35"/>
      <c r="F394" s="37"/>
      <c r="G394" s="35"/>
      <c r="H394" s="35"/>
      <c r="I394" s="38"/>
    </row>
    <row r="395" spans="2:9" x14ac:dyDescent="0.25">
      <c r="B395" s="35"/>
      <c r="C395" s="39"/>
      <c r="D395" s="35"/>
      <c r="E395" s="35"/>
      <c r="F395" s="37"/>
      <c r="G395" s="35"/>
      <c r="H395" s="35"/>
      <c r="I395" s="38"/>
    </row>
    <row r="396" spans="2:9" x14ac:dyDescent="0.25">
      <c r="B396" s="35"/>
      <c r="C396" s="39"/>
      <c r="D396" s="35"/>
      <c r="E396" s="35"/>
      <c r="F396" s="37"/>
      <c r="G396" s="35"/>
      <c r="H396" s="35"/>
      <c r="I396" s="38"/>
    </row>
    <row r="397" spans="2:9" x14ac:dyDescent="0.25">
      <c r="B397" s="35"/>
      <c r="C397" s="39"/>
      <c r="D397" s="35"/>
      <c r="E397" s="35"/>
      <c r="F397" s="37"/>
      <c r="G397" s="35"/>
      <c r="H397" s="35"/>
      <c r="I397" s="38"/>
    </row>
    <row r="398" spans="2:9" x14ac:dyDescent="0.25">
      <c r="B398" s="35"/>
      <c r="C398" s="39"/>
      <c r="D398" s="35"/>
      <c r="E398" s="35"/>
      <c r="F398" s="37"/>
      <c r="G398" s="35"/>
      <c r="H398" s="35"/>
      <c r="I398" s="38"/>
    </row>
    <row r="399" spans="2:9" x14ac:dyDescent="0.25">
      <c r="B399" s="35"/>
      <c r="C399" s="39"/>
      <c r="D399" s="35"/>
      <c r="E399" s="35"/>
      <c r="F399" s="37"/>
      <c r="G399" s="35"/>
      <c r="H399" s="35"/>
      <c r="I399" s="38"/>
    </row>
    <row r="400" spans="2:9" x14ac:dyDescent="0.25">
      <c r="B400" s="35"/>
      <c r="C400" s="39"/>
      <c r="D400" s="35"/>
      <c r="E400" s="35"/>
      <c r="F400" s="37"/>
      <c r="G400" s="35"/>
      <c r="H400" s="35"/>
      <c r="I400" s="38"/>
    </row>
    <row r="401" spans="2:9" x14ac:dyDescent="0.25">
      <c r="B401" s="35"/>
      <c r="C401" s="39"/>
      <c r="D401" s="35"/>
      <c r="E401" s="35"/>
      <c r="F401" s="37"/>
      <c r="G401" s="35"/>
      <c r="H401" s="35"/>
      <c r="I401" s="38"/>
    </row>
    <row r="402" spans="2:9" x14ac:dyDescent="0.25">
      <c r="B402" s="35"/>
      <c r="C402" s="39"/>
      <c r="D402" s="35"/>
      <c r="E402" s="35"/>
      <c r="F402" s="37"/>
      <c r="G402" s="35"/>
      <c r="H402" s="35"/>
      <c r="I402" s="38"/>
    </row>
    <row r="403" spans="2:9" x14ac:dyDescent="0.25">
      <c r="B403" s="35"/>
      <c r="C403" s="39"/>
      <c r="D403" s="35"/>
      <c r="E403" s="35"/>
      <c r="F403" s="37"/>
      <c r="G403" s="35"/>
      <c r="H403" s="35"/>
      <c r="I403" s="38"/>
    </row>
    <row r="404" spans="2:9" x14ac:dyDescent="0.25">
      <c r="B404" s="35"/>
      <c r="C404" s="39"/>
      <c r="D404" s="35"/>
      <c r="E404" s="35"/>
      <c r="F404" s="37"/>
      <c r="G404" s="35"/>
      <c r="H404" s="35"/>
      <c r="I404" s="38"/>
    </row>
    <row r="405" spans="2:9" x14ac:dyDescent="0.25">
      <c r="B405" s="35"/>
      <c r="C405" s="39"/>
      <c r="D405" s="35"/>
      <c r="E405" s="35"/>
      <c r="F405" s="37"/>
      <c r="G405" s="35"/>
      <c r="H405" s="35"/>
      <c r="I405" s="38"/>
    </row>
    <row r="406" spans="2:9" x14ac:dyDescent="0.25">
      <c r="B406" s="35"/>
      <c r="C406" s="39"/>
      <c r="D406" s="35"/>
      <c r="E406" s="35"/>
      <c r="F406" s="37"/>
      <c r="G406" s="35"/>
      <c r="H406" s="35"/>
      <c r="I406" s="38"/>
    </row>
    <row r="407" spans="2:9" x14ac:dyDescent="0.25">
      <c r="B407" s="35"/>
      <c r="C407" s="39"/>
      <c r="D407" s="35"/>
      <c r="E407" s="35"/>
      <c r="F407" s="37"/>
      <c r="G407" s="35"/>
      <c r="H407" s="35"/>
      <c r="I407" s="38"/>
    </row>
    <row r="408" spans="2:9" x14ac:dyDescent="0.25">
      <c r="B408" s="35"/>
      <c r="C408" s="39"/>
      <c r="D408" s="35"/>
      <c r="E408" s="35"/>
      <c r="F408" s="37"/>
      <c r="G408" s="35"/>
      <c r="H408" s="35"/>
      <c r="I408" s="38"/>
    </row>
    <row r="409" spans="2:9" x14ac:dyDescent="0.25">
      <c r="B409" s="35"/>
      <c r="C409" s="39"/>
      <c r="D409" s="35"/>
      <c r="E409" s="35"/>
      <c r="F409" s="37"/>
      <c r="G409" s="35"/>
      <c r="H409" s="35"/>
      <c r="I409" s="38"/>
    </row>
    <row r="410" spans="2:9" x14ac:dyDescent="0.25">
      <c r="B410" s="35"/>
      <c r="C410" s="39"/>
      <c r="D410" s="35"/>
      <c r="E410" s="35"/>
      <c r="F410" s="37"/>
      <c r="G410" s="35"/>
      <c r="H410" s="35"/>
      <c r="I410" s="38"/>
    </row>
    <row r="411" spans="2:9" x14ac:dyDescent="0.25">
      <c r="B411" s="35"/>
      <c r="C411" s="39"/>
      <c r="D411" s="35"/>
      <c r="E411" s="35"/>
      <c r="F411" s="37"/>
      <c r="G411" s="35"/>
      <c r="H411" s="35"/>
      <c r="I411" s="38"/>
    </row>
    <row r="412" spans="2:9" x14ac:dyDescent="0.25">
      <c r="B412" s="35"/>
      <c r="C412" s="39"/>
      <c r="D412" s="35"/>
      <c r="E412" s="35"/>
      <c r="F412" s="37"/>
      <c r="G412" s="35"/>
      <c r="H412" s="35"/>
      <c r="I412" s="38"/>
    </row>
    <row r="413" spans="2:9" x14ac:dyDescent="0.25">
      <c r="B413" s="35"/>
      <c r="C413" s="39"/>
      <c r="D413" s="35"/>
      <c r="E413" s="35"/>
      <c r="F413" s="37"/>
      <c r="G413" s="35"/>
      <c r="H413" s="35"/>
      <c r="I413" s="38"/>
    </row>
    <row r="414" spans="2:9" x14ac:dyDescent="0.25">
      <c r="B414" s="35"/>
      <c r="C414" s="39"/>
      <c r="D414" s="35"/>
      <c r="E414" s="35"/>
      <c r="F414" s="37"/>
      <c r="G414" s="35"/>
      <c r="H414" s="35"/>
      <c r="I414" s="38"/>
    </row>
    <row r="415" spans="2:9" x14ac:dyDescent="0.25">
      <c r="B415" s="35"/>
      <c r="C415" s="39"/>
      <c r="D415" s="35"/>
      <c r="E415" s="35"/>
      <c r="F415" s="37"/>
      <c r="G415" s="35"/>
      <c r="H415" s="35"/>
      <c r="I415" s="38"/>
    </row>
    <row r="416" spans="2:9" x14ac:dyDescent="0.25">
      <c r="B416" s="35"/>
      <c r="C416" s="39"/>
      <c r="D416" s="35"/>
      <c r="E416" s="35"/>
      <c r="F416" s="37"/>
      <c r="G416" s="35"/>
      <c r="H416" s="35"/>
      <c r="I416" s="38"/>
    </row>
    <row r="417" spans="2:10" x14ac:dyDescent="0.25">
      <c r="B417" s="35"/>
      <c r="C417" s="39"/>
      <c r="D417" s="35"/>
      <c r="E417" s="35"/>
      <c r="F417" s="37"/>
      <c r="G417" s="35"/>
      <c r="H417" s="35"/>
      <c r="I417" s="38"/>
    </row>
    <row r="418" spans="2:10" x14ac:dyDescent="0.25">
      <c r="B418" s="35"/>
      <c r="C418" s="39"/>
      <c r="D418" s="35"/>
      <c r="E418" s="35"/>
      <c r="F418" s="37"/>
      <c r="G418" s="35"/>
      <c r="H418" s="35"/>
      <c r="I418" s="38"/>
      <c r="J418">
        <f>I418/12</f>
        <v>0</v>
      </c>
    </row>
    <row r="419" spans="2:10" x14ac:dyDescent="0.25">
      <c r="B419" s="40"/>
      <c r="C419" s="40"/>
      <c r="D419" s="40"/>
      <c r="E419" s="40"/>
      <c r="F419" s="40"/>
      <c r="G419" s="40"/>
      <c r="H419" s="40"/>
      <c r="I419" s="40"/>
    </row>
    <row r="420" spans="2:10" x14ac:dyDescent="0.25">
      <c r="B420" s="40"/>
      <c r="C420" s="40"/>
      <c r="D420" s="40"/>
      <c r="E420" s="40"/>
      <c r="F420" s="40"/>
      <c r="G420" s="40"/>
      <c r="H420" s="40"/>
      <c r="I420" s="40"/>
    </row>
    <row r="421" spans="2:10" x14ac:dyDescent="0.25">
      <c r="B421" s="40"/>
      <c r="C421" s="40"/>
      <c r="D421" s="40"/>
      <c r="E421" s="40"/>
      <c r="F421" s="40"/>
      <c r="G421" s="40"/>
      <c r="H421" s="40"/>
      <c r="I421" s="40"/>
    </row>
    <row r="422" spans="2:10" x14ac:dyDescent="0.25">
      <c r="B422" s="40"/>
      <c r="C422" s="40"/>
      <c r="D422" s="40"/>
      <c r="E422" s="40"/>
      <c r="F422" s="40"/>
      <c r="G422" s="40"/>
      <c r="H422" s="40"/>
      <c r="I422" s="40"/>
    </row>
    <row r="423" spans="2:10" x14ac:dyDescent="0.25">
      <c r="B423" s="40"/>
      <c r="C423" s="40"/>
      <c r="D423" s="40"/>
      <c r="E423" s="40"/>
      <c r="F423" s="40"/>
      <c r="G423" s="40"/>
      <c r="H423" s="40"/>
      <c r="I423" s="40"/>
    </row>
    <row r="424" spans="2:10" x14ac:dyDescent="0.25">
      <c r="B424" s="40"/>
      <c r="C424" s="40"/>
      <c r="D424" s="40"/>
      <c r="E424" s="40"/>
      <c r="F424" s="40"/>
      <c r="G424" s="40"/>
      <c r="H424" s="40"/>
      <c r="I424" s="40"/>
    </row>
    <row r="425" spans="2:10" x14ac:dyDescent="0.25">
      <c r="B425" s="40"/>
      <c r="C425" s="40"/>
      <c r="D425" s="40"/>
      <c r="E425" s="40"/>
      <c r="F425" s="40"/>
      <c r="G425" s="40"/>
      <c r="H425" s="40"/>
      <c r="I425" s="40"/>
    </row>
    <row r="426" spans="2:10" x14ac:dyDescent="0.25">
      <c r="B426" s="40"/>
      <c r="C426" s="40"/>
      <c r="D426" s="40"/>
      <c r="E426" s="40"/>
      <c r="F426" s="40"/>
      <c r="G426" s="40"/>
      <c r="H426" s="40"/>
      <c r="I426" s="40"/>
    </row>
    <row r="427" spans="2:10" x14ac:dyDescent="0.25">
      <c r="B427" s="40"/>
      <c r="C427" s="40"/>
      <c r="D427" s="40"/>
      <c r="E427" s="40"/>
      <c r="F427" s="40"/>
      <c r="G427" s="40"/>
      <c r="H427" s="40"/>
      <c r="I427" s="40"/>
    </row>
    <row r="428" spans="2:10" x14ac:dyDescent="0.25">
      <c r="B428" s="40"/>
      <c r="C428" s="40"/>
      <c r="D428" s="40"/>
      <c r="E428" s="40"/>
      <c r="F428" s="40"/>
      <c r="G428" s="40"/>
      <c r="H428" s="40"/>
      <c r="I428" s="40"/>
    </row>
    <row r="429" spans="2:10" x14ac:dyDescent="0.25">
      <c r="B429" s="40"/>
      <c r="C429" s="40"/>
      <c r="D429" s="40"/>
      <c r="E429" s="40"/>
      <c r="F429" s="40"/>
      <c r="G429" s="40"/>
      <c r="H429" s="40"/>
      <c r="I429" s="40"/>
    </row>
    <row r="430" spans="2:10" x14ac:dyDescent="0.25">
      <c r="B430" s="40"/>
      <c r="C430" s="40"/>
      <c r="D430" s="40"/>
      <c r="E430" s="40"/>
      <c r="F430" s="40"/>
      <c r="G430" s="40"/>
      <c r="H430" s="40"/>
      <c r="I430" s="40"/>
    </row>
    <row r="431" spans="2:10" x14ac:dyDescent="0.25">
      <c r="B431" s="40"/>
      <c r="C431" s="40"/>
      <c r="D431" s="40"/>
      <c r="E431" s="40"/>
      <c r="F431" s="40"/>
      <c r="G431" s="40"/>
      <c r="H431" s="40"/>
      <c r="I431" s="40"/>
    </row>
    <row r="432" spans="2:10" x14ac:dyDescent="0.25">
      <c r="B432" s="40"/>
      <c r="C432" s="40"/>
      <c r="D432" s="40"/>
      <c r="E432" s="40"/>
      <c r="F432" s="40"/>
      <c r="G432" s="40"/>
      <c r="H432" s="40"/>
      <c r="I432" s="40"/>
    </row>
    <row r="433" spans="2:9" x14ac:dyDescent="0.25">
      <c r="B433" s="40"/>
      <c r="C433" s="40"/>
      <c r="D433" s="40"/>
      <c r="E433" s="40"/>
      <c r="F433" s="40"/>
      <c r="G433" s="40"/>
      <c r="H433" s="40"/>
      <c r="I433" s="40"/>
    </row>
    <row r="434" spans="2:9" x14ac:dyDescent="0.25">
      <c r="B434" s="40"/>
      <c r="C434" s="40"/>
      <c r="D434" s="40"/>
      <c r="E434" s="40"/>
      <c r="F434" s="40"/>
      <c r="G434" s="40"/>
      <c r="H434" s="40"/>
      <c r="I434" s="40"/>
    </row>
    <row r="435" spans="2:9" x14ac:dyDescent="0.25">
      <c r="B435" s="40"/>
      <c r="C435" s="40"/>
      <c r="D435" s="40"/>
      <c r="E435" s="40"/>
      <c r="F435" s="40"/>
      <c r="G435" s="40"/>
      <c r="H435" s="40"/>
      <c r="I435" s="40"/>
    </row>
    <row r="436" spans="2:9" x14ac:dyDescent="0.25">
      <c r="B436" s="40"/>
      <c r="C436" s="40"/>
      <c r="D436" s="40"/>
      <c r="E436" s="40"/>
      <c r="F436" s="40"/>
      <c r="G436" s="40"/>
      <c r="H436" s="40"/>
      <c r="I436" s="40"/>
    </row>
    <row r="437" spans="2:9" x14ac:dyDescent="0.25">
      <c r="B437" s="40"/>
      <c r="C437" s="40"/>
      <c r="D437" s="40"/>
      <c r="E437" s="40"/>
      <c r="F437" s="40"/>
      <c r="G437" s="40"/>
      <c r="H437" s="40"/>
      <c r="I437" s="40"/>
    </row>
    <row r="438" spans="2:9" x14ac:dyDescent="0.25">
      <c r="B438" s="40"/>
      <c r="C438" s="40"/>
      <c r="D438" s="40"/>
      <c r="E438" s="40"/>
      <c r="F438" s="40"/>
      <c r="G438" s="40"/>
      <c r="H438" s="40"/>
      <c r="I438" s="40"/>
    </row>
    <row r="439" spans="2:9" x14ac:dyDescent="0.25">
      <c r="B439" s="40"/>
      <c r="C439" s="40"/>
      <c r="D439" s="40"/>
      <c r="E439" s="40"/>
      <c r="F439" s="40"/>
      <c r="G439" s="40"/>
      <c r="H439" s="40"/>
      <c r="I439" s="40"/>
    </row>
    <row r="440" spans="2:9" x14ac:dyDescent="0.25">
      <c r="B440" s="40"/>
      <c r="C440" s="40"/>
      <c r="D440" s="40"/>
      <c r="E440" s="40"/>
      <c r="F440" s="40"/>
      <c r="G440" s="40"/>
      <c r="H440" s="40"/>
      <c r="I440" s="40"/>
    </row>
    <row r="441" spans="2:9" x14ac:dyDescent="0.25">
      <c r="B441" s="40"/>
      <c r="C441" s="40"/>
      <c r="D441" s="40"/>
      <c r="E441" s="40"/>
      <c r="F441" s="40"/>
      <c r="G441" s="40"/>
      <c r="H441" s="40"/>
      <c r="I441" s="40"/>
    </row>
    <row r="442" spans="2:9" x14ac:dyDescent="0.25">
      <c r="B442" s="40"/>
      <c r="C442" s="40"/>
      <c r="D442" s="40"/>
      <c r="E442" s="40"/>
      <c r="F442" s="40"/>
      <c r="G442" s="40"/>
      <c r="H442" s="40"/>
      <c r="I442" s="40"/>
    </row>
    <row r="443" spans="2:9" x14ac:dyDescent="0.25">
      <c r="B443" s="40"/>
      <c r="C443" s="40"/>
      <c r="D443" s="40"/>
      <c r="E443" s="40"/>
      <c r="F443" s="40"/>
      <c r="G443" s="40"/>
      <c r="H443" s="40"/>
      <c r="I443" s="40"/>
    </row>
    <row r="444" spans="2:9" x14ac:dyDescent="0.25">
      <c r="B444" s="40"/>
      <c r="C444" s="40"/>
      <c r="D444" s="40"/>
      <c r="E444" s="40"/>
      <c r="F444" s="40"/>
      <c r="G444" s="40"/>
      <c r="H444" s="40"/>
      <c r="I444" s="40"/>
    </row>
    <row r="445" spans="2:9" x14ac:dyDescent="0.25">
      <c r="B445" s="40"/>
      <c r="C445" s="40"/>
      <c r="D445" s="40"/>
      <c r="E445" s="40"/>
      <c r="F445" s="40"/>
      <c r="G445" s="40"/>
      <c r="H445" s="40"/>
      <c r="I445" s="40"/>
    </row>
    <row r="446" spans="2:9" x14ac:dyDescent="0.25">
      <c r="B446" s="40"/>
      <c r="C446" s="40"/>
      <c r="D446" s="40"/>
      <c r="E446" s="40"/>
      <c r="F446" s="40"/>
      <c r="G446" s="40"/>
      <c r="H446" s="40"/>
      <c r="I446" s="40"/>
    </row>
    <row r="447" spans="2:9" x14ac:dyDescent="0.25">
      <c r="B447" s="40"/>
      <c r="C447" s="40"/>
      <c r="D447" s="40"/>
      <c r="E447" s="40"/>
      <c r="F447" s="40"/>
      <c r="G447" s="40"/>
      <c r="H447" s="40"/>
      <c r="I447" s="40"/>
    </row>
    <row r="448" spans="2:9" x14ac:dyDescent="0.25">
      <c r="B448" s="40"/>
      <c r="C448" s="40"/>
      <c r="D448" s="40"/>
      <c r="E448" s="40"/>
      <c r="F448" s="40"/>
      <c r="G448" s="40"/>
      <c r="H448" s="40"/>
      <c r="I448" s="40"/>
    </row>
    <row r="449" spans="2:9" x14ac:dyDescent="0.25">
      <c r="B449" s="40"/>
      <c r="C449" s="40"/>
      <c r="D449" s="40"/>
      <c r="E449" s="40"/>
      <c r="F449" s="40"/>
      <c r="G449" s="40"/>
      <c r="H449" s="40"/>
      <c r="I449" s="40"/>
    </row>
    <row r="450" spans="2:9" x14ac:dyDescent="0.25">
      <c r="B450" s="40"/>
      <c r="C450" s="40"/>
      <c r="D450" s="40"/>
      <c r="E450" s="40"/>
      <c r="F450" s="40"/>
      <c r="G450" s="40"/>
      <c r="H450" s="40"/>
      <c r="I450" s="40"/>
    </row>
    <row r="451" spans="2:9" x14ac:dyDescent="0.25">
      <c r="B451" s="40"/>
      <c r="C451" s="40"/>
      <c r="D451" s="40"/>
      <c r="E451" s="40"/>
      <c r="F451" s="40"/>
      <c r="G451" s="40"/>
      <c r="H451" s="40"/>
      <c r="I451" s="40"/>
    </row>
    <row r="452" spans="2:9" x14ac:dyDescent="0.25">
      <c r="B452" s="40"/>
      <c r="C452" s="40"/>
      <c r="D452" s="40"/>
      <c r="E452" s="40"/>
      <c r="F452" s="40"/>
      <c r="G452" s="40"/>
      <c r="H452" s="40"/>
      <c r="I452" s="40"/>
    </row>
    <row r="453" spans="2:9" x14ac:dyDescent="0.25">
      <c r="B453" s="40"/>
      <c r="C453" s="40"/>
      <c r="D453" s="40"/>
      <c r="E453" s="40"/>
      <c r="F453" s="40"/>
      <c r="G453" s="40"/>
      <c r="H453" s="40"/>
      <c r="I453" s="40"/>
    </row>
    <row r="454" spans="2:9" x14ac:dyDescent="0.25">
      <c r="B454" s="40"/>
      <c r="C454" s="40"/>
      <c r="D454" s="40"/>
      <c r="E454" s="40"/>
      <c r="F454" s="40"/>
      <c r="G454" s="40"/>
      <c r="H454" s="40"/>
      <c r="I454" s="40"/>
    </row>
    <row r="455" spans="2:9" x14ac:dyDescent="0.25">
      <c r="B455" s="40"/>
      <c r="C455" s="40"/>
      <c r="D455" s="40"/>
      <c r="E455" s="40"/>
      <c r="F455" s="40"/>
      <c r="G455" s="40"/>
      <c r="H455" s="40"/>
      <c r="I455" s="40"/>
    </row>
    <row r="456" spans="2:9" x14ac:dyDescent="0.25">
      <c r="B456" s="40"/>
      <c r="C456" s="40"/>
      <c r="D456" s="40"/>
      <c r="E456" s="40"/>
      <c r="F456" s="40"/>
      <c r="G456" s="40"/>
      <c r="H456" s="40"/>
      <c r="I456" s="40"/>
    </row>
    <row r="457" spans="2:9" x14ac:dyDescent="0.25">
      <c r="B457" s="40"/>
      <c r="C457" s="40"/>
      <c r="D457" s="40"/>
      <c r="E457" s="40"/>
      <c r="F457" s="40"/>
      <c r="G457" s="40"/>
      <c r="H457" s="40"/>
      <c r="I457" s="40"/>
    </row>
    <row r="458" spans="2:9" x14ac:dyDescent="0.25">
      <c r="B458" s="40"/>
      <c r="C458" s="40"/>
      <c r="D458" s="40"/>
      <c r="E458" s="40"/>
      <c r="F458" s="40"/>
      <c r="G458" s="40"/>
      <c r="H458" s="40"/>
      <c r="I458" s="40"/>
    </row>
    <row r="459" spans="2:9" x14ac:dyDescent="0.25">
      <c r="B459" s="40"/>
      <c r="C459" s="40"/>
      <c r="D459" s="40"/>
      <c r="E459" s="40"/>
      <c r="F459" s="40"/>
      <c r="G459" s="40"/>
      <c r="H459" s="40"/>
      <c r="I459" s="40"/>
    </row>
    <row r="460" spans="2:9" x14ac:dyDescent="0.25">
      <c r="B460" s="40"/>
      <c r="C460" s="40"/>
      <c r="D460" s="40"/>
      <c r="E460" s="40"/>
      <c r="F460" s="40"/>
      <c r="G460" s="40"/>
      <c r="H460" s="40"/>
      <c r="I460" s="40"/>
    </row>
    <row r="461" spans="2:9" x14ac:dyDescent="0.25">
      <c r="B461" s="40"/>
      <c r="C461" s="40"/>
      <c r="D461" s="40"/>
      <c r="E461" s="40"/>
      <c r="F461" s="40"/>
      <c r="G461" s="40"/>
      <c r="H461" s="40"/>
      <c r="I461" s="40"/>
    </row>
    <row r="462" spans="2:9" x14ac:dyDescent="0.25">
      <c r="B462" s="40"/>
      <c r="C462" s="40"/>
      <c r="D462" s="40"/>
      <c r="E462" s="40"/>
      <c r="F462" s="40"/>
      <c r="G462" s="40"/>
      <c r="H462" s="40"/>
      <c r="I462" s="40"/>
    </row>
    <row r="463" spans="2:9" x14ac:dyDescent="0.25">
      <c r="B463" s="40"/>
      <c r="C463" s="40"/>
      <c r="D463" s="40"/>
      <c r="E463" s="40"/>
      <c r="F463" s="40"/>
      <c r="G463" s="40"/>
      <c r="H463" s="40"/>
      <c r="I463" s="40"/>
    </row>
    <row r="464" spans="2:9" x14ac:dyDescent="0.25">
      <c r="B464" s="40"/>
      <c r="C464" s="40"/>
      <c r="D464" s="40"/>
      <c r="E464" s="40"/>
      <c r="F464" s="40"/>
      <c r="G464" s="40"/>
      <c r="H464" s="40"/>
      <c r="I464" s="40"/>
    </row>
    <row r="465" spans="2:9" x14ac:dyDescent="0.25">
      <c r="B465" s="40"/>
      <c r="C465" s="40"/>
      <c r="D465" s="40"/>
      <c r="E465" s="40"/>
      <c r="F465" s="40"/>
      <c r="G465" s="40"/>
      <c r="H465" s="40"/>
      <c r="I465" s="40"/>
    </row>
    <row r="466" spans="2:9" x14ac:dyDescent="0.25">
      <c r="B466" s="40"/>
      <c r="C466" s="40"/>
      <c r="D466" s="40"/>
      <c r="E466" s="40"/>
      <c r="F466" s="40"/>
      <c r="G466" s="40"/>
      <c r="H466" s="40"/>
      <c r="I466" s="40"/>
    </row>
    <row r="467" spans="2:9" x14ac:dyDescent="0.25">
      <c r="B467" s="40"/>
      <c r="C467" s="40"/>
      <c r="D467" s="40"/>
      <c r="E467" s="40"/>
      <c r="F467" s="40"/>
      <c r="G467" s="40"/>
      <c r="H467" s="40"/>
      <c r="I467" s="40"/>
    </row>
    <row r="468" spans="2:9" x14ac:dyDescent="0.25">
      <c r="B468" s="40"/>
      <c r="C468" s="40"/>
      <c r="D468" s="40"/>
      <c r="E468" s="40"/>
      <c r="F468" s="40"/>
      <c r="G468" s="40"/>
      <c r="H468" s="40"/>
      <c r="I468" s="40"/>
    </row>
    <row r="469" spans="2:9" x14ac:dyDescent="0.25">
      <c r="B469" s="40"/>
      <c r="C469" s="40"/>
      <c r="D469" s="40"/>
      <c r="E469" s="40"/>
      <c r="F469" s="40"/>
      <c r="G469" s="40"/>
      <c r="H469" s="40"/>
      <c r="I469" s="40"/>
    </row>
    <row r="470" spans="2:9" x14ac:dyDescent="0.25">
      <c r="B470" s="40"/>
      <c r="C470" s="40"/>
      <c r="D470" s="40"/>
      <c r="E470" s="40"/>
      <c r="F470" s="40"/>
      <c r="G470" s="40"/>
      <c r="H470" s="40"/>
      <c r="I470" s="40"/>
    </row>
    <row r="471" spans="2:9" x14ac:dyDescent="0.25">
      <c r="B471" s="40"/>
      <c r="C471" s="40"/>
      <c r="D471" s="40"/>
      <c r="E471" s="40"/>
      <c r="F471" s="40"/>
      <c r="G471" s="40"/>
      <c r="H471" s="40"/>
      <c r="I471" s="4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7270"/>
  <sheetViews>
    <sheetView tabSelected="1" topLeftCell="U1" zoomScaleNormal="100" workbookViewId="0">
      <selection activeCell="AE1" sqref="AE1"/>
    </sheetView>
  </sheetViews>
  <sheetFormatPr defaultRowHeight="15" x14ac:dyDescent="0.25"/>
  <cols>
    <col min="1" max="1" width="3.7109375" customWidth="1"/>
    <col min="2" max="2" width="14.85546875" customWidth="1"/>
    <col min="4" max="4" width="12.42578125" customWidth="1"/>
    <col min="5" max="6" width="14.28515625" customWidth="1"/>
    <col min="7" max="7" width="15.7109375" customWidth="1"/>
    <col min="10" max="10" width="11.5703125" bestFit="1" customWidth="1"/>
    <col min="11" max="11" width="13.28515625" bestFit="1" customWidth="1"/>
    <col min="12" max="12" width="10.5703125" bestFit="1" customWidth="1"/>
    <col min="13" max="13" width="11.5703125" bestFit="1" customWidth="1"/>
    <col min="14" max="14" width="12.28515625" bestFit="1" customWidth="1"/>
    <col min="18" max="18" width="10.5703125" bestFit="1" customWidth="1"/>
    <col min="20" max="20" width="14" customWidth="1"/>
    <col min="21" max="21" width="14" bestFit="1" customWidth="1"/>
    <col min="23" max="23" width="10.5703125" bestFit="1" customWidth="1"/>
    <col min="24" max="24" width="14.5703125" bestFit="1" customWidth="1"/>
    <col min="26" max="26" width="12" bestFit="1" customWidth="1"/>
    <col min="28" max="28" width="11.140625" bestFit="1" customWidth="1"/>
    <col min="29" max="29" width="11.5703125" bestFit="1" customWidth="1"/>
    <col min="30" max="30" width="18" bestFit="1" customWidth="1"/>
    <col min="31" max="31" width="10.5703125" style="95" bestFit="1" customWidth="1"/>
    <col min="32" max="32" width="14.5703125" style="95" bestFit="1" customWidth="1"/>
    <col min="33" max="36" width="9.140625" style="95"/>
  </cols>
  <sheetData>
    <row r="1" spans="1:36" ht="18.75" x14ac:dyDescent="0.4">
      <c r="A1" s="1"/>
      <c r="B1" s="107" t="s">
        <v>30</v>
      </c>
      <c r="J1" s="107" t="s">
        <v>31</v>
      </c>
      <c r="U1" s="107" t="s">
        <v>32</v>
      </c>
      <c r="V1" s="72" t="s">
        <v>23</v>
      </c>
      <c r="W1" s="78" t="s">
        <v>39</v>
      </c>
      <c r="X1" s="74" t="s">
        <v>28</v>
      </c>
      <c r="Y1" s="74" t="s">
        <v>29</v>
      </c>
      <c r="Z1" s="80" t="s">
        <v>23</v>
      </c>
      <c r="AA1" s="74" t="s">
        <v>4</v>
      </c>
      <c r="AB1" s="73"/>
      <c r="AC1" s="73" t="s">
        <v>26</v>
      </c>
      <c r="AD1" s="72" t="s">
        <v>27</v>
      </c>
      <c r="AE1" s="78"/>
      <c r="AF1" s="93"/>
      <c r="AG1" s="92"/>
      <c r="AH1" s="94"/>
      <c r="AI1" s="93"/>
      <c r="AJ1" s="93"/>
    </row>
    <row r="2" spans="1:36" ht="15.75" thickBot="1" x14ac:dyDescent="0.3">
      <c r="J2" s="2" t="s">
        <v>0</v>
      </c>
      <c r="K2" s="3" t="s">
        <v>1</v>
      </c>
      <c r="L2" s="3" t="s">
        <v>2</v>
      </c>
      <c r="M2" s="3" t="s">
        <v>3</v>
      </c>
      <c r="N2" s="3" t="s">
        <v>4</v>
      </c>
      <c r="O2" s="3" t="s">
        <v>5</v>
      </c>
      <c r="P2" s="3" t="s">
        <v>6</v>
      </c>
      <c r="Q2" s="3" t="s">
        <v>29</v>
      </c>
      <c r="V2" s="75" t="s">
        <v>2</v>
      </c>
      <c r="W2" s="101">
        <v>1000</v>
      </c>
      <c r="X2" s="77">
        <v>687</v>
      </c>
      <c r="Y2" s="77">
        <v>57.25</v>
      </c>
      <c r="Z2" s="124">
        <v>328040.18410249613</v>
      </c>
      <c r="AA2" s="77">
        <v>0.03</v>
      </c>
      <c r="AB2" s="124"/>
      <c r="AC2" s="124">
        <v>358959.81589750387</v>
      </c>
      <c r="AD2" s="102">
        <v>687000</v>
      </c>
      <c r="AE2" s="77"/>
      <c r="AF2" s="96"/>
      <c r="AG2" s="97"/>
      <c r="AH2" s="97"/>
      <c r="AI2" s="97"/>
      <c r="AJ2" s="98"/>
    </row>
    <row r="3" spans="1:36" ht="16.5" thickTop="1" thickBot="1" x14ac:dyDescent="0.3">
      <c r="B3" s="4" t="s">
        <v>8</v>
      </c>
      <c r="C3" s="4" t="s">
        <v>9</v>
      </c>
      <c r="D3" s="4" t="s">
        <v>10</v>
      </c>
      <c r="E3" s="4" t="s">
        <v>11</v>
      </c>
      <c r="F3" s="4" t="s">
        <v>13</v>
      </c>
      <c r="G3" s="5" t="s">
        <v>14</v>
      </c>
      <c r="H3" s="4" t="s">
        <v>15</v>
      </c>
      <c r="J3" s="6">
        <f>1000*(1-(1+0.0025)^-688)/0.0025</f>
        <v>328219.6350149592</v>
      </c>
      <c r="K3" s="7">
        <f>0.03/12</f>
        <v>2.5000000000000001E-3</v>
      </c>
      <c r="L3" s="8">
        <v>1000</v>
      </c>
      <c r="M3" s="8">
        <f>P3*L3</f>
        <v>688000</v>
      </c>
      <c r="N3" s="9">
        <f>M3-J3</f>
        <v>359780.3649850408</v>
      </c>
      <c r="O3" s="10">
        <f>N3/J3</f>
        <v>1.0961573489308254</v>
      </c>
      <c r="P3" s="11">
        <v>688</v>
      </c>
      <c r="Q3" s="8">
        <f>P3/12</f>
        <v>57.333333333333336</v>
      </c>
      <c r="R3" s="12"/>
      <c r="T3" s="7">
        <f>0.03/12</f>
        <v>2.5000000000000001E-3</v>
      </c>
      <c r="Z3">
        <v>997.50623441394737</v>
      </c>
      <c r="AF3" s="99"/>
    </row>
    <row r="4" spans="1:36" ht="16.5" thickTop="1" thickBot="1" x14ac:dyDescent="0.3">
      <c r="B4" s="13"/>
      <c r="C4" s="13"/>
      <c r="D4" s="13"/>
      <c r="E4" s="13"/>
      <c r="F4" s="13"/>
      <c r="G4" s="13"/>
      <c r="J4" s="14"/>
      <c r="K4" s="15"/>
      <c r="L4" s="16"/>
      <c r="M4" s="17"/>
      <c r="N4" s="17"/>
      <c r="O4" s="18"/>
      <c r="P4" s="15"/>
      <c r="Q4" s="19"/>
      <c r="Z4">
        <v>1992.5249221086626</v>
      </c>
      <c r="AF4" s="100"/>
    </row>
    <row r="5" spans="1:36" ht="15.75" thickTop="1" x14ac:dyDescent="0.25">
      <c r="B5" s="20">
        <v>328000</v>
      </c>
      <c r="C5" s="21">
        <v>0.03</v>
      </c>
      <c r="D5" s="22">
        <f>B5*(0.03/12)</f>
        <v>820</v>
      </c>
      <c r="E5" s="22">
        <f>B5+D5</f>
        <v>328820</v>
      </c>
      <c r="F5" s="22">
        <f>E5-G5</f>
        <v>327820</v>
      </c>
      <c r="G5" s="22">
        <v>1000</v>
      </c>
      <c r="H5" s="23">
        <v>1</v>
      </c>
      <c r="Z5">
        <v>2985.0622664425064</v>
      </c>
    </row>
    <row r="6" spans="1:36" x14ac:dyDescent="0.25">
      <c r="B6" s="22">
        <f>F5</f>
        <v>327820</v>
      </c>
      <c r="C6" s="21">
        <v>0.03</v>
      </c>
      <c r="D6" s="22">
        <f t="shared" ref="D6:D69" si="0">B6*(0.03/12)</f>
        <v>819.55000000000007</v>
      </c>
      <c r="E6" s="22">
        <f>B6+D6</f>
        <v>328639.55</v>
      </c>
      <c r="F6" s="22">
        <f>E6-G6</f>
        <v>327639.55</v>
      </c>
      <c r="G6" s="22">
        <v>1000</v>
      </c>
      <c r="H6" s="23">
        <v>2</v>
      </c>
      <c r="Z6">
        <v>3975.1244553042575</v>
      </c>
    </row>
    <row r="7" spans="1:36" x14ac:dyDescent="0.25">
      <c r="B7" s="22">
        <f>F6</f>
        <v>327639.55</v>
      </c>
      <c r="C7" s="21">
        <v>0.03</v>
      </c>
      <c r="D7" s="22">
        <f t="shared" si="0"/>
        <v>819.09887500000002</v>
      </c>
      <c r="E7" s="22">
        <f t="shared" ref="E7:E70" si="1">B7+D7</f>
        <v>328458.64887500001</v>
      </c>
      <c r="F7" s="22">
        <f>E7-G7</f>
        <v>327458.64887500001</v>
      </c>
      <c r="G7" s="22">
        <v>1000</v>
      </c>
      <c r="H7" s="23">
        <v>3</v>
      </c>
      <c r="Z7">
        <v>4962.7176611513505</v>
      </c>
    </row>
    <row r="8" spans="1:36" x14ac:dyDescent="0.25">
      <c r="B8" s="22">
        <f t="shared" ref="B8:B27" si="2">F7</f>
        <v>327458.64887500001</v>
      </c>
      <c r="C8" s="21">
        <v>0.03</v>
      </c>
      <c r="D8" s="22">
        <f t="shared" si="0"/>
        <v>818.64662218750004</v>
      </c>
      <c r="E8" s="22">
        <f t="shared" si="1"/>
        <v>328277.29549718753</v>
      </c>
      <c r="F8" s="22">
        <f>E8-G8</f>
        <v>327277.29549718753</v>
      </c>
      <c r="G8" s="22">
        <v>1000</v>
      </c>
      <c r="H8" s="23">
        <v>4</v>
      </c>
      <c r="Z8">
        <v>5947.8480410486864</v>
      </c>
    </row>
    <row r="9" spans="1:36" x14ac:dyDescent="0.25">
      <c r="B9" s="22">
        <f t="shared" si="2"/>
        <v>327277.29549718753</v>
      </c>
      <c r="C9" s="21">
        <v>0.03</v>
      </c>
      <c r="D9" s="22">
        <f t="shared" si="0"/>
        <v>818.19323874296879</v>
      </c>
      <c r="E9" s="22">
        <f t="shared" si="1"/>
        <v>328095.48873593047</v>
      </c>
      <c r="F9" s="22">
        <f>E9-G9</f>
        <v>327095.48873593047</v>
      </c>
      <c r="G9" s="22">
        <v>1000</v>
      </c>
      <c r="H9" s="23">
        <v>5</v>
      </c>
      <c r="Z9">
        <v>6930.521736706919</v>
      </c>
    </row>
    <row r="10" spans="1:36" x14ac:dyDescent="0.25">
      <c r="B10" s="22">
        <f t="shared" si="2"/>
        <v>327095.48873593047</v>
      </c>
      <c r="C10" s="21">
        <v>0.03</v>
      </c>
      <c r="D10" s="22">
        <f t="shared" si="0"/>
        <v>817.73872183982621</v>
      </c>
      <c r="E10" s="22">
        <f t="shared" si="1"/>
        <v>327913.22745777032</v>
      </c>
      <c r="F10" s="22">
        <f>E10-G10</f>
        <v>326913.22745777032</v>
      </c>
      <c r="G10" s="22">
        <v>1000</v>
      </c>
      <c r="H10" s="23">
        <v>6</v>
      </c>
      <c r="Z10">
        <v>7910.7448745205911</v>
      </c>
    </row>
    <row r="11" spans="1:36" x14ac:dyDescent="0.25">
      <c r="B11" s="22">
        <f t="shared" si="2"/>
        <v>326913.22745777032</v>
      </c>
      <c r="C11" s="21">
        <v>0.03</v>
      </c>
      <c r="D11" s="22">
        <f t="shared" si="0"/>
        <v>817.28306864442584</v>
      </c>
      <c r="E11" s="22">
        <f t="shared" si="1"/>
        <v>327730.51052641473</v>
      </c>
      <c r="F11" s="22">
        <f>E11-G11</f>
        <v>326730.51052641473</v>
      </c>
      <c r="G11" s="22">
        <v>1000</v>
      </c>
      <c r="H11" s="23">
        <v>7</v>
      </c>
      <c r="Z11">
        <v>8888.5235656065652</v>
      </c>
    </row>
    <row r="12" spans="1:36" x14ac:dyDescent="0.25">
      <c r="B12" s="22">
        <f t="shared" si="2"/>
        <v>326730.51052641473</v>
      </c>
      <c r="C12" s="21">
        <v>0.03</v>
      </c>
      <c r="D12" s="22">
        <f t="shared" si="0"/>
        <v>816.8262763160368</v>
      </c>
      <c r="E12" s="22">
        <f t="shared" si="1"/>
        <v>327547.33680273074</v>
      </c>
      <c r="F12" s="22">
        <f>E12-G12</f>
        <v>326547.33680273074</v>
      </c>
      <c r="G12" s="22">
        <v>1000</v>
      </c>
      <c r="H12" s="23">
        <v>8</v>
      </c>
      <c r="Z12">
        <v>9863.8639058419303</v>
      </c>
    </row>
    <row r="13" spans="1:36" x14ac:dyDescent="0.25">
      <c r="B13" s="22">
        <f t="shared" si="2"/>
        <v>326547.33680273074</v>
      </c>
      <c r="C13" s="21">
        <v>0.03</v>
      </c>
      <c r="D13" s="22">
        <f t="shared" si="0"/>
        <v>816.36834200682688</v>
      </c>
      <c r="E13" s="22">
        <f t="shared" si="1"/>
        <v>327363.70514473756</v>
      </c>
      <c r="F13" s="22">
        <f>E13-G13</f>
        <v>326363.70514473756</v>
      </c>
      <c r="G13" s="22">
        <v>1000</v>
      </c>
      <c r="H13" s="23">
        <v>9</v>
      </c>
      <c r="Z13">
        <v>10836.77197590216</v>
      </c>
    </row>
    <row r="14" spans="1:36" x14ac:dyDescent="0.25">
      <c r="B14" s="22">
        <f t="shared" si="2"/>
        <v>326363.70514473756</v>
      </c>
      <c r="C14" s="21">
        <v>0.03</v>
      </c>
      <c r="D14" s="22">
        <f t="shared" si="0"/>
        <v>815.9092628618439</v>
      </c>
      <c r="E14" s="22">
        <f t="shared" si="1"/>
        <v>327179.61440759938</v>
      </c>
      <c r="F14" s="22">
        <f>E14-G14</f>
        <v>326179.61440759938</v>
      </c>
      <c r="G14" s="22">
        <v>1000</v>
      </c>
      <c r="H14" s="23">
        <v>10</v>
      </c>
      <c r="Z14">
        <v>11807.253841298903</v>
      </c>
    </row>
    <row r="15" spans="1:36" x14ac:dyDescent="0.25">
      <c r="B15" s="22">
        <f t="shared" si="2"/>
        <v>326179.61440759938</v>
      </c>
      <c r="C15" s="21">
        <v>0.03</v>
      </c>
      <c r="D15" s="22">
        <f t="shared" si="0"/>
        <v>815.44903601899841</v>
      </c>
      <c r="E15" s="22">
        <f t="shared" si="1"/>
        <v>326995.06344361836</v>
      </c>
      <c r="F15" s="22">
        <f>E15-G15</f>
        <v>325995.06344361836</v>
      </c>
      <c r="G15" s="22">
        <v>1000</v>
      </c>
      <c r="H15" s="23">
        <v>11</v>
      </c>
      <c r="Z15">
        <v>12775.31555241782</v>
      </c>
    </row>
    <row r="16" spans="1:36" x14ac:dyDescent="0.25">
      <c r="B16" s="22">
        <f t="shared" si="2"/>
        <v>325995.06344361836</v>
      </c>
      <c r="C16" s="21">
        <v>0.03</v>
      </c>
      <c r="D16" s="22">
        <f t="shared" si="0"/>
        <v>814.98765860904587</v>
      </c>
      <c r="E16" s="22">
        <f t="shared" si="1"/>
        <v>326810.05110222741</v>
      </c>
      <c r="F16" s="22">
        <f>E16-G16</f>
        <v>325810.05110222741</v>
      </c>
      <c r="G16" s="22">
        <v>1000</v>
      </c>
      <c r="H16" s="23">
        <v>12</v>
      </c>
      <c r="Z16">
        <v>13740.963144556417</v>
      </c>
    </row>
    <row r="17" spans="2:26" x14ac:dyDescent="0.25">
      <c r="B17" s="22">
        <f t="shared" si="2"/>
        <v>325810.05110222741</v>
      </c>
      <c r="C17" s="21">
        <v>0.03</v>
      </c>
      <c r="D17" s="22">
        <f t="shared" si="0"/>
        <v>814.52512775556852</v>
      </c>
      <c r="E17" s="22">
        <f t="shared" si="1"/>
        <v>326624.57622998301</v>
      </c>
      <c r="F17" s="22">
        <f>E17-G17</f>
        <v>325624.57622998301</v>
      </c>
      <c r="G17" s="22">
        <v>1000</v>
      </c>
      <c r="H17" s="23">
        <v>13</v>
      </c>
      <c r="Z17">
        <v>14704.202637961484</v>
      </c>
    </row>
    <row r="18" spans="2:26" x14ac:dyDescent="0.25">
      <c r="B18" s="22">
        <f t="shared" si="2"/>
        <v>325624.57622998301</v>
      </c>
      <c r="C18" s="21">
        <v>0.03</v>
      </c>
      <c r="D18" s="22">
        <f t="shared" si="0"/>
        <v>814.06144057495749</v>
      </c>
      <c r="E18" s="22">
        <f t="shared" si="1"/>
        <v>326438.63767055795</v>
      </c>
      <c r="F18" s="22">
        <f>E18-G18</f>
        <v>325438.63767055795</v>
      </c>
      <c r="G18" s="22">
        <v>1000</v>
      </c>
      <c r="H18" s="23">
        <v>14</v>
      </c>
      <c r="Z18">
        <v>15665.040037866793</v>
      </c>
    </row>
    <row r="19" spans="2:26" x14ac:dyDescent="0.25">
      <c r="B19" s="24">
        <f t="shared" si="2"/>
        <v>325438.63767055795</v>
      </c>
      <c r="C19" s="21">
        <v>0.03</v>
      </c>
      <c r="D19" s="22">
        <f t="shared" si="0"/>
        <v>813.59659417639489</v>
      </c>
      <c r="E19" s="24">
        <f t="shared" si="1"/>
        <v>326252.23426473432</v>
      </c>
      <c r="F19" s="22">
        <f>E19-G19</f>
        <v>325252.23426473432</v>
      </c>
      <c r="G19" s="22">
        <v>1000</v>
      </c>
      <c r="H19" s="25">
        <v>15</v>
      </c>
      <c r="Z19">
        <v>16623.481334530465</v>
      </c>
    </row>
    <row r="20" spans="2:26" x14ac:dyDescent="0.25">
      <c r="B20" s="22">
        <f t="shared" si="2"/>
        <v>325252.23426473432</v>
      </c>
      <c r="C20" s="21">
        <v>0.03</v>
      </c>
      <c r="D20" s="22">
        <f t="shared" si="0"/>
        <v>813.13058566183577</v>
      </c>
      <c r="E20" s="22">
        <f t="shared" si="1"/>
        <v>326065.36485039617</v>
      </c>
      <c r="F20" s="22">
        <f>E20-G20</f>
        <v>325065.36485039617</v>
      </c>
      <c r="G20" s="22">
        <v>1000</v>
      </c>
      <c r="H20" s="23">
        <v>16</v>
      </c>
      <c r="Z20">
        <v>17579.532503272243</v>
      </c>
    </row>
    <row r="21" spans="2:26" x14ac:dyDescent="0.25">
      <c r="B21" s="22">
        <f t="shared" si="2"/>
        <v>325065.36485039617</v>
      </c>
      <c r="C21" s="21">
        <v>0.03</v>
      </c>
      <c r="D21" s="22">
        <f t="shared" si="0"/>
        <v>812.66341212599048</v>
      </c>
      <c r="E21" s="22">
        <f t="shared" si="1"/>
        <v>325878.02826252219</v>
      </c>
      <c r="F21" s="22">
        <f>E21-G21</f>
        <v>324878.02826252219</v>
      </c>
      <c r="G21" s="22">
        <v>1000</v>
      </c>
      <c r="H21" s="23">
        <v>17</v>
      </c>
      <c r="Z21">
        <v>18533.199504510954</v>
      </c>
    </row>
    <row r="22" spans="2:26" x14ac:dyDescent="0.25">
      <c r="B22" s="22">
        <f t="shared" si="2"/>
        <v>324878.02826252219</v>
      </c>
      <c r="C22" s="21">
        <v>0.03</v>
      </c>
      <c r="D22" s="22">
        <f t="shared" si="0"/>
        <v>812.19507065630546</v>
      </c>
      <c r="E22" s="22">
        <f t="shared" si="1"/>
        <v>325690.2233331785</v>
      </c>
      <c r="F22" s="22">
        <f>E22-G22</f>
        <v>324690.2233331785</v>
      </c>
      <c r="G22" s="22">
        <v>1000</v>
      </c>
      <c r="H22" s="23">
        <v>18</v>
      </c>
      <c r="L22" s="26"/>
      <c r="Z22">
        <v>19484.488283801402</v>
      </c>
    </row>
    <row r="23" spans="2:26" x14ac:dyDescent="0.25">
      <c r="B23" s="22">
        <f t="shared" si="2"/>
        <v>324690.2233331785</v>
      </c>
      <c r="C23" s="21">
        <v>0.03</v>
      </c>
      <c r="D23" s="22">
        <f t="shared" si="0"/>
        <v>811.72555833294621</v>
      </c>
      <c r="E23" s="22">
        <f t="shared" si="1"/>
        <v>325501.94889151142</v>
      </c>
      <c r="F23" s="22">
        <f>E23-G23</f>
        <v>324501.94889151142</v>
      </c>
      <c r="G23" s="22">
        <v>1000</v>
      </c>
      <c r="H23" s="23">
        <v>19</v>
      </c>
      <c r="L23" s="26"/>
      <c r="Z23">
        <v>20433.404771871723</v>
      </c>
    </row>
    <row r="24" spans="2:26" x14ac:dyDescent="0.25">
      <c r="B24" s="22">
        <f t="shared" si="2"/>
        <v>324501.94889151142</v>
      </c>
      <c r="C24" s="21">
        <v>0.03</v>
      </c>
      <c r="D24" s="22">
        <f t="shared" si="0"/>
        <v>811.25487222877859</v>
      </c>
      <c r="E24" s="22">
        <f t="shared" si="1"/>
        <v>325313.2037637402</v>
      </c>
      <c r="F24" s="22">
        <f>E24-G24</f>
        <v>324313.2037637402</v>
      </c>
      <c r="G24" s="22">
        <v>1000</v>
      </c>
      <c r="H24" s="23">
        <v>20</v>
      </c>
      <c r="J24" s="12"/>
      <c r="L24" s="26"/>
      <c r="N24" s="26"/>
      <c r="Z24">
        <v>21379.954884660045</v>
      </c>
    </row>
    <row r="25" spans="2:26" x14ac:dyDescent="0.25">
      <c r="B25" s="22">
        <f t="shared" si="2"/>
        <v>324313.2037637402</v>
      </c>
      <c r="C25" s="21">
        <v>0.03</v>
      </c>
      <c r="D25" s="22">
        <f t="shared" si="0"/>
        <v>810.78300940935048</v>
      </c>
      <c r="E25" s="22">
        <f t="shared" si="1"/>
        <v>325123.98677314952</v>
      </c>
      <c r="F25" s="22">
        <f>E25-G25</f>
        <v>324123.98677314952</v>
      </c>
      <c r="G25" s="22">
        <v>1000</v>
      </c>
      <c r="H25" s="23">
        <v>21</v>
      </c>
      <c r="Z25">
        <v>22324.14452335165</v>
      </c>
    </row>
    <row r="26" spans="2:26" x14ac:dyDescent="0.25">
      <c r="B26" s="22">
        <f t="shared" si="2"/>
        <v>324123.98677314952</v>
      </c>
      <c r="C26" s="21">
        <v>0.03</v>
      </c>
      <c r="D26" s="22">
        <f t="shared" si="0"/>
        <v>810.30996693287386</v>
      </c>
      <c r="E26" s="22">
        <f t="shared" si="1"/>
        <v>324934.29674008238</v>
      </c>
      <c r="F26" s="22">
        <f>E26-G26</f>
        <v>323934.29674008238</v>
      </c>
      <c r="G26" s="22">
        <v>1000</v>
      </c>
      <c r="H26" s="23">
        <v>22</v>
      </c>
      <c r="Z26">
        <v>23265.979574415585</v>
      </c>
    </row>
    <row r="27" spans="2:26" x14ac:dyDescent="0.25">
      <c r="B27" s="22">
        <f t="shared" si="2"/>
        <v>323934.29674008238</v>
      </c>
      <c r="C27" s="21">
        <v>0.03</v>
      </c>
      <c r="D27" s="22">
        <f t="shared" si="0"/>
        <v>809.83574185020598</v>
      </c>
      <c r="E27" s="22">
        <f t="shared" si="1"/>
        <v>324744.13248193258</v>
      </c>
      <c r="F27" s="22">
        <f>E27-G27</f>
        <v>323744.13248193258</v>
      </c>
      <c r="G27" s="22">
        <v>1000</v>
      </c>
      <c r="H27" s="23">
        <v>23</v>
      </c>
      <c r="Z27">
        <v>24205.465909641476</v>
      </c>
    </row>
    <row r="28" spans="2:26" x14ac:dyDescent="0.25">
      <c r="B28" s="22">
        <f>F27</f>
        <v>323744.13248193258</v>
      </c>
      <c r="C28" s="21">
        <v>0.03</v>
      </c>
      <c r="D28" s="22">
        <f t="shared" si="0"/>
        <v>809.36033120483148</v>
      </c>
      <c r="E28" s="22">
        <f t="shared" si="1"/>
        <v>324553.49281313742</v>
      </c>
      <c r="F28" s="22">
        <f>E28-G28</f>
        <v>323553.49281313742</v>
      </c>
      <c r="G28" s="22">
        <v>1000</v>
      </c>
      <c r="H28" s="23">
        <v>24</v>
      </c>
      <c r="Z28">
        <v>25142.609386176009</v>
      </c>
    </row>
    <row r="29" spans="2:26" x14ac:dyDescent="0.25">
      <c r="B29" s="22">
        <f t="shared" ref="B29:B92" si="3">F28</f>
        <v>323553.49281313742</v>
      </c>
      <c r="C29" s="21">
        <v>0.03</v>
      </c>
      <c r="D29" s="22">
        <f t="shared" si="0"/>
        <v>808.88373203284357</v>
      </c>
      <c r="E29" s="22">
        <f t="shared" si="1"/>
        <v>324362.37654517026</v>
      </c>
      <c r="F29" s="22">
        <f>E29-G29</f>
        <v>323362.37654517026</v>
      </c>
      <c r="G29" s="22">
        <v>1000</v>
      </c>
      <c r="H29" s="23">
        <v>25</v>
      </c>
      <c r="Z29">
        <v>26077.415846559579</v>
      </c>
    </row>
    <row r="30" spans="2:26" x14ac:dyDescent="0.25">
      <c r="B30" s="22">
        <f t="shared" si="3"/>
        <v>323362.37654517026</v>
      </c>
      <c r="C30" s="21">
        <v>0.03</v>
      </c>
      <c r="D30" s="22">
        <f t="shared" si="0"/>
        <v>808.40594136292566</v>
      </c>
      <c r="E30" s="22">
        <f t="shared" si="1"/>
        <v>324170.78248653316</v>
      </c>
      <c r="F30" s="22">
        <f>E30-G30</f>
        <v>323170.78248653316</v>
      </c>
      <c r="G30" s="22">
        <v>1000</v>
      </c>
      <c r="H30" s="23">
        <v>26</v>
      </c>
      <c r="Z30">
        <v>27009.891118762662</v>
      </c>
    </row>
    <row r="31" spans="2:26" x14ac:dyDescent="0.25">
      <c r="B31" s="22">
        <f t="shared" si="3"/>
        <v>323170.78248653316</v>
      </c>
      <c r="C31" s="21">
        <v>0.03</v>
      </c>
      <c r="D31" s="22">
        <f t="shared" si="0"/>
        <v>807.92695621633288</v>
      </c>
      <c r="E31" s="22">
        <f t="shared" si="1"/>
        <v>323978.7094427495</v>
      </c>
      <c r="F31" s="22">
        <f>E31-G31</f>
        <v>322978.7094427495</v>
      </c>
      <c r="G31" s="22">
        <v>1000</v>
      </c>
      <c r="H31" s="23">
        <v>27</v>
      </c>
      <c r="Z31">
        <v>27940.041016222094</v>
      </c>
    </row>
    <row r="32" spans="2:26" x14ac:dyDescent="0.25">
      <c r="B32" s="24">
        <f t="shared" si="3"/>
        <v>322978.7094427495</v>
      </c>
      <c r="C32" s="46">
        <v>0.03</v>
      </c>
      <c r="D32" s="24">
        <f t="shared" si="0"/>
        <v>807.44677360687376</v>
      </c>
      <c r="E32" s="24">
        <f t="shared" si="1"/>
        <v>323786.15621635638</v>
      </c>
      <c r="F32" s="24">
        <f>E32-G32</f>
        <v>322786.15621635638</v>
      </c>
      <c r="G32" s="24">
        <v>1000</v>
      </c>
      <c r="H32" s="25">
        <v>28</v>
      </c>
      <c r="Z32">
        <v>28867.871337877379</v>
      </c>
    </row>
    <row r="33" spans="2:26" x14ac:dyDescent="0.25">
      <c r="B33" s="22">
        <f t="shared" si="3"/>
        <v>322786.15621635638</v>
      </c>
      <c r="C33" s="21">
        <v>0.03</v>
      </c>
      <c r="D33" s="22">
        <f t="shared" si="0"/>
        <v>806.96539054089101</v>
      </c>
      <c r="E33" s="22">
        <f t="shared" si="1"/>
        <v>323593.12160689727</v>
      </c>
      <c r="F33" s="22">
        <f>E33-G33</f>
        <v>322593.12160689727</v>
      </c>
      <c r="G33" s="22">
        <v>1000</v>
      </c>
      <c r="H33" s="23">
        <v>29</v>
      </c>
      <c r="Z33">
        <v>29793.387868206843</v>
      </c>
    </row>
    <row r="34" spans="2:26" x14ac:dyDescent="0.25">
      <c r="B34" s="22">
        <f t="shared" si="3"/>
        <v>322593.12160689727</v>
      </c>
      <c r="C34" s="21">
        <v>0.03</v>
      </c>
      <c r="D34" s="22">
        <f t="shared" si="0"/>
        <v>806.48280401724321</v>
      </c>
      <c r="E34" s="22">
        <f t="shared" si="1"/>
        <v>323399.60441091453</v>
      </c>
      <c r="F34" s="22">
        <f>E34-G34</f>
        <v>322399.60441091453</v>
      </c>
      <c r="G34" s="22">
        <v>1000</v>
      </c>
      <c r="H34" s="23">
        <v>30</v>
      </c>
      <c r="Z34">
        <v>30716.596377263668</v>
      </c>
    </row>
    <row r="35" spans="2:26" x14ac:dyDescent="0.25">
      <c r="B35" s="22">
        <f t="shared" si="3"/>
        <v>322399.60441091453</v>
      </c>
      <c r="C35" s="21">
        <v>0.03</v>
      </c>
      <c r="D35" s="22">
        <f t="shared" si="0"/>
        <v>805.99901102728631</v>
      </c>
      <c r="E35" s="22">
        <f t="shared" si="1"/>
        <v>323205.60342194181</v>
      </c>
      <c r="F35" s="22">
        <f>E35-G35</f>
        <v>322205.60342194181</v>
      </c>
      <c r="G35" s="22">
        <v>1000</v>
      </c>
      <c r="H35" s="23">
        <v>31</v>
      </c>
      <c r="Z35">
        <v>31637.502620711854</v>
      </c>
    </row>
    <row r="36" spans="2:26" x14ac:dyDescent="0.25">
      <c r="B36" s="22">
        <f t="shared" si="3"/>
        <v>322205.60342194181</v>
      </c>
      <c r="C36" s="21">
        <v>0.03</v>
      </c>
      <c r="D36" s="22">
        <f t="shared" si="0"/>
        <v>805.51400855485451</v>
      </c>
      <c r="E36" s="22">
        <f t="shared" si="1"/>
        <v>323011.11743049667</v>
      </c>
      <c r="F36" s="22">
        <f>E36-G36</f>
        <v>322011.11743049667</v>
      </c>
      <c r="G36" s="22">
        <v>1000</v>
      </c>
      <c r="H36" s="23">
        <v>32</v>
      </c>
      <c r="Z36">
        <v>32556.112339862197</v>
      </c>
    </row>
    <row r="37" spans="2:26" x14ac:dyDescent="0.25">
      <c r="B37" s="22">
        <f t="shared" si="3"/>
        <v>322011.11743049667</v>
      </c>
      <c r="C37" s="21">
        <v>0.03</v>
      </c>
      <c r="D37" s="22">
        <f t="shared" si="0"/>
        <v>805.02779357624172</v>
      </c>
      <c r="E37" s="22">
        <f t="shared" si="1"/>
        <v>322816.14522407291</v>
      </c>
      <c r="F37" s="22">
        <f>E37-G37</f>
        <v>321816.14522407291</v>
      </c>
      <c r="G37" s="22">
        <v>1000</v>
      </c>
      <c r="H37" s="23">
        <v>33</v>
      </c>
      <c r="Z37">
        <v>33472.43126170789</v>
      </c>
    </row>
    <row r="38" spans="2:26" x14ac:dyDescent="0.25">
      <c r="B38" s="22">
        <f t="shared" si="3"/>
        <v>321816.14522407291</v>
      </c>
      <c r="C38" s="21">
        <v>0.03</v>
      </c>
      <c r="D38" s="22">
        <f t="shared" si="0"/>
        <v>804.54036306018224</v>
      </c>
      <c r="E38" s="22">
        <f t="shared" si="1"/>
        <v>322620.68558713311</v>
      </c>
      <c r="F38" s="22">
        <f>E38-G38</f>
        <v>321620.68558713311</v>
      </c>
      <c r="G38" s="22">
        <v>1000</v>
      </c>
      <c r="H38" s="23">
        <v>34</v>
      </c>
      <c r="Z38">
        <v>34386.465098960485</v>
      </c>
    </row>
    <row r="39" spans="2:26" x14ac:dyDescent="0.25">
      <c r="B39" s="22">
        <f t="shared" si="3"/>
        <v>321620.68558713311</v>
      </c>
      <c r="C39" s="21">
        <v>0.03</v>
      </c>
      <c r="D39" s="22">
        <f t="shared" si="0"/>
        <v>804.05171396783282</v>
      </c>
      <c r="E39" s="22">
        <f t="shared" si="1"/>
        <v>322424.73730110092</v>
      </c>
      <c r="F39" s="22">
        <f>E39-G39</f>
        <v>321424.73730110092</v>
      </c>
      <c r="G39" s="22">
        <v>1000</v>
      </c>
      <c r="H39" s="23">
        <v>35</v>
      </c>
      <c r="Z39">
        <v>35298.219550085232</v>
      </c>
    </row>
    <row r="40" spans="2:26" x14ac:dyDescent="0.25">
      <c r="B40" s="22">
        <f t="shared" si="3"/>
        <v>321424.73730110092</v>
      </c>
      <c r="C40" s="21">
        <v>0.03</v>
      </c>
      <c r="D40" s="22">
        <f t="shared" si="0"/>
        <v>803.56184325275228</v>
      </c>
      <c r="E40" s="22">
        <f t="shared" si="1"/>
        <v>322228.29914435366</v>
      </c>
      <c r="F40" s="22">
        <f>E40-G40</f>
        <v>321228.29914435366</v>
      </c>
      <c r="G40" s="22">
        <v>1000</v>
      </c>
      <c r="H40" s="23">
        <v>36</v>
      </c>
      <c r="Z40">
        <v>36207.700299336888</v>
      </c>
    </row>
    <row r="41" spans="2:26" x14ac:dyDescent="0.25">
      <c r="B41" s="22">
        <f t="shared" si="3"/>
        <v>321228.29914435366</v>
      </c>
      <c r="C41" s="21">
        <v>0.03</v>
      </c>
      <c r="D41" s="22">
        <f t="shared" si="0"/>
        <v>803.07074786088413</v>
      </c>
      <c r="E41" s="22">
        <f t="shared" si="1"/>
        <v>322031.36989221454</v>
      </c>
      <c r="F41" s="22">
        <f>E41-G41</f>
        <v>321031.36989221454</v>
      </c>
      <c r="G41" s="22">
        <v>1000</v>
      </c>
      <c r="H41" s="23">
        <v>37</v>
      </c>
      <c r="Z41">
        <v>37114.913016794882</v>
      </c>
    </row>
    <row r="42" spans="2:26" x14ac:dyDescent="0.25">
      <c r="B42" s="22">
        <f t="shared" si="3"/>
        <v>321031.36989221454</v>
      </c>
      <c r="C42" s="21">
        <v>0.03</v>
      </c>
      <c r="D42" s="22">
        <f t="shared" si="0"/>
        <v>802.57842473053643</v>
      </c>
      <c r="E42" s="22">
        <f t="shared" si="1"/>
        <v>321833.94831694505</v>
      </c>
      <c r="F42" s="22">
        <f>E42-G42</f>
        <v>320833.94831694505</v>
      </c>
      <c r="G42" s="22">
        <v>1000</v>
      </c>
      <c r="H42" s="23">
        <v>38</v>
      </c>
      <c r="Z42">
        <v>38019.863358398841</v>
      </c>
    </row>
    <row r="43" spans="2:26" x14ac:dyDescent="0.25">
      <c r="B43" s="22">
        <f t="shared" si="3"/>
        <v>320833.94831694505</v>
      </c>
      <c r="C43" s="21">
        <v>0.03</v>
      </c>
      <c r="D43" s="22">
        <f t="shared" si="0"/>
        <v>802.08487079236261</v>
      </c>
      <c r="E43" s="22">
        <f t="shared" si="1"/>
        <v>321636.0331877374</v>
      </c>
      <c r="F43" s="22">
        <f>E43-G43</f>
        <v>320636.0331877374</v>
      </c>
      <c r="G43" s="22">
        <v>1000</v>
      </c>
      <c r="H43" s="23">
        <v>39</v>
      </c>
      <c r="Z43">
        <v>38922.556965983902</v>
      </c>
    </row>
    <row r="44" spans="2:26" x14ac:dyDescent="0.25">
      <c r="B44" s="22">
        <f t="shared" si="3"/>
        <v>320636.0331877374</v>
      </c>
      <c r="C44" s="21">
        <v>0.03</v>
      </c>
      <c r="D44" s="22">
        <f t="shared" si="0"/>
        <v>801.59008296934348</v>
      </c>
      <c r="E44" s="22">
        <f t="shared" si="1"/>
        <v>321437.62327070674</v>
      </c>
      <c r="F44" s="22">
        <f>E44-G44</f>
        <v>320437.62327070674</v>
      </c>
      <c r="G44" s="22">
        <v>1000</v>
      </c>
      <c r="H44" s="23">
        <v>40</v>
      </c>
      <c r="Z44">
        <v>39822.999467315552</v>
      </c>
    </row>
    <row r="45" spans="2:26" x14ac:dyDescent="0.25">
      <c r="B45" s="22">
        <f t="shared" si="3"/>
        <v>320437.62327070674</v>
      </c>
      <c r="C45" s="21">
        <v>0.03</v>
      </c>
      <c r="D45" s="22">
        <f t="shared" si="0"/>
        <v>801.09405817676691</v>
      </c>
      <c r="E45" s="22">
        <f t="shared" si="1"/>
        <v>321238.71732888353</v>
      </c>
      <c r="F45" s="22">
        <f>E45-G45</f>
        <v>320238.71732888353</v>
      </c>
      <c r="G45" s="22">
        <v>1000</v>
      </c>
      <c r="H45" s="23">
        <v>41</v>
      </c>
      <c r="Z45">
        <v>40721.196476125246</v>
      </c>
    </row>
    <row r="46" spans="2:26" x14ac:dyDescent="0.25">
      <c r="B46" s="22">
        <f t="shared" si="3"/>
        <v>320238.71732888353</v>
      </c>
      <c r="C46" s="21">
        <v>0.03</v>
      </c>
      <c r="D46" s="22">
        <f t="shared" si="0"/>
        <v>800.5967933222089</v>
      </c>
      <c r="E46" s="22">
        <f t="shared" si="1"/>
        <v>321039.31412220572</v>
      </c>
      <c r="F46" s="22">
        <f>E46-G46</f>
        <v>320039.31412220572</v>
      </c>
      <c r="G46" s="22">
        <v>1000</v>
      </c>
      <c r="H46" s="23">
        <v>42</v>
      </c>
      <c r="Z46">
        <v>41617.153592144845</v>
      </c>
    </row>
    <row r="47" spans="2:26" x14ac:dyDescent="0.25">
      <c r="B47" s="22">
        <f t="shared" si="3"/>
        <v>320039.31412220572</v>
      </c>
      <c r="C47" s="21">
        <v>0.03</v>
      </c>
      <c r="D47" s="22">
        <f t="shared" si="0"/>
        <v>800.09828530551431</v>
      </c>
      <c r="E47" s="22">
        <f t="shared" si="1"/>
        <v>320839.4124075112</v>
      </c>
      <c r="F47" s="22">
        <f>E47-G47</f>
        <v>319839.4124075112</v>
      </c>
      <c r="G47" s="22">
        <v>1000</v>
      </c>
      <c r="H47" s="23">
        <v>43</v>
      </c>
      <c r="Z47">
        <v>42510.87640114197</v>
      </c>
    </row>
    <row r="48" spans="2:26" x14ac:dyDescent="0.25">
      <c r="B48" s="22">
        <f t="shared" si="3"/>
        <v>319839.4124075112</v>
      </c>
      <c r="C48" s="21">
        <v>0.03</v>
      </c>
      <c r="D48" s="22">
        <f t="shared" si="0"/>
        <v>799.59853101877798</v>
      </c>
      <c r="E48" s="22">
        <f t="shared" si="1"/>
        <v>320639.01093852997</v>
      </c>
      <c r="F48" s="22">
        <f>E48-G48</f>
        <v>319639.01093852997</v>
      </c>
      <c r="G48" s="22">
        <v>1000</v>
      </c>
      <c r="H48" s="23">
        <v>44</v>
      </c>
      <c r="Z48">
        <v>43402.370474954565</v>
      </c>
    </row>
    <row r="49" spans="2:26" x14ac:dyDescent="0.25">
      <c r="B49" s="22">
        <f t="shared" si="3"/>
        <v>319639.01093852997</v>
      </c>
      <c r="C49" s="21">
        <v>0.03</v>
      </c>
      <c r="D49" s="22">
        <f t="shared" si="0"/>
        <v>799.09752734632491</v>
      </c>
      <c r="E49" s="22">
        <f t="shared" si="1"/>
        <v>320438.10846587631</v>
      </c>
      <c r="F49" s="22">
        <f>E49-G49</f>
        <v>319438.10846587631</v>
      </c>
      <c r="G49" s="22">
        <v>1000</v>
      </c>
      <c r="H49" s="23">
        <v>45</v>
      </c>
      <c r="Z49">
        <v>44291.641371525744</v>
      </c>
    </row>
    <row r="50" spans="2:26" x14ac:dyDescent="0.25">
      <c r="B50" s="22">
        <f t="shared" si="3"/>
        <v>319438.10846587631</v>
      </c>
      <c r="C50" s="21">
        <v>0.03</v>
      </c>
      <c r="D50" s="22">
        <f t="shared" si="0"/>
        <v>798.59527116469076</v>
      </c>
      <c r="E50" s="22">
        <f t="shared" si="1"/>
        <v>320236.70373704098</v>
      </c>
      <c r="F50" s="22">
        <f>E50-G50</f>
        <v>319236.70373704098</v>
      </c>
      <c r="G50" s="22">
        <v>1000</v>
      </c>
      <c r="H50" s="23">
        <v>46</v>
      </c>
      <c r="Z50">
        <v>45178.694634938394</v>
      </c>
    </row>
    <row r="51" spans="2:26" x14ac:dyDescent="0.25">
      <c r="B51" s="22">
        <f t="shared" si="3"/>
        <v>319236.70373704098</v>
      </c>
      <c r="C51" s="21">
        <v>0.03</v>
      </c>
      <c r="D51" s="22">
        <f t="shared" si="0"/>
        <v>798.09175934260247</v>
      </c>
      <c r="E51" s="22">
        <f t="shared" si="1"/>
        <v>320034.79549638357</v>
      </c>
      <c r="F51" s="22">
        <f>E51-G51</f>
        <v>319034.79549638357</v>
      </c>
      <c r="G51" s="22">
        <v>1000</v>
      </c>
      <c r="H51" s="23">
        <v>47</v>
      </c>
      <c r="Z51">
        <v>46063.535795449752</v>
      </c>
    </row>
    <row r="52" spans="2:26" x14ac:dyDescent="0.25">
      <c r="B52" s="22">
        <f t="shared" si="3"/>
        <v>319034.79549638357</v>
      </c>
      <c r="C52" s="21">
        <v>0.03</v>
      </c>
      <c r="D52" s="22">
        <f t="shared" si="0"/>
        <v>797.58698874095899</v>
      </c>
      <c r="E52" s="22">
        <f t="shared" si="1"/>
        <v>319832.38248512452</v>
      </c>
      <c r="F52" s="22">
        <f>E52-G52</f>
        <v>318832.38248512452</v>
      </c>
      <c r="G52" s="22">
        <v>1000</v>
      </c>
      <c r="H52" s="23">
        <v>48</v>
      </c>
      <c r="Z52">
        <v>46946.170369525884</v>
      </c>
    </row>
    <row r="53" spans="2:26" x14ac:dyDescent="0.25">
      <c r="B53" s="22">
        <f t="shared" si="3"/>
        <v>318832.38248512452</v>
      </c>
      <c r="C53" s="21">
        <v>0.03</v>
      </c>
      <c r="D53" s="22">
        <f t="shared" si="0"/>
        <v>797.08095621281132</v>
      </c>
      <c r="E53" s="22">
        <f t="shared" si="1"/>
        <v>319629.46344133734</v>
      </c>
      <c r="F53" s="22">
        <f>E53-G53</f>
        <v>318629.46344133734</v>
      </c>
      <c r="G53" s="22">
        <v>1000</v>
      </c>
      <c r="H53" s="23">
        <v>49</v>
      </c>
      <c r="Z53">
        <v>47826.603859876202</v>
      </c>
    </row>
    <row r="54" spans="2:26" x14ac:dyDescent="0.25">
      <c r="B54" s="22">
        <f t="shared" si="3"/>
        <v>318629.46344133734</v>
      </c>
      <c r="C54" s="21">
        <v>0.03</v>
      </c>
      <c r="D54" s="22">
        <f t="shared" si="0"/>
        <v>796.57365860334335</v>
      </c>
      <c r="E54" s="22">
        <f t="shared" si="1"/>
        <v>319426.0370999407</v>
      </c>
      <c r="F54" s="22">
        <f>E54-G54</f>
        <v>318426.0370999407</v>
      </c>
      <c r="G54" s="22">
        <v>1000</v>
      </c>
      <c r="H54" s="23">
        <v>50</v>
      </c>
      <c r="Z54">
        <v>48704.841755487483</v>
      </c>
    </row>
    <row r="55" spans="2:26" x14ac:dyDescent="0.25">
      <c r="B55" s="22">
        <f t="shared" si="3"/>
        <v>318426.0370999407</v>
      </c>
      <c r="C55" s="21">
        <v>0.03</v>
      </c>
      <c r="D55" s="22">
        <f t="shared" si="0"/>
        <v>796.06509274985183</v>
      </c>
      <c r="E55" s="22">
        <f t="shared" si="1"/>
        <v>319222.10219269054</v>
      </c>
      <c r="F55" s="22">
        <f>E55-G55</f>
        <v>318222.10219269054</v>
      </c>
      <c r="G55" s="22">
        <v>1000</v>
      </c>
      <c r="H55" s="23">
        <v>51</v>
      </c>
      <c r="Z55">
        <v>49580.889531658286</v>
      </c>
    </row>
    <row r="56" spans="2:26" x14ac:dyDescent="0.25">
      <c r="B56" s="22">
        <f t="shared" si="3"/>
        <v>318222.10219269054</v>
      </c>
      <c r="C56" s="21">
        <v>0.03</v>
      </c>
      <c r="D56" s="22">
        <f t="shared" si="0"/>
        <v>795.55525548172636</v>
      </c>
      <c r="E56" s="22">
        <f t="shared" si="1"/>
        <v>319017.65744817228</v>
      </c>
      <c r="F56" s="22">
        <f>E56-G56</f>
        <v>318017.65744817228</v>
      </c>
      <c r="G56" s="22">
        <v>1000</v>
      </c>
      <c r="H56" s="23">
        <v>52</v>
      </c>
      <c r="Z56">
        <v>50454.752650033188</v>
      </c>
    </row>
    <row r="57" spans="2:26" x14ac:dyDescent="0.25">
      <c r="B57" s="22">
        <f t="shared" si="3"/>
        <v>318017.65744817228</v>
      </c>
      <c r="C57" s="21">
        <v>0.03</v>
      </c>
      <c r="D57" s="22">
        <f t="shared" si="0"/>
        <v>795.04414362043076</v>
      </c>
      <c r="E57" s="22">
        <f t="shared" si="1"/>
        <v>318812.70159179269</v>
      </c>
      <c r="F57" s="22">
        <f>E57-G57</f>
        <v>317812.70159179269</v>
      </c>
      <c r="G57" s="22">
        <v>1000</v>
      </c>
      <c r="H57" s="23">
        <v>53</v>
      </c>
      <c r="Z57">
        <v>51326.436558636597</v>
      </c>
    </row>
    <row r="58" spans="2:26" x14ac:dyDescent="0.25">
      <c r="B58" s="22">
        <f t="shared" si="3"/>
        <v>317812.70159179269</v>
      </c>
      <c r="C58" s="21">
        <v>0.03</v>
      </c>
      <c r="D58" s="22">
        <f t="shared" si="0"/>
        <v>794.53175397948178</v>
      </c>
      <c r="E58" s="22">
        <f t="shared" si="1"/>
        <v>318607.2333457722</v>
      </c>
      <c r="F58" s="22">
        <f>E58-G58</f>
        <v>317607.2333457722</v>
      </c>
      <c r="G58" s="22">
        <v>1000</v>
      </c>
      <c r="H58" s="23">
        <v>54</v>
      </c>
      <c r="Z58">
        <v>52195.946691906815</v>
      </c>
    </row>
    <row r="59" spans="2:26" x14ac:dyDescent="0.25">
      <c r="B59" s="22">
        <f t="shared" si="3"/>
        <v>317607.2333457722</v>
      </c>
      <c r="C59" s="21">
        <v>0.03</v>
      </c>
      <c r="D59" s="22">
        <f t="shared" si="0"/>
        <v>794.01808336443048</v>
      </c>
      <c r="E59" s="22">
        <f t="shared" si="1"/>
        <v>318401.25142913661</v>
      </c>
      <c r="F59" s="22">
        <f>E59-G59</f>
        <v>317401.25142913661</v>
      </c>
      <c r="G59" s="22">
        <v>1000</v>
      </c>
      <c r="H59" s="23">
        <v>55</v>
      </c>
      <c r="Z59">
        <v>53063.28847072996</v>
      </c>
    </row>
    <row r="60" spans="2:26" x14ac:dyDescent="0.25">
      <c r="B60" s="22">
        <f t="shared" si="3"/>
        <v>317401.25142913661</v>
      </c>
      <c r="C60" s="21">
        <v>0.03</v>
      </c>
      <c r="D60" s="22">
        <f t="shared" si="0"/>
        <v>793.50312857284155</v>
      </c>
      <c r="E60" s="22">
        <f t="shared" si="1"/>
        <v>318194.75455770944</v>
      </c>
      <c r="F60" s="22">
        <f>E60-G60</f>
        <v>317194.75455770944</v>
      </c>
      <c r="G60" s="22">
        <v>1000</v>
      </c>
      <c r="H60" s="23">
        <v>56</v>
      </c>
      <c r="Z60">
        <v>53928.467302473757</v>
      </c>
    </row>
    <row r="61" spans="2:26" x14ac:dyDescent="0.25">
      <c r="B61" s="22">
        <f t="shared" si="3"/>
        <v>317194.75455770944</v>
      </c>
      <c r="C61" s="21">
        <v>0.03</v>
      </c>
      <c r="D61" s="22">
        <f t="shared" si="0"/>
        <v>792.9868863942736</v>
      </c>
      <c r="E61" s="22">
        <f t="shared" si="1"/>
        <v>317987.74144410371</v>
      </c>
      <c r="F61" s="22">
        <f>E61-G61</f>
        <v>316987.74144410371</v>
      </c>
      <c r="G61" s="22">
        <v>1000</v>
      </c>
      <c r="H61" s="23">
        <v>57</v>
      </c>
      <c r="Z61">
        <v>54791.488581021185</v>
      </c>
    </row>
    <row r="62" spans="2:26" x14ac:dyDescent="0.25">
      <c r="B62" s="22">
        <f t="shared" si="3"/>
        <v>316987.74144410371</v>
      </c>
      <c r="C62" s="21">
        <v>0.03</v>
      </c>
      <c r="D62" s="22">
        <f t="shared" si="0"/>
        <v>792.4693536102593</v>
      </c>
      <c r="E62" s="22">
        <f t="shared" si="1"/>
        <v>317780.21079771395</v>
      </c>
      <c r="F62" s="22">
        <f>E62-G62</f>
        <v>316780.21079771395</v>
      </c>
      <c r="G62" s="22">
        <v>1000</v>
      </c>
      <c r="H62" s="23">
        <v>58</v>
      </c>
      <c r="Z62">
        <v>55652.357686804171</v>
      </c>
    </row>
    <row r="63" spans="2:26" x14ac:dyDescent="0.25">
      <c r="B63" s="22">
        <f t="shared" si="3"/>
        <v>316780.21079771395</v>
      </c>
      <c r="C63" s="21">
        <v>0.03</v>
      </c>
      <c r="D63" s="22">
        <f t="shared" si="0"/>
        <v>791.95052699428493</v>
      </c>
      <c r="E63" s="22">
        <f t="shared" si="1"/>
        <v>317572.16132470826</v>
      </c>
      <c r="F63" s="22">
        <f>E63-G63</f>
        <v>316572.16132470826</v>
      </c>
      <c r="G63" s="22">
        <v>1000</v>
      </c>
      <c r="H63" s="23">
        <v>59</v>
      </c>
      <c r="Z63">
        <v>56511.079986837045</v>
      </c>
    </row>
    <row r="64" spans="2:26" x14ac:dyDescent="0.25">
      <c r="B64" s="22">
        <f t="shared" si="3"/>
        <v>316572.16132470826</v>
      </c>
      <c r="C64" s="21">
        <v>0.03</v>
      </c>
      <c r="D64" s="22">
        <f t="shared" si="0"/>
        <v>791.43040331177065</v>
      </c>
      <c r="E64" s="22">
        <f t="shared" si="1"/>
        <v>317363.59172802005</v>
      </c>
      <c r="F64" s="22">
        <f>E64-G64</f>
        <v>316363.59172802005</v>
      </c>
      <c r="G64" s="22">
        <v>1000</v>
      </c>
      <c r="H64" s="23">
        <v>60</v>
      </c>
      <c r="Z64">
        <v>57367.660834750153</v>
      </c>
    </row>
    <row r="65" spans="2:26" x14ac:dyDescent="0.25">
      <c r="B65" s="22">
        <f t="shared" si="3"/>
        <v>316363.59172802005</v>
      </c>
      <c r="C65" s="21">
        <v>0.03</v>
      </c>
      <c r="D65" s="22">
        <f t="shared" si="0"/>
        <v>790.90897932005009</v>
      </c>
      <c r="E65" s="22">
        <f t="shared" si="1"/>
        <v>317154.50070734008</v>
      </c>
      <c r="F65" s="22">
        <f>E65-G65</f>
        <v>316154.50070734008</v>
      </c>
      <c r="G65" s="22">
        <v>1000</v>
      </c>
      <c r="H65" s="23">
        <v>61</v>
      </c>
      <c r="Z65">
        <v>58222.105570823056</v>
      </c>
    </row>
    <row r="66" spans="2:26" x14ac:dyDescent="0.25">
      <c r="B66" s="22">
        <f t="shared" si="3"/>
        <v>316154.50070734008</v>
      </c>
      <c r="C66" s="21">
        <v>0.03</v>
      </c>
      <c r="D66" s="22">
        <f t="shared" si="0"/>
        <v>790.38625176835023</v>
      </c>
      <c r="E66" s="22">
        <f t="shared" si="1"/>
        <v>316944.88695910841</v>
      </c>
      <c r="F66" s="22">
        <f>E66-G66</f>
        <v>315944.88695910841</v>
      </c>
      <c r="G66" s="22">
        <v>1000</v>
      </c>
      <c r="H66" s="23">
        <v>62</v>
      </c>
      <c r="Z66">
        <v>59074.41952201799</v>
      </c>
    </row>
    <row r="67" spans="2:26" x14ac:dyDescent="0.25">
      <c r="B67" s="22">
        <f t="shared" si="3"/>
        <v>315944.88695910841</v>
      </c>
      <c r="C67" s="21">
        <v>0.03</v>
      </c>
      <c r="D67" s="22">
        <f t="shared" si="0"/>
        <v>789.86221739777102</v>
      </c>
      <c r="E67" s="22">
        <f t="shared" si="1"/>
        <v>316734.74917650619</v>
      </c>
      <c r="F67" s="22">
        <f>E67-G67</f>
        <v>315734.74917650619</v>
      </c>
      <c r="G67" s="22">
        <v>1000</v>
      </c>
      <c r="H67" s="23">
        <v>63</v>
      </c>
      <c r="Z67">
        <v>59924.608002012959</v>
      </c>
    </row>
    <row r="68" spans="2:26" x14ac:dyDescent="0.25">
      <c r="B68" s="22">
        <f t="shared" si="3"/>
        <v>315734.74917650619</v>
      </c>
      <c r="C68" s="21">
        <v>0.03</v>
      </c>
      <c r="D68" s="22">
        <f t="shared" si="0"/>
        <v>789.33687294126548</v>
      </c>
      <c r="E68" s="22">
        <f t="shared" si="1"/>
        <v>316524.08604944748</v>
      </c>
      <c r="F68" s="22">
        <f>E68-G68</f>
        <v>315524.08604944748</v>
      </c>
      <c r="G68" s="22">
        <v>1000</v>
      </c>
      <c r="H68" s="23">
        <v>64</v>
      </c>
      <c r="Z68">
        <v>60772.676311234842</v>
      </c>
    </row>
    <row r="69" spans="2:26" x14ac:dyDescent="0.25">
      <c r="B69" s="22">
        <f t="shared" si="3"/>
        <v>315524.08604944748</v>
      </c>
      <c r="C69" s="21">
        <v>0.03</v>
      </c>
      <c r="D69" s="22">
        <f t="shared" si="0"/>
        <v>788.81021512361872</v>
      </c>
      <c r="E69" s="22">
        <f t="shared" si="1"/>
        <v>316312.89626457111</v>
      </c>
      <c r="F69" s="22">
        <f>E69-G69</f>
        <v>315312.89626457111</v>
      </c>
      <c r="G69" s="22">
        <v>1000</v>
      </c>
      <c r="H69" s="23">
        <v>65</v>
      </c>
      <c r="Z69">
        <v>61618.629736892581</v>
      </c>
    </row>
    <row r="70" spans="2:26" x14ac:dyDescent="0.25">
      <c r="B70" s="22">
        <f t="shared" si="3"/>
        <v>315312.89626457111</v>
      </c>
      <c r="C70" s="21">
        <v>0.03</v>
      </c>
      <c r="D70" s="22">
        <f t="shared" ref="D70:D133" si="4">B70*(0.03/12)</f>
        <v>788.28224066142775</v>
      </c>
      <c r="E70" s="22">
        <f t="shared" si="1"/>
        <v>316101.17850523256</v>
      </c>
      <c r="F70" s="22">
        <f>E70-G70</f>
        <v>315101.17850523256</v>
      </c>
      <c r="G70" s="22">
        <v>1000</v>
      </c>
      <c r="H70" s="23">
        <v>66</v>
      </c>
      <c r="Z70">
        <v>62462.473553010066</v>
      </c>
    </row>
    <row r="71" spans="2:26" x14ac:dyDescent="0.25">
      <c r="B71" s="22">
        <f t="shared" si="3"/>
        <v>315101.17850523256</v>
      </c>
      <c r="C71" s="21">
        <v>0.03</v>
      </c>
      <c r="D71" s="22">
        <f t="shared" si="4"/>
        <v>787.75294626308141</v>
      </c>
      <c r="E71" s="22">
        <f t="shared" ref="E71:E134" si="5">B71+D71</f>
        <v>315888.93145149562</v>
      </c>
      <c r="F71" s="22">
        <f>E71-G71</f>
        <v>314888.93145149562</v>
      </c>
      <c r="G71" s="22">
        <v>1000</v>
      </c>
      <c r="H71" s="23">
        <v>67</v>
      </c>
      <c r="Z71">
        <v>63304.21302045889</v>
      </c>
    </row>
    <row r="72" spans="2:26" x14ac:dyDescent="0.25">
      <c r="B72" s="22">
        <f t="shared" si="3"/>
        <v>314888.93145149562</v>
      </c>
      <c r="C72" s="21">
        <v>0.03</v>
      </c>
      <c r="D72" s="22">
        <f t="shared" si="4"/>
        <v>787.22232862873909</v>
      </c>
      <c r="E72" s="22">
        <f t="shared" si="5"/>
        <v>315676.15378012438</v>
      </c>
      <c r="F72" s="22">
        <f>E72-G72</f>
        <v>314676.15378012438</v>
      </c>
      <c r="G72" s="22">
        <v>1000</v>
      </c>
      <c r="H72" s="23">
        <v>68</v>
      </c>
      <c r="Z72">
        <v>64143.853386991395</v>
      </c>
    </row>
    <row r="73" spans="2:26" x14ac:dyDescent="0.25">
      <c r="B73" s="22">
        <f t="shared" si="3"/>
        <v>314676.15378012438</v>
      </c>
      <c r="C73" s="21">
        <v>0.03</v>
      </c>
      <c r="D73" s="22">
        <f t="shared" si="4"/>
        <v>786.69038445031094</v>
      </c>
      <c r="E73" s="22">
        <f t="shared" si="5"/>
        <v>315462.84416457469</v>
      </c>
      <c r="F73" s="22">
        <f>E73-G73</f>
        <v>314462.84416457469</v>
      </c>
      <c r="G73" s="22">
        <v>1000</v>
      </c>
      <c r="H73" s="23">
        <v>69</v>
      </c>
      <c r="Z73">
        <v>64981.399887273212</v>
      </c>
    </row>
    <row r="74" spans="2:26" x14ac:dyDescent="0.25">
      <c r="B74" s="22">
        <f t="shared" si="3"/>
        <v>314462.84416457469</v>
      </c>
      <c r="C74" s="21">
        <v>0.03</v>
      </c>
      <c r="D74" s="22">
        <f t="shared" si="4"/>
        <v>786.15711041143675</v>
      </c>
      <c r="E74" s="22">
        <f t="shared" si="5"/>
        <v>315249.00127498613</v>
      </c>
      <c r="F74" s="22">
        <f>E74-G74</f>
        <v>314249.00127498613</v>
      </c>
      <c r="G74" s="22">
        <v>1000</v>
      </c>
      <c r="H74" s="23">
        <v>70</v>
      </c>
      <c r="Z74">
        <v>65816.85774291589</v>
      </c>
    </row>
    <row r="75" spans="2:26" x14ac:dyDescent="0.25">
      <c r="B75" s="22">
        <f t="shared" si="3"/>
        <v>314249.00127498613</v>
      </c>
      <c r="C75" s="21">
        <v>0.03</v>
      </c>
      <c r="D75" s="22">
        <f t="shared" si="4"/>
        <v>785.62250318746533</v>
      </c>
      <c r="E75" s="22">
        <f t="shared" si="5"/>
        <v>315034.62377817358</v>
      </c>
      <c r="F75" s="22">
        <f>E75-G75</f>
        <v>314034.62377817358</v>
      </c>
      <c r="G75" s="22">
        <v>1000</v>
      </c>
      <c r="H75" s="23">
        <v>71</v>
      </c>
      <c r="Z75">
        <v>66650.232162509579</v>
      </c>
    </row>
    <row r="76" spans="2:26" x14ac:dyDescent="0.25">
      <c r="B76" s="22">
        <f t="shared" si="3"/>
        <v>314034.62377817358</v>
      </c>
      <c r="C76" s="21">
        <v>0.03</v>
      </c>
      <c r="D76" s="22">
        <f t="shared" si="4"/>
        <v>785.08655944543398</v>
      </c>
      <c r="E76" s="22">
        <f t="shared" si="5"/>
        <v>314819.71033761901</v>
      </c>
      <c r="F76" s="22">
        <f>E76-G76</f>
        <v>313819.71033761901</v>
      </c>
      <c r="G76" s="22">
        <v>1000</v>
      </c>
      <c r="H76" s="23">
        <v>72</v>
      </c>
      <c r="Z76">
        <v>67481.528341655445</v>
      </c>
    </row>
    <row r="77" spans="2:26" x14ac:dyDescent="0.25">
      <c r="B77" s="22">
        <f t="shared" si="3"/>
        <v>313819.71033761901</v>
      </c>
      <c r="C77" s="21">
        <v>0.03</v>
      </c>
      <c r="D77" s="22">
        <f t="shared" si="4"/>
        <v>784.54927584404754</v>
      </c>
      <c r="E77" s="22">
        <f t="shared" si="5"/>
        <v>314604.25961346307</v>
      </c>
      <c r="F77" s="22">
        <f>E77-G77</f>
        <v>313604.25961346307</v>
      </c>
      <c r="G77" s="22">
        <v>1000</v>
      </c>
      <c r="H77" s="23">
        <v>73</v>
      </c>
      <c r="Z77">
        <v>68310.751462997912</v>
      </c>
    </row>
    <row r="78" spans="2:26" x14ac:dyDescent="0.25">
      <c r="B78" s="22">
        <f t="shared" si="3"/>
        <v>313604.25961346307</v>
      </c>
      <c r="C78" s="21">
        <v>0.03</v>
      </c>
      <c r="D78" s="22">
        <f t="shared" si="4"/>
        <v>784.01064903365773</v>
      </c>
      <c r="E78" s="22">
        <f t="shared" si="5"/>
        <v>314388.27026249672</v>
      </c>
      <c r="F78" s="22">
        <f>E78-G78</f>
        <v>313388.27026249672</v>
      </c>
      <c r="G78" s="22">
        <v>1000</v>
      </c>
      <c r="H78" s="23">
        <v>74</v>
      </c>
      <c r="Z78">
        <v>69137.906696257283</v>
      </c>
    </row>
    <row r="79" spans="2:26" x14ac:dyDescent="0.25">
      <c r="B79" s="22">
        <f t="shared" si="3"/>
        <v>313388.27026249672</v>
      </c>
      <c r="C79" s="21">
        <v>0.03</v>
      </c>
      <c r="D79" s="22">
        <f t="shared" si="4"/>
        <v>783.47067565624184</v>
      </c>
      <c r="E79" s="22">
        <f t="shared" si="5"/>
        <v>314171.74093815294</v>
      </c>
      <c r="F79" s="22">
        <f>E79-G79</f>
        <v>313171.74093815294</v>
      </c>
      <c r="G79" s="22">
        <v>1000</v>
      </c>
      <c r="H79" s="23">
        <v>75</v>
      </c>
      <c r="Z79">
        <v>69962.99919826159</v>
      </c>
    </row>
    <row r="80" spans="2:26" x14ac:dyDescent="0.25">
      <c r="B80" s="22">
        <f t="shared" si="3"/>
        <v>313171.74093815294</v>
      </c>
      <c r="C80" s="21">
        <v>0.03</v>
      </c>
      <c r="D80" s="22">
        <f t="shared" si="4"/>
        <v>782.92935234538243</v>
      </c>
      <c r="E80" s="22">
        <f t="shared" si="5"/>
        <v>313954.67029049835</v>
      </c>
      <c r="F80" s="22">
        <f>E80-G80</f>
        <v>312954.67029049835</v>
      </c>
      <c r="G80" s="22">
        <v>1000</v>
      </c>
      <c r="H80" s="23">
        <v>76</v>
      </c>
      <c r="Z80">
        <v>70786.03411297912</v>
      </c>
    </row>
    <row r="81" spans="2:26" x14ac:dyDescent="0.25">
      <c r="B81" s="22">
        <f t="shared" si="3"/>
        <v>312954.67029049835</v>
      </c>
      <c r="C81" s="21">
        <v>0.03</v>
      </c>
      <c r="D81" s="22">
        <f t="shared" si="4"/>
        <v>782.38667572624593</v>
      </c>
      <c r="E81" s="22">
        <f t="shared" si="5"/>
        <v>313737.05696622463</v>
      </c>
      <c r="F81" s="22">
        <f>E81-G81</f>
        <v>312737.05696622463</v>
      </c>
      <c r="G81" s="22">
        <v>1000</v>
      </c>
      <c r="H81" s="23">
        <v>77</v>
      </c>
      <c r="Z81">
        <v>71607.016571550237</v>
      </c>
    </row>
    <row r="82" spans="2:26" x14ac:dyDescent="0.25">
      <c r="B82" s="22">
        <f t="shared" si="3"/>
        <v>312737.05696622463</v>
      </c>
      <c r="C82" s="21">
        <v>0.03</v>
      </c>
      <c r="D82" s="22">
        <f t="shared" si="4"/>
        <v>781.84264241556161</v>
      </c>
      <c r="E82" s="22">
        <f t="shared" si="5"/>
        <v>313518.89960864017</v>
      </c>
      <c r="F82" s="22">
        <f>E82-G82</f>
        <v>312518.89960864017</v>
      </c>
      <c r="G82" s="22">
        <v>1000</v>
      </c>
      <c r="H82" s="23">
        <v>78</v>
      </c>
      <c r="Z82">
        <v>72425.951692319402</v>
      </c>
    </row>
    <row r="83" spans="2:26" x14ac:dyDescent="0.25">
      <c r="B83" s="22">
        <f t="shared" si="3"/>
        <v>312518.89960864017</v>
      </c>
      <c r="C83" s="21">
        <v>0.03</v>
      </c>
      <c r="D83" s="22">
        <f t="shared" si="4"/>
        <v>781.29724902160046</v>
      </c>
      <c r="E83" s="22">
        <f t="shared" si="5"/>
        <v>313300.19685766177</v>
      </c>
      <c r="F83" s="22">
        <f>E83-G83</f>
        <v>312300.19685766177</v>
      </c>
      <c r="G83" s="22">
        <v>1000</v>
      </c>
      <c r="H83" s="23">
        <v>79</v>
      </c>
      <c r="Z83">
        <v>73242.844580867226</v>
      </c>
    </row>
    <row r="84" spans="2:26" x14ac:dyDescent="0.25">
      <c r="B84" s="22">
        <f t="shared" si="3"/>
        <v>312300.19685766177</v>
      </c>
      <c r="C84" s="21">
        <v>0.03</v>
      </c>
      <c r="D84" s="22">
        <f t="shared" si="4"/>
        <v>780.75049214415446</v>
      </c>
      <c r="E84" s="22">
        <f t="shared" si="5"/>
        <v>313080.94734980591</v>
      </c>
      <c r="F84" s="22">
        <f>E84-G84</f>
        <v>312080.94734980591</v>
      </c>
      <c r="G84" s="22">
        <v>1000</v>
      </c>
      <c r="H84" s="23">
        <v>80</v>
      </c>
      <c r="Z84">
        <v>74057.700330042135</v>
      </c>
    </row>
    <row r="85" spans="2:26" x14ac:dyDescent="0.25">
      <c r="B85" s="22">
        <f t="shared" si="3"/>
        <v>312080.94734980591</v>
      </c>
      <c r="C85" s="21">
        <v>0.03</v>
      </c>
      <c r="D85" s="22">
        <f t="shared" si="4"/>
        <v>780.20236837451478</v>
      </c>
      <c r="E85" s="22">
        <f t="shared" si="5"/>
        <v>312861.14971818042</v>
      </c>
      <c r="F85" s="22">
        <f>E85-G85</f>
        <v>311861.14971818042</v>
      </c>
      <c r="G85" s="22">
        <v>1000</v>
      </c>
      <c r="H85" s="23">
        <v>81</v>
      </c>
      <c r="Z85">
        <v>74870.524019992095</v>
      </c>
    </row>
    <row r="86" spans="2:26" x14ac:dyDescent="0.25">
      <c r="B86" s="22">
        <f t="shared" si="3"/>
        <v>311861.14971818042</v>
      </c>
      <c r="C86" s="21">
        <v>0.03</v>
      </c>
      <c r="D86" s="22">
        <f t="shared" si="4"/>
        <v>779.65287429545106</v>
      </c>
      <c r="E86" s="22">
        <f t="shared" si="5"/>
        <v>312640.80259247584</v>
      </c>
      <c r="F86" s="22">
        <f>E86-G86</f>
        <v>311640.80259247584</v>
      </c>
      <c r="G86" s="22">
        <v>1000</v>
      </c>
      <c r="H86" s="23">
        <v>82</v>
      </c>
      <c r="Z86">
        <v>75681.320718196599</v>
      </c>
    </row>
    <row r="87" spans="2:26" x14ac:dyDescent="0.25">
      <c r="B87" s="22">
        <f t="shared" si="3"/>
        <v>311640.80259247584</v>
      </c>
      <c r="C87" s="21">
        <v>0.03</v>
      </c>
      <c r="D87" s="22">
        <f t="shared" si="4"/>
        <v>779.10200648118962</v>
      </c>
      <c r="E87" s="22">
        <f t="shared" si="5"/>
        <v>312419.90459895704</v>
      </c>
      <c r="F87" s="22">
        <f>E87-G87</f>
        <v>311419.90459895704</v>
      </c>
      <c r="G87" s="22">
        <v>1000</v>
      </c>
      <c r="H87" s="23">
        <v>83</v>
      </c>
      <c r="Z87">
        <v>76490.095479497861</v>
      </c>
    </row>
    <row r="88" spans="2:26" x14ac:dyDescent="0.25">
      <c r="B88" s="22">
        <f t="shared" si="3"/>
        <v>311419.90459895704</v>
      </c>
      <c r="C88" s="21">
        <v>0.03</v>
      </c>
      <c r="D88" s="22">
        <f t="shared" si="4"/>
        <v>778.54976149739264</v>
      </c>
      <c r="E88" s="22">
        <f t="shared" si="5"/>
        <v>312198.45436045446</v>
      </c>
      <c r="F88" s="22">
        <f>E88-G88</f>
        <v>311198.45436045446</v>
      </c>
      <c r="G88" s="22">
        <v>1000</v>
      </c>
      <c r="H88" s="23">
        <v>84</v>
      </c>
      <c r="Z88">
        <v>77296.853346132499</v>
      </c>
    </row>
    <row r="89" spans="2:26" x14ac:dyDescent="0.25">
      <c r="B89" s="22">
        <f t="shared" si="3"/>
        <v>311198.45436045446</v>
      </c>
      <c r="C89" s="21">
        <v>0.03</v>
      </c>
      <c r="D89" s="22">
        <f t="shared" si="4"/>
        <v>777.9961359011362</v>
      </c>
      <c r="E89" s="22">
        <f t="shared" si="5"/>
        <v>311976.4504963556</v>
      </c>
      <c r="F89" s="22">
        <f>E89-G89</f>
        <v>310976.4504963556</v>
      </c>
      <c r="G89" s="22">
        <v>1000</v>
      </c>
      <c r="H89" s="23">
        <v>85</v>
      </c>
      <c r="Z89">
        <v>78101.599347763084</v>
      </c>
    </row>
    <row r="90" spans="2:26" x14ac:dyDescent="0.25">
      <c r="B90" s="22">
        <f t="shared" si="3"/>
        <v>310976.4504963556</v>
      </c>
      <c r="C90" s="21">
        <v>0.03</v>
      </c>
      <c r="D90" s="22">
        <f t="shared" si="4"/>
        <v>777.44112624088905</v>
      </c>
      <c r="E90" s="22">
        <f t="shared" si="5"/>
        <v>311753.89162259648</v>
      </c>
      <c r="F90" s="22">
        <f>E90-G90</f>
        <v>310753.89162259648</v>
      </c>
      <c r="G90" s="22">
        <v>1000</v>
      </c>
      <c r="H90" s="23">
        <v>86</v>
      </c>
      <c r="Z90">
        <v>78904.338501509264</v>
      </c>
    </row>
    <row r="91" spans="2:26" x14ac:dyDescent="0.25">
      <c r="B91" s="22">
        <f t="shared" si="3"/>
        <v>310753.89162259648</v>
      </c>
      <c r="C91" s="21">
        <v>0.03</v>
      </c>
      <c r="D91" s="22">
        <f t="shared" si="4"/>
        <v>776.88472905649121</v>
      </c>
      <c r="E91" s="22">
        <f t="shared" si="5"/>
        <v>311530.77635165298</v>
      </c>
      <c r="F91" s="22">
        <f>E91-G91</f>
        <v>310530.77635165298</v>
      </c>
      <c r="G91" s="22">
        <v>1000</v>
      </c>
      <c r="H91" s="23">
        <v>87</v>
      </c>
      <c r="Z91">
        <v>79705.075811979317</v>
      </c>
    </row>
    <row r="92" spans="2:26" x14ac:dyDescent="0.25">
      <c r="B92" s="22">
        <f t="shared" si="3"/>
        <v>310530.77635165298</v>
      </c>
      <c r="C92" s="21">
        <v>0.03</v>
      </c>
      <c r="D92" s="22">
        <f t="shared" si="4"/>
        <v>776.32694087913251</v>
      </c>
      <c r="E92" s="22">
        <f t="shared" si="5"/>
        <v>311307.10329253209</v>
      </c>
      <c r="F92" s="22">
        <f>E92-G92</f>
        <v>310307.10329253209</v>
      </c>
      <c r="G92" s="22">
        <v>1000</v>
      </c>
      <c r="H92" s="23">
        <v>88</v>
      </c>
      <c r="Z92">
        <v>80503.816271301039</v>
      </c>
    </row>
    <row r="93" spans="2:26" x14ac:dyDescent="0.25">
      <c r="B93" s="22">
        <f t="shared" ref="B93:B156" si="6">F92</f>
        <v>310307.10329253209</v>
      </c>
      <c r="C93" s="21">
        <v>0.03</v>
      </c>
      <c r="D93" s="22">
        <f t="shared" si="4"/>
        <v>775.76775823133028</v>
      </c>
      <c r="E93" s="22">
        <f t="shared" si="5"/>
        <v>311082.87105076341</v>
      </c>
      <c r="F93" s="22">
        <f>E93-G93</f>
        <v>310082.87105076341</v>
      </c>
      <c r="G93" s="22">
        <v>1000</v>
      </c>
      <c r="H93" s="23">
        <v>89</v>
      </c>
      <c r="Z93">
        <v>81300.56485915315</v>
      </c>
    </row>
    <row r="94" spans="2:26" x14ac:dyDescent="0.25">
      <c r="B94" s="22">
        <f t="shared" si="6"/>
        <v>310082.87105076341</v>
      </c>
      <c r="C94" s="21">
        <v>0.03</v>
      </c>
      <c r="D94" s="22">
        <f t="shared" si="4"/>
        <v>775.20717762690856</v>
      </c>
      <c r="E94" s="22">
        <f t="shared" si="5"/>
        <v>310858.07822839031</v>
      </c>
      <c r="F94" s="22">
        <f>E94-G94</f>
        <v>309858.07822839031</v>
      </c>
      <c r="G94" s="22">
        <v>1000</v>
      </c>
      <c r="H94" s="23">
        <v>90</v>
      </c>
      <c r="Z94">
        <v>82095.326542796116</v>
      </c>
    </row>
    <row r="95" spans="2:26" x14ac:dyDescent="0.25">
      <c r="B95" s="22">
        <f t="shared" si="6"/>
        <v>309858.07822839031</v>
      </c>
      <c r="C95" s="21">
        <v>0.03</v>
      </c>
      <c r="D95" s="22">
        <f t="shared" si="4"/>
        <v>774.64519557097583</v>
      </c>
      <c r="E95" s="22">
        <f t="shared" si="5"/>
        <v>310632.72342396126</v>
      </c>
      <c r="F95" s="22">
        <f>E95-G95</f>
        <v>309632.72342396126</v>
      </c>
      <c r="G95" s="22">
        <v>1000</v>
      </c>
      <c r="H95" s="23">
        <v>91</v>
      </c>
      <c r="Z95">
        <v>82888.106277103376</v>
      </c>
    </row>
    <row r="96" spans="2:26" x14ac:dyDescent="0.25">
      <c r="B96" s="22">
        <f t="shared" si="6"/>
        <v>309632.72342396126</v>
      </c>
      <c r="C96" s="21">
        <v>0.03</v>
      </c>
      <c r="D96" s="22">
        <f t="shared" si="4"/>
        <v>774.08180855990315</v>
      </c>
      <c r="E96" s="22">
        <f t="shared" si="5"/>
        <v>310406.80523252115</v>
      </c>
      <c r="F96" s="22">
        <f>E96-G96</f>
        <v>309406.80523252115</v>
      </c>
      <c r="G96" s="22">
        <v>1000</v>
      </c>
      <c r="H96" s="23">
        <v>92</v>
      </c>
      <c r="Z96">
        <v>83678.909004591871</v>
      </c>
    </row>
    <row r="97" spans="2:26" x14ac:dyDescent="0.25">
      <c r="B97" s="22">
        <f t="shared" si="6"/>
        <v>309406.80523252115</v>
      </c>
      <c r="C97" s="21">
        <v>0.03</v>
      </c>
      <c r="D97" s="22">
        <f t="shared" si="4"/>
        <v>773.51701308130293</v>
      </c>
      <c r="E97" s="22">
        <f t="shared" si="5"/>
        <v>310180.32224560244</v>
      </c>
      <c r="F97" s="22">
        <f>E97-G97</f>
        <v>309180.32224560244</v>
      </c>
      <c r="G97" s="22">
        <v>1000</v>
      </c>
      <c r="H97" s="23">
        <v>93</v>
      </c>
      <c r="Z97">
        <v>84467.739655453232</v>
      </c>
    </row>
    <row r="98" spans="2:26" x14ac:dyDescent="0.25">
      <c r="B98" s="22">
        <f t="shared" si="6"/>
        <v>309180.32224560244</v>
      </c>
      <c r="C98" s="21">
        <v>0.03</v>
      </c>
      <c r="D98" s="22">
        <f t="shared" si="4"/>
        <v>772.95080561400607</v>
      </c>
      <c r="E98" s="22">
        <f t="shared" si="5"/>
        <v>309953.27305121644</v>
      </c>
      <c r="F98" s="22">
        <f>E98-G98</f>
        <v>308953.27305121644</v>
      </c>
      <c r="G98" s="22">
        <v>1000</v>
      </c>
      <c r="H98" s="23">
        <v>94</v>
      </c>
      <c r="Z98">
        <v>85254.603147584261</v>
      </c>
    </row>
    <row r="99" spans="2:26" x14ac:dyDescent="0.25">
      <c r="B99" s="22">
        <f t="shared" si="6"/>
        <v>308953.27305121644</v>
      </c>
      <c r="C99" s="21">
        <v>0.03</v>
      </c>
      <c r="D99" s="22">
        <f t="shared" si="4"/>
        <v>772.38318262804114</v>
      </c>
      <c r="E99" s="22">
        <f t="shared" si="5"/>
        <v>309725.65623384446</v>
      </c>
      <c r="F99" s="22">
        <f>E99-G99</f>
        <v>308725.65623384446</v>
      </c>
      <c r="G99" s="22">
        <v>1000</v>
      </c>
      <c r="H99" s="23">
        <v>95</v>
      </c>
      <c r="Z99">
        <v>86039.504386617686</v>
      </c>
    </row>
    <row r="100" spans="2:26" x14ac:dyDescent="0.25">
      <c r="B100" s="22">
        <f t="shared" si="6"/>
        <v>308725.65623384446</v>
      </c>
      <c r="C100" s="21">
        <v>0.03</v>
      </c>
      <c r="D100" s="22">
        <f t="shared" si="4"/>
        <v>771.81414058461121</v>
      </c>
      <c r="E100" s="22">
        <f t="shared" si="5"/>
        <v>309497.47037442907</v>
      </c>
      <c r="F100" s="22">
        <f>E100-G100</f>
        <v>308497.47037442907</v>
      </c>
      <c r="G100" s="22">
        <v>1000</v>
      </c>
      <c r="H100" s="23">
        <v>96</v>
      </c>
      <c r="Z100">
        <v>86822.4482659528</v>
      </c>
    </row>
    <row r="101" spans="2:26" x14ac:dyDescent="0.25">
      <c r="B101" s="22">
        <f t="shared" si="6"/>
        <v>308497.47037442907</v>
      </c>
      <c r="C101" s="21">
        <v>0.03</v>
      </c>
      <c r="D101" s="22">
        <f t="shared" si="4"/>
        <v>771.24367593607269</v>
      </c>
      <c r="E101" s="22">
        <f t="shared" si="5"/>
        <v>309268.71405036515</v>
      </c>
      <c r="F101" s="22">
        <f>E101-G101</f>
        <v>308268.71405036515</v>
      </c>
      <c r="G101" s="22">
        <v>1000</v>
      </c>
      <c r="H101" s="23">
        <v>97</v>
      </c>
      <c r="Z101">
        <v>87603.43966678578</v>
      </c>
    </row>
    <row r="102" spans="2:26" x14ac:dyDescent="0.25">
      <c r="B102" s="22">
        <f t="shared" si="6"/>
        <v>308268.71405036515</v>
      </c>
      <c r="C102" s="21">
        <v>0.03</v>
      </c>
      <c r="D102" s="22">
        <f t="shared" si="4"/>
        <v>770.67178512591283</v>
      </c>
      <c r="E102" s="22">
        <f t="shared" si="5"/>
        <v>309039.38583549106</v>
      </c>
      <c r="F102" s="22">
        <f>E102-G102</f>
        <v>308039.38583549106</v>
      </c>
      <c r="G102" s="22">
        <v>1000</v>
      </c>
      <c r="H102" s="23">
        <v>98</v>
      </c>
      <c r="Z102">
        <v>88382.483458140414</v>
      </c>
    </row>
    <row r="103" spans="2:26" x14ac:dyDescent="0.25">
      <c r="B103" s="22">
        <f t="shared" si="6"/>
        <v>308039.38583549106</v>
      </c>
      <c r="C103" s="21">
        <v>0.03</v>
      </c>
      <c r="D103" s="22">
        <f t="shared" si="4"/>
        <v>770.09846458872767</v>
      </c>
      <c r="E103" s="22">
        <f t="shared" si="5"/>
        <v>308809.48430007981</v>
      </c>
      <c r="F103" s="22">
        <f>E103-G103</f>
        <v>307809.48430007981</v>
      </c>
      <c r="G103" s="22">
        <v>1000</v>
      </c>
      <c r="H103" s="23">
        <v>99</v>
      </c>
      <c r="Z103">
        <v>89159.584496898155</v>
      </c>
    </row>
    <row r="104" spans="2:26" x14ac:dyDescent="0.25">
      <c r="B104" s="22">
        <f t="shared" si="6"/>
        <v>307809.48430007981</v>
      </c>
      <c r="C104" s="21">
        <v>0.03</v>
      </c>
      <c r="D104" s="22">
        <f t="shared" si="4"/>
        <v>769.5237107501996</v>
      </c>
      <c r="E104" s="22">
        <f t="shared" si="5"/>
        <v>308579.00801083003</v>
      </c>
      <c r="F104" s="22">
        <f>E104-G104</f>
        <v>307579.00801083003</v>
      </c>
      <c r="G104" s="22">
        <v>1000</v>
      </c>
      <c r="H104" s="23">
        <v>100</v>
      </c>
      <c r="Z104">
        <v>89934.74762782859</v>
      </c>
    </row>
    <row r="105" spans="2:26" x14ac:dyDescent="0.25">
      <c r="B105" s="22">
        <f t="shared" si="6"/>
        <v>307579.00801083003</v>
      </c>
      <c r="C105" s="21">
        <v>0.03</v>
      </c>
      <c r="D105" s="22">
        <f t="shared" si="4"/>
        <v>768.94752002707514</v>
      </c>
      <c r="E105" s="22">
        <f t="shared" si="5"/>
        <v>308347.95553085709</v>
      </c>
      <c r="F105" s="22">
        <f>E105-G105</f>
        <v>307347.95553085709</v>
      </c>
      <c r="G105" s="22">
        <v>1000</v>
      </c>
      <c r="H105" s="23">
        <v>101</v>
      </c>
      <c r="Z105">
        <v>90707.977683619538</v>
      </c>
    </row>
    <row r="106" spans="2:26" x14ac:dyDescent="0.25">
      <c r="B106" s="22">
        <f t="shared" si="6"/>
        <v>307347.95553085709</v>
      </c>
      <c r="C106" s="21">
        <v>0.03</v>
      </c>
      <c r="D106" s="22">
        <f t="shared" si="4"/>
        <v>768.36988882714274</v>
      </c>
      <c r="E106" s="22">
        <f t="shared" si="5"/>
        <v>308116.32541968423</v>
      </c>
      <c r="F106" s="22">
        <f>E106-G106</f>
        <v>307116.32541968423</v>
      </c>
      <c r="G106" s="22">
        <v>1000</v>
      </c>
      <c r="H106" s="23">
        <v>102</v>
      </c>
      <c r="Z106">
        <v>91479.279484907209</v>
      </c>
    </row>
    <row r="107" spans="2:26" x14ac:dyDescent="0.25">
      <c r="B107" s="22">
        <f t="shared" si="6"/>
        <v>307116.32541968423</v>
      </c>
      <c r="C107" s="21">
        <v>0.03</v>
      </c>
      <c r="D107" s="22">
        <f t="shared" si="4"/>
        <v>767.79081354921061</v>
      </c>
      <c r="E107" s="22">
        <f t="shared" si="5"/>
        <v>307884.11623323342</v>
      </c>
      <c r="F107" s="22">
        <f>E107-G107</f>
        <v>306884.11623323342</v>
      </c>
      <c r="G107" s="22">
        <v>1000</v>
      </c>
      <c r="H107" s="23">
        <v>103</v>
      </c>
      <c r="Z107">
        <v>92248.657840306463</v>
      </c>
    </row>
    <row r="108" spans="2:26" x14ac:dyDescent="0.25">
      <c r="B108" s="22">
        <f t="shared" si="6"/>
        <v>306884.11623323342</v>
      </c>
      <c r="C108" s="21">
        <v>0.03</v>
      </c>
      <c r="D108" s="22">
        <f t="shared" si="4"/>
        <v>767.21029058308352</v>
      </c>
      <c r="E108" s="22">
        <f t="shared" si="5"/>
        <v>307651.3265238165</v>
      </c>
      <c r="F108" s="22">
        <f>E108-G108</f>
        <v>306651.3265238165</v>
      </c>
      <c r="G108" s="22">
        <v>1000</v>
      </c>
      <c r="H108" s="23">
        <v>104</v>
      </c>
      <c r="Z108">
        <v>93016.117546440335</v>
      </c>
    </row>
    <row r="109" spans="2:26" x14ac:dyDescent="0.25">
      <c r="B109" s="22">
        <f t="shared" si="6"/>
        <v>306651.3265238165</v>
      </c>
      <c r="C109" s="21">
        <v>0.03</v>
      </c>
      <c r="D109" s="22">
        <f t="shared" si="4"/>
        <v>766.62831630954133</v>
      </c>
      <c r="E109" s="22">
        <f t="shared" si="5"/>
        <v>307417.95484012604</v>
      </c>
      <c r="F109" s="22">
        <f>E109-G109</f>
        <v>306417.95484012604</v>
      </c>
      <c r="G109" s="22">
        <v>1000</v>
      </c>
      <c r="H109" s="23">
        <v>105</v>
      </c>
      <c r="Z109">
        <v>93781.663387970402</v>
      </c>
    </row>
    <row r="110" spans="2:26" x14ac:dyDescent="0.25">
      <c r="B110" s="22">
        <f t="shared" si="6"/>
        <v>306417.95484012604</v>
      </c>
      <c r="C110" s="21">
        <v>0.03</v>
      </c>
      <c r="D110" s="22">
        <f t="shared" si="4"/>
        <v>766.04488710031512</v>
      </c>
      <c r="E110" s="22">
        <f t="shared" si="5"/>
        <v>307183.99972722633</v>
      </c>
      <c r="F110" s="22">
        <f>E110-G110</f>
        <v>306183.99972722633</v>
      </c>
      <c r="G110" s="22">
        <v>1000</v>
      </c>
      <c r="H110" s="23">
        <v>106</v>
      </c>
      <c r="Z110">
        <v>94545.300137626313</v>
      </c>
    </row>
    <row r="111" spans="2:26" x14ac:dyDescent="0.25">
      <c r="B111" s="22">
        <f t="shared" si="6"/>
        <v>306183.99972722633</v>
      </c>
      <c r="C111" s="21">
        <v>0.03</v>
      </c>
      <c r="D111" s="22">
        <f t="shared" si="4"/>
        <v>765.4599993180658</v>
      </c>
      <c r="E111" s="22">
        <f t="shared" si="5"/>
        <v>306949.45972654439</v>
      </c>
      <c r="F111" s="22">
        <f>E111-G111</f>
        <v>305949.45972654439</v>
      </c>
      <c r="G111" s="22">
        <v>1000</v>
      </c>
      <c r="H111" s="23">
        <v>107</v>
      </c>
      <c r="Z111">
        <v>95307.032556235688</v>
      </c>
    </row>
    <row r="112" spans="2:26" x14ac:dyDescent="0.25">
      <c r="B112" s="22">
        <f t="shared" si="6"/>
        <v>305949.45972654439</v>
      </c>
      <c r="C112" s="21">
        <v>0.03</v>
      </c>
      <c r="D112" s="22">
        <f t="shared" si="4"/>
        <v>764.87364931636102</v>
      </c>
      <c r="E112" s="22">
        <f t="shared" si="5"/>
        <v>306714.33337586076</v>
      </c>
      <c r="F112" s="22">
        <f>E112-G112</f>
        <v>305714.33337586076</v>
      </c>
      <c r="G112" s="22">
        <v>1000</v>
      </c>
      <c r="H112" s="23">
        <v>108</v>
      </c>
      <c r="Z112">
        <v>96066.865392753796</v>
      </c>
    </row>
    <row r="113" spans="2:26" x14ac:dyDescent="0.25">
      <c r="B113" s="22">
        <f t="shared" si="6"/>
        <v>305714.33337586076</v>
      </c>
      <c r="C113" s="21">
        <v>0.03</v>
      </c>
      <c r="D113" s="22">
        <f t="shared" si="4"/>
        <v>764.28583343965192</v>
      </c>
      <c r="E113" s="22">
        <f t="shared" si="5"/>
        <v>306478.61920930044</v>
      </c>
      <c r="F113" s="22">
        <f>E113-G113</f>
        <v>305478.61920930044</v>
      </c>
      <c r="G113" s="22">
        <v>1000</v>
      </c>
      <c r="H113" s="23">
        <v>109</v>
      </c>
      <c r="Z113">
        <v>96824.80338429306</v>
      </c>
    </row>
    <row r="114" spans="2:26" x14ac:dyDescent="0.25">
      <c r="B114" s="22">
        <f t="shared" si="6"/>
        <v>305478.61920930044</v>
      </c>
      <c r="C114" s="21">
        <v>0.03</v>
      </c>
      <c r="D114" s="22">
        <f t="shared" si="4"/>
        <v>763.69654802325113</v>
      </c>
      <c r="E114" s="22">
        <f t="shared" si="5"/>
        <v>306242.3157573237</v>
      </c>
      <c r="F114" s="22">
        <f>E114-G114</f>
        <v>305242.3157573237</v>
      </c>
      <c r="G114" s="22">
        <v>1000</v>
      </c>
      <c r="H114" s="23">
        <v>110</v>
      </c>
      <c r="Z114">
        <v>97580.851256152673</v>
      </c>
    </row>
    <row r="115" spans="2:26" x14ac:dyDescent="0.25">
      <c r="B115" s="22">
        <f t="shared" si="6"/>
        <v>305242.3157573237</v>
      </c>
      <c r="C115" s="21">
        <v>0.03</v>
      </c>
      <c r="D115" s="22">
        <f t="shared" si="4"/>
        <v>763.10578939330924</v>
      </c>
      <c r="E115" s="22">
        <f t="shared" si="5"/>
        <v>306005.421546717</v>
      </c>
      <c r="F115" s="22">
        <f>E115-G115</f>
        <v>305005.421546717</v>
      </c>
      <c r="G115" s="22">
        <v>1000</v>
      </c>
      <c r="H115" s="23">
        <v>111</v>
      </c>
      <c r="Z115">
        <v>98335.013721848023</v>
      </c>
    </row>
    <row r="116" spans="2:26" x14ac:dyDescent="0.25">
      <c r="B116" s="22">
        <f t="shared" si="6"/>
        <v>305005.421546717</v>
      </c>
      <c r="C116" s="21">
        <v>0.03</v>
      </c>
      <c r="D116" s="22">
        <f t="shared" si="4"/>
        <v>762.51355386679256</v>
      </c>
      <c r="E116" s="22">
        <f t="shared" si="5"/>
        <v>305767.93510058377</v>
      </c>
      <c r="F116" s="22">
        <f>E116-G116</f>
        <v>304767.93510058377</v>
      </c>
      <c r="G116" s="22">
        <v>1000</v>
      </c>
      <c r="H116" s="23">
        <v>112</v>
      </c>
      <c r="Z116">
        <v>99087.295483140144</v>
      </c>
    </row>
    <row r="117" spans="2:26" x14ac:dyDescent="0.25">
      <c r="B117" s="22">
        <f t="shared" si="6"/>
        <v>304767.93510058377</v>
      </c>
      <c r="C117" s="21">
        <v>0.03</v>
      </c>
      <c r="D117" s="22">
        <f t="shared" si="4"/>
        <v>761.91983775145945</v>
      </c>
      <c r="E117" s="22">
        <f t="shared" si="5"/>
        <v>305529.85493833525</v>
      </c>
      <c r="F117" s="22">
        <f>E117-G117</f>
        <v>304529.85493833525</v>
      </c>
      <c r="G117" s="22">
        <v>1000</v>
      </c>
      <c r="H117" s="23">
        <v>113</v>
      </c>
      <c r="Z117">
        <v>99837.70123006498</v>
      </c>
    </row>
    <row r="118" spans="2:26" x14ac:dyDescent="0.25">
      <c r="B118" s="22">
        <f t="shared" si="6"/>
        <v>304529.85493833525</v>
      </c>
      <c r="C118" s="21">
        <v>0.03</v>
      </c>
      <c r="D118" s="22">
        <f t="shared" si="4"/>
        <v>761.32463734583814</v>
      </c>
      <c r="E118" s="22">
        <f t="shared" si="5"/>
        <v>305291.1795756811</v>
      </c>
      <c r="F118" s="22">
        <f>E118-G118</f>
        <v>304291.1795756811</v>
      </c>
      <c r="G118" s="22">
        <v>1000</v>
      </c>
      <c r="H118" s="23">
        <v>114</v>
      </c>
      <c r="Z118">
        <v>100586.23564096254</v>
      </c>
    </row>
    <row r="119" spans="2:26" x14ac:dyDescent="0.25">
      <c r="B119" s="22">
        <f t="shared" si="6"/>
        <v>304291.1795756811</v>
      </c>
      <c r="C119" s="21">
        <v>0.03</v>
      </c>
      <c r="D119" s="22">
        <f t="shared" si="4"/>
        <v>760.72794893920275</v>
      </c>
      <c r="E119" s="22">
        <f t="shared" si="5"/>
        <v>305051.9075246203</v>
      </c>
      <c r="F119" s="22">
        <f>E119-G119</f>
        <v>304051.9075246203</v>
      </c>
      <c r="G119" s="22">
        <v>1000</v>
      </c>
      <c r="H119" s="23">
        <v>115</v>
      </c>
      <c r="Z119">
        <v>101332.90338250628</v>
      </c>
    </row>
    <row r="120" spans="2:26" x14ac:dyDescent="0.25">
      <c r="B120" s="22">
        <f t="shared" si="6"/>
        <v>304051.9075246203</v>
      </c>
      <c r="C120" s="21">
        <v>0.03</v>
      </c>
      <c r="D120" s="22">
        <f t="shared" si="4"/>
        <v>760.12976881155078</v>
      </c>
      <c r="E120" s="22">
        <f t="shared" si="5"/>
        <v>304812.03729343187</v>
      </c>
      <c r="F120" s="22">
        <f>E120-G120</f>
        <v>303812.03729343187</v>
      </c>
      <c r="G120" s="22">
        <v>1000</v>
      </c>
      <c r="H120" s="23">
        <v>116</v>
      </c>
      <c r="Z120">
        <v>102077.70910973192</v>
      </c>
    </row>
    <row r="121" spans="2:26" x14ac:dyDescent="0.25">
      <c r="B121" s="22">
        <f t="shared" si="6"/>
        <v>303812.03729343187</v>
      </c>
      <c r="C121" s="21">
        <v>0.03</v>
      </c>
      <c r="D121" s="22">
        <f t="shared" si="4"/>
        <v>759.53009323357969</v>
      </c>
      <c r="E121" s="22">
        <f t="shared" si="5"/>
        <v>304571.56738666544</v>
      </c>
      <c r="F121" s="22">
        <f>E121-G121</f>
        <v>303571.56738666544</v>
      </c>
      <c r="G121" s="22">
        <v>1000</v>
      </c>
      <c r="H121" s="23">
        <v>117</v>
      </c>
      <c r="Z121">
        <v>102820.65746606674</v>
      </c>
    </row>
    <row r="122" spans="2:26" x14ac:dyDescent="0.25">
      <c r="B122" s="22">
        <f t="shared" si="6"/>
        <v>303571.56738666544</v>
      </c>
      <c r="C122" s="21">
        <v>0.03</v>
      </c>
      <c r="D122" s="22">
        <f t="shared" si="4"/>
        <v>758.92891846666362</v>
      </c>
      <c r="E122" s="22">
        <f t="shared" si="5"/>
        <v>304330.49630513211</v>
      </c>
      <c r="F122" s="22">
        <f>E122-G122</f>
        <v>303330.49630513211</v>
      </c>
      <c r="G122" s="22">
        <v>1000</v>
      </c>
      <c r="H122" s="23">
        <v>118</v>
      </c>
      <c r="Z122">
        <v>103561.7530833583</v>
      </c>
    </row>
    <row r="123" spans="2:26" x14ac:dyDescent="0.25">
      <c r="B123" s="22">
        <f t="shared" si="6"/>
        <v>303330.49630513211</v>
      </c>
      <c r="C123" s="21">
        <v>0.03</v>
      </c>
      <c r="D123" s="22">
        <f t="shared" si="4"/>
        <v>758.32624076283025</v>
      </c>
      <c r="E123" s="22">
        <f t="shared" si="5"/>
        <v>304088.82254589495</v>
      </c>
      <c r="F123" s="22">
        <f>E123-G123</f>
        <v>303088.82254589495</v>
      </c>
      <c r="G123" s="22">
        <v>1000</v>
      </c>
      <c r="H123" s="23">
        <v>119</v>
      </c>
      <c r="Z123">
        <v>104301.00058190357</v>
      </c>
    </row>
    <row r="124" spans="2:26" x14ac:dyDescent="0.25">
      <c r="B124" s="22">
        <f t="shared" si="6"/>
        <v>303088.82254589495</v>
      </c>
      <c r="C124" s="21">
        <v>0.03</v>
      </c>
      <c r="D124" s="22">
        <f t="shared" si="4"/>
        <v>757.72205636473734</v>
      </c>
      <c r="E124" s="22">
        <f t="shared" si="5"/>
        <v>303846.5446022597</v>
      </c>
      <c r="F124" s="22">
        <f>E124-G124</f>
        <v>302846.5446022597</v>
      </c>
      <c r="G124" s="22">
        <v>1000</v>
      </c>
      <c r="H124" s="23">
        <v>120</v>
      </c>
      <c r="Z124">
        <v>105038.40457047736</v>
      </c>
    </row>
    <row r="125" spans="2:26" x14ac:dyDescent="0.25">
      <c r="B125" s="22">
        <f t="shared" si="6"/>
        <v>302846.5446022597</v>
      </c>
      <c r="C125" s="21">
        <v>0.03</v>
      </c>
      <c r="D125" s="22">
        <f t="shared" si="4"/>
        <v>757.11636150564925</v>
      </c>
      <c r="E125" s="22">
        <f t="shared" si="5"/>
        <v>303603.66096376535</v>
      </c>
      <c r="F125" s="22">
        <f>E125-G125</f>
        <v>302603.66096376535</v>
      </c>
      <c r="G125" s="22">
        <v>1000</v>
      </c>
      <c r="H125" s="23">
        <v>121</v>
      </c>
      <c r="Z125">
        <v>105773.96964636141</v>
      </c>
    </row>
    <row r="126" spans="2:26" x14ac:dyDescent="0.25">
      <c r="B126" s="22">
        <f t="shared" si="6"/>
        <v>302603.66096376535</v>
      </c>
      <c r="C126" s="21">
        <v>0.03</v>
      </c>
      <c r="D126" s="22">
        <f t="shared" si="4"/>
        <v>756.50915240941333</v>
      </c>
      <c r="E126" s="22">
        <f t="shared" si="5"/>
        <v>303360.17011617473</v>
      </c>
      <c r="F126" s="22">
        <f>E126-G126</f>
        <v>302360.17011617473</v>
      </c>
      <c r="G126" s="22">
        <v>1000</v>
      </c>
      <c r="H126" s="23">
        <v>122</v>
      </c>
      <c r="Z126">
        <v>106507.70039537299</v>
      </c>
    </row>
    <row r="127" spans="2:26" x14ac:dyDescent="0.25">
      <c r="B127" s="22">
        <f t="shared" si="6"/>
        <v>302360.17011617473</v>
      </c>
      <c r="C127" s="21">
        <v>0.03</v>
      </c>
      <c r="D127" s="22">
        <f t="shared" si="4"/>
        <v>755.90042529043683</v>
      </c>
      <c r="E127" s="22">
        <f t="shared" si="5"/>
        <v>303116.07054146519</v>
      </c>
      <c r="F127" s="22">
        <f>E127-G127</f>
        <v>302116.07054146519</v>
      </c>
      <c r="G127" s="22">
        <v>1000</v>
      </c>
      <c r="H127" s="23">
        <v>123</v>
      </c>
      <c r="Z127">
        <v>107239.60139189321</v>
      </c>
    </row>
    <row r="128" spans="2:26" x14ac:dyDescent="0.25">
      <c r="B128" s="22">
        <f t="shared" si="6"/>
        <v>302116.07054146519</v>
      </c>
      <c r="C128" s="21">
        <v>0.03</v>
      </c>
      <c r="D128" s="22">
        <f t="shared" si="4"/>
        <v>755.29017635366301</v>
      </c>
      <c r="E128" s="22">
        <f t="shared" si="5"/>
        <v>302871.36071781884</v>
      </c>
      <c r="F128" s="22">
        <f>E128-G128</f>
        <v>301871.36071781884</v>
      </c>
      <c r="G128" s="22">
        <v>1000</v>
      </c>
      <c r="H128" s="23">
        <v>124</v>
      </c>
      <c r="Z128">
        <v>107969.67719889597</v>
      </c>
    </row>
    <row r="129" spans="2:26" x14ac:dyDescent="0.25">
      <c r="B129" s="22">
        <f t="shared" si="6"/>
        <v>301871.36071781884</v>
      </c>
      <c r="C129" s="21">
        <v>0.03</v>
      </c>
      <c r="D129" s="22">
        <f t="shared" si="4"/>
        <v>754.67840179454709</v>
      </c>
      <c r="E129" s="22">
        <f t="shared" si="5"/>
        <v>302626.03911961342</v>
      </c>
      <c r="F129" s="22">
        <f>E129-G129</f>
        <v>301626.03911961342</v>
      </c>
      <c r="G129" s="22">
        <v>1000</v>
      </c>
      <c r="H129" s="23">
        <v>125</v>
      </c>
      <c r="Z129">
        <v>108697.93236797603</v>
      </c>
    </row>
    <row r="130" spans="2:26" x14ac:dyDescent="0.25">
      <c r="B130" s="22">
        <f t="shared" si="6"/>
        <v>301626.03911961342</v>
      </c>
      <c r="C130" s="21">
        <v>0.03</v>
      </c>
      <c r="D130" s="22">
        <f t="shared" si="4"/>
        <v>754.06509779903354</v>
      </c>
      <c r="E130" s="22">
        <f t="shared" si="5"/>
        <v>302380.10421741247</v>
      </c>
      <c r="F130" s="22">
        <f>E130-G130</f>
        <v>301380.10421741247</v>
      </c>
      <c r="G130" s="22">
        <v>1000</v>
      </c>
      <c r="H130" s="23">
        <v>126</v>
      </c>
      <c r="Z130">
        <v>109424.37143937757</v>
      </c>
    </row>
    <row r="131" spans="2:26" x14ac:dyDescent="0.25">
      <c r="B131" s="22">
        <f t="shared" si="6"/>
        <v>301380.10421741247</v>
      </c>
      <c r="C131" s="21">
        <v>0.03</v>
      </c>
      <c r="D131" s="22">
        <f t="shared" si="4"/>
        <v>753.45026054353116</v>
      </c>
      <c r="E131" s="22">
        <f t="shared" si="5"/>
        <v>302133.55447795603</v>
      </c>
      <c r="F131" s="22">
        <f>E131-G131</f>
        <v>301133.55447795603</v>
      </c>
      <c r="G131" s="22">
        <v>1000</v>
      </c>
      <c r="H131" s="23">
        <v>127</v>
      </c>
      <c r="Z131">
        <v>110148.99894202249</v>
      </c>
    </row>
    <row r="132" spans="2:26" x14ac:dyDescent="0.25">
      <c r="B132" s="22">
        <f t="shared" si="6"/>
        <v>301133.55447795603</v>
      </c>
      <c r="C132" s="21">
        <v>0.03</v>
      </c>
      <c r="D132" s="22">
        <f t="shared" si="4"/>
        <v>752.83388619489006</v>
      </c>
      <c r="E132" s="22">
        <f t="shared" si="5"/>
        <v>301886.38836415095</v>
      </c>
      <c r="F132" s="22">
        <f>E132-G132</f>
        <v>300886.38836415095</v>
      </c>
      <c r="G132" s="22">
        <v>1000</v>
      </c>
      <c r="H132" s="23">
        <v>128</v>
      </c>
      <c r="Z132">
        <v>110871.81939353861</v>
      </c>
    </row>
    <row r="133" spans="2:26" x14ac:dyDescent="0.25">
      <c r="B133" s="22">
        <f t="shared" si="6"/>
        <v>300886.38836415095</v>
      </c>
      <c r="C133" s="21">
        <v>0.03</v>
      </c>
      <c r="D133" s="22">
        <f t="shared" si="4"/>
        <v>752.21597091037734</v>
      </c>
      <c r="E133" s="22">
        <f t="shared" si="5"/>
        <v>301638.60433506133</v>
      </c>
      <c r="F133" s="22">
        <f>E133-G133</f>
        <v>300638.60433506133</v>
      </c>
      <c r="G133" s="22">
        <v>1000</v>
      </c>
      <c r="H133" s="23">
        <v>129</v>
      </c>
      <c r="Z133">
        <v>111592.83730028789</v>
      </c>
    </row>
    <row r="134" spans="2:26" x14ac:dyDescent="0.25">
      <c r="B134" s="22">
        <f t="shared" si="6"/>
        <v>300638.60433506133</v>
      </c>
      <c r="C134" s="21">
        <v>0.03</v>
      </c>
      <c r="D134" s="22">
        <f t="shared" ref="D134:D197" si="7">B134*(0.03/12)</f>
        <v>751.59651083765334</v>
      </c>
      <c r="E134" s="22">
        <f t="shared" si="5"/>
        <v>301390.200845899</v>
      </c>
      <c r="F134" s="22">
        <f>E134-G134</f>
        <v>300390.200845899</v>
      </c>
      <c r="G134" s="22">
        <v>1000</v>
      </c>
      <c r="H134" s="23">
        <v>130</v>
      </c>
      <c r="Z134">
        <v>112312.05715739437</v>
      </c>
    </row>
    <row r="135" spans="2:26" x14ac:dyDescent="0.25">
      <c r="B135" s="22">
        <f t="shared" si="6"/>
        <v>300390.200845899</v>
      </c>
      <c r="C135" s="21">
        <v>0.03</v>
      </c>
      <c r="D135" s="22">
        <f t="shared" si="7"/>
        <v>750.97550211474754</v>
      </c>
      <c r="E135" s="22">
        <f t="shared" ref="E135:E198" si="8">B135+D135</f>
        <v>301141.17634801375</v>
      </c>
      <c r="F135" s="22">
        <f>E135-G135</f>
        <v>300141.17634801375</v>
      </c>
      <c r="G135" s="22">
        <v>1000</v>
      </c>
      <c r="H135" s="23">
        <v>131</v>
      </c>
      <c r="Z135">
        <v>113029.48344877243</v>
      </c>
    </row>
    <row r="136" spans="2:26" x14ac:dyDescent="0.25">
      <c r="B136" s="22">
        <f t="shared" si="6"/>
        <v>300141.17634801375</v>
      </c>
      <c r="C136" s="21">
        <v>0.03</v>
      </c>
      <c r="D136" s="22">
        <f t="shared" si="7"/>
        <v>750.35294087003433</v>
      </c>
      <c r="E136" s="22">
        <f t="shared" si="8"/>
        <v>300891.52928888379</v>
      </c>
      <c r="F136" s="22">
        <f>E136-G136</f>
        <v>299891.52928888379</v>
      </c>
      <c r="G136" s="22">
        <v>1000</v>
      </c>
      <c r="H136" s="23">
        <v>132</v>
      </c>
      <c r="Z136">
        <v>113745.12064715456</v>
      </c>
    </row>
    <row r="137" spans="2:26" x14ac:dyDescent="0.25">
      <c r="B137" s="22">
        <f t="shared" si="6"/>
        <v>299891.52928888379</v>
      </c>
      <c r="C137" s="21">
        <v>0.03</v>
      </c>
      <c r="D137" s="22">
        <f t="shared" si="7"/>
        <v>749.72882322220948</v>
      </c>
      <c r="E137" s="22">
        <f t="shared" si="8"/>
        <v>300641.25811210601</v>
      </c>
      <c r="F137" s="22">
        <f>E137-G137</f>
        <v>299641.25811210601</v>
      </c>
      <c r="G137" s="22">
        <v>1000</v>
      </c>
      <c r="H137" s="23">
        <v>133</v>
      </c>
      <c r="Z137">
        <v>114458.97321411924</v>
      </c>
    </row>
    <row r="138" spans="2:26" x14ac:dyDescent="0.25">
      <c r="B138" s="22">
        <f t="shared" si="6"/>
        <v>299641.25811210601</v>
      </c>
      <c r="C138" s="21">
        <v>0.03</v>
      </c>
      <c r="D138" s="22">
        <f t="shared" si="7"/>
        <v>749.10314528026504</v>
      </c>
      <c r="E138" s="22">
        <f t="shared" si="8"/>
        <v>300390.36125738628</v>
      </c>
      <c r="F138" s="22">
        <f>E138-G138</f>
        <v>299390.36125738628</v>
      </c>
      <c r="G138" s="22">
        <v>1000</v>
      </c>
      <c r="H138" s="23">
        <v>134</v>
      </c>
      <c r="Z138">
        <v>115171.04560011892</v>
      </c>
    </row>
    <row r="139" spans="2:26" x14ac:dyDescent="0.25">
      <c r="B139" s="22">
        <f t="shared" si="6"/>
        <v>299390.36125738628</v>
      </c>
      <c r="C139" s="21">
        <v>0.03</v>
      </c>
      <c r="D139" s="22">
        <f t="shared" si="7"/>
        <v>748.47590314346576</v>
      </c>
      <c r="E139" s="22">
        <f t="shared" si="8"/>
        <v>300138.83716052974</v>
      </c>
      <c r="F139" s="22">
        <f>E139-G139</f>
        <v>299138.83716052974</v>
      </c>
      <c r="G139" s="22">
        <v>1000</v>
      </c>
      <c r="H139" s="23">
        <v>135</v>
      </c>
      <c r="Z139">
        <v>115881.34224450761</v>
      </c>
    </row>
    <row r="140" spans="2:26" x14ac:dyDescent="0.25">
      <c r="B140" s="22">
        <f t="shared" si="6"/>
        <v>299138.83716052974</v>
      </c>
      <c r="C140" s="21">
        <v>0.03</v>
      </c>
      <c r="D140" s="22">
        <f t="shared" si="7"/>
        <v>747.84709290132434</v>
      </c>
      <c r="E140" s="22">
        <f t="shared" si="8"/>
        <v>299886.68425343104</v>
      </c>
      <c r="F140" s="22">
        <f>E140-G140</f>
        <v>298886.68425343104</v>
      </c>
      <c r="G140" s="22">
        <v>1000</v>
      </c>
      <c r="H140" s="23">
        <v>136</v>
      </c>
      <c r="Z140">
        <v>116589.86757556867</v>
      </c>
    </row>
    <row r="141" spans="2:26" x14ac:dyDescent="0.25">
      <c r="B141" s="22">
        <f t="shared" si="6"/>
        <v>298886.68425343104</v>
      </c>
      <c r="C141" s="21">
        <v>0.03</v>
      </c>
      <c r="D141" s="22">
        <f t="shared" si="7"/>
        <v>747.21671063357758</v>
      </c>
      <c r="E141" s="22">
        <f t="shared" si="8"/>
        <v>299633.90096406464</v>
      </c>
      <c r="F141" s="22">
        <f>E141-G141</f>
        <v>298633.90096406464</v>
      </c>
      <c r="G141" s="22">
        <v>1000</v>
      </c>
      <c r="H141" s="23">
        <v>137</v>
      </c>
      <c r="Z141">
        <v>117296.62601054231</v>
      </c>
    </row>
    <row r="142" spans="2:26" x14ac:dyDescent="0.25">
      <c r="B142" s="22">
        <f t="shared" si="6"/>
        <v>298633.90096406464</v>
      </c>
      <c r="C142" s="21">
        <v>0.03</v>
      </c>
      <c r="D142" s="22">
        <f t="shared" si="7"/>
        <v>746.58475241016163</v>
      </c>
      <c r="E142" s="22">
        <f t="shared" si="8"/>
        <v>299380.48571647482</v>
      </c>
      <c r="F142" s="22">
        <f>E142-G142</f>
        <v>298380.48571647482</v>
      </c>
      <c r="G142" s="22">
        <v>1000</v>
      </c>
      <c r="H142" s="23">
        <v>138</v>
      </c>
      <c r="Z142">
        <v>118001.62195565317</v>
      </c>
    </row>
    <row r="143" spans="2:26" x14ac:dyDescent="0.25">
      <c r="B143" s="22">
        <f t="shared" si="6"/>
        <v>298380.48571647482</v>
      </c>
      <c r="C143" s="21">
        <v>0.03</v>
      </c>
      <c r="D143" s="22">
        <f t="shared" si="7"/>
        <v>745.95121429118706</v>
      </c>
      <c r="E143" s="22">
        <f t="shared" si="8"/>
        <v>299126.43693076604</v>
      </c>
      <c r="F143" s="22">
        <f>E143-G143</f>
        <v>298126.43693076604</v>
      </c>
      <c r="G143" s="22">
        <v>1000</v>
      </c>
      <c r="H143" s="23">
        <v>139</v>
      </c>
      <c r="Z143">
        <v>118704.8598061378</v>
      </c>
    </row>
    <row r="144" spans="2:26" x14ac:dyDescent="0.25">
      <c r="B144" s="22">
        <f t="shared" si="6"/>
        <v>298126.43693076604</v>
      </c>
      <c r="C144" s="21">
        <v>0.03</v>
      </c>
      <c r="D144" s="22">
        <f t="shared" si="7"/>
        <v>745.31609232691505</v>
      </c>
      <c r="E144" s="22">
        <f t="shared" si="8"/>
        <v>298871.75302309293</v>
      </c>
      <c r="F144" s="22">
        <f>E144-G144</f>
        <v>297871.75302309293</v>
      </c>
      <c r="G144" s="22">
        <v>1000</v>
      </c>
      <c r="H144" s="23">
        <v>140</v>
      </c>
      <c r="Z144">
        <v>119406.34394627211</v>
      </c>
    </row>
    <row r="145" spans="2:26" x14ac:dyDescent="0.25">
      <c r="B145" s="22">
        <f t="shared" si="6"/>
        <v>297871.75302309293</v>
      </c>
      <c r="C145" s="21">
        <v>0.03</v>
      </c>
      <c r="D145" s="22">
        <f t="shared" si="7"/>
        <v>744.67938255773231</v>
      </c>
      <c r="E145" s="22">
        <f t="shared" si="8"/>
        <v>298616.43240565067</v>
      </c>
      <c r="F145" s="22">
        <f>E145-G145</f>
        <v>297616.43240565067</v>
      </c>
      <c r="G145" s="22">
        <v>1000</v>
      </c>
      <c r="H145" s="23">
        <v>141</v>
      </c>
      <c r="Z145">
        <v>120106.0787493986</v>
      </c>
    </row>
    <row r="146" spans="2:26" x14ac:dyDescent="0.25">
      <c r="B146" s="22">
        <f t="shared" si="6"/>
        <v>297616.43240565067</v>
      </c>
      <c r="C146" s="21">
        <v>0.03</v>
      </c>
      <c r="D146" s="22">
        <f t="shared" si="7"/>
        <v>744.04108101412669</v>
      </c>
      <c r="E146" s="22">
        <f t="shared" si="8"/>
        <v>298360.47348666482</v>
      </c>
      <c r="F146" s="22">
        <f>E146-G146</f>
        <v>297360.47348666482</v>
      </c>
      <c r="G146" s="22">
        <v>1000</v>
      </c>
      <c r="H146" s="23">
        <v>142</v>
      </c>
      <c r="Z146">
        <v>120804.06857795372</v>
      </c>
    </row>
    <row r="147" spans="2:26" x14ac:dyDescent="0.25">
      <c r="B147" s="22">
        <f t="shared" si="6"/>
        <v>297360.47348666482</v>
      </c>
      <c r="C147" s="21">
        <v>0.03</v>
      </c>
      <c r="D147" s="22">
        <f t="shared" si="7"/>
        <v>743.4011837166621</v>
      </c>
      <c r="E147" s="22">
        <f t="shared" si="8"/>
        <v>298103.87467038148</v>
      </c>
      <c r="F147" s="22">
        <f>E147-G147</f>
        <v>297103.87467038148</v>
      </c>
      <c r="G147" s="22">
        <v>1000</v>
      </c>
      <c r="H147" s="23">
        <v>143</v>
      </c>
      <c r="Z147">
        <v>121500.31778349496</v>
      </c>
    </row>
    <row r="148" spans="2:26" x14ac:dyDescent="0.25">
      <c r="B148" s="22">
        <f t="shared" si="6"/>
        <v>297103.87467038148</v>
      </c>
      <c r="C148" s="21">
        <v>0.03</v>
      </c>
      <c r="D148" s="22">
        <f t="shared" si="7"/>
        <v>742.75968667595373</v>
      </c>
      <c r="E148" s="22">
        <f t="shared" si="8"/>
        <v>297846.63435705745</v>
      </c>
      <c r="F148" s="22">
        <f>E148-G148</f>
        <v>296846.63435705745</v>
      </c>
      <c r="G148" s="22">
        <v>1000</v>
      </c>
      <c r="H148" s="23">
        <v>144</v>
      </c>
      <c r="Z148">
        <v>122194.83070672811</v>
      </c>
    </row>
    <row r="149" spans="2:26" x14ac:dyDescent="0.25">
      <c r="B149" s="22">
        <f t="shared" si="6"/>
        <v>296846.63435705745</v>
      </c>
      <c r="C149" s="21">
        <v>0.03</v>
      </c>
      <c r="D149" s="22">
        <f t="shared" si="7"/>
        <v>742.11658589264368</v>
      </c>
      <c r="E149" s="22">
        <f t="shared" si="8"/>
        <v>297588.75094295008</v>
      </c>
      <c r="F149" s="22">
        <f>E149-G149</f>
        <v>296588.75094295008</v>
      </c>
      <c r="G149" s="22">
        <v>1000</v>
      </c>
      <c r="H149" s="23">
        <v>145</v>
      </c>
      <c r="Z149">
        <v>122887.61167753428</v>
      </c>
    </row>
    <row r="150" spans="2:26" x14ac:dyDescent="0.25">
      <c r="B150" s="22">
        <f t="shared" si="6"/>
        <v>296588.75094295008</v>
      </c>
      <c r="C150" s="21">
        <v>0.03</v>
      </c>
      <c r="D150" s="22">
        <f t="shared" si="7"/>
        <v>741.47187735737521</v>
      </c>
      <c r="E150" s="22">
        <f t="shared" si="8"/>
        <v>297330.22282030748</v>
      </c>
      <c r="F150" s="22">
        <f>E150-G150</f>
        <v>296330.22282030748</v>
      </c>
      <c r="G150" s="22">
        <v>1000</v>
      </c>
      <c r="H150" s="23">
        <v>146</v>
      </c>
      <c r="Z150">
        <v>123578.66501499678</v>
      </c>
    </row>
    <row r="151" spans="2:26" x14ac:dyDescent="0.25">
      <c r="B151" s="22">
        <f t="shared" si="6"/>
        <v>296330.22282030748</v>
      </c>
      <c r="C151" s="21">
        <v>0.03</v>
      </c>
      <c r="D151" s="22">
        <f t="shared" si="7"/>
        <v>740.82555705076868</v>
      </c>
      <c r="E151" s="22">
        <f t="shared" si="8"/>
        <v>297071.04837735824</v>
      </c>
      <c r="F151" s="22">
        <f>E151-G151</f>
        <v>296071.04837735824</v>
      </c>
      <c r="G151" s="22">
        <v>1000</v>
      </c>
      <c r="H151" s="23">
        <v>147</v>
      </c>
      <c r="Z151">
        <v>124267.99502742817</v>
      </c>
    </row>
    <row r="152" spans="2:26" x14ac:dyDescent="0.25">
      <c r="B152" s="22">
        <f t="shared" si="6"/>
        <v>296071.04837735824</v>
      </c>
      <c r="C152" s="21">
        <v>0.03</v>
      </c>
      <c r="D152" s="22">
        <f t="shared" si="7"/>
        <v>740.1776209433956</v>
      </c>
      <c r="E152" s="22">
        <f t="shared" si="8"/>
        <v>296811.22599830164</v>
      </c>
      <c r="F152" s="22">
        <f>E152-G152</f>
        <v>295811.22599830164</v>
      </c>
      <c r="G152" s="22">
        <v>1000</v>
      </c>
      <c r="H152" s="23">
        <v>148</v>
      </c>
      <c r="Z152">
        <v>124955.60601239717</v>
      </c>
    </row>
    <row r="153" spans="2:26" x14ac:dyDescent="0.25">
      <c r="B153" s="22">
        <f t="shared" si="6"/>
        <v>295811.22599830164</v>
      </c>
      <c r="C153" s="21">
        <v>0.03</v>
      </c>
      <c r="D153" s="22">
        <f t="shared" si="7"/>
        <v>739.52806499575411</v>
      </c>
      <c r="E153" s="22">
        <f t="shared" si="8"/>
        <v>296550.75406329741</v>
      </c>
      <c r="F153" s="22">
        <f>E153-G153</f>
        <v>295550.75406329741</v>
      </c>
      <c r="G153" s="22">
        <v>1000</v>
      </c>
      <c r="H153" s="23">
        <v>149</v>
      </c>
      <c r="Z153">
        <v>125641.50225675528</v>
      </c>
    </row>
    <row r="154" spans="2:26" x14ac:dyDescent="0.25">
      <c r="B154" s="22">
        <f t="shared" si="6"/>
        <v>295550.75406329741</v>
      </c>
      <c r="C154" s="21">
        <v>0.03</v>
      </c>
      <c r="D154" s="22">
        <f t="shared" si="7"/>
        <v>738.87688515824357</v>
      </c>
      <c r="E154" s="22">
        <f t="shared" si="8"/>
        <v>296289.63094845566</v>
      </c>
      <c r="F154" s="22">
        <f>E154-G154</f>
        <v>295289.63094845566</v>
      </c>
      <c r="G154" s="22">
        <v>1000</v>
      </c>
      <c r="H154" s="23">
        <v>150</v>
      </c>
      <c r="Z154">
        <v>126325.6880366636</v>
      </c>
    </row>
    <row r="155" spans="2:26" x14ac:dyDescent="0.25">
      <c r="B155" s="22">
        <f t="shared" si="6"/>
        <v>295289.63094845566</v>
      </c>
      <c r="C155" s="21">
        <v>0.03</v>
      </c>
      <c r="D155" s="22">
        <f t="shared" si="7"/>
        <v>738.22407737113917</v>
      </c>
      <c r="E155" s="22">
        <f t="shared" si="8"/>
        <v>296027.85502582678</v>
      </c>
      <c r="F155" s="22">
        <f>E155-G155</f>
        <v>295027.85502582678</v>
      </c>
      <c r="G155" s="22">
        <v>1000</v>
      </c>
      <c r="H155" s="23">
        <v>151</v>
      </c>
      <c r="Z155">
        <v>127008.16761761953</v>
      </c>
    </row>
    <row r="156" spans="2:26" x14ac:dyDescent="0.25">
      <c r="B156" s="22">
        <f t="shared" si="6"/>
        <v>295027.85502582678</v>
      </c>
      <c r="C156" s="21">
        <v>0.03</v>
      </c>
      <c r="D156" s="22">
        <f t="shared" si="7"/>
        <v>737.56963756456696</v>
      </c>
      <c r="E156" s="22">
        <f t="shared" si="8"/>
        <v>295765.42466339137</v>
      </c>
      <c r="F156" s="22">
        <f>E156-G156</f>
        <v>294765.42466339137</v>
      </c>
      <c r="G156" s="22">
        <v>1000</v>
      </c>
      <c r="H156" s="23">
        <v>152</v>
      </c>
      <c r="Z156">
        <v>127688.94525448333</v>
      </c>
    </row>
    <row r="157" spans="2:26" x14ac:dyDescent="0.25">
      <c r="B157" s="22">
        <f t="shared" ref="B157:B220" si="9">F156</f>
        <v>294765.42466339137</v>
      </c>
      <c r="C157" s="21">
        <v>0.03</v>
      </c>
      <c r="D157" s="22">
        <f t="shared" si="7"/>
        <v>736.91356165847844</v>
      </c>
      <c r="E157" s="22">
        <f t="shared" si="8"/>
        <v>295502.33822504984</v>
      </c>
      <c r="F157" s="22">
        <f>E157-G157</f>
        <v>294502.33822504984</v>
      </c>
      <c r="G157" s="22">
        <v>1000</v>
      </c>
      <c r="H157" s="23">
        <v>153</v>
      </c>
      <c r="Z157">
        <v>128368.02519150451</v>
      </c>
    </row>
    <row r="158" spans="2:26" x14ac:dyDescent="0.25">
      <c r="B158" s="22">
        <f t="shared" si="9"/>
        <v>294502.33822504984</v>
      </c>
      <c r="C158" s="21">
        <v>0.03</v>
      </c>
      <c r="D158" s="22">
        <f t="shared" si="7"/>
        <v>736.25584556262459</v>
      </c>
      <c r="E158" s="22">
        <f t="shared" si="8"/>
        <v>295238.59407061245</v>
      </c>
      <c r="F158" s="22">
        <f>E158-G158</f>
        <v>294238.59407061245</v>
      </c>
      <c r="G158" s="22">
        <v>1000</v>
      </c>
      <c r="H158" s="23">
        <v>154</v>
      </c>
      <c r="Z158">
        <v>129045.41166234865</v>
      </c>
    </row>
    <row r="159" spans="2:26" x14ac:dyDescent="0.25">
      <c r="B159" s="22">
        <f t="shared" si="9"/>
        <v>294238.59407061245</v>
      </c>
      <c r="C159" s="21">
        <v>0.03</v>
      </c>
      <c r="D159" s="22">
        <f t="shared" si="7"/>
        <v>735.59648517653113</v>
      </c>
      <c r="E159" s="22">
        <f t="shared" si="8"/>
        <v>294974.19055578898</v>
      </c>
      <c r="F159" s="22">
        <f>E159-G159</f>
        <v>293974.19055578898</v>
      </c>
      <c r="G159" s="22">
        <v>1000</v>
      </c>
      <c r="H159" s="23">
        <v>155</v>
      </c>
      <c r="Z159">
        <v>129721.10889012333</v>
      </c>
    </row>
    <row r="160" spans="2:26" x14ac:dyDescent="0.25">
      <c r="B160" s="22">
        <f t="shared" si="9"/>
        <v>293974.19055578898</v>
      </c>
      <c r="C160" s="21">
        <v>0.03</v>
      </c>
      <c r="D160" s="22">
        <f t="shared" si="7"/>
        <v>734.93547638947246</v>
      </c>
      <c r="E160" s="22">
        <f t="shared" si="8"/>
        <v>294709.12603217846</v>
      </c>
      <c r="F160" s="22">
        <f>E160-G160</f>
        <v>293709.12603217846</v>
      </c>
      <c r="G160" s="22">
        <v>1000</v>
      </c>
      <c r="H160" s="23">
        <v>156</v>
      </c>
      <c r="Z160">
        <v>130395.1210874048</v>
      </c>
    </row>
    <row r="161" spans="2:26" x14ac:dyDescent="0.25">
      <c r="B161" s="22">
        <f t="shared" si="9"/>
        <v>293709.12603217846</v>
      </c>
      <c r="C161" s="21">
        <v>0.03</v>
      </c>
      <c r="D161" s="22">
        <f t="shared" si="7"/>
        <v>734.27281508044621</v>
      </c>
      <c r="E161" s="22">
        <f t="shared" si="8"/>
        <v>294443.39884725888</v>
      </c>
      <c r="F161" s="22">
        <f>E161-G161</f>
        <v>293443.39884725888</v>
      </c>
      <c r="G161" s="22">
        <v>1000</v>
      </c>
      <c r="H161" s="23">
        <v>157</v>
      </c>
      <c r="Z161">
        <v>131067.45245626415</v>
      </c>
    </row>
    <row r="162" spans="2:26" x14ac:dyDescent="0.25">
      <c r="B162" s="22">
        <f t="shared" si="9"/>
        <v>293443.39884725888</v>
      </c>
      <c r="C162" s="21">
        <v>0.03</v>
      </c>
      <c r="D162" s="22">
        <f t="shared" si="7"/>
        <v>733.60849711814717</v>
      </c>
      <c r="E162" s="22">
        <f t="shared" si="8"/>
        <v>294177.00734437705</v>
      </c>
      <c r="F162" s="22">
        <f>E162-G162</f>
        <v>293177.00734437705</v>
      </c>
      <c r="G162" s="22">
        <v>1000</v>
      </c>
      <c r="H162" s="23">
        <v>158</v>
      </c>
      <c r="Z162">
        <v>131738.10718829339</v>
      </c>
    </row>
    <row r="163" spans="2:26" x14ac:dyDescent="0.25">
      <c r="B163" s="22">
        <f t="shared" si="9"/>
        <v>293177.00734437705</v>
      </c>
      <c r="C163" s="21">
        <v>0.03</v>
      </c>
      <c r="D163" s="22">
        <f t="shared" si="7"/>
        <v>732.9425183609427</v>
      </c>
      <c r="E163" s="22">
        <f t="shared" si="8"/>
        <v>293909.94986273802</v>
      </c>
      <c r="F163" s="22">
        <f>E163-G163</f>
        <v>292909.94986273802</v>
      </c>
      <c r="G163" s="22">
        <v>1000</v>
      </c>
      <c r="H163" s="23">
        <v>159</v>
      </c>
      <c r="Z163">
        <v>132407.08946463178</v>
      </c>
    </row>
    <row r="164" spans="2:26" x14ac:dyDescent="0.25">
      <c r="B164" s="22">
        <f t="shared" si="9"/>
        <v>292909.94986273802</v>
      </c>
      <c r="C164" s="21">
        <v>0.03</v>
      </c>
      <c r="D164" s="22">
        <f t="shared" si="7"/>
        <v>732.2748746568451</v>
      </c>
      <c r="E164" s="22">
        <f t="shared" si="8"/>
        <v>293642.22473739489</v>
      </c>
      <c r="F164" s="22">
        <f>E164-G164</f>
        <v>292642.22473739489</v>
      </c>
      <c r="G164" s="22">
        <v>1000</v>
      </c>
      <c r="H164" s="23">
        <v>160</v>
      </c>
      <c r="Z164">
        <v>133074.40345599176</v>
      </c>
    </row>
    <row r="165" spans="2:26" x14ac:dyDescent="0.25">
      <c r="B165" s="22">
        <f t="shared" si="9"/>
        <v>292642.22473739489</v>
      </c>
      <c r="C165" s="21">
        <v>0.03</v>
      </c>
      <c r="D165" s="22">
        <f t="shared" si="7"/>
        <v>731.60556184348729</v>
      </c>
      <c r="E165" s="22">
        <f t="shared" si="8"/>
        <v>293373.83029923838</v>
      </c>
      <c r="F165" s="22">
        <f>E165-G165</f>
        <v>292373.83029923838</v>
      </c>
      <c r="G165" s="22">
        <v>1000</v>
      </c>
      <c r="H165" s="23">
        <v>161</v>
      </c>
      <c r="Z165">
        <v>133740.05332268507</v>
      </c>
    </row>
    <row r="166" spans="2:26" x14ac:dyDescent="0.25">
      <c r="B166" s="22">
        <f t="shared" si="9"/>
        <v>292373.83029923838</v>
      </c>
      <c r="C166" s="21">
        <v>0.03</v>
      </c>
      <c r="D166" s="22">
        <f t="shared" si="7"/>
        <v>730.93457574809599</v>
      </c>
      <c r="E166" s="22">
        <f t="shared" si="8"/>
        <v>293104.76487498649</v>
      </c>
      <c r="F166" s="22">
        <f>E166-G166</f>
        <v>292104.76487498649</v>
      </c>
      <c r="G166" s="22">
        <v>1000</v>
      </c>
      <c r="H166" s="23">
        <v>162</v>
      </c>
      <c r="Z166">
        <v>134404.04321464847</v>
      </c>
    </row>
    <row r="167" spans="2:26" x14ac:dyDescent="0.25">
      <c r="B167" s="22">
        <f t="shared" si="9"/>
        <v>292104.76487498649</v>
      </c>
      <c r="C167" s="21">
        <v>0.03</v>
      </c>
      <c r="D167" s="22">
        <f t="shared" si="7"/>
        <v>730.26191218746624</v>
      </c>
      <c r="E167" s="22">
        <f t="shared" si="8"/>
        <v>292835.02678717393</v>
      </c>
      <c r="F167" s="22">
        <f>E167-G167</f>
        <v>291835.02678717393</v>
      </c>
      <c r="G167" s="22">
        <v>1000</v>
      </c>
      <c r="H167" s="23">
        <v>163</v>
      </c>
      <c r="Z167">
        <v>135066.37727146974</v>
      </c>
    </row>
    <row r="168" spans="2:26" x14ac:dyDescent="0.25">
      <c r="B168" s="22">
        <f t="shared" si="9"/>
        <v>291835.02678717393</v>
      </c>
      <c r="C168" s="21">
        <v>0.03</v>
      </c>
      <c r="D168" s="22">
        <f t="shared" si="7"/>
        <v>729.58756696793489</v>
      </c>
      <c r="E168" s="22">
        <f t="shared" si="8"/>
        <v>292564.61435414187</v>
      </c>
      <c r="F168" s="22">
        <f>E168-G168</f>
        <v>291564.61435414187</v>
      </c>
      <c r="G168" s="22">
        <v>1000</v>
      </c>
      <c r="H168" s="23">
        <v>164</v>
      </c>
      <c r="Z168">
        <v>135727.05962241368</v>
      </c>
    </row>
    <row r="169" spans="2:26" x14ac:dyDescent="0.25">
      <c r="B169" s="22">
        <f t="shared" si="9"/>
        <v>291564.61435414187</v>
      </c>
      <c r="C169" s="21">
        <v>0.03</v>
      </c>
      <c r="D169" s="22">
        <f t="shared" si="7"/>
        <v>728.91153588535474</v>
      </c>
      <c r="E169" s="22">
        <f t="shared" si="8"/>
        <v>292293.52589002723</v>
      </c>
      <c r="F169" s="22">
        <f>E169-G169</f>
        <v>291293.52589002723</v>
      </c>
      <c r="G169" s="22">
        <v>1000</v>
      </c>
      <c r="H169" s="23">
        <v>165</v>
      </c>
      <c r="Z169">
        <v>136386.09438644757</v>
      </c>
    </row>
    <row r="170" spans="2:26" x14ac:dyDescent="0.25">
      <c r="B170" s="22">
        <f t="shared" si="9"/>
        <v>291293.52589002723</v>
      </c>
      <c r="C170" s="21">
        <v>0.03</v>
      </c>
      <c r="D170" s="22">
        <f t="shared" si="7"/>
        <v>728.2338147250681</v>
      </c>
      <c r="E170" s="22">
        <f t="shared" si="8"/>
        <v>292021.7597047523</v>
      </c>
      <c r="F170" s="22">
        <f>E170-G170</f>
        <v>291021.7597047523</v>
      </c>
      <c r="G170" s="22">
        <v>1000</v>
      </c>
      <c r="H170" s="23">
        <v>166</v>
      </c>
      <c r="Z170">
        <v>137043.48567226686</v>
      </c>
    </row>
    <row r="171" spans="2:26" x14ac:dyDescent="0.25">
      <c r="B171" s="22">
        <f t="shared" si="9"/>
        <v>291021.7597047523</v>
      </c>
      <c r="C171" s="21">
        <v>0.03</v>
      </c>
      <c r="D171" s="22">
        <f t="shared" si="7"/>
        <v>727.5543992618808</v>
      </c>
      <c r="E171" s="22">
        <f t="shared" si="8"/>
        <v>291749.31410401419</v>
      </c>
      <c r="F171" s="22">
        <f>E171-G171</f>
        <v>290749.31410401419</v>
      </c>
      <c r="G171" s="22">
        <v>1000</v>
      </c>
      <c r="H171" s="23">
        <v>167</v>
      </c>
      <c r="Z171">
        <v>137699.23757832107</v>
      </c>
    </row>
    <row r="172" spans="2:26" x14ac:dyDescent="0.25">
      <c r="B172" s="22">
        <f t="shared" si="9"/>
        <v>290749.31410401419</v>
      </c>
      <c r="C172" s="21">
        <v>0.03</v>
      </c>
      <c r="D172" s="22">
        <f t="shared" si="7"/>
        <v>726.87328526003546</v>
      </c>
      <c r="E172" s="22">
        <f t="shared" si="8"/>
        <v>291476.18738927424</v>
      </c>
      <c r="F172" s="22">
        <f>E172-G172</f>
        <v>290476.18738927424</v>
      </c>
      <c r="G172" s="22">
        <v>1000</v>
      </c>
      <c r="H172" s="23">
        <v>168</v>
      </c>
      <c r="Z172">
        <v>138353.35419283897</v>
      </c>
    </row>
    <row r="173" spans="2:26" x14ac:dyDescent="0.25">
      <c r="B173" s="22">
        <f t="shared" si="9"/>
        <v>290476.18738927424</v>
      </c>
      <c r="C173" s="21">
        <v>0.03</v>
      </c>
      <c r="D173" s="22">
        <f t="shared" si="7"/>
        <v>726.19046847318566</v>
      </c>
      <c r="E173" s="22">
        <f t="shared" si="8"/>
        <v>291202.37785774743</v>
      </c>
      <c r="F173" s="22">
        <f>E173-G173</f>
        <v>290202.37785774743</v>
      </c>
      <c r="G173" s="22">
        <v>1000</v>
      </c>
      <c r="H173" s="23">
        <v>169</v>
      </c>
      <c r="Z173">
        <v>139005.8395938543</v>
      </c>
    </row>
    <row r="174" spans="2:26" x14ac:dyDescent="0.25">
      <c r="B174" s="22">
        <f t="shared" si="9"/>
        <v>290202.37785774743</v>
      </c>
      <c r="C174" s="21">
        <v>0.03</v>
      </c>
      <c r="D174" s="22">
        <f t="shared" si="7"/>
        <v>725.50594464436858</v>
      </c>
      <c r="E174" s="22">
        <f t="shared" si="8"/>
        <v>290927.88380239182</v>
      </c>
      <c r="F174" s="22">
        <f>E174-G174</f>
        <v>289927.88380239182</v>
      </c>
      <c r="G174" s="22">
        <v>1000</v>
      </c>
      <c r="H174" s="23">
        <v>170</v>
      </c>
      <c r="Z174">
        <v>139656.69784923119</v>
      </c>
    </row>
    <row r="175" spans="2:26" x14ac:dyDescent="0.25">
      <c r="B175" s="22">
        <f t="shared" si="9"/>
        <v>289927.88380239182</v>
      </c>
      <c r="C175" s="21">
        <v>0.03</v>
      </c>
      <c r="D175" s="22">
        <f t="shared" si="7"/>
        <v>724.81970950597952</v>
      </c>
      <c r="E175" s="22">
        <f t="shared" si="8"/>
        <v>290652.70351189782</v>
      </c>
      <c r="F175" s="22">
        <f>E175-G175</f>
        <v>289652.70351189782</v>
      </c>
      <c r="G175" s="22">
        <v>1000</v>
      </c>
      <c r="H175" s="23">
        <v>171</v>
      </c>
      <c r="Z175">
        <v>140305.93301668947</v>
      </c>
    </row>
    <row r="176" spans="2:26" x14ac:dyDescent="0.25">
      <c r="B176" s="22">
        <f t="shared" si="9"/>
        <v>289652.70351189782</v>
      </c>
      <c r="C176" s="21">
        <v>0.03</v>
      </c>
      <c r="D176" s="22">
        <f t="shared" si="7"/>
        <v>724.13175877974459</v>
      </c>
      <c r="E176" s="22">
        <f t="shared" si="8"/>
        <v>290376.83527067758</v>
      </c>
      <c r="F176" s="22">
        <f>E176-G176</f>
        <v>289376.83527067758</v>
      </c>
      <c r="G176" s="22">
        <v>1000</v>
      </c>
      <c r="H176" s="23">
        <v>172</v>
      </c>
      <c r="Z176">
        <v>140953.54914382991</v>
      </c>
    </row>
    <row r="177" spans="2:26" x14ac:dyDescent="0.25">
      <c r="B177" s="22">
        <f t="shared" si="9"/>
        <v>289376.83527067758</v>
      </c>
      <c r="C177" s="21">
        <v>0.03</v>
      </c>
      <c r="D177" s="22">
        <f t="shared" si="7"/>
        <v>723.44208817669391</v>
      </c>
      <c r="E177" s="22">
        <f t="shared" si="8"/>
        <v>290100.27735885425</v>
      </c>
      <c r="F177" s="22">
        <f>E177-G177</f>
        <v>289100.27735885425</v>
      </c>
      <c r="G177" s="22">
        <v>1000</v>
      </c>
      <c r="H177" s="23">
        <v>173</v>
      </c>
      <c r="Z177">
        <v>141599.55026815945</v>
      </c>
    </row>
    <row r="178" spans="2:26" x14ac:dyDescent="0.25">
      <c r="B178" s="22">
        <f t="shared" si="9"/>
        <v>289100.27735885425</v>
      </c>
      <c r="C178" s="21">
        <v>0.03</v>
      </c>
      <c r="D178" s="22">
        <f t="shared" si="7"/>
        <v>722.75069339713559</v>
      </c>
      <c r="E178" s="22">
        <f t="shared" si="8"/>
        <v>289823.02805225138</v>
      </c>
      <c r="F178" s="22">
        <f>E178-G178</f>
        <v>288823.02805225138</v>
      </c>
      <c r="G178" s="22">
        <v>1000</v>
      </c>
      <c r="H178" s="23">
        <v>174</v>
      </c>
      <c r="Z178">
        <v>142243.94041711665</v>
      </c>
    </row>
    <row r="179" spans="2:26" x14ac:dyDescent="0.25">
      <c r="B179" s="22">
        <f t="shared" si="9"/>
        <v>288823.02805225138</v>
      </c>
      <c r="C179" s="21">
        <v>0.03</v>
      </c>
      <c r="D179" s="22">
        <f t="shared" si="7"/>
        <v>722.05757013062851</v>
      </c>
      <c r="E179" s="22">
        <f t="shared" si="8"/>
        <v>289545.085622382</v>
      </c>
      <c r="F179" s="22">
        <f>E179-G179</f>
        <v>288545.085622382</v>
      </c>
      <c r="G179" s="22">
        <v>1000</v>
      </c>
      <c r="H179" s="23">
        <v>175</v>
      </c>
      <c r="Z179">
        <v>142886.72360809639</v>
      </c>
    </row>
    <row r="180" spans="2:26" x14ac:dyDescent="0.25">
      <c r="B180" s="22">
        <f t="shared" si="9"/>
        <v>288545.085622382</v>
      </c>
      <c r="C180" s="21">
        <v>0.03</v>
      </c>
      <c r="D180" s="22">
        <f t="shared" si="7"/>
        <v>721.36271405595505</v>
      </c>
      <c r="E180" s="22">
        <f t="shared" si="8"/>
        <v>289266.44833643798</v>
      </c>
      <c r="F180" s="22">
        <f>E180-G180</f>
        <v>288266.44833643798</v>
      </c>
      <c r="G180" s="22">
        <v>1000</v>
      </c>
      <c r="H180" s="23">
        <v>176</v>
      </c>
      <c r="Z180">
        <v>143527.90384847522</v>
      </c>
    </row>
    <row r="181" spans="2:26" x14ac:dyDescent="0.25">
      <c r="B181" s="22">
        <f t="shared" si="9"/>
        <v>288266.44833643798</v>
      </c>
      <c r="C181" s="21">
        <v>0.03</v>
      </c>
      <c r="D181" s="22">
        <f t="shared" si="7"/>
        <v>720.66612084109499</v>
      </c>
      <c r="E181" s="22">
        <f t="shared" si="8"/>
        <v>288987.11445727909</v>
      </c>
      <c r="F181" s="22">
        <f>E181-G181</f>
        <v>287987.11445727909</v>
      </c>
      <c r="G181" s="22">
        <v>1000</v>
      </c>
      <c r="H181" s="23">
        <v>177</v>
      </c>
      <c r="Z181">
        <v>144167.48513563609</v>
      </c>
    </row>
    <row r="182" spans="2:26" x14ac:dyDescent="0.25">
      <c r="B182" s="22">
        <f t="shared" si="9"/>
        <v>287987.11445727909</v>
      </c>
      <c r="C182" s="21">
        <v>0.03</v>
      </c>
      <c r="D182" s="22">
        <f t="shared" si="7"/>
        <v>719.96778614319771</v>
      </c>
      <c r="E182" s="22">
        <f t="shared" si="8"/>
        <v>288707.08224342228</v>
      </c>
      <c r="F182" s="22">
        <f>E182-G182</f>
        <v>287707.08224342228</v>
      </c>
      <c r="G182" s="22">
        <v>1000</v>
      </c>
      <c r="H182" s="23">
        <v>178</v>
      </c>
      <c r="Z182">
        <v>144805.4714569936</v>
      </c>
    </row>
    <row r="183" spans="2:26" x14ac:dyDescent="0.25">
      <c r="B183" s="22">
        <f t="shared" si="9"/>
        <v>287707.08224342228</v>
      </c>
      <c r="C183" s="21">
        <v>0.03</v>
      </c>
      <c r="D183" s="22">
        <f t="shared" si="7"/>
        <v>719.26770560855573</v>
      </c>
      <c r="E183" s="22">
        <f t="shared" si="8"/>
        <v>288426.34994903085</v>
      </c>
      <c r="F183" s="22">
        <f>E183-G183</f>
        <v>287426.34994903085</v>
      </c>
      <c r="G183" s="22">
        <v>1000</v>
      </c>
      <c r="H183" s="23">
        <v>179</v>
      </c>
      <c r="Z183">
        <v>145441.86679001854</v>
      </c>
    </row>
    <row r="184" spans="2:26" x14ac:dyDescent="0.25">
      <c r="B184" s="22">
        <f t="shared" si="9"/>
        <v>287426.34994903085</v>
      </c>
      <c r="C184" s="21">
        <v>0.03</v>
      </c>
      <c r="D184" s="22">
        <f t="shared" si="7"/>
        <v>718.56587487257718</v>
      </c>
      <c r="E184" s="22">
        <f t="shared" si="8"/>
        <v>288144.9158239034</v>
      </c>
      <c r="F184" s="22">
        <f>E184-G184</f>
        <v>287144.9158239034</v>
      </c>
      <c r="G184" s="22">
        <v>1000</v>
      </c>
      <c r="H184" s="23">
        <v>180</v>
      </c>
      <c r="Z184">
        <v>146076.6751022629</v>
      </c>
    </row>
    <row r="185" spans="2:26" x14ac:dyDescent="0.25">
      <c r="B185" s="22">
        <f t="shared" si="9"/>
        <v>287144.9158239034</v>
      </c>
      <c r="C185" s="21">
        <v>0.03</v>
      </c>
      <c r="D185" s="22">
        <f t="shared" si="7"/>
        <v>717.86228955975855</v>
      </c>
      <c r="E185" s="22">
        <f t="shared" si="8"/>
        <v>287862.77811346314</v>
      </c>
      <c r="F185" s="22">
        <f>E185-G185</f>
        <v>286862.77811346314</v>
      </c>
      <c r="G185" s="22">
        <v>1000</v>
      </c>
      <c r="H185" s="23">
        <v>181</v>
      </c>
      <c r="Z185">
        <v>146709.90035138439</v>
      </c>
    </row>
    <row r="186" spans="2:26" x14ac:dyDescent="0.25">
      <c r="B186" s="22">
        <f t="shared" si="9"/>
        <v>286862.77811346314</v>
      </c>
      <c r="C186" s="21">
        <v>0.03</v>
      </c>
      <c r="D186" s="22">
        <f t="shared" si="7"/>
        <v>717.15694528365782</v>
      </c>
      <c r="E186" s="22">
        <f t="shared" si="8"/>
        <v>287579.93505874678</v>
      </c>
      <c r="F186" s="22">
        <f>E186-G186</f>
        <v>286579.93505874678</v>
      </c>
      <c r="G186" s="22">
        <v>1000</v>
      </c>
      <c r="H186" s="23">
        <v>182</v>
      </c>
      <c r="Z186">
        <v>147341.54648517145</v>
      </c>
    </row>
    <row r="187" spans="2:26" x14ac:dyDescent="0.25">
      <c r="B187" s="22">
        <f t="shared" si="9"/>
        <v>286579.93505874678</v>
      </c>
      <c r="C187" s="21">
        <v>0.03</v>
      </c>
      <c r="D187" s="22">
        <f t="shared" si="7"/>
        <v>716.44983764686697</v>
      </c>
      <c r="E187" s="22">
        <f t="shared" si="8"/>
        <v>287296.38489639363</v>
      </c>
      <c r="F187" s="22">
        <f>E187-G187</f>
        <v>286296.38489639363</v>
      </c>
      <c r="G187" s="22">
        <v>1000</v>
      </c>
      <c r="H187" s="23">
        <v>183</v>
      </c>
      <c r="Z187">
        <v>147971.61744156756</v>
      </c>
    </row>
    <row r="188" spans="2:26" x14ac:dyDescent="0.25">
      <c r="B188" s="22">
        <f t="shared" si="9"/>
        <v>286296.38489639363</v>
      </c>
      <c r="C188" s="21">
        <v>0.03</v>
      </c>
      <c r="D188" s="22">
        <f t="shared" si="7"/>
        <v>715.74096224098412</v>
      </c>
      <c r="E188" s="22">
        <f t="shared" si="8"/>
        <v>287012.12585863459</v>
      </c>
      <c r="F188" s="22">
        <f>E188-G188</f>
        <v>286012.12585863459</v>
      </c>
      <c r="G188" s="22">
        <v>1000</v>
      </c>
      <c r="H188" s="23">
        <v>184</v>
      </c>
      <c r="Z188">
        <v>148600.11714869578</v>
      </c>
    </row>
    <row r="189" spans="2:26" x14ac:dyDescent="0.25">
      <c r="B189" s="22">
        <f t="shared" si="9"/>
        <v>286012.12585863459</v>
      </c>
      <c r="C189" s="21">
        <v>0.03</v>
      </c>
      <c r="D189" s="22">
        <f t="shared" si="7"/>
        <v>715.03031464658648</v>
      </c>
      <c r="E189" s="22">
        <f t="shared" si="8"/>
        <v>286727.1561732812</v>
      </c>
      <c r="F189" s="22">
        <f>E189-G189</f>
        <v>285727.1561732812</v>
      </c>
      <c r="G189" s="22">
        <v>1000</v>
      </c>
      <c r="H189" s="23">
        <v>185</v>
      </c>
      <c r="Z189">
        <v>149227.04952488357</v>
      </c>
    </row>
    <row r="190" spans="2:26" x14ac:dyDescent="0.25">
      <c r="B190" s="22">
        <f t="shared" si="9"/>
        <v>285727.1561732812</v>
      </c>
      <c r="C190" s="21">
        <v>0.03</v>
      </c>
      <c r="D190" s="22">
        <f t="shared" si="7"/>
        <v>714.31789043320305</v>
      </c>
      <c r="E190" s="22">
        <f t="shared" si="8"/>
        <v>286441.47406371438</v>
      </c>
      <c r="F190" s="22">
        <f>E190-G190</f>
        <v>285441.47406371438</v>
      </c>
      <c r="G190" s="22">
        <v>1000</v>
      </c>
      <c r="H190" s="23">
        <v>186</v>
      </c>
      <c r="Z190">
        <v>149852.41847868683</v>
      </c>
    </row>
    <row r="191" spans="2:26" x14ac:dyDescent="0.25">
      <c r="B191" s="22">
        <f t="shared" si="9"/>
        <v>285441.47406371438</v>
      </c>
      <c r="C191" s="21">
        <v>0.03</v>
      </c>
      <c r="D191" s="22">
        <f t="shared" si="7"/>
        <v>713.60368515928599</v>
      </c>
      <c r="E191" s="22">
        <f t="shared" si="8"/>
        <v>286155.07774887368</v>
      </c>
      <c r="F191" s="22">
        <f>E191-G191</f>
        <v>285155.07774887368</v>
      </c>
      <c r="G191" s="22">
        <v>1000</v>
      </c>
      <c r="H191" s="23">
        <v>187</v>
      </c>
      <c r="Z191">
        <v>150476.2279089145</v>
      </c>
    </row>
    <row r="192" spans="2:26" x14ac:dyDescent="0.25">
      <c r="B192" s="22">
        <f t="shared" si="9"/>
        <v>285155.07774887368</v>
      </c>
      <c r="C192" s="21">
        <v>0.03</v>
      </c>
      <c r="D192" s="22">
        <f t="shared" si="7"/>
        <v>712.88769437218423</v>
      </c>
      <c r="E192" s="22">
        <f t="shared" si="8"/>
        <v>285867.96544324583</v>
      </c>
      <c r="F192" s="22">
        <f>E192-G192</f>
        <v>284867.96544324583</v>
      </c>
      <c r="G192" s="22">
        <v>1000</v>
      </c>
      <c r="H192" s="23">
        <v>188</v>
      </c>
      <c r="Z192">
        <v>151098.48170465289</v>
      </c>
    </row>
    <row r="193" spans="2:26" x14ac:dyDescent="0.25">
      <c r="B193" s="22">
        <f t="shared" si="9"/>
        <v>284867.96544324583</v>
      </c>
      <c r="C193" s="21">
        <v>0.03</v>
      </c>
      <c r="D193" s="22">
        <f t="shared" si="7"/>
        <v>712.1699136081146</v>
      </c>
      <c r="E193" s="22">
        <f t="shared" si="8"/>
        <v>285580.13535685395</v>
      </c>
      <c r="F193" s="22">
        <f>E193-G193</f>
        <v>284580.13535685395</v>
      </c>
      <c r="G193" s="22">
        <v>1000</v>
      </c>
      <c r="H193" s="23">
        <v>189</v>
      </c>
      <c r="Z193">
        <v>151719.18374528963</v>
      </c>
    </row>
    <row r="194" spans="2:26" x14ac:dyDescent="0.25">
      <c r="B194" s="22">
        <f t="shared" si="9"/>
        <v>284580.13535685395</v>
      </c>
      <c r="C194" s="21">
        <v>0.03</v>
      </c>
      <c r="D194" s="22">
        <f t="shared" si="7"/>
        <v>711.45033839213488</v>
      </c>
      <c r="E194" s="22">
        <f t="shared" si="8"/>
        <v>285291.58569524606</v>
      </c>
      <c r="F194" s="22">
        <f>E194-G194</f>
        <v>284291.58569524606</v>
      </c>
      <c r="G194" s="22">
        <v>1000</v>
      </c>
      <c r="H194" s="23">
        <v>190</v>
      </c>
      <c r="Z194">
        <v>152338.33790053829</v>
      </c>
    </row>
    <row r="195" spans="2:26" x14ac:dyDescent="0.25">
      <c r="B195" s="22">
        <f t="shared" si="9"/>
        <v>284291.58569524606</v>
      </c>
      <c r="C195" s="21">
        <v>0.03</v>
      </c>
      <c r="D195" s="22">
        <f t="shared" si="7"/>
        <v>710.72896423811517</v>
      </c>
      <c r="E195" s="22">
        <f t="shared" si="8"/>
        <v>285002.3146594842</v>
      </c>
      <c r="F195" s="22">
        <f>E195-G195</f>
        <v>284002.3146594842</v>
      </c>
      <c r="G195" s="22">
        <v>1000</v>
      </c>
      <c r="H195" s="23">
        <v>191</v>
      </c>
      <c r="Z195">
        <v>152955.94803046211</v>
      </c>
    </row>
    <row r="196" spans="2:26" x14ac:dyDescent="0.25">
      <c r="B196" s="22">
        <f t="shared" si="9"/>
        <v>284002.3146594842</v>
      </c>
      <c r="C196" s="21">
        <v>0.03</v>
      </c>
      <c r="D196" s="22">
        <f t="shared" si="7"/>
        <v>710.00578664871045</v>
      </c>
      <c r="E196" s="22">
        <f t="shared" si="8"/>
        <v>284712.32044613292</v>
      </c>
      <c r="F196" s="22">
        <f>E196-G196</f>
        <v>283712.32044613292</v>
      </c>
      <c r="G196" s="22">
        <v>1000</v>
      </c>
      <c r="H196" s="23">
        <v>192</v>
      </c>
      <c r="Z196">
        <v>153572.01798549833</v>
      </c>
    </row>
    <row r="197" spans="2:26" x14ac:dyDescent="0.25">
      <c r="B197" s="22">
        <f t="shared" si="9"/>
        <v>283712.32044613292</v>
      </c>
      <c r="C197" s="21">
        <v>0.03</v>
      </c>
      <c r="D197" s="22">
        <f t="shared" si="7"/>
        <v>709.28080111533234</v>
      </c>
      <c r="E197" s="22">
        <f t="shared" si="8"/>
        <v>284421.60124724824</v>
      </c>
      <c r="F197" s="22">
        <f>E197-G197</f>
        <v>283421.60124724824</v>
      </c>
      <c r="G197" s="22">
        <v>1000</v>
      </c>
      <c r="H197" s="23">
        <v>193</v>
      </c>
      <c r="Z197">
        <v>154186.5516064821</v>
      </c>
    </row>
    <row r="198" spans="2:26" x14ac:dyDescent="0.25">
      <c r="B198" s="22">
        <f t="shared" si="9"/>
        <v>283421.60124724824</v>
      </c>
      <c r="C198" s="21">
        <v>0.03</v>
      </c>
      <c r="D198" s="22">
        <f t="shared" ref="D198:D261" si="10">B198*(0.03/12)</f>
        <v>708.55400311812059</v>
      </c>
      <c r="E198" s="22">
        <f t="shared" si="8"/>
        <v>284130.15525036637</v>
      </c>
      <c r="F198" s="22">
        <f>E198-G198</f>
        <v>283130.15525036637</v>
      </c>
      <c r="G198" s="22">
        <v>1000</v>
      </c>
      <c r="H198" s="23">
        <v>194</v>
      </c>
      <c r="Z198">
        <v>154799.55272467044</v>
      </c>
    </row>
    <row r="199" spans="2:26" x14ac:dyDescent="0.25">
      <c r="B199" s="22">
        <f t="shared" si="9"/>
        <v>283130.15525036637</v>
      </c>
      <c r="C199" s="21">
        <v>0.03</v>
      </c>
      <c r="D199" s="22">
        <f t="shared" si="10"/>
        <v>707.82538812591599</v>
      </c>
      <c r="E199" s="22">
        <f t="shared" ref="E199:E262" si="11">B199+D199</f>
        <v>283837.98063849227</v>
      </c>
      <c r="F199" s="22">
        <f>E199-G199</f>
        <v>282837.98063849227</v>
      </c>
      <c r="G199" s="22">
        <v>1000</v>
      </c>
      <c r="H199" s="23">
        <v>195</v>
      </c>
      <c r="Z199">
        <v>155411.02516176601</v>
      </c>
    </row>
    <row r="200" spans="2:26" x14ac:dyDescent="0.25">
      <c r="B200" s="22">
        <f t="shared" si="9"/>
        <v>282837.98063849227</v>
      </c>
      <c r="C200" s="21">
        <v>0.03</v>
      </c>
      <c r="D200" s="22">
        <f t="shared" si="10"/>
        <v>707.09495159623066</v>
      </c>
      <c r="E200" s="22">
        <f t="shared" si="11"/>
        <v>283545.0755900885</v>
      </c>
      <c r="F200" s="22">
        <f>E200-G200</f>
        <v>282545.0755900885</v>
      </c>
      <c r="G200" s="22">
        <v>1000</v>
      </c>
      <c r="H200" s="23">
        <v>196</v>
      </c>
      <c r="Z200">
        <v>156020.97272994113</v>
      </c>
    </row>
    <row r="201" spans="2:26" x14ac:dyDescent="0.25">
      <c r="B201" s="22">
        <f t="shared" si="9"/>
        <v>282545.0755900885</v>
      </c>
      <c r="C201" s="21">
        <v>0.03</v>
      </c>
      <c r="D201" s="22">
        <f t="shared" si="10"/>
        <v>706.3626889752212</v>
      </c>
      <c r="E201" s="22">
        <f t="shared" si="11"/>
        <v>283251.43827906373</v>
      </c>
      <c r="F201" s="22">
        <f>E201-G201</f>
        <v>282251.43827906373</v>
      </c>
      <c r="G201" s="22">
        <v>1000</v>
      </c>
      <c r="H201" s="23">
        <v>197</v>
      </c>
      <c r="Z201">
        <v>156629.39923186146</v>
      </c>
    </row>
    <row r="202" spans="2:26" x14ac:dyDescent="0.25">
      <c r="B202" s="22">
        <f t="shared" si="9"/>
        <v>282251.43827906373</v>
      </c>
      <c r="C202" s="21">
        <v>0.03</v>
      </c>
      <c r="D202" s="22">
        <f t="shared" si="10"/>
        <v>705.62859569765931</v>
      </c>
      <c r="E202" s="22">
        <f t="shared" si="11"/>
        <v>282957.06687476137</v>
      </c>
      <c r="F202" s="22">
        <f>E202-G202</f>
        <v>281957.06687476137</v>
      </c>
      <c r="G202" s="22">
        <v>1000</v>
      </c>
      <c r="H202" s="23">
        <v>198</v>
      </c>
      <c r="Z202">
        <v>157236.3084607097</v>
      </c>
    </row>
    <row r="203" spans="2:26" x14ac:dyDescent="0.25">
      <c r="B203" s="22">
        <f t="shared" si="9"/>
        <v>281957.06687476137</v>
      </c>
      <c r="C203" s="21">
        <v>0.03</v>
      </c>
      <c r="D203" s="22">
        <f t="shared" si="10"/>
        <v>704.8926671869034</v>
      </c>
      <c r="E203" s="22">
        <f t="shared" si="11"/>
        <v>282661.95954194828</v>
      </c>
      <c r="F203" s="22">
        <f>E203-G203</f>
        <v>281661.95954194828</v>
      </c>
      <c r="G203" s="22">
        <v>1000</v>
      </c>
      <c r="H203" s="23">
        <v>199</v>
      </c>
      <c r="Z203">
        <v>157841.70420020915</v>
      </c>
    </row>
    <row r="204" spans="2:26" x14ac:dyDescent="0.25">
      <c r="B204" s="22">
        <f t="shared" si="9"/>
        <v>281661.95954194828</v>
      </c>
      <c r="C204" s="21">
        <v>0.03</v>
      </c>
      <c r="D204" s="22">
        <f t="shared" si="10"/>
        <v>704.15489885487068</v>
      </c>
      <c r="E204" s="22">
        <f t="shared" si="11"/>
        <v>282366.11444080313</v>
      </c>
      <c r="F204" s="22">
        <f>E204-G204</f>
        <v>281366.11444080313</v>
      </c>
      <c r="G204" s="22">
        <v>1000</v>
      </c>
      <c r="H204" s="23">
        <v>200</v>
      </c>
      <c r="Z204">
        <v>158445.59022464755</v>
      </c>
    </row>
    <row r="205" spans="2:26" x14ac:dyDescent="0.25">
      <c r="B205" s="22">
        <f t="shared" si="9"/>
        <v>281366.11444080313</v>
      </c>
      <c r="C205" s="21">
        <v>0.03</v>
      </c>
      <c r="D205" s="22">
        <f t="shared" si="10"/>
        <v>703.41528610200783</v>
      </c>
      <c r="E205" s="22">
        <f t="shared" si="11"/>
        <v>282069.52972690511</v>
      </c>
      <c r="F205" s="22">
        <f>E205-G205</f>
        <v>281069.52972690511</v>
      </c>
      <c r="G205" s="22">
        <v>1000</v>
      </c>
      <c r="H205" s="23">
        <v>201</v>
      </c>
      <c r="Z205">
        <v>159047.97029890027</v>
      </c>
    </row>
    <row r="206" spans="2:26" x14ac:dyDescent="0.25">
      <c r="B206" s="22">
        <f t="shared" si="9"/>
        <v>281069.52972690511</v>
      </c>
      <c r="C206" s="21">
        <v>0.03</v>
      </c>
      <c r="D206" s="22">
        <f t="shared" si="10"/>
        <v>702.67382431726276</v>
      </c>
      <c r="E206" s="22">
        <f t="shared" si="11"/>
        <v>281772.2035512224</v>
      </c>
      <c r="F206" s="22">
        <f>E206-G206</f>
        <v>280772.2035512224</v>
      </c>
      <c r="G206" s="22">
        <v>1000</v>
      </c>
      <c r="H206" s="23">
        <v>202</v>
      </c>
      <c r="Z206">
        <v>159648.84817845412</v>
      </c>
    </row>
    <row r="207" spans="2:26" x14ac:dyDescent="0.25">
      <c r="B207" s="22">
        <f t="shared" si="9"/>
        <v>280772.2035512224</v>
      </c>
      <c r="C207" s="21">
        <v>0.03</v>
      </c>
      <c r="D207" s="22">
        <f t="shared" si="10"/>
        <v>701.930508878056</v>
      </c>
      <c r="E207" s="22">
        <f t="shared" si="11"/>
        <v>281474.13406010048</v>
      </c>
      <c r="F207" s="22">
        <f>E207-G207</f>
        <v>280474.13406010048</v>
      </c>
      <c r="G207" s="22">
        <v>1000</v>
      </c>
      <c r="H207" s="23">
        <v>203</v>
      </c>
      <c r="Z207">
        <v>160248.22760943056</v>
      </c>
    </row>
    <row r="208" spans="2:26" x14ac:dyDescent="0.25">
      <c r="B208" s="22">
        <f t="shared" si="9"/>
        <v>280474.13406010048</v>
      </c>
      <c r="C208" s="21">
        <v>0.03</v>
      </c>
      <c r="D208" s="22">
        <f t="shared" si="10"/>
        <v>701.18533515025126</v>
      </c>
      <c r="E208" s="22">
        <f t="shared" si="11"/>
        <v>281175.31939525076</v>
      </c>
      <c r="F208" s="22">
        <f>E208-G208</f>
        <v>280175.31939525076</v>
      </c>
      <c r="G208" s="22">
        <v>1000</v>
      </c>
      <c r="H208" s="23">
        <v>204</v>
      </c>
      <c r="Z208">
        <v>160846.11232860899</v>
      </c>
    </row>
    <row r="209" spans="2:26" x14ac:dyDescent="0.25">
      <c r="B209" s="22">
        <f t="shared" si="9"/>
        <v>280175.31939525076</v>
      </c>
      <c r="C209" s="21">
        <v>0.03</v>
      </c>
      <c r="D209" s="22">
        <f t="shared" si="10"/>
        <v>700.43829848812686</v>
      </c>
      <c r="E209" s="22">
        <f t="shared" si="11"/>
        <v>280875.75769373891</v>
      </c>
      <c r="F209" s="22">
        <f>E209-G209</f>
        <v>279875.75769373891</v>
      </c>
      <c r="G209" s="22">
        <v>1000</v>
      </c>
      <c r="H209" s="23">
        <v>205</v>
      </c>
      <c r="Z209">
        <v>161442.50606345033</v>
      </c>
    </row>
    <row r="210" spans="2:26" x14ac:dyDescent="0.25">
      <c r="B210" s="22">
        <f t="shared" si="9"/>
        <v>279875.75769373891</v>
      </c>
      <c r="C210" s="21">
        <v>0.03</v>
      </c>
      <c r="D210" s="22">
        <f t="shared" si="10"/>
        <v>699.68939423434733</v>
      </c>
      <c r="E210" s="22">
        <f t="shared" si="11"/>
        <v>280575.44708797324</v>
      </c>
      <c r="F210" s="22">
        <f>E210-G210</f>
        <v>279575.44708797324</v>
      </c>
      <c r="G210" s="22">
        <v>1000</v>
      </c>
      <c r="H210" s="23">
        <v>206</v>
      </c>
      <c r="Z210">
        <v>162037.41253212007</v>
      </c>
    </row>
    <row r="211" spans="2:26" x14ac:dyDescent="0.25">
      <c r="B211" s="22">
        <f t="shared" si="9"/>
        <v>279575.44708797324</v>
      </c>
      <c r="C211" s="21">
        <v>0.03</v>
      </c>
      <c r="D211" s="22">
        <f t="shared" si="10"/>
        <v>698.93861771993306</v>
      </c>
      <c r="E211" s="22">
        <f t="shared" si="11"/>
        <v>280274.38570569316</v>
      </c>
      <c r="F211" s="22">
        <f>E211-G211</f>
        <v>279274.38570569316</v>
      </c>
      <c r="G211" s="22">
        <v>1000</v>
      </c>
      <c r="H211" s="23">
        <v>207</v>
      </c>
      <c r="Z211">
        <v>162630.83544351126</v>
      </c>
    </row>
    <row r="212" spans="2:26" x14ac:dyDescent="0.25">
      <c r="B212" s="22">
        <f t="shared" si="9"/>
        <v>279274.38570569316</v>
      </c>
      <c r="C212" s="21">
        <v>0.03</v>
      </c>
      <c r="D212" s="22">
        <f t="shared" si="10"/>
        <v>698.18596426423289</v>
      </c>
      <c r="E212" s="22">
        <f t="shared" si="11"/>
        <v>279972.57166995737</v>
      </c>
      <c r="F212" s="22">
        <f>E212-G212</f>
        <v>278972.57166995737</v>
      </c>
      <c r="G212" s="22">
        <v>1000</v>
      </c>
      <c r="H212" s="23">
        <v>208</v>
      </c>
      <c r="Z212">
        <v>163222.77849726804</v>
      </c>
    </row>
    <row r="213" spans="2:26" x14ac:dyDescent="0.25">
      <c r="B213" s="22">
        <f t="shared" si="9"/>
        <v>278972.57166995737</v>
      </c>
      <c r="C213" s="21">
        <v>0.03</v>
      </c>
      <c r="D213" s="22">
        <f t="shared" si="10"/>
        <v>697.43142917489342</v>
      </c>
      <c r="E213" s="22">
        <f t="shared" si="11"/>
        <v>279670.00309913227</v>
      </c>
      <c r="F213" s="22">
        <f>E213-G213</f>
        <v>278670.00309913227</v>
      </c>
      <c r="G213" s="22">
        <v>1000</v>
      </c>
      <c r="H213" s="23">
        <v>209</v>
      </c>
      <c r="Z213">
        <v>163813.24538380853</v>
      </c>
    </row>
    <row r="214" spans="2:26" x14ac:dyDescent="0.25">
      <c r="B214" s="22">
        <f t="shared" si="9"/>
        <v>278670.00309913227</v>
      </c>
      <c r="C214" s="21">
        <v>0.03</v>
      </c>
      <c r="D214" s="22">
        <f t="shared" si="10"/>
        <v>696.6750077478307</v>
      </c>
      <c r="E214" s="22">
        <f t="shared" si="11"/>
        <v>279366.67810688011</v>
      </c>
      <c r="F214" s="22">
        <f>E214-G214</f>
        <v>278366.67810688011</v>
      </c>
      <c r="G214" s="22">
        <v>1000</v>
      </c>
      <c r="H214" s="23">
        <v>210</v>
      </c>
      <c r="Z214">
        <v>164402.23978434765</v>
      </c>
    </row>
    <row r="215" spans="2:26" x14ac:dyDescent="0.25">
      <c r="B215" s="22">
        <f t="shared" si="9"/>
        <v>278366.67810688011</v>
      </c>
      <c r="C215" s="21">
        <v>0.03</v>
      </c>
      <c r="D215" s="22">
        <f t="shared" si="10"/>
        <v>695.91669526720023</v>
      </c>
      <c r="E215" s="22">
        <f t="shared" si="11"/>
        <v>279062.5948021473</v>
      </c>
      <c r="F215" s="22">
        <f>E215-G215</f>
        <v>278062.5948021473</v>
      </c>
      <c r="G215" s="22">
        <v>1000</v>
      </c>
      <c r="H215" s="23">
        <v>211</v>
      </c>
      <c r="Z215">
        <v>164989.76537092036</v>
      </c>
    </row>
    <row r="216" spans="2:26" x14ac:dyDescent="0.25">
      <c r="B216" s="22">
        <f t="shared" si="9"/>
        <v>278062.5948021473</v>
      </c>
      <c r="C216" s="21">
        <v>0.03</v>
      </c>
      <c r="D216" s="22">
        <f t="shared" si="10"/>
        <v>695.15648700536826</v>
      </c>
      <c r="E216" s="22">
        <f t="shared" si="11"/>
        <v>278757.75128915266</v>
      </c>
      <c r="F216" s="22">
        <f>E216-G216</f>
        <v>277757.75128915266</v>
      </c>
      <c r="G216" s="22">
        <v>1000</v>
      </c>
      <c r="H216" s="23">
        <v>212</v>
      </c>
      <c r="Z216">
        <v>165575.82580640429</v>
      </c>
    </row>
    <row r="217" spans="2:26" x14ac:dyDescent="0.25">
      <c r="B217" s="22">
        <f t="shared" si="9"/>
        <v>277757.75128915266</v>
      </c>
      <c r="C217" s="21">
        <v>0.03</v>
      </c>
      <c r="D217" s="22">
        <f t="shared" si="10"/>
        <v>694.39437822288164</v>
      </c>
      <c r="E217" s="22">
        <f t="shared" si="11"/>
        <v>278452.14566737553</v>
      </c>
      <c r="F217" s="22">
        <f>E217-G217</f>
        <v>277452.14566737553</v>
      </c>
      <c r="G217" s="22">
        <v>1000</v>
      </c>
      <c r="H217" s="23">
        <v>213</v>
      </c>
      <c r="Z217">
        <v>166160.42474454295</v>
      </c>
    </row>
    <row r="218" spans="2:26" x14ac:dyDescent="0.25">
      <c r="B218" s="22">
        <f t="shared" si="9"/>
        <v>277452.14566737553</v>
      </c>
      <c r="C218" s="21">
        <v>0.03</v>
      </c>
      <c r="D218" s="22">
        <f t="shared" si="10"/>
        <v>693.63036416843886</v>
      </c>
      <c r="E218" s="22">
        <f t="shared" si="11"/>
        <v>278145.77603154397</v>
      </c>
      <c r="F218" s="22">
        <f>E218-G218</f>
        <v>277145.77603154397</v>
      </c>
      <c r="G218" s="22">
        <v>1000</v>
      </c>
      <c r="H218" s="23">
        <v>214</v>
      </c>
      <c r="Z218">
        <v>166743.56582996805</v>
      </c>
    </row>
    <row r="219" spans="2:26" x14ac:dyDescent="0.25">
      <c r="B219" s="22">
        <f t="shared" si="9"/>
        <v>277145.77603154397</v>
      </c>
      <c r="C219" s="21">
        <v>0.03</v>
      </c>
      <c r="D219" s="22">
        <f t="shared" si="10"/>
        <v>692.86444007885996</v>
      </c>
      <c r="E219" s="22">
        <f t="shared" si="11"/>
        <v>277838.64047162281</v>
      </c>
      <c r="F219" s="22">
        <f>E219-G219</f>
        <v>276838.64047162281</v>
      </c>
      <c r="G219" s="22">
        <v>1000</v>
      </c>
      <c r="H219" s="23">
        <v>215</v>
      </c>
      <c r="Z219">
        <v>167325.25269822241</v>
      </c>
    </row>
    <row r="220" spans="2:26" x14ac:dyDescent="0.25">
      <c r="B220" s="22">
        <f t="shared" si="9"/>
        <v>276838.64047162281</v>
      </c>
      <c r="C220" s="21">
        <v>0.03</v>
      </c>
      <c r="D220" s="22">
        <f t="shared" si="10"/>
        <v>692.09660117905707</v>
      </c>
      <c r="E220" s="22">
        <f t="shared" si="11"/>
        <v>277530.73707280186</v>
      </c>
      <c r="F220" s="22">
        <f>E220-G220</f>
        <v>276530.73707280186</v>
      </c>
      <c r="G220" s="22">
        <v>1000</v>
      </c>
      <c r="H220" s="23">
        <v>216</v>
      </c>
      <c r="Z220">
        <v>167905.488975783</v>
      </c>
    </row>
    <row r="221" spans="2:26" x14ac:dyDescent="0.25">
      <c r="B221" s="22">
        <f t="shared" ref="B221:B284" si="12">F220</f>
        <v>276530.73707280186</v>
      </c>
      <c r="C221" s="21">
        <v>0.03</v>
      </c>
      <c r="D221" s="22">
        <f t="shared" si="10"/>
        <v>691.32684268200467</v>
      </c>
      <c r="E221" s="22">
        <f t="shared" si="11"/>
        <v>277222.06391548389</v>
      </c>
      <c r="F221" s="22">
        <f>E221-G221</f>
        <v>276222.06391548389</v>
      </c>
      <c r="G221" s="22">
        <v>1000</v>
      </c>
      <c r="H221" s="23">
        <v>217</v>
      </c>
      <c r="Z221">
        <v>168484.27828008274</v>
      </c>
    </row>
    <row r="222" spans="2:26" x14ac:dyDescent="0.25">
      <c r="B222" s="22">
        <f t="shared" si="12"/>
        <v>276222.06391548389</v>
      </c>
      <c r="C222" s="21">
        <v>0.03</v>
      </c>
      <c r="D222" s="22">
        <f t="shared" si="10"/>
        <v>690.55515978870972</v>
      </c>
      <c r="E222" s="22">
        <f t="shared" si="11"/>
        <v>276912.61907527258</v>
      </c>
      <c r="F222" s="22">
        <f>E222-G222</f>
        <v>275912.61907527258</v>
      </c>
      <c r="G222" s="22">
        <v>1000</v>
      </c>
      <c r="H222" s="23">
        <v>218</v>
      </c>
      <c r="Z222">
        <v>169061.62421953393</v>
      </c>
    </row>
    <row r="223" spans="2:26" x14ac:dyDescent="0.25">
      <c r="B223" s="22">
        <f t="shared" si="12"/>
        <v>275912.61907527258</v>
      </c>
      <c r="C223" s="21">
        <v>0.03</v>
      </c>
      <c r="D223" s="22">
        <f t="shared" si="10"/>
        <v>689.78154768818149</v>
      </c>
      <c r="E223" s="22">
        <f t="shared" si="11"/>
        <v>276602.40062296076</v>
      </c>
      <c r="F223" s="22">
        <f>E223-G223</f>
        <v>275602.40062296076</v>
      </c>
      <c r="G223" s="22">
        <v>1000</v>
      </c>
      <c r="H223" s="23">
        <v>219</v>
      </c>
      <c r="Z223">
        <v>169637.53039355</v>
      </c>
    </row>
    <row r="224" spans="2:26" x14ac:dyDescent="0.25">
      <c r="B224" s="22">
        <f t="shared" si="12"/>
        <v>275602.40062296076</v>
      </c>
      <c r="C224" s="21">
        <v>0.03</v>
      </c>
      <c r="D224" s="22">
        <f t="shared" si="10"/>
        <v>689.00600155740187</v>
      </c>
      <c r="E224" s="22">
        <f t="shared" si="11"/>
        <v>276291.40662451816</v>
      </c>
      <c r="F224" s="22">
        <f>E224-G224</f>
        <v>275291.40662451816</v>
      </c>
      <c r="G224" s="22">
        <v>1000</v>
      </c>
      <c r="H224" s="23">
        <v>220</v>
      </c>
      <c r="Z224">
        <v>170212.00039256856</v>
      </c>
    </row>
    <row r="225" spans="2:26" x14ac:dyDescent="0.25">
      <c r="B225" s="22">
        <f t="shared" si="12"/>
        <v>275291.40662451816</v>
      </c>
      <c r="C225" s="21">
        <v>0.03</v>
      </c>
      <c r="D225" s="22">
        <f t="shared" si="10"/>
        <v>688.22851656129546</v>
      </c>
      <c r="E225" s="22">
        <f t="shared" si="11"/>
        <v>275979.63514107943</v>
      </c>
      <c r="F225" s="22">
        <f>E225-G225</f>
        <v>274979.63514107943</v>
      </c>
      <c r="G225" s="22">
        <v>1000</v>
      </c>
      <c r="H225" s="23">
        <v>221</v>
      </c>
      <c r="Z225">
        <v>170785.03779807338</v>
      </c>
    </row>
    <row r="226" spans="2:26" x14ac:dyDescent="0.25">
      <c r="B226" s="22">
        <f t="shared" si="12"/>
        <v>274979.63514107943</v>
      </c>
      <c r="C226" s="21">
        <v>0.03</v>
      </c>
      <c r="D226" s="22">
        <f t="shared" si="10"/>
        <v>687.44908785269854</v>
      </c>
      <c r="E226" s="22">
        <f t="shared" si="11"/>
        <v>275667.0842289321</v>
      </c>
      <c r="F226" s="22">
        <f>E226-G226</f>
        <v>274667.0842289321</v>
      </c>
      <c r="G226" s="22">
        <v>1000</v>
      </c>
      <c r="H226" s="23">
        <v>222</v>
      </c>
      <c r="Z226">
        <v>171356.64618261685</v>
      </c>
    </row>
    <row r="227" spans="2:26" x14ac:dyDescent="0.25">
      <c r="B227" s="22">
        <f t="shared" si="12"/>
        <v>274667.0842289321</v>
      </c>
      <c r="C227" s="21">
        <v>0.03</v>
      </c>
      <c r="D227" s="22">
        <f t="shared" si="10"/>
        <v>686.66771057233029</v>
      </c>
      <c r="E227" s="22">
        <f t="shared" si="11"/>
        <v>275353.75193950441</v>
      </c>
      <c r="F227" s="22">
        <f>E227-G227</f>
        <v>274353.75193950441</v>
      </c>
      <c r="G227" s="22">
        <v>1000</v>
      </c>
      <c r="H227" s="23">
        <v>223</v>
      </c>
      <c r="Z227">
        <v>171926.82910984222</v>
      </c>
    </row>
    <row r="228" spans="2:26" x14ac:dyDescent="0.25">
      <c r="B228" s="22">
        <f t="shared" si="12"/>
        <v>274353.75193950441</v>
      </c>
      <c r="C228" s="21">
        <v>0.03</v>
      </c>
      <c r="D228" s="22">
        <f t="shared" si="10"/>
        <v>685.884379848761</v>
      </c>
      <c r="E228" s="22">
        <f t="shared" si="11"/>
        <v>275039.63631935319</v>
      </c>
      <c r="F228" s="22">
        <f>E228-G228</f>
        <v>274039.63631935319</v>
      </c>
      <c r="G228" s="22">
        <v>1000</v>
      </c>
      <c r="H228" s="23">
        <v>224</v>
      </c>
      <c r="Z228">
        <v>172495.59013450597</v>
      </c>
    </row>
    <row r="229" spans="2:26" x14ac:dyDescent="0.25">
      <c r="B229" s="22">
        <f t="shared" si="12"/>
        <v>274039.63631935319</v>
      </c>
      <c r="C229" s="21">
        <v>0.03</v>
      </c>
      <c r="D229" s="22">
        <f t="shared" si="10"/>
        <v>685.09909079838303</v>
      </c>
      <c r="E229" s="22">
        <f t="shared" si="11"/>
        <v>274724.7354101516</v>
      </c>
      <c r="F229" s="22">
        <f>E229-G229</f>
        <v>273724.7354101516</v>
      </c>
      <c r="G229" s="22">
        <v>1000</v>
      </c>
      <c r="H229" s="23">
        <v>225</v>
      </c>
      <c r="Z229">
        <v>173062.93280249971</v>
      </c>
    </row>
    <row r="230" spans="2:26" x14ac:dyDescent="0.25">
      <c r="B230" s="22">
        <f t="shared" si="12"/>
        <v>273724.7354101516</v>
      </c>
      <c r="C230" s="21">
        <v>0.03</v>
      </c>
      <c r="D230" s="22">
        <f t="shared" si="10"/>
        <v>684.31183852537902</v>
      </c>
      <c r="E230" s="22">
        <f t="shared" si="11"/>
        <v>274409.047248677</v>
      </c>
      <c r="F230" s="22">
        <f>E230-G230</f>
        <v>273409.047248677</v>
      </c>
      <c r="G230" s="22">
        <v>1000</v>
      </c>
      <c r="H230" s="23">
        <v>226</v>
      </c>
      <c r="Z230">
        <v>173628.86065087249</v>
      </c>
    </row>
    <row r="231" spans="2:26" x14ac:dyDescent="0.25">
      <c r="B231" s="22">
        <f t="shared" si="12"/>
        <v>273409.047248677</v>
      </c>
      <c r="C231" s="21">
        <v>0.03</v>
      </c>
      <c r="D231" s="22">
        <f t="shared" si="10"/>
        <v>683.52261812169252</v>
      </c>
      <c r="E231" s="22">
        <f t="shared" si="11"/>
        <v>274092.5698667987</v>
      </c>
      <c r="F231" s="22">
        <f>E231-G231</f>
        <v>273092.5698667987</v>
      </c>
      <c r="G231" s="22">
        <v>1000</v>
      </c>
      <c r="H231" s="23">
        <v>227</v>
      </c>
      <c r="Z231">
        <v>174193.37720785284</v>
      </c>
    </row>
    <row r="232" spans="2:26" x14ac:dyDescent="0.25">
      <c r="B232" s="22">
        <f t="shared" si="12"/>
        <v>273092.5698667987</v>
      </c>
      <c r="C232" s="21">
        <v>0.03</v>
      </c>
      <c r="D232" s="22">
        <f t="shared" si="10"/>
        <v>682.73142466699676</v>
      </c>
      <c r="E232" s="22">
        <f t="shared" si="11"/>
        <v>273775.3012914657</v>
      </c>
      <c r="F232" s="22">
        <f>E232-G232</f>
        <v>272775.3012914657</v>
      </c>
      <c r="G232" s="22">
        <v>1000</v>
      </c>
      <c r="H232" s="23">
        <v>228</v>
      </c>
      <c r="Z232">
        <v>174756.48599287064</v>
      </c>
    </row>
    <row r="233" spans="2:26" x14ac:dyDescent="0.25">
      <c r="B233" s="22">
        <f t="shared" si="12"/>
        <v>272775.3012914657</v>
      </c>
      <c r="C233" s="21">
        <v>0.03</v>
      </c>
      <c r="D233" s="22">
        <f t="shared" si="10"/>
        <v>681.93825322866428</v>
      </c>
      <c r="E233" s="22">
        <f t="shared" si="11"/>
        <v>273457.23954469437</v>
      </c>
      <c r="F233" s="22">
        <f>E233-G233</f>
        <v>272457.23954469437</v>
      </c>
      <c r="G233" s="22">
        <v>1000</v>
      </c>
      <c r="H233" s="23">
        <v>229</v>
      </c>
      <c r="Z233">
        <v>175318.19051657917</v>
      </c>
    </row>
    <row r="234" spans="2:26" x14ac:dyDescent="0.25">
      <c r="B234" s="22">
        <f t="shared" si="12"/>
        <v>272457.23954469437</v>
      </c>
      <c r="C234" s="21">
        <v>0.03</v>
      </c>
      <c r="D234" s="22">
        <f t="shared" si="10"/>
        <v>681.14309886173589</v>
      </c>
      <c r="E234" s="22">
        <f t="shared" si="11"/>
        <v>273138.38264355611</v>
      </c>
      <c r="F234" s="22">
        <f>E234-G234</f>
        <v>272138.38264355611</v>
      </c>
      <c r="G234" s="22">
        <v>1000</v>
      </c>
      <c r="H234" s="23">
        <v>230</v>
      </c>
      <c r="Z234">
        <v>175878.494280877</v>
      </c>
    </row>
    <row r="235" spans="2:26" x14ac:dyDescent="0.25">
      <c r="B235" s="22">
        <f t="shared" si="12"/>
        <v>272138.38264355611</v>
      </c>
      <c r="C235" s="21">
        <v>0.03</v>
      </c>
      <c r="D235" s="22">
        <f t="shared" si="10"/>
        <v>680.34595660889033</v>
      </c>
      <c r="E235" s="22">
        <f t="shared" si="11"/>
        <v>272818.72860016499</v>
      </c>
      <c r="F235" s="22">
        <f>E235-G235</f>
        <v>271818.72860016499</v>
      </c>
      <c r="G235" s="22">
        <v>1000</v>
      </c>
      <c r="H235" s="23">
        <v>231</v>
      </c>
      <c r="Z235">
        <v>176437.40077892964</v>
      </c>
    </row>
    <row r="236" spans="2:26" x14ac:dyDescent="0.25">
      <c r="B236" s="22">
        <f t="shared" si="12"/>
        <v>271818.72860016499</v>
      </c>
      <c r="C236" s="21">
        <v>0.03</v>
      </c>
      <c r="D236" s="22">
        <f t="shared" si="10"/>
        <v>679.54682150041253</v>
      </c>
      <c r="E236" s="22">
        <f t="shared" si="11"/>
        <v>272498.2754216654</v>
      </c>
      <c r="F236" s="22">
        <f>E236-G236</f>
        <v>271498.2754216654</v>
      </c>
      <c r="G236" s="22">
        <v>1000</v>
      </c>
      <c r="H236" s="23">
        <v>232</v>
      </c>
      <c r="Z236">
        <v>176994.91349519166</v>
      </c>
    </row>
    <row r="237" spans="2:26" x14ac:dyDescent="0.25">
      <c r="B237" s="22">
        <f t="shared" si="12"/>
        <v>271498.2754216654</v>
      </c>
      <c r="C237" s="21">
        <v>0.03</v>
      </c>
      <c r="D237" s="22">
        <f t="shared" si="10"/>
        <v>678.74568855416351</v>
      </c>
      <c r="E237" s="22">
        <f t="shared" si="11"/>
        <v>272177.02111021959</v>
      </c>
      <c r="F237" s="22">
        <f>E237-G237</f>
        <v>271177.02111021959</v>
      </c>
      <c r="G237" s="22">
        <v>1000</v>
      </c>
      <c r="H237" s="23">
        <v>233</v>
      </c>
      <c r="Z237">
        <v>177551.03590542806</v>
      </c>
    </row>
    <row r="238" spans="2:26" x14ac:dyDescent="0.25">
      <c r="B238" s="22">
        <f t="shared" si="12"/>
        <v>271177.02111021959</v>
      </c>
      <c r="C238" s="21">
        <v>0.03</v>
      </c>
      <c r="D238" s="22">
        <f t="shared" si="10"/>
        <v>677.94255277554896</v>
      </c>
      <c r="E238" s="22">
        <f t="shared" si="11"/>
        <v>271854.96366299514</v>
      </c>
      <c r="F238" s="22">
        <f>E238-G238</f>
        <v>270854.96366299514</v>
      </c>
      <c r="G238" s="22">
        <v>1000</v>
      </c>
      <c r="H238" s="23">
        <v>234</v>
      </c>
      <c r="Z238">
        <v>178105.77147673623</v>
      </c>
    </row>
    <row r="239" spans="2:26" x14ac:dyDescent="0.25">
      <c r="B239" s="22">
        <f t="shared" si="12"/>
        <v>270854.96366299514</v>
      </c>
      <c r="C239" s="21">
        <v>0.03</v>
      </c>
      <c r="D239" s="22">
        <f t="shared" si="10"/>
        <v>677.13740915748792</v>
      </c>
      <c r="E239" s="22">
        <f t="shared" si="11"/>
        <v>271532.10107215261</v>
      </c>
      <c r="F239" s="22">
        <f>E239-G239</f>
        <v>270532.10107215261</v>
      </c>
      <c r="G239" s="22">
        <v>1000</v>
      </c>
      <c r="H239" s="23">
        <v>235</v>
      </c>
      <c r="Z239">
        <v>178659.1236675673</v>
      </c>
    </row>
    <row r="240" spans="2:26" x14ac:dyDescent="0.25">
      <c r="B240" s="22">
        <f t="shared" si="12"/>
        <v>270532.10107215261</v>
      </c>
      <c r="C240" s="21">
        <v>0.03</v>
      </c>
      <c r="D240" s="22">
        <f t="shared" si="10"/>
        <v>676.33025268038159</v>
      </c>
      <c r="E240" s="22">
        <f t="shared" si="11"/>
        <v>271208.43132483301</v>
      </c>
      <c r="F240" s="22">
        <f>E240-G240</f>
        <v>270208.43132483301</v>
      </c>
      <c r="G240" s="22">
        <v>1000</v>
      </c>
      <c r="H240" s="23">
        <v>236</v>
      </c>
      <c r="Z240">
        <v>179211.09592774793</v>
      </c>
    </row>
    <row r="241" spans="2:26" x14ac:dyDescent="0.25">
      <c r="B241" s="22">
        <f t="shared" si="12"/>
        <v>270208.43132483301</v>
      </c>
      <c r="C241" s="21">
        <v>0.03</v>
      </c>
      <c r="D241" s="22">
        <f t="shared" si="10"/>
        <v>675.52107831208252</v>
      </c>
      <c r="E241" s="22">
        <f t="shared" si="11"/>
        <v>270883.95240314509</v>
      </c>
      <c r="F241" s="22">
        <f>E241-G241</f>
        <v>269883.95240314509</v>
      </c>
      <c r="G241" s="22">
        <v>1000</v>
      </c>
      <c r="H241" s="23">
        <v>237</v>
      </c>
      <c r="Z241">
        <v>179761.69169850164</v>
      </c>
    </row>
    <row r="242" spans="2:26" x14ac:dyDescent="0.25">
      <c r="B242" s="22">
        <f t="shared" si="12"/>
        <v>269883.95240314509</v>
      </c>
      <c r="C242" s="21">
        <v>0.03</v>
      </c>
      <c r="D242" s="22">
        <f t="shared" si="10"/>
        <v>674.70988100786269</v>
      </c>
      <c r="E242" s="22">
        <f t="shared" si="11"/>
        <v>270558.66228415293</v>
      </c>
      <c r="F242" s="22">
        <f>E242-G242</f>
        <v>269558.66228415293</v>
      </c>
      <c r="G242" s="22">
        <v>1000</v>
      </c>
      <c r="H242" s="23">
        <v>238</v>
      </c>
      <c r="Z242">
        <v>180310.91441247048</v>
      </c>
    </row>
    <row r="243" spans="2:26" x14ac:dyDescent="0.25">
      <c r="B243" s="22">
        <f t="shared" si="12"/>
        <v>269558.66228415293</v>
      </c>
      <c r="C243" s="21">
        <v>0.03</v>
      </c>
      <c r="D243" s="22">
        <f t="shared" si="10"/>
        <v>673.89665571038233</v>
      </c>
      <c r="E243" s="22">
        <f t="shared" si="11"/>
        <v>270232.55893986329</v>
      </c>
      <c r="F243" s="22">
        <f>E243-G243</f>
        <v>269232.55893986329</v>
      </c>
      <c r="G243" s="22">
        <v>1000</v>
      </c>
      <c r="H243" s="23">
        <v>239</v>
      </c>
      <c r="Z243">
        <v>180858.76749373612</v>
      </c>
    </row>
    <row r="244" spans="2:26" x14ac:dyDescent="0.25">
      <c r="B244" s="22">
        <f t="shared" si="12"/>
        <v>269232.55893986329</v>
      </c>
      <c r="C244" s="21">
        <v>0.03</v>
      </c>
      <c r="D244" s="22">
        <f t="shared" si="10"/>
        <v>673.08139734965823</v>
      </c>
      <c r="E244" s="22">
        <f t="shared" si="11"/>
        <v>269905.64033721294</v>
      </c>
      <c r="F244" s="22">
        <f>E244-G244</f>
        <v>268905.64033721294</v>
      </c>
      <c r="G244" s="22">
        <v>1000</v>
      </c>
      <c r="H244" s="23">
        <v>240</v>
      </c>
      <c r="Z244">
        <v>181405.25435784151</v>
      </c>
    </row>
    <row r="245" spans="2:26" x14ac:dyDescent="0.25">
      <c r="B245" s="22">
        <f t="shared" si="12"/>
        <v>268905.64033721294</v>
      </c>
      <c r="C245" s="21">
        <v>0.03</v>
      </c>
      <c r="D245" s="22">
        <f t="shared" si="10"/>
        <v>672.26410084303234</v>
      </c>
      <c r="E245" s="22">
        <f t="shared" si="11"/>
        <v>269577.90443805599</v>
      </c>
      <c r="F245" s="22">
        <f>E245-G245</f>
        <v>268577.90443805599</v>
      </c>
      <c r="G245" s="22">
        <v>1000</v>
      </c>
      <c r="H245" s="23">
        <v>241</v>
      </c>
      <c r="Z245">
        <v>181950.37841181195</v>
      </c>
    </row>
    <row r="246" spans="2:26" x14ac:dyDescent="0.25">
      <c r="B246" s="22">
        <f t="shared" si="12"/>
        <v>268577.90443805599</v>
      </c>
      <c r="C246" s="21">
        <v>0.03</v>
      </c>
      <c r="D246" s="22">
        <f t="shared" si="10"/>
        <v>671.44476109514005</v>
      </c>
      <c r="E246" s="22">
        <f t="shared" si="11"/>
        <v>269249.34919915115</v>
      </c>
      <c r="F246" s="22">
        <f>E246-G246</f>
        <v>268249.34919915115</v>
      </c>
      <c r="G246" s="22">
        <v>1000</v>
      </c>
      <c r="H246" s="23">
        <v>242</v>
      </c>
      <c r="Z246">
        <v>182494.1430541765</v>
      </c>
    </row>
    <row r="247" spans="2:26" x14ac:dyDescent="0.25">
      <c r="B247" s="22">
        <f t="shared" si="12"/>
        <v>268249.34919915115</v>
      </c>
      <c r="C247" s="21">
        <v>0.03</v>
      </c>
      <c r="D247" s="22">
        <f t="shared" si="10"/>
        <v>670.62337299787794</v>
      </c>
      <c r="E247" s="22">
        <f t="shared" si="11"/>
        <v>268919.97257214901</v>
      </c>
      <c r="F247" s="22">
        <f>E247-G247</f>
        <v>267919.97257214901</v>
      </c>
      <c r="G247" s="22">
        <v>1000</v>
      </c>
      <c r="H247" s="23">
        <v>243</v>
      </c>
      <c r="Z247">
        <v>183036.55167498899</v>
      </c>
    </row>
    <row r="248" spans="2:26" x14ac:dyDescent="0.25">
      <c r="B248" s="22">
        <f t="shared" si="12"/>
        <v>267919.97257214901</v>
      </c>
      <c r="C248" s="21">
        <v>0.03</v>
      </c>
      <c r="D248" s="22">
        <f t="shared" si="10"/>
        <v>669.79993143037257</v>
      </c>
      <c r="E248" s="22">
        <f t="shared" si="11"/>
        <v>268589.77250357938</v>
      </c>
      <c r="F248" s="22">
        <f>E248-G248</f>
        <v>267589.77250357938</v>
      </c>
      <c r="G248" s="22">
        <v>1000</v>
      </c>
      <c r="H248" s="23">
        <v>244</v>
      </c>
      <c r="Z248">
        <v>183577.60765584937</v>
      </c>
    </row>
    <row r="249" spans="2:26" x14ac:dyDescent="0.25">
      <c r="B249" s="22">
        <f t="shared" si="12"/>
        <v>267589.77250357938</v>
      </c>
      <c r="C249" s="21">
        <v>0.03</v>
      </c>
      <c r="D249" s="22">
        <f t="shared" si="10"/>
        <v>668.97443125894847</v>
      </c>
      <c r="E249" s="22">
        <f t="shared" si="11"/>
        <v>268258.74693483836</v>
      </c>
      <c r="F249" s="22">
        <f>E249-G249</f>
        <v>267258.74693483836</v>
      </c>
      <c r="G249" s="22">
        <v>1000</v>
      </c>
      <c r="H249" s="23">
        <v>245</v>
      </c>
      <c r="Z249">
        <v>184117.31436992457</v>
      </c>
    </row>
    <row r="250" spans="2:26" x14ac:dyDescent="0.25">
      <c r="B250" s="22">
        <f t="shared" si="12"/>
        <v>267258.74693483836</v>
      </c>
      <c r="C250" s="21">
        <v>0.03</v>
      </c>
      <c r="D250" s="22">
        <f t="shared" si="10"/>
        <v>668.14686733709596</v>
      </c>
      <c r="E250" s="22">
        <f t="shared" si="11"/>
        <v>267926.89380217547</v>
      </c>
      <c r="F250" s="22">
        <f>E250-G250</f>
        <v>266926.89380217547</v>
      </c>
      <c r="G250" s="22">
        <v>1000</v>
      </c>
      <c r="H250" s="23">
        <v>246</v>
      </c>
      <c r="Z250">
        <v>184655.67518196962</v>
      </c>
    </row>
    <row r="251" spans="2:26" x14ac:dyDescent="0.25">
      <c r="B251" s="22">
        <f t="shared" si="12"/>
        <v>266926.89380217547</v>
      </c>
      <c r="C251" s="21">
        <v>0.03</v>
      </c>
      <c r="D251" s="22">
        <f t="shared" si="10"/>
        <v>667.31723450543871</v>
      </c>
      <c r="E251" s="22">
        <f t="shared" si="11"/>
        <v>267594.21103668091</v>
      </c>
      <c r="F251" s="22">
        <f>E251-G251</f>
        <v>266594.21103668091</v>
      </c>
      <c r="G251" s="22">
        <v>1000</v>
      </c>
      <c r="H251" s="23">
        <v>247</v>
      </c>
      <c r="Z251">
        <v>185192.69344834873</v>
      </c>
    </row>
    <row r="252" spans="2:26" x14ac:dyDescent="0.25">
      <c r="B252" s="22">
        <f t="shared" si="12"/>
        <v>266594.21103668091</v>
      </c>
      <c r="C252" s="21">
        <v>0.03</v>
      </c>
      <c r="D252" s="22">
        <f t="shared" si="10"/>
        <v>666.48552759170229</v>
      </c>
      <c r="E252" s="22">
        <f t="shared" si="11"/>
        <v>267260.69656427263</v>
      </c>
      <c r="F252" s="22">
        <f>E252-G252</f>
        <v>266260.69656427263</v>
      </c>
      <c r="G252" s="22">
        <v>1000</v>
      </c>
      <c r="H252" s="23">
        <v>248</v>
      </c>
      <c r="Z252">
        <v>185728.37251705606</v>
      </c>
    </row>
    <row r="253" spans="2:26" x14ac:dyDescent="0.25">
      <c r="B253" s="22">
        <f t="shared" si="12"/>
        <v>266260.69656427263</v>
      </c>
      <c r="C253" s="21">
        <v>0.03</v>
      </c>
      <c r="D253" s="22">
        <f t="shared" si="10"/>
        <v>665.65174141068155</v>
      </c>
      <c r="E253" s="22">
        <f t="shared" si="11"/>
        <v>266926.34830568329</v>
      </c>
      <c r="F253" s="22">
        <f>E253-G253</f>
        <v>265926.34830568329</v>
      </c>
      <c r="G253" s="22">
        <v>1000</v>
      </c>
      <c r="H253" s="23">
        <v>249</v>
      </c>
      <c r="Z253">
        <v>186262.71572773674</v>
      </c>
    </row>
    <row r="254" spans="2:26" x14ac:dyDescent="0.25">
      <c r="B254" s="22">
        <f t="shared" si="12"/>
        <v>265926.34830568329</v>
      </c>
      <c r="C254" s="21">
        <v>0.03</v>
      </c>
      <c r="D254" s="22">
        <f t="shared" si="10"/>
        <v>664.81587076420828</v>
      </c>
      <c r="E254" s="22">
        <f t="shared" si="11"/>
        <v>266591.16417644749</v>
      </c>
      <c r="F254" s="22">
        <f>E254-G254</f>
        <v>265591.16417644749</v>
      </c>
      <c r="G254" s="22">
        <v>1000</v>
      </c>
      <c r="H254" s="23">
        <v>250</v>
      </c>
      <c r="Z254">
        <v>186795.72641170747</v>
      </c>
    </row>
    <row r="255" spans="2:26" x14ac:dyDescent="0.25">
      <c r="B255" s="22">
        <f t="shared" si="12"/>
        <v>265591.16417644749</v>
      </c>
      <c r="C255" s="21">
        <v>0.03</v>
      </c>
      <c r="D255" s="22">
        <f t="shared" si="10"/>
        <v>663.97791044111875</v>
      </c>
      <c r="E255" s="22">
        <f t="shared" si="11"/>
        <v>266255.14208688861</v>
      </c>
      <c r="F255" s="22">
        <f>E255-G255</f>
        <v>265255.14208688861</v>
      </c>
      <c r="G255" s="22">
        <v>1000</v>
      </c>
      <c r="H255" s="23">
        <v>251</v>
      </c>
      <c r="Z255">
        <v>187327.40789197749</v>
      </c>
    </row>
    <row r="256" spans="2:26" x14ac:dyDescent="0.25">
      <c r="B256" s="22">
        <f t="shared" si="12"/>
        <v>265255.14208688861</v>
      </c>
      <c r="C256" s="21">
        <v>0.03</v>
      </c>
      <c r="D256" s="22">
        <f t="shared" si="10"/>
        <v>663.1378552172215</v>
      </c>
      <c r="E256" s="22">
        <f t="shared" si="11"/>
        <v>265918.27994210582</v>
      </c>
      <c r="F256" s="22">
        <f>E256-G256</f>
        <v>264918.27994210582</v>
      </c>
      <c r="G256" s="22">
        <v>1000</v>
      </c>
      <c r="H256" s="23">
        <v>252</v>
      </c>
      <c r="Z256">
        <v>187857.76348326931</v>
      </c>
    </row>
    <row r="257" spans="2:26" x14ac:dyDescent="0.25">
      <c r="B257" s="22">
        <f t="shared" si="12"/>
        <v>264918.27994210582</v>
      </c>
      <c r="C257" s="21">
        <v>0.03</v>
      </c>
      <c r="D257" s="22">
        <f t="shared" si="10"/>
        <v>662.2956998552645</v>
      </c>
      <c r="E257" s="22">
        <f t="shared" si="11"/>
        <v>265580.57564196107</v>
      </c>
      <c r="F257" s="22">
        <f>E257-G257</f>
        <v>264580.57564196107</v>
      </c>
      <c r="G257" s="22">
        <v>1000</v>
      </c>
      <c r="H257" s="23">
        <v>253</v>
      </c>
      <c r="Z257">
        <v>188386.7964920392</v>
      </c>
    </row>
    <row r="258" spans="2:26" x14ac:dyDescent="0.25">
      <c r="B258" s="22">
        <f t="shared" si="12"/>
        <v>264580.57564196107</v>
      </c>
      <c r="C258" s="21">
        <v>0.03</v>
      </c>
      <c r="D258" s="22">
        <f t="shared" si="10"/>
        <v>661.45143910490265</v>
      </c>
      <c r="E258" s="22">
        <f t="shared" si="11"/>
        <v>265242.02708106599</v>
      </c>
      <c r="F258" s="22">
        <f>E258-G258</f>
        <v>264242.02708106599</v>
      </c>
      <c r="G258" s="22">
        <v>1000</v>
      </c>
      <c r="H258" s="23">
        <v>254</v>
      </c>
      <c r="Z258">
        <v>188914.51021649796</v>
      </c>
    </row>
    <row r="259" spans="2:26" x14ac:dyDescent="0.25">
      <c r="B259" s="22">
        <f t="shared" si="12"/>
        <v>264242.02708106599</v>
      </c>
      <c r="C259" s="21">
        <v>0.03</v>
      </c>
      <c r="D259" s="22">
        <f t="shared" si="10"/>
        <v>660.605067702665</v>
      </c>
      <c r="E259" s="22">
        <f t="shared" si="11"/>
        <v>264902.63214876864</v>
      </c>
      <c r="F259" s="22">
        <f>E259-G259</f>
        <v>263902.63214876864</v>
      </c>
      <c r="G259" s="22">
        <v>1000</v>
      </c>
      <c r="H259" s="23">
        <v>255</v>
      </c>
      <c r="Z259">
        <v>189440.90794663137</v>
      </c>
    </row>
    <row r="260" spans="2:26" x14ac:dyDescent="0.25">
      <c r="B260" s="22">
        <f t="shared" si="12"/>
        <v>263902.63214876864</v>
      </c>
      <c r="C260" s="21">
        <v>0.03</v>
      </c>
      <c r="D260" s="22">
        <f t="shared" si="10"/>
        <v>659.75658037192159</v>
      </c>
      <c r="E260" s="22">
        <f t="shared" si="11"/>
        <v>264562.38872914057</v>
      </c>
      <c r="F260" s="22">
        <f>E260-G260</f>
        <v>263562.38872914057</v>
      </c>
      <c r="G260" s="22">
        <v>1000</v>
      </c>
      <c r="H260" s="23">
        <v>256</v>
      </c>
      <c r="Z260">
        <v>189965.99296422079</v>
      </c>
    </row>
    <row r="261" spans="2:26" x14ac:dyDescent="0.25">
      <c r="B261" s="22">
        <f t="shared" si="12"/>
        <v>263562.38872914057</v>
      </c>
      <c r="C261" s="21">
        <v>0.03</v>
      </c>
      <c r="D261" s="22">
        <f t="shared" si="10"/>
        <v>658.90597182285148</v>
      </c>
      <c r="E261" s="22">
        <f t="shared" si="11"/>
        <v>264221.29470096342</v>
      </c>
      <c r="F261" s="22">
        <f>E261-G261</f>
        <v>263221.29470096342</v>
      </c>
      <c r="G261" s="22">
        <v>1000</v>
      </c>
      <c r="H261" s="23">
        <v>257</v>
      </c>
      <c r="Z261">
        <v>190489.7685428636</v>
      </c>
    </row>
    <row r="262" spans="2:26" x14ac:dyDescent="0.25">
      <c r="B262" s="22">
        <f t="shared" si="12"/>
        <v>263221.29470096342</v>
      </c>
      <c r="C262" s="21">
        <v>0.03</v>
      </c>
      <c r="D262" s="22">
        <f t="shared" ref="D262:D325" si="13">B262*(0.03/12)</f>
        <v>658.05323675240857</v>
      </c>
      <c r="E262" s="22">
        <f t="shared" si="11"/>
        <v>263879.34793771582</v>
      </c>
      <c r="F262" s="22">
        <f>E262-G262</f>
        <v>262879.34793771582</v>
      </c>
      <c r="G262" s="22">
        <v>1000</v>
      </c>
      <c r="H262" s="23">
        <v>258</v>
      </c>
      <c r="Z262">
        <v>191012.23794799362</v>
      </c>
    </row>
    <row r="263" spans="2:26" x14ac:dyDescent="0.25">
      <c r="B263" s="22">
        <f t="shared" si="12"/>
        <v>262879.34793771582</v>
      </c>
      <c r="C263" s="21">
        <v>0.03</v>
      </c>
      <c r="D263" s="22">
        <f t="shared" si="13"/>
        <v>657.19836984428957</v>
      </c>
      <c r="E263" s="22">
        <f t="shared" ref="E263:E326" si="14">B263+D263</f>
        <v>263536.54630756011</v>
      </c>
      <c r="F263" s="22">
        <f>E263-G263</f>
        <v>262536.54630756011</v>
      </c>
      <c r="G263" s="22">
        <v>1000</v>
      </c>
      <c r="H263" s="23">
        <v>259</v>
      </c>
      <c r="Z263">
        <v>191533.40443690139</v>
      </c>
    </row>
    <row r="264" spans="2:26" x14ac:dyDescent="0.25">
      <c r="B264" s="22">
        <f t="shared" si="12"/>
        <v>262536.54630756011</v>
      </c>
      <c r="C264" s="21">
        <v>0.03</v>
      </c>
      <c r="D264" s="22">
        <f t="shared" si="13"/>
        <v>656.34136576890035</v>
      </c>
      <c r="E264" s="22">
        <f t="shared" si="14"/>
        <v>263192.88767332904</v>
      </c>
      <c r="F264" s="22">
        <f>E264-G264</f>
        <v>262192.88767332904</v>
      </c>
      <c r="G264" s="22">
        <v>1000</v>
      </c>
      <c r="H264" s="23">
        <v>260</v>
      </c>
      <c r="Z264">
        <v>192053.27125875445</v>
      </c>
    </row>
    <row r="265" spans="2:26" x14ac:dyDescent="0.25">
      <c r="B265" s="22">
        <f t="shared" si="12"/>
        <v>262192.88767332904</v>
      </c>
      <c r="C265" s="21">
        <v>0.03</v>
      </c>
      <c r="D265" s="22">
        <f t="shared" si="13"/>
        <v>655.48221918332263</v>
      </c>
      <c r="E265" s="22">
        <f t="shared" si="14"/>
        <v>262848.36989251233</v>
      </c>
      <c r="F265" s="22">
        <f>E265-G265</f>
        <v>261848.36989251233</v>
      </c>
      <c r="G265" s="22">
        <v>1000</v>
      </c>
      <c r="H265" s="23">
        <v>261</v>
      </c>
      <c r="Z265">
        <v>192571.84165461792</v>
      </c>
    </row>
    <row r="266" spans="2:26" x14ac:dyDescent="0.25">
      <c r="B266" s="22">
        <f t="shared" si="12"/>
        <v>261848.36989251233</v>
      </c>
      <c r="C266" s="21">
        <v>0.03</v>
      </c>
      <c r="D266" s="22">
        <f t="shared" si="13"/>
        <v>654.62092473128087</v>
      </c>
      <c r="E266" s="22">
        <f t="shared" si="14"/>
        <v>262502.99081724364</v>
      </c>
      <c r="F266" s="22">
        <f>E266-G266</f>
        <v>261502.99081724364</v>
      </c>
      <c r="G266" s="22">
        <v>1000</v>
      </c>
      <c r="H266" s="23">
        <v>262</v>
      </c>
      <c r="Z266">
        <v>193089.11885747424</v>
      </c>
    </row>
    <row r="267" spans="2:26" x14ac:dyDescent="0.25">
      <c r="B267" s="22">
        <f t="shared" si="12"/>
        <v>261502.99081724364</v>
      </c>
      <c r="C267" s="21">
        <v>0.03</v>
      </c>
      <c r="D267" s="22">
        <f t="shared" si="13"/>
        <v>653.75747704310913</v>
      </c>
      <c r="E267" s="22">
        <f t="shared" si="14"/>
        <v>262156.74829428672</v>
      </c>
      <c r="F267" s="22">
        <f>E267-G267</f>
        <v>261156.74829428672</v>
      </c>
      <c r="G267" s="22">
        <v>1000</v>
      </c>
      <c r="H267" s="23">
        <v>263</v>
      </c>
      <c r="Z267">
        <v>193605.1060922436</v>
      </c>
    </row>
    <row r="268" spans="2:26" x14ac:dyDescent="0.25">
      <c r="B268" s="22">
        <f t="shared" si="12"/>
        <v>261156.74829428672</v>
      </c>
      <c r="C268" s="21">
        <v>0.03</v>
      </c>
      <c r="D268" s="22">
        <f t="shared" si="13"/>
        <v>652.89187073571679</v>
      </c>
      <c r="E268" s="22">
        <f t="shared" si="14"/>
        <v>261809.64016502243</v>
      </c>
      <c r="F268" s="22">
        <f>E268-G268</f>
        <v>260809.64016502243</v>
      </c>
      <c r="G268" s="22">
        <v>1000</v>
      </c>
      <c r="H268" s="23">
        <v>264</v>
      </c>
      <c r="Z268">
        <v>194119.80657580408</v>
      </c>
    </row>
    <row r="269" spans="2:26" x14ac:dyDescent="0.25">
      <c r="B269" s="22">
        <f t="shared" si="12"/>
        <v>260809.64016502243</v>
      </c>
      <c r="C269" s="21">
        <v>0.03</v>
      </c>
      <c r="D269" s="22">
        <f t="shared" si="13"/>
        <v>652.02410041255609</v>
      </c>
      <c r="E269" s="22">
        <f t="shared" si="14"/>
        <v>261461.66426543499</v>
      </c>
      <c r="F269" s="22">
        <f>E269-G269</f>
        <v>260461.66426543499</v>
      </c>
      <c r="G269" s="22">
        <v>1000</v>
      </c>
      <c r="H269" s="23">
        <v>265</v>
      </c>
      <c r="Z269">
        <v>194633.22351701153</v>
      </c>
    </row>
    <row r="270" spans="2:26" x14ac:dyDescent="0.25">
      <c r="B270" s="22">
        <f t="shared" si="12"/>
        <v>260461.66426543499</v>
      </c>
      <c r="C270" s="21">
        <v>0.03</v>
      </c>
      <c r="D270" s="22">
        <f t="shared" si="13"/>
        <v>651.1541606635875</v>
      </c>
      <c r="E270" s="22">
        <f t="shared" si="14"/>
        <v>261112.81842609859</v>
      </c>
      <c r="F270" s="22">
        <f>E270-G270</f>
        <v>260112.81842609859</v>
      </c>
      <c r="G270" s="22">
        <v>1000</v>
      </c>
      <c r="H270" s="23">
        <v>266</v>
      </c>
      <c r="Z270">
        <v>195145.36011671973</v>
      </c>
    </row>
    <row r="271" spans="2:26" x14ac:dyDescent="0.25">
      <c r="B271" s="22">
        <f t="shared" si="12"/>
        <v>260112.81842609859</v>
      </c>
      <c r="C271" s="21">
        <v>0.03</v>
      </c>
      <c r="D271" s="22">
        <f t="shared" si="13"/>
        <v>650.2820460652465</v>
      </c>
      <c r="E271" s="22">
        <f t="shared" si="14"/>
        <v>260763.10047216385</v>
      </c>
      <c r="F271" s="22">
        <f>E271-G271</f>
        <v>259763.10047216385</v>
      </c>
      <c r="G271" s="22">
        <v>1000</v>
      </c>
      <c r="H271" s="23">
        <v>267</v>
      </c>
      <c r="Z271">
        <v>195656.2195678002</v>
      </c>
    </row>
    <row r="272" spans="2:26" x14ac:dyDescent="0.25">
      <c r="B272" s="22">
        <f t="shared" si="12"/>
        <v>259763.10047216385</v>
      </c>
      <c r="C272" s="21">
        <v>0.03</v>
      </c>
      <c r="D272" s="22">
        <f t="shared" si="13"/>
        <v>649.4077511804096</v>
      </c>
      <c r="E272" s="22">
        <f t="shared" si="14"/>
        <v>260412.50822334425</v>
      </c>
      <c r="F272" s="22">
        <f>E272-G272</f>
        <v>259412.50822334425</v>
      </c>
      <c r="G272" s="22">
        <v>1000</v>
      </c>
      <c r="H272" s="23">
        <v>268</v>
      </c>
      <c r="Z272">
        <v>196165.80505516232</v>
      </c>
    </row>
    <row r="273" spans="2:26" x14ac:dyDescent="0.25">
      <c r="B273" s="22">
        <f t="shared" si="12"/>
        <v>259412.50822334425</v>
      </c>
      <c r="C273" s="21">
        <v>0.03</v>
      </c>
      <c r="D273" s="22">
        <f t="shared" si="13"/>
        <v>648.53127055836069</v>
      </c>
      <c r="E273" s="22">
        <f t="shared" si="14"/>
        <v>260061.03949390262</v>
      </c>
      <c r="F273" s="22">
        <f>E273-G273</f>
        <v>259061.03949390262</v>
      </c>
      <c r="G273" s="22">
        <v>1000</v>
      </c>
      <c r="H273" s="23">
        <v>269</v>
      </c>
      <c r="Z273">
        <v>196674.11975577284</v>
      </c>
    </row>
    <row r="274" spans="2:26" x14ac:dyDescent="0.25">
      <c r="B274" s="22">
        <f t="shared" si="12"/>
        <v>259061.03949390262</v>
      </c>
      <c r="C274" s="21">
        <v>0.03</v>
      </c>
      <c r="D274" s="22">
        <f t="shared" si="13"/>
        <v>647.65259873475657</v>
      </c>
      <c r="E274" s="22">
        <f t="shared" si="14"/>
        <v>259708.69209263739</v>
      </c>
      <c r="F274" s="22">
        <f>E274-G274</f>
        <v>258708.69209263739</v>
      </c>
      <c r="G274" s="22">
        <v>1000</v>
      </c>
      <c r="H274" s="23">
        <v>270</v>
      </c>
      <c r="Z274">
        <v>197181.16683867617</v>
      </c>
    </row>
    <row r="275" spans="2:26" x14ac:dyDescent="0.25">
      <c r="B275" s="22">
        <f t="shared" si="12"/>
        <v>258708.69209263739</v>
      </c>
      <c r="C275" s="21">
        <v>0.03</v>
      </c>
      <c r="D275" s="22">
        <f t="shared" si="13"/>
        <v>646.77173023159344</v>
      </c>
      <c r="E275" s="22">
        <f t="shared" si="14"/>
        <v>259355.46382286897</v>
      </c>
      <c r="F275" s="22">
        <f>E275-G275</f>
        <v>258355.46382286897</v>
      </c>
      <c r="G275" s="22">
        <v>1000</v>
      </c>
      <c r="H275" s="23">
        <v>271</v>
      </c>
      <c r="Z275">
        <v>197686.9494650136</v>
      </c>
    </row>
    <row r="276" spans="2:26" x14ac:dyDescent="0.25">
      <c r="B276" s="22">
        <f t="shared" si="12"/>
        <v>258355.46382286897</v>
      </c>
      <c r="C276" s="21">
        <v>0.03</v>
      </c>
      <c r="D276" s="22">
        <f t="shared" si="13"/>
        <v>645.88865955717245</v>
      </c>
      <c r="E276" s="22">
        <f t="shared" si="14"/>
        <v>259001.35248242615</v>
      </c>
      <c r="F276" s="22">
        <f>E276-G276</f>
        <v>258001.35248242615</v>
      </c>
      <c r="G276" s="22">
        <v>1000</v>
      </c>
      <c r="H276" s="23">
        <v>272</v>
      </c>
      <c r="Z276">
        <v>198191.47078804349</v>
      </c>
    </row>
    <row r="277" spans="2:26" x14ac:dyDescent="0.25">
      <c r="B277" s="22">
        <f t="shared" si="12"/>
        <v>258001.35248242615</v>
      </c>
      <c r="C277" s="21">
        <v>0.03</v>
      </c>
      <c r="D277" s="22">
        <f t="shared" si="13"/>
        <v>645.00338120606546</v>
      </c>
      <c r="E277" s="22">
        <f t="shared" si="14"/>
        <v>258646.35586363223</v>
      </c>
      <c r="F277" s="22">
        <f>E277-G277</f>
        <v>257646.35586363223</v>
      </c>
      <c r="G277" s="22">
        <v>1000</v>
      </c>
      <c r="H277" s="23">
        <v>273</v>
      </c>
      <c r="Z277">
        <v>198694.73395316058</v>
      </c>
    </row>
    <row r="278" spans="2:26" x14ac:dyDescent="0.25">
      <c r="B278" s="22">
        <f t="shared" si="12"/>
        <v>257646.35586363223</v>
      </c>
      <c r="C278" s="21">
        <v>0.03</v>
      </c>
      <c r="D278" s="22">
        <f t="shared" si="13"/>
        <v>644.11588965908061</v>
      </c>
      <c r="E278" s="22">
        <f t="shared" si="14"/>
        <v>258290.47175329132</v>
      </c>
      <c r="F278" s="22">
        <f>E278-G278</f>
        <v>257290.47175329132</v>
      </c>
      <c r="G278" s="22">
        <v>1000</v>
      </c>
      <c r="H278" s="23">
        <v>274</v>
      </c>
      <c r="Z278">
        <v>199196.74209791579</v>
      </c>
    </row>
    <row r="279" spans="2:26" x14ac:dyDescent="0.25">
      <c r="B279" s="22">
        <f t="shared" si="12"/>
        <v>257290.47175329132</v>
      </c>
      <c r="C279" s="21">
        <v>0.03</v>
      </c>
      <c r="D279" s="22">
        <f t="shared" si="13"/>
        <v>643.22617938322833</v>
      </c>
      <c r="E279" s="22">
        <f t="shared" si="14"/>
        <v>257933.69793267455</v>
      </c>
      <c r="F279" s="22">
        <f>E279-G279</f>
        <v>256933.69793267455</v>
      </c>
      <c r="G279" s="22">
        <v>1000</v>
      </c>
      <c r="H279" s="23">
        <v>275</v>
      </c>
      <c r="Z279">
        <v>199697.49835203571</v>
      </c>
    </row>
    <row r="280" spans="2:26" x14ac:dyDescent="0.25">
      <c r="B280" s="22">
        <f t="shared" si="12"/>
        <v>256933.69793267455</v>
      </c>
      <c r="C280" s="21">
        <v>0.03</v>
      </c>
      <c r="D280" s="22">
        <f t="shared" si="13"/>
        <v>642.33424483168642</v>
      </c>
      <c r="E280" s="22">
        <f t="shared" si="14"/>
        <v>257576.03217750625</v>
      </c>
      <c r="F280" s="22">
        <f>E280-G280</f>
        <v>256576.03217750625</v>
      </c>
      <c r="G280" s="22">
        <v>1000</v>
      </c>
      <c r="H280" s="23">
        <v>276</v>
      </c>
      <c r="Z280">
        <v>200197.00583744209</v>
      </c>
    </row>
    <row r="281" spans="2:26" x14ac:dyDescent="0.25">
      <c r="B281" s="22">
        <f t="shared" si="12"/>
        <v>256576.03217750625</v>
      </c>
      <c r="C281" s="21">
        <v>0.03</v>
      </c>
      <c r="D281" s="22">
        <f t="shared" si="13"/>
        <v>641.44008044376562</v>
      </c>
      <c r="E281" s="22">
        <f t="shared" si="14"/>
        <v>257217.47225795002</v>
      </c>
      <c r="F281" s="22">
        <f>E281-G281</f>
        <v>256217.47225795002</v>
      </c>
      <c r="G281" s="22">
        <v>1000</v>
      </c>
      <c r="H281" s="23">
        <v>277</v>
      </c>
      <c r="Z281">
        <v>200695.26766827135</v>
      </c>
    </row>
    <row r="282" spans="2:26" x14ac:dyDescent="0.25">
      <c r="B282" s="22">
        <f t="shared" si="12"/>
        <v>256217.47225795002</v>
      </c>
      <c r="C282" s="21">
        <v>0.03</v>
      </c>
      <c r="D282" s="22">
        <f t="shared" si="13"/>
        <v>640.54368064487505</v>
      </c>
      <c r="E282" s="22">
        <f t="shared" si="14"/>
        <v>256858.01593859491</v>
      </c>
      <c r="F282" s="22">
        <f>E282-G282</f>
        <v>255858.01593859491</v>
      </c>
      <c r="G282" s="22">
        <v>1000</v>
      </c>
      <c r="H282" s="23">
        <v>278</v>
      </c>
      <c r="Z282">
        <v>201192.28695089414</v>
      </c>
    </row>
    <row r="283" spans="2:26" x14ac:dyDescent="0.25">
      <c r="B283" s="22">
        <f t="shared" si="12"/>
        <v>255858.01593859491</v>
      </c>
      <c r="C283" s="21">
        <v>0.03</v>
      </c>
      <c r="D283" s="22">
        <f t="shared" si="13"/>
        <v>639.64503984648729</v>
      </c>
      <c r="E283" s="22">
        <f t="shared" si="14"/>
        <v>256497.66097844139</v>
      </c>
      <c r="F283" s="22">
        <f>E283-G283</f>
        <v>255497.66097844139</v>
      </c>
      <c r="G283" s="22">
        <v>1000</v>
      </c>
      <c r="H283" s="23">
        <v>279</v>
      </c>
      <c r="Z283">
        <v>201688.06678393431</v>
      </c>
    </row>
    <row r="284" spans="2:26" x14ac:dyDescent="0.25">
      <c r="B284" s="22">
        <f t="shared" si="12"/>
        <v>255497.66097844139</v>
      </c>
      <c r="C284" s="21">
        <v>0.03</v>
      </c>
      <c r="D284" s="22">
        <f t="shared" si="13"/>
        <v>638.7441524461035</v>
      </c>
      <c r="E284" s="22">
        <f t="shared" si="14"/>
        <v>256136.40513088749</v>
      </c>
      <c r="F284" s="22">
        <f>E284-G284</f>
        <v>255136.40513088749</v>
      </c>
      <c r="G284" s="22">
        <v>1000</v>
      </c>
      <c r="H284" s="23">
        <v>280</v>
      </c>
      <c r="Z284">
        <v>202182.61025828851</v>
      </c>
    </row>
    <row r="285" spans="2:26" x14ac:dyDescent="0.25">
      <c r="B285" s="22">
        <f t="shared" ref="B285:B340" si="15">F284</f>
        <v>255136.40513088749</v>
      </c>
      <c r="C285" s="21">
        <v>0.03</v>
      </c>
      <c r="D285" s="22">
        <f t="shared" si="13"/>
        <v>637.84101282721872</v>
      </c>
      <c r="E285" s="22">
        <f t="shared" si="14"/>
        <v>255774.2461437147</v>
      </c>
      <c r="F285" s="22">
        <f>E285-G285</f>
        <v>254774.2461437147</v>
      </c>
      <c r="G285" s="22">
        <v>1000</v>
      </c>
      <c r="H285" s="23">
        <v>281</v>
      </c>
      <c r="Z285">
        <v>202675.92045714569</v>
      </c>
    </row>
    <row r="286" spans="2:26" x14ac:dyDescent="0.25">
      <c r="B286" s="22">
        <f t="shared" si="15"/>
        <v>254774.2461437147</v>
      </c>
      <c r="C286" s="21">
        <v>0.03</v>
      </c>
      <c r="D286" s="22">
        <f t="shared" si="13"/>
        <v>636.93561535928677</v>
      </c>
      <c r="E286" s="22">
        <f t="shared" si="14"/>
        <v>255411.18175907398</v>
      </c>
      <c r="F286" s="22">
        <f>E286-G286</f>
        <v>254411.18175907398</v>
      </c>
      <c r="G286" s="22">
        <v>1000</v>
      </c>
      <c r="H286" s="23">
        <v>282</v>
      </c>
      <c r="Z286">
        <v>203168.00045600563</v>
      </c>
    </row>
    <row r="287" spans="2:26" x14ac:dyDescent="0.25">
      <c r="B287" s="22">
        <f t="shared" si="15"/>
        <v>254411.18175907398</v>
      </c>
      <c r="C287" s="21">
        <v>0.03</v>
      </c>
      <c r="D287" s="22">
        <f t="shared" si="13"/>
        <v>636.02795439768499</v>
      </c>
      <c r="E287" s="22">
        <f t="shared" si="14"/>
        <v>255047.20971347168</v>
      </c>
      <c r="F287" s="22">
        <f>E287-G287</f>
        <v>254047.20971347168</v>
      </c>
      <c r="G287" s="22">
        <v>1000</v>
      </c>
      <c r="H287" s="23">
        <v>283</v>
      </c>
      <c r="Z287">
        <v>203658.85332269888</v>
      </c>
    </row>
    <row r="288" spans="2:26" x14ac:dyDescent="0.25">
      <c r="B288" s="22">
        <f t="shared" si="15"/>
        <v>254047.20971347168</v>
      </c>
      <c r="C288" s="21">
        <v>0.03</v>
      </c>
      <c r="D288" s="22">
        <f t="shared" si="13"/>
        <v>635.11802428367923</v>
      </c>
      <c r="E288" s="22">
        <f t="shared" si="14"/>
        <v>254682.32773775535</v>
      </c>
      <c r="F288" s="22">
        <f>E288-G288</f>
        <v>253682.32773775535</v>
      </c>
      <c r="G288" s="22">
        <v>1000</v>
      </c>
      <c r="H288" s="23">
        <v>284</v>
      </c>
      <c r="Z288">
        <v>204148.48211740536</v>
      </c>
    </row>
    <row r="289" spans="2:26" x14ac:dyDescent="0.25">
      <c r="B289" s="22">
        <f t="shared" si="15"/>
        <v>253682.32773775535</v>
      </c>
      <c r="C289" s="21">
        <v>0.03</v>
      </c>
      <c r="D289" s="22">
        <f t="shared" si="13"/>
        <v>634.20581934438837</v>
      </c>
      <c r="E289" s="22">
        <f t="shared" si="14"/>
        <v>254316.53355709973</v>
      </c>
      <c r="F289" s="22">
        <f>E289-G289</f>
        <v>253316.53355709973</v>
      </c>
      <c r="G289" s="22">
        <v>1000</v>
      </c>
      <c r="H289" s="23">
        <v>285</v>
      </c>
      <c r="Z289">
        <v>204636.88989267367</v>
      </c>
    </row>
    <row r="290" spans="2:26" x14ac:dyDescent="0.25">
      <c r="B290" s="22">
        <f t="shared" si="15"/>
        <v>253316.53355709973</v>
      </c>
      <c r="C290" s="21">
        <v>0.03</v>
      </c>
      <c r="D290" s="22">
        <f t="shared" si="13"/>
        <v>633.29133389274932</v>
      </c>
      <c r="E290" s="22">
        <f t="shared" si="14"/>
        <v>253949.82489099249</v>
      </c>
      <c r="F290" s="22">
        <f>E290-G290</f>
        <v>252949.82489099249</v>
      </c>
      <c r="G290" s="22">
        <v>1000</v>
      </c>
      <c r="H290" s="23">
        <v>286</v>
      </c>
      <c r="Z290">
        <v>205124.07969344009</v>
      </c>
    </row>
    <row r="291" spans="2:26" x14ac:dyDescent="0.25">
      <c r="B291" s="22">
        <f t="shared" si="15"/>
        <v>252949.82489099249</v>
      </c>
      <c r="C291" s="21">
        <v>0.03</v>
      </c>
      <c r="D291" s="22">
        <f t="shared" si="13"/>
        <v>632.37456222748119</v>
      </c>
      <c r="E291" s="22">
        <f t="shared" si="14"/>
        <v>253582.19945321998</v>
      </c>
      <c r="F291" s="22">
        <f>E291-G291</f>
        <v>252582.19945321998</v>
      </c>
      <c r="G291" s="22">
        <v>1000</v>
      </c>
      <c r="H291" s="23">
        <v>287</v>
      </c>
      <c r="Z291">
        <v>205610.05455704744</v>
      </c>
    </row>
    <row r="292" spans="2:26" x14ac:dyDescent="0.25">
      <c r="B292" s="22">
        <f t="shared" si="15"/>
        <v>252582.19945321998</v>
      </c>
      <c r="C292" s="21">
        <v>0.03</v>
      </c>
      <c r="D292" s="22">
        <f t="shared" si="13"/>
        <v>631.45549863304996</v>
      </c>
      <c r="E292" s="22">
        <f t="shared" si="14"/>
        <v>253213.65495185304</v>
      </c>
      <c r="F292" s="22">
        <f>E292-G292</f>
        <v>252213.65495185304</v>
      </c>
      <c r="G292" s="22">
        <v>1000</v>
      </c>
      <c r="H292" s="23">
        <v>288</v>
      </c>
      <c r="Z292">
        <v>206094.81751326425</v>
      </c>
    </row>
    <row r="293" spans="2:26" x14ac:dyDescent="0.25">
      <c r="B293" s="22">
        <f t="shared" si="15"/>
        <v>252213.65495185304</v>
      </c>
      <c r="C293" s="21">
        <v>0.03</v>
      </c>
      <c r="D293" s="22">
        <f t="shared" si="13"/>
        <v>630.53413737963263</v>
      </c>
      <c r="E293" s="22">
        <f t="shared" si="14"/>
        <v>252844.18908923268</v>
      </c>
      <c r="F293" s="22">
        <f>E293-G293</f>
        <v>251844.18908923268</v>
      </c>
      <c r="G293" s="22">
        <v>1000</v>
      </c>
      <c r="H293" s="23">
        <v>289</v>
      </c>
      <c r="Z293">
        <v>206578.37158430353</v>
      </c>
    </row>
    <row r="294" spans="2:26" x14ac:dyDescent="0.25">
      <c r="B294" s="22">
        <f t="shared" si="15"/>
        <v>251844.18908923268</v>
      </c>
      <c r="C294" s="21">
        <v>0.03</v>
      </c>
      <c r="D294" s="22">
        <f t="shared" si="13"/>
        <v>629.61047272308167</v>
      </c>
      <c r="E294" s="22">
        <f t="shared" si="14"/>
        <v>252473.79956195576</v>
      </c>
      <c r="F294" s="22">
        <f>E294-G294</f>
        <v>251473.79956195576</v>
      </c>
      <c r="G294" s="22">
        <v>1000</v>
      </c>
      <c r="H294" s="23">
        <v>290</v>
      </c>
      <c r="Z294">
        <v>207060.71978484138</v>
      </c>
    </row>
    <row r="295" spans="2:26" x14ac:dyDescent="0.25">
      <c r="B295" s="22">
        <f t="shared" si="15"/>
        <v>251473.79956195576</v>
      </c>
      <c r="C295" s="21">
        <v>0.03</v>
      </c>
      <c r="D295" s="22">
        <f t="shared" si="13"/>
        <v>628.68449890488944</v>
      </c>
      <c r="E295" s="22">
        <f t="shared" si="14"/>
        <v>252102.48406086065</v>
      </c>
      <c r="F295" s="22">
        <f>E295-G295</f>
        <v>251102.48406086065</v>
      </c>
      <c r="G295" s="22">
        <v>1000</v>
      </c>
      <c r="H295" s="23">
        <v>291</v>
      </c>
      <c r="Z295">
        <v>207541.86512203628</v>
      </c>
    </row>
    <row r="296" spans="2:26" x14ac:dyDescent="0.25">
      <c r="B296" s="22">
        <f t="shared" si="15"/>
        <v>251102.48406086065</v>
      </c>
      <c r="C296" s="21">
        <v>0.03</v>
      </c>
      <c r="D296" s="22">
        <f t="shared" si="13"/>
        <v>627.75621015215165</v>
      </c>
      <c r="E296" s="22">
        <f t="shared" si="14"/>
        <v>251730.24027101279</v>
      </c>
      <c r="F296" s="22">
        <f>E296-G296</f>
        <v>250730.24027101279</v>
      </c>
      <c r="G296" s="22">
        <v>1000</v>
      </c>
      <c r="H296" s="23">
        <v>292</v>
      </c>
      <c r="Z296">
        <v>208021.8105955474</v>
      </c>
    </row>
    <row r="297" spans="2:26" x14ac:dyDescent="0.25">
      <c r="B297" s="22">
        <f t="shared" si="15"/>
        <v>250730.24027101279</v>
      </c>
      <c r="C297" s="21">
        <v>0.03</v>
      </c>
      <c r="D297" s="22">
        <f t="shared" si="13"/>
        <v>626.82560067753195</v>
      </c>
      <c r="E297" s="22">
        <f t="shared" si="14"/>
        <v>251357.06587169031</v>
      </c>
      <c r="F297" s="22">
        <f>E297-G297</f>
        <v>250357.06587169031</v>
      </c>
      <c r="G297" s="22">
        <v>1000</v>
      </c>
      <c r="H297" s="23">
        <v>293</v>
      </c>
      <c r="Z297">
        <v>208500.55919755349</v>
      </c>
    </row>
    <row r="298" spans="2:26" x14ac:dyDescent="0.25">
      <c r="B298" s="22">
        <f t="shared" si="15"/>
        <v>250357.06587169031</v>
      </c>
      <c r="C298" s="21">
        <v>0.03</v>
      </c>
      <c r="D298" s="22">
        <f t="shared" si="13"/>
        <v>625.89266467922585</v>
      </c>
      <c r="E298" s="22">
        <f t="shared" si="14"/>
        <v>250982.95853636955</v>
      </c>
      <c r="F298" s="22">
        <f>E298-G298</f>
        <v>249982.95853636955</v>
      </c>
      <c r="G298" s="22">
        <v>1000</v>
      </c>
      <c r="H298" s="23">
        <v>294</v>
      </c>
      <c r="Z298">
        <v>208978.1139127716</v>
      </c>
    </row>
    <row r="299" spans="2:26" x14ac:dyDescent="0.25">
      <c r="B299" s="22">
        <f t="shared" si="15"/>
        <v>249982.95853636955</v>
      </c>
      <c r="C299" s="21">
        <v>0.03</v>
      </c>
      <c r="D299" s="22">
        <f t="shared" si="13"/>
        <v>624.95739634092388</v>
      </c>
      <c r="E299" s="22">
        <f t="shared" si="14"/>
        <v>250607.91593271049</v>
      </c>
      <c r="F299" s="22">
        <f>E299-G299</f>
        <v>249607.91593271049</v>
      </c>
      <c r="G299" s="22">
        <v>1000</v>
      </c>
      <c r="H299" s="23">
        <v>295</v>
      </c>
      <c r="Z299">
        <v>209454.47771847539</v>
      </c>
    </row>
    <row r="300" spans="2:26" x14ac:dyDescent="0.25">
      <c r="B300" s="22">
        <f t="shared" si="15"/>
        <v>249607.91593271049</v>
      </c>
      <c r="C300" s="21">
        <v>0.03</v>
      </c>
      <c r="D300" s="22">
        <f t="shared" si="13"/>
        <v>624.01978983177628</v>
      </c>
      <c r="E300" s="22">
        <f t="shared" si="14"/>
        <v>250231.93572254226</v>
      </c>
      <c r="F300" s="22">
        <f>E300-G300</f>
        <v>249231.93572254226</v>
      </c>
      <c r="G300" s="22">
        <v>1000</v>
      </c>
      <c r="H300" s="23">
        <v>296</v>
      </c>
      <c r="Z300">
        <v>209929.65358451405</v>
      </c>
    </row>
    <row r="301" spans="2:26" x14ac:dyDescent="0.25">
      <c r="B301" s="22">
        <f t="shared" si="15"/>
        <v>249231.93572254226</v>
      </c>
      <c r="C301" s="21">
        <v>0.03</v>
      </c>
      <c r="D301" s="22">
        <f t="shared" si="13"/>
        <v>623.07983930635567</v>
      </c>
      <c r="E301" s="22">
        <f t="shared" si="14"/>
        <v>249855.01556184862</v>
      </c>
      <c r="F301" s="22">
        <f>E301-G301</f>
        <v>248855.01556184862</v>
      </c>
      <c r="G301" s="22">
        <v>1000</v>
      </c>
      <c r="H301" s="23">
        <v>297</v>
      </c>
      <c r="Z301">
        <v>210403.64447333073</v>
      </c>
    </row>
    <row r="302" spans="2:26" x14ac:dyDescent="0.25">
      <c r="B302" s="22">
        <f t="shared" si="15"/>
        <v>248855.01556184862</v>
      </c>
      <c r="C302" s="21">
        <v>0.03</v>
      </c>
      <c r="D302" s="22">
        <f t="shared" si="13"/>
        <v>622.13753890462158</v>
      </c>
      <c r="E302" s="22">
        <f t="shared" si="14"/>
        <v>249477.15310075323</v>
      </c>
      <c r="F302" s="22">
        <f>E302-G302</f>
        <v>248477.15310075323</v>
      </c>
      <c r="G302" s="22">
        <v>1000</v>
      </c>
      <c r="H302" s="23">
        <v>298</v>
      </c>
      <c r="Z302">
        <v>210876.45333998074</v>
      </c>
    </row>
    <row r="303" spans="2:26" x14ac:dyDescent="0.25">
      <c r="B303" s="22">
        <f t="shared" si="15"/>
        <v>248477.15310075323</v>
      </c>
      <c r="C303" s="21">
        <v>0.03</v>
      </c>
      <c r="D303" s="22">
        <f t="shared" si="13"/>
        <v>621.19288275188308</v>
      </c>
      <c r="E303" s="22">
        <f t="shared" si="14"/>
        <v>249098.3459835051</v>
      </c>
      <c r="F303" s="22">
        <f>E303-G303</f>
        <v>248098.3459835051</v>
      </c>
      <c r="G303" s="22">
        <v>1000</v>
      </c>
      <c r="H303" s="23">
        <v>299</v>
      </c>
      <c r="Z303">
        <v>211348.08313215038</v>
      </c>
    </row>
    <row r="304" spans="2:26" x14ac:dyDescent="0.25">
      <c r="B304" s="22">
        <f t="shared" si="15"/>
        <v>248098.3459835051</v>
      </c>
      <c r="C304" s="21">
        <v>0.03</v>
      </c>
      <c r="D304" s="22">
        <f t="shared" si="13"/>
        <v>620.24586495876281</v>
      </c>
      <c r="E304" s="22">
        <f t="shared" si="14"/>
        <v>248718.59184846387</v>
      </c>
      <c r="F304" s="22">
        <f>E304-G304</f>
        <v>247718.59184846387</v>
      </c>
      <c r="G304" s="22">
        <v>1000</v>
      </c>
      <c r="H304" s="23">
        <v>300</v>
      </c>
      <c r="Z304">
        <v>211818.53679017496</v>
      </c>
    </row>
    <row r="305" spans="2:26" x14ac:dyDescent="0.25">
      <c r="B305" s="22">
        <f t="shared" si="15"/>
        <v>247718.59184846387</v>
      </c>
      <c r="C305" s="21">
        <v>0.03</v>
      </c>
      <c r="D305" s="22">
        <f t="shared" si="13"/>
        <v>619.29647962115973</v>
      </c>
      <c r="E305" s="22">
        <f t="shared" si="14"/>
        <v>248337.88832808501</v>
      </c>
      <c r="F305" s="22">
        <f>E305-G305</f>
        <v>247337.88832808501</v>
      </c>
      <c r="G305" s="22">
        <v>1000</v>
      </c>
      <c r="H305" s="23">
        <v>301</v>
      </c>
      <c r="Z305">
        <v>212287.8172470573</v>
      </c>
    </row>
    <row r="306" spans="2:26" x14ac:dyDescent="0.25">
      <c r="B306" s="22">
        <f t="shared" si="15"/>
        <v>247337.88832808501</v>
      </c>
      <c r="C306" s="21">
        <v>0.03</v>
      </c>
      <c r="D306" s="22">
        <f t="shared" si="13"/>
        <v>618.3447208202125</v>
      </c>
      <c r="E306" s="22">
        <f t="shared" si="14"/>
        <v>247956.23304890524</v>
      </c>
      <c r="F306" s="22">
        <f>E306-G306</f>
        <v>246956.23304890524</v>
      </c>
      <c r="G306" s="22">
        <v>1000</v>
      </c>
      <c r="H306" s="23">
        <v>302</v>
      </c>
      <c r="Z306">
        <v>212755.92742848603</v>
      </c>
    </row>
    <row r="307" spans="2:26" x14ac:dyDescent="0.25">
      <c r="B307" s="22">
        <f t="shared" si="15"/>
        <v>246956.23304890524</v>
      </c>
      <c r="C307" s="21">
        <v>0.03</v>
      </c>
      <c r="D307" s="22">
        <f t="shared" si="13"/>
        <v>617.39058262226308</v>
      </c>
      <c r="E307" s="22">
        <f t="shared" si="14"/>
        <v>247573.6236315275</v>
      </c>
      <c r="F307" s="22">
        <f>E307-G307</f>
        <v>246573.6236315275</v>
      </c>
      <c r="G307" s="22">
        <v>1000</v>
      </c>
      <c r="H307" s="23">
        <v>303</v>
      </c>
      <c r="Z307">
        <v>213222.8702528539</v>
      </c>
    </row>
    <row r="308" spans="2:26" x14ac:dyDescent="0.25">
      <c r="B308" s="22">
        <f t="shared" si="15"/>
        <v>246573.6236315275</v>
      </c>
      <c r="C308" s="21">
        <v>0.03</v>
      </c>
      <c r="D308" s="22">
        <f t="shared" si="13"/>
        <v>616.43405907881879</v>
      </c>
      <c r="E308" s="22">
        <f t="shared" si="14"/>
        <v>247190.05769060631</v>
      </c>
      <c r="F308" s="22">
        <f>E308-G308</f>
        <v>246190.05769060631</v>
      </c>
      <c r="G308" s="22">
        <v>1000</v>
      </c>
      <c r="H308" s="23">
        <v>304</v>
      </c>
      <c r="Z308">
        <v>213688.64863127572</v>
      </c>
    </row>
    <row r="309" spans="2:26" x14ac:dyDescent="0.25">
      <c r="B309" s="22">
        <f t="shared" si="15"/>
        <v>246190.05769060631</v>
      </c>
      <c r="C309" s="21">
        <v>0.03</v>
      </c>
      <c r="D309" s="22">
        <f t="shared" si="13"/>
        <v>615.47514422651579</v>
      </c>
      <c r="E309" s="22">
        <f t="shared" si="14"/>
        <v>246805.53283483282</v>
      </c>
      <c r="F309" s="22">
        <f>E309-G309</f>
        <v>245805.53283483282</v>
      </c>
      <c r="G309" s="22">
        <v>1000</v>
      </c>
      <c r="H309" s="23">
        <v>305</v>
      </c>
      <c r="Z309">
        <v>214153.26546760669</v>
      </c>
    </row>
    <row r="310" spans="2:26" x14ac:dyDescent="0.25">
      <c r="B310" s="22">
        <f t="shared" si="15"/>
        <v>245805.53283483282</v>
      </c>
      <c r="C310" s="21">
        <v>0.03</v>
      </c>
      <c r="D310" s="22">
        <f t="shared" si="13"/>
        <v>614.51383208708205</v>
      </c>
      <c r="E310" s="22">
        <f t="shared" si="14"/>
        <v>246420.04666691989</v>
      </c>
      <c r="F310" s="22">
        <f>E310-G310</f>
        <v>245420.04666691989</v>
      </c>
      <c r="G310" s="22">
        <v>1000</v>
      </c>
      <c r="H310" s="23">
        <v>306</v>
      </c>
      <c r="Z310">
        <v>214616.72365846051</v>
      </c>
    </row>
    <row r="311" spans="2:26" x14ac:dyDescent="0.25">
      <c r="B311" s="22">
        <f t="shared" si="15"/>
        <v>245420.04666691989</v>
      </c>
      <c r="C311" s="21">
        <v>0.03</v>
      </c>
      <c r="D311" s="22">
        <f t="shared" si="13"/>
        <v>613.55011666729979</v>
      </c>
      <c r="E311" s="22">
        <f t="shared" si="14"/>
        <v>246033.59678358719</v>
      </c>
      <c r="F311" s="22">
        <f>E311-G311</f>
        <v>245033.59678358719</v>
      </c>
      <c r="G311" s="22">
        <v>1000</v>
      </c>
      <c r="H311" s="23">
        <v>307</v>
      </c>
      <c r="Z311">
        <v>215079.02609322744</v>
      </c>
    </row>
    <row r="312" spans="2:26" x14ac:dyDescent="0.25">
      <c r="B312" s="22">
        <f t="shared" si="15"/>
        <v>245033.59678358719</v>
      </c>
      <c r="C312" s="21">
        <v>0.03</v>
      </c>
      <c r="D312" s="22">
        <f t="shared" si="13"/>
        <v>612.583991958968</v>
      </c>
      <c r="E312" s="22">
        <f t="shared" si="14"/>
        <v>245646.18077554615</v>
      </c>
      <c r="F312" s="22">
        <f>E312-G312</f>
        <v>244646.18077554615</v>
      </c>
      <c r="G312" s="22">
        <v>1000</v>
      </c>
      <c r="H312" s="23">
        <v>308</v>
      </c>
      <c r="Z312">
        <v>215540.17565409222</v>
      </c>
    </row>
    <row r="313" spans="2:26" x14ac:dyDescent="0.25">
      <c r="B313" s="22">
        <f t="shared" si="15"/>
        <v>244646.18077554615</v>
      </c>
      <c r="C313" s="21">
        <v>0.03</v>
      </c>
      <c r="D313" s="22">
        <f t="shared" si="13"/>
        <v>611.61545193886536</v>
      </c>
      <c r="E313" s="22">
        <f t="shared" si="14"/>
        <v>245257.796227485</v>
      </c>
      <c r="F313" s="22">
        <f>E313-G313</f>
        <v>244257.796227485</v>
      </c>
      <c r="G313" s="22">
        <v>1000</v>
      </c>
      <c r="H313" s="23">
        <v>309</v>
      </c>
      <c r="Z313">
        <v>216000.1752160521</v>
      </c>
    </row>
    <row r="314" spans="2:26" x14ac:dyDescent="0.25">
      <c r="B314" s="22">
        <f t="shared" si="15"/>
        <v>244257.796227485</v>
      </c>
      <c r="C314" s="21">
        <v>0.03</v>
      </c>
      <c r="D314" s="22">
        <f t="shared" si="13"/>
        <v>610.64449056871251</v>
      </c>
      <c r="E314" s="22">
        <f t="shared" si="14"/>
        <v>244868.44071805372</v>
      </c>
      <c r="F314" s="22">
        <f>E314-G314</f>
        <v>243868.44071805372</v>
      </c>
      <c r="G314" s="22">
        <v>1000</v>
      </c>
      <c r="H314" s="23">
        <v>310</v>
      </c>
      <c r="Z314">
        <v>216459.02764693473</v>
      </c>
    </row>
    <row r="315" spans="2:26" x14ac:dyDescent="0.25">
      <c r="B315" s="22">
        <f t="shared" si="15"/>
        <v>243868.44071805372</v>
      </c>
      <c r="C315" s="21">
        <v>0.03</v>
      </c>
      <c r="D315" s="22">
        <f t="shared" si="13"/>
        <v>609.67110179513429</v>
      </c>
      <c r="E315" s="22">
        <f t="shared" si="14"/>
        <v>244478.11181984885</v>
      </c>
      <c r="F315" s="22">
        <f>E315-G315</f>
        <v>243478.11181984885</v>
      </c>
      <c r="G315" s="22">
        <v>1000</v>
      </c>
      <c r="H315" s="23">
        <v>311</v>
      </c>
      <c r="Z315">
        <v>216916.73580741617</v>
      </c>
    </row>
    <row r="316" spans="2:26" x14ac:dyDescent="0.25">
      <c r="B316" s="22">
        <f t="shared" si="15"/>
        <v>243478.11181984885</v>
      </c>
      <c r="C316" s="21">
        <v>0.03</v>
      </c>
      <c r="D316" s="22">
        <f t="shared" si="13"/>
        <v>608.69527954962211</v>
      </c>
      <c r="E316" s="22">
        <f t="shared" si="14"/>
        <v>244086.80709939849</v>
      </c>
      <c r="F316" s="22">
        <f>E316-G316</f>
        <v>243086.80709939849</v>
      </c>
      <c r="G316" s="22">
        <v>1000</v>
      </c>
      <c r="H316" s="23">
        <v>312</v>
      </c>
      <c r="Z316">
        <v>217373.30255103856</v>
      </c>
    </row>
    <row r="317" spans="2:26" x14ac:dyDescent="0.25">
      <c r="B317" s="22">
        <f t="shared" si="15"/>
        <v>243086.80709939849</v>
      </c>
      <c r="C317" s="21">
        <v>0.03</v>
      </c>
      <c r="D317" s="22">
        <f t="shared" si="13"/>
        <v>607.71701774849623</v>
      </c>
      <c r="E317" s="22">
        <f t="shared" si="14"/>
        <v>243694.524117147</v>
      </c>
      <c r="F317" s="22">
        <f>E317-G317</f>
        <v>242694.524117147</v>
      </c>
      <c r="G317" s="22">
        <v>1000</v>
      </c>
      <c r="H317" s="23">
        <v>313</v>
      </c>
      <c r="Z317">
        <v>217828.73072422799</v>
      </c>
    </row>
    <row r="318" spans="2:26" x14ac:dyDescent="0.25">
      <c r="B318" s="22">
        <f t="shared" si="15"/>
        <v>242694.524117147</v>
      </c>
      <c r="C318" s="21">
        <v>0.03</v>
      </c>
      <c r="D318" s="22">
        <f t="shared" si="13"/>
        <v>606.73631029286753</v>
      </c>
      <c r="E318" s="22">
        <f t="shared" si="14"/>
        <v>243301.26042743988</v>
      </c>
      <c r="F318" s="22">
        <f>E318-G318</f>
        <v>242301.26042743988</v>
      </c>
      <c r="G318" s="22">
        <v>1000</v>
      </c>
      <c r="H318" s="23">
        <v>314</v>
      </c>
      <c r="Z318">
        <v>218283.0231663122</v>
      </c>
    </row>
    <row r="319" spans="2:26" x14ac:dyDescent="0.25">
      <c r="B319" s="22">
        <f t="shared" si="15"/>
        <v>242301.26042743988</v>
      </c>
      <c r="C319" s="21">
        <v>0.03</v>
      </c>
      <c r="D319" s="22">
        <f t="shared" si="13"/>
        <v>605.75315106859966</v>
      </c>
      <c r="E319" s="22">
        <f t="shared" si="14"/>
        <v>242907.01357850849</v>
      </c>
      <c r="F319" s="22">
        <f>E319-G319</f>
        <v>241907.01357850849</v>
      </c>
      <c r="G319" s="22">
        <v>1000</v>
      </c>
      <c r="H319" s="23">
        <v>315</v>
      </c>
      <c r="Z319">
        <v>218736.18270953835</v>
      </c>
    </row>
    <row r="320" spans="2:26" x14ac:dyDescent="0.25">
      <c r="B320" s="22">
        <f t="shared" si="15"/>
        <v>241907.01357850849</v>
      </c>
      <c r="C320" s="21">
        <v>0.03</v>
      </c>
      <c r="D320" s="22">
        <f t="shared" si="13"/>
        <v>604.76753394627121</v>
      </c>
      <c r="E320" s="22">
        <f t="shared" si="14"/>
        <v>242511.78111245474</v>
      </c>
      <c r="F320" s="22">
        <f>E320-G320</f>
        <v>241511.78111245474</v>
      </c>
      <c r="G320" s="22">
        <v>1000</v>
      </c>
      <c r="H320" s="23">
        <v>316</v>
      </c>
      <c r="Z320">
        <v>219188.21217909057</v>
      </c>
    </row>
    <row r="321" spans="2:26" x14ac:dyDescent="0.25">
      <c r="B321" s="22">
        <f t="shared" si="15"/>
        <v>241511.78111245474</v>
      </c>
      <c r="C321" s="21">
        <v>0.03</v>
      </c>
      <c r="D321" s="22">
        <f t="shared" si="13"/>
        <v>603.77945278113691</v>
      </c>
      <c r="E321" s="22">
        <f t="shared" si="14"/>
        <v>242115.56056523588</v>
      </c>
      <c r="F321" s="22">
        <f>E321-G321</f>
        <v>241115.56056523588</v>
      </c>
      <c r="G321" s="22">
        <v>1000</v>
      </c>
      <c r="H321" s="23">
        <v>317</v>
      </c>
      <c r="Z321">
        <v>219639.11439310783</v>
      </c>
    </row>
    <row r="322" spans="2:26" x14ac:dyDescent="0.25">
      <c r="B322" s="22">
        <f t="shared" si="15"/>
        <v>241115.56056523588</v>
      </c>
      <c r="C322" s="21">
        <v>0.03</v>
      </c>
      <c r="D322" s="22">
        <f t="shared" si="13"/>
        <v>602.78890141308966</v>
      </c>
      <c r="E322" s="22">
        <f t="shared" si="14"/>
        <v>241718.34946664897</v>
      </c>
      <c r="F322" s="22">
        <f>E322-G322</f>
        <v>240718.34946664897</v>
      </c>
      <c r="G322" s="22">
        <v>1000</v>
      </c>
      <c r="H322" s="23">
        <v>318</v>
      </c>
      <c r="Z322">
        <v>220088.89216270109</v>
      </c>
    </row>
    <row r="323" spans="2:26" x14ac:dyDescent="0.25">
      <c r="B323" s="22">
        <f t="shared" si="15"/>
        <v>240718.34946664897</v>
      </c>
      <c r="C323" s="21">
        <v>0.03</v>
      </c>
      <c r="D323" s="22">
        <f t="shared" si="13"/>
        <v>601.79587366662247</v>
      </c>
      <c r="E323" s="22">
        <f t="shared" si="14"/>
        <v>241320.14534031559</v>
      </c>
      <c r="F323" s="22">
        <f>E323-G323</f>
        <v>240320.14534031559</v>
      </c>
      <c r="G323" s="22">
        <v>1000</v>
      </c>
      <c r="H323" s="23">
        <v>319</v>
      </c>
      <c r="Z323">
        <v>220537.54829197115</v>
      </c>
    </row>
    <row r="324" spans="2:26" x14ac:dyDescent="0.25">
      <c r="B324" s="22">
        <f t="shared" si="15"/>
        <v>240320.14534031559</v>
      </c>
      <c r="C324" s="21">
        <v>0.03</v>
      </c>
      <c r="D324" s="22">
        <f t="shared" si="13"/>
        <v>600.80036335078898</v>
      </c>
      <c r="E324" s="22">
        <f t="shared" si="14"/>
        <v>240920.94570366637</v>
      </c>
      <c r="F324" s="22">
        <f>E324-G324</f>
        <v>239920.94570366637</v>
      </c>
      <c r="G324" s="22">
        <v>1000</v>
      </c>
      <c r="H324" s="23">
        <v>320</v>
      </c>
      <c r="Z324">
        <v>220985.08557802602</v>
      </c>
    </row>
    <row r="325" spans="2:26" x14ac:dyDescent="0.25">
      <c r="B325" s="22">
        <f t="shared" si="15"/>
        <v>239920.94570366637</v>
      </c>
      <c r="C325" s="21">
        <v>0.03</v>
      </c>
      <c r="D325" s="22">
        <f t="shared" si="13"/>
        <v>599.80236425916598</v>
      </c>
      <c r="E325" s="22">
        <f t="shared" si="14"/>
        <v>240520.74806792554</v>
      </c>
      <c r="F325" s="22">
        <f>E325-G325</f>
        <v>239520.74806792554</v>
      </c>
      <c r="G325" s="22">
        <v>1000</v>
      </c>
      <c r="H325" s="23">
        <v>321</v>
      </c>
      <c r="Z325">
        <v>221431.50681099851</v>
      </c>
    </row>
    <row r="326" spans="2:26" x14ac:dyDescent="0.25">
      <c r="B326" s="22">
        <f t="shared" si="15"/>
        <v>239520.74806792554</v>
      </c>
      <c r="C326" s="21">
        <v>0.03</v>
      </c>
      <c r="D326" s="22">
        <f t="shared" ref="D326:D347" si="16">B326*(0.03/12)</f>
        <v>598.80187016981381</v>
      </c>
      <c r="E326" s="22">
        <f t="shared" si="14"/>
        <v>240119.54993809536</v>
      </c>
      <c r="F326" s="22">
        <f>E326-G326</f>
        <v>239119.54993809536</v>
      </c>
      <c r="G326" s="22">
        <v>1000</v>
      </c>
      <c r="H326" s="23">
        <v>322</v>
      </c>
      <c r="Z326">
        <v>221876.81477406336</v>
      </c>
    </row>
    <row r="327" spans="2:26" x14ac:dyDescent="0.25">
      <c r="B327" s="22">
        <f t="shared" si="15"/>
        <v>239119.54993809536</v>
      </c>
      <c r="C327" s="21">
        <v>0.03</v>
      </c>
      <c r="D327" s="22">
        <f t="shared" si="16"/>
        <v>597.7988748452384</v>
      </c>
      <c r="E327" s="22">
        <f t="shared" ref="E327:E340" si="17">B327+D327</f>
        <v>239717.34881294059</v>
      </c>
      <c r="F327" s="22">
        <f>E327-G327</f>
        <v>238717.34881294059</v>
      </c>
      <c r="G327" s="22">
        <v>1000</v>
      </c>
      <c r="H327" s="23">
        <v>323</v>
      </c>
      <c r="Z327">
        <v>222321.01224345475</v>
      </c>
    </row>
    <row r="328" spans="2:26" x14ac:dyDescent="0.25">
      <c r="B328" s="22">
        <f t="shared" si="15"/>
        <v>238717.34881294059</v>
      </c>
      <c r="C328" s="21">
        <v>0.03</v>
      </c>
      <c r="D328" s="22">
        <f t="shared" si="16"/>
        <v>596.7933720323515</v>
      </c>
      <c r="E328" s="22">
        <f t="shared" si="17"/>
        <v>239314.14218497294</v>
      </c>
      <c r="F328" s="22">
        <f>E328-G328</f>
        <v>238314.14218497294</v>
      </c>
      <c r="G328" s="22">
        <v>1000</v>
      </c>
      <c r="H328" s="23">
        <v>324</v>
      </c>
      <c r="Z328">
        <v>222764.10198848351</v>
      </c>
    </row>
    <row r="329" spans="2:26" x14ac:dyDescent="0.25">
      <c r="B329" s="22">
        <f t="shared" si="15"/>
        <v>238314.14218497294</v>
      </c>
      <c r="C329" s="21">
        <v>0.03</v>
      </c>
      <c r="D329" s="22">
        <f t="shared" si="16"/>
        <v>595.78535546243234</v>
      </c>
      <c r="E329" s="22">
        <f t="shared" si="17"/>
        <v>238909.92754043537</v>
      </c>
      <c r="F329" s="22">
        <f>E329-G329</f>
        <v>237909.92754043537</v>
      </c>
      <c r="G329" s="22">
        <v>1000</v>
      </c>
      <c r="H329" s="23">
        <v>325</v>
      </c>
      <c r="Z329">
        <v>223206.0867715546</v>
      </c>
    </row>
    <row r="330" spans="2:26" x14ac:dyDescent="0.25">
      <c r="B330" s="22">
        <f t="shared" si="15"/>
        <v>237909.92754043537</v>
      </c>
      <c r="C330" s="21">
        <v>0.03</v>
      </c>
      <c r="D330" s="22">
        <f t="shared" si="16"/>
        <v>594.77481885108841</v>
      </c>
      <c r="E330" s="22">
        <f t="shared" si="17"/>
        <v>238504.70235928646</v>
      </c>
      <c r="F330" s="22">
        <f>E330-G330</f>
        <v>237504.70235928646</v>
      </c>
      <c r="G330" s="22">
        <v>1000</v>
      </c>
      <c r="H330" s="23">
        <v>326</v>
      </c>
      <c r="Z330">
        <v>223646.96934818412</v>
      </c>
    </row>
    <row r="331" spans="2:26" x14ac:dyDescent="0.25">
      <c r="B331" s="22">
        <f t="shared" si="15"/>
        <v>237504.70235928646</v>
      </c>
      <c r="C331" s="21">
        <v>0.03</v>
      </c>
      <c r="D331" s="22">
        <f t="shared" si="16"/>
        <v>593.76175589821617</v>
      </c>
      <c r="E331" s="22">
        <f t="shared" si="17"/>
        <v>238098.46411518467</v>
      </c>
      <c r="F331" s="22">
        <f>E331-G331</f>
        <v>237098.46411518467</v>
      </c>
      <c r="G331" s="22">
        <v>1000</v>
      </c>
      <c r="H331" s="23">
        <v>327</v>
      </c>
      <c r="Z331">
        <v>224086.75246701654</v>
      </c>
    </row>
    <row r="332" spans="2:26" x14ac:dyDescent="0.25">
      <c r="B332" s="22">
        <f t="shared" si="15"/>
        <v>237098.46411518467</v>
      </c>
      <c r="C332" s="21">
        <v>0.03</v>
      </c>
      <c r="D332" s="22">
        <f t="shared" si="16"/>
        <v>592.74616028796174</v>
      </c>
      <c r="E332" s="22">
        <f t="shared" si="17"/>
        <v>237691.21027547264</v>
      </c>
      <c r="F332" s="22">
        <f>E332-G332</f>
        <v>236691.21027547264</v>
      </c>
      <c r="G332" s="22">
        <v>1000</v>
      </c>
      <c r="H332" s="23">
        <v>328</v>
      </c>
      <c r="Z332">
        <v>224525.43886984204</v>
      </c>
    </row>
    <row r="333" spans="2:26" x14ac:dyDescent="0.25">
      <c r="B333" s="22">
        <f t="shared" si="15"/>
        <v>236691.21027547264</v>
      </c>
      <c r="C333" s="21">
        <v>0.03</v>
      </c>
      <c r="D333" s="22">
        <f t="shared" si="16"/>
        <v>591.72802568868156</v>
      </c>
      <c r="E333" s="22">
        <f t="shared" si="17"/>
        <v>237282.93830116131</v>
      </c>
      <c r="F333" s="22">
        <f>E333-G333</f>
        <v>236282.93830116131</v>
      </c>
      <c r="G333" s="22">
        <v>1000</v>
      </c>
      <c r="H333" s="23">
        <v>329</v>
      </c>
      <c r="Z333">
        <v>224963.03129161292</v>
      </c>
    </row>
    <row r="334" spans="2:26" x14ac:dyDescent="0.25">
      <c r="B334" s="22">
        <f t="shared" si="15"/>
        <v>236282.93830116131</v>
      </c>
      <c r="C334" s="21">
        <v>0.03</v>
      </c>
      <c r="D334" s="22">
        <f t="shared" si="16"/>
        <v>590.70734575290328</v>
      </c>
      <c r="E334" s="22">
        <f t="shared" si="17"/>
        <v>236873.6456469142</v>
      </c>
      <c r="F334" s="22">
        <f>E334-G334</f>
        <v>235873.6456469142</v>
      </c>
      <c r="G334" s="22">
        <v>1000</v>
      </c>
      <c r="H334" s="23">
        <v>330</v>
      </c>
      <c r="Z334">
        <v>225399.53246046175</v>
      </c>
    </row>
    <row r="335" spans="2:26" x14ac:dyDescent="0.25">
      <c r="B335" s="22">
        <f t="shared" si="15"/>
        <v>235873.6456469142</v>
      </c>
      <c r="C335" s="21">
        <v>0.03</v>
      </c>
      <c r="D335" s="22">
        <f t="shared" si="16"/>
        <v>589.6841141172855</v>
      </c>
      <c r="E335" s="22">
        <f t="shared" si="17"/>
        <v>236463.32976103149</v>
      </c>
      <c r="F335" s="22">
        <f>E335-G335</f>
        <v>235463.32976103149</v>
      </c>
      <c r="G335" s="22">
        <v>1000</v>
      </c>
      <c r="H335" s="23">
        <v>331</v>
      </c>
      <c r="Z335">
        <v>225834.94509771743</v>
      </c>
    </row>
    <row r="336" spans="2:26" x14ac:dyDescent="0.25">
      <c r="B336" s="22">
        <f t="shared" si="15"/>
        <v>235463.32976103149</v>
      </c>
      <c r="C336" s="21">
        <v>0.03</v>
      </c>
      <c r="D336" s="22">
        <f t="shared" si="16"/>
        <v>588.65832440257873</v>
      </c>
      <c r="E336" s="22">
        <f t="shared" si="17"/>
        <v>236051.98808543407</v>
      </c>
      <c r="F336" s="22">
        <f>E336-G336</f>
        <v>235051.98808543407</v>
      </c>
      <c r="G336" s="22">
        <v>1000</v>
      </c>
      <c r="H336" s="23">
        <v>332</v>
      </c>
      <c r="Z336">
        <v>226269.27191792268</v>
      </c>
    </row>
    <row r="337" spans="2:26" x14ac:dyDescent="0.25">
      <c r="B337" s="22">
        <f t="shared" si="15"/>
        <v>235051.98808543407</v>
      </c>
      <c r="C337" s="21">
        <v>0.03</v>
      </c>
      <c r="D337" s="22">
        <f t="shared" si="16"/>
        <v>587.62997021358524</v>
      </c>
      <c r="E337" s="22">
        <f t="shared" si="17"/>
        <v>235639.61805564765</v>
      </c>
      <c r="F337" s="22">
        <f>E337-G337</f>
        <v>234639.61805564765</v>
      </c>
      <c r="G337" s="22">
        <v>1000</v>
      </c>
      <c r="H337" s="23">
        <v>333</v>
      </c>
      <c r="Z337">
        <v>226702.51562885049</v>
      </c>
    </row>
    <row r="338" spans="2:26" x14ac:dyDescent="0.25">
      <c r="B338" s="22">
        <f t="shared" si="15"/>
        <v>234639.61805564765</v>
      </c>
      <c r="C338" s="21">
        <v>0.03</v>
      </c>
      <c r="D338" s="22">
        <f t="shared" si="16"/>
        <v>586.59904513911908</v>
      </c>
      <c r="E338" s="22">
        <f t="shared" si="17"/>
        <v>235226.21710078677</v>
      </c>
      <c r="F338" s="22">
        <f>E338-G338</f>
        <v>234226.21710078677</v>
      </c>
      <c r="G338" s="22">
        <v>1000</v>
      </c>
      <c r="H338" s="23">
        <v>334</v>
      </c>
      <c r="Z338">
        <v>227134.67893152169</v>
      </c>
    </row>
    <row r="339" spans="2:26" x14ac:dyDescent="0.25">
      <c r="B339" s="22">
        <f t="shared" si="15"/>
        <v>234226.21710078677</v>
      </c>
      <c r="C339" s="21">
        <v>0.03</v>
      </c>
      <c r="D339" s="22">
        <f t="shared" si="16"/>
        <v>585.56554275196697</v>
      </c>
      <c r="E339" s="22">
        <f t="shared" si="17"/>
        <v>234811.78264353875</v>
      </c>
      <c r="F339" s="22">
        <f>E339-G339</f>
        <v>233811.78264353875</v>
      </c>
      <c r="G339" s="22">
        <v>1000</v>
      </c>
      <c r="H339" s="23">
        <v>335</v>
      </c>
      <c r="Z339">
        <v>227565.76452022113</v>
      </c>
    </row>
    <row r="340" spans="2:26" x14ac:dyDescent="0.25">
      <c r="B340" s="83">
        <f t="shared" si="15"/>
        <v>233811.78264353875</v>
      </c>
      <c r="C340" s="21">
        <v>0.03</v>
      </c>
      <c r="D340" s="22">
        <f t="shared" si="16"/>
        <v>584.52945660884689</v>
      </c>
      <c r="E340" s="83">
        <f t="shared" si="17"/>
        <v>234396.3121001476</v>
      </c>
      <c r="F340" s="83">
        <f>E340-G340</f>
        <v>233396.3121001476</v>
      </c>
      <c r="G340" s="83">
        <v>1000</v>
      </c>
      <c r="H340" s="85">
        <v>336</v>
      </c>
      <c r="I340" s="13"/>
      <c r="Z340">
        <v>227995.77508251483</v>
      </c>
    </row>
    <row r="341" spans="2:26" x14ac:dyDescent="0.25">
      <c r="B341" s="83">
        <f t="shared" ref="B341" si="18">F340</f>
        <v>233396.3121001476</v>
      </c>
      <c r="C341" s="21">
        <v>0.03</v>
      </c>
      <c r="D341" s="22">
        <f t="shared" si="16"/>
        <v>583.49078025036897</v>
      </c>
      <c r="E341" s="83">
        <f t="shared" ref="E341" si="19">B341+D341</f>
        <v>233979.80288039797</v>
      </c>
      <c r="F341" s="83">
        <f>E341-G341</f>
        <v>232979.80288039797</v>
      </c>
      <c r="G341" s="83">
        <v>1000</v>
      </c>
      <c r="H341" s="23">
        <v>337</v>
      </c>
      <c r="Z341">
        <v>228424.71329926664</v>
      </c>
    </row>
    <row r="342" spans="2:26" x14ac:dyDescent="0.25">
      <c r="B342" s="83">
        <f t="shared" ref="B342:B347" si="20">F341</f>
        <v>232979.80288039797</v>
      </c>
      <c r="C342" s="21">
        <v>0.03</v>
      </c>
      <c r="D342" s="22">
        <f t="shared" si="16"/>
        <v>582.44950720099496</v>
      </c>
      <c r="E342" s="83">
        <f t="shared" ref="E342:E347" si="21">B342+D342</f>
        <v>233562.25238759897</v>
      </c>
      <c r="F342" s="83">
        <f>E342-G342</f>
        <v>232562.25238759897</v>
      </c>
      <c r="G342" s="83">
        <v>1000</v>
      </c>
      <c r="H342" s="85">
        <v>338</v>
      </c>
      <c r="Z342">
        <v>228852.58184465507</v>
      </c>
    </row>
    <row r="343" spans="2:26" x14ac:dyDescent="0.25">
      <c r="B343" s="83">
        <f t="shared" si="20"/>
        <v>232562.25238759897</v>
      </c>
      <c r="C343" s="21">
        <v>0.03</v>
      </c>
      <c r="D343" s="22">
        <f t="shared" si="16"/>
        <v>581.40563096899746</v>
      </c>
      <c r="E343" s="83">
        <f t="shared" si="21"/>
        <v>233143.65801856798</v>
      </c>
      <c r="F343" s="83">
        <f>E343-G343</f>
        <v>232143.65801856798</v>
      </c>
      <c r="G343" s="83">
        <v>1000</v>
      </c>
      <c r="H343" s="23">
        <v>339</v>
      </c>
      <c r="Z343">
        <v>229279.38338618955</v>
      </c>
    </row>
    <row r="344" spans="2:26" x14ac:dyDescent="0.25">
      <c r="B344" s="83">
        <f t="shared" si="20"/>
        <v>232143.65801856798</v>
      </c>
      <c r="C344" s="21">
        <v>0.03</v>
      </c>
      <c r="D344" s="22">
        <f t="shared" si="16"/>
        <v>580.35914504641994</v>
      </c>
      <c r="E344" s="83">
        <f t="shared" si="21"/>
        <v>232724.01716361439</v>
      </c>
      <c r="F344" s="83">
        <f>E344-G344</f>
        <v>231724.01716361439</v>
      </c>
      <c r="G344" s="83">
        <v>1000</v>
      </c>
      <c r="H344" s="85">
        <v>340</v>
      </c>
      <c r="Z344">
        <v>229705.12058472773</v>
      </c>
    </row>
    <row r="345" spans="2:26" x14ac:dyDescent="0.25">
      <c r="B345" s="83">
        <f t="shared" si="20"/>
        <v>231724.01716361439</v>
      </c>
      <c r="C345" s="21">
        <v>0.03</v>
      </c>
      <c r="D345" s="22">
        <f t="shared" si="16"/>
        <v>579.31004290903604</v>
      </c>
      <c r="E345" s="83">
        <f t="shared" si="21"/>
        <v>232303.32720652342</v>
      </c>
      <c r="F345" s="83">
        <f>E345-G345</f>
        <v>231303.32720652342</v>
      </c>
      <c r="G345" s="83">
        <v>1000</v>
      </c>
      <c r="H345" s="23">
        <v>341</v>
      </c>
      <c r="Z345">
        <v>230129.79609449147</v>
      </c>
    </row>
    <row r="346" spans="2:26" x14ac:dyDescent="0.25">
      <c r="B346" s="83">
        <f t="shared" si="20"/>
        <v>231303.32720652342</v>
      </c>
      <c r="C346" s="21">
        <v>0.03</v>
      </c>
      <c r="D346" s="22">
        <f t="shared" si="16"/>
        <v>578.25831801630852</v>
      </c>
      <c r="E346" s="83">
        <f t="shared" si="21"/>
        <v>231881.58552453973</v>
      </c>
      <c r="F346" s="83">
        <f>E346-G346</f>
        <v>230881.58552453973</v>
      </c>
      <c r="G346" s="83">
        <v>1000</v>
      </c>
      <c r="H346" s="85">
        <v>342</v>
      </c>
      <c r="Z346">
        <v>230553.41256308378</v>
      </c>
    </row>
    <row r="347" spans="2:26" x14ac:dyDescent="0.25">
      <c r="B347" s="83">
        <f t="shared" si="20"/>
        <v>230881.58552453973</v>
      </c>
      <c r="C347" s="43">
        <v>0.03</v>
      </c>
      <c r="D347" s="42">
        <f t="shared" si="16"/>
        <v>577.20396381134935</v>
      </c>
      <c r="E347" s="83">
        <f t="shared" si="21"/>
        <v>231458.78948835109</v>
      </c>
      <c r="F347" s="83">
        <f>E347-G347</f>
        <v>230458.78948835109</v>
      </c>
      <c r="G347" s="83">
        <v>1000</v>
      </c>
      <c r="H347" s="45">
        <v>343</v>
      </c>
      <c r="Z347">
        <v>230975.97263150499</v>
      </c>
    </row>
    <row r="348" spans="2:26" x14ac:dyDescent="0.25">
      <c r="B348" s="83">
        <f t="shared" ref="B348:B411" si="22">F347</f>
        <v>230458.78948835109</v>
      </c>
      <c r="C348" s="43">
        <v>0.03</v>
      </c>
      <c r="D348" s="42">
        <f t="shared" ref="D348:D411" si="23">B348*(0.03/12)</f>
        <v>576.14697372087778</v>
      </c>
      <c r="E348" s="83">
        <f t="shared" ref="E348:E411" si="24">B348+D348</f>
        <v>231034.93646207196</v>
      </c>
      <c r="F348" s="83">
        <f>E348-G348</f>
        <v>230034.93646207196</v>
      </c>
      <c r="G348" s="83">
        <v>1000</v>
      </c>
      <c r="H348" s="23">
        <v>344</v>
      </c>
      <c r="Z348">
        <v>231397.47893416957</v>
      </c>
    </row>
    <row r="349" spans="2:26" x14ac:dyDescent="0.25">
      <c r="B349" s="83">
        <f t="shared" si="22"/>
        <v>230034.93646207196</v>
      </c>
      <c r="C349" s="43">
        <v>0.03</v>
      </c>
      <c r="D349" s="42">
        <f t="shared" si="23"/>
        <v>575.08734115517996</v>
      </c>
      <c r="E349" s="83">
        <f t="shared" si="24"/>
        <v>230610.02380322714</v>
      </c>
      <c r="F349" s="83">
        <f>E349-G349</f>
        <v>229610.02380322714</v>
      </c>
      <c r="G349" s="83">
        <v>1000</v>
      </c>
      <c r="H349" s="85">
        <v>345</v>
      </c>
      <c r="Z349">
        <v>231817.93409892224</v>
      </c>
    </row>
    <row r="350" spans="2:26" x14ac:dyDescent="0.25">
      <c r="B350" s="83">
        <f t="shared" si="22"/>
        <v>229610.02380322714</v>
      </c>
      <c r="C350" s="43">
        <v>0.03</v>
      </c>
      <c r="D350" s="42">
        <f t="shared" si="23"/>
        <v>574.0250595080679</v>
      </c>
      <c r="E350" s="83">
        <f t="shared" si="24"/>
        <v>230184.04886273522</v>
      </c>
      <c r="F350" s="83">
        <f>E350-G350</f>
        <v>229184.04886273522</v>
      </c>
      <c r="G350" s="83">
        <v>1000</v>
      </c>
      <c r="H350" s="45">
        <v>346</v>
      </c>
      <c r="Z350">
        <v>232237.34074705458</v>
      </c>
    </row>
    <row r="351" spans="2:26" x14ac:dyDescent="0.25">
      <c r="B351" s="83">
        <f t="shared" si="22"/>
        <v>229184.04886273522</v>
      </c>
      <c r="C351" s="43">
        <v>0.03</v>
      </c>
      <c r="D351" s="42">
        <f t="shared" si="23"/>
        <v>572.96012215683811</v>
      </c>
      <c r="E351" s="83">
        <f t="shared" si="24"/>
        <v>229757.00898489205</v>
      </c>
      <c r="F351" s="83">
        <f>E351-G351</f>
        <v>228757.00898489205</v>
      </c>
      <c r="G351" s="83">
        <v>1000</v>
      </c>
      <c r="H351" s="23">
        <v>347</v>
      </c>
      <c r="Z351">
        <v>232655.70149332128</v>
      </c>
    </row>
    <row r="352" spans="2:26" x14ac:dyDescent="0.25">
      <c r="B352" s="83">
        <f t="shared" si="22"/>
        <v>228757.00898489205</v>
      </c>
      <c r="C352" s="43">
        <v>0.03</v>
      </c>
      <c r="D352" s="42">
        <f t="shared" si="23"/>
        <v>571.89252246223009</v>
      </c>
      <c r="E352" s="83">
        <f t="shared" si="24"/>
        <v>229328.90150735428</v>
      </c>
      <c r="F352" s="83">
        <f>E352-G352</f>
        <v>228328.90150735428</v>
      </c>
      <c r="G352" s="83">
        <v>1000</v>
      </c>
      <c r="H352" s="85">
        <v>348</v>
      </c>
      <c r="Z352">
        <v>233073.01894595634</v>
      </c>
    </row>
    <row r="353" spans="2:26" x14ac:dyDescent="0.25">
      <c r="B353" s="83">
        <f t="shared" si="22"/>
        <v>228328.90150735428</v>
      </c>
      <c r="C353" s="43">
        <v>0.03</v>
      </c>
      <c r="D353" s="42">
        <f t="shared" si="23"/>
        <v>570.82225376838574</v>
      </c>
      <c r="E353" s="83">
        <f t="shared" si="24"/>
        <v>228899.72376112267</v>
      </c>
      <c r="F353" s="83">
        <f>E353-G353</f>
        <v>227899.72376112267</v>
      </c>
      <c r="G353" s="83">
        <v>1000</v>
      </c>
      <c r="H353" s="45">
        <v>349</v>
      </c>
      <c r="Z353">
        <v>233489.29570668971</v>
      </c>
    </row>
    <row r="354" spans="2:26" x14ac:dyDescent="0.25">
      <c r="B354" s="83">
        <f t="shared" si="22"/>
        <v>227899.72376112267</v>
      </c>
      <c r="C354" s="43">
        <v>0.03</v>
      </c>
      <c r="D354" s="42">
        <f t="shared" si="23"/>
        <v>569.74930940280672</v>
      </c>
      <c r="E354" s="83">
        <f t="shared" si="24"/>
        <v>228469.47307052548</v>
      </c>
      <c r="F354" s="83">
        <f>E354-G354</f>
        <v>227469.47307052548</v>
      </c>
      <c r="G354" s="83">
        <v>1000</v>
      </c>
      <c r="H354" s="23">
        <v>350</v>
      </c>
      <c r="Z354">
        <v>233904.5343707627</v>
      </c>
    </row>
    <row r="355" spans="2:26" x14ac:dyDescent="0.25">
      <c r="B355" s="83">
        <f t="shared" si="22"/>
        <v>227469.47307052548</v>
      </c>
      <c r="C355" s="43">
        <v>0.03</v>
      </c>
      <c r="D355" s="42">
        <f t="shared" si="23"/>
        <v>568.67368267631366</v>
      </c>
      <c r="E355" s="83">
        <f t="shared" si="24"/>
        <v>228038.14675320179</v>
      </c>
      <c r="F355" s="83">
        <f>E355-G355</f>
        <v>227038.14675320179</v>
      </c>
      <c r="G355" s="83">
        <v>1000</v>
      </c>
      <c r="H355" s="85">
        <v>351</v>
      </c>
      <c r="Z355">
        <v>234318.73752694536</v>
      </c>
    </row>
    <row r="356" spans="2:26" x14ac:dyDescent="0.25">
      <c r="B356" s="83">
        <f t="shared" si="22"/>
        <v>227038.14675320179</v>
      </c>
      <c r="C356" s="43">
        <v>0.03</v>
      </c>
      <c r="D356" s="42">
        <f t="shared" si="23"/>
        <v>567.59536688300443</v>
      </c>
      <c r="E356" s="83">
        <f t="shared" si="24"/>
        <v>227605.74212008479</v>
      </c>
      <c r="F356" s="83">
        <f>E356-G356</f>
        <v>226605.74212008479</v>
      </c>
      <c r="G356" s="83">
        <v>1000</v>
      </c>
      <c r="H356" s="45">
        <v>352</v>
      </c>
      <c r="Z356">
        <v>234731.90775755147</v>
      </c>
    </row>
    <row r="357" spans="2:26" x14ac:dyDescent="0.25">
      <c r="B357" s="83">
        <f t="shared" si="22"/>
        <v>226605.74212008479</v>
      </c>
      <c r="C357" s="43">
        <v>0.03</v>
      </c>
      <c r="D357" s="42">
        <f t="shared" si="23"/>
        <v>566.51435530021195</v>
      </c>
      <c r="E357" s="83">
        <f t="shared" si="24"/>
        <v>227172.25647538499</v>
      </c>
      <c r="F357" s="83">
        <f>E357-G357</f>
        <v>226172.25647538499</v>
      </c>
      <c r="G357" s="83">
        <v>1000</v>
      </c>
      <c r="H357" s="23">
        <v>353</v>
      </c>
      <c r="Z357">
        <v>235144.04763845532</v>
      </c>
    </row>
    <row r="358" spans="2:26" x14ac:dyDescent="0.25">
      <c r="B358" s="83">
        <f t="shared" si="22"/>
        <v>226172.25647538499</v>
      </c>
      <c r="C358" s="43">
        <v>0.03</v>
      </c>
      <c r="D358" s="42">
        <f t="shared" si="23"/>
        <v>565.43064118846246</v>
      </c>
      <c r="E358" s="83">
        <f t="shared" si="24"/>
        <v>226737.68711657345</v>
      </c>
      <c r="F358" s="83">
        <f>E358-G358</f>
        <v>225737.68711657345</v>
      </c>
      <c r="G358" s="83">
        <v>1000</v>
      </c>
      <c r="H358" s="85">
        <v>354</v>
      </c>
      <c r="Z358">
        <v>235555.15973910756</v>
      </c>
    </row>
    <row r="359" spans="2:26" x14ac:dyDescent="0.25">
      <c r="B359" s="83">
        <f t="shared" si="22"/>
        <v>225737.68711657345</v>
      </c>
      <c r="C359" s="43">
        <v>0.03</v>
      </c>
      <c r="D359" s="42">
        <f t="shared" si="23"/>
        <v>564.34421779143361</v>
      </c>
      <c r="E359" s="83">
        <f t="shared" si="24"/>
        <v>226302.03133436487</v>
      </c>
      <c r="F359" s="83">
        <f>E359-G359</f>
        <v>225302.03133436487</v>
      </c>
      <c r="G359" s="83">
        <v>1000</v>
      </c>
      <c r="H359" s="45">
        <v>355</v>
      </c>
      <c r="Z359">
        <v>235965.24662255115</v>
      </c>
    </row>
    <row r="360" spans="2:26" x14ac:dyDescent="0.25">
      <c r="B360" s="83">
        <f t="shared" si="22"/>
        <v>225302.03133436487</v>
      </c>
      <c r="C360" s="43">
        <v>0.03</v>
      </c>
      <c r="D360" s="42">
        <f t="shared" si="23"/>
        <v>563.25507833591223</v>
      </c>
      <c r="E360" s="83">
        <f t="shared" si="24"/>
        <v>225865.28641270078</v>
      </c>
      <c r="F360" s="83">
        <f>E360-G360</f>
        <v>224865.28641270078</v>
      </c>
      <c r="G360" s="83">
        <v>1000</v>
      </c>
      <c r="H360" s="23">
        <v>356</v>
      </c>
      <c r="Z360">
        <v>236374.31084543755</v>
      </c>
    </row>
    <row r="361" spans="2:26" x14ac:dyDescent="0.25">
      <c r="B361" s="83">
        <f t="shared" si="22"/>
        <v>224865.28641270078</v>
      </c>
      <c r="C361" s="43">
        <v>0.03</v>
      </c>
      <c r="D361" s="42">
        <f t="shared" si="23"/>
        <v>562.16321603175197</v>
      </c>
      <c r="E361" s="83">
        <f t="shared" si="24"/>
        <v>225427.44962873252</v>
      </c>
      <c r="F361" s="83">
        <f>E361-G361</f>
        <v>224427.44962873252</v>
      </c>
      <c r="G361" s="83">
        <v>1000</v>
      </c>
      <c r="H361" s="85">
        <v>357</v>
      </c>
      <c r="Z361">
        <v>236782.35495804242</v>
      </c>
    </row>
    <row r="362" spans="2:26" x14ac:dyDescent="0.25">
      <c r="B362" s="83">
        <f t="shared" si="22"/>
        <v>224427.44962873252</v>
      </c>
      <c r="C362" s="43">
        <v>0.03</v>
      </c>
      <c r="D362" s="42">
        <f t="shared" si="23"/>
        <v>561.06862407183132</v>
      </c>
      <c r="E362" s="83">
        <f t="shared" si="24"/>
        <v>224988.51825280435</v>
      </c>
      <c r="F362" s="83">
        <f>E362-G362</f>
        <v>223988.51825280435</v>
      </c>
      <c r="G362" s="83">
        <v>1000</v>
      </c>
      <c r="H362" s="45">
        <v>358</v>
      </c>
      <c r="Z362">
        <v>237189.38150428172</v>
      </c>
    </row>
    <row r="363" spans="2:26" x14ac:dyDescent="0.25">
      <c r="B363" s="83">
        <f t="shared" si="22"/>
        <v>223988.51825280435</v>
      </c>
      <c r="C363" s="43">
        <v>0.03</v>
      </c>
      <c r="D363" s="42">
        <f t="shared" si="23"/>
        <v>559.97129563201088</v>
      </c>
      <c r="E363" s="83">
        <f t="shared" si="24"/>
        <v>224548.48954843637</v>
      </c>
      <c r="F363" s="83">
        <f>E363-G363</f>
        <v>223548.48954843637</v>
      </c>
      <c r="G363" s="83">
        <v>1000</v>
      </c>
      <c r="H363" s="23">
        <v>359</v>
      </c>
      <c r="Z363">
        <v>237595.39302172739</v>
      </c>
    </row>
    <row r="364" spans="2:26" x14ac:dyDescent="0.25">
      <c r="B364" s="83">
        <f t="shared" si="22"/>
        <v>223548.48954843637</v>
      </c>
      <c r="C364" s="43">
        <v>0.03</v>
      </c>
      <c r="D364" s="42">
        <f t="shared" si="23"/>
        <v>558.87122387109093</v>
      </c>
      <c r="E364" s="83">
        <f t="shared" si="24"/>
        <v>224107.36077230747</v>
      </c>
      <c r="F364" s="83">
        <f>E364-G364</f>
        <v>223107.36077230747</v>
      </c>
      <c r="G364" s="83">
        <v>1000</v>
      </c>
      <c r="H364" s="85">
        <v>360</v>
      </c>
      <c r="Z364">
        <v>238000.39204162336</v>
      </c>
    </row>
    <row r="365" spans="2:26" x14ac:dyDescent="0.25">
      <c r="B365" s="83">
        <f t="shared" si="22"/>
        <v>223107.36077230747</v>
      </c>
      <c r="C365" s="43">
        <v>0.03</v>
      </c>
      <c r="D365" s="42">
        <f t="shared" si="23"/>
        <v>557.76840193076873</v>
      </c>
      <c r="E365" s="83">
        <f t="shared" si="24"/>
        <v>223665.12917423825</v>
      </c>
      <c r="F365" s="83">
        <f>E365-G365</f>
        <v>222665.12917423825</v>
      </c>
      <c r="G365" s="83">
        <v>1000</v>
      </c>
      <c r="H365" s="45">
        <v>361</v>
      </c>
      <c r="Z365">
        <v>238404.38108890108</v>
      </c>
    </row>
    <row r="366" spans="2:26" x14ac:dyDescent="0.25">
      <c r="B366" s="83">
        <f t="shared" si="22"/>
        <v>222665.12917423825</v>
      </c>
      <c r="C366" s="43">
        <v>0.03</v>
      </c>
      <c r="D366" s="42">
        <f t="shared" si="23"/>
        <v>556.66282293559561</v>
      </c>
      <c r="E366" s="83">
        <f t="shared" si="24"/>
        <v>223221.79199717383</v>
      </c>
      <c r="F366" s="83">
        <f>E366-G366</f>
        <v>222221.79199717383</v>
      </c>
      <c r="G366" s="83">
        <v>1000</v>
      </c>
      <c r="H366" s="23">
        <v>362</v>
      </c>
      <c r="Z366">
        <v>238807.36268219555</v>
      </c>
    </row>
    <row r="367" spans="2:26" x14ac:dyDescent="0.25">
      <c r="B367" s="83">
        <f t="shared" si="22"/>
        <v>222221.79199717383</v>
      </c>
      <c r="C367" s="43">
        <v>0.03</v>
      </c>
      <c r="D367" s="42">
        <f t="shared" si="23"/>
        <v>555.5544799929346</v>
      </c>
      <c r="E367" s="83">
        <f t="shared" si="24"/>
        <v>222777.34647716678</v>
      </c>
      <c r="F367" s="83">
        <f>E367-G367</f>
        <v>221777.34647716678</v>
      </c>
      <c r="G367" s="83">
        <v>1000</v>
      </c>
      <c r="H367" s="85">
        <v>363</v>
      </c>
      <c r="Z367">
        <v>239209.3393338609</v>
      </c>
    </row>
    <row r="368" spans="2:26" x14ac:dyDescent="0.25">
      <c r="B368" s="83">
        <f t="shared" si="22"/>
        <v>221777.34647716678</v>
      </c>
      <c r="C368" s="43">
        <v>0.03</v>
      </c>
      <c r="D368" s="42">
        <f t="shared" si="23"/>
        <v>554.44336619291698</v>
      </c>
      <c r="E368" s="83">
        <f t="shared" si="24"/>
        <v>222331.7898433597</v>
      </c>
      <c r="F368" s="83">
        <f>E368-G368</f>
        <v>221331.7898433597</v>
      </c>
      <c r="G368" s="83">
        <v>1000</v>
      </c>
      <c r="H368" s="45">
        <v>364</v>
      </c>
      <c r="Z368">
        <v>239610.31354998593</v>
      </c>
    </row>
    <row r="369" spans="2:26" x14ac:dyDescent="0.25">
      <c r="B369" s="83">
        <f t="shared" si="22"/>
        <v>221331.7898433597</v>
      </c>
      <c r="C369" s="43">
        <v>0.03</v>
      </c>
      <c r="D369" s="42">
        <f t="shared" si="23"/>
        <v>553.32947460839921</v>
      </c>
      <c r="E369" s="83">
        <f t="shared" si="24"/>
        <v>221885.11931796808</v>
      </c>
      <c r="F369" s="83">
        <f>E369-G369</f>
        <v>220885.11931796808</v>
      </c>
      <c r="G369" s="83">
        <v>1000</v>
      </c>
      <c r="H369" s="23">
        <v>365</v>
      </c>
      <c r="Z369">
        <v>240010.28783040991</v>
      </c>
    </row>
    <row r="370" spans="2:26" x14ac:dyDescent="0.25">
      <c r="B370" s="83">
        <f t="shared" si="22"/>
        <v>220885.11931796808</v>
      </c>
      <c r="C370" s="43">
        <v>0.03</v>
      </c>
      <c r="D370" s="42">
        <f t="shared" si="23"/>
        <v>552.21279829492028</v>
      </c>
      <c r="E370" s="83">
        <f t="shared" si="24"/>
        <v>221437.33211626302</v>
      </c>
      <c r="F370" s="83">
        <f>E370-G370</f>
        <v>220437.33211626302</v>
      </c>
      <c r="G370" s="83">
        <v>1000</v>
      </c>
      <c r="H370" s="85">
        <v>366</v>
      </c>
      <c r="Z370">
        <v>240409.26466873803</v>
      </c>
    </row>
    <row r="371" spans="2:26" x14ac:dyDescent="0.25">
      <c r="B371" s="83">
        <f t="shared" si="22"/>
        <v>220437.33211626302</v>
      </c>
      <c r="C371" s="43">
        <v>0.03</v>
      </c>
      <c r="D371" s="42">
        <f t="shared" si="23"/>
        <v>551.0933302906576</v>
      </c>
      <c r="E371" s="83">
        <f t="shared" si="24"/>
        <v>220988.42544655368</v>
      </c>
      <c r="F371" s="83">
        <f>E371-G371</f>
        <v>219988.42544655368</v>
      </c>
      <c r="G371" s="83">
        <v>1000</v>
      </c>
      <c r="H371" s="45">
        <v>367</v>
      </c>
      <c r="Z371">
        <v>240807.24655235713</v>
      </c>
    </row>
    <row r="372" spans="2:26" x14ac:dyDescent="0.25">
      <c r="B372" s="83">
        <f t="shared" si="22"/>
        <v>219988.42544655368</v>
      </c>
      <c r="C372" s="43">
        <v>0.03</v>
      </c>
      <c r="D372" s="42">
        <f t="shared" si="23"/>
        <v>549.97106361638419</v>
      </c>
      <c r="E372" s="83">
        <f t="shared" si="24"/>
        <v>220538.39651017007</v>
      </c>
      <c r="F372" s="83">
        <f>E372-G372</f>
        <v>219538.39651017007</v>
      </c>
      <c r="G372" s="83">
        <v>1000</v>
      </c>
      <c r="H372" s="23">
        <v>368</v>
      </c>
      <c r="Z372">
        <v>241204.235962451</v>
      </c>
    </row>
    <row r="373" spans="2:26" x14ac:dyDescent="0.25">
      <c r="B373" s="83">
        <f t="shared" si="22"/>
        <v>219538.39651017007</v>
      </c>
      <c r="C373" s="43">
        <v>0.03</v>
      </c>
      <c r="D373" s="42">
        <f t="shared" si="23"/>
        <v>548.84599127542515</v>
      </c>
      <c r="E373" s="83">
        <f t="shared" si="24"/>
        <v>220087.24250144549</v>
      </c>
      <c r="F373" s="83">
        <f>E373-G373</f>
        <v>219087.24250144549</v>
      </c>
      <c r="G373" s="83">
        <v>1000</v>
      </c>
      <c r="H373" s="85">
        <v>369</v>
      </c>
      <c r="Z373">
        <v>241600.23537401593</v>
      </c>
    </row>
    <row r="374" spans="2:26" x14ac:dyDescent="0.25">
      <c r="B374" s="83">
        <f t="shared" si="22"/>
        <v>219087.24250144549</v>
      </c>
      <c r="C374" s="43">
        <v>0.03</v>
      </c>
      <c r="D374" s="42">
        <f t="shared" si="23"/>
        <v>547.71810625361377</v>
      </c>
      <c r="E374" s="83">
        <f t="shared" si="24"/>
        <v>219634.96060769912</v>
      </c>
      <c r="F374" s="83">
        <f>E374-G374</f>
        <v>218634.96060769912</v>
      </c>
      <c r="G374" s="83">
        <v>1000</v>
      </c>
      <c r="H374" s="45">
        <v>370</v>
      </c>
      <c r="Z374">
        <v>241995.24725587631</v>
      </c>
    </row>
    <row r="375" spans="2:26" x14ac:dyDescent="0.25">
      <c r="B375" s="83">
        <f t="shared" si="22"/>
        <v>218634.96060769912</v>
      </c>
      <c r="C375" s="43">
        <v>0.03</v>
      </c>
      <c r="D375" s="42">
        <f t="shared" si="23"/>
        <v>546.58740151924781</v>
      </c>
      <c r="E375" s="83">
        <f t="shared" si="24"/>
        <v>219181.54800921836</v>
      </c>
      <c r="F375" s="83">
        <f>E375-G375</f>
        <v>218181.54800921836</v>
      </c>
      <c r="G375" s="83">
        <v>1000</v>
      </c>
      <c r="H375" s="23">
        <v>371</v>
      </c>
      <c r="Z375">
        <v>242389.2740706995</v>
      </c>
    </row>
    <row r="376" spans="2:26" x14ac:dyDescent="0.25">
      <c r="B376" s="83">
        <f t="shared" si="22"/>
        <v>218181.54800921836</v>
      </c>
      <c r="C376" s="43">
        <v>0.03</v>
      </c>
      <c r="D376" s="42">
        <f t="shared" si="23"/>
        <v>545.45387002304585</v>
      </c>
      <c r="E376" s="83">
        <f t="shared" si="24"/>
        <v>218727.0018792414</v>
      </c>
      <c r="F376" s="83">
        <f>E376-G376</f>
        <v>217727.0018792414</v>
      </c>
      <c r="G376" s="83">
        <v>1000</v>
      </c>
      <c r="H376" s="85">
        <v>372</v>
      </c>
      <c r="Z376">
        <v>242782.31827501199</v>
      </c>
    </row>
    <row r="377" spans="2:26" x14ac:dyDescent="0.25">
      <c r="B377" s="83">
        <f t="shared" si="22"/>
        <v>217727.0018792414</v>
      </c>
      <c r="C377" s="43">
        <v>0.03</v>
      </c>
      <c r="D377" s="42">
        <f t="shared" si="23"/>
        <v>544.31750469810356</v>
      </c>
      <c r="E377" s="83">
        <f t="shared" si="24"/>
        <v>218271.3193839395</v>
      </c>
      <c r="F377" s="83">
        <f>E377-G377</f>
        <v>217271.3193839395</v>
      </c>
      <c r="G377" s="83">
        <v>1000</v>
      </c>
      <c r="H377" s="45">
        <v>373</v>
      </c>
      <c r="Z377">
        <v>243174.38231921391</v>
      </c>
    </row>
    <row r="378" spans="2:26" x14ac:dyDescent="0.25">
      <c r="B378" s="83">
        <f t="shared" si="22"/>
        <v>217271.3193839395</v>
      </c>
      <c r="C378" s="43">
        <v>0.03</v>
      </c>
      <c r="D378" s="42">
        <f t="shared" si="23"/>
        <v>543.17829845984875</v>
      </c>
      <c r="E378" s="83">
        <f t="shared" si="24"/>
        <v>217814.49768239935</v>
      </c>
      <c r="F378" s="83">
        <f>E378-G378</f>
        <v>216814.49768239935</v>
      </c>
      <c r="G378" s="83">
        <v>1000</v>
      </c>
      <c r="H378" s="23">
        <v>374</v>
      </c>
      <c r="Z378">
        <v>243565.46864759494</v>
      </c>
    </row>
    <row r="379" spans="2:26" x14ac:dyDescent="0.25">
      <c r="B379" s="83">
        <f t="shared" si="22"/>
        <v>216814.49768239935</v>
      </c>
      <c r="C379" s="43">
        <v>0.03</v>
      </c>
      <c r="D379" s="42">
        <f t="shared" si="23"/>
        <v>542.0362442059984</v>
      </c>
      <c r="E379" s="83">
        <f t="shared" si="24"/>
        <v>217356.53392660533</v>
      </c>
      <c r="F379" s="83">
        <f>E379-G379</f>
        <v>216356.53392660533</v>
      </c>
      <c r="G379" s="83">
        <v>1000</v>
      </c>
      <c r="H379" s="85">
        <v>375</v>
      </c>
      <c r="Z379">
        <v>243955.57969834909</v>
      </c>
    </row>
    <row r="380" spans="2:26" x14ac:dyDescent="0.25">
      <c r="B380" s="83">
        <f t="shared" si="22"/>
        <v>216356.53392660533</v>
      </c>
      <c r="C380" s="43">
        <v>0.03</v>
      </c>
      <c r="D380" s="42">
        <f t="shared" si="23"/>
        <v>540.89133481651334</v>
      </c>
      <c r="E380" s="83">
        <f t="shared" si="24"/>
        <v>216897.42526142186</v>
      </c>
      <c r="F380" s="83">
        <f>E380-G380</f>
        <v>215897.42526142186</v>
      </c>
      <c r="G380" s="83">
        <v>1000</v>
      </c>
      <c r="H380" s="45">
        <v>376</v>
      </c>
      <c r="Z380">
        <v>244344.71790359006</v>
      </c>
    </row>
    <row r="381" spans="2:26" x14ac:dyDescent="0.25">
      <c r="B381" s="83">
        <f t="shared" si="22"/>
        <v>215897.42526142186</v>
      </c>
      <c r="C381" s="43">
        <v>0.03</v>
      </c>
      <c r="D381" s="42">
        <f t="shared" si="23"/>
        <v>539.74356315355465</v>
      </c>
      <c r="E381" s="83">
        <f t="shared" si="24"/>
        <v>216437.1688245754</v>
      </c>
      <c r="F381" s="83">
        <f>E381-G381</f>
        <v>215437.1688245754</v>
      </c>
      <c r="G381" s="83">
        <v>1000</v>
      </c>
      <c r="H381" s="23">
        <v>377</v>
      </c>
      <c r="Z381">
        <v>244732.88568936667</v>
      </c>
    </row>
    <row r="382" spans="2:26" x14ac:dyDescent="0.25">
      <c r="B382" s="83">
        <f t="shared" si="22"/>
        <v>215437.1688245754</v>
      </c>
      <c r="C382" s="43">
        <v>0.03</v>
      </c>
      <c r="D382" s="42">
        <f t="shared" si="23"/>
        <v>538.59292206143857</v>
      </c>
      <c r="E382" s="83">
        <f t="shared" si="24"/>
        <v>215975.76174663685</v>
      </c>
      <c r="F382" s="83">
        <f>E382-G382</f>
        <v>214975.76174663685</v>
      </c>
      <c r="G382" s="83">
        <v>1000</v>
      </c>
      <c r="H382" s="85">
        <v>378</v>
      </c>
      <c r="Z382">
        <v>245120.08547567748</v>
      </c>
    </row>
    <row r="383" spans="2:26" x14ac:dyDescent="0.25">
      <c r="B383" s="83">
        <f t="shared" si="22"/>
        <v>214975.76174663685</v>
      </c>
      <c r="C383" s="43">
        <v>0.03</v>
      </c>
      <c r="D383" s="42">
        <f t="shared" si="23"/>
        <v>537.43940436659216</v>
      </c>
      <c r="E383" s="83">
        <f t="shared" si="24"/>
        <v>215513.20115100345</v>
      </c>
      <c r="F383" s="83">
        <f>E383-G383</f>
        <v>214513.20115100345</v>
      </c>
      <c r="G383" s="83">
        <v>1000</v>
      </c>
      <c r="H383" s="45">
        <v>379</v>
      </c>
      <c r="Z383">
        <v>245506.31967648622</v>
      </c>
    </row>
    <row r="384" spans="2:26" x14ac:dyDescent="0.25">
      <c r="B384" s="83">
        <f t="shared" si="22"/>
        <v>214513.20115100345</v>
      </c>
      <c r="C384" s="43">
        <v>0.03</v>
      </c>
      <c r="D384" s="42">
        <f t="shared" si="23"/>
        <v>536.28300287750858</v>
      </c>
      <c r="E384" s="83">
        <f t="shared" si="24"/>
        <v>215049.48415388097</v>
      </c>
      <c r="F384" s="83">
        <f>E384-G384</f>
        <v>214049.48415388097</v>
      </c>
      <c r="G384" s="83">
        <v>1000</v>
      </c>
      <c r="H384" s="23">
        <v>380</v>
      </c>
      <c r="Z384">
        <v>245891.59069973687</v>
      </c>
    </row>
    <row r="385" spans="2:26" x14ac:dyDescent="0.25">
      <c r="B385" s="83">
        <f t="shared" si="22"/>
        <v>214049.48415388097</v>
      </c>
      <c r="C385" s="43">
        <v>0.03</v>
      </c>
      <c r="D385" s="42">
        <f t="shared" si="23"/>
        <v>535.12371038470246</v>
      </c>
      <c r="E385" s="83">
        <f t="shared" si="24"/>
        <v>214584.60786426568</v>
      </c>
      <c r="F385" s="83">
        <f>E385-G385</f>
        <v>213584.60786426568</v>
      </c>
      <c r="G385" s="83">
        <v>1000</v>
      </c>
      <c r="H385" s="85">
        <v>381</v>
      </c>
      <c r="Z385">
        <v>246275.90094736841</v>
      </c>
    </row>
    <row r="386" spans="2:26" x14ac:dyDescent="0.25">
      <c r="B386" s="83">
        <f t="shared" si="22"/>
        <v>213584.60786426568</v>
      </c>
      <c r="C386" s="43">
        <v>0.03</v>
      </c>
      <c r="D386" s="42">
        <f t="shared" si="23"/>
        <v>533.96151966066418</v>
      </c>
      <c r="E386" s="83">
        <f t="shared" si="24"/>
        <v>214118.56938392634</v>
      </c>
      <c r="F386" s="83">
        <f>E386-G386</f>
        <v>213118.56938392634</v>
      </c>
      <c r="G386" s="83">
        <v>1000</v>
      </c>
      <c r="H386" s="45">
        <v>382</v>
      </c>
      <c r="Z386">
        <v>246659.25281533008</v>
      </c>
    </row>
    <row r="387" spans="2:26" x14ac:dyDescent="0.25">
      <c r="B387" s="83">
        <f t="shared" si="22"/>
        <v>213118.56938392634</v>
      </c>
      <c r="C387" s="43">
        <v>0.03</v>
      </c>
      <c r="D387" s="42">
        <f t="shared" si="23"/>
        <v>532.79642345981586</v>
      </c>
      <c r="E387" s="83">
        <f t="shared" si="24"/>
        <v>213651.36580738614</v>
      </c>
      <c r="F387" s="83">
        <f>E387-G387</f>
        <v>212651.36580738614</v>
      </c>
      <c r="G387" s="83">
        <v>1000</v>
      </c>
      <c r="H387" s="23">
        <v>383</v>
      </c>
      <c r="Z387">
        <v>247041.6486935961</v>
      </c>
    </row>
    <row r="388" spans="2:26" x14ac:dyDescent="0.25">
      <c r="B388" s="83">
        <f t="shared" si="22"/>
        <v>212651.36580738614</v>
      </c>
      <c r="C388" s="43">
        <v>0.03</v>
      </c>
      <c r="D388" s="42">
        <f t="shared" si="23"/>
        <v>531.62841451846532</v>
      </c>
      <c r="E388" s="83">
        <f t="shared" si="24"/>
        <v>213182.99422190461</v>
      </c>
      <c r="F388" s="83">
        <f>E388-G388</f>
        <v>212182.99422190461</v>
      </c>
      <c r="G388" s="83">
        <v>1000</v>
      </c>
      <c r="H388" s="85">
        <v>384</v>
      </c>
      <c r="Z388">
        <v>247423.09096618069</v>
      </c>
    </row>
    <row r="389" spans="2:26" x14ac:dyDescent="0.25">
      <c r="B389" s="83">
        <f t="shared" si="22"/>
        <v>212182.99422190461</v>
      </c>
      <c r="C389" s="43">
        <v>0.03</v>
      </c>
      <c r="D389" s="42">
        <f t="shared" si="23"/>
        <v>530.45748555476155</v>
      </c>
      <c r="E389" s="83">
        <f t="shared" si="24"/>
        <v>212713.45170745938</v>
      </c>
      <c r="F389" s="83">
        <f>E389-G389</f>
        <v>211713.45170745938</v>
      </c>
      <c r="G389" s="83">
        <v>1000</v>
      </c>
      <c r="H389" s="45">
        <v>385</v>
      </c>
      <c r="Z389">
        <v>247803.58201115276</v>
      </c>
    </row>
    <row r="390" spans="2:26" x14ac:dyDescent="0.25">
      <c r="B390" s="83">
        <f t="shared" si="22"/>
        <v>211713.45170745938</v>
      </c>
      <c r="C390" s="43">
        <v>0.03</v>
      </c>
      <c r="D390" s="42">
        <f t="shared" si="23"/>
        <v>529.2836292686485</v>
      </c>
      <c r="E390" s="83">
        <f t="shared" si="24"/>
        <v>212242.73533672802</v>
      </c>
      <c r="F390" s="83">
        <f>E390-G390</f>
        <v>211242.73533672802</v>
      </c>
      <c r="G390" s="83">
        <v>1000</v>
      </c>
      <c r="H390" s="23">
        <v>386</v>
      </c>
      <c r="Z390">
        <v>248183.12420065113</v>
      </c>
    </row>
    <row r="391" spans="2:26" x14ac:dyDescent="0.25">
      <c r="B391" s="83">
        <f t="shared" si="22"/>
        <v>211242.73533672802</v>
      </c>
      <c r="C391" s="43">
        <v>0.03</v>
      </c>
      <c r="D391" s="42">
        <f t="shared" si="23"/>
        <v>528.10683834182009</v>
      </c>
      <c r="E391" s="83">
        <f t="shared" si="24"/>
        <v>211770.84217506985</v>
      </c>
      <c r="F391" s="83">
        <f>E391-G391</f>
        <v>210770.84217506985</v>
      </c>
      <c r="G391" s="83">
        <v>1000</v>
      </c>
      <c r="H391" s="85">
        <v>387</v>
      </c>
      <c r="Z391">
        <v>248561.71990089887</v>
      </c>
    </row>
    <row r="392" spans="2:26" x14ac:dyDescent="0.25">
      <c r="B392" s="83">
        <f t="shared" si="22"/>
        <v>210770.84217506985</v>
      </c>
      <c r="C392" s="43">
        <v>0.03</v>
      </c>
      <c r="D392" s="42">
        <f t="shared" si="23"/>
        <v>526.92710543767464</v>
      </c>
      <c r="E392" s="83">
        <f t="shared" si="24"/>
        <v>211297.76928050752</v>
      </c>
      <c r="F392" s="83">
        <f>E392-G392</f>
        <v>210297.76928050752</v>
      </c>
      <c r="G392" s="83">
        <v>1000</v>
      </c>
      <c r="H392" s="45">
        <v>388</v>
      </c>
      <c r="Z392">
        <v>248939.37147221831</v>
      </c>
    </row>
    <row r="393" spans="2:26" x14ac:dyDescent="0.25">
      <c r="B393" s="83">
        <f t="shared" si="22"/>
        <v>210297.76928050752</v>
      </c>
      <c r="C393" s="43">
        <v>0.03</v>
      </c>
      <c r="D393" s="42">
        <f t="shared" si="23"/>
        <v>525.74442320126877</v>
      </c>
      <c r="E393" s="83">
        <f t="shared" si="24"/>
        <v>210823.5137037088</v>
      </c>
      <c r="F393" s="83">
        <f>E393-G393</f>
        <v>209823.5137037088</v>
      </c>
      <c r="G393" s="83">
        <v>1000</v>
      </c>
      <c r="H393" s="23">
        <v>389</v>
      </c>
      <c r="Z393">
        <v>249316.08126904565</v>
      </c>
    </row>
    <row r="394" spans="2:26" x14ac:dyDescent="0.25">
      <c r="B394" s="83">
        <f t="shared" si="22"/>
        <v>209823.5137037088</v>
      </c>
      <c r="C394" s="43">
        <v>0.03</v>
      </c>
      <c r="D394" s="42">
        <f t="shared" si="23"/>
        <v>524.55878425927199</v>
      </c>
      <c r="E394" s="83">
        <f t="shared" si="24"/>
        <v>210348.07248796808</v>
      </c>
      <c r="F394" s="83">
        <f>E394-G394</f>
        <v>209348.07248796808</v>
      </c>
      <c r="G394" s="83">
        <v>1000</v>
      </c>
      <c r="H394" s="85">
        <v>390</v>
      </c>
      <c r="Z394">
        <v>249691.85163994585</v>
      </c>
    </row>
    <row r="395" spans="2:26" x14ac:dyDescent="0.25">
      <c r="B395" s="83">
        <f t="shared" si="22"/>
        <v>209348.07248796808</v>
      </c>
      <c r="C395" s="43">
        <v>0.03</v>
      </c>
      <c r="D395" s="42">
        <f t="shared" si="23"/>
        <v>523.37018121992025</v>
      </c>
      <c r="E395" s="83">
        <f t="shared" si="24"/>
        <v>209871.44266918799</v>
      </c>
      <c r="F395" s="83">
        <f>E395-G395</f>
        <v>208871.44266918799</v>
      </c>
      <c r="G395" s="83">
        <v>1000</v>
      </c>
      <c r="H395" s="45">
        <v>391</v>
      </c>
      <c r="Z395">
        <v>250066.68492762677</v>
      </c>
    </row>
    <row r="396" spans="2:26" x14ac:dyDescent="0.25">
      <c r="B396" s="83">
        <f t="shared" si="22"/>
        <v>208871.44266918799</v>
      </c>
      <c r="C396" s="43">
        <v>0.03</v>
      </c>
      <c r="D396" s="42">
        <f t="shared" si="23"/>
        <v>522.17860667296998</v>
      </c>
      <c r="E396" s="83">
        <f t="shared" si="24"/>
        <v>209393.62127586096</v>
      </c>
      <c r="F396" s="83">
        <f>E396-G396</f>
        <v>208393.62127586096</v>
      </c>
      <c r="G396" s="83">
        <v>1000</v>
      </c>
      <c r="H396" s="23">
        <v>392</v>
      </c>
      <c r="Z396">
        <v>250440.58346895434</v>
      </c>
    </row>
    <row r="397" spans="2:26" x14ac:dyDescent="0.25">
      <c r="B397" s="83">
        <f t="shared" si="22"/>
        <v>208393.62127586096</v>
      </c>
      <c r="C397" s="43">
        <v>0.03</v>
      </c>
      <c r="D397" s="42">
        <f t="shared" si="23"/>
        <v>520.9840531896524</v>
      </c>
      <c r="E397" s="83">
        <f t="shared" si="24"/>
        <v>208914.60532905062</v>
      </c>
      <c r="F397" s="83">
        <f>E397-G397</f>
        <v>207914.60532905062</v>
      </c>
      <c r="G397" s="83">
        <v>1000</v>
      </c>
      <c r="H397" s="85">
        <v>393</v>
      </c>
      <c r="Z397">
        <v>250813.5495949669</v>
      </c>
    </row>
    <row r="398" spans="2:26" x14ac:dyDescent="0.25">
      <c r="B398" s="83">
        <f t="shared" si="22"/>
        <v>207914.60532905062</v>
      </c>
      <c r="C398" s="43">
        <v>0.03</v>
      </c>
      <c r="D398" s="42">
        <f t="shared" si="23"/>
        <v>519.78651332262655</v>
      </c>
      <c r="E398" s="83">
        <f t="shared" si="24"/>
        <v>208434.39184237324</v>
      </c>
      <c r="F398" s="83">
        <f>E398-G398</f>
        <v>207434.39184237324</v>
      </c>
      <c r="G398" s="83">
        <v>1000</v>
      </c>
      <c r="H398" s="45">
        <v>394</v>
      </c>
      <c r="Z398">
        <v>251185.58563088972</v>
      </c>
    </row>
    <row r="399" spans="2:26" x14ac:dyDescent="0.25">
      <c r="B399" s="83">
        <f t="shared" si="22"/>
        <v>207434.39184237324</v>
      </c>
      <c r="C399" s="43">
        <v>0.03</v>
      </c>
      <c r="D399" s="42">
        <f t="shared" si="23"/>
        <v>518.58597960593306</v>
      </c>
      <c r="E399" s="83">
        <f t="shared" si="24"/>
        <v>207952.97782197918</v>
      </c>
      <c r="F399" s="83">
        <f>E399-G399</f>
        <v>206952.97782197918</v>
      </c>
      <c r="G399" s="83">
        <v>1000</v>
      </c>
      <c r="H399" s="23">
        <v>395</v>
      </c>
      <c r="Z399">
        <v>251556.69389614931</v>
      </c>
    </row>
    <row r="400" spans="2:26" x14ac:dyDescent="0.25">
      <c r="B400" s="83">
        <f t="shared" si="22"/>
        <v>206952.97782197918</v>
      </c>
      <c r="C400" s="43">
        <v>0.03</v>
      </c>
      <c r="D400" s="42">
        <f t="shared" si="23"/>
        <v>517.38244455494794</v>
      </c>
      <c r="E400" s="83">
        <f t="shared" si="24"/>
        <v>207470.36026653412</v>
      </c>
      <c r="F400" s="83">
        <f>E400-G400</f>
        <v>206470.36026653412</v>
      </c>
      <c r="G400" s="83">
        <v>1000</v>
      </c>
      <c r="H400" s="85">
        <v>396</v>
      </c>
      <c r="Z400">
        <v>251926.8767043883</v>
      </c>
    </row>
    <row r="401" spans="2:26" x14ac:dyDescent="0.25">
      <c r="B401" s="83">
        <f t="shared" si="22"/>
        <v>206470.36026653412</v>
      </c>
      <c r="C401" s="43">
        <v>0.03</v>
      </c>
      <c r="D401" s="42">
        <f t="shared" si="23"/>
        <v>516.17590066633534</v>
      </c>
      <c r="E401" s="83">
        <f t="shared" si="24"/>
        <v>206986.53616720045</v>
      </c>
      <c r="F401" s="83">
        <f>E401-G401</f>
        <v>205986.53616720045</v>
      </c>
      <c r="G401" s="83">
        <v>1000</v>
      </c>
      <c r="H401" s="45">
        <v>397</v>
      </c>
      <c r="Z401">
        <v>252296.13636347966</v>
      </c>
    </row>
    <row r="402" spans="2:26" x14ac:dyDescent="0.25">
      <c r="B402" s="83">
        <f t="shared" si="22"/>
        <v>205986.53616720045</v>
      </c>
      <c r="C402" s="43">
        <v>0.03</v>
      </c>
      <c r="D402" s="42">
        <f t="shared" si="23"/>
        <v>514.9663404180011</v>
      </c>
      <c r="E402" s="83">
        <f t="shared" si="24"/>
        <v>206501.50250761845</v>
      </c>
      <c r="F402" s="83">
        <f>E402-G402</f>
        <v>205501.50250761845</v>
      </c>
      <c r="G402" s="83">
        <v>1000</v>
      </c>
      <c r="H402" s="23">
        <v>398</v>
      </c>
      <c r="Z402">
        <v>252664.47517554078</v>
      </c>
    </row>
    <row r="403" spans="2:26" x14ac:dyDescent="0.25">
      <c r="B403" s="83">
        <f t="shared" si="22"/>
        <v>205501.50250761845</v>
      </c>
      <c r="C403" s="43">
        <v>0.03</v>
      </c>
      <c r="D403" s="42">
        <f t="shared" si="23"/>
        <v>513.75375626904611</v>
      </c>
      <c r="E403" s="83">
        <f t="shared" si="24"/>
        <v>206015.25626388751</v>
      </c>
      <c r="F403" s="83">
        <f>E403-G403</f>
        <v>205015.25626388751</v>
      </c>
      <c r="G403" s="83">
        <v>1000</v>
      </c>
      <c r="H403" s="85">
        <v>399</v>
      </c>
      <c r="Z403">
        <v>253031.89543694843</v>
      </c>
    </row>
    <row r="404" spans="2:26" x14ac:dyDescent="0.25">
      <c r="B404" s="83">
        <f t="shared" si="22"/>
        <v>205015.25626388751</v>
      </c>
      <c r="C404" s="43">
        <v>0.03</v>
      </c>
      <c r="D404" s="42">
        <f t="shared" si="23"/>
        <v>512.53814065971881</v>
      </c>
      <c r="E404" s="83">
        <f t="shared" si="24"/>
        <v>205527.79440454722</v>
      </c>
      <c r="F404" s="83">
        <f>E404-G404</f>
        <v>204527.79440454722</v>
      </c>
      <c r="G404" s="83">
        <v>1000</v>
      </c>
      <c r="H404" s="45">
        <v>400</v>
      </c>
      <c r="Z404">
        <v>253398.3994383525</v>
      </c>
    </row>
    <row r="405" spans="2:26" x14ac:dyDescent="0.25">
      <c r="B405" s="83">
        <f t="shared" si="22"/>
        <v>204527.79440454722</v>
      </c>
      <c r="C405" s="43">
        <v>0.03</v>
      </c>
      <c r="D405" s="42">
        <f t="shared" si="23"/>
        <v>511.3194860113681</v>
      </c>
      <c r="E405" s="83">
        <f t="shared" si="24"/>
        <v>205039.1138905586</v>
      </c>
      <c r="F405" s="83">
        <f>E405-G405</f>
        <v>204039.1138905586</v>
      </c>
      <c r="G405" s="83">
        <v>1000</v>
      </c>
      <c r="H405" s="23">
        <v>401</v>
      </c>
      <c r="Z405">
        <v>253763.98946469076</v>
      </c>
    </row>
    <row r="406" spans="2:26" x14ac:dyDescent="0.25">
      <c r="B406" s="83">
        <f t="shared" si="22"/>
        <v>204039.1138905586</v>
      </c>
      <c r="C406" s="43">
        <v>0.03</v>
      </c>
      <c r="D406" s="42">
        <f t="shared" si="23"/>
        <v>510.09778472639653</v>
      </c>
      <c r="E406" s="83">
        <f t="shared" si="24"/>
        <v>204549.21167528498</v>
      </c>
      <c r="F406" s="83">
        <f>E406-G406</f>
        <v>203549.21167528498</v>
      </c>
      <c r="G406" s="83">
        <v>1000</v>
      </c>
      <c r="H406" s="85">
        <v>402</v>
      </c>
      <c r="Z406">
        <v>254128.66779520272</v>
      </c>
    </row>
    <row r="407" spans="2:26" x14ac:dyDescent="0.25">
      <c r="B407" s="83">
        <f t="shared" si="22"/>
        <v>203549.21167528498</v>
      </c>
      <c r="C407" s="43">
        <v>0.03</v>
      </c>
      <c r="D407" s="42">
        <f t="shared" si="23"/>
        <v>508.87302918821246</v>
      </c>
      <c r="E407" s="83">
        <f t="shared" si="24"/>
        <v>204058.08470447321</v>
      </c>
      <c r="F407" s="83">
        <f>E407-G407</f>
        <v>203058.08470447321</v>
      </c>
      <c r="G407" s="83">
        <v>1000</v>
      </c>
      <c r="H407" s="45">
        <v>403</v>
      </c>
      <c r="Z407">
        <v>254492.43670344411</v>
      </c>
    </row>
    <row r="408" spans="2:26" x14ac:dyDescent="0.25">
      <c r="B408" s="83">
        <f t="shared" si="22"/>
        <v>203058.08470447321</v>
      </c>
      <c r="C408" s="43">
        <v>0.03</v>
      </c>
      <c r="D408" s="42">
        <f t="shared" si="23"/>
        <v>507.64521176118302</v>
      </c>
      <c r="E408" s="83">
        <f t="shared" si="24"/>
        <v>203565.72991623438</v>
      </c>
      <c r="F408" s="83">
        <f>E408-G408</f>
        <v>202565.72991623438</v>
      </c>
      <c r="G408" s="83">
        <v>1000</v>
      </c>
      <c r="H408" s="23">
        <v>404</v>
      </c>
      <c r="Z408">
        <v>254855.29845730087</v>
      </c>
    </row>
    <row r="409" spans="2:26" x14ac:dyDescent="0.25">
      <c r="B409" s="83">
        <f t="shared" si="22"/>
        <v>202565.72991623438</v>
      </c>
      <c r="C409" s="43">
        <v>0.03</v>
      </c>
      <c r="D409" s="42">
        <f t="shared" si="23"/>
        <v>506.41432479058597</v>
      </c>
      <c r="E409" s="83">
        <f t="shared" si="24"/>
        <v>203072.14424102497</v>
      </c>
      <c r="F409" s="83">
        <f>E409-G409</f>
        <v>202072.14424102497</v>
      </c>
      <c r="G409" s="83">
        <v>1000</v>
      </c>
      <c r="H409" s="85">
        <v>405</v>
      </c>
      <c r="Z409">
        <v>255217.25531900337</v>
      </c>
    </row>
    <row r="410" spans="2:26" x14ac:dyDescent="0.25">
      <c r="B410" s="83">
        <f t="shared" si="22"/>
        <v>202072.14424102497</v>
      </c>
      <c r="C410" s="43">
        <v>0.03</v>
      </c>
      <c r="D410" s="42">
        <f t="shared" si="23"/>
        <v>505.18036060256242</v>
      </c>
      <c r="E410" s="83">
        <f t="shared" si="24"/>
        <v>202577.32460162754</v>
      </c>
      <c r="F410" s="83">
        <f>E410-G410</f>
        <v>201577.32460162754</v>
      </c>
      <c r="G410" s="83">
        <v>1000</v>
      </c>
      <c r="H410" s="45">
        <v>406</v>
      </c>
      <c r="Z410">
        <v>255578.30954514048</v>
      </c>
    </row>
    <row r="411" spans="2:26" x14ac:dyDescent="0.25">
      <c r="B411" s="83">
        <f t="shared" si="22"/>
        <v>201577.32460162754</v>
      </c>
      <c r="C411" s="43">
        <v>0.03</v>
      </c>
      <c r="D411" s="42">
        <f t="shared" si="23"/>
        <v>503.94331150406884</v>
      </c>
      <c r="E411" s="83">
        <f t="shared" si="24"/>
        <v>202081.2679131316</v>
      </c>
      <c r="F411" s="83">
        <f>E411-G411</f>
        <v>201081.2679131316</v>
      </c>
      <c r="G411" s="83">
        <v>1000</v>
      </c>
      <c r="H411" s="23">
        <v>407</v>
      </c>
      <c r="Z411">
        <v>255938.4633866738</v>
      </c>
    </row>
    <row r="412" spans="2:26" x14ac:dyDescent="0.25">
      <c r="B412" s="83">
        <f t="shared" ref="B412:B475" si="25">F411</f>
        <v>201081.2679131316</v>
      </c>
      <c r="C412" s="43">
        <v>0.03</v>
      </c>
      <c r="D412" s="42">
        <f t="shared" ref="D412:D475" si="26">B412*(0.03/12)</f>
        <v>502.70316978282898</v>
      </c>
      <c r="E412" s="83">
        <f t="shared" ref="E412:E475" si="27">B412+D412</f>
        <v>201583.97108291442</v>
      </c>
      <c r="F412" s="83">
        <f>E412-G412</f>
        <v>200583.97108291442</v>
      </c>
      <c r="G412" s="83">
        <v>1000</v>
      </c>
      <c r="H412" s="85">
        <v>408</v>
      </c>
      <c r="Z412">
        <v>256297.71908895142</v>
      </c>
    </row>
    <row r="413" spans="2:26" x14ac:dyDescent="0.25">
      <c r="B413" s="83">
        <f t="shared" si="25"/>
        <v>200583.97108291442</v>
      </c>
      <c r="C413" s="43">
        <v>0.03</v>
      </c>
      <c r="D413" s="42">
        <f t="shared" si="26"/>
        <v>501.45992770728606</v>
      </c>
      <c r="E413" s="83">
        <f t="shared" si="27"/>
        <v>201085.43101062172</v>
      </c>
      <c r="F413" s="83">
        <f>E413-G413</f>
        <v>200085.43101062172</v>
      </c>
      <c r="G413" s="83">
        <v>1000</v>
      </c>
      <c r="H413" s="45">
        <v>409</v>
      </c>
      <c r="Z413">
        <v>256656.07889172211</v>
      </c>
    </row>
    <row r="414" spans="2:26" x14ac:dyDescent="0.25">
      <c r="B414" s="83">
        <f t="shared" si="25"/>
        <v>200085.43101062172</v>
      </c>
      <c r="C414" s="43">
        <v>0.03</v>
      </c>
      <c r="D414" s="42">
        <f t="shared" si="26"/>
        <v>500.21357752655427</v>
      </c>
      <c r="E414" s="83">
        <f t="shared" si="27"/>
        <v>200585.64458814828</v>
      </c>
      <c r="F414" s="83">
        <f>E414-G414</f>
        <v>199585.64458814828</v>
      </c>
      <c r="G414" s="83">
        <v>1000</v>
      </c>
      <c r="H414" s="23">
        <v>410</v>
      </c>
      <c r="Z414">
        <v>257013.54502914927</v>
      </c>
    </row>
    <row r="415" spans="2:26" x14ac:dyDescent="0.25">
      <c r="B415" s="83">
        <f t="shared" si="25"/>
        <v>199585.64458814828</v>
      </c>
      <c r="C415" s="43">
        <v>0.03</v>
      </c>
      <c r="D415" s="42">
        <f t="shared" si="26"/>
        <v>498.96411147037071</v>
      </c>
      <c r="E415" s="83">
        <f t="shared" si="27"/>
        <v>200084.60869961866</v>
      </c>
      <c r="F415" s="83">
        <f>E415-G415</f>
        <v>199084.60869961866</v>
      </c>
      <c r="G415" s="83">
        <v>1000</v>
      </c>
      <c r="H415" s="85">
        <v>411</v>
      </c>
      <c r="Z415">
        <v>257370.11972982468</v>
      </c>
    </row>
    <row r="416" spans="2:26" x14ac:dyDescent="0.25">
      <c r="B416" s="83">
        <f t="shared" si="25"/>
        <v>199084.60869961866</v>
      </c>
      <c r="C416" s="43">
        <v>0.03</v>
      </c>
      <c r="D416" s="42">
        <f t="shared" si="26"/>
        <v>497.71152174904665</v>
      </c>
      <c r="E416" s="83">
        <f t="shared" si="27"/>
        <v>199582.3202213677</v>
      </c>
      <c r="F416" s="83">
        <f>E416-G416</f>
        <v>198582.3202213677</v>
      </c>
      <c r="G416" s="83">
        <v>1000</v>
      </c>
      <c r="H416" s="45">
        <v>412</v>
      </c>
      <c r="Z416">
        <v>257725.8052167827</v>
      </c>
    </row>
    <row r="417" spans="2:26" x14ac:dyDescent="0.25">
      <c r="B417" s="83">
        <f t="shared" si="25"/>
        <v>198582.3202213677</v>
      </c>
      <c r="C417" s="43">
        <v>0.03</v>
      </c>
      <c r="D417" s="42">
        <f t="shared" si="26"/>
        <v>496.45580055341924</v>
      </c>
      <c r="E417" s="83">
        <f t="shared" si="27"/>
        <v>199078.7760219211</v>
      </c>
      <c r="F417" s="83">
        <f>E417-G417</f>
        <v>198078.7760219211</v>
      </c>
      <c r="G417" s="83">
        <v>1000</v>
      </c>
      <c r="H417" s="23">
        <v>413</v>
      </c>
      <c r="Z417">
        <v>258080.60370751395</v>
      </c>
    </row>
    <row r="418" spans="2:26" x14ac:dyDescent="0.25">
      <c r="B418" s="83">
        <f t="shared" si="25"/>
        <v>198078.7760219211</v>
      </c>
      <c r="C418" s="43">
        <v>0.03</v>
      </c>
      <c r="D418" s="42">
        <f t="shared" si="26"/>
        <v>495.19694005480278</v>
      </c>
      <c r="E418" s="83">
        <f t="shared" si="27"/>
        <v>198573.9729619759</v>
      </c>
      <c r="F418" s="83">
        <f>E418-G418</f>
        <v>197573.9729619759</v>
      </c>
      <c r="G418" s="83">
        <v>1000</v>
      </c>
      <c r="H418" s="85">
        <v>414</v>
      </c>
      <c r="Z418">
        <v>258434.51741397893</v>
      </c>
    </row>
    <row r="419" spans="2:26" x14ac:dyDescent="0.25">
      <c r="B419" s="83">
        <f t="shared" si="25"/>
        <v>197573.9729619759</v>
      </c>
      <c r="C419" s="43">
        <v>0.03</v>
      </c>
      <c r="D419" s="42">
        <f t="shared" si="26"/>
        <v>493.93493240493979</v>
      </c>
      <c r="E419" s="83">
        <f t="shared" si="27"/>
        <v>198067.90789438083</v>
      </c>
      <c r="F419" s="83">
        <f>E419-G419</f>
        <v>197067.90789438083</v>
      </c>
      <c r="G419" s="83">
        <v>1000</v>
      </c>
      <c r="H419" s="45">
        <v>415</v>
      </c>
      <c r="Z419">
        <v>258787.54854262242</v>
      </c>
    </row>
    <row r="420" spans="2:26" x14ac:dyDescent="0.25">
      <c r="B420" s="83">
        <f t="shared" si="25"/>
        <v>197067.90789438083</v>
      </c>
      <c r="C420" s="43">
        <v>0.03</v>
      </c>
      <c r="D420" s="42">
        <f t="shared" si="26"/>
        <v>492.66976973595206</v>
      </c>
      <c r="E420" s="83">
        <f t="shared" si="27"/>
        <v>197560.57766411678</v>
      </c>
      <c r="F420" s="83">
        <f>E420-G420</f>
        <v>196560.57766411678</v>
      </c>
      <c r="G420" s="83">
        <v>1000</v>
      </c>
      <c r="H420" s="23">
        <v>416</v>
      </c>
      <c r="Z420">
        <v>259139.6992943864</v>
      </c>
    </row>
    <row r="421" spans="2:26" x14ac:dyDescent="0.25">
      <c r="B421" s="83">
        <f t="shared" si="25"/>
        <v>196560.57766411678</v>
      </c>
      <c r="C421" s="43">
        <v>0.03</v>
      </c>
      <c r="D421" s="42">
        <f t="shared" si="26"/>
        <v>491.40144416029193</v>
      </c>
      <c r="E421" s="83">
        <f t="shared" si="27"/>
        <v>197051.97910827707</v>
      </c>
      <c r="F421" s="83">
        <f>E421-G421</f>
        <v>196051.97910827707</v>
      </c>
      <c r="G421" s="83">
        <v>1000</v>
      </c>
      <c r="H421" s="85">
        <v>417</v>
      </c>
      <c r="Z421">
        <v>259490.97186472459</v>
      </c>
    </row>
    <row r="422" spans="2:26" x14ac:dyDescent="0.25">
      <c r="B422" s="83">
        <f t="shared" si="25"/>
        <v>196051.97910827707</v>
      </c>
      <c r="C422" s="43">
        <v>0.03</v>
      </c>
      <c r="D422" s="42">
        <f t="shared" si="26"/>
        <v>490.1299477706927</v>
      </c>
      <c r="E422" s="83">
        <f t="shared" si="27"/>
        <v>196542.10905604778</v>
      </c>
      <c r="F422" s="83">
        <f>E422-G422</f>
        <v>195542.10905604778</v>
      </c>
      <c r="G422" s="83">
        <v>1000</v>
      </c>
      <c r="H422" s="45">
        <v>418</v>
      </c>
      <c r="Z422">
        <v>259841.36844361556</v>
      </c>
    </row>
    <row r="423" spans="2:26" x14ac:dyDescent="0.25">
      <c r="B423" s="83">
        <f t="shared" si="25"/>
        <v>195542.10905604778</v>
      </c>
      <c r="C423" s="43">
        <v>0.03</v>
      </c>
      <c r="D423" s="42">
        <f t="shared" si="26"/>
        <v>488.85527264011944</v>
      </c>
      <c r="E423" s="83">
        <f t="shared" si="27"/>
        <v>196030.9643286879</v>
      </c>
      <c r="F423" s="83">
        <f>E423-G423</f>
        <v>195030.9643286879</v>
      </c>
      <c r="G423" s="83">
        <v>1000</v>
      </c>
      <c r="H423" s="23">
        <v>419</v>
      </c>
      <c r="Z423">
        <v>260190.89121557659</v>
      </c>
    </row>
    <row r="424" spans="2:26" x14ac:dyDescent="0.25">
      <c r="B424" s="83">
        <f t="shared" si="25"/>
        <v>195030.9643286879</v>
      </c>
      <c r="C424" s="43">
        <v>0.03</v>
      </c>
      <c r="D424" s="42">
        <f t="shared" si="26"/>
        <v>487.57741082171975</v>
      </c>
      <c r="E424" s="83">
        <f t="shared" si="27"/>
        <v>195518.54173950962</v>
      </c>
      <c r="F424" s="83">
        <f>E424-G424</f>
        <v>194518.54173950962</v>
      </c>
      <c r="G424" s="83">
        <v>1000</v>
      </c>
      <c r="H424" s="85">
        <v>420</v>
      </c>
      <c r="Z424">
        <v>260539.54235967743</v>
      </c>
    </row>
    <row r="425" spans="2:26" x14ac:dyDescent="0.25">
      <c r="B425" s="83">
        <f t="shared" si="25"/>
        <v>194518.54173950962</v>
      </c>
      <c r="C425" s="43">
        <v>0.03</v>
      </c>
      <c r="D425" s="42">
        <f t="shared" si="26"/>
        <v>486.29635434877406</v>
      </c>
      <c r="E425" s="83">
        <f t="shared" si="27"/>
        <v>195004.83809385839</v>
      </c>
      <c r="F425" s="83">
        <f>E425-G425</f>
        <v>194004.83809385839</v>
      </c>
      <c r="G425" s="83">
        <v>1000</v>
      </c>
      <c r="H425" s="45">
        <v>421</v>
      </c>
      <c r="Z425">
        <v>260887.32404955348</v>
      </c>
    </row>
    <row r="426" spans="2:26" x14ac:dyDescent="0.25">
      <c r="B426" s="83">
        <f t="shared" si="25"/>
        <v>194004.83809385839</v>
      </c>
      <c r="C426" s="43">
        <v>0.03</v>
      </c>
      <c r="D426" s="42">
        <f t="shared" si="26"/>
        <v>485.01209523464598</v>
      </c>
      <c r="E426" s="83">
        <f t="shared" si="27"/>
        <v>194489.85018909303</v>
      </c>
      <c r="F426" s="83">
        <f>E426-G426</f>
        <v>193489.85018909303</v>
      </c>
      <c r="G426" s="83">
        <v>1000</v>
      </c>
      <c r="H426" s="23">
        <v>422</v>
      </c>
      <c r="Z426">
        <v>261234.23845341994</v>
      </c>
    </row>
    <row r="427" spans="2:26" x14ac:dyDescent="0.25">
      <c r="B427" s="83">
        <f t="shared" si="25"/>
        <v>193489.85018909303</v>
      </c>
      <c r="C427" s="43">
        <v>0.03</v>
      </c>
      <c r="D427" s="42">
        <f t="shared" si="26"/>
        <v>483.72462547273261</v>
      </c>
      <c r="E427" s="83">
        <f t="shared" si="27"/>
        <v>193973.57481456577</v>
      </c>
      <c r="F427" s="83">
        <f>E427-G427</f>
        <v>192973.57481456577</v>
      </c>
      <c r="G427" s="83">
        <v>1000</v>
      </c>
      <c r="H427" s="85">
        <v>423</v>
      </c>
      <c r="Z427">
        <v>261580.28773408473</v>
      </c>
    </row>
    <row r="428" spans="2:26" x14ac:dyDescent="0.25">
      <c r="B428" s="83">
        <f t="shared" si="25"/>
        <v>192973.57481456577</v>
      </c>
      <c r="C428" s="43">
        <v>0.03</v>
      </c>
      <c r="D428" s="42">
        <f t="shared" si="26"/>
        <v>482.43393703641442</v>
      </c>
      <c r="E428" s="83">
        <f t="shared" si="27"/>
        <v>193456.00875160217</v>
      </c>
      <c r="F428" s="83">
        <f>E428-G428</f>
        <v>192456.00875160217</v>
      </c>
      <c r="G428" s="83">
        <v>1000</v>
      </c>
      <c r="H428" s="45">
        <v>424</v>
      </c>
      <c r="Z428">
        <v>261925.47404896232</v>
      </c>
    </row>
    <row r="429" spans="2:26" x14ac:dyDescent="0.25">
      <c r="B429" s="83">
        <f t="shared" si="25"/>
        <v>192456.00875160217</v>
      </c>
      <c r="C429" s="43">
        <v>0.03</v>
      </c>
      <c r="D429" s="42">
        <f t="shared" si="26"/>
        <v>481.14002187900542</v>
      </c>
      <c r="E429" s="83">
        <f t="shared" si="27"/>
        <v>192937.14877348117</v>
      </c>
      <c r="F429" s="83">
        <f>E429-G429</f>
        <v>191937.14877348117</v>
      </c>
      <c r="G429" s="83">
        <v>1000</v>
      </c>
      <c r="H429" s="23">
        <v>425</v>
      </c>
      <c r="Z429">
        <v>262269.79955008707</v>
      </c>
    </row>
    <row r="430" spans="2:26" x14ac:dyDescent="0.25">
      <c r="B430" s="83">
        <f t="shared" si="25"/>
        <v>191937.14877348117</v>
      </c>
      <c r="C430" s="43">
        <v>0.03</v>
      </c>
      <c r="D430" s="42">
        <f t="shared" si="26"/>
        <v>479.84287193370295</v>
      </c>
      <c r="E430" s="83">
        <f t="shared" si="27"/>
        <v>192416.99164541488</v>
      </c>
      <c r="F430" s="83">
        <f>E430-G430</f>
        <v>191416.99164541488</v>
      </c>
      <c r="G430" s="83">
        <v>1000</v>
      </c>
      <c r="H430" s="85">
        <v>426</v>
      </c>
      <c r="Z430">
        <v>262613.26638412673</v>
      </c>
    </row>
    <row r="431" spans="2:26" x14ac:dyDescent="0.25">
      <c r="B431" s="83">
        <f t="shared" si="25"/>
        <v>191416.99164541488</v>
      </c>
      <c r="C431" s="43">
        <v>0.03</v>
      </c>
      <c r="D431" s="42">
        <f t="shared" si="26"/>
        <v>478.54247911353718</v>
      </c>
      <c r="E431" s="83">
        <f t="shared" si="27"/>
        <v>191895.53412452841</v>
      </c>
      <c r="F431" s="83">
        <f>E431-G431</f>
        <v>190895.53412452841</v>
      </c>
      <c r="G431" s="83">
        <v>1000</v>
      </c>
      <c r="H431" s="45">
        <v>427</v>
      </c>
      <c r="Z431">
        <v>262955.87669239577</v>
      </c>
    </row>
    <row r="432" spans="2:26" x14ac:dyDescent="0.25">
      <c r="B432" s="83">
        <f t="shared" si="25"/>
        <v>190895.53412452841</v>
      </c>
      <c r="C432" s="43">
        <v>0.03</v>
      </c>
      <c r="D432" s="42">
        <f t="shared" si="26"/>
        <v>477.23883531132105</v>
      </c>
      <c r="E432" s="83">
        <f t="shared" si="27"/>
        <v>191372.77295983973</v>
      </c>
      <c r="F432" s="83">
        <f>E432-G432</f>
        <v>190372.77295983973</v>
      </c>
      <c r="G432" s="83">
        <v>1000</v>
      </c>
      <c r="H432" s="23">
        <v>428</v>
      </c>
      <c r="Z432">
        <v>263297.6326108686</v>
      </c>
    </row>
    <row r="433" spans="2:26" x14ac:dyDescent="0.25">
      <c r="B433" s="83">
        <f t="shared" si="25"/>
        <v>190372.77295983973</v>
      </c>
      <c r="C433" s="43">
        <v>0.03</v>
      </c>
      <c r="D433" s="42">
        <f t="shared" si="26"/>
        <v>475.9319323995993</v>
      </c>
      <c r="E433" s="83">
        <f t="shared" si="27"/>
        <v>190848.70489223933</v>
      </c>
      <c r="F433" s="83">
        <f>E433-G433</f>
        <v>189848.70489223933</v>
      </c>
      <c r="G433" s="83">
        <v>1000</v>
      </c>
      <c r="H433" s="85">
        <v>429</v>
      </c>
      <c r="Z433">
        <v>263638.53627019312</v>
      </c>
    </row>
    <row r="434" spans="2:26" x14ac:dyDescent="0.25">
      <c r="B434" s="83">
        <f t="shared" si="25"/>
        <v>189848.70489223933</v>
      </c>
      <c r="C434" s="43">
        <v>0.03</v>
      </c>
      <c r="D434" s="42">
        <f t="shared" si="26"/>
        <v>474.62176223059834</v>
      </c>
      <c r="E434" s="83">
        <f t="shared" si="27"/>
        <v>190323.32665446991</v>
      </c>
      <c r="F434" s="83">
        <f>E434-G434</f>
        <v>189323.32665446991</v>
      </c>
      <c r="G434" s="83">
        <v>1000</v>
      </c>
      <c r="H434" s="45">
        <v>430</v>
      </c>
      <c r="Z434">
        <v>263978.58979570383</v>
      </c>
    </row>
    <row r="435" spans="2:26" x14ac:dyDescent="0.25">
      <c r="B435" s="83">
        <f t="shared" si="25"/>
        <v>189323.32665446991</v>
      </c>
      <c r="C435" s="43">
        <v>0.03</v>
      </c>
      <c r="D435" s="42">
        <f t="shared" si="26"/>
        <v>473.30831663617482</v>
      </c>
      <c r="E435" s="83">
        <f t="shared" si="27"/>
        <v>189796.63497110608</v>
      </c>
      <c r="F435" s="83">
        <f>E435-G435</f>
        <v>188796.63497110608</v>
      </c>
      <c r="G435" s="83">
        <v>1000</v>
      </c>
      <c r="H435" s="23">
        <v>431</v>
      </c>
      <c r="Z435">
        <v>264317.79530743521</v>
      </c>
    </row>
    <row r="436" spans="2:26" x14ac:dyDescent="0.25">
      <c r="B436" s="83">
        <f t="shared" si="25"/>
        <v>188796.63497110608</v>
      </c>
      <c r="C436" s="43">
        <v>0.03</v>
      </c>
      <c r="D436" s="42">
        <f t="shared" si="26"/>
        <v>471.99158742776518</v>
      </c>
      <c r="E436" s="83">
        <f t="shared" si="27"/>
        <v>189268.62655853384</v>
      </c>
      <c r="F436" s="83">
        <f>E436-G436</f>
        <v>188268.62655853384</v>
      </c>
      <c r="G436" s="83">
        <v>1000</v>
      </c>
      <c r="H436" s="85">
        <v>432</v>
      </c>
      <c r="Z436">
        <v>264656.15492013487</v>
      </c>
    </row>
    <row r="437" spans="2:26" x14ac:dyDescent="0.25">
      <c r="B437" s="83">
        <f t="shared" si="25"/>
        <v>188268.62655853384</v>
      </c>
      <c r="C437" s="43">
        <v>0.03</v>
      </c>
      <c r="D437" s="42">
        <f t="shared" si="26"/>
        <v>470.67156639633458</v>
      </c>
      <c r="E437" s="83">
        <f t="shared" si="27"/>
        <v>188739.29812493018</v>
      </c>
      <c r="F437" s="83">
        <f>E437-G437</f>
        <v>187739.29812493018</v>
      </c>
      <c r="G437" s="83">
        <v>1000</v>
      </c>
      <c r="H437" s="45">
        <v>433</v>
      </c>
      <c r="Z437">
        <v>264993.67074327671</v>
      </c>
    </row>
    <row r="438" spans="2:26" x14ac:dyDescent="0.25">
      <c r="B438" s="83">
        <f t="shared" si="25"/>
        <v>187739.29812493018</v>
      </c>
      <c r="C438" s="43">
        <v>0.03</v>
      </c>
      <c r="D438" s="42">
        <f t="shared" si="26"/>
        <v>469.34824531232545</v>
      </c>
      <c r="E438" s="83">
        <f t="shared" si="27"/>
        <v>188208.6463702425</v>
      </c>
      <c r="F438" s="83">
        <f>E438-G438</f>
        <v>187208.6463702425</v>
      </c>
      <c r="G438" s="83">
        <v>1000</v>
      </c>
      <c r="H438" s="23">
        <v>434</v>
      </c>
      <c r="Z438">
        <v>265330.34488107398</v>
      </c>
    </row>
    <row r="439" spans="2:26" x14ac:dyDescent="0.25">
      <c r="B439" s="83">
        <f t="shared" si="25"/>
        <v>187208.6463702425</v>
      </c>
      <c r="C439" s="43">
        <v>0.03</v>
      </c>
      <c r="D439" s="42">
        <f t="shared" si="26"/>
        <v>468.02161592560623</v>
      </c>
      <c r="E439" s="83">
        <f t="shared" si="27"/>
        <v>187676.66798616809</v>
      </c>
      <c r="F439" s="83">
        <f>E439-G439</f>
        <v>186676.66798616809</v>
      </c>
      <c r="G439" s="83">
        <v>1000</v>
      </c>
      <c r="H439" s="85">
        <v>435</v>
      </c>
      <c r="Z439">
        <v>265666.17943249282</v>
      </c>
    </row>
    <row r="440" spans="2:26" x14ac:dyDescent="0.25">
      <c r="B440" s="83">
        <f t="shared" si="25"/>
        <v>186676.66798616809</v>
      </c>
      <c r="C440" s="43">
        <v>0.03</v>
      </c>
      <c r="D440" s="42">
        <f t="shared" si="26"/>
        <v>466.69166996542026</v>
      </c>
      <c r="E440" s="83">
        <f t="shared" si="27"/>
        <v>187143.35965613351</v>
      </c>
      <c r="F440" s="83">
        <f>E440-G440</f>
        <v>186143.35965613351</v>
      </c>
      <c r="G440" s="83">
        <v>1000</v>
      </c>
      <c r="H440" s="45">
        <v>436</v>
      </c>
      <c r="Z440">
        <v>266001.1764912646</v>
      </c>
    </row>
    <row r="441" spans="2:26" x14ac:dyDescent="0.25">
      <c r="B441" s="83">
        <f t="shared" si="25"/>
        <v>186143.35965613351</v>
      </c>
      <c r="C441" s="43">
        <v>0.03</v>
      </c>
      <c r="D441" s="42">
        <f t="shared" si="26"/>
        <v>465.3583991403338</v>
      </c>
      <c r="E441" s="83">
        <f t="shared" si="27"/>
        <v>186608.71805527384</v>
      </c>
      <c r="F441" s="83">
        <f>E441-G441</f>
        <v>185608.71805527384</v>
      </c>
      <c r="G441" s="83">
        <v>1000</v>
      </c>
      <c r="H441" s="23">
        <v>437</v>
      </c>
      <c r="Z441">
        <v>266335.33814589988</v>
      </c>
    </row>
    <row r="442" spans="2:26" x14ac:dyDescent="0.25">
      <c r="B442" s="83">
        <f t="shared" si="25"/>
        <v>185608.71805527384</v>
      </c>
      <c r="C442" s="43">
        <v>0.03</v>
      </c>
      <c r="D442" s="42">
        <f t="shared" si="26"/>
        <v>464.02179513818464</v>
      </c>
      <c r="E442" s="83">
        <f t="shared" si="27"/>
        <v>186072.73985041204</v>
      </c>
      <c r="F442" s="83">
        <f>E442-G442</f>
        <v>185072.73985041204</v>
      </c>
      <c r="G442" s="83">
        <v>1000</v>
      </c>
      <c r="H442" s="85">
        <v>438</v>
      </c>
      <c r="Z442">
        <v>266668.66647970059</v>
      </c>
    </row>
    <row r="443" spans="2:26" x14ac:dyDescent="0.25">
      <c r="B443" s="83">
        <f t="shared" si="25"/>
        <v>185072.73985041204</v>
      </c>
      <c r="C443" s="43">
        <v>0.03</v>
      </c>
      <c r="D443" s="42">
        <f t="shared" si="26"/>
        <v>462.6818496260301</v>
      </c>
      <c r="E443" s="83">
        <f t="shared" si="27"/>
        <v>185535.42170003807</v>
      </c>
      <c r="F443" s="83">
        <f>E443-G443</f>
        <v>184535.42170003807</v>
      </c>
      <c r="G443" s="83">
        <v>1000</v>
      </c>
      <c r="H443" s="45">
        <v>439</v>
      </c>
      <c r="Z443">
        <v>267001.16357077361</v>
      </c>
    </row>
    <row r="444" spans="2:26" x14ac:dyDescent="0.25">
      <c r="B444" s="83">
        <f t="shared" si="25"/>
        <v>184535.42170003807</v>
      </c>
      <c r="C444" s="43">
        <v>0.03</v>
      </c>
      <c r="D444" s="42">
        <f t="shared" si="26"/>
        <v>461.33855425009517</v>
      </c>
      <c r="E444" s="83">
        <f t="shared" si="27"/>
        <v>184996.76025428818</v>
      </c>
      <c r="F444" s="83">
        <f>E444-G444</f>
        <v>183996.76025428818</v>
      </c>
      <c r="G444" s="83">
        <v>1000</v>
      </c>
      <c r="H444" s="23">
        <v>440</v>
      </c>
      <c r="Z444">
        <v>267332.83149204351</v>
      </c>
    </row>
    <row r="445" spans="2:26" x14ac:dyDescent="0.25">
      <c r="B445" s="83">
        <f t="shared" si="25"/>
        <v>183996.76025428818</v>
      </c>
      <c r="C445" s="43">
        <v>0.03</v>
      </c>
      <c r="D445" s="42">
        <f t="shared" si="26"/>
        <v>459.99190063572047</v>
      </c>
      <c r="E445" s="83">
        <f t="shared" si="27"/>
        <v>184456.75215492389</v>
      </c>
      <c r="F445" s="83">
        <f>E445-G445</f>
        <v>183456.75215492389</v>
      </c>
      <c r="G445" s="83">
        <v>1000</v>
      </c>
      <c r="H445" s="85">
        <v>441</v>
      </c>
      <c r="Z445">
        <v>267663.67231126537</v>
      </c>
    </row>
    <row r="446" spans="2:26" x14ac:dyDescent="0.25">
      <c r="B446" s="83">
        <f t="shared" si="25"/>
        <v>183456.75215492389</v>
      </c>
      <c r="C446" s="43">
        <v>0.03</v>
      </c>
      <c r="D446" s="42">
        <f t="shared" si="26"/>
        <v>458.64188038730975</v>
      </c>
      <c r="E446" s="83">
        <f t="shared" si="27"/>
        <v>183915.39403531121</v>
      </c>
      <c r="F446" s="83">
        <f>E446-G446</f>
        <v>182915.39403531121</v>
      </c>
      <c r="G446" s="83">
        <v>1000</v>
      </c>
      <c r="H446" s="45">
        <v>442</v>
      </c>
      <c r="Z446">
        <v>267993.68809103774</v>
      </c>
    </row>
    <row r="447" spans="2:26" x14ac:dyDescent="0.25">
      <c r="B447" s="83">
        <f t="shared" si="25"/>
        <v>182915.39403531121</v>
      </c>
      <c r="C447" s="43">
        <v>0.03</v>
      </c>
      <c r="D447" s="42">
        <f t="shared" si="26"/>
        <v>457.28848508827804</v>
      </c>
      <c r="E447" s="83">
        <f t="shared" si="27"/>
        <v>183372.68252039948</v>
      </c>
      <c r="F447" s="83">
        <f>E447-G447</f>
        <v>182372.68252039948</v>
      </c>
      <c r="G447" s="83">
        <v>1000</v>
      </c>
      <c r="H447" s="23">
        <v>443</v>
      </c>
      <c r="Z447">
        <v>268322.88088881568</v>
      </c>
    </row>
    <row r="448" spans="2:26" x14ac:dyDescent="0.25">
      <c r="B448" s="83">
        <f t="shared" si="25"/>
        <v>182372.68252039948</v>
      </c>
      <c r="C448" s="43">
        <v>0.03</v>
      </c>
      <c r="D448" s="42">
        <f t="shared" si="26"/>
        <v>455.93170630099871</v>
      </c>
      <c r="E448" s="83">
        <f t="shared" si="27"/>
        <v>182828.61422670048</v>
      </c>
      <c r="F448" s="83">
        <f>E448-G448</f>
        <v>181828.61422670048</v>
      </c>
      <c r="G448" s="83">
        <v>1000</v>
      </c>
      <c r="H448" s="85">
        <v>444</v>
      </c>
      <c r="Z448">
        <v>268651.25275692338</v>
      </c>
    </row>
    <row r="449" spans="2:26" x14ac:dyDescent="0.25">
      <c r="B449" s="83">
        <f t="shared" si="25"/>
        <v>181828.61422670048</v>
      </c>
      <c r="C449" s="43">
        <v>0.03</v>
      </c>
      <c r="D449" s="42">
        <f t="shared" si="26"/>
        <v>454.57153556675121</v>
      </c>
      <c r="E449" s="83">
        <f t="shared" si="27"/>
        <v>182283.18576226724</v>
      </c>
      <c r="F449" s="83">
        <f>E449-G449</f>
        <v>181283.18576226724</v>
      </c>
      <c r="G449" s="83">
        <v>1000</v>
      </c>
      <c r="H449" s="45">
        <v>445</v>
      </c>
      <c r="Z449">
        <v>268978.80574256694</v>
      </c>
    </row>
    <row r="450" spans="2:26" x14ac:dyDescent="0.25">
      <c r="B450" s="83">
        <f t="shared" si="25"/>
        <v>181283.18576226724</v>
      </c>
      <c r="C450" s="43">
        <v>0.03</v>
      </c>
      <c r="D450" s="42">
        <f t="shared" si="26"/>
        <v>453.20796440566812</v>
      </c>
      <c r="E450" s="83">
        <f t="shared" si="27"/>
        <v>181736.39372667292</v>
      </c>
      <c r="F450" s="83">
        <f>E450-G450</f>
        <v>180736.39372667292</v>
      </c>
      <c r="G450" s="83">
        <v>1000</v>
      </c>
      <c r="H450" s="23">
        <v>446</v>
      </c>
      <c r="Z450">
        <v>269305.54188784736</v>
      </c>
    </row>
    <row r="451" spans="2:26" x14ac:dyDescent="0.25">
      <c r="B451" s="83">
        <f t="shared" si="25"/>
        <v>180736.39372667292</v>
      </c>
      <c r="C451" s="43">
        <v>0.03</v>
      </c>
      <c r="D451" s="42">
        <f t="shared" si="26"/>
        <v>451.8409843166823</v>
      </c>
      <c r="E451" s="83">
        <f t="shared" si="27"/>
        <v>181188.23471098961</v>
      </c>
      <c r="F451" s="83">
        <f>E451-G451</f>
        <v>180188.23471098961</v>
      </c>
      <c r="G451" s="83">
        <v>1000</v>
      </c>
      <c r="H451" s="85">
        <v>447</v>
      </c>
      <c r="Z451">
        <v>269631.46322977293</v>
      </c>
    </row>
    <row r="452" spans="2:26" x14ac:dyDescent="0.25">
      <c r="B452" s="83">
        <f t="shared" si="25"/>
        <v>180188.23471098961</v>
      </c>
      <c r="C452" s="43">
        <v>0.03</v>
      </c>
      <c r="D452" s="42">
        <f t="shared" si="26"/>
        <v>450.47058677747401</v>
      </c>
      <c r="E452" s="83">
        <f t="shared" si="27"/>
        <v>180638.70529776707</v>
      </c>
      <c r="F452" s="83">
        <f>E452-G452</f>
        <v>179638.70529776707</v>
      </c>
      <c r="G452" s="83">
        <v>1000</v>
      </c>
      <c r="H452" s="45">
        <v>448</v>
      </c>
      <c r="Z452">
        <v>269956.57180027221</v>
      </c>
    </row>
    <row r="453" spans="2:26" x14ac:dyDescent="0.25">
      <c r="B453" s="83">
        <f t="shared" si="25"/>
        <v>179638.70529776707</v>
      </c>
      <c r="C453" s="43">
        <v>0.03</v>
      </c>
      <c r="D453" s="42">
        <f t="shared" si="26"/>
        <v>449.09676324441767</v>
      </c>
      <c r="E453" s="83">
        <f t="shared" si="27"/>
        <v>180087.80206101149</v>
      </c>
      <c r="F453" s="83">
        <f>E453-G453</f>
        <v>179087.80206101149</v>
      </c>
      <c r="G453" s="83">
        <v>1000</v>
      </c>
      <c r="H453" s="23">
        <v>449</v>
      </c>
      <c r="Z453">
        <v>270280.8696262067</v>
      </c>
    </row>
    <row r="454" spans="2:26" x14ac:dyDescent="0.25">
      <c r="B454" s="83">
        <f t="shared" si="25"/>
        <v>179087.80206101149</v>
      </c>
      <c r="C454" s="43">
        <v>0.03</v>
      </c>
      <c r="D454" s="42">
        <f t="shared" si="26"/>
        <v>447.71950515252871</v>
      </c>
      <c r="E454" s="83">
        <f t="shared" si="27"/>
        <v>179535.52156616401</v>
      </c>
      <c r="F454" s="83">
        <f>E454-G454</f>
        <v>178535.52156616401</v>
      </c>
      <c r="G454" s="83">
        <v>1000</v>
      </c>
      <c r="H454" s="85">
        <v>450</v>
      </c>
      <c r="Z454">
        <v>270604.35872938321</v>
      </c>
    </row>
    <row r="455" spans="2:26" x14ac:dyDescent="0.25">
      <c r="B455" s="83">
        <f t="shared" si="25"/>
        <v>178535.52156616401</v>
      </c>
      <c r="C455" s="43">
        <v>0.03</v>
      </c>
      <c r="D455" s="42">
        <f t="shared" si="26"/>
        <v>446.33880391541004</v>
      </c>
      <c r="E455" s="83">
        <f t="shared" si="27"/>
        <v>178981.86037007943</v>
      </c>
      <c r="F455" s="83">
        <f>E455-G455</f>
        <v>177981.86037007943</v>
      </c>
      <c r="G455" s="83">
        <v>1000</v>
      </c>
      <c r="H455" s="45">
        <v>451</v>
      </c>
      <c r="Z455">
        <v>270927.04112656676</v>
      </c>
    </row>
    <row r="456" spans="2:26" x14ac:dyDescent="0.25">
      <c r="B456" s="83">
        <f t="shared" si="25"/>
        <v>177981.86037007943</v>
      </c>
      <c r="C456" s="43">
        <v>0.03</v>
      </c>
      <c r="D456" s="42">
        <f t="shared" si="26"/>
        <v>444.95465092519862</v>
      </c>
      <c r="E456" s="83">
        <f t="shared" si="27"/>
        <v>178426.81502100464</v>
      </c>
      <c r="F456" s="83">
        <f>E456-G456</f>
        <v>177426.81502100464</v>
      </c>
      <c r="G456" s="83">
        <v>1000</v>
      </c>
      <c r="H456" s="23">
        <v>452</v>
      </c>
      <c r="Z456">
        <v>271248.91882949305</v>
      </c>
    </row>
    <row r="457" spans="2:26" x14ac:dyDescent="0.25">
      <c r="B457" s="83">
        <f t="shared" si="25"/>
        <v>177426.81502100464</v>
      </c>
      <c r="C457" s="43">
        <v>0.03</v>
      </c>
      <c r="D457" s="42">
        <f t="shared" si="26"/>
        <v>443.56703755251164</v>
      </c>
      <c r="E457" s="83">
        <f t="shared" si="27"/>
        <v>177870.38205855715</v>
      </c>
      <c r="F457" s="83">
        <f>E457-G457</f>
        <v>176870.38205855715</v>
      </c>
      <c r="G457" s="83">
        <v>1000</v>
      </c>
      <c r="H457" s="85">
        <v>453</v>
      </c>
      <c r="Z457">
        <v>271569.99384488078</v>
      </c>
    </row>
    <row r="458" spans="2:26" x14ac:dyDescent="0.25">
      <c r="B458" s="83">
        <f t="shared" si="25"/>
        <v>176870.38205855715</v>
      </c>
      <c r="C458" s="43">
        <v>0.03</v>
      </c>
      <c r="D458" s="42">
        <f t="shared" si="26"/>
        <v>442.17595514639288</v>
      </c>
      <c r="E458" s="83">
        <f t="shared" si="27"/>
        <v>177312.55801370356</v>
      </c>
      <c r="F458" s="83">
        <f>E458-G458</f>
        <v>176312.55801370356</v>
      </c>
      <c r="G458" s="83">
        <v>1000</v>
      </c>
      <c r="H458" s="45">
        <v>454</v>
      </c>
      <c r="Z458">
        <v>271890.26817444473</v>
      </c>
    </row>
    <row r="459" spans="2:26" x14ac:dyDescent="0.25">
      <c r="B459" s="83">
        <f t="shared" si="25"/>
        <v>176312.55801370356</v>
      </c>
      <c r="C459" s="43">
        <v>0.03</v>
      </c>
      <c r="D459" s="42">
        <f t="shared" si="26"/>
        <v>440.78139503425888</v>
      </c>
      <c r="E459" s="83">
        <f t="shared" si="27"/>
        <v>176753.33940873781</v>
      </c>
      <c r="F459" s="83">
        <f>E459-G459</f>
        <v>175753.33940873781</v>
      </c>
      <c r="G459" s="83">
        <v>1000</v>
      </c>
      <c r="H459" s="23">
        <v>455</v>
      </c>
      <c r="Z459">
        <v>272209.74381490744</v>
      </c>
    </row>
    <row r="460" spans="2:26" x14ac:dyDescent="0.25">
      <c r="B460" s="83">
        <f t="shared" si="25"/>
        <v>175753.33940873781</v>
      </c>
      <c r="C460" s="43">
        <v>0.03</v>
      </c>
      <c r="D460" s="42">
        <f t="shared" si="26"/>
        <v>439.38334852184454</v>
      </c>
      <c r="E460" s="83">
        <f t="shared" si="27"/>
        <v>176192.72275725965</v>
      </c>
      <c r="F460" s="83">
        <f>E460-G460</f>
        <v>175192.72275725965</v>
      </c>
      <c r="G460" s="83">
        <v>1000</v>
      </c>
      <c r="H460" s="85">
        <v>456</v>
      </c>
      <c r="Z460">
        <v>272528.42275801243</v>
      </c>
    </row>
    <row r="461" spans="2:26" x14ac:dyDescent="0.25">
      <c r="B461" s="83">
        <f t="shared" si="25"/>
        <v>175192.72275725965</v>
      </c>
      <c r="C461" s="43">
        <v>0.03</v>
      </c>
      <c r="D461" s="42">
        <f t="shared" si="26"/>
        <v>437.9818068931491</v>
      </c>
      <c r="E461" s="83">
        <f t="shared" si="27"/>
        <v>175630.70456415281</v>
      </c>
      <c r="F461" s="83">
        <f>E461-G461</f>
        <v>174630.70456415281</v>
      </c>
      <c r="G461" s="83">
        <v>1000</v>
      </c>
      <c r="H461" s="45">
        <v>457</v>
      </c>
      <c r="Z461">
        <v>272846.30699053605</v>
      </c>
    </row>
    <row r="462" spans="2:26" x14ac:dyDescent="0.25">
      <c r="B462" s="83">
        <f t="shared" si="25"/>
        <v>174630.70456415281</v>
      </c>
      <c r="C462" s="43">
        <v>0.03</v>
      </c>
      <c r="D462" s="42">
        <f t="shared" si="26"/>
        <v>436.57676141038201</v>
      </c>
      <c r="E462" s="83">
        <f t="shared" si="27"/>
        <v>175067.28132556318</v>
      </c>
      <c r="F462" s="83">
        <f>E462-G462</f>
        <v>174067.28132556318</v>
      </c>
      <c r="G462" s="83">
        <v>1000</v>
      </c>
      <c r="H462" s="23">
        <v>458</v>
      </c>
      <c r="Z462">
        <v>273163.39849430032</v>
      </c>
    </row>
    <row r="463" spans="2:26" x14ac:dyDescent="0.25">
      <c r="B463" s="83">
        <f t="shared" si="25"/>
        <v>174067.28132556318</v>
      </c>
      <c r="C463" s="43">
        <v>0.03</v>
      </c>
      <c r="D463" s="42">
        <f t="shared" si="26"/>
        <v>435.16820331390795</v>
      </c>
      <c r="E463" s="83">
        <f t="shared" si="27"/>
        <v>174502.4495288771</v>
      </c>
      <c r="F463" s="83">
        <f>E463-G463</f>
        <v>173502.4495288771</v>
      </c>
      <c r="G463" s="83">
        <v>1000</v>
      </c>
      <c r="H463" s="85">
        <v>459</v>
      </c>
      <c r="Z463">
        <v>273479.69924618484</v>
      </c>
    </row>
    <row r="464" spans="2:26" x14ac:dyDescent="0.25">
      <c r="B464" s="83">
        <f t="shared" si="25"/>
        <v>173502.4495288771</v>
      </c>
      <c r="C464" s="43">
        <v>0.03</v>
      </c>
      <c r="D464" s="42">
        <f t="shared" si="26"/>
        <v>433.75612382219276</v>
      </c>
      <c r="E464" s="83">
        <f t="shared" si="27"/>
        <v>173936.20565269928</v>
      </c>
      <c r="F464" s="83">
        <f>E464-G464</f>
        <v>172936.20565269928</v>
      </c>
      <c r="G464" s="83">
        <v>1000</v>
      </c>
      <c r="H464" s="45">
        <v>460</v>
      </c>
      <c r="Z464">
        <v>273795.21121813945</v>
      </c>
    </row>
    <row r="465" spans="2:26" x14ac:dyDescent="0.25">
      <c r="B465" s="83">
        <f t="shared" si="25"/>
        <v>172936.20565269928</v>
      </c>
      <c r="C465" s="43">
        <v>0.03</v>
      </c>
      <c r="D465" s="42">
        <f t="shared" si="26"/>
        <v>432.34051413174819</v>
      </c>
      <c r="E465" s="83">
        <f t="shared" si="27"/>
        <v>173368.54616683102</v>
      </c>
      <c r="F465" s="83">
        <f>E465-G465</f>
        <v>172368.54616683102</v>
      </c>
      <c r="G465" s="83">
        <v>1000</v>
      </c>
      <c r="H465" s="23">
        <v>461</v>
      </c>
      <c r="Z465">
        <v>274109.93637719646</v>
      </c>
    </row>
    <row r="466" spans="2:26" x14ac:dyDescent="0.25">
      <c r="B466" s="83">
        <f t="shared" si="25"/>
        <v>172368.54616683102</v>
      </c>
      <c r="C466" s="43">
        <v>0.03</v>
      </c>
      <c r="D466" s="42">
        <f t="shared" si="26"/>
        <v>430.92136541707754</v>
      </c>
      <c r="E466" s="83">
        <f t="shared" si="27"/>
        <v>172799.46753224809</v>
      </c>
      <c r="F466" s="83">
        <f>E466-G466</f>
        <v>171799.46753224809</v>
      </c>
      <c r="G466" s="83">
        <v>1000</v>
      </c>
      <c r="H466" s="85">
        <v>462</v>
      </c>
      <c r="Z466">
        <v>274423.87668548274</v>
      </c>
    </row>
    <row r="467" spans="2:26" x14ac:dyDescent="0.25">
      <c r="B467" s="83">
        <f t="shared" si="25"/>
        <v>171799.46753224809</v>
      </c>
      <c r="C467" s="43">
        <v>0.03</v>
      </c>
      <c r="D467" s="42">
        <f t="shared" si="26"/>
        <v>429.49866883062026</v>
      </c>
      <c r="E467" s="83">
        <f t="shared" si="27"/>
        <v>172228.9662010787</v>
      </c>
      <c r="F467" s="83">
        <f>E467-G467</f>
        <v>171228.9662010787</v>
      </c>
      <c r="G467" s="83">
        <v>1000</v>
      </c>
      <c r="H467" s="45">
        <v>463</v>
      </c>
      <c r="Z467">
        <v>274737.03410023224</v>
      </c>
    </row>
    <row r="468" spans="2:26" x14ac:dyDescent="0.25">
      <c r="B468" s="83">
        <f t="shared" si="25"/>
        <v>171228.9662010787</v>
      </c>
      <c r="C468" s="43">
        <v>0.03</v>
      </c>
      <c r="D468" s="42">
        <f t="shared" si="26"/>
        <v>428.07241550269674</v>
      </c>
      <c r="E468" s="83">
        <f t="shared" si="27"/>
        <v>171657.03861658138</v>
      </c>
      <c r="F468" s="83">
        <f>E468-G468</f>
        <v>170657.03861658138</v>
      </c>
      <c r="G468" s="83">
        <v>1000</v>
      </c>
      <c r="H468" s="23">
        <v>464</v>
      </c>
      <c r="Z468">
        <v>275049.41057379771</v>
      </c>
    </row>
    <row r="469" spans="2:26" x14ac:dyDescent="0.25">
      <c r="B469" s="83">
        <f t="shared" si="25"/>
        <v>170657.03861658138</v>
      </c>
      <c r="C469" s="43">
        <v>0.03</v>
      </c>
      <c r="D469" s="42">
        <f t="shared" si="26"/>
        <v>426.64259654145349</v>
      </c>
      <c r="E469" s="83">
        <f t="shared" si="27"/>
        <v>171083.68121312285</v>
      </c>
      <c r="F469" s="83">
        <f>E469-G469</f>
        <v>170083.68121312285</v>
      </c>
      <c r="G469" s="83">
        <v>1000</v>
      </c>
      <c r="H469" s="85">
        <v>465</v>
      </c>
      <c r="Z469">
        <v>275361.00805366354</v>
      </c>
    </row>
    <row r="470" spans="2:26" x14ac:dyDescent="0.25">
      <c r="B470" s="83">
        <f t="shared" si="25"/>
        <v>170083.68121312285</v>
      </c>
      <c r="C470" s="43">
        <v>0.03</v>
      </c>
      <c r="D470" s="42">
        <f t="shared" si="26"/>
        <v>425.20920303280712</v>
      </c>
      <c r="E470" s="83">
        <f t="shared" si="27"/>
        <v>170508.89041615566</v>
      </c>
      <c r="F470" s="83">
        <f>E470-G470</f>
        <v>169508.89041615566</v>
      </c>
      <c r="G470" s="83">
        <v>1000</v>
      </c>
      <c r="H470" s="45">
        <v>466</v>
      </c>
      <c r="Z470">
        <v>275671.82848245738</v>
      </c>
    </row>
    <row r="471" spans="2:26" x14ac:dyDescent="0.25">
      <c r="B471" s="83">
        <f t="shared" si="25"/>
        <v>169508.89041615566</v>
      </c>
      <c r="C471" s="43">
        <v>0.03</v>
      </c>
      <c r="D471" s="42">
        <f t="shared" si="26"/>
        <v>423.77222604038917</v>
      </c>
      <c r="E471" s="83">
        <f t="shared" si="27"/>
        <v>169932.66264219605</v>
      </c>
      <c r="F471" s="83">
        <f>E471-G471</f>
        <v>168932.66264219605</v>
      </c>
      <c r="G471" s="83">
        <v>1000</v>
      </c>
      <c r="H471" s="23">
        <v>467</v>
      </c>
      <c r="Z471">
        <v>275981.87379796244</v>
      </c>
    </row>
    <row r="472" spans="2:26" x14ac:dyDescent="0.25">
      <c r="B472" s="83">
        <f t="shared" si="25"/>
        <v>168932.66264219605</v>
      </c>
      <c r="C472" s="43">
        <v>0.03</v>
      </c>
      <c r="D472" s="42">
        <f t="shared" si="26"/>
        <v>422.33165660549014</v>
      </c>
      <c r="E472" s="83">
        <f t="shared" si="27"/>
        <v>169354.99429880155</v>
      </c>
      <c r="F472" s="83">
        <f>E472-G472</f>
        <v>168354.99429880155</v>
      </c>
      <c r="G472" s="83">
        <v>1000</v>
      </c>
      <c r="H472" s="85">
        <v>468</v>
      </c>
      <c r="Z472">
        <v>276291.14593312965</v>
      </c>
    </row>
    <row r="473" spans="2:26" x14ac:dyDescent="0.25">
      <c r="B473" s="83">
        <f t="shared" si="25"/>
        <v>168354.99429880155</v>
      </c>
      <c r="C473" s="43">
        <v>0.03</v>
      </c>
      <c r="D473" s="42">
        <f t="shared" si="26"/>
        <v>420.88748574700389</v>
      </c>
      <c r="E473" s="83">
        <f t="shared" si="27"/>
        <v>168775.88178454855</v>
      </c>
      <c r="F473" s="83">
        <f>E473-G473</f>
        <v>167775.88178454855</v>
      </c>
      <c r="G473" s="83">
        <v>1000</v>
      </c>
      <c r="H473" s="45">
        <v>469</v>
      </c>
      <c r="Z473">
        <v>276599.6468160894</v>
      </c>
    </row>
    <row r="474" spans="2:26" x14ac:dyDescent="0.25">
      <c r="B474" s="83">
        <f t="shared" si="25"/>
        <v>167775.88178454855</v>
      </c>
      <c r="C474" s="43">
        <v>0.03</v>
      </c>
      <c r="D474" s="42">
        <f t="shared" si="26"/>
        <v>419.43970446137138</v>
      </c>
      <c r="E474" s="83">
        <f t="shared" si="27"/>
        <v>168195.32148900992</v>
      </c>
      <c r="F474" s="83">
        <f>E474-G474</f>
        <v>167195.32148900992</v>
      </c>
      <c r="G474" s="83">
        <v>1000</v>
      </c>
      <c r="H474" s="23">
        <v>470</v>
      </c>
      <c r="Z474">
        <v>276907.37837016396</v>
      </c>
    </row>
    <row r="475" spans="2:26" x14ac:dyDescent="0.25">
      <c r="B475" s="83">
        <f t="shared" si="25"/>
        <v>167195.32148900992</v>
      </c>
      <c r="C475" s="43">
        <v>0.03</v>
      </c>
      <c r="D475" s="42">
        <f t="shared" si="26"/>
        <v>417.98830372252479</v>
      </c>
      <c r="E475" s="83">
        <f t="shared" si="27"/>
        <v>167613.30979273244</v>
      </c>
      <c r="F475" s="83">
        <f>E475-G475</f>
        <v>166613.30979273244</v>
      </c>
      <c r="G475" s="83">
        <v>1000</v>
      </c>
      <c r="H475" s="85">
        <v>471</v>
      </c>
      <c r="Z475">
        <v>277214.3425138793</v>
      </c>
    </row>
    <row r="476" spans="2:26" x14ac:dyDescent="0.25">
      <c r="B476" s="83">
        <f t="shared" ref="B476:B539" si="28">F475</f>
        <v>166613.30979273244</v>
      </c>
      <c r="C476" s="43">
        <v>0.03</v>
      </c>
      <c r="D476" s="42">
        <f t="shared" ref="D476:D539" si="29">B476*(0.03/12)</f>
        <v>416.53327448183109</v>
      </c>
      <c r="E476" s="83">
        <f t="shared" ref="E476:E539" si="30">B476+D476</f>
        <v>167029.84306721427</v>
      </c>
      <c r="F476" s="83">
        <f>E476-G476</f>
        <v>166029.84306721427</v>
      </c>
      <c r="G476" s="83">
        <v>1000</v>
      </c>
      <c r="H476" s="45">
        <v>472</v>
      </c>
      <c r="Z476">
        <v>277520.54116097681</v>
      </c>
    </row>
    <row r="477" spans="2:26" x14ac:dyDescent="0.25">
      <c r="B477" s="83">
        <f t="shared" si="28"/>
        <v>166029.84306721427</v>
      </c>
      <c r="C477" s="43">
        <v>0.03</v>
      </c>
      <c r="D477" s="42">
        <f t="shared" si="29"/>
        <v>415.0746076680357</v>
      </c>
      <c r="E477" s="83">
        <f t="shared" si="30"/>
        <v>166444.91767488231</v>
      </c>
      <c r="F477" s="83">
        <f>E477-G477</f>
        <v>165444.91767488231</v>
      </c>
      <c r="G477" s="83">
        <v>1000</v>
      </c>
      <c r="H477" s="23">
        <v>473</v>
      </c>
      <c r="Z477">
        <v>277825.97622042574</v>
      </c>
    </row>
    <row r="478" spans="2:26" x14ac:dyDescent="0.25">
      <c r="B478" s="83">
        <f t="shared" si="28"/>
        <v>165444.91767488231</v>
      </c>
      <c r="C478" s="43">
        <v>0.03</v>
      </c>
      <c r="D478" s="42">
        <f t="shared" si="29"/>
        <v>413.6122941872058</v>
      </c>
      <c r="E478" s="83">
        <f t="shared" si="30"/>
        <v>165858.52996906952</v>
      </c>
      <c r="F478" s="83">
        <f>E478-G478</f>
        <v>164858.52996906952</v>
      </c>
      <c r="G478" s="83">
        <v>1000</v>
      </c>
      <c r="H478" s="85">
        <v>474</v>
      </c>
      <c r="Z478">
        <v>278130.64959643467</v>
      </c>
    </row>
    <row r="479" spans="2:26" x14ac:dyDescent="0.25">
      <c r="B479" s="83">
        <f t="shared" si="28"/>
        <v>164858.52996906952</v>
      </c>
      <c r="C479" s="43">
        <v>0.03</v>
      </c>
      <c r="D479" s="42">
        <f t="shared" si="29"/>
        <v>412.14632492267384</v>
      </c>
      <c r="E479" s="83">
        <f t="shared" si="30"/>
        <v>165270.6762939922</v>
      </c>
      <c r="F479" s="83">
        <f>E479-G479</f>
        <v>164270.6762939922</v>
      </c>
      <c r="G479" s="83">
        <v>1000</v>
      </c>
      <c r="H479" s="45">
        <v>475</v>
      </c>
      <c r="Z479">
        <v>278434.56318846351</v>
      </c>
    </row>
    <row r="480" spans="2:26" x14ac:dyDescent="0.25">
      <c r="B480" s="83">
        <f t="shared" si="28"/>
        <v>164270.6762939922</v>
      </c>
      <c r="C480" s="43">
        <v>0.03</v>
      </c>
      <c r="D480" s="42">
        <f t="shared" si="29"/>
        <v>410.67669073498053</v>
      </c>
      <c r="E480" s="83">
        <f t="shared" si="30"/>
        <v>164681.35298472719</v>
      </c>
      <c r="F480" s="83">
        <f>E480-G480</f>
        <v>163681.35298472719</v>
      </c>
      <c r="G480" s="83">
        <v>1000</v>
      </c>
      <c r="H480" s="23">
        <v>476</v>
      </c>
      <c r="Z480">
        <v>278737.71889123548</v>
      </c>
    </row>
    <row r="481" spans="2:26" x14ac:dyDescent="0.25">
      <c r="B481" s="83">
        <f t="shared" si="28"/>
        <v>163681.35298472719</v>
      </c>
      <c r="C481" s="43">
        <v>0.03</v>
      </c>
      <c r="D481" s="42">
        <f t="shared" si="29"/>
        <v>409.20338246181797</v>
      </c>
      <c r="E481" s="83">
        <f t="shared" si="30"/>
        <v>164090.55636718901</v>
      </c>
      <c r="F481" s="83">
        <f>E481-G481</f>
        <v>163090.55636718901</v>
      </c>
      <c r="G481" s="83">
        <v>1000</v>
      </c>
      <c r="H481" s="85">
        <v>477</v>
      </c>
      <c r="Z481">
        <v>279040.11859474849</v>
      </c>
    </row>
    <row r="482" spans="2:26" x14ac:dyDescent="0.25">
      <c r="B482" s="83">
        <f t="shared" si="28"/>
        <v>163090.55636718901</v>
      </c>
      <c r="C482" s="43">
        <v>0.03</v>
      </c>
      <c r="D482" s="42">
        <f t="shared" si="29"/>
        <v>407.72639091797254</v>
      </c>
      <c r="E482" s="83">
        <f t="shared" si="30"/>
        <v>163498.28275810697</v>
      </c>
      <c r="F482" s="83">
        <f>E482-G482</f>
        <v>162498.28275810697</v>
      </c>
      <c r="G482" s="83">
        <v>1000</v>
      </c>
      <c r="H482" s="45">
        <v>478</v>
      </c>
      <c r="Z482">
        <v>279341.76418428781</v>
      </c>
    </row>
    <row r="483" spans="2:26" x14ac:dyDescent="0.25">
      <c r="B483" s="83">
        <f t="shared" si="28"/>
        <v>162498.28275810697</v>
      </c>
      <c r="C483" s="43">
        <v>0.03</v>
      </c>
      <c r="D483" s="42">
        <f t="shared" si="29"/>
        <v>406.24570689526746</v>
      </c>
      <c r="E483" s="83">
        <f t="shared" si="30"/>
        <v>162904.52846500225</v>
      </c>
      <c r="F483" s="83">
        <f>E483-G483</f>
        <v>161904.52846500225</v>
      </c>
      <c r="G483" s="83">
        <v>1000</v>
      </c>
      <c r="H483" s="23">
        <v>479</v>
      </c>
      <c r="Z483">
        <v>279642.65754043672</v>
      </c>
    </row>
    <row r="484" spans="2:26" x14ac:dyDescent="0.25">
      <c r="B484" s="83">
        <f t="shared" si="28"/>
        <v>161904.52846500225</v>
      </c>
      <c r="C484" s="43">
        <v>0.03</v>
      </c>
      <c r="D484" s="42">
        <f t="shared" si="29"/>
        <v>404.76132116250562</v>
      </c>
      <c r="E484" s="83">
        <f t="shared" si="30"/>
        <v>162309.28978616477</v>
      </c>
      <c r="F484" s="83">
        <f>E484-G484</f>
        <v>161309.28978616477</v>
      </c>
      <c r="G484" s="83">
        <v>1000</v>
      </c>
      <c r="H484" s="85">
        <v>480</v>
      </c>
      <c r="Z484">
        <v>279942.80053908896</v>
      </c>
    </row>
    <row r="485" spans="2:26" x14ac:dyDescent="0.25">
      <c r="B485" s="83">
        <f t="shared" si="28"/>
        <v>161309.28978616477</v>
      </c>
      <c r="C485" s="43">
        <v>0.03</v>
      </c>
      <c r="D485" s="42">
        <f t="shared" si="29"/>
        <v>403.27322446541194</v>
      </c>
      <c r="E485" s="83">
        <f t="shared" si="30"/>
        <v>161712.56301063017</v>
      </c>
      <c r="F485" s="83">
        <f>E485-G485</f>
        <v>160712.56301063017</v>
      </c>
      <c r="G485" s="83">
        <v>1000</v>
      </c>
      <c r="H485" s="45">
        <v>481</v>
      </c>
      <c r="Z485">
        <v>280242.19505146035</v>
      </c>
    </row>
    <row r="486" spans="2:26" x14ac:dyDescent="0.25">
      <c r="B486" s="83">
        <f t="shared" si="28"/>
        <v>160712.56301063017</v>
      </c>
      <c r="C486" s="43">
        <v>0.03</v>
      </c>
      <c r="D486" s="42">
        <f t="shared" si="29"/>
        <v>401.78140752657544</v>
      </c>
      <c r="E486" s="83">
        <f t="shared" si="30"/>
        <v>161114.34441815675</v>
      </c>
      <c r="F486" s="83">
        <f>E486-G486</f>
        <v>160114.34441815675</v>
      </c>
      <c r="G486" s="83">
        <v>1000</v>
      </c>
      <c r="H486" s="23">
        <v>482</v>
      </c>
      <c r="Z486">
        <v>280540.84294410009</v>
      </c>
    </row>
    <row r="487" spans="2:26" x14ac:dyDescent="0.25">
      <c r="B487" s="83">
        <f t="shared" si="28"/>
        <v>160114.34441815675</v>
      </c>
      <c r="C487" s="43">
        <v>0.03</v>
      </c>
      <c r="D487" s="42">
        <f t="shared" si="29"/>
        <v>400.28586104539187</v>
      </c>
      <c r="E487" s="83">
        <f t="shared" si="30"/>
        <v>160514.63027920213</v>
      </c>
      <c r="F487" s="83">
        <f>E487-G487</f>
        <v>159514.63027920213</v>
      </c>
      <c r="G487" s="83">
        <v>1000</v>
      </c>
      <c r="H487" s="85">
        <v>483</v>
      </c>
      <c r="Z487">
        <v>280838.7460789028</v>
      </c>
    </row>
    <row r="488" spans="2:26" x14ac:dyDescent="0.25">
      <c r="B488" s="83">
        <f t="shared" si="28"/>
        <v>159514.63027920213</v>
      </c>
      <c r="C488" s="43">
        <v>0.03</v>
      </c>
      <c r="D488" s="42">
        <f t="shared" si="29"/>
        <v>398.78657569800532</v>
      </c>
      <c r="E488" s="83">
        <f t="shared" si="30"/>
        <v>159913.41685490013</v>
      </c>
      <c r="F488" s="83">
        <f>E488-G488</f>
        <v>158913.41685490013</v>
      </c>
      <c r="G488" s="83">
        <v>1000</v>
      </c>
      <c r="H488" s="45">
        <v>484</v>
      </c>
      <c r="Z488">
        <v>281135.90631312004</v>
      </c>
    </row>
    <row r="489" spans="2:26" x14ac:dyDescent="0.25">
      <c r="B489" s="83">
        <f t="shared" si="28"/>
        <v>158913.41685490013</v>
      </c>
      <c r="C489" s="43">
        <v>0.03</v>
      </c>
      <c r="D489" s="42">
        <f t="shared" si="29"/>
        <v>397.28354213725032</v>
      </c>
      <c r="E489" s="83">
        <f t="shared" si="30"/>
        <v>159310.70039703738</v>
      </c>
      <c r="F489" s="83">
        <f>E489-G489</f>
        <v>158310.70039703738</v>
      </c>
      <c r="G489" s="83">
        <v>1000</v>
      </c>
      <c r="H489" s="23">
        <v>485</v>
      </c>
      <c r="Z489">
        <v>281432.32549937157</v>
      </c>
    </row>
    <row r="490" spans="2:26" x14ac:dyDescent="0.25">
      <c r="B490" s="83">
        <f t="shared" si="28"/>
        <v>158310.70039703738</v>
      </c>
      <c r="C490" s="43">
        <v>0.03</v>
      </c>
      <c r="D490" s="42">
        <f t="shared" si="29"/>
        <v>395.77675099259346</v>
      </c>
      <c r="E490" s="83">
        <f t="shared" si="30"/>
        <v>158706.47714802998</v>
      </c>
      <c r="F490" s="83">
        <f>E490-G490</f>
        <v>157706.47714802998</v>
      </c>
      <c r="G490" s="83">
        <v>1000</v>
      </c>
      <c r="H490" s="85">
        <v>486</v>
      </c>
      <c r="Z490">
        <v>281728.00548565743</v>
      </c>
    </row>
    <row r="491" spans="2:26" x14ac:dyDescent="0.25">
      <c r="B491" s="83">
        <f t="shared" si="28"/>
        <v>157706.47714802998</v>
      </c>
      <c r="C491" s="43">
        <v>0.03</v>
      </c>
      <c r="D491" s="42">
        <f t="shared" si="29"/>
        <v>394.26619287007497</v>
      </c>
      <c r="E491" s="83">
        <f t="shared" si="30"/>
        <v>158100.74334090005</v>
      </c>
      <c r="F491" s="83">
        <f>E491-G491</f>
        <v>157100.74334090005</v>
      </c>
      <c r="G491" s="83">
        <v>1000</v>
      </c>
      <c r="H491" s="45">
        <v>487</v>
      </c>
      <c r="Z491">
        <v>282022.94811536896</v>
      </c>
    </row>
    <row r="492" spans="2:26" x14ac:dyDescent="0.25">
      <c r="B492" s="83">
        <f t="shared" si="28"/>
        <v>157100.74334090005</v>
      </c>
      <c r="C492" s="43">
        <v>0.03</v>
      </c>
      <c r="D492" s="42">
        <f t="shared" si="29"/>
        <v>392.75185835225011</v>
      </c>
      <c r="E492" s="83">
        <f t="shared" si="30"/>
        <v>157493.4951992523</v>
      </c>
      <c r="F492" s="83">
        <f>E492-G492</f>
        <v>156493.4951992523</v>
      </c>
      <c r="G492" s="83">
        <v>1000</v>
      </c>
      <c r="H492" s="23">
        <v>488</v>
      </c>
      <c r="Z492">
        <v>282317.15522730071</v>
      </c>
    </row>
    <row r="493" spans="2:26" x14ac:dyDescent="0.25">
      <c r="B493" s="83">
        <f t="shared" si="28"/>
        <v>156493.4951992523</v>
      </c>
      <c r="C493" s="43">
        <v>0.03</v>
      </c>
      <c r="D493" s="42">
        <f t="shared" si="29"/>
        <v>391.23373799813078</v>
      </c>
      <c r="E493" s="83">
        <f t="shared" si="30"/>
        <v>156884.72893725042</v>
      </c>
      <c r="F493" s="83">
        <f>E493-G493</f>
        <v>155884.72893725042</v>
      </c>
      <c r="G493" s="83">
        <v>1000</v>
      </c>
      <c r="H493" s="85">
        <v>489</v>
      </c>
      <c r="Z493">
        <v>282610.62865566154</v>
      </c>
    </row>
    <row r="494" spans="2:26" x14ac:dyDescent="0.25">
      <c r="B494" s="83">
        <f t="shared" si="28"/>
        <v>155884.72893725042</v>
      </c>
      <c r="C494" s="43">
        <v>0.03</v>
      </c>
      <c r="D494" s="42">
        <f t="shared" si="29"/>
        <v>389.71182234312607</v>
      </c>
      <c r="E494" s="83">
        <f t="shared" si="30"/>
        <v>156274.44075959353</v>
      </c>
      <c r="F494" s="83">
        <f>E494-G494</f>
        <v>155274.44075959353</v>
      </c>
      <c r="G494" s="83">
        <v>1000</v>
      </c>
      <c r="H494" s="45">
        <v>490</v>
      </c>
      <c r="Z494">
        <v>282903.37023008638</v>
      </c>
    </row>
    <row r="495" spans="2:26" x14ac:dyDescent="0.25">
      <c r="B495" s="83">
        <f t="shared" si="28"/>
        <v>155274.44075959353</v>
      </c>
      <c r="C495" s="43">
        <v>0.03</v>
      </c>
      <c r="D495" s="42">
        <f t="shared" si="29"/>
        <v>388.18610189898385</v>
      </c>
      <c r="E495" s="83">
        <f t="shared" si="30"/>
        <v>155662.62686149252</v>
      </c>
      <c r="F495" s="83">
        <f>E495-G495</f>
        <v>154662.62686149252</v>
      </c>
      <c r="G495" s="83">
        <v>1000</v>
      </c>
      <c r="H495" s="23">
        <v>491</v>
      </c>
      <c r="Z495">
        <v>283195.38177564723</v>
      </c>
    </row>
    <row r="496" spans="2:26" x14ac:dyDescent="0.25">
      <c r="B496" s="83">
        <f t="shared" si="28"/>
        <v>154662.62686149252</v>
      </c>
      <c r="C496" s="43">
        <v>0.03</v>
      </c>
      <c r="D496" s="42">
        <f t="shared" si="29"/>
        <v>386.65656715373132</v>
      </c>
      <c r="E496" s="83">
        <f t="shared" si="30"/>
        <v>155049.28342864625</v>
      </c>
      <c r="F496" s="83">
        <f>E496-G496</f>
        <v>154049.28342864625</v>
      </c>
      <c r="G496" s="83">
        <v>1000</v>
      </c>
      <c r="H496" s="85">
        <v>492</v>
      </c>
      <c r="Z496">
        <v>283486.66511286504</v>
      </c>
    </row>
    <row r="497" spans="2:26" x14ac:dyDescent="0.25">
      <c r="B497" s="83">
        <f t="shared" si="28"/>
        <v>154049.28342864625</v>
      </c>
      <c r="C497" s="43">
        <v>0.03</v>
      </c>
      <c r="D497" s="42">
        <f t="shared" si="29"/>
        <v>385.12320857161563</v>
      </c>
      <c r="E497" s="83">
        <f t="shared" si="30"/>
        <v>154434.40663721785</v>
      </c>
      <c r="F497" s="83">
        <f>E497-G497</f>
        <v>153434.40663721785</v>
      </c>
      <c r="G497" s="83">
        <v>1000</v>
      </c>
      <c r="H497" s="45">
        <v>493</v>
      </c>
      <c r="Z497">
        <v>283777.22205772076</v>
      </c>
    </row>
    <row r="498" spans="2:26" x14ac:dyDescent="0.25">
      <c r="B498" s="83">
        <f t="shared" si="28"/>
        <v>153434.40663721785</v>
      </c>
      <c r="C498" s="43">
        <v>0.03</v>
      </c>
      <c r="D498" s="42">
        <f t="shared" si="29"/>
        <v>383.58601659304463</v>
      </c>
      <c r="E498" s="83">
        <f t="shared" si="30"/>
        <v>153817.99265381088</v>
      </c>
      <c r="F498" s="83">
        <f>E498-G498</f>
        <v>152817.99265381088</v>
      </c>
      <c r="G498" s="83">
        <v>1000</v>
      </c>
      <c r="H498" s="23">
        <v>494</v>
      </c>
      <c r="Z498">
        <v>284067.0544216666</v>
      </c>
    </row>
    <row r="499" spans="2:26" x14ac:dyDescent="0.25">
      <c r="B499" s="83">
        <f t="shared" si="28"/>
        <v>152817.99265381088</v>
      </c>
      <c r="C499" s="43">
        <v>0.03</v>
      </c>
      <c r="D499" s="42">
        <f t="shared" si="29"/>
        <v>382.04498163452723</v>
      </c>
      <c r="E499" s="83">
        <f t="shared" si="30"/>
        <v>153200.03763544542</v>
      </c>
      <c r="F499" s="83">
        <f>E499-G499</f>
        <v>152200.03763544542</v>
      </c>
      <c r="G499" s="83">
        <v>1000</v>
      </c>
      <c r="H499" s="85">
        <v>495</v>
      </c>
      <c r="Z499">
        <v>284356.16401163745</v>
      </c>
    </row>
    <row r="500" spans="2:26" x14ac:dyDescent="0.25">
      <c r="B500" s="83">
        <f t="shared" si="28"/>
        <v>152200.03763544542</v>
      </c>
      <c r="C500" s="43">
        <v>0.03</v>
      </c>
      <c r="D500" s="42">
        <f t="shared" si="29"/>
        <v>380.50009408861354</v>
      </c>
      <c r="E500" s="83">
        <f t="shared" si="30"/>
        <v>152580.53772953403</v>
      </c>
      <c r="F500" s="83">
        <f>E500-G500</f>
        <v>151580.53772953403</v>
      </c>
      <c r="G500" s="83">
        <v>1000</v>
      </c>
      <c r="H500" s="45">
        <v>496</v>
      </c>
      <c r="Z500">
        <v>284644.55263006227</v>
      </c>
    </row>
    <row r="501" spans="2:26" x14ac:dyDescent="0.25">
      <c r="B501" s="83">
        <f t="shared" si="28"/>
        <v>151580.53772953403</v>
      </c>
      <c r="C501" s="43">
        <v>0.03</v>
      </c>
      <c r="D501" s="42">
        <f t="shared" si="29"/>
        <v>378.95134432383509</v>
      </c>
      <c r="E501" s="83">
        <f t="shared" si="30"/>
        <v>151959.48907385787</v>
      </c>
      <c r="F501" s="83">
        <f>E501-G501</f>
        <v>150959.48907385787</v>
      </c>
      <c r="G501" s="83">
        <v>1000</v>
      </c>
      <c r="H501" s="23">
        <v>497</v>
      </c>
      <c r="Z501">
        <v>284932.22207487508</v>
      </c>
    </row>
    <row r="502" spans="2:26" x14ac:dyDescent="0.25">
      <c r="B502" s="83">
        <f t="shared" si="28"/>
        <v>150959.48907385787</v>
      </c>
      <c r="C502" s="43">
        <v>0.03</v>
      </c>
      <c r="D502" s="42">
        <f t="shared" si="29"/>
        <v>377.39872268464467</v>
      </c>
      <c r="E502" s="83">
        <f t="shared" si="30"/>
        <v>151336.88779654252</v>
      </c>
      <c r="F502" s="83">
        <f>E502-G502</f>
        <v>150336.88779654252</v>
      </c>
      <c r="G502" s="83">
        <v>1000</v>
      </c>
      <c r="H502" s="85">
        <v>498</v>
      </c>
      <c r="Z502">
        <v>285219.17413952627</v>
      </c>
    </row>
    <row r="503" spans="2:26" x14ac:dyDescent="0.25">
      <c r="B503" s="83">
        <f t="shared" si="28"/>
        <v>150336.88779654252</v>
      </c>
      <c r="C503" s="43">
        <v>0.03</v>
      </c>
      <c r="D503" s="42">
        <f t="shared" si="29"/>
        <v>375.84221949135633</v>
      </c>
      <c r="E503" s="83">
        <f t="shared" si="30"/>
        <v>150712.73001603386</v>
      </c>
      <c r="F503" s="83">
        <f>E503-G503</f>
        <v>149712.73001603386</v>
      </c>
      <c r="G503" s="83">
        <v>1000</v>
      </c>
      <c r="H503" s="45">
        <v>499</v>
      </c>
      <c r="Z503">
        <v>285505.41061299376</v>
      </c>
    </row>
    <row r="504" spans="2:26" x14ac:dyDescent="0.25">
      <c r="B504" s="83">
        <f t="shared" si="28"/>
        <v>149712.73001603386</v>
      </c>
      <c r="C504" s="43">
        <v>0.03</v>
      </c>
      <c r="D504" s="42">
        <f t="shared" si="29"/>
        <v>374.28182504008464</v>
      </c>
      <c r="E504" s="83">
        <f t="shared" si="30"/>
        <v>150087.01184107395</v>
      </c>
      <c r="F504" s="83">
        <f>E504-G504</f>
        <v>149087.01184107395</v>
      </c>
      <c r="G504" s="83">
        <v>1000</v>
      </c>
      <c r="H504" s="23">
        <v>500</v>
      </c>
      <c r="Z504">
        <v>285790.93327979429</v>
      </c>
    </row>
    <row r="505" spans="2:26" x14ac:dyDescent="0.25">
      <c r="B505" s="83">
        <f t="shared" si="28"/>
        <v>149087.01184107395</v>
      </c>
      <c r="C505" s="43">
        <v>0.03</v>
      </c>
      <c r="D505" s="42">
        <f t="shared" si="29"/>
        <v>372.71752960268486</v>
      </c>
      <c r="E505" s="83">
        <f t="shared" si="30"/>
        <v>149459.72937067665</v>
      </c>
      <c r="F505" s="83">
        <f>E505-G505</f>
        <v>148459.72937067665</v>
      </c>
      <c r="G505" s="83">
        <v>1000</v>
      </c>
      <c r="H505" s="85">
        <v>501</v>
      </c>
      <c r="Z505">
        <v>286075.74391999433</v>
      </c>
    </row>
    <row r="506" spans="2:26" x14ac:dyDescent="0.25">
      <c r="B506" s="83">
        <f t="shared" si="28"/>
        <v>148459.72937067665</v>
      </c>
      <c r="C506" s="43">
        <v>0.03</v>
      </c>
      <c r="D506" s="42">
        <f t="shared" si="29"/>
        <v>371.14932342669164</v>
      </c>
      <c r="E506" s="83">
        <f t="shared" si="30"/>
        <v>148830.87869410333</v>
      </c>
      <c r="F506" s="83">
        <f>E506-G506</f>
        <v>147830.87869410333</v>
      </c>
      <c r="G506" s="83">
        <v>1000</v>
      </c>
      <c r="H506" s="45">
        <v>502</v>
      </c>
      <c r="Z506">
        <v>286359.8443092212</v>
      </c>
    </row>
    <row r="507" spans="2:26" x14ac:dyDescent="0.25">
      <c r="B507" s="83">
        <f t="shared" si="28"/>
        <v>147830.87869410333</v>
      </c>
      <c r="C507" s="43">
        <v>0.03</v>
      </c>
      <c r="D507" s="42">
        <f t="shared" si="29"/>
        <v>369.57719673525833</v>
      </c>
      <c r="E507" s="83">
        <f t="shared" si="30"/>
        <v>148200.45589083858</v>
      </c>
      <c r="F507" s="83">
        <f>E507-G507</f>
        <v>147200.45589083858</v>
      </c>
      <c r="G507" s="83">
        <v>1000</v>
      </c>
      <c r="H507" s="23">
        <v>503</v>
      </c>
      <c r="Z507">
        <v>286643.23621867457</v>
      </c>
    </row>
    <row r="508" spans="2:26" x14ac:dyDescent="0.25">
      <c r="B508" s="83">
        <f t="shared" si="28"/>
        <v>147200.45589083858</v>
      </c>
      <c r="C508" s="43">
        <v>0.03</v>
      </c>
      <c r="D508" s="42">
        <f t="shared" si="29"/>
        <v>368.00113972709647</v>
      </c>
      <c r="E508" s="83">
        <f t="shared" si="30"/>
        <v>147568.45703056568</v>
      </c>
      <c r="F508" s="83">
        <f>E508-G508</f>
        <v>146568.45703056568</v>
      </c>
      <c r="G508" s="83">
        <v>1000</v>
      </c>
      <c r="H508" s="85">
        <v>504</v>
      </c>
      <c r="Z508">
        <v>286925.92141513672</v>
      </c>
    </row>
    <row r="509" spans="2:26" x14ac:dyDescent="0.25">
      <c r="B509" s="83">
        <f t="shared" si="28"/>
        <v>146568.45703056568</v>
      </c>
      <c r="C509" s="43">
        <v>0.03</v>
      </c>
      <c r="D509" s="42">
        <f t="shared" si="29"/>
        <v>366.42114257641418</v>
      </c>
      <c r="E509" s="83">
        <f t="shared" si="30"/>
        <v>146934.87817314209</v>
      </c>
      <c r="F509" s="83">
        <f>E509-G509</f>
        <v>145934.87817314209</v>
      </c>
      <c r="G509" s="83">
        <v>1000</v>
      </c>
      <c r="H509" s="45">
        <v>505</v>
      </c>
      <c r="Z509">
        <v>287207.90166098427</v>
      </c>
    </row>
    <row r="510" spans="2:26" x14ac:dyDescent="0.25">
      <c r="B510" s="83">
        <f t="shared" si="28"/>
        <v>145934.87817314209</v>
      </c>
      <c r="C510" s="43">
        <v>0.03</v>
      </c>
      <c r="D510" s="42">
        <f t="shared" si="29"/>
        <v>364.83719543285525</v>
      </c>
      <c r="E510" s="83">
        <f t="shared" si="30"/>
        <v>146299.71536857495</v>
      </c>
      <c r="F510" s="83">
        <f>E510-G510</f>
        <v>145299.71536857495</v>
      </c>
      <c r="G510" s="83">
        <v>1000</v>
      </c>
      <c r="H510" s="23">
        <v>506</v>
      </c>
      <c r="Z510">
        <v>287489.17871419876</v>
      </c>
    </row>
    <row r="511" spans="2:26" x14ac:dyDescent="0.25">
      <c r="B511" s="83">
        <f t="shared" si="28"/>
        <v>145299.71536857495</v>
      </c>
      <c r="C511" s="43">
        <v>0.03</v>
      </c>
      <c r="D511" s="42">
        <f t="shared" si="29"/>
        <v>363.24928842143737</v>
      </c>
      <c r="E511" s="83">
        <f t="shared" si="30"/>
        <v>145662.9646569964</v>
      </c>
      <c r="F511" s="83">
        <f>E511-G511</f>
        <v>144662.9646569964</v>
      </c>
      <c r="G511" s="83">
        <v>1000</v>
      </c>
      <c r="H511" s="85">
        <v>507</v>
      </c>
      <c r="Z511">
        <v>287769.75432837778</v>
      </c>
    </row>
    <row r="512" spans="2:26" x14ac:dyDescent="0.25">
      <c r="B512" s="83">
        <f t="shared" si="28"/>
        <v>144662.9646569964</v>
      </c>
      <c r="C512" s="43">
        <v>0.03</v>
      </c>
      <c r="D512" s="42">
        <f t="shared" si="29"/>
        <v>361.65741164249101</v>
      </c>
      <c r="E512" s="83">
        <f t="shared" si="30"/>
        <v>145024.62206863888</v>
      </c>
      <c r="F512" s="83">
        <f>E512-G512</f>
        <v>144024.62206863888</v>
      </c>
      <c r="G512" s="83">
        <v>1000</v>
      </c>
      <c r="H512" s="45">
        <v>508</v>
      </c>
      <c r="Z512">
        <v>288049.63025274593</v>
      </c>
    </row>
    <row r="513" spans="2:26" x14ac:dyDescent="0.25">
      <c r="B513" s="83">
        <f t="shared" si="28"/>
        <v>144024.62206863888</v>
      </c>
      <c r="C513" s="43">
        <v>0.03</v>
      </c>
      <c r="D513" s="42">
        <f t="shared" si="29"/>
        <v>360.06155517159721</v>
      </c>
      <c r="E513" s="83">
        <f t="shared" si="30"/>
        <v>144384.68362381047</v>
      </c>
      <c r="F513" s="83">
        <f>E513-G513</f>
        <v>143384.68362381047</v>
      </c>
      <c r="G513" s="83">
        <v>1000</v>
      </c>
      <c r="H513" s="23">
        <v>509</v>
      </c>
      <c r="Z513">
        <v>288328.80823216552</v>
      </c>
    </row>
    <row r="514" spans="2:26" x14ac:dyDescent="0.25">
      <c r="B514" s="83">
        <f t="shared" si="28"/>
        <v>143384.68362381047</v>
      </c>
      <c r="C514" s="43">
        <v>0.03</v>
      </c>
      <c r="D514" s="42">
        <f t="shared" si="29"/>
        <v>358.46170905952619</v>
      </c>
      <c r="E514" s="83">
        <f t="shared" si="30"/>
        <v>143743.14533286999</v>
      </c>
      <c r="F514" s="83">
        <f>E514-G514</f>
        <v>142743.14533286999</v>
      </c>
      <c r="G514" s="83">
        <v>1000</v>
      </c>
      <c r="H514" s="85">
        <v>510</v>
      </c>
      <c r="Z514">
        <v>288607.29000714765</v>
      </c>
    </row>
    <row r="515" spans="2:26" x14ac:dyDescent="0.25">
      <c r="B515" s="83">
        <f t="shared" si="28"/>
        <v>142743.14533286999</v>
      </c>
      <c r="C515" s="43">
        <v>0.03</v>
      </c>
      <c r="D515" s="42">
        <f t="shared" si="29"/>
        <v>356.85786333217499</v>
      </c>
      <c r="E515" s="83">
        <f t="shared" si="30"/>
        <v>143100.00319620216</v>
      </c>
      <c r="F515" s="83">
        <f>E515-G515</f>
        <v>142100.00319620216</v>
      </c>
      <c r="G515" s="83">
        <v>1000</v>
      </c>
      <c r="H515" s="45">
        <v>511</v>
      </c>
      <c r="Z515">
        <v>288885.07731386297</v>
      </c>
    </row>
    <row r="516" spans="2:26" x14ac:dyDescent="0.25">
      <c r="B516" s="83">
        <f t="shared" si="28"/>
        <v>142100.00319620216</v>
      </c>
      <c r="C516" s="43">
        <v>0.03</v>
      </c>
      <c r="D516" s="42">
        <f t="shared" si="29"/>
        <v>355.25000799050542</v>
      </c>
      <c r="E516" s="83">
        <f t="shared" si="30"/>
        <v>142455.25320419268</v>
      </c>
      <c r="F516" s="83">
        <f>E516-G516</f>
        <v>141455.25320419268</v>
      </c>
      <c r="G516" s="83">
        <v>1000</v>
      </c>
      <c r="H516" s="23">
        <v>512</v>
      </c>
      <c r="Z516">
        <v>289162.17188415257</v>
      </c>
    </row>
    <row r="517" spans="2:26" x14ac:dyDescent="0.25">
      <c r="B517" s="83">
        <f t="shared" si="28"/>
        <v>141455.25320419268</v>
      </c>
      <c r="C517" s="43">
        <v>0.03</v>
      </c>
      <c r="D517" s="42">
        <f t="shared" si="29"/>
        <v>353.63813301048168</v>
      </c>
      <c r="E517" s="83">
        <f t="shared" si="30"/>
        <v>141808.89133720315</v>
      </c>
      <c r="F517" s="83">
        <f>E517-G517</f>
        <v>140808.89133720315</v>
      </c>
      <c r="G517" s="83">
        <v>1000</v>
      </c>
      <c r="H517" s="85">
        <v>513</v>
      </c>
      <c r="Z517">
        <v>289438.57544553868</v>
      </c>
    </row>
    <row r="518" spans="2:26" x14ac:dyDescent="0.25">
      <c r="B518" s="83">
        <f t="shared" si="28"/>
        <v>140808.89133720315</v>
      </c>
      <c r="C518" s="43">
        <v>0.03</v>
      </c>
      <c r="D518" s="42">
        <f t="shared" si="29"/>
        <v>352.0222283430079</v>
      </c>
      <c r="E518" s="83">
        <f t="shared" si="30"/>
        <v>141160.91356554616</v>
      </c>
      <c r="F518" s="83">
        <f>E518-G518</f>
        <v>140160.91356554616</v>
      </c>
      <c r="G518" s="83">
        <v>1000</v>
      </c>
      <c r="H518" s="45">
        <v>514</v>
      </c>
      <c r="Z518">
        <v>289714.28972123569</v>
      </c>
    </row>
    <row r="519" spans="2:26" x14ac:dyDescent="0.25">
      <c r="B519" s="83">
        <f t="shared" si="28"/>
        <v>140160.91356554616</v>
      </c>
      <c r="C519" s="43">
        <v>0.03</v>
      </c>
      <c r="D519" s="42">
        <f t="shared" si="29"/>
        <v>350.4022839138654</v>
      </c>
      <c r="E519" s="83">
        <f t="shared" si="30"/>
        <v>140511.31584946002</v>
      </c>
      <c r="F519" s="83">
        <f>E519-G519</f>
        <v>139511.31584946002</v>
      </c>
      <c r="G519" s="83">
        <v>1000</v>
      </c>
      <c r="H519" s="23">
        <v>515</v>
      </c>
      <c r="Z519">
        <v>289989.31643016019</v>
      </c>
    </row>
    <row r="520" spans="2:26" x14ac:dyDescent="0.25">
      <c r="B520" s="83">
        <f t="shared" si="28"/>
        <v>139511.31584946002</v>
      </c>
      <c r="C520" s="43">
        <v>0.03</v>
      </c>
      <c r="D520" s="42">
        <f t="shared" si="29"/>
        <v>348.77828962365004</v>
      </c>
      <c r="E520" s="83">
        <f t="shared" si="30"/>
        <v>139860.09413908367</v>
      </c>
      <c r="F520" s="83">
        <f>E520-G520</f>
        <v>138860.09413908367</v>
      </c>
      <c r="G520" s="83">
        <v>1000</v>
      </c>
      <c r="H520" s="85">
        <v>516</v>
      </c>
      <c r="Z520">
        <v>290263.65728694288</v>
      </c>
    </row>
    <row r="521" spans="2:26" x14ac:dyDescent="0.25">
      <c r="B521" s="83">
        <f t="shared" si="28"/>
        <v>138860.09413908367</v>
      </c>
      <c r="C521" s="43">
        <v>0.03</v>
      </c>
      <c r="D521" s="42">
        <f t="shared" si="29"/>
        <v>347.15023534770916</v>
      </c>
      <c r="E521" s="83">
        <f t="shared" si="30"/>
        <v>139207.24437443138</v>
      </c>
      <c r="F521" s="83">
        <f>E521-G521</f>
        <v>138207.24437443138</v>
      </c>
      <c r="G521" s="83">
        <v>1000</v>
      </c>
      <c r="H521" s="45">
        <v>517</v>
      </c>
      <c r="Z521">
        <v>290537.31400193798</v>
      </c>
    </row>
    <row r="522" spans="2:26" x14ac:dyDescent="0.25">
      <c r="B522" s="83">
        <f t="shared" si="28"/>
        <v>138207.24437443138</v>
      </c>
      <c r="C522" s="43">
        <v>0.03</v>
      </c>
      <c r="D522" s="42">
        <f t="shared" si="29"/>
        <v>345.51811093607847</v>
      </c>
      <c r="E522" s="83">
        <f t="shared" si="30"/>
        <v>138552.76248536745</v>
      </c>
      <c r="F522" s="83">
        <f>E522-G522</f>
        <v>137552.76248536745</v>
      </c>
      <c r="G522" s="83">
        <v>1000</v>
      </c>
      <c r="H522" s="23">
        <v>518</v>
      </c>
      <c r="Z522">
        <v>290810.28828123491</v>
      </c>
    </row>
    <row r="523" spans="2:26" x14ac:dyDescent="0.25">
      <c r="B523" s="83">
        <f t="shared" si="28"/>
        <v>137552.76248536745</v>
      </c>
      <c r="C523" s="43">
        <v>0.03</v>
      </c>
      <c r="D523" s="42">
        <f t="shared" si="29"/>
        <v>343.88190621341863</v>
      </c>
      <c r="E523" s="83">
        <f t="shared" si="30"/>
        <v>137896.64439158086</v>
      </c>
      <c r="F523" s="83">
        <f>E523-G523</f>
        <v>136896.64439158086</v>
      </c>
      <c r="G523" s="83">
        <v>1000</v>
      </c>
      <c r="H523" s="85">
        <v>519</v>
      </c>
      <c r="Z523">
        <v>291082.58182666823</v>
      </c>
    </row>
    <row r="524" spans="2:26" x14ac:dyDescent="0.25">
      <c r="B524" s="83">
        <f t="shared" si="28"/>
        <v>136896.64439158086</v>
      </c>
      <c r="C524" s="43">
        <v>0.03</v>
      </c>
      <c r="D524" s="42">
        <f t="shared" si="29"/>
        <v>342.24161097895217</v>
      </c>
      <c r="E524" s="83">
        <f t="shared" si="30"/>
        <v>137238.88600255983</v>
      </c>
      <c r="F524" s="83">
        <f>E524-G524</f>
        <v>136238.88600255983</v>
      </c>
      <c r="G524" s="83">
        <v>1000</v>
      </c>
      <c r="H524" s="45">
        <v>520</v>
      </c>
      <c r="Z524">
        <v>291354.19633582869</v>
      </c>
    </row>
    <row r="525" spans="2:26" x14ac:dyDescent="0.25">
      <c r="B525" s="83">
        <f t="shared" si="28"/>
        <v>136238.88600255983</v>
      </c>
      <c r="C525" s="43">
        <v>0.03</v>
      </c>
      <c r="D525" s="42">
        <f t="shared" si="29"/>
        <v>340.59721500639955</v>
      </c>
      <c r="E525" s="83">
        <f t="shared" si="30"/>
        <v>136579.48321756622</v>
      </c>
      <c r="F525" s="83">
        <f>E525-G525</f>
        <v>135579.48321756622</v>
      </c>
      <c r="G525" s="83">
        <v>1000</v>
      </c>
      <c r="H525" s="23">
        <v>521</v>
      </c>
      <c r="Z525">
        <v>291625.13350207347</v>
      </c>
    </row>
    <row r="526" spans="2:26" x14ac:dyDescent="0.25">
      <c r="B526" s="83">
        <f t="shared" si="28"/>
        <v>135579.48321756622</v>
      </c>
      <c r="C526" s="43">
        <v>0.03</v>
      </c>
      <c r="D526" s="42">
        <f t="shared" si="29"/>
        <v>338.94870804391553</v>
      </c>
      <c r="E526" s="83">
        <f t="shared" si="30"/>
        <v>135918.43192561014</v>
      </c>
      <c r="F526" s="83">
        <f>E526-G526</f>
        <v>134918.43192561014</v>
      </c>
      <c r="G526" s="83">
        <v>1000</v>
      </c>
      <c r="H526" s="85">
        <v>522</v>
      </c>
      <c r="Z526">
        <v>291895.39501453715</v>
      </c>
    </row>
    <row r="527" spans="2:26" x14ac:dyDescent="0.25">
      <c r="B527" s="83">
        <f t="shared" si="28"/>
        <v>134918.43192561014</v>
      </c>
      <c r="C527" s="43">
        <v>0.03</v>
      </c>
      <c r="D527" s="42">
        <f t="shared" si="29"/>
        <v>337.29607981402535</v>
      </c>
      <c r="E527" s="83">
        <f t="shared" si="30"/>
        <v>135255.72800542417</v>
      </c>
      <c r="F527" s="83">
        <f>E527-G527</f>
        <v>134255.72800542417</v>
      </c>
      <c r="G527" s="83">
        <v>1000</v>
      </c>
      <c r="H527" s="45">
        <v>523</v>
      </c>
      <c r="Z527">
        <v>292164.98255814175</v>
      </c>
    </row>
    <row r="528" spans="2:26" x14ac:dyDescent="0.25">
      <c r="B528" s="83">
        <f t="shared" si="28"/>
        <v>134255.72800542417</v>
      </c>
      <c r="C528" s="43">
        <v>0.03</v>
      </c>
      <c r="D528" s="42">
        <f t="shared" si="29"/>
        <v>335.63932001356045</v>
      </c>
      <c r="E528" s="83">
        <f t="shared" si="30"/>
        <v>134591.36732543772</v>
      </c>
      <c r="F528" s="83">
        <f>E528-G528</f>
        <v>133591.36732543772</v>
      </c>
      <c r="G528" s="83">
        <v>1000</v>
      </c>
      <c r="H528" s="23">
        <v>524</v>
      </c>
      <c r="Z528">
        <v>292433.89781360776</v>
      </c>
    </row>
    <row r="529" spans="2:26" x14ac:dyDescent="0.25">
      <c r="B529" s="83">
        <f t="shared" si="28"/>
        <v>133591.36732543772</v>
      </c>
      <c r="C529" s="43">
        <v>0.03</v>
      </c>
      <c r="D529" s="42">
        <f t="shared" si="29"/>
        <v>333.97841831359432</v>
      </c>
      <c r="E529" s="83">
        <f t="shared" si="30"/>
        <v>133925.34574375133</v>
      </c>
      <c r="F529" s="83">
        <f>E529-G529</f>
        <v>132925.34574375133</v>
      </c>
      <c r="G529" s="83">
        <v>1000</v>
      </c>
      <c r="H529" s="85">
        <v>525</v>
      </c>
      <c r="Z529">
        <v>292702.14245746413</v>
      </c>
    </row>
    <row r="530" spans="2:26" x14ac:dyDescent="0.25">
      <c r="B530" s="83">
        <f t="shared" si="28"/>
        <v>132925.34574375133</v>
      </c>
      <c r="C530" s="43">
        <v>0.03</v>
      </c>
      <c r="D530" s="42">
        <f t="shared" si="29"/>
        <v>332.31336435937834</v>
      </c>
      <c r="E530" s="83">
        <f t="shared" si="30"/>
        <v>133257.6591081107</v>
      </c>
      <c r="F530" s="83">
        <f>E530-G530</f>
        <v>132257.6591081107</v>
      </c>
      <c r="G530" s="83">
        <v>1000</v>
      </c>
      <c r="H530" s="45">
        <v>526</v>
      </c>
      <c r="Z530">
        <v>292969.71816205891</v>
      </c>
    </row>
    <row r="531" spans="2:26" x14ac:dyDescent="0.25">
      <c r="B531" s="83">
        <f t="shared" si="28"/>
        <v>132257.6591081107</v>
      </c>
      <c r="C531" s="43">
        <v>0.03</v>
      </c>
      <c r="D531" s="42">
        <f t="shared" si="29"/>
        <v>330.64414777027679</v>
      </c>
      <c r="E531" s="83">
        <f t="shared" si="30"/>
        <v>132588.30325588098</v>
      </c>
      <c r="F531" s="83">
        <f>E531-G531</f>
        <v>131588.30325588098</v>
      </c>
      <c r="G531" s="83">
        <v>1000</v>
      </c>
      <c r="H531" s="23">
        <v>527</v>
      </c>
      <c r="Z531">
        <v>293236.62659557001</v>
      </c>
    </row>
    <row r="532" spans="2:26" x14ac:dyDescent="0.25">
      <c r="B532" s="83">
        <f t="shared" si="28"/>
        <v>131588.30325588098</v>
      </c>
      <c r="C532" s="43">
        <v>0.03</v>
      </c>
      <c r="D532" s="42">
        <f t="shared" si="29"/>
        <v>328.97075813970247</v>
      </c>
      <c r="E532" s="83">
        <f t="shared" si="30"/>
        <v>131917.27401402069</v>
      </c>
      <c r="F532" s="83">
        <f>E532-G532</f>
        <v>130917.27401402069</v>
      </c>
      <c r="G532" s="83">
        <v>1000</v>
      </c>
      <c r="H532" s="85">
        <v>528</v>
      </c>
      <c r="Z532">
        <v>293502.86942201498</v>
      </c>
    </row>
    <row r="533" spans="2:26" x14ac:dyDescent="0.25">
      <c r="B533" s="83">
        <f t="shared" si="28"/>
        <v>130917.27401402069</v>
      </c>
      <c r="C533" s="43">
        <v>0.03</v>
      </c>
      <c r="D533" s="42">
        <f t="shared" si="29"/>
        <v>327.29318503505175</v>
      </c>
      <c r="E533" s="83">
        <f t="shared" si="30"/>
        <v>131244.56719905575</v>
      </c>
      <c r="F533" s="83">
        <f>E533-G533</f>
        <v>130244.56719905575</v>
      </c>
      <c r="G533" s="83">
        <v>1000</v>
      </c>
      <c r="H533" s="45">
        <v>529</v>
      </c>
      <c r="Z533">
        <v>293768.44830126176</v>
      </c>
    </row>
    <row r="534" spans="2:26" x14ac:dyDescent="0.25">
      <c r="B534" s="83">
        <f t="shared" si="28"/>
        <v>130244.56719905575</v>
      </c>
      <c r="C534" s="43">
        <v>0.03</v>
      </c>
      <c r="D534" s="42">
        <f t="shared" si="29"/>
        <v>325.61141799763936</v>
      </c>
      <c r="E534" s="83">
        <f t="shared" si="30"/>
        <v>130570.17861705339</v>
      </c>
      <c r="F534" s="83">
        <f>E534-G534</f>
        <v>129570.17861705339</v>
      </c>
      <c r="G534" s="83">
        <v>1000</v>
      </c>
      <c r="H534" s="23">
        <v>530</v>
      </c>
      <c r="Z534">
        <v>294033.36488903919</v>
      </c>
    </row>
    <row r="535" spans="2:26" x14ac:dyDescent="0.25">
      <c r="B535" s="83">
        <f t="shared" si="28"/>
        <v>129570.17861705339</v>
      </c>
      <c r="C535" s="43">
        <v>0.03</v>
      </c>
      <c r="D535" s="42">
        <f t="shared" si="29"/>
        <v>323.92544654263349</v>
      </c>
      <c r="E535" s="83">
        <f t="shared" si="30"/>
        <v>129894.10406359602</v>
      </c>
      <c r="F535" s="83">
        <f>E535-G535</f>
        <v>128894.10406359602</v>
      </c>
      <c r="G535" s="83">
        <v>1000</v>
      </c>
      <c r="H535" s="85">
        <v>531</v>
      </c>
      <c r="Z535">
        <v>294297.62083694682</v>
      </c>
    </row>
    <row r="536" spans="2:26" x14ac:dyDescent="0.25">
      <c r="B536" s="83">
        <f t="shared" si="28"/>
        <v>128894.10406359602</v>
      </c>
      <c r="C536" s="43">
        <v>0.03</v>
      </c>
      <c r="D536" s="42">
        <f t="shared" si="29"/>
        <v>322.23526015899006</v>
      </c>
      <c r="E536" s="83">
        <f t="shared" si="30"/>
        <v>129216.33932375502</v>
      </c>
      <c r="F536" s="83">
        <f>E536-G536</f>
        <v>128216.33932375502</v>
      </c>
      <c r="G536" s="83">
        <v>1000</v>
      </c>
      <c r="H536" s="45">
        <v>532</v>
      </c>
      <c r="Z536">
        <v>294561.21779246564</v>
      </c>
    </row>
    <row r="537" spans="2:26" x14ac:dyDescent="0.25">
      <c r="B537" s="83">
        <f t="shared" si="28"/>
        <v>128216.33932375502</v>
      </c>
      <c r="C537" s="43">
        <v>0.03</v>
      </c>
      <c r="D537" s="42">
        <f t="shared" si="29"/>
        <v>320.54084830938757</v>
      </c>
      <c r="E537" s="83">
        <f t="shared" si="30"/>
        <v>128536.88017206441</v>
      </c>
      <c r="F537" s="83">
        <f>E537-G537</f>
        <v>127536.88017206441</v>
      </c>
      <c r="G537" s="83">
        <v>1000</v>
      </c>
      <c r="H537" s="23">
        <v>533</v>
      </c>
      <c r="Z537">
        <v>294824.15739896818</v>
      </c>
    </row>
    <row r="538" spans="2:26" x14ac:dyDescent="0.25">
      <c r="B538" s="83">
        <f t="shared" si="28"/>
        <v>127536.88017206441</v>
      </c>
      <c r="C538" s="43">
        <v>0.03</v>
      </c>
      <c r="D538" s="42">
        <f t="shared" si="29"/>
        <v>318.84220043016103</v>
      </c>
      <c r="E538" s="83">
        <f t="shared" si="30"/>
        <v>127855.72237249458</v>
      </c>
      <c r="F538" s="83">
        <f>E538-G538</f>
        <v>126855.72237249458</v>
      </c>
      <c r="G538" s="83">
        <v>1000</v>
      </c>
      <c r="H538" s="85">
        <v>534</v>
      </c>
      <c r="Z538">
        <v>295086.4412957289</v>
      </c>
    </row>
    <row r="539" spans="2:26" x14ac:dyDescent="0.25">
      <c r="B539" s="83">
        <f t="shared" si="28"/>
        <v>126855.72237249458</v>
      </c>
      <c r="C539" s="43">
        <v>0.03</v>
      </c>
      <c r="D539" s="42">
        <f t="shared" si="29"/>
        <v>317.13930593123644</v>
      </c>
      <c r="E539" s="83">
        <f t="shared" si="30"/>
        <v>127172.86167842582</v>
      </c>
      <c r="F539" s="83">
        <f>E539-G539</f>
        <v>126172.86167842582</v>
      </c>
      <c r="G539" s="83">
        <v>1000</v>
      </c>
      <c r="H539" s="45">
        <v>535</v>
      </c>
      <c r="Z539">
        <v>295348.07111793401</v>
      </c>
    </row>
    <row r="540" spans="2:26" x14ac:dyDescent="0.25">
      <c r="B540" s="83">
        <f t="shared" ref="B540:B557" si="31">F539</f>
        <v>126172.86167842582</v>
      </c>
      <c r="C540" s="43">
        <v>0.03</v>
      </c>
      <c r="D540" s="42">
        <f t="shared" ref="D540:D557" si="32">B540*(0.03/12)</f>
        <v>315.43215419606457</v>
      </c>
      <c r="E540" s="83">
        <f t="shared" ref="E540:E557" si="33">B540+D540</f>
        <v>126488.29383262189</v>
      </c>
      <c r="F540" s="83">
        <f>E540-G540</f>
        <v>125488.29383262189</v>
      </c>
      <c r="G540" s="83">
        <v>1000</v>
      </c>
      <c r="H540" s="23">
        <v>536</v>
      </c>
      <c r="Z540">
        <v>295609.04849669232</v>
      </c>
    </row>
    <row r="541" spans="2:26" x14ac:dyDescent="0.25">
      <c r="B541" s="83">
        <f t="shared" si="31"/>
        <v>125488.29383262189</v>
      </c>
      <c r="C541" s="43">
        <v>0.03</v>
      </c>
      <c r="D541" s="42">
        <f t="shared" si="32"/>
        <v>313.72073458155472</v>
      </c>
      <c r="E541" s="83">
        <f t="shared" si="33"/>
        <v>125802.01456720344</v>
      </c>
      <c r="F541" s="83">
        <f>E541-G541</f>
        <v>124802.01456720344</v>
      </c>
      <c r="G541" s="83">
        <v>1000</v>
      </c>
      <c r="H541" s="85">
        <v>537</v>
      </c>
      <c r="Z541">
        <v>295869.37505904469</v>
      </c>
    </row>
    <row r="542" spans="2:26" x14ac:dyDescent="0.25">
      <c r="B542" s="83">
        <f t="shared" si="31"/>
        <v>124802.01456720344</v>
      </c>
      <c r="C542" s="43">
        <v>0.03</v>
      </c>
      <c r="D542" s="42">
        <f t="shared" si="32"/>
        <v>312.00503641800861</v>
      </c>
      <c r="E542" s="83">
        <f t="shared" si="33"/>
        <v>125114.01960362145</v>
      </c>
      <c r="F542" s="83">
        <f>E542-G542</f>
        <v>124114.01960362145</v>
      </c>
      <c r="G542" s="83">
        <v>1000</v>
      </c>
      <c r="H542" s="45">
        <v>538</v>
      </c>
      <c r="Z542">
        <v>296129.0524279747</v>
      </c>
    </row>
    <row r="543" spans="2:26" x14ac:dyDescent="0.25">
      <c r="B543" s="83">
        <f t="shared" si="31"/>
        <v>124114.01960362145</v>
      </c>
      <c r="C543" s="43">
        <v>0.03</v>
      </c>
      <c r="D543" s="42">
        <f t="shared" si="32"/>
        <v>310.28504900905364</v>
      </c>
      <c r="E543" s="83">
        <f t="shared" si="33"/>
        <v>124424.3046526305</v>
      </c>
      <c r="F543" s="83">
        <f>E543-G543</f>
        <v>123424.3046526305</v>
      </c>
      <c r="G543" s="83">
        <v>1000</v>
      </c>
      <c r="H543" s="23">
        <v>539</v>
      </c>
      <c r="Z543">
        <v>296388.08222241868</v>
      </c>
    </row>
    <row r="544" spans="2:26" x14ac:dyDescent="0.25">
      <c r="B544" s="83">
        <f t="shared" si="31"/>
        <v>123424.3046526305</v>
      </c>
      <c r="C544" s="43">
        <v>0.03</v>
      </c>
      <c r="D544" s="42">
        <f t="shared" si="32"/>
        <v>308.56076163157627</v>
      </c>
      <c r="E544" s="83">
        <f t="shared" si="33"/>
        <v>123732.86541426208</v>
      </c>
      <c r="F544" s="83">
        <f>E544-G544</f>
        <v>122732.86541426208</v>
      </c>
      <c r="G544" s="83">
        <v>1000</v>
      </c>
      <c r="H544" s="85">
        <v>540</v>
      </c>
      <c r="Z544">
        <v>296646.46605727548</v>
      </c>
    </row>
    <row r="545" spans="2:26" x14ac:dyDescent="0.25">
      <c r="B545" s="83">
        <f t="shared" si="31"/>
        <v>122732.86541426208</v>
      </c>
      <c r="C545" s="43">
        <v>0.03</v>
      </c>
      <c r="D545" s="42">
        <f t="shared" si="32"/>
        <v>306.83216353565518</v>
      </c>
      <c r="E545" s="83">
        <f t="shared" si="33"/>
        <v>123039.69757779773</v>
      </c>
      <c r="F545" s="83">
        <f>E545-G545</f>
        <v>122039.69757779773</v>
      </c>
      <c r="G545" s="83">
        <v>1000</v>
      </c>
      <c r="H545" s="45">
        <v>541</v>
      </c>
      <c r="Z545">
        <v>296904.20554341696</v>
      </c>
    </row>
    <row r="546" spans="2:26" x14ac:dyDescent="0.25">
      <c r="B546" s="83">
        <f t="shared" si="31"/>
        <v>122039.69757779773</v>
      </c>
      <c r="C546" s="43">
        <v>0.03</v>
      </c>
      <c r="D546" s="42">
        <f t="shared" si="32"/>
        <v>305.09924394449433</v>
      </c>
      <c r="E546" s="83">
        <f t="shared" si="33"/>
        <v>122344.79682174223</v>
      </c>
      <c r="F546" s="83">
        <f>E546-G546</f>
        <v>121344.79682174223</v>
      </c>
      <c r="G546" s="83">
        <v>1000</v>
      </c>
      <c r="H546" s="23">
        <v>542</v>
      </c>
      <c r="Z546">
        <v>297161.30228769768</v>
      </c>
    </row>
    <row r="547" spans="2:26" x14ac:dyDescent="0.25">
      <c r="B547" s="83">
        <f t="shared" si="31"/>
        <v>121344.79682174223</v>
      </c>
      <c r="C547" s="43">
        <v>0.03</v>
      </c>
      <c r="D547" s="42">
        <f t="shared" si="32"/>
        <v>303.3619920543556</v>
      </c>
      <c r="E547" s="83">
        <f t="shared" si="33"/>
        <v>121648.15881379659</v>
      </c>
      <c r="F547" s="83">
        <f>E547-G547</f>
        <v>120648.15881379659</v>
      </c>
      <c r="G547" s="83">
        <v>1000</v>
      </c>
      <c r="H547" s="85">
        <v>543</v>
      </c>
      <c r="Z547">
        <v>297417.75789296522</v>
      </c>
    </row>
    <row r="548" spans="2:26" x14ac:dyDescent="0.25">
      <c r="B548" s="83">
        <f t="shared" si="31"/>
        <v>120648.15881379659</v>
      </c>
      <c r="C548" s="43">
        <v>0.03</v>
      </c>
      <c r="D548" s="42">
        <f t="shared" si="32"/>
        <v>301.62039703449148</v>
      </c>
      <c r="E548" s="83">
        <f t="shared" si="33"/>
        <v>120949.77921083108</v>
      </c>
      <c r="F548" s="83">
        <f>E548-G548</f>
        <v>119949.77921083108</v>
      </c>
      <c r="G548" s="83">
        <v>1000</v>
      </c>
      <c r="H548" s="45">
        <v>544</v>
      </c>
      <c r="Z548">
        <v>297673.57395807013</v>
      </c>
    </row>
    <row r="549" spans="2:26" x14ac:dyDescent="0.25">
      <c r="B549" s="83">
        <f t="shared" si="31"/>
        <v>119949.77921083108</v>
      </c>
      <c r="C549" s="43">
        <v>0.03</v>
      </c>
      <c r="D549" s="42">
        <f t="shared" si="32"/>
        <v>299.87444802707773</v>
      </c>
      <c r="E549" s="83">
        <f t="shared" si="33"/>
        <v>120249.65365885817</v>
      </c>
      <c r="F549" s="83">
        <f>E549-G549</f>
        <v>119249.65365885817</v>
      </c>
      <c r="G549" s="83">
        <v>1000</v>
      </c>
      <c r="H549" s="23">
        <v>545</v>
      </c>
      <c r="Z549">
        <v>297928.75207787543</v>
      </c>
    </row>
    <row r="550" spans="2:26" x14ac:dyDescent="0.25">
      <c r="B550" s="83">
        <f t="shared" si="31"/>
        <v>119249.65365885817</v>
      </c>
      <c r="C550" s="43">
        <v>0.03</v>
      </c>
      <c r="D550" s="42">
        <f t="shared" si="32"/>
        <v>298.12413414714541</v>
      </c>
      <c r="E550" s="83">
        <f t="shared" si="33"/>
        <v>119547.77779300531</v>
      </c>
      <c r="F550" s="83">
        <f>E550-G550</f>
        <v>118547.77779300531</v>
      </c>
      <c r="G550" s="83">
        <v>1000</v>
      </c>
      <c r="H550" s="85">
        <v>546</v>
      </c>
      <c r="Z550">
        <v>298183.29384326725</v>
      </c>
    </row>
    <row r="551" spans="2:26" x14ac:dyDescent="0.25">
      <c r="B551" s="83">
        <f t="shared" si="31"/>
        <v>118547.77779300531</v>
      </c>
      <c r="C551" s="43">
        <v>0.03</v>
      </c>
      <c r="D551" s="42">
        <f t="shared" si="32"/>
        <v>296.3694444825133</v>
      </c>
      <c r="E551" s="83">
        <f t="shared" si="33"/>
        <v>118844.14723748782</v>
      </c>
      <c r="F551" s="83">
        <f>E551-G551</f>
        <v>117844.14723748782</v>
      </c>
      <c r="G551" s="83">
        <v>1000</v>
      </c>
      <c r="H551" s="45">
        <v>547</v>
      </c>
      <c r="Z551">
        <v>298437.20084116433</v>
      </c>
    </row>
    <row r="552" spans="2:26" x14ac:dyDescent="0.25">
      <c r="B552" s="83">
        <f t="shared" si="31"/>
        <v>117844.14723748782</v>
      </c>
      <c r="C552" s="43">
        <v>0.03</v>
      </c>
      <c r="D552" s="42">
        <f t="shared" si="32"/>
        <v>294.61036809371956</v>
      </c>
      <c r="E552" s="83">
        <f t="shared" si="33"/>
        <v>118138.75760558154</v>
      </c>
      <c r="F552" s="83">
        <f>E552-G552</f>
        <v>117138.75760558154</v>
      </c>
      <c r="G552" s="83">
        <v>1000</v>
      </c>
      <c r="H552" s="23">
        <v>548</v>
      </c>
      <c r="Z552">
        <v>298690.47465452796</v>
      </c>
    </row>
    <row r="553" spans="2:26" x14ac:dyDescent="0.25">
      <c r="B553" s="83">
        <f t="shared" si="31"/>
        <v>117138.75760558154</v>
      </c>
      <c r="C553" s="43">
        <v>0.03</v>
      </c>
      <c r="D553" s="42">
        <f t="shared" si="32"/>
        <v>292.84689401395389</v>
      </c>
      <c r="E553" s="83">
        <f t="shared" si="33"/>
        <v>117431.6044995955</v>
      </c>
      <c r="F553" s="83">
        <f>E553-G553</f>
        <v>116431.6044995955</v>
      </c>
      <c r="G553" s="83">
        <v>1000</v>
      </c>
      <c r="H553" s="85">
        <v>549</v>
      </c>
      <c r="Z553">
        <v>298943.11686237209</v>
      </c>
    </row>
    <row r="554" spans="2:26" x14ac:dyDescent="0.25">
      <c r="B554" s="83">
        <f t="shared" si="31"/>
        <v>116431.6044995955</v>
      </c>
      <c r="C554" s="43">
        <v>0.03</v>
      </c>
      <c r="D554" s="42">
        <f t="shared" si="32"/>
        <v>291.07901124898876</v>
      </c>
      <c r="E554" s="83">
        <f t="shared" si="33"/>
        <v>116722.68351084449</v>
      </c>
      <c r="F554" s="83">
        <f>E554-G554</f>
        <v>115722.68351084449</v>
      </c>
      <c r="G554" s="83">
        <v>1000</v>
      </c>
      <c r="H554" s="45">
        <v>550</v>
      </c>
      <c r="Z554">
        <v>299195.12903977267</v>
      </c>
    </row>
    <row r="555" spans="2:26" x14ac:dyDescent="0.25">
      <c r="B555" s="83">
        <f t="shared" si="31"/>
        <v>115722.68351084449</v>
      </c>
      <c r="C555" s="43">
        <v>0.03</v>
      </c>
      <c r="D555" s="42">
        <f t="shared" si="32"/>
        <v>289.30670877711123</v>
      </c>
      <c r="E555" s="83">
        <f t="shared" si="33"/>
        <v>116011.9902196216</v>
      </c>
      <c r="F555" s="83">
        <f>E555-G555</f>
        <v>115011.9902196216</v>
      </c>
      <c r="G555" s="83">
        <v>1000</v>
      </c>
      <c r="H555" s="23">
        <v>551</v>
      </c>
      <c r="Z555">
        <v>299446.51275787794</v>
      </c>
    </row>
    <row r="556" spans="2:26" x14ac:dyDescent="0.25">
      <c r="B556" s="83">
        <f t="shared" si="31"/>
        <v>115011.9902196216</v>
      </c>
      <c r="C556" s="43">
        <v>0.03</v>
      </c>
      <c r="D556" s="42">
        <f t="shared" si="32"/>
        <v>287.52997554905403</v>
      </c>
      <c r="E556" s="83">
        <f t="shared" si="33"/>
        <v>115299.52019517065</v>
      </c>
      <c r="F556" s="83">
        <f>E556-G556</f>
        <v>114299.52019517065</v>
      </c>
      <c r="G556" s="83">
        <v>1000</v>
      </c>
      <c r="H556" s="85">
        <v>552</v>
      </c>
      <c r="Z556">
        <v>299697.2695839181</v>
      </c>
    </row>
    <row r="557" spans="2:26" x14ac:dyDescent="0.25">
      <c r="B557" s="83">
        <f t="shared" si="31"/>
        <v>114299.52019517065</v>
      </c>
      <c r="C557" s="43">
        <v>0.03</v>
      </c>
      <c r="D557" s="42">
        <f t="shared" si="32"/>
        <v>285.74880048792664</v>
      </c>
      <c r="E557" s="83">
        <f t="shared" si="33"/>
        <v>114585.26899565858</v>
      </c>
      <c r="F557" s="83">
        <f>E557-G557</f>
        <v>113585.26899565858</v>
      </c>
      <c r="G557" s="83">
        <v>1000</v>
      </c>
      <c r="H557" s="45">
        <v>553</v>
      </c>
      <c r="Z557">
        <v>299947.40108121507</v>
      </c>
    </row>
    <row r="558" spans="2:26" x14ac:dyDescent="0.25">
      <c r="B558" s="83">
        <f t="shared" ref="B558:B621" si="34">F557</f>
        <v>113585.26899565858</v>
      </c>
      <c r="C558" s="43">
        <v>0.03</v>
      </c>
      <c r="D558" s="42">
        <f t="shared" ref="D558:D621" si="35">B558*(0.03/12)</f>
        <v>283.96317248914647</v>
      </c>
      <c r="E558" s="83">
        <f t="shared" ref="E558:E621" si="36">B558+D558</f>
        <v>113869.23216814773</v>
      </c>
      <c r="F558" s="83">
        <f>E558-G558</f>
        <v>112869.23216814773</v>
      </c>
      <c r="G558" s="83">
        <v>1000</v>
      </c>
      <c r="H558" s="23">
        <v>554</v>
      </c>
      <c r="Z558">
        <v>300196.90880919213</v>
      </c>
    </row>
    <row r="559" spans="2:26" x14ac:dyDescent="0.25">
      <c r="B559" s="83">
        <f t="shared" si="34"/>
        <v>112869.23216814773</v>
      </c>
      <c r="C559" s="43">
        <v>0.03</v>
      </c>
      <c r="D559" s="42">
        <f t="shared" si="35"/>
        <v>282.17308042036933</v>
      </c>
      <c r="E559" s="83">
        <f t="shared" si="36"/>
        <v>113151.4052485681</v>
      </c>
      <c r="F559" s="83">
        <f>E559-G559</f>
        <v>112151.4052485681</v>
      </c>
      <c r="G559" s="83">
        <v>1000</v>
      </c>
      <c r="H559" s="85">
        <v>555</v>
      </c>
      <c r="Z559">
        <v>300445.79432338366</v>
      </c>
    </row>
    <row r="560" spans="2:26" x14ac:dyDescent="0.25">
      <c r="B560" s="83">
        <f t="shared" si="34"/>
        <v>112151.4052485681</v>
      </c>
      <c r="C560" s="43">
        <v>0.03</v>
      </c>
      <c r="D560" s="42">
        <f t="shared" si="35"/>
        <v>280.37851312142027</v>
      </c>
      <c r="E560" s="83">
        <f t="shared" si="36"/>
        <v>112431.78376168953</v>
      </c>
      <c r="F560" s="83">
        <f>E560-G560</f>
        <v>111431.78376168953</v>
      </c>
      <c r="G560" s="83">
        <v>1000</v>
      </c>
      <c r="H560" s="45">
        <v>556</v>
      </c>
      <c r="Z560">
        <v>300694.059175445</v>
      </c>
    </row>
    <row r="561" spans="2:26" x14ac:dyDescent="0.25">
      <c r="B561" s="83">
        <f t="shared" si="34"/>
        <v>111431.78376168953</v>
      </c>
      <c r="C561" s="43">
        <v>0.03</v>
      </c>
      <c r="D561" s="42">
        <f t="shared" si="35"/>
        <v>278.57945940422383</v>
      </c>
      <c r="E561" s="83">
        <f t="shared" si="36"/>
        <v>111710.36322109375</v>
      </c>
      <c r="F561" s="83">
        <f>E561-G561</f>
        <v>110710.36322109375</v>
      </c>
      <c r="G561" s="83">
        <v>1000</v>
      </c>
      <c r="H561" s="23">
        <v>557</v>
      </c>
      <c r="Z561">
        <v>300941.7049131621</v>
      </c>
    </row>
    <row r="562" spans="2:26" x14ac:dyDescent="0.25">
      <c r="B562" s="83">
        <f t="shared" si="34"/>
        <v>110710.36322109375</v>
      </c>
      <c r="C562" s="43">
        <v>0.03</v>
      </c>
      <c r="D562" s="42">
        <f t="shared" si="35"/>
        <v>276.77590805273439</v>
      </c>
      <c r="E562" s="83">
        <f t="shared" si="36"/>
        <v>110987.13912914648</v>
      </c>
      <c r="F562" s="83">
        <f>E562-G562</f>
        <v>109987.13912914648</v>
      </c>
      <c r="G562" s="83">
        <v>1000</v>
      </c>
      <c r="H562" s="85">
        <v>558</v>
      </c>
      <c r="Z562">
        <v>301188.73308046092</v>
      </c>
    </row>
    <row r="563" spans="2:26" x14ac:dyDescent="0.25">
      <c r="B563" s="83">
        <f t="shared" si="34"/>
        <v>109987.13912914648</v>
      </c>
      <c r="C563" s="43">
        <v>0.03</v>
      </c>
      <c r="D563" s="42">
        <f t="shared" si="35"/>
        <v>274.96784782286619</v>
      </c>
      <c r="E563" s="83">
        <f t="shared" si="36"/>
        <v>110262.10697696934</v>
      </c>
      <c r="F563" s="83">
        <f>E563-G563</f>
        <v>109262.10697696934</v>
      </c>
      <c r="G563" s="83">
        <v>1000</v>
      </c>
      <c r="H563" s="45">
        <v>559</v>
      </c>
      <c r="Z563">
        <v>301435.14521741739</v>
      </c>
    </row>
    <row r="564" spans="2:26" x14ac:dyDescent="0.25">
      <c r="B564" s="83">
        <f t="shared" si="34"/>
        <v>109262.10697696934</v>
      </c>
      <c r="C564" s="43">
        <v>0.03</v>
      </c>
      <c r="D564" s="42">
        <f t="shared" si="35"/>
        <v>273.15526744242334</v>
      </c>
      <c r="E564" s="83">
        <f t="shared" si="36"/>
        <v>109535.26224441176</v>
      </c>
      <c r="F564" s="83">
        <f>E564-G564</f>
        <v>108535.26224441176</v>
      </c>
      <c r="G564" s="83">
        <v>1000</v>
      </c>
      <c r="H564" s="23">
        <v>560</v>
      </c>
      <c r="Z564">
        <v>301680.94286026678</v>
      </c>
    </row>
    <row r="565" spans="2:26" x14ac:dyDescent="0.25">
      <c r="B565" s="83">
        <f t="shared" si="34"/>
        <v>108535.26224441176</v>
      </c>
      <c r="C565" s="43">
        <v>0.03</v>
      </c>
      <c r="D565" s="42">
        <f t="shared" si="35"/>
        <v>271.33815561102938</v>
      </c>
      <c r="E565" s="83">
        <f t="shared" si="36"/>
        <v>108806.60040002278</v>
      </c>
      <c r="F565" s="83">
        <f>E565-G565</f>
        <v>107806.60040002278</v>
      </c>
      <c r="G565" s="83">
        <v>1000</v>
      </c>
      <c r="H565" s="85">
        <v>561</v>
      </c>
      <c r="Z565">
        <v>301926.12754141318</v>
      </c>
    </row>
    <row r="566" spans="2:26" x14ac:dyDescent="0.25">
      <c r="B566" s="83">
        <f t="shared" si="34"/>
        <v>107806.60040002278</v>
      </c>
      <c r="C566" s="43">
        <v>0.03</v>
      </c>
      <c r="D566" s="42">
        <f t="shared" si="35"/>
        <v>269.51650100005696</v>
      </c>
      <c r="E566" s="83">
        <f t="shared" si="36"/>
        <v>108076.11690102285</v>
      </c>
      <c r="F566" s="83">
        <f>E566-G566</f>
        <v>107076.11690102285</v>
      </c>
      <c r="G566" s="83">
        <v>1000</v>
      </c>
      <c r="H566" s="45">
        <v>562</v>
      </c>
      <c r="Z566">
        <v>302170.70078943961</v>
      </c>
    </row>
    <row r="567" spans="2:26" x14ac:dyDescent="0.25">
      <c r="B567" s="83">
        <f t="shared" si="34"/>
        <v>107076.11690102285</v>
      </c>
      <c r="C567" s="43">
        <v>0.03</v>
      </c>
      <c r="D567" s="42">
        <f t="shared" si="35"/>
        <v>267.69029225255713</v>
      </c>
      <c r="E567" s="83">
        <f t="shared" si="36"/>
        <v>107343.80719327541</v>
      </c>
      <c r="F567" s="83">
        <f>E567-G567</f>
        <v>106343.80719327541</v>
      </c>
      <c r="G567" s="83">
        <v>1000</v>
      </c>
      <c r="H567" s="23">
        <v>563</v>
      </c>
      <c r="Z567">
        <v>302414.66412911675</v>
      </c>
    </row>
    <row r="568" spans="2:26" x14ac:dyDescent="0.25">
      <c r="B568" s="83">
        <f t="shared" si="34"/>
        <v>106343.80719327541</v>
      </c>
      <c r="C568" s="43">
        <v>0.03</v>
      </c>
      <c r="D568" s="42">
        <f t="shared" si="35"/>
        <v>265.85951798318854</v>
      </c>
      <c r="E568" s="83">
        <f t="shared" si="36"/>
        <v>106609.6667112586</v>
      </c>
      <c r="F568" s="83">
        <f>E568-G568</f>
        <v>105609.6667112586</v>
      </c>
      <c r="G568" s="83">
        <v>1000</v>
      </c>
      <c r="H568" s="85">
        <v>564</v>
      </c>
      <c r="Z568">
        <v>302658.01908141322</v>
      </c>
    </row>
    <row r="569" spans="2:26" x14ac:dyDescent="0.25">
      <c r="B569" s="83">
        <f t="shared" si="34"/>
        <v>105609.6667112586</v>
      </c>
      <c r="C569" s="43">
        <v>0.03</v>
      </c>
      <c r="D569" s="42">
        <f t="shared" si="35"/>
        <v>264.02416677814648</v>
      </c>
      <c r="E569" s="83">
        <f t="shared" si="36"/>
        <v>105873.69087803675</v>
      </c>
      <c r="F569" s="83">
        <f>E569-G569</f>
        <v>104873.69087803675</v>
      </c>
      <c r="G569" s="83">
        <v>1000</v>
      </c>
      <c r="H569" s="45">
        <v>565</v>
      </c>
      <c r="Z569">
        <v>302900.7671635045</v>
      </c>
    </row>
    <row r="570" spans="2:26" x14ac:dyDescent="0.25">
      <c r="B570" s="83">
        <f t="shared" si="34"/>
        <v>104873.69087803675</v>
      </c>
      <c r="C570" s="43">
        <v>0.03</v>
      </c>
      <c r="D570" s="42">
        <f t="shared" si="35"/>
        <v>262.18422719509186</v>
      </c>
      <c r="E570" s="83">
        <f t="shared" si="36"/>
        <v>105135.87510523184</v>
      </c>
      <c r="F570" s="83">
        <f>E570-G570</f>
        <v>104135.87510523184</v>
      </c>
      <c r="G570" s="83">
        <v>1000</v>
      </c>
      <c r="H570" s="23">
        <v>566</v>
      </c>
      <c r="Z570">
        <v>303142.90988878248</v>
      </c>
    </row>
    <row r="571" spans="2:26" x14ac:dyDescent="0.25">
      <c r="B571" s="83">
        <f t="shared" si="34"/>
        <v>104135.87510523184</v>
      </c>
      <c r="C571" s="43">
        <v>0.03</v>
      </c>
      <c r="D571" s="42">
        <f t="shared" si="35"/>
        <v>260.33968776307961</v>
      </c>
      <c r="E571" s="83">
        <f t="shared" si="36"/>
        <v>104396.21479299491</v>
      </c>
      <c r="F571" s="83">
        <f>E571-G571</f>
        <v>103396.21479299491</v>
      </c>
      <c r="G571" s="83">
        <v>1000</v>
      </c>
      <c r="H571" s="85">
        <v>567</v>
      </c>
      <c r="Z571">
        <v>303384.44876686536</v>
      </c>
    </row>
    <row r="572" spans="2:26" x14ac:dyDescent="0.25">
      <c r="B572" s="83">
        <f t="shared" si="34"/>
        <v>103396.21479299491</v>
      </c>
      <c r="C572" s="43">
        <v>0.03</v>
      </c>
      <c r="D572" s="42">
        <f t="shared" si="35"/>
        <v>258.4905369824873</v>
      </c>
      <c r="E572" s="83">
        <f t="shared" si="36"/>
        <v>103654.7053299774</v>
      </c>
      <c r="F572" s="83">
        <f>E572-G572</f>
        <v>102654.7053299774</v>
      </c>
      <c r="G572" s="83">
        <v>1000</v>
      </c>
      <c r="H572" s="45">
        <v>568</v>
      </c>
      <c r="Z572">
        <v>303625.38530360634</v>
      </c>
    </row>
    <row r="573" spans="2:26" x14ac:dyDescent="0.25">
      <c r="B573" s="83">
        <f t="shared" si="34"/>
        <v>102654.7053299774</v>
      </c>
      <c r="C573" s="43">
        <v>0.03</v>
      </c>
      <c r="D573" s="42">
        <f t="shared" si="35"/>
        <v>256.6367633249435</v>
      </c>
      <c r="E573" s="83">
        <f t="shared" si="36"/>
        <v>102911.34209330234</v>
      </c>
      <c r="F573" s="83">
        <f>E573-G573</f>
        <v>101911.34209330234</v>
      </c>
      <c r="G573" s="83">
        <v>1000</v>
      </c>
      <c r="H573" s="23">
        <v>569</v>
      </c>
      <c r="Z573">
        <v>303865.72100110358</v>
      </c>
    </row>
    <row r="574" spans="2:26" x14ac:dyDescent="0.25">
      <c r="B574" s="83">
        <f t="shared" si="34"/>
        <v>101911.34209330234</v>
      </c>
      <c r="C574" s="43">
        <v>0.03</v>
      </c>
      <c r="D574" s="42">
        <f t="shared" si="35"/>
        <v>254.77835523325587</v>
      </c>
      <c r="E574" s="83">
        <f t="shared" si="36"/>
        <v>102166.1204485356</v>
      </c>
      <c r="F574" s="83">
        <f>E574-G574</f>
        <v>101166.1204485356</v>
      </c>
      <c r="G574" s="83">
        <v>1000</v>
      </c>
      <c r="H574" s="85">
        <v>570</v>
      </c>
      <c r="Z574">
        <v>304105.4573577093</v>
      </c>
    </row>
    <row r="575" spans="2:26" x14ac:dyDescent="0.25">
      <c r="B575" s="83">
        <f t="shared" si="34"/>
        <v>101166.1204485356</v>
      </c>
      <c r="C575" s="43">
        <v>0.03</v>
      </c>
      <c r="D575" s="42">
        <f t="shared" si="35"/>
        <v>252.91530112133901</v>
      </c>
      <c r="E575" s="83">
        <f t="shared" si="36"/>
        <v>101419.03574965693</v>
      </c>
      <c r="F575" s="83">
        <f>E575-G575</f>
        <v>100419.03574965693</v>
      </c>
      <c r="G575" s="83">
        <v>1000</v>
      </c>
      <c r="H575" s="45">
        <v>571</v>
      </c>
      <c r="Z575">
        <v>304344.59586803924</v>
      </c>
    </row>
    <row r="576" spans="2:26" x14ac:dyDescent="0.25">
      <c r="B576" s="83">
        <f t="shared" si="34"/>
        <v>100419.03574965693</v>
      </c>
      <c r="C576" s="43">
        <v>0.03</v>
      </c>
      <c r="D576" s="42">
        <f t="shared" si="35"/>
        <v>251.04758937414235</v>
      </c>
      <c r="E576" s="83">
        <f t="shared" si="36"/>
        <v>100670.08333903107</v>
      </c>
      <c r="F576" s="83">
        <f>E576-G576</f>
        <v>99670.083339031073</v>
      </c>
      <c r="G576" s="83">
        <v>1000</v>
      </c>
      <c r="H576" s="23">
        <v>572</v>
      </c>
      <c r="Z576">
        <v>304583.1380229817</v>
      </c>
    </row>
    <row r="577" spans="2:26" x14ac:dyDescent="0.25">
      <c r="B577" s="83">
        <f t="shared" si="34"/>
        <v>99670.083339031073</v>
      </c>
      <c r="C577" s="43">
        <v>0.03</v>
      </c>
      <c r="D577" s="42">
        <f t="shared" si="35"/>
        <v>249.17520834757769</v>
      </c>
      <c r="E577" s="83">
        <f t="shared" si="36"/>
        <v>99919.258547378646</v>
      </c>
      <c r="F577" s="83">
        <f>E577-G577</f>
        <v>98919.258547378646</v>
      </c>
      <c r="G577" s="83">
        <v>1000</v>
      </c>
      <c r="H577" s="85">
        <v>573</v>
      </c>
      <c r="Z577">
        <v>304821.08530970744</v>
      </c>
    </row>
    <row r="578" spans="2:26" x14ac:dyDescent="0.25">
      <c r="B578" s="83">
        <f t="shared" si="34"/>
        <v>98919.258547378646</v>
      </c>
      <c r="C578" s="43">
        <v>0.03</v>
      </c>
      <c r="D578" s="42">
        <f t="shared" si="35"/>
        <v>247.29814636844662</v>
      </c>
      <c r="E578" s="83">
        <f t="shared" si="36"/>
        <v>99166.556693747087</v>
      </c>
      <c r="F578" s="83">
        <f>E578-G578</f>
        <v>98166.556693747087</v>
      </c>
      <c r="G578" s="83">
        <v>1000</v>
      </c>
      <c r="H578" s="45">
        <v>574</v>
      </c>
      <c r="Z578">
        <v>305058.43921167823</v>
      </c>
    </row>
    <row r="579" spans="2:26" x14ac:dyDescent="0.25">
      <c r="B579" s="83">
        <f t="shared" si="34"/>
        <v>98166.556693747087</v>
      </c>
      <c r="C579" s="43">
        <v>0.03</v>
      </c>
      <c r="D579" s="42">
        <f t="shared" si="35"/>
        <v>245.41639173436772</v>
      </c>
      <c r="E579" s="83">
        <f t="shared" si="36"/>
        <v>98411.973085481455</v>
      </c>
      <c r="F579" s="83">
        <f>E579-G579</f>
        <v>97411.973085481455</v>
      </c>
      <c r="G579" s="83">
        <v>1000</v>
      </c>
      <c r="H579" s="23">
        <v>575</v>
      </c>
      <c r="Z579">
        <v>305295.2012086566</v>
      </c>
    </row>
    <row r="580" spans="2:26" x14ac:dyDescent="0.25">
      <c r="B580" s="83">
        <f t="shared" si="34"/>
        <v>97411.973085481455</v>
      </c>
      <c r="C580" s="43">
        <v>0.03</v>
      </c>
      <c r="D580" s="42">
        <f t="shared" si="35"/>
        <v>243.52993271370363</v>
      </c>
      <c r="E580" s="83">
        <f t="shared" si="36"/>
        <v>97655.503018195159</v>
      </c>
      <c r="F580" s="83">
        <f>E580-G580</f>
        <v>96655.503018195159</v>
      </c>
      <c r="G580" s="83">
        <v>1000</v>
      </c>
      <c r="H580" s="85">
        <v>576</v>
      </c>
      <c r="Z580">
        <v>305531.37277671479</v>
      </c>
    </row>
    <row r="581" spans="2:26" x14ac:dyDescent="0.25">
      <c r="B581" s="83">
        <f t="shared" si="34"/>
        <v>96655.503018195159</v>
      </c>
      <c r="C581" s="43">
        <v>0.03</v>
      </c>
      <c r="D581" s="42">
        <f t="shared" si="35"/>
        <v>241.63875754548789</v>
      </c>
      <c r="E581" s="83">
        <f t="shared" si="36"/>
        <v>96897.141775740645</v>
      </c>
      <c r="F581" s="83">
        <f>E581-G581</f>
        <v>95897.141775740645</v>
      </c>
      <c r="G581" s="83">
        <v>1000</v>
      </c>
      <c r="H581" s="45">
        <v>577</v>
      </c>
      <c r="Z581">
        <v>305766.95538824418</v>
      </c>
    </row>
    <row r="582" spans="2:26" x14ac:dyDescent="0.25">
      <c r="B582" s="83">
        <f t="shared" si="34"/>
        <v>95897.141775740645</v>
      </c>
      <c r="C582" s="43">
        <v>0.03</v>
      </c>
      <c r="D582" s="42">
        <f t="shared" si="35"/>
        <v>239.74285443935162</v>
      </c>
      <c r="E582" s="83">
        <f t="shared" si="36"/>
        <v>96136.884630179993</v>
      </c>
      <c r="F582" s="83">
        <f>E582-G582</f>
        <v>95136.884630179993</v>
      </c>
      <c r="G582" s="83">
        <v>1000</v>
      </c>
      <c r="H582" s="23">
        <v>578</v>
      </c>
      <c r="Z582">
        <v>306001.95051196421</v>
      </c>
    </row>
    <row r="583" spans="2:26" x14ac:dyDescent="0.25">
      <c r="B583" s="83">
        <f t="shared" si="34"/>
        <v>95136.884630179993</v>
      </c>
      <c r="C583" s="43">
        <v>0.03</v>
      </c>
      <c r="D583" s="42">
        <f t="shared" si="35"/>
        <v>237.84221157544999</v>
      </c>
      <c r="E583" s="83">
        <f t="shared" si="36"/>
        <v>95374.726841755444</v>
      </c>
      <c r="F583" s="83">
        <f>E583-G583</f>
        <v>94374.726841755444</v>
      </c>
      <c r="G583" s="83">
        <v>1000</v>
      </c>
      <c r="H583" s="85">
        <v>579</v>
      </c>
      <c r="Z583">
        <v>306236.35961293196</v>
      </c>
    </row>
    <row r="584" spans="2:26" x14ac:dyDescent="0.25">
      <c r="B584" s="83">
        <f t="shared" si="34"/>
        <v>94374.726841755444</v>
      </c>
      <c r="C584" s="43">
        <v>0.03</v>
      </c>
      <c r="D584" s="42">
        <f t="shared" si="35"/>
        <v>235.93681710438861</v>
      </c>
      <c r="E584" s="83">
        <f t="shared" si="36"/>
        <v>94610.663658859834</v>
      </c>
      <c r="F584" s="83">
        <f>E584-G584</f>
        <v>93610.663658859834</v>
      </c>
      <c r="G584" s="83">
        <v>1000</v>
      </c>
      <c r="H584" s="45">
        <v>580</v>
      </c>
      <c r="Z584">
        <v>306470.18415255053</v>
      </c>
    </row>
    <row r="585" spans="2:26" x14ac:dyDescent="0.25">
      <c r="B585" s="83">
        <f t="shared" si="34"/>
        <v>93610.663658859834</v>
      </c>
      <c r="C585" s="43">
        <v>0.03</v>
      </c>
      <c r="D585" s="42">
        <f t="shared" si="35"/>
        <v>234.02665914714959</v>
      </c>
      <c r="E585" s="83">
        <f t="shared" si="36"/>
        <v>93844.690318006978</v>
      </c>
      <c r="F585" s="83">
        <f>E585-G585</f>
        <v>92844.690318006978</v>
      </c>
      <c r="G585" s="83">
        <v>1000</v>
      </c>
      <c r="H585" s="23">
        <v>581</v>
      </c>
      <c r="Z585">
        <v>306703.42558857915</v>
      </c>
    </row>
    <row r="586" spans="2:26" x14ac:dyDescent="0.25">
      <c r="B586" s="83">
        <f t="shared" si="34"/>
        <v>92844.690318006978</v>
      </c>
      <c r="C586" s="43">
        <v>0.03</v>
      </c>
      <c r="D586" s="42">
        <f t="shared" si="35"/>
        <v>232.11172579501746</v>
      </c>
      <c r="E586" s="83">
        <f t="shared" si="36"/>
        <v>93076.802043802003</v>
      </c>
      <c r="F586" s="83">
        <f>E586-G586</f>
        <v>92076.802043802003</v>
      </c>
      <c r="G586" s="83">
        <v>1000</v>
      </c>
      <c r="H586" s="85">
        <v>582</v>
      </c>
      <c r="Z586">
        <v>306936.08537514124</v>
      </c>
    </row>
    <row r="587" spans="2:26" x14ac:dyDescent="0.25">
      <c r="B587" s="83">
        <f t="shared" si="34"/>
        <v>92076.802043802003</v>
      </c>
      <c r="C587" s="43">
        <v>0.03</v>
      </c>
      <c r="D587" s="42">
        <f t="shared" si="35"/>
        <v>230.192005109505</v>
      </c>
      <c r="E587" s="83">
        <f t="shared" si="36"/>
        <v>92306.994048911511</v>
      </c>
      <c r="F587" s="83">
        <f>E587-G587</f>
        <v>91306.994048911511</v>
      </c>
      <c r="G587" s="83">
        <v>1000</v>
      </c>
      <c r="H587" s="45">
        <v>583</v>
      </c>
      <c r="Z587">
        <v>307168.16496273439</v>
      </c>
    </row>
    <row r="588" spans="2:26" x14ac:dyDescent="0.25">
      <c r="B588" s="83">
        <f t="shared" si="34"/>
        <v>91306.994048911511</v>
      </c>
      <c r="C588" s="43">
        <v>0.03</v>
      </c>
      <c r="D588" s="42">
        <f t="shared" si="35"/>
        <v>228.26748512227877</v>
      </c>
      <c r="E588" s="83">
        <f t="shared" si="36"/>
        <v>91535.261534033794</v>
      </c>
      <c r="F588" s="83">
        <f>E588-G588</f>
        <v>90535.261534033794</v>
      </c>
      <c r="G588" s="83">
        <v>1000</v>
      </c>
      <c r="H588" s="23">
        <v>584</v>
      </c>
      <c r="Z588">
        <v>307399.66579823883</v>
      </c>
    </row>
    <row r="589" spans="2:26" x14ac:dyDescent="0.25">
      <c r="B589" s="83">
        <f t="shared" si="34"/>
        <v>90535.261534033794</v>
      </c>
      <c r="C589" s="43">
        <v>0.03</v>
      </c>
      <c r="D589" s="42">
        <f t="shared" si="35"/>
        <v>226.33815383508448</v>
      </c>
      <c r="E589" s="83">
        <f t="shared" si="36"/>
        <v>90761.599687868875</v>
      </c>
      <c r="F589" s="83">
        <f>E589-G589</f>
        <v>89761.599687868875</v>
      </c>
      <c r="G589" s="83">
        <v>1000</v>
      </c>
      <c r="H589" s="85">
        <v>585</v>
      </c>
      <c r="Z589">
        <v>307630.58932492649</v>
      </c>
    </row>
    <row r="590" spans="2:26" x14ac:dyDescent="0.25">
      <c r="B590" s="83">
        <f t="shared" si="34"/>
        <v>89761.599687868875</v>
      </c>
      <c r="C590" s="43">
        <v>0.03</v>
      </c>
      <c r="D590" s="42">
        <f t="shared" si="35"/>
        <v>224.40399921967219</v>
      </c>
      <c r="E590" s="83">
        <f t="shared" si="36"/>
        <v>89986.003687088552</v>
      </c>
      <c r="F590" s="83">
        <f>E590-G590</f>
        <v>88986.003687088552</v>
      </c>
      <c r="G590" s="83">
        <v>1000</v>
      </c>
      <c r="H590" s="45">
        <v>586</v>
      </c>
      <c r="Z590">
        <v>307860.93698247033</v>
      </c>
    </row>
    <row r="591" spans="2:26" x14ac:dyDescent="0.25">
      <c r="B591" s="83">
        <f t="shared" si="34"/>
        <v>88986.003687088552</v>
      </c>
      <c r="C591" s="43">
        <v>0.03</v>
      </c>
      <c r="D591" s="42">
        <f t="shared" si="35"/>
        <v>222.46500921772139</v>
      </c>
      <c r="E591" s="83">
        <f t="shared" si="36"/>
        <v>89208.46869630627</v>
      </c>
      <c r="F591" s="83">
        <f>E591-G591</f>
        <v>88208.46869630627</v>
      </c>
      <c r="G591" s="83">
        <v>1000</v>
      </c>
      <c r="H591" s="23">
        <v>587</v>
      </c>
      <c r="Z591">
        <v>308090.71020695294</v>
      </c>
    </row>
    <row r="592" spans="2:26" x14ac:dyDescent="0.25">
      <c r="B592" s="83">
        <f t="shared" si="34"/>
        <v>88208.46869630627</v>
      </c>
      <c r="C592" s="43">
        <v>0.03</v>
      </c>
      <c r="D592" s="42">
        <f t="shared" si="35"/>
        <v>220.52117174076568</v>
      </c>
      <c r="E592" s="83">
        <f t="shared" si="36"/>
        <v>88428.989868047036</v>
      </c>
      <c r="F592" s="83">
        <f>E592-G592</f>
        <v>87428.989868047036</v>
      </c>
      <c r="G592" s="83">
        <v>1000</v>
      </c>
      <c r="H592" s="85">
        <v>588</v>
      </c>
      <c r="Z592">
        <v>308319.91043087572</v>
      </c>
    </row>
    <row r="593" spans="2:26" x14ac:dyDescent="0.25">
      <c r="B593" s="83">
        <f t="shared" si="34"/>
        <v>87428.989868047036</v>
      </c>
      <c r="C593" s="43">
        <v>0.03</v>
      </c>
      <c r="D593" s="42">
        <f t="shared" si="35"/>
        <v>218.5724746701176</v>
      </c>
      <c r="E593" s="83">
        <f t="shared" si="36"/>
        <v>87647.562342717152</v>
      </c>
      <c r="F593" s="83">
        <f>E593-G593</f>
        <v>86647.562342717152</v>
      </c>
      <c r="G593" s="83">
        <v>1000</v>
      </c>
      <c r="H593" s="45">
        <v>589</v>
      </c>
      <c r="Z593">
        <v>308548.53908316779</v>
      </c>
    </row>
    <row r="594" spans="2:26" x14ac:dyDescent="0.25">
      <c r="B594" s="83">
        <f t="shared" si="34"/>
        <v>86647.562342717152</v>
      </c>
      <c r="C594" s="43">
        <v>0.03</v>
      </c>
      <c r="D594" s="42">
        <f t="shared" si="35"/>
        <v>216.61890585679288</v>
      </c>
      <c r="E594" s="83">
        <f t="shared" si="36"/>
        <v>86864.18124857395</v>
      </c>
      <c r="F594" s="83">
        <f>E594-G594</f>
        <v>85864.18124857395</v>
      </c>
      <c r="G594" s="83">
        <v>1000</v>
      </c>
      <c r="H594" s="23">
        <v>590</v>
      </c>
      <c r="Z594">
        <v>308776.59758919477</v>
      </c>
    </row>
    <row r="595" spans="2:26" x14ac:dyDescent="0.25">
      <c r="B595" s="83">
        <f t="shared" si="34"/>
        <v>85864.18124857395</v>
      </c>
      <c r="C595" s="43">
        <v>0.03</v>
      </c>
      <c r="D595" s="42">
        <f t="shared" si="35"/>
        <v>214.66045312143487</v>
      </c>
      <c r="E595" s="83">
        <f t="shared" si="36"/>
        <v>86078.84170169539</v>
      </c>
      <c r="F595" s="83">
        <f>E595-G595</f>
        <v>85078.84170169539</v>
      </c>
      <c r="G595" s="83">
        <v>1000</v>
      </c>
      <c r="H595" s="85">
        <v>591</v>
      </c>
      <c r="Z595">
        <v>309004.08737076784</v>
      </c>
    </row>
    <row r="596" spans="2:26" x14ac:dyDescent="0.25">
      <c r="B596" s="83">
        <f t="shared" si="34"/>
        <v>85078.84170169539</v>
      </c>
      <c r="C596" s="43">
        <v>0.03</v>
      </c>
      <c r="D596" s="42">
        <f t="shared" si="35"/>
        <v>212.69710425423847</v>
      </c>
      <c r="E596" s="83">
        <f t="shared" si="36"/>
        <v>85291.538805949633</v>
      </c>
      <c r="F596" s="83">
        <f>E596-G596</f>
        <v>84291.538805949633</v>
      </c>
      <c r="G596" s="83">
        <v>1000</v>
      </c>
      <c r="H596" s="45">
        <v>592</v>
      </c>
      <c r="Z596">
        <v>309231.0098461525</v>
      </c>
    </row>
    <row r="597" spans="2:26" x14ac:dyDescent="0.25">
      <c r="B597" s="83">
        <f t="shared" si="34"/>
        <v>84291.538805949633</v>
      </c>
      <c r="C597" s="43">
        <v>0.03</v>
      </c>
      <c r="D597" s="42">
        <f t="shared" si="35"/>
        <v>210.72884701487408</v>
      </c>
      <c r="E597" s="83">
        <f t="shared" si="36"/>
        <v>84502.26765296451</v>
      </c>
      <c r="F597" s="83">
        <f>E597-G597</f>
        <v>83502.26765296451</v>
      </c>
      <c r="G597" s="83">
        <v>1000</v>
      </c>
      <c r="H597" s="23">
        <v>593</v>
      </c>
      <c r="Z597">
        <v>309457.36643007729</v>
      </c>
    </row>
    <row r="598" spans="2:26" x14ac:dyDescent="0.25">
      <c r="B598" s="83">
        <f t="shared" si="34"/>
        <v>83502.26765296451</v>
      </c>
      <c r="C598" s="43">
        <v>0.03</v>
      </c>
      <c r="D598" s="42">
        <f t="shared" si="35"/>
        <v>208.75566913241127</v>
      </c>
      <c r="E598" s="83">
        <f t="shared" si="36"/>
        <v>83711.023322096924</v>
      </c>
      <c r="F598" s="83">
        <f>E598-G598</f>
        <v>82711.023322096924</v>
      </c>
      <c r="G598" s="83">
        <v>1000</v>
      </c>
      <c r="H598" s="85">
        <v>594</v>
      </c>
      <c r="Z598">
        <v>309683.15853374294</v>
      </c>
    </row>
    <row r="599" spans="2:26" x14ac:dyDescent="0.25">
      <c r="B599" s="83">
        <f t="shared" si="34"/>
        <v>82711.023322096924</v>
      </c>
      <c r="C599" s="43">
        <v>0.03</v>
      </c>
      <c r="D599" s="42">
        <f t="shared" si="35"/>
        <v>206.77755830524231</v>
      </c>
      <c r="E599" s="83">
        <f t="shared" si="36"/>
        <v>82917.800880402167</v>
      </c>
      <c r="F599" s="83">
        <f>E599-G599</f>
        <v>81917.800880402167</v>
      </c>
      <c r="G599" s="83">
        <v>1000</v>
      </c>
      <c r="H599" s="45">
        <v>595</v>
      </c>
      <c r="Z599">
        <v>309908.38756483089</v>
      </c>
    </row>
    <row r="600" spans="2:26" x14ac:dyDescent="0.25">
      <c r="B600" s="83">
        <f t="shared" si="34"/>
        <v>81917.800880402167</v>
      </c>
      <c r="C600" s="43">
        <v>0.03</v>
      </c>
      <c r="D600" s="42">
        <f t="shared" si="35"/>
        <v>204.79450220100543</v>
      </c>
      <c r="E600" s="83">
        <f t="shared" si="36"/>
        <v>82122.595382603176</v>
      </c>
      <c r="F600" s="83">
        <f>E600-G600</f>
        <v>81122.595382603176</v>
      </c>
      <c r="G600" s="83">
        <v>1000</v>
      </c>
      <c r="H600" s="23">
        <v>596</v>
      </c>
      <c r="Z600">
        <v>310133.05492751207</v>
      </c>
    </row>
    <row r="601" spans="2:26" x14ac:dyDescent="0.25">
      <c r="B601" s="83">
        <f t="shared" si="34"/>
        <v>81122.595382603176</v>
      </c>
      <c r="C601" s="43">
        <v>0.03</v>
      </c>
      <c r="D601" s="42">
        <f t="shared" si="35"/>
        <v>202.80648845650794</v>
      </c>
      <c r="E601" s="83">
        <f t="shared" si="36"/>
        <v>81325.401871059687</v>
      </c>
      <c r="F601" s="83">
        <f>E601-G601</f>
        <v>80325.401871059687</v>
      </c>
      <c r="G601" s="83">
        <v>1000</v>
      </c>
      <c r="H601" s="85">
        <v>597</v>
      </c>
      <c r="Z601">
        <v>310357.16202245594</v>
      </c>
    </row>
    <row r="602" spans="2:26" x14ac:dyDescent="0.25">
      <c r="B602" s="83">
        <f t="shared" si="34"/>
        <v>80325.401871059687</v>
      </c>
      <c r="C602" s="43">
        <v>0.03</v>
      </c>
      <c r="D602" s="42">
        <f t="shared" si="35"/>
        <v>200.81350467764923</v>
      </c>
      <c r="E602" s="83">
        <f t="shared" si="36"/>
        <v>80526.215375737331</v>
      </c>
      <c r="F602" s="83">
        <f>E602-G602</f>
        <v>79526.215375737331</v>
      </c>
      <c r="G602" s="83">
        <v>1000</v>
      </c>
      <c r="H602" s="45">
        <v>598</v>
      </c>
      <c r="Z602">
        <v>310580.71024683886</v>
      </c>
    </row>
    <row r="603" spans="2:26" x14ac:dyDescent="0.25">
      <c r="B603" s="83">
        <f t="shared" si="34"/>
        <v>79526.215375737331</v>
      </c>
      <c r="C603" s="43">
        <v>0.03</v>
      </c>
      <c r="D603" s="42">
        <f t="shared" si="35"/>
        <v>198.81553843934333</v>
      </c>
      <c r="E603" s="83">
        <f t="shared" si="36"/>
        <v>79725.030914176677</v>
      </c>
      <c r="F603" s="83">
        <f>E603-G603</f>
        <v>78725.030914176677</v>
      </c>
      <c r="G603" s="83">
        <v>1000</v>
      </c>
      <c r="H603" s="23">
        <v>599</v>
      </c>
      <c r="Z603">
        <v>310803.70099435293</v>
      </c>
    </row>
    <row r="604" spans="2:26" x14ac:dyDescent="0.25">
      <c r="B604" s="83">
        <f t="shared" si="34"/>
        <v>78725.030914176677</v>
      </c>
      <c r="C604" s="43">
        <v>0.03</v>
      </c>
      <c r="D604" s="42">
        <f t="shared" si="35"/>
        <v>196.81257728544171</v>
      </c>
      <c r="E604" s="83">
        <f t="shared" si="36"/>
        <v>78921.843491462118</v>
      </c>
      <c r="F604" s="83">
        <f>E604-G604</f>
        <v>77921.843491462118</v>
      </c>
      <c r="G604" s="83">
        <v>1000</v>
      </c>
      <c r="H604" s="85">
        <v>600</v>
      </c>
      <c r="Z604">
        <v>311026.13565521489</v>
      </c>
    </row>
    <row r="605" spans="2:26" x14ac:dyDescent="0.25">
      <c r="B605" s="83">
        <f t="shared" si="34"/>
        <v>77921.843491462118</v>
      </c>
      <c r="C605" s="43">
        <v>0.03</v>
      </c>
      <c r="D605" s="42">
        <f t="shared" si="35"/>
        <v>194.8046087286553</v>
      </c>
      <c r="E605" s="83">
        <f t="shared" si="36"/>
        <v>78116.648100190767</v>
      </c>
      <c r="F605" s="83">
        <f>E605-G605</f>
        <v>77116.648100190767</v>
      </c>
      <c r="G605" s="83">
        <v>1000</v>
      </c>
      <c r="H605" s="45">
        <v>601</v>
      </c>
      <c r="Z605">
        <v>311248.01561617444</v>
      </c>
    </row>
    <row r="606" spans="2:26" x14ac:dyDescent="0.25">
      <c r="B606" s="83">
        <f t="shared" si="34"/>
        <v>77116.648100190767</v>
      </c>
      <c r="C606" s="43">
        <v>0.03</v>
      </c>
      <c r="D606" s="42">
        <f t="shared" si="35"/>
        <v>192.79162025047691</v>
      </c>
      <c r="E606" s="83">
        <f t="shared" si="36"/>
        <v>77309.439720441238</v>
      </c>
      <c r="F606" s="83">
        <f>E606-G606</f>
        <v>76309.439720441238</v>
      </c>
      <c r="G606" s="83">
        <v>1000</v>
      </c>
      <c r="H606" s="23">
        <v>602</v>
      </c>
      <c r="Z606">
        <v>311469.34226052318</v>
      </c>
    </row>
    <row r="607" spans="2:26" x14ac:dyDescent="0.25">
      <c r="B607" s="83">
        <f t="shared" si="34"/>
        <v>76309.439720441238</v>
      </c>
      <c r="C607" s="43">
        <v>0.03</v>
      </c>
      <c r="D607" s="42">
        <f t="shared" si="35"/>
        <v>190.7735993011031</v>
      </c>
      <c r="E607" s="83">
        <f t="shared" si="36"/>
        <v>76500.213319742339</v>
      </c>
      <c r="F607" s="83">
        <f>E607-G607</f>
        <v>75500.213319742339</v>
      </c>
      <c r="G607" s="83">
        <v>1000</v>
      </c>
      <c r="H607" s="85">
        <v>603</v>
      </c>
      <c r="Z607">
        <v>311690.11696810287</v>
      </c>
    </row>
    <row r="608" spans="2:26" x14ac:dyDescent="0.25">
      <c r="B608" s="83">
        <f t="shared" si="34"/>
        <v>75500.213319742339</v>
      </c>
      <c r="C608" s="43">
        <v>0.03</v>
      </c>
      <c r="D608" s="42">
        <f t="shared" si="35"/>
        <v>188.75053329935585</v>
      </c>
      <c r="E608" s="83">
        <f t="shared" si="36"/>
        <v>75688.9638530417</v>
      </c>
      <c r="F608" s="83">
        <f>E608-G608</f>
        <v>74688.9638530417</v>
      </c>
      <c r="G608" s="83">
        <v>1000</v>
      </c>
      <c r="H608" s="45">
        <v>604</v>
      </c>
      <c r="Z608">
        <v>311910.34111531463</v>
      </c>
    </row>
    <row r="609" spans="2:26" x14ac:dyDescent="0.25">
      <c r="B609" s="83">
        <f t="shared" si="34"/>
        <v>74688.9638530417</v>
      </c>
      <c r="C609" s="43">
        <v>0.03</v>
      </c>
      <c r="D609" s="42">
        <f t="shared" si="35"/>
        <v>186.72240963260424</v>
      </c>
      <c r="E609" s="83">
        <f t="shared" si="36"/>
        <v>74875.68626267431</v>
      </c>
      <c r="F609" s="83">
        <f>E609-G609</f>
        <v>73875.68626267431</v>
      </c>
      <c r="G609" s="83">
        <v>1000</v>
      </c>
      <c r="H609" s="23">
        <v>605</v>
      </c>
      <c r="Z609">
        <v>312130.01607512671</v>
      </c>
    </row>
    <row r="610" spans="2:26" x14ac:dyDescent="0.25">
      <c r="B610" s="83">
        <f t="shared" si="34"/>
        <v>73875.68626267431</v>
      </c>
      <c r="C610" s="43">
        <v>0.03</v>
      </c>
      <c r="D610" s="42">
        <f t="shared" si="35"/>
        <v>184.68921565668578</v>
      </c>
      <c r="E610" s="83">
        <f t="shared" si="36"/>
        <v>74060.375478331</v>
      </c>
      <c r="F610" s="83">
        <f>E610-G610</f>
        <v>73060.375478331</v>
      </c>
      <c r="G610" s="83">
        <v>1000</v>
      </c>
      <c r="H610" s="85">
        <v>606</v>
      </c>
      <c r="Z610">
        <v>312349.14321708406</v>
      </c>
    </row>
    <row r="611" spans="2:26" x14ac:dyDescent="0.25">
      <c r="B611" s="83">
        <f t="shared" si="34"/>
        <v>73060.375478331</v>
      </c>
      <c r="C611" s="43">
        <v>0.03</v>
      </c>
      <c r="D611" s="42">
        <f t="shared" si="35"/>
        <v>182.65093869582751</v>
      </c>
      <c r="E611" s="83">
        <f t="shared" si="36"/>
        <v>73243.02641702682</v>
      </c>
      <c r="F611" s="83">
        <f>E611-G611</f>
        <v>72243.02641702682</v>
      </c>
      <c r="G611" s="83">
        <v>1000</v>
      </c>
      <c r="H611" s="45">
        <v>607</v>
      </c>
      <c r="Z611">
        <v>312567.72390731575</v>
      </c>
    </row>
    <row r="612" spans="2:26" x14ac:dyDescent="0.25">
      <c r="B612" s="83">
        <f t="shared" si="34"/>
        <v>72243.02641702682</v>
      </c>
      <c r="C612" s="43">
        <v>0.03</v>
      </c>
      <c r="D612" s="42">
        <f t="shared" si="35"/>
        <v>180.60756604256704</v>
      </c>
      <c r="E612" s="83">
        <f t="shared" si="36"/>
        <v>72423.633983069391</v>
      </c>
      <c r="F612" s="83">
        <f>E612-G612</f>
        <v>71423.633983069391</v>
      </c>
      <c r="G612" s="83">
        <v>1000</v>
      </c>
      <c r="H612" s="23">
        <v>608</v>
      </c>
      <c r="Z612">
        <v>312785.7595085444</v>
      </c>
    </row>
    <row r="613" spans="2:26" x14ac:dyDescent="0.25">
      <c r="B613" s="83">
        <f t="shared" si="34"/>
        <v>71423.633983069391</v>
      </c>
      <c r="C613" s="43">
        <v>0.03</v>
      </c>
      <c r="D613" s="42">
        <f t="shared" si="35"/>
        <v>178.55908495767349</v>
      </c>
      <c r="E613" s="83">
        <f t="shared" si="36"/>
        <v>71602.19306802706</v>
      </c>
      <c r="F613" s="83">
        <f>E613-G613</f>
        <v>70602.19306802706</v>
      </c>
      <c r="G613" s="83">
        <v>1000</v>
      </c>
      <c r="H613" s="85">
        <v>609</v>
      </c>
      <c r="Z613">
        <v>313003.25138009415</v>
      </c>
    </row>
    <row r="614" spans="2:26" x14ac:dyDescent="0.25">
      <c r="B614" s="83">
        <f t="shared" si="34"/>
        <v>70602.19306802706</v>
      </c>
      <c r="C614" s="43">
        <v>0.03</v>
      </c>
      <c r="D614" s="42">
        <f t="shared" si="35"/>
        <v>176.50548267006766</v>
      </c>
      <c r="E614" s="83">
        <f t="shared" si="36"/>
        <v>70778.698550697125</v>
      </c>
      <c r="F614" s="83">
        <f>E614-G614</f>
        <v>69778.698550697125</v>
      </c>
      <c r="G614" s="83">
        <v>1000</v>
      </c>
      <c r="H614" s="45">
        <v>610</v>
      </c>
      <c r="Z614">
        <v>313220.20087789936</v>
      </c>
    </row>
    <row r="615" spans="2:26" x14ac:dyDescent="0.25">
      <c r="B615" s="83">
        <f t="shared" si="34"/>
        <v>69778.698550697125</v>
      </c>
      <c r="C615" s="43">
        <v>0.03</v>
      </c>
      <c r="D615" s="42">
        <f t="shared" si="35"/>
        <v>174.44674637674282</v>
      </c>
      <c r="E615" s="83">
        <f t="shared" si="36"/>
        <v>69953.145297073861</v>
      </c>
      <c r="F615" s="83">
        <f>E615-G615</f>
        <v>68953.145297073861</v>
      </c>
      <c r="G615" s="83">
        <v>1000</v>
      </c>
      <c r="H615" s="23">
        <v>611</v>
      </c>
      <c r="Z615">
        <v>313436.60935451312</v>
      </c>
    </row>
    <row r="616" spans="2:26" x14ac:dyDescent="0.25">
      <c r="B616" s="83">
        <f t="shared" si="34"/>
        <v>68953.145297073861</v>
      </c>
      <c r="C616" s="43">
        <v>0.03</v>
      </c>
      <c r="D616" s="42">
        <f t="shared" si="35"/>
        <v>172.38286324268466</v>
      </c>
      <c r="E616" s="83">
        <f t="shared" si="36"/>
        <v>69125.528160316549</v>
      </c>
      <c r="F616" s="83">
        <f>E616-G616</f>
        <v>68125.528160316549</v>
      </c>
      <c r="G616" s="83">
        <v>1000</v>
      </c>
      <c r="H616" s="85">
        <v>612</v>
      </c>
      <c r="Z616">
        <v>313652.47815911536</v>
      </c>
    </row>
    <row r="617" spans="2:26" x14ac:dyDescent="0.25">
      <c r="B617" s="83">
        <f t="shared" si="34"/>
        <v>68125.528160316549</v>
      </c>
      <c r="C617" s="43">
        <v>0.03</v>
      </c>
      <c r="D617" s="42">
        <f t="shared" si="35"/>
        <v>170.31382040079137</v>
      </c>
      <c r="E617" s="83">
        <f t="shared" si="36"/>
        <v>68295.841980717334</v>
      </c>
      <c r="F617" s="83">
        <f>E617-G617</f>
        <v>67295.841980717334</v>
      </c>
      <c r="G617" s="83">
        <v>1000</v>
      </c>
      <c r="H617" s="45">
        <v>613</v>
      </c>
      <c r="Z617">
        <v>313867.80863752152</v>
      </c>
    </row>
    <row r="618" spans="2:26" x14ac:dyDescent="0.25">
      <c r="B618" s="83">
        <f t="shared" si="34"/>
        <v>67295.841980717334</v>
      </c>
      <c r="C618" s="43">
        <v>0.03</v>
      </c>
      <c r="D618" s="42">
        <f t="shared" si="35"/>
        <v>168.23960495179332</v>
      </c>
      <c r="E618" s="83">
        <f t="shared" si="36"/>
        <v>67464.081585669133</v>
      </c>
      <c r="F618" s="83">
        <f>E618-G618</f>
        <v>66464.081585669133</v>
      </c>
      <c r="G618" s="83">
        <v>1000</v>
      </c>
      <c r="H618" s="23">
        <v>614</v>
      </c>
      <c r="Z618">
        <v>314082.60213219101</v>
      </c>
    </row>
    <row r="619" spans="2:26" x14ac:dyDescent="0.25">
      <c r="B619" s="83">
        <f t="shared" si="34"/>
        <v>66464.081585669133</v>
      </c>
      <c r="C619" s="43">
        <v>0.03</v>
      </c>
      <c r="D619" s="42">
        <f t="shared" si="35"/>
        <v>166.16020396417284</v>
      </c>
      <c r="E619" s="83">
        <f t="shared" si="36"/>
        <v>66630.241789633306</v>
      </c>
      <c r="F619" s="83">
        <f>E619-G619</f>
        <v>65630.241789633306</v>
      </c>
      <c r="G619" s="83">
        <v>1000</v>
      </c>
      <c r="H619" s="85">
        <v>615</v>
      </c>
      <c r="Z619">
        <v>314296.85998223542</v>
      </c>
    </row>
    <row r="620" spans="2:26" x14ac:dyDescent="0.25">
      <c r="B620" s="83">
        <f t="shared" si="34"/>
        <v>65630.241789633306</v>
      </c>
      <c r="C620" s="43">
        <v>0.03</v>
      </c>
      <c r="D620" s="42">
        <f t="shared" si="35"/>
        <v>164.07560447408326</v>
      </c>
      <c r="E620" s="83">
        <f t="shared" si="36"/>
        <v>65794.317394107391</v>
      </c>
      <c r="F620" s="83">
        <f>E620-G620</f>
        <v>64794.317394107391</v>
      </c>
      <c r="G620" s="83">
        <v>1000</v>
      </c>
      <c r="H620" s="45">
        <v>616</v>
      </c>
      <c r="Z620">
        <v>314510.58352342685</v>
      </c>
    </row>
    <row r="621" spans="2:26" x14ac:dyDescent="0.25">
      <c r="B621" s="83">
        <f t="shared" si="34"/>
        <v>64794.317394107391</v>
      </c>
      <c r="C621" s="43">
        <v>0.03</v>
      </c>
      <c r="D621" s="42">
        <f t="shared" si="35"/>
        <v>161.98579348526849</v>
      </c>
      <c r="E621" s="83">
        <f t="shared" si="36"/>
        <v>64956.303187592661</v>
      </c>
      <c r="F621" s="83">
        <f>E621-G621</f>
        <v>63956.303187592661</v>
      </c>
      <c r="G621" s="83">
        <v>1000</v>
      </c>
      <c r="H621" s="23">
        <v>617</v>
      </c>
      <c r="Z621">
        <v>314723.77408820641</v>
      </c>
    </row>
    <row r="622" spans="2:26" x14ac:dyDescent="0.25">
      <c r="B622" s="83">
        <f t="shared" ref="B622:B684" si="37">F621</f>
        <v>63956.303187592661</v>
      </c>
      <c r="C622" s="43">
        <v>0.03</v>
      </c>
      <c r="D622" s="42">
        <f t="shared" ref="D622:D684" si="38">B622*(0.03/12)</f>
        <v>159.89075796898166</v>
      </c>
      <c r="E622" s="83">
        <f t="shared" ref="E622:E684" si="39">B622+D622</f>
        <v>64116.193945561645</v>
      </c>
      <c r="F622" s="83">
        <f>E622-G622</f>
        <v>63116.193945561645</v>
      </c>
      <c r="G622" s="83">
        <v>1000</v>
      </c>
      <c r="H622" s="85">
        <v>618</v>
      </c>
      <c r="Z622">
        <v>314936.43300569209</v>
      </c>
    </row>
    <row r="623" spans="2:26" x14ac:dyDescent="0.25">
      <c r="B623" s="83">
        <f t="shared" si="37"/>
        <v>63116.193945561645</v>
      </c>
      <c r="C623" s="43">
        <v>0.03</v>
      </c>
      <c r="D623" s="42">
        <f t="shared" si="38"/>
        <v>157.79048486390411</v>
      </c>
      <c r="E623" s="83">
        <f t="shared" si="39"/>
        <v>63273.984430425546</v>
      </c>
      <c r="F623" s="83">
        <f>E623-G623</f>
        <v>62273.984430425546</v>
      </c>
      <c r="G623" s="83">
        <v>1000</v>
      </c>
      <c r="H623" s="45">
        <v>619</v>
      </c>
      <c r="Z623">
        <v>315148.56160168786</v>
      </c>
    </row>
    <row r="624" spans="2:26" x14ac:dyDescent="0.25">
      <c r="B624" s="83">
        <f t="shared" si="37"/>
        <v>62273.984430425546</v>
      </c>
      <c r="C624" s="43">
        <v>0.03</v>
      </c>
      <c r="D624" s="42">
        <f t="shared" si="38"/>
        <v>155.68496107606387</v>
      </c>
      <c r="E624" s="83">
        <f t="shared" si="39"/>
        <v>62429.669391501608</v>
      </c>
      <c r="F624" s="83">
        <f>E624-G624</f>
        <v>61429.669391501608</v>
      </c>
      <c r="G624" s="83">
        <v>1000</v>
      </c>
      <c r="H624" s="23">
        <v>620</v>
      </c>
      <c r="Z624">
        <v>315360.16119869112</v>
      </c>
    </row>
    <row r="625" spans="2:26" x14ac:dyDescent="0.25">
      <c r="B625" s="83">
        <f t="shared" si="37"/>
        <v>61429.669391501608</v>
      </c>
      <c r="C625" s="43">
        <v>0.03</v>
      </c>
      <c r="D625" s="42">
        <f t="shared" si="38"/>
        <v>153.57417347875403</v>
      </c>
      <c r="E625" s="83">
        <f t="shared" si="39"/>
        <v>61583.243564980359</v>
      </c>
      <c r="F625" s="83">
        <f>E625-G625</f>
        <v>60583.243564980359</v>
      </c>
      <c r="G625" s="83">
        <v>1000</v>
      </c>
      <c r="H625" s="85">
        <v>621</v>
      </c>
      <c r="Z625">
        <v>315571.23311590141</v>
      </c>
    </row>
    <row r="626" spans="2:26" x14ac:dyDescent="0.25">
      <c r="B626" s="83">
        <f t="shared" si="37"/>
        <v>60583.243564980359</v>
      </c>
      <c r="C626" s="43">
        <v>0.03</v>
      </c>
      <c r="D626" s="42">
        <f t="shared" si="38"/>
        <v>151.45810891245091</v>
      </c>
      <c r="E626" s="83">
        <f t="shared" si="39"/>
        <v>60734.701673892807</v>
      </c>
      <c r="F626" s="83">
        <f>E626-G626</f>
        <v>59734.701673892807</v>
      </c>
      <c r="G626" s="83">
        <v>1000</v>
      </c>
      <c r="H626" s="45">
        <v>622</v>
      </c>
      <c r="Z626">
        <v>315781.77866922831</v>
      </c>
    </row>
    <row r="627" spans="2:26" x14ac:dyDescent="0.25">
      <c r="B627" s="83">
        <f t="shared" si="37"/>
        <v>59734.701673892807</v>
      </c>
      <c r="C627" s="43">
        <v>0.03</v>
      </c>
      <c r="D627" s="42">
        <f t="shared" si="38"/>
        <v>149.33675418473203</v>
      </c>
      <c r="E627" s="83">
        <f t="shared" si="39"/>
        <v>59884.03842807754</v>
      </c>
      <c r="F627" s="83">
        <f>E627-G627</f>
        <v>58884.03842807754</v>
      </c>
      <c r="G627" s="83">
        <v>1000</v>
      </c>
      <c r="H627" s="23">
        <v>623</v>
      </c>
      <c r="Z627">
        <v>315991.79917130008</v>
      </c>
    </row>
    <row r="628" spans="2:26" x14ac:dyDescent="0.25">
      <c r="B628" s="83">
        <f t="shared" si="37"/>
        <v>58884.03842807754</v>
      </c>
      <c r="C628" s="43">
        <v>0.03</v>
      </c>
      <c r="D628" s="42">
        <f t="shared" si="38"/>
        <v>147.21009607019386</v>
      </c>
      <c r="E628" s="83">
        <f t="shared" si="39"/>
        <v>59031.248524147733</v>
      </c>
      <c r="F628" s="83">
        <f>E628-G628</f>
        <v>58031.248524147733</v>
      </c>
      <c r="G628" s="83">
        <v>1000</v>
      </c>
      <c r="H628" s="85">
        <v>624</v>
      </c>
      <c r="Z628">
        <v>316201.29593147134</v>
      </c>
    </row>
    <row r="629" spans="2:26" x14ac:dyDescent="0.25">
      <c r="B629" s="83">
        <f t="shared" si="37"/>
        <v>58031.248524147733</v>
      </c>
      <c r="C629" s="43">
        <v>0.03</v>
      </c>
      <c r="D629" s="42">
        <f t="shared" si="38"/>
        <v>145.07812131036934</v>
      </c>
      <c r="E629" s="83">
        <f t="shared" si="39"/>
        <v>58176.326645458103</v>
      </c>
      <c r="F629" s="83">
        <f>E629-G629</f>
        <v>57176.326645458103</v>
      </c>
      <c r="G629" s="83">
        <v>1000</v>
      </c>
      <c r="H629" s="45">
        <v>625</v>
      </c>
      <c r="Z629">
        <v>316410.27025583177</v>
      </c>
    </row>
    <row r="630" spans="2:26" x14ac:dyDescent="0.25">
      <c r="B630" s="83">
        <f t="shared" si="37"/>
        <v>57176.326645458103</v>
      </c>
      <c r="C630" s="43">
        <v>0.03</v>
      </c>
      <c r="D630" s="42">
        <f t="shared" si="38"/>
        <v>142.94081661364527</v>
      </c>
      <c r="E630" s="83">
        <f t="shared" si="39"/>
        <v>57319.267462071744</v>
      </c>
      <c r="F630" s="83">
        <f>E630-G630</f>
        <v>56319.267462071744</v>
      </c>
      <c r="G630" s="83">
        <v>1000</v>
      </c>
      <c r="H630" s="23">
        <v>626</v>
      </c>
      <c r="Z630">
        <v>316618.72344721376</v>
      </c>
    </row>
    <row r="631" spans="2:26" x14ac:dyDescent="0.25">
      <c r="B631" s="83">
        <f t="shared" si="37"/>
        <v>56319.267462071744</v>
      </c>
      <c r="C631" s="43">
        <v>0.03</v>
      </c>
      <c r="D631" s="42">
        <f t="shared" si="38"/>
        <v>140.79816865517935</v>
      </c>
      <c r="E631" s="83">
        <f t="shared" si="39"/>
        <v>56460.065630726924</v>
      </c>
      <c r="F631" s="83">
        <f>E631-G631</f>
        <v>55460.065630726924</v>
      </c>
      <c r="G631" s="83">
        <v>1000</v>
      </c>
      <c r="H631" s="85">
        <v>627</v>
      </c>
      <c r="Z631">
        <v>316826.65680520074</v>
      </c>
    </row>
    <row r="632" spans="2:26" x14ac:dyDescent="0.25">
      <c r="B632" s="83">
        <f t="shared" si="37"/>
        <v>55460.065630726924</v>
      </c>
      <c r="C632" s="43">
        <v>0.03</v>
      </c>
      <c r="D632" s="42">
        <f t="shared" si="38"/>
        <v>138.6501640768173</v>
      </c>
      <c r="E632" s="83">
        <f t="shared" si="39"/>
        <v>55598.715794803742</v>
      </c>
      <c r="F632" s="83">
        <f>E632-G632</f>
        <v>54598.715794803742</v>
      </c>
      <c r="G632" s="83">
        <v>1000</v>
      </c>
      <c r="H632" s="45">
        <v>628</v>
      </c>
      <c r="Z632">
        <v>317034.07162613544</v>
      </c>
    </row>
    <row r="633" spans="2:26" x14ac:dyDescent="0.25">
      <c r="B633" s="83">
        <f t="shared" si="37"/>
        <v>54598.715794803742</v>
      </c>
      <c r="C633" s="43">
        <v>0.03</v>
      </c>
      <c r="D633" s="42">
        <f t="shared" si="38"/>
        <v>136.49678948700935</v>
      </c>
      <c r="E633" s="83">
        <f t="shared" si="39"/>
        <v>54735.212584290748</v>
      </c>
      <c r="F633" s="83">
        <f>E633-G633</f>
        <v>53735.212584290748</v>
      </c>
      <c r="G633" s="83">
        <v>1000</v>
      </c>
      <c r="H633" s="23">
        <v>629</v>
      </c>
      <c r="Z633">
        <v>317240.96920312761</v>
      </c>
    </row>
    <row r="634" spans="2:26" x14ac:dyDescent="0.25">
      <c r="B634" s="83">
        <f t="shared" si="37"/>
        <v>53735.212584290748</v>
      </c>
      <c r="C634" s="43">
        <v>0.03</v>
      </c>
      <c r="D634" s="42">
        <f t="shared" si="38"/>
        <v>134.33803146072688</v>
      </c>
      <c r="E634" s="83">
        <f t="shared" si="39"/>
        <v>53869.550615751476</v>
      </c>
      <c r="F634" s="83">
        <f>E634-G634</f>
        <v>52869.550615751476</v>
      </c>
      <c r="G634" s="83">
        <v>1000</v>
      </c>
      <c r="H634" s="85">
        <v>630</v>
      </c>
      <c r="Z634">
        <v>317447.35082606244</v>
      </c>
    </row>
    <row r="635" spans="2:26" x14ac:dyDescent="0.25">
      <c r="B635" s="83">
        <f t="shared" si="37"/>
        <v>52869.550615751476</v>
      </c>
      <c r="C635" s="43">
        <v>0.03</v>
      </c>
      <c r="D635" s="42">
        <f t="shared" si="38"/>
        <v>132.17387653937868</v>
      </c>
      <c r="E635" s="83">
        <f t="shared" si="39"/>
        <v>53001.724492290858</v>
      </c>
      <c r="F635" s="83">
        <f>E635-G635</f>
        <v>52001.724492290858</v>
      </c>
      <c r="G635" s="83">
        <v>1000</v>
      </c>
      <c r="H635" s="45">
        <v>631</v>
      </c>
      <c r="Z635">
        <v>317653.2177816084</v>
      </c>
    </row>
    <row r="636" spans="2:26" x14ac:dyDescent="0.25">
      <c r="B636" s="83">
        <f t="shared" si="37"/>
        <v>52001.724492290858</v>
      </c>
      <c r="C636" s="43">
        <v>0.03</v>
      </c>
      <c r="D636" s="42">
        <f t="shared" si="38"/>
        <v>130.00431123072715</v>
      </c>
      <c r="E636" s="83">
        <f t="shared" si="39"/>
        <v>52131.728803521582</v>
      </c>
      <c r="F636" s="83">
        <f>E636-G636</f>
        <v>51131.728803521582</v>
      </c>
      <c r="G636" s="83">
        <v>1000</v>
      </c>
      <c r="H636" s="23">
        <v>632</v>
      </c>
      <c r="Z636">
        <v>317858.57135322533</v>
      </c>
    </row>
    <row r="637" spans="2:26" x14ac:dyDescent="0.25">
      <c r="B637" s="83">
        <f t="shared" si="37"/>
        <v>51131.728803521582</v>
      </c>
      <c r="C637" s="43">
        <v>0.03</v>
      </c>
      <c r="D637" s="42">
        <f t="shared" si="38"/>
        <v>127.82932200880396</v>
      </c>
      <c r="E637" s="83">
        <f t="shared" si="39"/>
        <v>51259.558125530384</v>
      </c>
      <c r="F637" s="83">
        <f>E637-G637</f>
        <v>50259.558125530384</v>
      </c>
      <c r="G637" s="83">
        <v>1000</v>
      </c>
      <c r="H637" s="85">
        <v>633</v>
      </c>
      <c r="Z637">
        <v>318063.41282117239</v>
      </c>
    </row>
    <row r="638" spans="2:26" x14ac:dyDescent="0.25">
      <c r="B638" s="83">
        <f t="shared" si="37"/>
        <v>50259.558125530384</v>
      </c>
      <c r="C638" s="43">
        <v>0.03</v>
      </c>
      <c r="D638" s="42">
        <f t="shared" si="38"/>
        <v>125.64889531382596</v>
      </c>
      <c r="E638" s="83">
        <f t="shared" si="39"/>
        <v>50385.207020844209</v>
      </c>
      <c r="F638" s="83">
        <f>E638-G638</f>
        <v>49385.207020844209</v>
      </c>
      <c r="G638" s="83">
        <v>1000</v>
      </c>
      <c r="H638" s="45">
        <v>634</v>
      </c>
      <c r="Z638">
        <v>318267.74346251611</v>
      </c>
    </row>
    <row r="639" spans="2:26" x14ac:dyDescent="0.25">
      <c r="B639" s="83">
        <f t="shared" si="37"/>
        <v>49385.207020844209</v>
      </c>
      <c r="C639" s="43">
        <v>0.03</v>
      </c>
      <c r="D639" s="42">
        <f t="shared" si="38"/>
        <v>123.46301755211053</v>
      </c>
      <c r="E639" s="83">
        <f t="shared" si="39"/>
        <v>49508.670038396318</v>
      </c>
      <c r="F639" s="83">
        <f>E639-G639</f>
        <v>48508.670038396318</v>
      </c>
      <c r="G639" s="83">
        <v>1000</v>
      </c>
      <c r="H639" s="23">
        <v>635</v>
      </c>
      <c r="Z639">
        <v>318471.56455113826</v>
      </c>
    </row>
    <row r="640" spans="2:26" x14ac:dyDescent="0.25">
      <c r="B640" s="83">
        <f t="shared" si="37"/>
        <v>48508.670038396318</v>
      </c>
      <c r="C640" s="43">
        <v>0.03</v>
      </c>
      <c r="D640" s="42">
        <f t="shared" si="38"/>
        <v>121.2716750959908</v>
      </c>
      <c r="E640" s="83">
        <f t="shared" si="39"/>
        <v>48629.941713492306</v>
      </c>
      <c r="F640" s="83">
        <f>E640-G640</f>
        <v>47629.941713492306</v>
      </c>
      <c r="G640" s="83">
        <v>1000</v>
      </c>
      <c r="H640" s="85">
        <v>636</v>
      </c>
      <c r="Z640">
        <v>318674.87735774391</v>
      </c>
    </row>
    <row r="641" spans="2:26" x14ac:dyDescent="0.25">
      <c r="B641" s="83">
        <f t="shared" si="37"/>
        <v>47629.941713492306</v>
      </c>
      <c r="C641" s="43">
        <v>0.03</v>
      </c>
      <c r="D641" s="42">
        <f t="shared" si="38"/>
        <v>119.07485428373077</v>
      </c>
      <c r="E641" s="83">
        <f t="shared" si="39"/>
        <v>47749.016567776038</v>
      </c>
      <c r="F641" s="83">
        <f>E641-G641</f>
        <v>46749.016567776038</v>
      </c>
      <c r="G641" s="83">
        <v>1000</v>
      </c>
      <c r="H641" s="45">
        <v>637</v>
      </c>
      <c r="Z641">
        <v>318877.6831498692</v>
      </c>
    </row>
    <row r="642" spans="2:26" x14ac:dyDescent="0.25">
      <c r="B642" s="83">
        <f t="shared" si="37"/>
        <v>46749.016567776038</v>
      </c>
      <c r="C642" s="43">
        <v>0.03</v>
      </c>
      <c r="D642" s="42">
        <f t="shared" si="38"/>
        <v>116.8725414194401</v>
      </c>
      <c r="E642" s="83">
        <f t="shared" si="39"/>
        <v>46865.889109195479</v>
      </c>
      <c r="F642" s="83">
        <f>E642-G642</f>
        <v>45865.889109195479</v>
      </c>
      <c r="G642" s="83">
        <v>1000</v>
      </c>
      <c r="H642" s="23">
        <v>638</v>
      </c>
      <c r="Z642">
        <v>319079.98319188948</v>
      </c>
    </row>
    <row r="643" spans="2:26" x14ac:dyDescent="0.25">
      <c r="B643" s="83">
        <f t="shared" si="37"/>
        <v>45865.889109195479</v>
      </c>
      <c r="C643" s="43">
        <v>0.03</v>
      </c>
      <c r="D643" s="42">
        <f t="shared" si="38"/>
        <v>114.6647227729887</v>
      </c>
      <c r="E643" s="83">
        <f t="shared" si="39"/>
        <v>45980.553831968471</v>
      </c>
      <c r="F643" s="83">
        <f>E643-G643</f>
        <v>44980.553831968471</v>
      </c>
      <c r="G643" s="83">
        <v>1000</v>
      </c>
      <c r="H643" s="85">
        <v>639</v>
      </c>
      <c r="Z643">
        <v>319281.77874502691</v>
      </c>
    </row>
    <row r="644" spans="2:26" x14ac:dyDescent="0.25">
      <c r="B644" s="83">
        <f t="shared" si="37"/>
        <v>44980.553831968471</v>
      </c>
      <c r="C644" s="43">
        <v>0.03</v>
      </c>
      <c r="D644" s="42">
        <f t="shared" si="38"/>
        <v>112.45138457992118</v>
      </c>
      <c r="E644" s="83">
        <f t="shared" si="39"/>
        <v>45093.005216548394</v>
      </c>
      <c r="F644" s="83">
        <f>E644-G644</f>
        <v>44093.005216548394</v>
      </c>
      <c r="G644" s="83">
        <v>1000</v>
      </c>
      <c r="H644" s="45">
        <v>640</v>
      </c>
      <c r="Z644">
        <v>319483.07106735854</v>
      </c>
    </row>
    <row r="645" spans="2:26" x14ac:dyDescent="0.25">
      <c r="B645" s="83">
        <f t="shared" si="37"/>
        <v>44093.005216548394</v>
      </c>
      <c r="C645" s="43">
        <v>0.03</v>
      </c>
      <c r="D645" s="42">
        <f t="shared" si="38"/>
        <v>110.23251304137099</v>
      </c>
      <c r="E645" s="83">
        <f t="shared" si="39"/>
        <v>44203.237729589768</v>
      </c>
      <c r="F645" s="83">
        <f>E645-G645</f>
        <v>43203.237729589768</v>
      </c>
      <c r="G645" s="83">
        <v>1000</v>
      </c>
      <c r="H645" s="23">
        <v>641</v>
      </c>
      <c r="Z645">
        <v>319683.86141382391</v>
      </c>
    </row>
    <row r="646" spans="2:26" x14ac:dyDescent="0.25">
      <c r="B646" s="83">
        <f t="shared" si="37"/>
        <v>43203.237729589768</v>
      </c>
      <c r="C646" s="43">
        <v>0.03</v>
      </c>
      <c r="D646" s="42">
        <f t="shared" si="38"/>
        <v>108.00809432397442</v>
      </c>
      <c r="E646" s="83">
        <f t="shared" si="39"/>
        <v>43311.245823913741</v>
      </c>
      <c r="F646" s="83">
        <f>E646-G646</f>
        <v>42311.245823913741</v>
      </c>
      <c r="G646" s="83">
        <v>1000</v>
      </c>
      <c r="H646" s="85">
        <v>642</v>
      </c>
      <c r="Z646">
        <v>319884.15103623335</v>
      </c>
    </row>
    <row r="647" spans="2:26" x14ac:dyDescent="0.25">
      <c r="B647" s="83">
        <f t="shared" si="37"/>
        <v>42311.245823913741</v>
      </c>
      <c r="C647" s="43">
        <v>0.03</v>
      </c>
      <c r="D647" s="42">
        <f t="shared" si="38"/>
        <v>105.77811455978436</v>
      </c>
      <c r="E647" s="83">
        <f t="shared" si="39"/>
        <v>42417.023938473525</v>
      </c>
      <c r="F647" s="83">
        <f>E647-G647</f>
        <v>41417.023938473525</v>
      </c>
      <c r="G647" s="83">
        <v>1000</v>
      </c>
      <c r="H647" s="45">
        <v>643</v>
      </c>
      <c r="Z647">
        <v>320083.94118327514</v>
      </c>
    </row>
    <row r="648" spans="2:26" x14ac:dyDescent="0.25">
      <c r="B648" s="83">
        <f t="shared" si="37"/>
        <v>41417.023938473525</v>
      </c>
      <c r="C648" s="43">
        <v>0.03</v>
      </c>
      <c r="D648" s="42">
        <f t="shared" si="38"/>
        <v>103.54255984618382</v>
      </c>
      <c r="E648" s="83">
        <f t="shared" si="39"/>
        <v>41520.566498319706</v>
      </c>
      <c r="F648" s="83">
        <f>E648-G648</f>
        <v>40520.566498319706</v>
      </c>
      <c r="G648" s="83">
        <v>1000</v>
      </c>
      <c r="H648" s="23">
        <v>644</v>
      </c>
      <c r="Z648">
        <v>320283.23310052388</v>
      </c>
    </row>
    <row r="649" spans="2:26" x14ac:dyDescent="0.25">
      <c r="B649" s="83">
        <f t="shared" si="37"/>
        <v>40520.566498319706</v>
      </c>
      <c r="C649" s="43">
        <v>0.03</v>
      </c>
      <c r="D649" s="42">
        <f t="shared" si="38"/>
        <v>101.30141624579926</v>
      </c>
      <c r="E649" s="83">
        <f t="shared" si="39"/>
        <v>40621.867914565504</v>
      </c>
      <c r="F649" s="83">
        <f>E649-G649</f>
        <v>39621.867914565504</v>
      </c>
      <c r="G649" s="83">
        <v>1000</v>
      </c>
      <c r="H649" s="85">
        <v>645</v>
      </c>
      <c r="Z649">
        <v>320482.02803044772</v>
      </c>
    </row>
    <row r="650" spans="2:26" x14ac:dyDescent="0.25">
      <c r="B650" s="83">
        <f t="shared" si="37"/>
        <v>39621.867914565504</v>
      </c>
      <c r="C650" s="43">
        <v>0.03</v>
      </c>
      <c r="D650" s="42">
        <f t="shared" si="38"/>
        <v>99.054669786413768</v>
      </c>
      <c r="E650" s="83">
        <f t="shared" si="39"/>
        <v>39720.922584351916</v>
      </c>
      <c r="F650" s="83">
        <f>E650-G650</f>
        <v>38720.922584351916</v>
      </c>
      <c r="G650" s="83">
        <v>1000</v>
      </c>
      <c r="H650" s="45">
        <v>646</v>
      </c>
      <c r="Z650">
        <v>320680.32721241668</v>
      </c>
    </row>
    <row r="651" spans="2:26" x14ac:dyDescent="0.25">
      <c r="B651" s="83">
        <f t="shared" si="37"/>
        <v>38720.922584351916</v>
      </c>
      <c r="C651" s="43">
        <v>0.03</v>
      </c>
      <c r="D651" s="42">
        <f t="shared" si="38"/>
        <v>96.802306460879791</v>
      </c>
      <c r="E651" s="83">
        <f t="shared" si="39"/>
        <v>38817.724890812795</v>
      </c>
      <c r="F651" s="83">
        <f>E651-G651</f>
        <v>37817.724890812795</v>
      </c>
      <c r="G651" s="83">
        <v>1000</v>
      </c>
      <c r="H651" s="23">
        <v>647</v>
      </c>
      <c r="Z651">
        <v>320878.13188270986</v>
      </c>
    </row>
    <row r="652" spans="2:26" x14ac:dyDescent="0.25">
      <c r="B652" s="83">
        <f t="shared" si="37"/>
        <v>37817.724890812795</v>
      </c>
      <c r="C652" s="43">
        <v>0.03</v>
      </c>
      <c r="D652" s="42">
        <f t="shared" si="38"/>
        <v>94.544312227031995</v>
      </c>
      <c r="E652" s="83">
        <f t="shared" si="39"/>
        <v>37912.269203039825</v>
      </c>
      <c r="F652" s="83">
        <f>E652-G652</f>
        <v>36912.269203039825</v>
      </c>
      <c r="G652" s="83">
        <v>1000</v>
      </c>
      <c r="H652" s="85">
        <v>648</v>
      </c>
      <c r="Z652">
        <v>321075.44327452354</v>
      </c>
    </row>
    <row r="653" spans="2:26" x14ac:dyDescent="0.25">
      <c r="B653" s="83">
        <f t="shared" si="37"/>
        <v>36912.269203039825</v>
      </c>
      <c r="C653" s="43">
        <v>0.03</v>
      </c>
      <c r="D653" s="42">
        <f t="shared" si="38"/>
        <v>92.28067300759956</v>
      </c>
      <c r="E653" s="83">
        <f t="shared" si="39"/>
        <v>37004.549876047422</v>
      </c>
      <c r="F653" s="83">
        <f>E653-G653</f>
        <v>36004.549876047422</v>
      </c>
      <c r="G653" s="83">
        <v>1000</v>
      </c>
      <c r="H653" s="45">
        <v>649</v>
      </c>
      <c r="Z653">
        <v>321272.26261797862</v>
      </c>
    </row>
    <row r="654" spans="2:26" x14ac:dyDescent="0.25">
      <c r="B654" s="83">
        <f t="shared" si="37"/>
        <v>36004.549876047422</v>
      </c>
      <c r="C654" s="43">
        <v>0.03</v>
      </c>
      <c r="D654" s="42">
        <f t="shared" si="38"/>
        <v>90.011374690118558</v>
      </c>
      <c r="E654" s="83">
        <f t="shared" si="39"/>
        <v>36094.561250737541</v>
      </c>
      <c r="F654" s="83">
        <f>E654-G654</f>
        <v>35094.561250737541</v>
      </c>
      <c r="G654" s="83">
        <v>1000</v>
      </c>
      <c r="H654" s="23">
        <v>650</v>
      </c>
      <c r="Z654">
        <v>321468.59114012832</v>
      </c>
    </row>
    <row r="655" spans="2:26" x14ac:dyDescent="0.25">
      <c r="B655" s="83">
        <f t="shared" si="37"/>
        <v>35094.561250737541</v>
      </c>
      <c r="C655" s="43">
        <v>0.03</v>
      </c>
      <c r="D655" s="42">
        <f t="shared" si="38"/>
        <v>87.736403126843854</v>
      </c>
      <c r="E655" s="83">
        <f t="shared" si="39"/>
        <v>35182.297653864385</v>
      </c>
      <c r="F655" s="83">
        <f>E655-G655</f>
        <v>34182.297653864385</v>
      </c>
      <c r="G655" s="83">
        <v>1000</v>
      </c>
      <c r="H655" s="85">
        <v>651</v>
      </c>
      <c r="Z655">
        <v>321664.43006496585</v>
      </c>
    </row>
    <row r="656" spans="2:26" x14ac:dyDescent="0.25">
      <c r="B656" s="83">
        <f t="shared" si="37"/>
        <v>34182.297653864385</v>
      </c>
      <c r="C656" s="43">
        <v>0.03</v>
      </c>
      <c r="D656" s="42">
        <f t="shared" si="38"/>
        <v>85.455744134660961</v>
      </c>
      <c r="E656" s="83">
        <f t="shared" si="39"/>
        <v>34267.753397999048</v>
      </c>
      <c r="F656" s="83">
        <f>E656-G656</f>
        <v>33267.753397999048</v>
      </c>
      <c r="G656" s="83">
        <v>1000</v>
      </c>
      <c r="H656" s="45">
        <v>652</v>
      </c>
      <c r="Z656">
        <v>321859.78061343229</v>
      </c>
    </row>
    <row r="657" spans="2:26" x14ac:dyDescent="0.25">
      <c r="B657" s="83">
        <f t="shared" si="37"/>
        <v>33267.753397999048</v>
      </c>
      <c r="C657" s="43">
        <v>0.03</v>
      </c>
      <c r="D657" s="42">
        <f t="shared" si="38"/>
        <v>83.169383494997618</v>
      </c>
      <c r="E657" s="83">
        <f t="shared" si="39"/>
        <v>33350.922781494046</v>
      </c>
      <c r="F657" s="83">
        <f>E657-G657</f>
        <v>32350.922781494046</v>
      </c>
      <c r="G657" s="83">
        <v>1000</v>
      </c>
      <c r="H657" s="23">
        <v>653</v>
      </c>
      <c r="Z657">
        <v>322054.64400342375</v>
      </c>
    </row>
    <row r="658" spans="2:26" x14ac:dyDescent="0.25">
      <c r="B658" s="83">
        <f t="shared" si="37"/>
        <v>32350.922781494046</v>
      </c>
      <c r="C658" s="43">
        <v>0.03</v>
      </c>
      <c r="D658" s="42">
        <f t="shared" si="38"/>
        <v>80.877306953735115</v>
      </c>
      <c r="E658" s="83">
        <f t="shared" si="39"/>
        <v>32431.800088447781</v>
      </c>
      <c r="F658" s="83">
        <f>E658-G658</f>
        <v>31431.800088447781</v>
      </c>
      <c r="G658" s="83">
        <v>1000</v>
      </c>
      <c r="H658" s="85">
        <v>654</v>
      </c>
      <c r="Z658">
        <v>322249.02144979924</v>
      </c>
    </row>
    <row r="659" spans="2:26" x14ac:dyDescent="0.25">
      <c r="B659" s="83">
        <f t="shared" si="37"/>
        <v>31431.800088447781</v>
      </c>
      <c r="C659" s="43">
        <v>0.03</v>
      </c>
      <c r="D659" s="42">
        <f t="shared" si="38"/>
        <v>78.57950022111946</v>
      </c>
      <c r="E659" s="83">
        <f t="shared" si="39"/>
        <v>31510.3795886689</v>
      </c>
      <c r="F659" s="83">
        <f>E659-G659</f>
        <v>30510.3795886689</v>
      </c>
      <c r="G659" s="83">
        <v>1000</v>
      </c>
      <c r="H659" s="45">
        <v>655</v>
      </c>
      <c r="Z659">
        <v>322442.91416438826</v>
      </c>
    </row>
    <row r="660" spans="2:26" x14ac:dyDescent="0.25">
      <c r="B660" s="83">
        <f t="shared" si="37"/>
        <v>30510.3795886689</v>
      </c>
      <c r="C660" s="43">
        <v>0.03</v>
      </c>
      <c r="D660" s="42">
        <f t="shared" si="38"/>
        <v>76.27594897167225</v>
      </c>
      <c r="E660" s="83">
        <f t="shared" si="39"/>
        <v>30586.655537640574</v>
      </c>
      <c r="F660" s="83">
        <f>E660-G660</f>
        <v>29586.655537640574</v>
      </c>
      <c r="G660" s="83">
        <v>1000</v>
      </c>
      <c r="H660" s="23">
        <v>656</v>
      </c>
      <c r="Z660">
        <v>322636.32335599832</v>
      </c>
    </row>
    <row r="661" spans="2:26" x14ac:dyDescent="0.25">
      <c r="B661" s="83">
        <f t="shared" si="37"/>
        <v>29586.655537640574</v>
      </c>
      <c r="C661" s="43">
        <v>0.03</v>
      </c>
      <c r="D661" s="42">
        <f t="shared" si="38"/>
        <v>73.966638844101439</v>
      </c>
      <c r="E661" s="83">
        <f t="shared" si="39"/>
        <v>29660.622176484674</v>
      </c>
      <c r="F661" s="83">
        <f>E661-G661</f>
        <v>28660.622176484674</v>
      </c>
      <c r="G661" s="83">
        <v>1000</v>
      </c>
      <c r="H661" s="85">
        <v>657</v>
      </c>
      <c r="Z661">
        <v>322829.25023042219</v>
      </c>
    </row>
    <row r="662" spans="2:26" x14ac:dyDescent="0.25">
      <c r="B662" s="83">
        <f t="shared" si="37"/>
        <v>28660.622176484674</v>
      </c>
      <c r="C662" s="43">
        <v>0.03</v>
      </c>
      <c r="D662" s="42">
        <f t="shared" si="38"/>
        <v>71.651555441211684</v>
      </c>
      <c r="E662" s="83">
        <f t="shared" si="39"/>
        <v>28732.273731925885</v>
      </c>
      <c r="F662" s="83">
        <f>E662-G662</f>
        <v>27732.273731925885</v>
      </c>
      <c r="G662" s="83">
        <v>1000</v>
      </c>
      <c r="H662" s="45">
        <v>658</v>
      </c>
      <c r="Z662">
        <v>323021.69599044614</v>
      </c>
    </row>
    <row r="663" spans="2:26" x14ac:dyDescent="0.25">
      <c r="B663" s="83">
        <f t="shared" si="37"/>
        <v>27732.273731925885</v>
      </c>
      <c r="C663" s="43">
        <v>0.03</v>
      </c>
      <c r="D663" s="42">
        <f t="shared" si="38"/>
        <v>69.330684329814716</v>
      </c>
      <c r="E663" s="83">
        <f t="shared" si="39"/>
        <v>27801.604416255701</v>
      </c>
      <c r="F663" s="83">
        <f>E663-G663</f>
        <v>26801.604416255701</v>
      </c>
      <c r="G663" s="83">
        <v>1000</v>
      </c>
      <c r="H663" s="23">
        <v>659</v>
      </c>
      <c r="Z663">
        <v>323213.66183585644</v>
      </c>
    </row>
    <row r="664" spans="2:26" x14ac:dyDescent="0.25">
      <c r="B664" s="83">
        <f t="shared" si="37"/>
        <v>26801.604416255701</v>
      </c>
      <c r="C664" s="43">
        <v>0.03</v>
      </c>
      <c r="D664" s="42">
        <f t="shared" si="38"/>
        <v>67.004011040639256</v>
      </c>
      <c r="E664" s="83">
        <f t="shared" si="39"/>
        <v>26868.608427296342</v>
      </c>
      <c r="F664" s="83">
        <f>E664-G664</f>
        <v>25868.608427296342</v>
      </c>
      <c r="G664" s="83">
        <v>1000</v>
      </c>
      <c r="H664" s="85">
        <v>660</v>
      </c>
      <c r="Z664">
        <v>323405.14896344783</v>
      </c>
    </row>
    <row r="665" spans="2:26" x14ac:dyDescent="0.25">
      <c r="B665" s="83">
        <f t="shared" si="37"/>
        <v>25868.608427296342</v>
      </c>
      <c r="C665" s="43">
        <v>0.03</v>
      </c>
      <c r="D665" s="42">
        <f t="shared" si="38"/>
        <v>64.67152106824085</v>
      </c>
      <c r="E665" s="83">
        <f t="shared" si="39"/>
        <v>25933.279948364583</v>
      </c>
      <c r="F665" s="83">
        <f>E665-G665</f>
        <v>24933.279948364583</v>
      </c>
      <c r="G665" s="83">
        <v>1000</v>
      </c>
      <c r="H665" s="45">
        <v>661</v>
      </c>
      <c r="Z665">
        <v>323596.15856703027</v>
      </c>
    </row>
    <row r="666" spans="2:26" x14ac:dyDescent="0.25">
      <c r="B666" s="83">
        <f t="shared" si="37"/>
        <v>24933.279948364583</v>
      </c>
      <c r="C666" s="43">
        <v>0.03</v>
      </c>
      <c r="D666" s="42">
        <f t="shared" si="38"/>
        <v>62.333199870911457</v>
      </c>
      <c r="E666" s="83">
        <f t="shared" si="39"/>
        <v>24995.613148235494</v>
      </c>
      <c r="F666" s="83">
        <f>E666-G666</f>
        <v>23995.613148235494</v>
      </c>
      <c r="G666" s="83">
        <v>1000</v>
      </c>
      <c r="H666" s="23">
        <v>662</v>
      </c>
      <c r="Z666">
        <v>323786.69183743669</v>
      </c>
    </row>
    <row r="667" spans="2:26" x14ac:dyDescent="0.25">
      <c r="B667" s="83">
        <f t="shared" si="37"/>
        <v>23995.613148235494</v>
      </c>
      <c r="C667" s="43">
        <v>0.03</v>
      </c>
      <c r="D667" s="42">
        <f t="shared" si="38"/>
        <v>59.989032870588737</v>
      </c>
      <c r="E667" s="83">
        <f t="shared" si="39"/>
        <v>24055.602181106082</v>
      </c>
      <c r="F667" s="83">
        <f>E667-G667</f>
        <v>23055.602181106082</v>
      </c>
      <c r="G667" s="83">
        <v>1000</v>
      </c>
      <c r="H667" s="85">
        <v>663</v>
      </c>
      <c r="Z667">
        <v>323976.74996253033</v>
      </c>
    </row>
    <row r="668" spans="2:26" x14ac:dyDescent="0.25">
      <c r="B668" s="83">
        <f t="shared" si="37"/>
        <v>23055.602181106082</v>
      </c>
      <c r="C668" s="43">
        <v>0.03</v>
      </c>
      <c r="D668" s="42">
        <f t="shared" si="38"/>
        <v>57.639005452765204</v>
      </c>
      <c r="E668" s="83">
        <f t="shared" si="39"/>
        <v>23113.241186558847</v>
      </c>
      <c r="F668" s="83">
        <f>E668-G668</f>
        <v>22113.241186558847</v>
      </c>
      <c r="G668" s="83">
        <v>1000</v>
      </c>
      <c r="H668" s="45">
        <v>664</v>
      </c>
      <c r="Z668">
        <v>324166.33412721229</v>
      </c>
    </row>
    <row r="669" spans="2:26" x14ac:dyDescent="0.25">
      <c r="B669" s="83">
        <f t="shared" si="37"/>
        <v>22113.241186558847</v>
      </c>
      <c r="C669" s="43">
        <v>0.03</v>
      </c>
      <c r="D669" s="42">
        <f t="shared" si="38"/>
        <v>55.283102966397117</v>
      </c>
      <c r="E669" s="83">
        <f t="shared" si="39"/>
        <v>22168.524289525245</v>
      </c>
      <c r="F669" s="83">
        <f>E669-G669</f>
        <v>21168.524289525245</v>
      </c>
      <c r="G669" s="83">
        <v>1000</v>
      </c>
      <c r="H669" s="23">
        <v>665</v>
      </c>
      <c r="Z669">
        <v>324355.44551342871</v>
      </c>
    </row>
    <row r="670" spans="2:26" x14ac:dyDescent="0.25">
      <c r="B670" s="83">
        <f t="shared" si="37"/>
        <v>21168.524289525245</v>
      </c>
      <c r="C670" s="43">
        <v>0.03</v>
      </c>
      <c r="D670" s="42">
        <f t="shared" si="38"/>
        <v>52.921310723813114</v>
      </c>
      <c r="E670" s="83">
        <f t="shared" si="39"/>
        <v>21221.445600249059</v>
      </c>
      <c r="F670" s="83">
        <f>E670-G670</f>
        <v>20221.445600249059</v>
      </c>
      <c r="G670" s="83">
        <v>1000</v>
      </c>
      <c r="H670" s="85">
        <v>666</v>
      </c>
      <c r="Z670">
        <v>324544.08530017821</v>
      </c>
    </row>
    <row r="671" spans="2:26" x14ac:dyDescent="0.25">
      <c r="B671" s="83">
        <f t="shared" si="37"/>
        <v>20221.445600249059</v>
      </c>
      <c r="C671" s="43">
        <v>0.03</v>
      </c>
      <c r="D671" s="42">
        <f t="shared" si="38"/>
        <v>50.553614000622645</v>
      </c>
      <c r="E671" s="83">
        <f t="shared" si="39"/>
        <v>20271.999214249681</v>
      </c>
      <c r="F671" s="83">
        <f>E671-G671</f>
        <v>19271.999214249681</v>
      </c>
      <c r="G671" s="83">
        <v>1000</v>
      </c>
      <c r="H671" s="45">
        <v>667</v>
      </c>
      <c r="Z671">
        <v>324732.25466351944</v>
      </c>
    </row>
    <row r="672" spans="2:26" x14ac:dyDescent="0.25">
      <c r="B672" s="83">
        <f t="shared" si="37"/>
        <v>19271.999214249681</v>
      </c>
      <c r="C672" s="43">
        <v>0.03</v>
      </c>
      <c r="D672" s="42">
        <f t="shared" si="38"/>
        <v>48.179998035624202</v>
      </c>
      <c r="E672" s="83">
        <f t="shared" si="39"/>
        <v>19320.179212285304</v>
      </c>
      <c r="F672" s="83">
        <f>E672-G672</f>
        <v>18320.179212285304</v>
      </c>
      <c r="G672" s="83">
        <v>1000</v>
      </c>
      <c r="H672" s="23">
        <v>668</v>
      </c>
      <c r="Z672">
        <v>324919.954776578</v>
      </c>
    </row>
    <row r="673" spans="2:26" x14ac:dyDescent="0.25">
      <c r="B673" s="83">
        <f t="shared" si="37"/>
        <v>18320.179212285304</v>
      </c>
      <c r="C673" s="43">
        <v>0.03</v>
      </c>
      <c r="D673" s="42">
        <f t="shared" si="38"/>
        <v>45.800448030713262</v>
      </c>
      <c r="E673" s="83">
        <f t="shared" si="39"/>
        <v>18365.979660316018</v>
      </c>
      <c r="F673" s="83">
        <f>E673-G673</f>
        <v>17365.979660316018</v>
      </c>
      <c r="G673" s="83">
        <v>1000</v>
      </c>
      <c r="H673" s="85">
        <v>669</v>
      </c>
      <c r="Z673">
        <v>325107.18680955411</v>
      </c>
    </row>
    <row r="674" spans="2:26" x14ac:dyDescent="0.25">
      <c r="B674" s="83">
        <f t="shared" si="37"/>
        <v>17365.979660316018</v>
      </c>
      <c r="C674" s="43">
        <v>0.03</v>
      </c>
      <c r="D674" s="42">
        <f t="shared" si="38"/>
        <v>43.414949150790044</v>
      </c>
      <c r="E674" s="83">
        <f t="shared" si="39"/>
        <v>17409.394609466806</v>
      </c>
      <c r="F674" s="83">
        <f>E674-G674</f>
        <v>16409.394609466806</v>
      </c>
      <c r="G674" s="83">
        <v>1000</v>
      </c>
      <c r="H674" s="45">
        <v>670</v>
      </c>
      <c r="Z674">
        <v>325293.95192972978</v>
      </c>
    </row>
    <row r="675" spans="2:26" x14ac:dyDescent="0.25">
      <c r="B675" s="83">
        <f t="shared" si="37"/>
        <v>16409.394609466806</v>
      </c>
      <c r="C675" s="43">
        <v>0.03</v>
      </c>
      <c r="D675" s="42">
        <f t="shared" si="38"/>
        <v>41.023486523667017</v>
      </c>
      <c r="E675" s="83">
        <f t="shared" si="39"/>
        <v>16450.418095990473</v>
      </c>
      <c r="F675" s="83">
        <f>E675-G675</f>
        <v>15450.418095990473</v>
      </c>
      <c r="G675" s="83">
        <v>1000</v>
      </c>
      <c r="H675" s="23">
        <v>671</v>
      </c>
      <c r="Z675">
        <v>325480.25130147609</v>
      </c>
    </row>
    <row r="676" spans="2:26" x14ac:dyDescent="0.25">
      <c r="B676" s="83">
        <f t="shared" si="37"/>
        <v>15450.418095990473</v>
      </c>
      <c r="C676" s="43">
        <v>0.03</v>
      </c>
      <c r="D676" s="42">
        <f t="shared" si="38"/>
        <v>38.626045239976186</v>
      </c>
      <c r="E676" s="83">
        <f t="shared" si="39"/>
        <v>15489.04414123045</v>
      </c>
      <c r="F676" s="83">
        <f>E676-G676</f>
        <v>14489.04414123045</v>
      </c>
      <c r="G676" s="83">
        <v>1000</v>
      </c>
      <c r="H676" s="85">
        <v>672</v>
      </c>
      <c r="Z676">
        <v>325666.08608626045</v>
      </c>
    </row>
    <row r="677" spans="2:26" x14ac:dyDescent="0.25">
      <c r="B677" s="83">
        <f t="shared" si="37"/>
        <v>14489.04414123045</v>
      </c>
      <c r="C677" s="43">
        <v>0.03</v>
      </c>
      <c r="D677" s="42">
        <f t="shared" si="38"/>
        <v>36.222610353076128</v>
      </c>
      <c r="E677" s="83">
        <f t="shared" si="39"/>
        <v>14525.266751583526</v>
      </c>
      <c r="F677" s="83">
        <f>E677-G677</f>
        <v>13525.266751583526</v>
      </c>
      <c r="G677" s="83">
        <v>1000</v>
      </c>
      <c r="H677" s="45">
        <v>673</v>
      </c>
      <c r="Z677">
        <v>325851.45744265383</v>
      </c>
    </row>
    <row r="678" spans="2:26" x14ac:dyDescent="0.25">
      <c r="B678" s="83">
        <f t="shared" si="37"/>
        <v>13525.266751583526</v>
      </c>
      <c r="C678" s="43">
        <v>0.03</v>
      </c>
      <c r="D678" s="42">
        <f t="shared" si="38"/>
        <v>33.813166878958818</v>
      </c>
      <c r="E678" s="83">
        <f t="shared" si="39"/>
        <v>13559.079918462485</v>
      </c>
      <c r="F678" s="83">
        <f>E678-G678</f>
        <v>12559.079918462485</v>
      </c>
      <c r="G678" s="83">
        <v>1000</v>
      </c>
      <c r="H678" s="23">
        <v>674</v>
      </c>
      <c r="Z678">
        <v>326036.36652633792</v>
      </c>
    </row>
    <row r="679" spans="2:26" x14ac:dyDescent="0.25">
      <c r="B679" s="83">
        <f t="shared" si="37"/>
        <v>12559.079918462485</v>
      </c>
      <c r="C679" s="43">
        <v>0.03</v>
      </c>
      <c r="D679" s="42">
        <f t="shared" si="38"/>
        <v>31.397699796156214</v>
      </c>
      <c r="E679" s="83">
        <f t="shared" si="39"/>
        <v>12590.477618258641</v>
      </c>
      <c r="F679" s="83">
        <f>E679-G679</f>
        <v>11590.477618258641</v>
      </c>
      <c r="G679" s="83">
        <v>1000</v>
      </c>
      <c r="H679" s="85">
        <v>675</v>
      </c>
      <c r="Z679">
        <v>326220.81449011271</v>
      </c>
    </row>
    <row r="680" spans="2:26" x14ac:dyDescent="0.25">
      <c r="B680" s="83">
        <f t="shared" si="37"/>
        <v>11590.477618258641</v>
      </c>
      <c r="C680" s="43">
        <v>0.03</v>
      </c>
      <c r="D680" s="42">
        <f t="shared" si="38"/>
        <v>28.976194045646604</v>
      </c>
      <c r="E680" s="83">
        <f t="shared" si="39"/>
        <v>11619.453812304288</v>
      </c>
      <c r="F680" s="83">
        <f>E680-G680</f>
        <v>10619.453812304288</v>
      </c>
      <c r="G680" s="83">
        <v>1000</v>
      </c>
      <c r="H680" s="45">
        <v>676</v>
      </c>
      <c r="Z680">
        <v>326404.80248390295</v>
      </c>
    </row>
    <row r="681" spans="2:26" x14ac:dyDescent="0.25">
      <c r="B681" s="83">
        <f t="shared" si="37"/>
        <v>10619.453812304288</v>
      </c>
      <c r="C681" s="43">
        <v>0.03</v>
      </c>
      <c r="D681" s="42">
        <f t="shared" si="38"/>
        <v>26.548634530760719</v>
      </c>
      <c r="E681" s="83">
        <f t="shared" si="39"/>
        <v>10646.002446835048</v>
      </c>
      <c r="F681" s="83">
        <f>E681-G681</f>
        <v>9646.0024468350475</v>
      </c>
      <c r="G681" s="83">
        <v>1000</v>
      </c>
      <c r="H681" s="23">
        <v>677</v>
      </c>
      <c r="Z681">
        <v>326588.33165476599</v>
      </c>
    </row>
    <row r="682" spans="2:26" x14ac:dyDescent="0.25">
      <c r="B682" s="83">
        <f t="shared" si="37"/>
        <v>9646.0024468350475</v>
      </c>
      <c r="C682" s="43">
        <v>0.03</v>
      </c>
      <c r="D682" s="42">
        <f t="shared" si="38"/>
        <v>24.115006117087621</v>
      </c>
      <c r="E682" s="83">
        <f t="shared" si="39"/>
        <v>9670.1174529521359</v>
      </c>
      <c r="F682" s="83">
        <f>E682-G682</f>
        <v>8670.1174529521359</v>
      </c>
      <c r="G682" s="83">
        <v>1000</v>
      </c>
      <c r="H682" s="85">
        <v>678</v>
      </c>
      <c r="Z682">
        <v>326771.40314689872</v>
      </c>
    </row>
    <row r="683" spans="2:26" x14ac:dyDescent="0.25">
      <c r="B683" s="83">
        <f t="shared" si="37"/>
        <v>8670.1174529521359</v>
      </c>
      <c r="C683" s="43">
        <v>0.03</v>
      </c>
      <c r="D683" s="42">
        <f t="shared" si="38"/>
        <v>21.675293632380342</v>
      </c>
      <c r="E683" s="83">
        <f t="shared" si="39"/>
        <v>8691.7927465845169</v>
      </c>
      <c r="F683" s="83">
        <f>E683-G683</f>
        <v>7691.7927465845169</v>
      </c>
      <c r="G683" s="83">
        <v>1000</v>
      </c>
      <c r="H683" s="45">
        <v>679</v>
      </c>
      <c r="Z683">
        <v>326954.01810164464</v>
      </c>
    </row>
    <row r="684" spans="2:26" x14ac:dyDescent="0.25">
      <c r="B684" s="83">
        <f t="shared" si="37"/>
        <v>7691.7927465845169</v>
      </c>
      <c r="C684" s="43">
        <v>0.03</v>
      </c>
      <c r="D684" s="42">
        <f t="shared" si="38"/>
        <v>19.229481866461292</v>
      </c>
      <c r="E684" s="83">
        <f t="shared" si="39"/>
        <v>7711.0222284509782</v>
      </c>
      <c r="F684" s="83">
        <f>E684-G684</f>
        <v>6711.0222284509782</v>
      </c>
      <c r="G684" s="83">
        <v>1000</v>
      </c>
      <c r="H684" s="23">
        <v>680</v>
      </c>
      <c r="Z684">
        <v>327136.17765750084</v>
      </c>
    </row>
    <row r="685" spans="2:26" x14ac:dyDescent="0.25">
      <c r="B685" s="83">
        <f t="shared" ref="B685:B692" si="40">F684</f>
        <v>6711.0222284509782</v>
      </c>
      <c r="C685" s="43">
        <v>0.03</v>
      </c>
      <c r="D685" s="42">
        <f t="shared" ref="D685:D692" si="41">B685*(0.03/12)</f>
        <v>16.777555571127447</v>
      </c>
      <c r="E685" s="83">
        <f t="shared" ref="E685:E692" si="42">B685+D685</f>
        <v>6727.799784022106</v>
      </c>
      <c r="F685" s="83">
        <f>E685-G685</f>
        <v>5727.799784022106</v>
      </c>
      <c r="G685" s="83">
        <v>1000</v>
      </c>
      <c r="H685" s="45">
        <v>681</v>
      </c>
      <c r="Z685">
        <v>327317.88295012549</v>
      </c>
    </row>
    <row r="686" spans="2:26" x14ac:dyDescent="0.25">
      <c r="B686" s="83">
        <f t="shared" si="40"/>
        <v>5727.799784022106</v>
      </c>
      <c r="C686" s="43">
        <v>0.03</v>
      </c>
      <c r="D686" s="42">
        <f t="shared" si="41"/>
        <v>14.319499460055265</v>
      </c>
      <c r="E686" s="83">
        <f t="shared" si="42"/>
        <v>5742.1192834821613</v>
      </c>
      <c r="F686" s="83">
        <f>E686-G686</f>
        <v>4742.1192834821613</v>
      </c>
      <c r="G686" s="83">
        <v>1000</v>
      </c>
      <c r="H686" s="23">
        <v>682</v>
      </c>
      <c r="Z686">
        <v>327499.13511234469</v>
      </c>
    </row>
    <row r="687" spans="2:26" x14ac:dyDescent="0.25">
      <c r="B687" s="83">
        <f t="shared" si="40"/>
        <v>4742.1192834821613</v>
      </c>
      <c r="C687" s="43">
        <v>0.03</v>
      </c>
      <c r="D687" s="42">
        <f t="shared" si="41"/>
        <v>11.855298208705404</v>
      </c>
      <c r="E687" s="83">
        <f t="shared" si="42"/>
        <v>4753.9745816908671</v>
      </c>
      <c r="F687" s="83">
        <f>E687-G687</f>
        <v>3753.9745816908671</v>
      </c>
      <c r="G687" s="83">
        <v>1000</v>
      </c>
      <c r="H687" s="45">
        <v>683</v>
      </c>
      <c r="Z687">
        <v>327679.9352741593</v>
      </c>
    </row>
    <row r="688" spans="2:26" x14ac:dyDescent="0.25">
      <c r="B688" s="83">
        <f t="shared" si="40"/>
        <v>3753.9745816908671</v>
      </c>
      <c r="C688" s="43">
        <v>0.03</v>
      </c>
      <c r="D688" s="42">
        <f t="shared" si="41"/>
        <v>9.3849364542271676</v>
      </c>
      <c r="E688" s="83">
        <f t="shared" si="42"/>
        <v>3763.3595181450942</v>
      </c>
      <c r="F688" s="83">
        <f>E688-G688</f>
        <v>2763.3595181450942</v>
      </c>
      <c r="G688" s="83">
        <v>1000</v>
      </c>
      <c r="H688" s="23">
        <v>684</v>
      </c>
      <c r="Z688">
        <v>327860.28456275241</v>
      </c>
    </row>
    <row r="689" spans="2:26" x14ac:dyDescent="0.25">
      <c r="B689" s="83">
        <f t="shared" si="40"/>
        <v>2763.3595181450942</v>
      </c>
      <c r="C689" s="43">
        <v>0.03</v>
      </c>
      <c r="D689" s="42">
        <f t="shared" si="41"/>
        <v>6.9083987953627357</v>
      </c>
      <c r="E689" s="83">
        <f t="shared" si="42"/>
        <v>2770.2679169404569</v>
      </c>
      <c r="F689" s="83">
        <f>E689-G689</f>
        <v>1770.2679169404569</v>
      </c>
      <c r="G689" s="83">
        <v>1000</v>
      </c>
      <c r="H689" s="45">
        <v>685</v>
      </c>
      <c r="Z689">
        <v>328040.18410249613</v>
      </c>
    </row>
    <row r="690" spans="2:26" x14ac:dyDescent="0.25">
      <c r="B690" s="83">
        <f t="shared" si="40"/>
        <v>1770.2679169404569</v>
      </c>
      <c r="C690" s="43">
        <v>0.03</v>
      </c>
      <c r="D690" s="42">
        <f t="shared" si="41"/>
        <v>4.4256697923511421</v>
      </c>
      <c r="E690" s="83">
        <f t="shared" si="42"/>
        <v>1774.6935867328079</v>
      </c>
      <c r="F690" s="83">
        <f>E690-G690</f>
        <v>774.69358673280794</v>
      </c>
      <c r="G690" s="83">
        <v>1000</v>
      </c>
      <c r="H690" s="23">
        <v>686</v>
      </c>
      <c r="Z690">
        <v>328219.63501495874</v>
      </c>
    </row>
    <row r="691" spans="2:26" x14ac:dyDescent="0.25">
      <c r="B691" s="83">
        <f t="shared" si="40"/>
        <v>774.69358673280794</v>
      </c>
      <c r="C691" s="43">
        <v>0.03</v>
      </c>
      <c r="D691" s="42">
        <f t="shared" si="41"/>
        <v>1.9367339668320198</v>
      </c>
      <c r="E691" s="83">
        <f t="shared" si="42"/>
        <v>776.63032069963992</v>
      </c>
      <c r="F691" s="83">
        <f>E691-G691</f>
        <v>-223.36967930036008</v>
      </c>
      <c r="G691" s="83">
        <v>1000</v>
      </c>
      <c r="H691" s="45">
        <v>687</v>
      </c>
      <c r="Z691">
        <v>328398.63841891149</v>
      </c>
    </row>
    <row r="692" spans="2:26" x14ac:dyDescent="0.25">
      <c r="B692" s="83">
        <f t="shared" si="40"/>
        <v>-223.36967930036008</v>
      </c>
      <c r="C692" s="43">
        <v>0.03</v>
      </c>
      <c r="D692" s="42">
        <f t="shared" si="41"/>
        <v>-0.55842419825090017</v>
      </c>
      <c r="E692" s="83">
        <f t="shared" si="42"/>
        <v>-223.92810349861097</v>
      </c>
      <c r="F692" s="83">
        <f>E692-G692</f>
        <v>-1223.9281034986109</v>
      </c>
      <c r="G692" s="83">
        <v>1000</v>
      </c>
      <c r="H692" s="23">
        <v>688</v>
      </c>
      <c r="I692">
        <f>H692/12</f>
        <v>57.333333333333336</v>
      </c>
      <c r="Z692">
        <v>328577.19543033565</v>
      </c>
    </row>
    <row r="693" spans="2:26" x14ac:dyDescent="0.25">
      <c r="B693" s="125">
        <f>B5</f>
        <v>328000</v>
      </c>
      <c r="C693" s="126"/>
      <c r="D693" s="125">
        <f>SUM(D5:D692)</f>
        <v>358776.07189650129</v>
      </c>
      <c r="E693" s="125">
        <f>B693+D693</f>
        <v>686776.07189650135</v>
      </c>
      <c r="F693" s="125"/>
      <c r="G693" s="125">
        <f>SUM(G5:G692)</f>
        <v>688000</v>
      </c>
      <c r="H693" s="70"/>
      <c r="Z693">
        <v>328755.30716242956</v>
      </c>
    </row>
    <row r="694" spans="2:26" x14ac:dyDescent="0.25">
      <c r="Z694">
        <v>328932.97472561552</v>
      </c>
    </row>
    <row r="695" spans="2:26" x14ac:dyDescent="0.25">
      <c r="Z695">
        <v>329110.19922754669</v>
      </c>
    </row>
    <row r="696" spans="2:26" x14ac:dyDescent="0.25">
      <c r="Z696">
        <v>329286.98177311383</v>
      </c>
    </row>
    <row r="697" spans="2:26" x14ac:dyDescent="0.25">
      <c r="Z697">
        <v>329463.3234644527</v>
      </c>
    </row>
    <row r="698" spans="2:26" x14ac:dyDescent="0.25">
      <c r="Z698">
        <v>329639.22540095029</v>
      </c>
    </row>
    <row r="699" spans="2:26" x14ac:dyDescent="0.25">
      <c r="Z699">
        <v>329814.68867925223</v>
      </c>
    </row>
    <row r="700" spans="2:26" x14ac:dyDescent="0.25">
      <c r="Z700">
        <v>329989.71439326898</v>
      </c>
    </row>
    <row r="701" spans="2:26" x14ac:dyDescent="0.25">
      <c r="Z701">
        <v>330164.3036341836</v>
      </c>
    </row>
    <row r="702" spans="2:26" x14ac:dyDescent="0.25">
      <c r="Z702">
        <v>330338.4574904574</v>
      </c>
    </row>
    <row r="703" spans="2:26" x14ac:dyDescent="0.25">
      <c r="Z703">
        <v>330512.17704783782</v>
      </c>
    </row>
    <row r="704" spans="2:26" x14ac:dyDescent="0.25">
      <c r="Z704">
        <v>330685.46338936436</v>
      </c>
    </row>
    <row r="705" spans="26:26" x14ac:dyDescent="0.25">
      <c r="Z705">
        <v>330858.31759537593</v>
      </c>
    </row>
    <row r="706" spans="26:26" x14ac:dyDescent="0.25">
      <c r="Z706">
        <v>331030.74074351718</v>
      </c>
    </row>
    <row r="707" spans="26:26" x14ac:dyDescent="0.25">
      <c r="Z707">
        <v>331202.73390874529</v>
      </c>
    </row>
    <row r="708" spans="26:26" x14ac:dyDescent="0.25">
      <c r="Z708">
        <v>331374.29816333699</v>
      </c>
    </row>
    <row r="709" spans="26:26" x14ac:dyDescent="0.25">
      <c r="Z709">
        <v>331545.43457689468</v>
      </c>
    </row>
    <row r="710" spans="26:26" x14ac:dyDescent="0.25">
      <c r="Z710">
        <v>331716.14421635383</v>
      </c>
    </row>
    <row r="711" spans="26:26" x14ac:dyDescent="0.25">
      <c r="Z711">
        <v>331886.42814598884</v>
      </c>
    </row>
    <row r="712" spans="26:26" x14ac:dyDescent="0.25">
      <c r="Z712">
        <v>332056.28742742026</v>
      </c>
    </row>
    <row r="713" spans="26:26" x14ac:dyDescent="0.25">
      <c r="Z713">
        <v>332225.72311962128</v>
      </c>
    </row>
    <row r="714" spans="26:26" x14ac:dyDescent="0.25">
      <c r="Z714">
        <v>332394.73627892387</v>
      </c>
    </row>
    <row r="715" spans="26:26" x14ac:dyDescent="0.25">
      <c r="Z715">
        <v>332563.32795902633</v>
      </c>
    </row>
    <row r="716" spans="26:26" x14ac:dyDescent="0.25">
      <c r="Z716">
        <v>332731.49921099882</v>
      </c>
    </row>
    <row r="717" spans="26:26" x14ac:dyDescent="0.25">
      <c r="Z717">
        <v>332899.25108329061</v>
      </c>
    </row>
    <row r="718" spans="26:26" x14ac:dyDescent="0.25">
      <c r="Z718">
        <v>333066.58462173626</v>
      </c>
    </row>
    <row r="719" spans="26:26" x14ac:dyDescent="0.25">
      <c r="Z719">
        <v>333233.50086956233</v>
      </c>
    </row>
    <row r="720" spans="26:26" x14ac:dyDescent="0.25">
      <c r="Z720">
        <v>333400.00086739386</v>
      </c>
    </row>
    <row r="721" spans="26:26" x14ac:dyDescent="0.25">
      <c r="Z721">
        <v>333566.0856532607</v>
      </c>
    </row>
    <row r="722" spans="26:26" x14ac:dyDescent="0.25">
      <c r="Z722">
        <v>333731.75626260421</v>
      </c>
    </row>
    <row r="723" spans="26:26" x14ac:dyDescent="0.25">
      <c r="Z723">
        <v>333897.01372828346</v>
      </c>
    </row>
    <row r="724" spans="26:26" x14ac:dyDescent="0.25">
      <c r="Z724">
        <v>334061.85908058204</v>
      </c>
    </row>
    <row r="725" spans="26:26" x14ac:dyDescent="0.25">
      <c r="Z725">
        <v>334226.293347214</v>
      </c>
    </row>
    <row r="726" spans="26:26" x14ac:dyDescent="0.25">
      <c r="Z726">
        <v>334390.31755333068</v>
      </c>
    </row>
    <row r="727" spans="26:26" x14ac:dyDescent="0.25">
      <c r="Z727">
        <v>334553.93272152689</v>
      </c>
    </row>
    <row r="728" spans="26:26" x14ac:dyDescent="0.25">
      <c r="Z728">
        <v>334717.13987184723</v>
      </c>
    </row>
    <row r="729" spans="26:26" x14ac:dyDescent="0.25">
      <c r="Z729">
        <v>334879.94002179278</v>
      </c>
    </row>
    <row r="730" spans="26:26" x14ac:dyDescent="0.25">
      <c r="Z730">
        <v>335042.33418632695</v>
      </c>
    </row>
    <row r="731" spans="26:26" x14ac:dyDescent="0.25">
      <c r="Z731">
        <v>335204.32337788219</v>
      </c>
    </row>
    <row r="732" spans="26:26" x14ac:dyDescent="0.25">
      <c r="Z732">
        <v>335365.90860636631</v>
      </c>
    </row>
    <row r="733" spans="26:26" x14ac:dyDescent="0.25">
      <c r="Z733">
        <v>335527.09087916836</v>
      </c>
    </row>
    <row r="734" spans="26:26" x14ac:dyDescent="0.25">
      <c r="Z734">
        <v>335687.87120116543</v>
      </c>
    </row>
    <row r="735" spans="26:26" x14ac:dyDescent="0.25">
      <c r="Z735">
        <v>335848.25057472865</v>
      </c>
    </row>
    <row r="736" spans="26:26" x14ac:dyDescent="0.25">
      <c r="Z736">
        <v>336008.22999972926</v>
      </c>
    </row>
    <row r="737" spans="26:26" x14ac:dyDescent="0.25">
      <c r="Z737">
        <v>336167.81047354545</v>
      </c>
    </row>
    <row r="738" spans="26:26" x14ac:dyDescent="0.25">
      <c r="Z738">
        <v>336326.99299106776</v>
      </c>
    </row>
    <row r="739" spans="26:26" x14ac:dyDescent="0.25">
      <c r="Z739">
        <v>336485.778544706</v>
      </c>
    </row>
    <row r="740" spans="26:26" x14ac:dyDescent="0.25">
      <c r="Z740">
        <v>336644.16812439502</v>
      </c>
    </row>
    <row r="741" spans="26:26" x14ac:dyDescent="0.25">
      <c r="Z741">
        <v>336802.16271760099</v>
      </c>
    </row>
    <row r="742" spans="26:26" x14ac:dyDescent="0.25">
      <c r="Z742">
        <v>336959.76330932765</v>
      </c>
    </row>
    <row r="743" spans="26:26" x14ac:dyDescent="0.25">
      <c r="Z743">
        <v>337116.97088212235</v>
      </c>
    </row>
    <row r="744" spans="26:26" x14ac:dyDescent="0.25">
      <c r="Z744">
        <v>337273.78641608218</v>
      </c>
    </row>
    <row r="745" spans="26:26" x14ac:dyDescent="0.25">
      <c r="Z745">
        <v>337430.21088885999</v>
      </c>
    </row>
    <row r="746" spans="26:26" x14ac:dyDescent="0.25">
      <c r="Z746">
        <v>337586.24527567078</v>
      </c>
    </row>
    <row r="747" spans="26:26" x14ac:dyDescent="0.25">
      <c r="Z747">
        <v>337741.89054929756</v>
      </c>
    </row>
    <row r="748" spans="26:26" x14ac:dyDescent="0.25">
      <c r="Z748">
        <v>337897.14768009732</v>
      </c>
    </row>
    <row r="749" spans="26:26" x14ac:dyDescent="0.25">
      <c r="Z749">
        <v>338052.01763600728</v>
      </c>
    </row>
    <row r="750" spans="26:26" x14ac:dyDescent="0.25">
      <c r="Z750">
        <v>338206.50138255098</v>
      </c>
    </row>
    <row r="751" spans="26:26" x14ac:dyDescent="0.25">
      <c r="Z751">
        <v>338360.59988284379</v>
      </c>
    </row>
    <row r="752" spans="26:26" x14ac:dyDescent="0.25">
      <c r="Z752">
        <v>338514.31409759977</v>
      </c>
    </row>
    <row r="753" spans="26:26" x14ac:dyDescent="0.25">
      <c r="Z753">
        <v>338667.64498513693</v>
      </c>
    </row>
    <row r="754" spans="26:26" x14ac:dyDescent="0.25">
      <c r="Z754">
        <v>338820.59350138344</v>
      </c>
    </row>
    <row r="755" spans="26:26" x14ac:dyDescent="0.25">
      <c r="Z755">
        <v>338973.16059988376</v>
      </c>
    </row>
    <row r="756" spans="26:26" x14ac:dyDescent="0.25">
      <c r="Z756">
        <v>339125.34723180428</v>
      </c>
    </row>
    <row r="757" spans="26:26" x14ac:dyDescent="0.25">
      <c r="Z757">
        <v>339277.1543459394</v>
      </c>
    </row>
    <row r="758" spans="26:26" x14ac:dyDescent="0.25">
      <c r="Z758">
        <v>339428.58288871759</v>
      </c>
    </row>
    <row r="759" spans="26:26" x14ac:dyDescent="0.25">
      <c r="Z759">
        <v>339579.63380420709</v>
      </c>
    </row>
    <row r="760" spans="26:26" x14ac:dyDescent="0.25">
      <c r="Z760">
        <v>339730.30803412182</v>
      </c>
    </row>
    <row r="761" spans="26:26" x14ac:dyDescent="0.25">
      <c r="Z761">
        <v>339880.6065178272</v>
      </c>
    </row>
    <row r="762" spans="26:26" x14ac:dyDescent="0.25">
      <c r="Z762">
        <v>340030.53019234637</v>
      </c>
    </row>
    <row r="763" spans="26:26" x14ac:dyDescent="0.25">
      <c r="Z763">
        <v>340180.07999236544</v>
      </c>
    </row>
    <row r="764" spans="26:26" x14ac:dyDescent="0.25">
      <c r="Z764">
        <v>340329.25685023982</v>
      </c>
    </row>
    <row r="765" spans="26:26" x14ac:dyDescent="0.25">
      <c r="Z765">
        <v>340478.06169599982</v>
      </c>
    </row>
    <row r="766" spans="26:26" x14ac:dyDescent="0.25">
      <c r="Z766">
        <v>340626.49545735645</v>
      </c>
    </row>
    <row r="767" spans="26:26" x14ac:dyDescent="0.25">
      <c r="Z767">
        <v>340774.55905970716</v>
      </c>
    </row>
    <row r="768" spans="26:26" x14ac:dyDescent="0.25">
      <c r="Z768">
        <v>340922.2534261418</v>
      </c>
    </row>
    <row r="769" spans="26:26" x14ac:dyDescent="0.25">
      <c r="Z769">
        <v>341069.57947744819</v>
      </c>
    </row>
    <row r="770" spans="26:26" x14ac:dyDescent="0.25">
      <c r="Z770">
        <v>341216.53813211789</v>
      </c>
    </row>
    <row r="771" spans="26:26" x14ac:dyDescent="0.25">
      <c r="Z771">
        <v>341363.13030635199</v>
      </c>
    </row>
    <row r="772" spans="26:26" x14ac:dyDescent="0.25">
      <c r="Z772">
        <v>341509.35691406683</v>
      </c>
    </row>
    <row r="773" spans="26:26" x14ac:dyDescent="0.25">
      <c r="Z773">
        <v>341655.21886689955</v>
      </c>
    </row>
    <row r="774" spans="26:26" x14ac:dyDescent="0.25">
      <c r="Z774">
        <v>341800.71707421407</v>
      </c>
    </row>
    <row r="775" spans="26:26" x14ac:dyDescent="0.25">
      <c r="Z775">
        <v>341945.8524431063</v>
      </c>
    </row>
    <row r="776" spans="26:26" x14ac:dyDescent="0.25">
      <c r="Z776">
        <v>342090.62587841024</v>
      </c>
    </row>
    <row r="777" spans="26:26" x14ac:dyDescent="0.25">
      <c r="Z777">
        <v>342235.03828270343</v>
      </c>
    </row>
    <row r="778" spans="26:26" x14ac:dyDescent="0.25">
      <c r="Z778">
        <v>342379.0905563127</v>
      </c>
    </row>
    <row r="779" spans="26:26" x14ac:dyDescent="0.25">
      <c r="Z779">
        <v>342522.78359731939</v>
      </c>
    </row>
    <row r="780" spans="26:26" x14ac:dyDescent="0.25">
      <c r="Z780">
        <v>342666.11830156547</v>
      </c>
    </row>
    <row r="781" spans="26:26" x14ac:dyDescent="0.25">
      <c r="Z781">
        <v>342809.0955626588</v>
      </c>
    </row>
    <row r="782" spans="26:26" x14ac:dyDescent="0.25">
      <c r="Z782">
        <v>342951.71627197886</v>
      </c>
    </row>
    <row r="783" spans="26:26" x14ac:dyDescent="0.25">
      <c r="Z783">
        <v>343093.9813186822</v>
      </c>
    </row>
    <row r="784" spans="26:26" x14ac:dyDescent="0.25">
      <c r="Z784">
        <v>343235.89158970787</v>
      </c>
    </row>
    <row r="785" spans="26:26" x14ac:dyDescent="0.25">
      <c r="Z785">
        <v>343377.44796978345</v>
      </c>
    </row>
    <row r="786" spans="26:26" x14ac:dyDescent="0.25">
      <c r="Z786">
        <v>343518.65134142985</v>
      </c>
    </row>
    <row r="787" spans="26:26" x14ac:dyDescent="0.25">
      <c r="Z787">
        <v>343659.50258496747</v>
      </c>
    </row>
    <row r="788" spans="26:26" x14ac:dyDescent="0.25">
      <c r="Z788">
        <v>343800.00257852115</v>
      </c>
    </row>
    <row r="789" spans="26:26" x14ac:dyDescent="0.25">
      <c r="Z789">
        <v>343940.15219802601</v>
      </c>
    </row>
    <row r="790" spans="26:26" x14ac:dyDescent="0.25">
      <c r="Z790">
        <v>344079.95231723296</v>
      </c>
    </row>
    <row r="791" spans="26:26" x14ac:dyDescent="0.25">
      <c r="Z791">
        <v>344219.40380771365</v>
      </c>
    </row>
    <row r="792" spans="26:26" x14ac:dyDescent="0.25">
      <c r="Z792">
        <v>344358.50753886654</v>
      </c>
    </row>
    <row r="793" spans="26:26" x14ac:dyDescent="0.25">
      <c r="Z793">
        <v>344497.2643779217</v>
      </c>
    </row>
    <row r="794" spans="26:26" x14ac:dyDescent="0.25">
      <c r="Z794">
        <v>344635.67518994684</v>
      </c>
    </row>
    <row r="795" spans="26:26" x14ac:dyDescent="0.25">
      <c r="Z795">
        <v>344773.74083785218</v>
      </c>
    </row>
    <row r="796" spans="26:26" x14ac:dyDescent="0.25">
      <c r="Z796">
        <v>344911.46218239621</v>
      </c>
    </row>
    <row r="797" spans="26:26" x14ac:dyDescent="0.25">
      <c r="Z797">
        <v>345048.84008219076</v>
      </c>
    </row>
    <row r="798" spans="26:26" x14ac:dyDescent="0.25">
      <c r="Z798">
        <v>345185.87539370643</v>
      </c>
    </row>
    <row r="799" spans="26:26" x14ac:dyDescent="0.25">
      <c r="Z799">
        <v>345322.56897127826</v>
      </c>
    </row>
    <row r="800" spans="26:26" x14ac:dyDescent="0.25">
      <c r="Z800">
        <v>345458.92166711052</v>
      </c>
    </row>
    <row r="801" spans="26:26" x14ac:dyDescent="0.25">
      <c r="Z801">
        <v>345594.93433128233</v>
      </c>
    </row>
    <row r="802" spans="26:26" x14ac:dyDescent="0.25">
      <c r="Z802">
        <v>345730.60781175288</v>
      </c>
    </row>
    <row r="803" spans="26:26" x14ac:dyDescent="0.25">
      <c r="Z803">
        <v>345865.94295436697</v>
      </c>
    </row>
    <row r="804" spans="26:26" x14ac:dyDescent="0.25">
      <c r="Z804">
        <v>346000.94060285983</v>
      </c>
    </row>
    <row r="805" spans="26:26" x14ac:dyDescent="0.25">
      <c r="Z805">
        <v>346135.60159886268</v>
      </c>
    </row>
    <row r="806" spans="26:26" x14ac:dyDescent="0.25">
      <c r="Z806">
        <v>346269.92678190791</v>
      </c>
    </row>
    <row r="807" spans="26:26" x14ac:dyDescent="0.25">
      <c r="Z807">
        <v>346403.91698943428</v>
      </c>
    </row>
    <row r="808" spans="26:26" x14ac:dyDescent="0.25">
      <c r="Z808">
        <v>346537.57305679232</v>
      </c>
    </row>
    <row r="809" spans="26:26" x14ac:dyDescent="0.25">
      <c r="Z809">
        <v>346670.8958172492</v>
      </c>
    </row>
    <row r="810" spans="26:26" x14ac:dyDescent="0.25">
      <c r="Z810">
        <v>346803.8861019942</v>
      </c>
    </row>
    <row r="811" spans="26:26" x14ac:dyDescent="0.25">
      <c r="Z811">
        <v>346936.54474014381</v>
      </c>
    </row>
    <row r="812" spans="26:26" x14ac:dyDescent="0.25">
      <c r="Z812">
        <v>347068.87255874695</v>
      </c>
    </row>
    <row r="813" spans="26:26" x14ac:dyDescent="0.25">
      <c r="Z813">
        <v>347200.87038278999</v>
      </c>
    </row>
    <row r="814" spans="26:26" x14ac:dyDescent="0.25">
      <c r="Z814">
        <v>347332.539035202</v>
      </c>
    </row>
    <row r="815" spans="26:26" x14ac:dyDescent="0.25">
      <c r="Z815">
        <v>347463.8793368598</v>
      </c>
    </row>
    <row r="816" spans="26:26" x14ac:dyDescent="0.25">
      <c r="Z816">
        <v>347594.89210659335</v>
      </c>
    </row>
    <row r="817" spans="26:26" x14ac:dyDescent="0.25">
      <c r="Z817">
        <v>347725.57816119038</v>
      </c>
    </row>
    <row r="818" spans="26:26" x14ac:dyDescent="0.25">
      <c r="Z818">
        <v>347855.93831540184</v>
      </c>
    </row>
    <row r="819" spans="26:26" x14ac:dyDescent="0.25">
      <c r="Z819">
        <v>347985.97338194697</v>
      </c>
    </row>
    <row r="820" spans="26:26" x14ac:dyDescent="0.25">
      <c r="Z820">
        <v>348115.68417151819</v>
      </c>
    </row>
    <row r="821" spans="26:26" x14ac:dyDescent="0.25">
      <c r="Z821">
        <v>348245.07149278623</v>
      </c>
    </row>
    <row r="822" spans="26:26" x14ac:dyDescent="0.25">
      <c r="Z822">
        <v>348374.13615240518</v>
      </c>
    </row>
    <row r="823" spans="26:26" x14ac:dyDescent="0.25">
      <c r="Z823">
        <v>348502.87895501766</v>
      </c>
    </row>
    <row r="824" spans="26:26" x14ac:dyDescent="0.25">
      <c r="Z824">
        <v>348631.30070325953</v>
      </c>
    </row>
    <row r="825" spans="26:26" x14ac:dyDescent="0.25">
      <c r="Z825">
        <v>348759.40219776507</v>
      </c>
    </row>
    <row r="826" spans="26:26" x14ac:dyDescent="0.25">
      <c r="Z826">
        <v>348887.18423717219</v>
      </c>
    </row>
    <row r="827" spans="26:26" x14ac:dyDescent="0.25">
      <c r="Z827">
        <v>349014.64761812682</v>
      </c>
    </row>
    <row r="828" spans="26:26" x14ac:dyDescent="0.25">
      <c r="Z828">
        <v>349141.79313528864</v>
      </c>
    </row>
    <row r="829" spans="26:26" x14ac:dyDescent="0.25">
      <c r="Z829">
        <v>349268.62158133532</v>
      </c>
    </row>
    <row r="830" spans="26:26" x14ac:dyDescent="0.25">
      <c r="Z830">
        <v>349395.13374696783</v>
      </c>
    </row>
    <row r="831" spans="26:26" x14ac:dyDescent="0.25">
      <c r="Z831">
        <v>349521.33042091556</v>
      </c>
    </row>
    <row r="832" spans="26:26" x14ac:dyDescent="0.25">
      <c r="Z832">
        <v>349647.21238994069</v>
      </c>
    </row>
    <row r="833" spans="26:26" x14ac:dyDescent="0.25">
      <c r="Z833">
        <v>349772.78043884359</v>
      </c>
    </row>
    <row r="834" spans="26:26" x14ac:dyDescent="0.25">
      <c r="Z834">
        <v>349898.03535046743</v>
      </c>
    </row>
    <row r="835" spans="26:26" x14ac:dyDescent="0.25">
      <c r="Z835">
        <v>350022.97790570318</v>
      </c>
    </row>
    <row r="836" spans="26:26" x14ac:dyDescent="0.25">
      <c r="Z836">
        <v>350147.60888349439</v>
      </c>
    </row>
    <row r="837" spans="26:26" x14ac:dyDescent="0.25">
      <c r="Z837">
        <v>350271.92906084226</v>
      </c>
    </row>
    <row r="838" spans="26:26" x14ac:dyDescent="0.25">
      <c r="Z838">
        <v>350395.93921281031</v>
      </c>
    </row>
    <row r="839" spans="26:26" x14ac:dyDescent="0.25">
      <c r="Z839">
        <v>350519.64011252893</v>
      </c>
    </row>
    <row r="840" spans="26:26" x14ac:dyDescent="0.25">
      <c r="Z840">
        <v>350643.03253120097</v>
      </c>
    </row>
    <row r="841" spans="26:26" x14ac:dyDescent="0.25">
      <c r="Z841">
        <v>350766.11723810568</v>
      </c>
    </row>
    <row r="842" spans="26:26" x14ac:dyDescent="0.25">
      <c r="Z842">
        <v>350888.89500060416</v>
      </c>
    </row>
    <row r="843" spans="26:26" x14ac:dyDescent="0.25">
      <c r="Z843">
        <v>351011.36658414378</v>
      </c>
    </row>
    <row r="844" spans="26:26" x14ac:dyDescent="0.25">
      <c r="Z844">
        <v>351133.53275226313</v>
      </c>
    </row>
    <row r="845" spans="26:26" x14ac:dyDescent="0.25">
      <c r="Z845">
        <v>351255.39426659665</v>
      </c>
    </row>
    <row r="846" spans="26:26" x14ac:dyDescent="0.25">
      <c r="Z846">
        <v>351376.95188687945</v>
      </c>
    </row>
    <row r="847" spans="26:26" x14ac:dyDescent="0.25">
      <c r="Z847">
        <v>351498.20637095207</v>
      </c>
    </row>
    <row r="848" spans="26:26" x14ac:dyDescent="0.25">
      <c r="Z848">
        <v>351619.15847476514</v>
      </c>
    </row>
    <row r="849" spans="26:26" x14ac:dyDescent="0.25">
      <c r="Z849">
        <v>351739.80895238416</v>
      </c>
    </row>
    <row r="850" spans="26:26" x14ac:dyDescent="0.25">
      <c r="Z850">
        <v>351860.15855599422</v>
      </c>
    </row>
    <row r="851" spans="26:26" x14ac:dyDescent="0.25">
      <c r="Z851">
        <v>351980.20803590445</v>
      </c>
    </row>
    <row r="852" spans="26:26" x14ac:dyDescent="0.25">
      <c r="Z852">
        <v>352099.95814055303</v>
      </c>
    </row>
    <row r="853" spans="26:26" x14ac:dyDescent="0.25">
      <c r="Z853">
        <v>352219.40961651178</v>
      </c>
    </row>
    <row r="854" spans="26:26" x14ac:dyDescent="0.25">
      <c r="Z854">
        <v>352338.56320849055</v>
      </c>
    </row>
    <row r="855" spans="26:26" x14ac:dyDescent="0.25">
      <c r="Z855">
        <v>352457.41965934215</v>
      </c>
    </row>
    <row r="856" spans="26:26" x14ac:dyDescent="0.25">
      <c r="Z856">
        <v>352575.97971006704</v>
      </c>
    </row>
    <row r="857" spans="26:26" x14ac:dyDescent="0.25">
      <c r="Z857">
        <v>352694.24409981747</v>
      </c>
    </row>
    <row r="858" spans="26:26" x14ac:dyDescent="0.25">
      <c r="Z858">
        <v>352812.21356590273</v>
      </c>
    </row>
    <row r="859" spans="26:26" x14ac:dyDescent="0.25">
      <c r="Z859">
        <v>352929.88884379325</v>
      </c>
    </row>
    <row r="860" spans="26:26" x14ac:dyDescent="0.25">
      <c r="Z860">
        <v>353047.27066712541</v>
      </c>
    </row>
    <row r="861" spans="26:26" x14ac:dyDescent="0.25">
      <c r="Z861">
        <v>353164.35976770613</v>
      </c>
    </row>
    <row r="862" spans="26:26" x14ac:dyDescent="0.25">
      <c r="Z862">
        <v>353281.15687551734</v>
      </c>
    </row>
    <row r="863" spans="26:26" x14ac:dyDescent="0.25">
      <c r="Z863">
        <v>353397.66271872056</v>
      </c>
    </row>
    <row r="864" spans="26:26" x14ac:dyDescent="0.25">
      <c r="Z864">
        <v>353513.87802366138</v>
      </c>
    </row>
    <row r="865" spans="26:26" x14ac:dyDescent="0.25">
      <c r="Z865">
        <v>353629.80351487419</v>
      </c>
    </row>
    <row r="866" spans="26:26" x14ac:dyDescent="0.25">
      <c r="Z866">
        <v>353745.43991508649</v>
      </c>
    </row>
    <row r="867" spans="26:26" x14ac:dyDescent="0.25">
      <c r="Z867">
        <v>353860.78794522345</v>
      </c>
    </row>
    <row r="868" spans="26:26" x14ac:dyDescent="0.25">
      <c r="Z868">
        <v>353975.84832441236</v>
      </c>
    </row>
    <row r="869" spans="26:26" x14ac:dyDescent="0.25">
      <c r="Z869">
        <v>354090.6217699874</v>
      </c>
    </row>
    <row r="870" spans="26:26" x14ac:dyDescent="0.25">
      <c r="Z870">
        <v>354205.10899749363</v>
      </c>
    </row>
    <row r="871" spans="26:26" x14ac:dyDescent="0.25">
      <c r="Z871">
        <v>354319.31072069192</v>
      </c>
    </row>
    <row r="872" spans="26:26" x14ac:dyDescent="0.25">
      <c r="Z872">
        <v>354433.22765156307</v>
      </c>
    </row>
    <row r="873" spans="26:26" x14ac:dyDescent="0.25">
      <c r="Z873">
        <v>354546.86050031229</v>
      </c>
    </row>
    <row r="874" spans="26:26" x14ac:dyDescent="0.25">
      <c r="Z874">
        <v>354660.20997537381</v>
      </c>
    </row>
    <row r="875" spans="26:26" x14ac:dyDescent="0.25">
      <c r="Z875">
        <v>354773.27678341529</v>
      </c>
    </row>
    <row r="876" spans="26:26" x14ac:dyDescent="0.25">
      <c r="Z876">
        <v>354886.06162934192</v>
      </c>
    </row>
    <row r="877" spans="26:26" x14ac:dyDescent="0.25">
      <c r="Z877">
        <v>354998.56521630118</v>
      </c>
    </row>
    <row r="878" spans="26:26" x14ac:dyDescent="0.25">
      <c r="Z878">
        <v>355110.78824568691</v>
      </c>
    </row>
    <row r="879" spans="26:26" x14ac:dyDescent="0.25">
      <c r="Z879">
        <v>355222.73141714412</v>
      </c>
    </row>
    <row r="880" spans="26:26" x14ac:dyDescent="0.25">
      <c r="Z880">
        <v>355334.39542857266</v>
      </c>
    </row>
    <row r="881" spans="26:26" x14ac:dyDescent="0.25">
      <c r="Z881">
        <v>355445.78097613232</v>
      </c>
    </row>
    <row r="882" spans="26:26" x14ac:dyDescent="0.25">
      <c r="Z882">
        <v>355556.8887542467</v>
      </c>
    </row>
    <row r="883" spans="26:26" x14ac:dyDescent="0.25">
      <c r="Z883">
        <v>355667.71945560764</v>
      </c>
    </row>
    <row r="884" spans="26:26" x14ac:dyDescent="0.25">
      <c r="Z884">
        <v>355778.27377117972</v>
      </c>
    </row>
    <row r="885" spans="26:26" x14ac:dyDescent="0.25">
      <c r="Z885">
        <v>355888.55239020422</v>
      </c>
    </row>
    <row r="886" spans="26:26" x14ac:dyDescent="0.25">
      <c r="Z886">
        <v>355998.55600020371</v>
      </c>
    </row>
    <row r="887" spans="26:26" x14ac:dyDescent="0.25">
      <c r="Z887">
        <v>356108.28528698627</v>
      </c>
    </row>
    <row r="888" spans="26:26" x14ac:dyDescent="0.25">
      <c r="Z888">
        <v>356217.7409346496</v>
      </c>
    </row>
    <row r="889" spans="26:26" x14ac:dyDescent="0.25">
      <c r="Z889">
        <v>356326.92362558568</v>
      </c>
    </row>
    <row r="890" spans="26:26" x14ac:dyDescent="0.25">
      <c r="Z890">
        <v>356435.83404048439</v>
      </c>
    </row>
    <row r="891" spans="26:26" x14ac:dyDescent="0.25">
      <c r="Z891">
        <v>356544.47285833856</v>
      </c>
    </row>
    <row r="892" spans="26:26" x14ac:dyDescent="0.25">
      <c r="Z892">
        <v>356652.84075644746</v>
      </c>
    </row>
    <row r="893" spans="26:26" x14ac:dyDescent="0.25">
      <c r="Z893">
        <v>356760.93841042143</v>
      </c>
    </row>
    <row r="894" spans="26:26" x14ac:dyDescent="0.25">
      <c r="Z894">
        <v>356868.76649418595</v>
      </c>
    </row>
    <row r="895" spans="26:26" x14ac:dyDescent="0.25">
      <c r="Z895">
        <v>356976.32567998598</v>
      </c>
    </row>
    <row r="896" spans="26:26" x14ac:dyDescent="0.25">
      <c r="Z896">
        <v>357083.61663839</v>
      </c>
    </row>
    <row r="897" spans="26:26" x14ac:dyDescent="0.25">
      <c r="Z897">
        <v>357190.64003829425</v>
      </c>
    </row>
    <row r="898" spans="26:26" x14ac:dyDescent="0.25">
      <c r="Z898">
        <v>357297.39654692687</v>
      </c>
    </row>
    <row r="899" spans="26:26" x14ac:dyDescent="0.25">
      <c r="Z899">
        <v>357403.8868298523</v>
      </c>
    </row>
    <row r="900" spans="26:26" x14ac:dyDescent="0.25">
      <c r="Z900">
        <v>357510.11155097483</v>
      </c>
    </row>
    <row r="901" spans="26:26" x14ac:dyDescent="0.25">
      <c r="Z901">
        <v>357616.07137254352</v>
      </c>
    </row>
    <row r="902" spans="26:26" x14ac:dyDescent="0.25">
      <c r="Z902">
        <v>357721.76695515559</v>
      </c>
    </row>
    <row r="903" spans="26:26" x14ac:dyDescent="0.25">
      <c r="Z903">
        <v>357827.19895776117</v>
      </c>
    </row>
    <row r="904" spans="26:26" x14ac:dyDescent="0.25">
      <c r="Z904">
        <v>357932.36803766701</v>
      </c>
    </row>
    <row r="905" spans="26:26" x14ac:dyDescent="0.25">
      <c r="Z905">
        <v>358037.27485054062</v>
      </c>
    </row>
    <row r="906" spans="26:26" x14ac:dyDescent="0.25">
      <c r="Z906">
        <v>358141.92005041463</v>
      </c>
    </row>
    <row r="907" spans="26:26" x14ac:dyDescent="0.25">
      <c r="Z907">
        <v>358246.30428969039</v>
      </c>
    </row>
    <row r="908" spans="26:26" x14ac:dyDescent="0.25">
      <c r="Z908">
        <v>358350.42821914254</v>
      </c>
    </row>
    <row r="909" spans="26:26" x14ac:dyDescent="0.25">
      <c r="Z909">
        <v>358454.29248792276</v>
      </c>
    </row>
    <row r="910" spans="26:26" x14ac:dyDescent="0.25">
      <c r="Z910">
        <v>358557.89774356381</v>
      </c>
    </row>
    <row r="911" spans="26:26" x14ac:dyDescent="0.25">
      <c r="Z911">
        <v>358661.24463198386</v>
      </c>
    </row>
    <row r="912" spans="26:26" x14ac:dyDescent="0.25">
      <c r="Z912">
        <v>358764.33379749011</v>
      </c>
    </row>
    <row r="913" spans="26:26" x14ac:dyDescent="0.25">
      <c r="Z913">
        <v>358867.16588278319</v>
      </c>
    </row>
    <row r="914" spans="26:26" x14ac:dyDescent="0.25">
      <c r="Z914">
        <v>358969.74152896076</v>
      </c>
    </row>
    <row r="915" spans="26:26" x14ac:dyDescent="0.25">
      <c r="Z915">
        <v>359072.061375522</v>
      </c>
    </row>
    <row r="916" spans="26:26" x14ac:dyDescent="0.25">
      <c r="Z916">
        <v>359174.12606037105</v>
      </c>
    </row>
    <row r="917" spans="26:26" x14ac:dyDescent="0.25">
      <c r="Z917">
        <v>359275.93621982151</v>
      </c>
    </row>
    <row r="918" spans="26:26" x14ac:dyDescent="0.25">
      <c r="Z918">
        <v>359377.49248859996</v>
      </c>
    </row>
    <row r="919" spans="26:26" x14ac:dyDescent="0.25">
      <c r="Z919">
        <v>359478.79549985036</v>
      </c>
    </row>
    <row r="920" spans="26:26" x14ac:dyDescent="0.25">
      <c r="Z920">
        <v>359579.8458851375</v>
      </c>
    </row>
    <row r="921" spans="26:26" x14ac:dyDescent="0.25">
      <c r="Z921">
        <v>359680.64427445136</v>
      </c>
    </row>
    <row r="922" spans="26:26" x14ac:dyDescent="0.25">
      <c r="Z922">
        <v>359781.19129621086</v>
      </c>
    </row>
    <row r="923" spans="26:26" x14ac:dyDescent="0.25">
      <c r="Z923">
        <v>359881.48757726769</v>
      </c>
    </row>
    <row r="924" spans="26:26" x14ac:dyDescent="0.25">
      <c r="Z924">
        <v>359981.53374291043</v>
      </c>
    </row>
    <row r="925" spans="26:26" x14ac:dyDescent="0.25">
      <c r="Z925">
        <v>360081.33041686821</v>
      </c>
    </row>
    <row r="926" spans="26:26" x14ac:dyDescent="0.25">
      <c r="Z926">
        <v>360180.87822131498</v>
      </c>
    </row>
    <row r="927" spans="26:26" x14ac:dyDescent="0.25">
      <c r="Z927">
        <v>360280.17777687276</v>
      </c>
    </row>
    <row r="928" spans="26:26" x14ac:dyDescent="0.25">
      <c r="Z928">
        <v>360379.22970261617</v>
      </c>
    </row>
    <row r="929" spans="26:26" x14ac:dyDescent="0.25">
      <c r="Z929">
        <v>360478.03461607604</v>
      </c>
    </row>
    <row r="930" spans="26:26" x14ac:dyDescent="0.25">
      <c r="Z930">
        <v>360576.59313324292</v>
      </c>
    </row>
    <row r="931" spans="26:26" x14ac:dyDescent="0.25">
      <c r="Z931">
        <v>360674.90586857148</v>
      </c>
    </row>
    <row r="932" spans="26:26" x14ac:dyDescent="0.25">
      <c r="Z932">
        <v>360772.97343498404</v>
      </c>
    </row>
    <row r="933" spans="26:26" x14ac:dyDescent="0.25">
      <c r="Z933">
        <v>360870.79644387437</v>
      </c>
    </row>
    <row r="934" spans="26:26" x14ac:dyDescent="0.25">
      <c r="Z934">
        <v>360968.37550511153</v>
      </c>
    </row>
    <row r="935" spans="26:26" x14ac:dyDescent="0.25">
      <c r="Z935">
        <v>361065.71122704394</v>
      </c>
    </row>
    <row r="936" spans="26:26" x14ac:dyDescent="0.25">
      <c r="Z936">
        <v>361162.80421650264</v>
      </c>
    </row>
    <row r="937" spans="26:26" x14ac:dyDescent="0.25">
      <c r="Z937">
        <v>361259.65507880569</v>
      </c>
    </row>
    <row r="938" spans="26:26" x14ac:dyDescent="0.25">
      <c r="Z938">
        <v>361356.26441776124</v>
      </c>
    </row>
    <row r="939" spans="26:26" x14ac:dyDescent="0.25">
      <c r="Z939">
        <v>361452.63283567206</v>
      </c>
    </row>
    <row r="940" spans="26:26" x14ac:dyDescent="0.25">
      <c r="Z940">
        <v>361548.76093333872</v>
      </c>
    </row>
    <row r="941" spans="26:26" x14ac:dyDescent="0.25">
      <c r="Z941">
        <v>361644.64931006357</v>
      </c>
    </row>
    <row r="942" spans="26:26" x14ac:dyDescent="0.25">
      <c r="Z942">
        <v>361740.29856365442</v>
      </c>
    </row>
    <row r="943" spans="26:26" x14ac:dyDescent="0.25">
      <c r="Z943">
        <v>361835.70929042832</v>
      </c>
    </row>
    <row r="944" spans="26:26" x14ac:dyDescent="0.25">
      <c r="Z944">
        <v>361930.8820852153</v>
      </c>
    </row>
    <row r="945" spans="26:26" x14ac:dyDescent="0.25">
      <c r="Z945">
        <v>362025.8175413619</v>
      </c>
    </row>
    <row r="946" spans="26:26" x14ac:dyDescent="0.25">
      <c r="Z946">
        <v>362120.51625073503</v>
      </c>
    </row>
    <row r="947" spans="26:26" x14ac:dyDescent="0.25">
      <c r="Z947">
        <v>362214.97880372574</v>
      </c>
    </row>
    <row r="948" spans="26:26" x14ac:dyDescent="0.25">
      <c r="Z948">
        <v>362309.20578925259</v>
      </c>
    </row>
    <row r="949" spans="26:26" x14ac:dyDescent="0.25">
      <c r="Z949">
        <v>362403.1977947657</v>
      </c>
    </row>
    <row r="950" spans="26:26" x14ac:dyDescent="0.25">
      <c r="Z950">
        <v>362496.95540625008</v>
      </c>
    </row>
    <row r="951" spans="26:26" x14ac:dyDescent="0.25">
      <c r="Z951">
        <v>362590.47920822952</v>
      </c>
    </row>
    <row r="952" spans="26:26" x14ac:dyDescent="0.25">
      <c r="Z952">
        <v>362683.76978377003</v>
      </c>
    </row>
    <row r="953" spans="26:26" x14ac:dyDescent="0.25">
      <c r="Z953">
        <v>362776.82771448384</v>
      </c>
    </row>
    <row r="954" spans="26:26" x14ac:dyDescent="0.25">
      <c r="Z954">
        <v>362869.65358053253</v>
      </c>
    </row>
    <row r="955" spans="26:26" x14ac:dyDescent="0.25">
      <c r="Z955">
        <v>362962.24796063098</v>
      </c>
    </row>
    <row r="956" spans="26:26" x14ac:dyDescent="0.25">
      <c r="Z956">
        <v>363054.61143205082</v>
      </c>
    </row>
    <row r="957" spans="26:26" x14ac:dyDescent="0.25">
      <c r="Z957">
        <v>363146.74457062426</v>
      </c>
    </row>
    <row r="958" spans="26:26" x14ac:dyDescent="0.25">
      <c r="Z958">
        <v>363238.6479507474</v>
      </c>
    </row>
    <row r="959" spans="26:26" x14ac:dyDescent="0.25">
      <c r="Z959">
        <v>363330.32214538392</v>
      </c>
    </row>
    <row r="960" spans="26:26" x14ac:dyDescent="0.25">
      <c r="Z960">
        <v>363421.76772606873</v>
      </c>
    </row>
    <row r="961" spans="26:26" x14ac:dyDescent="0.25">
      <c r="Z961">
        <v>363512.98526291148</v>
      </c>
    </row>
    <row r="962" spans="26:26" x14ac:dyDescent="0.25">
      <c r="Z962">
        <v>363603.97532459995</v>
      </c>
    </row>
    <row r="963" spans="26:26" x14ac:dyDescent="0.25">
      <c r="Z963">
        <v>363694.73847840395</v>
      </c>
    </row>
    <row r="964" spans="26:26" x14ac:dyDescent="0.25">
      <c r="Z964">
        <v>363785.27529017848</v>
      </c>
    </row>
    <row r="965" spans="26:26" x14ac:dyDescent="0.25">
      <c r="Z965">
        <v>363875.58632436756</v>
      </c>
    </row>
    <row r="966" spans="26:26" x14ac:dyDescent="0.25">
      <c r="Z966">
        <v>363965.67214400758</v>
      </c>
    </row>
    <row r="967" spans="26:26" x14ac:dyDescent="0.25">
      <c r="Z967">
        <v>364055.53331073071</v>
      </c>
    </row>
    <row r="968" spans="26:26" x14ac:dyDescent="0.25">
      <c r="Z968">
        <v>364145.1703847688</v>
      </c>
    </row>
    <row r="969" spans="26:26" x14ac:dyDescent="0.25">
      <c r="Z969">
        <v>364234.58392495639</v>
      </c>
    </row>
    <row r="970" spans="26:26" x14ac:dyDescent="0.25">
      <c r="Z970">
        <v>364323.77448873455</v>
      </c>
    </row>
    <row r="971" spans="26:26" x14ac:dyDescent="0.25">
      <c r="Z971">
        <v>364412.7426321542</v>
      </c>
    </row>
    <row r="972" spans="26:26" x14ac:dyDescent="0.25">
      <c r="Z972">
        <v>364501.48890987947</v>
      </c>
    </row>
    <row r="973" spans="26:26" x14ac:dyDescent="0.25">
      <c r="Z973">
        <v>364590.01387519151</v>
      </c>
    </row>
    <row r="974" spans="26:26" x14ac:dyDescent="0.25">
      <c r="Z974">
        <v>364678.3180799915</v>
      </c>
    </row>
    <row r="975" spans="26:26" x14ac:dyDescent="0.25">
      <c r="Z975">
        <v>364766.40207480453</v>
      </c>
    </row>
    <row r="976" spans="26:26" x14ac:dyDescent="0.25">
      <c r="Z976">
        <v>364854.26640878251</v>
      </c>
    </row>
    <row r="977" spans="26:26" x14ac:dyDescent="0.25">
      <c r="Z977">
        <v>364941.91162970825</v>
      </c>
    </row>
    <row r="978" spans="26:26" x14ac:dyDescent="0.25">
      <c r="Z978">
        <v>365029.33828399825</v>
      </c>
    </row>
    <row r="979" spans="26:26" x14ac:dyDescent="0.25">
      <c r="Z979">
        <v>365116.54691670655</v>
      </c>
    </row>
    <row r="980" spans="26:26" x14ac:dyDescent="0.25">
      <c r="Z980">
        <v>365203.53807152767</v>
      </c>
    </row>
    <row r="981" spans="26:26" x14ac:dyDescent="0.25">
      <c r="Z981">
        <v>365290.31229080068</v>
      </c>
    </row>
    <row r="982" spans="26:26" x14ac:dyDescent="0.25">
      <c r="Z982">
        <v>365376.87011551193</v>
      </c>
    </row>
    <row r="983" spans="26:26" x14ac:dyDescent="0.25">
      <c r="Z983">
        <v>365463.21208529867</v>
      </c>
    </row>
    <row r="984" spans="26:26" x14ac:dyDescent="0.25">
      <c r="Z984">
        <v>365549.33873845253</v>
      </c>
    </row>
    <row r="985" spans="26:26" x14ac:dyDescent="0.25">
      <c r="Z985">
        <v>365635.25061192276</v>
      </c>
    </row>
    <row r="986" spans="26:26" x14ac:dyDescent="0.25">
      <c r="Z986">
        <v>365720.94824131939</v>
      </c>
    </row>
    <row r="987" spans="26:26" x14ac:dyDescent="0.25">
      <c r="Z987">
        <v>365806.43216091709</v>
      </c>
    </row>
    <row r="988" spans="26:26" x14ac:dyDescent="0.25">
      <c r="Z988">
        <v>365891.70290365798</v>
      </c>
    </row>
    <row r="989" spans="26:26" x14ac:dyDescent="0.25">
      <c r="Z989">
        <v>365976.76100115507</v>
      </c>
    </row>
    <row r="990" spans="26:26" x14ac:dyDescent="0.25">
      <c r="Z990">
        <v>366061.60698369582</v>
      </c>
    </row>
    <row r="991" spans="26:26" x14ac:dyDescent="0.25">
      <c r="Z991">
        <v>366146.24138024525</v>
      </c>
    </row>
    <row r="992" spans="26:26" x14ac:dyDescent="0.25">
      <c r="Z992">
        <v>366230.66471844906</v>
      </c>
    </row>
    <row r="993" spans="26:26" x14ac:dyDescent="0.25">
      <c r="Z993">
        <v>366314.8775246375</v>
      </c>
    </row>
    <row r="994" spans="26:26" x14ac:dyDescent="0.25">
      <c r="Z994">
        <v>366398.88032382791</v>
      </c>
    </row>
    <row r="995" spans="26:26" x14ac:dyDescent="0.25">
      <c r="Z995">
        <v>366482.67363972863</v>
      </c>
    </row>
    <row r="996" spans="26:26" x14ac:dyDescent="0.25">
      <c r="Z996">
        <v>366566.25799474178</v>
      </c>
    </row>
    <row r="997" spans="26:26" x14ac:dyDescent="0.25">
      <c r="Z997">
        <v>366649.6339099668</v>
      </c>
    </row>
    <row r="998" spans="26:26" x14ac:dyDescent="0.25">
      <c r="Z998">
        <v>366732.80190520384</v>
      </c>
    </row>
    <row r="999" spans="26:26" x14ac:dyDescent="0.25">
      <c r="Z999">
        <v>366815.76249895641</v>
      </c>
    </row>
    <row r="1000" spans="26:26" x14ac:dyDescent="0.25">
      <c r="Z1000">
        <v>366898.51620843535</v>
      </c>
    </row>
    <row r="1001" spans="26:26" x14ac:dyDescent="0.25">
      <c r="Z1001">
        <v>366981.06354956143</v>
      </c>
    </row>
    <row r="1002" spans="26:26" x14ac:dyDescent="0.25">
      <c r="Z1002">
        <v>367063.40503696899</v>
      </c>
    </row>
    <row r="1003" spans="26:26" x14ac:dyDescent="0.25">
      <c r="Z1003">
        <v>367145.54118400899</v>
      </c>
    </row>
    <row r="1004" spans="26:26" x14ac:dyDescent="0.25">
      <c r="Z1004">
        <v>367227.47250275215</v>
      </c>
    </row>
    <row r="1005" spans="26:26" x14ac:dyDescent="0.25">
      <c r="Z1005">
        <v>367309.19950399216</v>
      </c>
    </row>
    <row r="1006" spans="26:26" x14ac:dyDescent="0.25">
      <c r="Z1006">
        <v>367390.72269724897</v>
      </c>
    </row>
    <row r="1007" spans="26:26" x14ac:dyDescent="0.25">
      <c r="Z1007">
        <v>367472.04259077203</v>
      </c>
    </row>
    <row r="1008" spans="26:26" x14ac:dyDescent="0.25">
      <c r="Z1008">
        <v>367553.1596915432</v>
      </c>
    </row>
    <row r="1009" spans="26:26" x14ac:dyDescent="0.25">
      <c r="Z1009">
        <v>367634.07450528</v>
      </c>
    </row>
    <row r="1010" spans="26:26" x14ac:dyDescent="0.25">
      <c r="Z1010">
        <v>367714.7875364389</v>
      </c>
    </row>
    <row r="1011" spans="26:26" x14ac:dyDescent="0.25">
      <c r="Z1011">
        <v>367795.29928821838</v>
      </c>
    </row>
    <row r="1012" spans="26:26" x14ac:dyDescent="0.25">
      <c r="Z1012">
        <v>367875.61026256194</v>
      </c>
    </row>
    <row r="1013" spans="26:26" x14ac:dyDescent="0.25">
      <c r="Z1013">
        <v>367955.72096016159</v>
      </c>
    </row>
    <row r="1014" spans="26:26" x14ac:dyDescent="0.25">
      <c r="Z1014">
        <v>368035.63188046042</v>
      </c>
    </row>
    <row r="1015" spans="26:26" x14ac:dyDescent="0.25">
      <c r="Z1015">
        <v>368115.34352165624</v>
      </c>
    </row>
    <row r="1016" spans="26:26" x14ac:dyDescent="0.25">
      <c r="Z1016">
        <v>368194.8563807045</v>
      </c>
    </row>
    <row r="1017" spans="26:26" x14ac:dyDescent="0.25">
      <c r="Z1017">
        <v>368274.17095332115</v>
      </c>
    </row>
    <row r="1018" spans="26:26" x14ac:dyDescent="0.25">
      <c r="Z1018">
        <v>368353.28773398616</v>
      </c>
    </row>
    <row r="1019" spans="26:26" x14ac:dyDescent="0.25">
      <c r="Z1019">
        <v>368432.20721594634</v>
      </c>
    </row>
    <row r="1020" spans="26:26" x14ac:dyDescent="0.25">
      <c r="Z1020">
        <v>368510.92989121831</v>
      </c>
    </row>
    <row r="1021" spans="26:26" x14ac:dyDescent="0.25">
      <c r="Z1021">
        <v>368589.45625059184</v>
      </c>
    </row>
    <row r="1022" spans="26:26" x14ac:dyDescent="0.25">
      <c r="Z1022">
        <v>368667.78678363276</v>
      </c>
    </row>
    <row r="1023" spans="26:26" x14ac:dyDescent="0.25">
      <c r="Z1023">
        <v>368745.921978686</v>
      </c>
    </row>
    <row r="1024" spans="26:26" x14ac:dyDescent="0.25">
      <c r="Z1024">
        <v>368823.86232287879</v>
      </c>
    </row>
    <row r="1025" spans="26:26" x14ac:dyDescent="0.25">
      <c r="Z1025">
        <v>368901.6083021235</v>
      </c>
    </row>
    <row r="1026" spans="26:26" x14ac:dyDescent="0.25">
      <c r="Z1026">
        <v>368979.16040112072</v>
      </c>
    </row>
    <row r="1027" spans="26:26" x14ac:dyDescent="0.25">
      <c r="Z1027">
        <v>369056.51910336228</v>
      </c>
    </row>
    <row r="1028" spans="26:26" x14ac:dyDescent="0.25">
      <c r="Z1028">
        <v>369133.6848911345</v>
      </c>
    </row>
    <row r="1029" spans="26:26" x14ac:dyDescent="0.25">
      <c r="Z1029">
        <v>369210.65824552067</v>
      </c>
    </row>
    <row r="1030" spans="26:26" x14ac:dyDescent="0.25">
      <c r="Z1030">
        <v>369287.43964640464</v>
      </c>
    </row>
    <row r="1031" spans="26:26" x14ac:dyDescent="0.25">
      <c r="Z1031">
        <v>369364.02957247343</v>
      </c>
    </row>
    <row r="1032" spans="26:26" x14ac:dyDescent="0.25">
      <c r="Z1032">
        <v>369440.42850122042</v>
      </c>
    </row>
    <row r="1033" spans="26:26" x14ac:dyDescent="0.25">
      <c r="Z1033">
        <v>369516.63690894801</v>
      </c>
    </row>
    <row r="1034" spans="26:26" x14ac:dyDescent="0.25">
      <c r="Z1034">
        <v>369592.65527077112</v>
      </c>
    </row>
    <row r="1035" spans="26:26" x14ac:dyDescent="0.25">
      <c r="Z1035">
        <v>369668.48406061955</v>
      </c>
    </row>
    <row r="1036" spans="26:26" x14ac:dyDescent="0.25">
      <c r="Z1036">
        <v>369744.12375124148</v>
      </c>
    </row>
    <row r="1037" spans="26:26" x14ac:dyDescent="0.25">
      <c r="Z1037">
        <v>369819.57481420593</v>
      </c>
    </row>
    <row r="1038" spans="26:26" x14ac:dyDescent="0.25">
      <c r="Z1038">
        <v>369894.83771990618</v>
      </c>
    </row>
    <row r="1039" spans="26:26" x14ac:dyDescent="0.25">
      <c r="Z1039">
        <v>369969.91293756227</v>
      </c>
    </row>
    <row r="1040" spans="26:26" x14ac:dyDescent="0.25">
      <c r="Z1040">
        <v>370044.80093522422</v>
      </c>
    </row>
    <row r="1041" spans="26:26" x14ac:dyDescent="0.25">
      <c r="Z1041">
        <v>370119.50217977475</v>
      </c>
    </row>
    <row r="1042" spans="26:26" x14ac:dyDescent="0.25">
      <c r="Z1042">
        <v>370194.01713693247</v>
      </c>
    </row>
    <row r="1043" spans="26:26" x14ac:dyDescent="0.25">
      <c r="Z1043">
        <v>370268.34627125424</v>
      </c>
    </row>
    <row r="1044" spans="26:26" x14ac:dyDescent="0.25">
      <c r="Z1044">
        <v>370342.49004613893</v>
      </c>
    </row>
    <row r="1045" spans="26:26" x14ac:dyDescent="0.25">
      <c r="Z1045">
        <v>370416.44892382936</v>
      </c>
    </row>
    <row r="1046" spans="26:26" x14ac:dyDescent="0.25">
      <c r="Z1046">
        <v>370490.22336541582</v>
      </c>
    </row>
    <row r="1047" spans="26:26" x14ac:dyDescent="0.25">
      <c r="Z1047">
        <v>370563.81383083871</v>
      </c>
    </row>
    <row r="1048" spans="26:26" x14ac:dyDescent="0.25">
      <c r="Z1048">
        <v>370637.22077889153</v>
      </c>
    </row>
    <row r="1049" spans="26:26" x14ac:dyDescent="0.25">
      <c r="Z1049">
        <v>370710.44466722343</v>
      </c>
    </row>
    <row r="1050" spans="26:26" x14ac:dyDescent="0.25">
      <c r="Z1050">
        <v>370783.48595234257</v>
      </c>
    </row>
    <row r="1051" spans="26:26" x14ac:dyDescent="0.25">
      <c r="Z1051">
        <v>370856.34508961858</v>
      </c>
    </row>
    <row r="1052" spans="26:26" x14ac:dyDescent="0.25">
      <c r="Z1052">
        <v>370929.02253328532</v>
      </c>
    </row>
    <row r="1053" spans="26:26" x14ac:dyDescent="0.25">
      <c r="Z1053">
        <v>371001.51873644424</v>
      </c>
    </row>
    <row r="1054" spans="26:26" x14ac:dyDescent="0.25">
      <c r="Z1054">
        <v>371073.83415106655</v>
      </c>
    </row>
    <row r="1055" spans="26:26" x14ac:dyDescent="0.25">
      <c r="Z1055">
        <v>371145.96922799654</v>
      </c>
    </row>
    <row r="1056" spans="26:26" x14ac:dyDescent="0.25">
      <c r="Z1056">
        <v>371217.92441695422</v>
      </c>
    </row>
    <row r="1057" spans="26:26" x14ac:dyDescent="0.25">
      <c r="Z1057">
        <v>371289.70016653783</v>
      </c>
    </row>
    <row r="1058" spans="26:26" x14ac:dyDescent="0.25">
      <c r="Z1058">
        <v>371361.29692422721</v>
      </c>
    </row>
    <row r="1059" spans="26:26" x14ac:dyDescent="0.25">
      <c r="Z1059">
        <v>371432.71513638628</v>
      </c>
    </row>
    <row r="1060" spans="26:26" x14ac:dyDescent="0.25">
      <c r="Z1060">
        <v>371503.95524826559</v>
      </c>
    </row>
    <row r="1061" spans="26:26" x14ac:dyDescent="0.25">
      <c r="Z1061">
        <v>371575.01770400564</v>
      </c>
    </row>
    <row r="1062" spans="26:26" x14ac:dyDescent="0.25">
      <c r="Z1062">
        <v>371645.90294663905</v>
      </c>
    </row>
    <row r="1063" spans="26:26" x14ac:dyDescent="0.25">
      <c r="Z1063">
        <v>371716.61141809379</v>
      </c>
    </row>
    <row r="1064" spans="26:26" x14ac:dyDescent="0.25">
      <c r="Z1064">
        <v>371787.1435591958</v>
      </c>
    </row>
    <row r="1065" spans="26:26" x14ac:dyDescent="0.25">
      <c r="Z1065">
        <v>371857.49980967154</v>
      </c>
    </row>
    <row r="1066" spans="26:26" x14ac:dyDescent="0.25">
      <c r="Z1066">
        <v>371927.68060815119</v>
      </c>
    </row>
    <row r="1067" spans="26:26" x14ac:dyDescent="0.25">
      <c r="Z1067">
        <v>371997.68639217078</v>
      </c>
    </row>
    <row r="1068" spans="26:26" x14ac:dyDescent="0.25">
      <c r="Z1068">
        <v>372067.51759817533</v>
      </c>
    </row>
    <row r="1069" spans="26:26" x14ac:dyDescent="0.25">
      <c r="Z1069">
        <v>372137.17466152151</v>
      </c>
    </row>
    <row r="1070" spans="26:26" x14ac:dyDescent="0.25">
      <c r="Z1070">
        <v>372206.65801648033</v>
      </c>
    </row>
    <row r="1071" spans="26:26" x14ac:dyDescent="0.25">
      <c r="Z1071">
        <v>372275.96809623973</v>
      </c>
    </row>
    <row r="1072" spans="26:26" x14ac:dyDescent="0.25">
      <c r="Z1072">
        <v>372345.10533290746</v>
      </c>
    </row>
    <row r="1073" spans="26:26" x14ac:dyDescent="0.25">
      <c r="Z1073">
        <v>372414.07015751366</v>
      </c>
    </row>
    <row r="1074" spans="26:26" x14ac:dyDescent="0.25">
      <c r="Z1074">
        <v>372482.86300001363</v>
      </c>
    </row>
    <row r="1075" spans="26:26" x14ac:dyDescent="0.25">
      <c r="Z1075">
        <v>372551.48428929038</v>
      </c>
    </row>
    <row r="1076" spans="26:26" x14ac:dyDescent="0.25">
      <c r="Z1076">
        <v>372619.93445315753</v>
      </c>
    </row>
    <row r="1077" spans="26:26" x14ac:dyDescent="0.25">
      <c r="Z1077">
        <v>372688.21391836164</v>
      </c>
    </row>
    <row r="1078" spans="26:26" x14ac:dyDescent="0.25">
      <c r="Z1078">
        <v>372756.32311058516</v>
      </c>
    </row>
    <row r="1079" spans="26:26" x14ac:dyDescent="0.25">
      <c r="Z1079">
        <v>372824.26245444902</v>
      </c>
    </row>
    <row r="1080" spans="26:26" x14ac:dyDescent="0.25">
      <c r="Z1080">
        <v>372892.03237351525</v>
      </c>
    </row>
    <row r="1081" spans="26:26" x14ac:dyDescent="0.25">
      <c r="Z1081">
        <v>372959.63329028955</v>
      </c>
    </row>
    <row r="1082" spans="26:26" x14ac:dyDescent="0.25">
      <c r="Z1082">
        <v>373027.06562622398</v>
      </c>
    </row>
    <row r="1083" spans="26:26" x14ac:dyDescent="0.25">
      <c r="Z1083">
        <v>373094.32980171964</v>
      </c>
    </row>
    <row r="1084" spans="26:26" x14ac:dyDescent="0.25">
      <c r="Z1084">
        <v>373161.42623612931</v>
      </c>
    </row>
    <row r="1085" spans="26:26" x14ac:dyDescent="0.25">
      <c r="Z1085">
        <v>373228.35534775996</v>
      </c>
    </row>
    <row r="1086" spans="26:26" x14ac:dyDescent="0.25">
      <c r="Z1086">
        <v>373295.11755387526</v>
      </c>
    </row>
    <row r="1087" spans="26:26" x14ac:dyDescent="0.25">
      <c r="Z1087">
        <v>373361.71327069844</v>
      </c>
    </row>
    <row r="1088" spans="26:26" x14ac:dyDescent="0.25">
      <c r="Z1088">
        <v>373428.14291341498</v>
      </c>
    </row>
    <row r="1089" spans="26:26" x14ac:dyDescent="0.25">
      <c r="Z1089">
        <v>373494.40689617454</v>
      </c>
    </row>
    <row r="1090" spans="26:26" x14ac:dyDescent="0.25">
      <c r="Z1090">
        <v>373560.50563209428</v>
      </c>
    </row>
    <row r="1091" spans="26:26" x14ac:dyDescent="0.25">
      <c r="Z1091">
        <v>373626.43953326112</v>
      </c>
    </row>
    <row r="1092" spans="26:26" x14ac:dyDescent="0.25">
      <c r="Z1092">
        <v>373692.20901073428</v>
      </c>
    </row>
    <row r="1093" spans="26:26" x14ac:dyDescent="0.25">
      <c r="Z1093">
        <v>373757.81447454792</v>
      </c>
    </row>
    <row r="1094" spans="26:26" x14ac:dyDescent="0.25">
      <c r="Z1094">
        <v>373823.25633371365</v>
      </c>
    </row>
    <row r="1095" spans="26:26" x14ac:dyDescent="0.25">
      <c r="Z1095">
        <v>373888.53499622305</v>
      </c>
    </row>
    <row r="1096" spans="26:26" x14ac:dyDescent="0.25">
      <c r="Z1096">
        <v>373953.65086905041</v>
      </c>
    </row>
    <row r="1097" spans="26:26" x14ac:dyDescent="0.25">
      <c r="Z1097">
        <v>374018.60435815499</v>
      </c>
    </row>
    <row r="1098" spans="26:26" x14ac:dyDescent="0.25">
      <c r="Z1098">
        <v>374083.39586848381</v>
      </c>
    </row>
    <row r="1099" spans="26:26" x14ac:dyDescent="0.25">
      <c r="Z1099">
        <v>374148.0258039739</v>
      </c>
    </row>
    <row r="1100" spans="26:26" x14ac:dyDescent="0.25">
      <c r="Z1100">
        <v>374212.49456755503</v>
      </c>
    </row>
    <row r="1101" spans="26:26" x14ac:dyDescent="0.25">
      <c r="Z1101">
        <v>374276.80256115214</v>
      </c>
    </row>
    <row r="1102" spans="26:26" x14ac:dyDescent="0.25">
      <c r="Z1102">
        <v>374340.95018568792</v>
      </c>
    </row>
    <row r="1103" spans="26:26" x14ac:dyDescent="0.25">
      <c r="Z1103">
        <v>374404.93784108519</v>
      </c>
    </row>
    <row r="1104" spans="26:26" x14ac:dyDescent="0.25">
      <c r="Z1104">
        <v>374468.76592626952</v>
      </c>
    </row>
    <row r="1105" spans="26:26" x14ac:dyDescent="0.25">
      <c r="Z1105">
        <v>374532.43483917159</v>
      </c>
    </row>
    <row r="1106" spans="26:26" x14ac:dyDescent="0.25">
      <c r="Z1106">
        <v>374595.94497672981</v>
      </c>
    </row>
    <row r="1107" spans="26:26" x14ac:dyDescent="0.25">
      <c r="Z1107">
        <v>374659.29673489253</v>
      </c>
    </row>
    <row r="1108" spans="26:26" x14ac:dyDescent="0.25">
      <c r="Z1108">
        <v>374722.49050862098</v>
      </c>
    </row>
    <row r="1109" spans="26:26" x14ac:dyDescent="0.25">
      <c r="Z1109">
        <v>374785.52669189125</v>
      </c>
    </row>
    <row r="1110" spans="26:26" x14ac:dyDescent="0.25">
      <c r="Z1110">
        <v>374848.40567769704</v>
      </c>
    </row>
    <row r="1111" spans="26:26" x14ac:dyDescent="0.25">
      <c r="Z1111">
        <v>374911.12785805191</v>
      </c>
    </row>
    <row r="1112" spans="26:26" x14ac:dyDescent="0.25">
      <c r="Z1112">
        <v>374973.69362399192</v>
      </c>
    </row>
    <row r="1113" spans="26:26" x14ac:dyDescent="0.25">
      <c r="Z1113">
        <v>375036.10336557793</v>
      </c>
    </row>
    <row r="1114" spans="26:26" x14ac:dyDescent="0.25">
      <c r="Z1114">
        <v>375098.3574718982</v>
      </c>
    </row>
    <row r="1115" spans="26:26" x14ac:dyDescent="0.25">
      <c r="Z1115">
        <v>375160.45633107051</v>
      </c>
    </row>
    <row r="1116" spans="26:26" x14ac:dyDescent="0.25">
      <c r="Z1116">
        <v>375222.40033024491</v>
      </c>
    </row>
    <row r="1117" spans="26:26" x14ac:dyDescent="0.25">
      <c r="Z1117">
        <v>375284.18985560589</v>
      </c>
    </row>
    <row r="1118" spans="26:26" x14ac:dyDescent="0.25">
      <c r="Z1118">
        <v>375345.82529237494</v>
      </c>
    </row>
    <row r="1119" spans="26:26" x14ac:dyDescent="0.25">
      <c r="Z1119">
        <v>375407.30702481291</v>
      </c>
    </row>
    <row r="1120" spans="26:26" x14ac:dyDescent="0.25">
      <c r="Z1120">
        <v>375468.63543622236</v>
      </c>
    </row>
    <row r="1121" spans="26:26" x14ac:dyDescent="0.25">
      <c r="Z1121">
        <v>375529.81090894999</v>
      </c>
    </row>
    <row r="1122" spans="26:26" x14ac:dyDescent="0.25">
      <c r="Z1122">
        <v>375590.83382438897</v>
      </c>
    </row>
    <row r="1123" spans="26:26" x14ac:dyDescent="0.25">
      <c r="Z1123">
        <v>375651.70456298155</v>
      </c>
    </row>
    <row r="1124" spans="26:26" x14ac:dyDescent="0.25">
      <c r="Z1124">
        <v>375712.42350422102</v>
      </c>
    </row>
    <row r="1125" spans="26:26" x14ac:dyDescent="0.25">
      <c r="Z1125">
        <v>375772.99102665437</v>
      </c>
    </row>
    <row r="1126" spans="26:26" x14ac:dyDescent="0.25">
      <c r="Z1126">
        <v>375833.40750788467</v>
      </c>
    </row>
    <row r="1127" spans="26:26" x14ac:dyDescent="0.25">
      <c r="Z1127">
        <v>375893.6733245732</v>
      </c>
    </row>
    <row r="1128" spans="26:26" x14ac:dyDescent="0.25">
      <c r="Z1128">
        <v>375953.78885244206</v>
      </c>
    </row>
    <row r="1129" spans="26:26" x14ac:dyDescent="0.25">
      <c r="Z1129">
        <v>376013.75446627638</v>
      </c>
    </row>
    <row r="1130" spans="26:26" x14ac:dyDescent="0.25">
      <c r="Z1130">
        <v>376073.57053992659</v>
      </c>
    </row>
    <row r="1131" spans="26:26" x14ac:dyDescent="0.25">
      <c r="Z1131">
        <v>376133.23744631081</v>
      </c>
    </row>
    <row r="1132" spans="26:26" x14ac:dyDescent="0.25">
      <c r="Z1132">
        <v>376192.75555741729</v>
      </c>
    </row>
    <row r="1133" spans="26:26" x14ac:dyDescent="0.25">
      <c r="Z1133">
        <v>376252.12524430652</v>
      </c>
    </row>
    <row r="1134" spans="26:26" x14ac:dyDescent="0.25">
      <c r="Z1134">
        <v>376311.34687711374</v>
      </c>
    </row>
    <row r="1135" spans="26:26" x14ac:dyDescent="0.25">
      <c r="Z1135">
        <v>376370.42082505114</v>
      </c>
    </row>
    <row r="1136" spans="26:26" x14ac:dyDescent="0.25">
      <c r="Z1136">
        <v>376429.34745641006</v>
      </c>
    </row>
    <row r="1137" spans="26:26" x14ac:dyDescent="0.25">
      <c r="Z1137">
        <v>376488.12713856361</v>
      </c>
    </row>
    <row r="1138" spans="26:26" x14ac:dyDescent="0.25">
      <c r="Z1138">
        <v>376546.7602379687</v>
      </c>
    </row>
    <row r="1139" spans="26:26" x14ac:dyDescent="0.25">
      <c r="Z1139">
        <v>376605.24712016829</v>
      </c>
    </row>
    <row r="1140" spans="26:26" x14ac:dyDescent="0.25">
      <c r="Z1140">
        <v>376663.5881497938</v>
      </c>
    </row>
    <row r="1141" spans="26:26" x14ac:dyDescent="0.25">
      <c r="Z1141">
        <v>376721.78369056742</v>
      </c>
    </row>
    <row r="1142" spans="26:26" x14ac:dyDescent="0.25">
      <c r="Z1142">
        <v>376779.83410530415</v>
      </c>
    </row>
    <row r="1143" spans="26:26" x14ac:dyDescent="0.25">
      <c r="Z1143">
        <v>376837.73975591431</v>
      </c>
    </row>
    <row r="1144" spans="26:26" x14ac:dyDescent="0.25">
      <c r="Z1144">
        <v>376895.50100340584</v>
      </c>
    </row>
    <row r="1145" spans="26:26" x14ac:dyDescent="0.25">
      <c r="Z1145">
        <v>376953.11820788617</v>
      </c>
    </row>
    <row r="1146" spans="26:26" x14ac:dyDescent="0.25">
      <c r="Z1146">
        <v>377010.5917285647</v>
      </c>
    </row>
    <row r="1147" spans="26:26" x14ac:dyDescent="0.25">
      <c r="Z1147">
        <v>377067.92192375532</v>
      </c>
    </row>
    <row r="1148" spans="26:26" x14ac:dyDescent="0.25">
      <c r="Z1148">
        <v>377125.10915087815</v>
      </c>
    </row>
    <row r="1149" spans="26:26" x14ac:dyDescent="0.25">
      <c r="Z1149">
        <v>377182.15376646194</v>
      </c>
    </row>
    <row r="1150" spans="26:26" x14ac:dyDescent="0.25">
      <c r="Z1150">
        <v>377239.05612614664</v>
      </c>
    </row>
    <row r="1151" spans="26:26" x14ac:dyDescent="0.25">
      <c r="Z1151">
        <v>377295.81658468489</v>
      </c>
    </row>
    <row r="1152" spans="26:26" x14ac:dyDescent="0.25">
      <c r="Z1152">
        <v>377352.43549594498</v>
      </c>
    </row>
    <row r="1153" spans="26:26" x14ac:dyDescent="0.25">
      <c r="Z1153">
        <v>377408.9132129128</v>
      </c>
    </row>
    <row r="1154" spans="26:26" x14ac:dyDescent="0.25">
      <c r="Z1154">
        <v>377465.25008769351</v>
      </c>
    </row>
    <row r="1155" spans="26:26" x14ac:dyDescent="0.25">
      <c r="Z1155">
        <v>377521.4464715147</v>
      </c>
    </row>
    <row r="1156" spans="26:26" x14ac:dyDescent="0.25">
      <c r="Z1156">
        <v>377577.50271472789</v>
      </c>
    </row>
    <row r="1157" spans="26:26" x14ac:dyDescent="0.25">
      <c r="Z1157">
        <v>377633.41916681087</v>
      </c>
    </row>
    <row r="1158" spans="26:26" x14ac:dyDescent="0.25">
      <c r="Z1158">
        <v>377689.19617636991</v>
      </c>
    </row>
    <row r="1159" spans="26:26" x14ac:dyDescent="0.25">
      <c r="Z1159">
        <v>377744.83409114211</v>
      </c>
    </row>
    <row r="1160" spans="26:26" x14ac:dyDescent="0.25">
      <c r="Z1160">
        <v>377800.33325799706</v>
      </c>
    </row>
    <row r="1161" spans="26:26" x14ac:dyDescent="0.25">
      <c r="Z1161">
        <v>377855.69402293977</v>
      </c>
    </row>
    <row r="1162" spans="26:26" x14ac:dyDescent="0.25">
      <c r="Z1162">
        <v>377910.91673111194</v>
      </c>
    </row>
    <row r="1163" spans="26:26" x14ac:dyDescent="0.25">
      <c r="Z1163">
        <v>377966.00172679499</v>
      </c>
    </row>
    <row r="1164" spans="26:26" x14ac:dyDescent="0.25">
      <c r="Z1164">
        <v>378020.94935341144</v>
      </c>
    </row>
    <row r="1165" spans="26:26" x14ac:dyDescent="0.25">
      <c r="Z1165">
        <v>378075.75995352759</v>
      </c>
    </row>
    <row r="1166" spans="26:26" x14ac:dyDescent="0.25">
      <c r="Z1166">
        <v>378130.43386885553</v>
      </c>
    </row>
    <row r="1167" spans="26:26" x14ac:dyDescent="0.25">
      <c r="Z1167">
        <v>378184.97144025489</v>
      </c>
    </row>
    <row r="1168" spans="26:26" x14ac:dyDescent="0.25">
      <c r="Z1168">
        <v>378239.37300773547</v>
      </c>
    </row>
    <row r="1169" spans="26:26" x14ac:dyDescent="0.25">
      <c r="Z1169">
        <v>378293.63891045935</v>
      </c>
    </row>
    <row r="1170" spans="26:26" x14ac:dyDescent="0.25">
      <c r="Z1170">
        <v>378347.7694867425</v>
      </c>
    </row>
    <row r="1171" spans="26:26" x14ac:dyDescent="0.25">
      <c r="Z1171">
        <v>378401.76507405739</v>
      </c>
    </row>
    <row r="1172" spans="26:26" x14ac:dyDescent="0.25">
      <c r="Z1172">
        <v>378455.62600903475</v>
      </c>
    </row>
    <row r="1173" spans="26:26" x14ac:dyDescent="0.25">
      <c r="Z1173">
        <v>378509.35262746608</v>
      </c>
    </row>
    <row r="1174" spans="26:26" x14ac:dyDescent="0.25">
      <c r="Z1174">
        <v>378562.94526430534</v>
      </c>
    </row>
    <row r="1175" spans="26:26" x14ac:dyDescent="0.25">
      <c r="Z1175">
        <v>378616.40425367118</v>
      </c>
    </row>
    <row r="1176" spans="26:26" x14ac:dyDescent="0.25">
      <c r="Z1176">
        <v>378669.72992884903</v>
      </c>
    </row>
    <row r="1177" spans="26:26" x14ac:dyDescent="0.25">
      <c r="Z1177">
        <v>378722.92262229335</v>
      </c>
    </row>
    <row r="1178" spans="26:26" x14ac:dyDescent="0.25">
      <c r="Z1178">
        <v>378775.98266562924</v>
      </c>
    </row>
    <row r="1179" spans="26:26" x14ac:dyDescent="0.25">
      <c r="Z1179">
        <v>378828.9103896551</v>
      </c>
    </row>
    <row r="1180" spans="26:26" x14ac:dyDescent="0.25">
      <c r="Z1180">
        <v>378881.7061243442</v>
      </c>
    </row>
    <row r="1181" spans="26:26" x14ac:dyDescent="0.25">
      <c r="Z1181">
        <v>378934.37019884709</v>
      </c>
    </row>
    <row r="1182" spans="26:26" x14ac:dyDescent="0.25">
      <c r="Z1182">
        <v>378986.90294149343</v>
      </c>
    </row>
    <row r="1183" spans="26:26" x14ac:dyDescent="0.25">
      <c r="Z1183">
        <v>379039.30467979389</v>
      </c>
    </row>
    <row r="1184" spans="26:26" x14ac:dyDescent="0.25">
      <c r="Z1184">
        <v>379091.57574044273</v>
      </c>
    </row>
    <row r="1185" spans="26:26" x14ac:dyDescent="0.25">
      <c r="Z1185">
        <v>379143.7164493195</v>
      </c>
    </row>
    <row r="1186" spans="26:26" x14ac:dyDescent="0.25">
      <c r="Z1186">
        <v>379195.72713149071</v>
      </c>
    </row>
    <row r="1187" spans="26:26" x14ac:dyDescent="0.25">
      <c r="Z1187">
        <v>379247.60811121273</v>
      </c>
    </row>
    <row r="1188" spans="26:26" x14ac:dyDescent="0.25">
      <c r="Z1188">
        <v>379299.35971193283</v>
      </c>
    </row>
    <row r="1189" spans="26:26" x14ac:dyDescent="0.25">
      <c r="Z1189">
        <v>379350.98225629219</v>
      </c>
    </row>
    <row r="1190" spans="26:26" x14ac:dyDescent="0.25">
      <c r="Z1190">
        <v>379402.47606612684</v>
      </c>
    </row>
    <row r="1191" spans="26:26" x14ac:dyDescent="0.25">
      <c r="Z1191">
        <v>379453.84146247065</v>
      </c>
    </row>
    <row r="1192" spans="26:26" x14ac:dyDescent="0.25">
      <c r="Z1192">
        <v>379505.07876555674</v>
      </c>
    </row>
    <row r="1193" spans="26:26" x14ac:dyDescent="0.25">
      <c r="Z1193">
        <v>379556.18829481973</v>
      </c>
    </row>
    <row r="1194" spans="26:26" x14ac:dyDescent="0.25">
      <c r="Z1194">
        <v>379607.17036889744</v>
      </c>
    </row>
    <row r="1195" spans="26:26" x14ac:dyDescent="0.25">
      <c r="Z1195">
        <v>379658.02530563337</v>
      </c>
    </row>
    <row r="1196" spans="26:26" x14ac:dyDescent="0.25">
      <c r="Z1196">
        <v>379708.75342207815</v>
      </c>
    </row>
    <row r="1197" spans="26:26" x14ac:dyDescent="0.25">
      <c r="Z1197">
        <v>379759.35503449198</v>
      </c>
    </row>
    <row r="1198" spans="26:26" x14ac:dyDescent="0.25">
      <c r="Z1198">
        <v>379809.83045834611</v>
      </c>
    </row>
    <row r="1199" spans="26:26" x14ac:dyDescent="0.25">
      <c r="Z1199">
        <v>379860.18000832526</v>
      </c>
    </row>
    <row r="1200" spans="26:26" x14ac:dyDescent="0.25">
      <c r="Z1200">
        <v>379910.40399832942</v>
      </c>
    </row>
    <row r="1201" spans="26:26" x14ac:dyDescent="0.25">
      <c r="Z1201">
        <v>379960.50274147576</v>
      </c>
    </row>
    <row r="1202" spans="26:26" x14ac:dyDescent="0.25">
      <c r="Z1202">
        <v>380010.47655010049</v>
      </c>
    </row>
    <row r="1203" spans="26:26" x14ac:dyDescent="0.25">
      <c r="Z1203">
        <v>380060.32573576109</v>
      </c>
    </row>
    <row r="1204" spans="26:26" x14ac:dyDescent="0.25">
      <c r="Z1204">
        <v>380110.05060923804</v>
      </c>
    </row>
    <row r="1205" spans="26:26" x14ac:dyDescent="0.25">
      <c r="Z1205">
        <v>380159.65148053668</v>
      </c>
    </row>
    <row r="1206" spans="26:26" x14ac:dyDescent="0.25">
      <c r="Z1206">
        <v>380209.12865888944</v>
      </c>
    </row>
    <row r="1207" spans="26:26" x14ac:dyDescent="0.25">
      <c r="Z1207">
        <v>380258.48245275754</v>
      </c>
    </row>
    <row r="1208" spans="26:26" x14ac:dyDescent="0.25">
      <c r="Z1208">
        <v>380307.71316983295</v>
      </c>
    </row>
    <row r="1209" spans="26:26" x14ac:dyDescent="0.25">
      <c r="Z1209">
        <v>380356.82111704035</v>
      </c>
    </row>
    <row r="1210" spans="26:26" x14ac:dyDescent="0.25">
      <c r="Z1210">
        <v>380405.80660053901</v>
      </c>
    </row>
    <row r="1211" spans="26:26" x14ac:dyDescent="0.25">
      <c r="Z1211">
        <v>380454.66992572468</v>
      </c>
    </row>
    <row r="1212" spans="26:26" x14ac:dyDescent="0.25">
      <c r="Z1212">
        <v>380503.41139723157</v>
      </c>
    </row>
    <row r="1213" spans="26:26" x14ac:dyDescent="0.25">
      <c r="Z1213">
        <v>380552.03131893429</v>
      </c>
    </row>
    <row r="1214" spans="26:26" x14ac:dyDescent="0.25">
      <c r="Z1214">
        <v>380600.5299939494</v>
      </c>
    </row>
    <row r="1215" spans="26:26" x14ac:dyDescent="0.25">
      <c r="Z1215">
        <v>380648.90772463783</v>
      </c>
    </row>
    <row r="1216" spans="26:26" x14ac:dyDescent="0.25">
      <c r="Z1216">
        <v>380697.16481260629</v>
      </c>
    </row>
    <row r="1217" spans="26:26" x14ac:dyDescent="0.25">
      <c r="Z1217">
        <v>380745.30155870953</v>
      </c>
    </row>
    <row r="1218" spans="26:26" x14ac:dyDescent="0.25">
      <c r="Z1218">
        <v>380793.31826305186</v>
      </c>
    </row>
    <row r="1219" spans="26:26" x14ac:dyDescent="0.25">
      <c r="Z1219">
        <v>380841.2152249894</v>
      </c>
    </row>
    <row r="1220" spans="26:26" x14ac:dyDescent="0.25">
      <c r="Z1220">
        <v>380888.99274313159</v>
      </c>
    </row>
    <row r="1221" spans="26:26" x14ac:dyDescent="0.25">
      <c r="Z1221">
        <v>380936.65111534321</v>
      </c>
    </row>
    <row r="1222" spans="26:26" x14ac:dyDescent="0.25">
      <c r="Z1222">
        <v>380984.19063874637</v>
      </c>
    </row>
    <row r="1223" spans="26:26" x14ac:dyDescent="0.25">
      <c r="Z1223">
        <v>381031.61160972202</v>
      </c>
    </row>
    <row r="1224" spans="26:26" x14ac:dyDescent="0.25">
      <c r="Z1224">
        <v>381078.91432391223</v>
      </c>
    </row>
    <row r="1225" spans="26:26" x14ac:dyDescent="0.25">
      <c r="Z1225">
        <v>381126.0990762217</v>
      </c>
    </row>
    <row r="1226" spans="26:26" x14ac:dyDescent="0.25">
      <c r="Z1226">
        <v>381173.16616081964</v>
      </c>
    </row>
    <row r="1227" spans="26:26" x14ac:dyDescent="0.25">
      <c r="Z1227">
        <v>381220.11587114178</v>
      </c>
    </row>
    <row r="1228" spans="26:26" x14ac:dyDescent="0.25">
      <c r="Z1228">
        <v>381266.94849989208</v>
      </c>
    </row>
    <row r="1229" spans="26:26" x14ac:dyDescent="0.25">
      <c r="Z1229">
        <v>381313.66433904442</v>
      </c>
    </row>
    <row r="1230" spans="26:26" x14ac:dyDescent="0.25">
      <c r="Z1230">
        <v>381360.26367984485</v>
      </c>
    </row>
    <row r="1231" spans="26:26" x14ac:dyDescent="0.25">
      <c r="Z1231">
        <v>381406.74681281281</v>
      </c>
    </row>
    <row r="1232" spans="26:26" x14ac:dyDescent="0.25">
      <c r="Z1232">
        <v>381453.11402774346</v>
      </c>
    </row>
    <row r="1233" spans="26:26" x14ac:dyDescent="0.25">
      <c r="Z1233">
        <v>381499.3656137092</v>
      </c>
    </row>
    <row r="1234" spans="26:26" x14ac:dyDescent="0.25">
      <c r="Z1234">
        <v>381545.50185906154</v>
      </c>
    </row>
    <row r="1235" spans="26:26" x14ac:dyDescent="0.25">
      <c r="Z1235">
        <v>381591.52305143292</v>
      </c>
    </row>
    <row r="1236" spans="26:26" x14ac:dyDescent="0.25">
      <c r="Z1236">
        <v>381637.42947773862</v>
      </c>
    </row>
    <row r="1237" spans="26:26" x14ac:dyDescent="0.25">
      <c r="Z1237">
        <v>381683.22142417816</v>
      </c>
    </row>
    <row r="1238" spans="26:26" x14ac:dyDescent="0.25">
      <c r="Z1238">
        <v>381728.89917623758</v>
      </c>
    </row>
    <row r="1239" spans="26:26" x14ac:dyDescent="0.25">
      <c r="Z1239">
        <v>381774.46301869082</v>
      </c>
    </row>
    <row r="1240" spans="26:26" x14ac:dyDescent="0.25">
      <c r="Z1240">
        <v>381819.91323560185</v>
      </c>
    </row>
    <row r="1241" spans="26:26" x14ac:dyDescent="0.25">
      <c r="Z1241">
        <v>381865.25011032604</v>
      </c>
    </row>
    <row r="1242" spans="26:26" x14ac:dyDescent="0.25">
      <c r="Z1242">
        <v>381910.47392551223</v>
      </c>
    </row>
    <row r="1243" spans="26:26" x14ac:dyDescent="0.25">
      <c r="Z1243">
        <v>381955.58496310451</v>
      </c>
    </row>
    <row r="1244" spans="26:26" x14ac:dyDescent="0.25">
      <c r="Z1244">
        <v>382000.58350434364</v>
      </c>
    </row>
    <row r="1245" spans="26:26" x14ac:dyDescent="0.25">
      <c r="Z1245">
        <v>382045.46982976916</v>
      </c>
    </row>
    <row r="1246" spans="26:26" x14ac:dyDescent="0.25">
      <c r="Z1246">
        <v>382090.24421922112</v>
      </c>
    </row>
    <row r="1247" spans="26:26" x14ac:dyDescent="0.25">
      <c r="Z1247">
        <v>382134.90695184149</v>
      </c>
    </row>
    <row r="1248" spans="26:26" x14ac:dyDescent="0.25">
      <c r="Z1248">
        <v>382179.4583060763</v>
      </c>
    </row>
    <row r="1249" spans="26:26" x14ac:dyDescent="0.25">
      <c r="Z1249">
        <v>382223.89855967712</v>
      </c>
    </row>
    <row r="1250" spans="26:26" x14ac:dyDescent="0.25">
      <c r="Z1250">
        <v>382268.22798970289</v>
      </c>
    </row>
    <row r="1251" spans="26:26" x14ac:dyDescent="0.25">
      <c r="Z1251">
        <v>382312.4468725216</v>
      </c>
    </row>
    <row r="1252" spans="26:26" x14ac:dyDescent="0.25">
      <c r="Z1252">
        <v>382356.55548381206</v>
      </c>
    </row>
    <row r="1253" spans="26:26" x14ac:dyDescent="0.25">
      <c r="Z1253">
        <v>382400.55409856566</v>
      </c>
    </row>
    <row r="1254" spans="26:26" x14ac:dyDescent="0.25">
      <c r="Z1254">
        <v>382444.44299108791</v>
      </c>
    </row>
    <row r="1255" spans="26:26" x14ac:dyDescent="0.25">
      <c r="Z1255">
        <v>382488.22243500041</v>
      </c>
    </row>
    <row r="1256" spans="26:26" x14ac:dyDescent="0.25">
      <c r="Z1256">
        <v>382531.89270324225</v>
      </c>
    </row>
    <row r="1257" spans="26:26" x14ac:dyDescent="0.25">
      <c r="Z1257">
        <v>382575.45406807214</v>
      </c>
    </row>
    <row r="1258" spans="26:26" x14ac:dyDescent="0.25">
      <c r="Z1258">
        <v>382618.9068010695</v>
      </c>
    </row>
    <row r="1259" spans="26:26" x14ac:dyDescent="0.25">
      <c r="Z1259">
        <v>382662.25117313658</v>
      </c>
    </row>
    <row r="1260" spans="26:26" x14ac:dyDescent="0.25">
      <c r="Z1260">
        <v>382705.48745450034</v>
      </c>
    </row>
    <row r="1261" spans="26:26" x14ac:dyDescent="0.25">
      <c r="Z1261">
        <v>382748.61591471359</v>
      </c>
    </row>
    <row r="1262" spans="26:26" x14ac:dyDescent="0.25">
      <c r="Z1262">
        <v>382791.6368226569</v>
      </c>
    </row>
    <row r="1263" spans="26:26" x14ac:dyDescent="0.25">
      <c r="Z1263">
        <v>382834.55044654052</v>
      </c>
    </row>
    <row r="1264" spans="26:26" x14ac:dyDescent="0.25">
      <c r="Z1264">
        <v>382877.35705390584</v>
      </c>
    </row>
    <row r="1265" spans="26:26" x14ac:dyDescent="0.25">
      <c r="Z1265">
        <v>382920.05691162677</v>
      </c>
    </row>
    <row r="1266" spans="26:26" x14ac:dyDescent="0.25">
      <c r="Z1266">
        <v>382962.65028591192</v>
      </c>
    </row>
    <row r="1267" spans="26:26" x14ac:dyDescent="0.25">
      <c r="Z1267">
        <v>383005.13744230621</v>
      </c>
    </row>
    <row r="1268" spans="26:26" x14ac:dyDescent="0.25">
      <c r="Z1268">
        <v>383047.51864569192</v>
      </c>
    </row>
    <row r="1269" spans="26:26" x14ac:dyDescent="0.25">
      <c r="Z1269">
        <v>383089.7941602912</v>
      </c>
    </row>
    <row r="1270" spans="26:26" x14ac:dyDescent="0.25">
      <c r="Z1270">
        <v>383131.96424966707</v>
      </c>
    </row>
    <row r="1271" spans="26:26" x14ac:dyDescent="0.25">
      <c r="Z1271">
        <v>383174.02917672525</v>
      </c>
    </row>
    <row r="1272" spans="26:26" x14ac:dyDescent="0.25">
      <c r="Z1272">
        <v>383215.98920371593</v>
      </c>
    </row>
    <row r="1273" spans="26:26" x14ac:dyDescent="0.25">
      <c r="Z1273">
        <v>383257.84459223534</v>
      </c>
    </row>
    <row r="1274" spans="26:26" x14ac:dyDescent="0.25">
      <c r="Z1274">
        <v>383299.59560322727</v>
      </c>
    </row>
    <row r="1275" spans="26:26" x14ac:dyDescent="0.25">
      <c r="Z1275">
        <v>383341.24249698484</v>
      </c>
    </row>
    <row r="1276" spans="26:26" x14ac:dyDescent="0.25">
      <c r="Z1276">
        <v>383382.785533152</v>
      </c>
    </row>
    <row r="1277" spans="26:26" x14ac:dyDescent="0.25">
      <c r="Z1277">
        <v>383424.22497072513</v>
      </c>
    </row>
    <row r="1278" spans="26:26" x14ac:dyDescent="0.25">
      <c r="Z1278">
        <v>383465.56106805499</v>
      </c>
    </row>
    <row r="1279" spans="26:26" x14ac:dyDescent="0.25">
      <c r="Z1279">
        <v>383506.79408284783</v>
      </c>
    </row>
    <row r="1280" spans="26:26" x14ac:dyDescent="0.25">
      <c r="Z1280">
        <v>383547.9242721675</v>
      </c>
    </row>
    <row r="1281" spans="26:26" x14ac:dyDescent="0.25">
      <c r="Z1281">
        <v>383588.95189243637</v>
      </c>
    </row>
    <row r="1282" spans="26:26" x14ac:dyDescent="0.25">
      <c r="Z1282">
        <v>383629.87719943782</v>
      </c>
    </row>
    <row r="1283" spans="26:26" x14ac:dyDescent="0.25">
      <c r="Z1283">
        <v>383670.70044831699</v>
      </c>
    </row>
    <row r="1284" spans="26:26" x14ac:dyDescent="0.25">
      <c r="Z1284">
        <v>383711.42189358303</v>
      </c>
    </row>
    <row r="1285" spans="26:26" x14ac:dyDescent="0.25">
      <c r="Z1285">
        <v>383752.04178911023</v>
      </c>
    </row>
    <row r="1286" spans="26:26" x14ac:dyDescent="0.25">
      <c r="Z1286">
        <v>383792.56038813986</v>
      </c>
    </row>
    <row r="1287" spans="26:26" x14ac:dyDescent="0.25">
      <c r="Z1287">
        <v>383832.9779432817</v>
      </c>
    </row>
    <row r="1288" spans="26:26" x14ac:dyDescent="0.25">
      <c r="Z1288">
        <v>383873.29470651539</v>
      </c>
    </row>
    <row r="1289" spans="26:26" x14ac:dyDescent="0.25">
      <c r="Z1289">
        <v>383913.51092919242</v>
      </c>
    </row>
    <row r="1290" spans="26:26" x14ac:dyDescent="0.25">
      <c r="Z1290">
        <v>383953.62686203734</v>
      </c>
    </row>
    <row r="1291" spans="26:26" x14ac:dyDescent="0.25">
      <c r="Z1291">
        <v>383993.64275514946</v>
      </c>
    </row>
    <row r="1292" spans="26:26" x14ac:dyDescent="0.25">
      <c r="Z1292">
        <v>384033.5588580044</v>
      </c>
    </row>
    <row r="1293" spans="26:26" x14ac:dyDescent="0.25">
      <c r="Z1293">
        <v>384073.37541945581</v>
      </c>
    </row>
    <row r="1294" spans="26:26" x14ac:dyDescent="0.25">
      <c r="Z1294">
        <v>384113.0926877365</v>
      </c>
    </row>
    <row r="1295" spans="26:26" x14ac:dyDescent="0.25">
      <c r="Z1295">
        <v>384152.71091046033</v>
      </c>
    </row>
    <row r="1296" spans="26:26" x14ac:dyDescent="0.25">
      <c r="Z1296">
        <v>384192.23033462372</v>
      </c>
    </row>
    <row r="1297" spans="26:26" x14ac:dyDescent="0.25">
      <c r="Z1297">
        <v>384231.65120660723</v>
      </c>
    </row>
    <row r="1298" spans="26:26" x14ac:dyDescent="0.25">
      <c r="Z1298">
        <v>384270.97377217677</v>
      </c>
    </row>
    <row r="1299" spans="26:26" x14ac:dyDescent="0.25">
      <c r="Z1299">
        <v>384310.19827648555</v>
      </c>
    </row>
    <row r="1300" spans="26:26" x14ac:dyDescent="0.25">
      <c r="Z1300">
        <v>384349.32496407535</v>
      </c>
    </row>
    <row r="1301" spans="26:26" x14ac:dyDescent="0.25">
      <c r="Z1301">
        <v>384388.35407887818</v>
      </c>
    </row>
    <row r="1302" spans="26:26" x14ac:dyDescent="0.25">
      <c r="Z1302">
        <v>384427.28586421767</v>
      </c>
    </row>
    <row r="1303" spans="26:26" x14ac:dyDescent="0.25">
      <c r="Z1303">
        <v>384466.12056281057</v>
      </c>
    </row>
    <row r="1304" spans="26:26" x14ac:dyDescent="0.25">
      <c r="Z1304">
        <v>384504.85841676866</v>
      </c>
    </row>
    <row r="1305" spans="26:26" x14ac:dyDescent="0.25">
      <c r="Z1305">
        <v>384543.49966759968</v>
      </c>
    </row>
    <row r="1306" spans="26:26" x14ac:dyDescent="0.25">
      <c r="Z1306">
        <v>384582.04455620918</v>
      </c>
    </row>
    <row r="1307" spans="26:26" x14ac:dyDescent="0.25">
      <c r="Z1307">
        <v>384620.49332290189</v>
      </c>
    </row>
    <row r="1308" spans="26:26" x14ac:dyDescent="0.25">
      <c r="Z1308">
        <v>384658.84620738344</v>
      </c>
    </row>
    <row r="1309" spans="26:26" x14ac:dyDescent="0.25">
      <c r="Z1309">
        <v>384697.10344876151</v>
      </c>
    </row>
    <row r="1310" spans="26:26" x14ac:dyDescent="0.25">
      <c r="Z1310">
        <v>384735.26528554765</v>
      </c>
    </row>
    <row r="1311" spans="26:26" x14ac:dyDescent="0.25">
      <c r="Z1311">
        <v>384773.33195565856</v>
      </c>
    </row>
    <row r="1312" spans="26:26" x14ac:dyDescent="0.25">
      <c r="Z1312">
        <v>384811.30369641748</v>
      </c>
    </row>
    <row r="1313" spans="26:26" x14ac:dyDescent="0.25">
      <c r="Z1313">
        <v>384849.18074455613</v>
      </c>
    </row>
    <row r="1314" spans="26:26" x14ac:dyDescent="0.25">
      <c r="Z1314">
        <v>384886.96333621553</v>
      </c>
    </row>
    <row r="1315" spans="26:26" x14ac:dyDescent="0.25">
      <c r="Z1315">
        <v>384924.65170694818</v>
      </c>
    </row>
    <row r="1316" spans="26:26" x14ac:dyDescent="0.25">
      <c r="Z1316">
        <v>384962.2460917189</v>
      </c>
    </row>
    <row r="1317" spans="26:26" x14ac:dyDescent="0.25">
      <c r="Z1317">
        <v>384999.74672490661</v>
      </c>
    </row>
    <row r="1318" spans="26:26" x14ac:dyDescent="0.25">
      <c r="Z1318">
        <v>385037.15384030581</v>
      </c>
    </row>
    <row r="1319" spans="26:26" x14ac:dyDescent="0.25">
      <c r="Z1319">
        <v>385074.46767112805</v>
      </c>
    </row>
    <row r="1320" spans="26:26" x14ac:dyDescent="0.25">
      <c r="Z1320">
        <v>385111.68845000298</v>
      </c>
    </row>
    <row r="1321" spans="26:26" x14ac:dyDescent="0.25">
      <c r="Z1321">
        <v>385148.81640898058</v>
      </c>
    </row>
    <row r="1322" spans="26:26" x14ac:dyDescent="0.25">
      <c r="Z1322">
        <v>385185.85177953175</v>
      </c>
    </row>
    <row r="1323" spans="26:26" x14ac:dyDescent="0.25">
      <c r="Z1323">
        <v>385222.79479255032</v>
      </c>
    </row>
    <row r="1324" spans="26:26" x14ac:dyDescent="0.25">
      <c r="Z1324">
        <v>385259.64567835449</v>
      </c>
    </row>
    <row r="1325" spans="26:26" x14ac:dyDescent="0.25">
      <c r="Z1325">
        <v>385296.40466668777</v>
      </c>
    </row>
    <row r="1326" spans="26:26" x14ac:dyDescent="0.25">
      <c r="Z1326">
        <v>385333.07198672096</v>
      </c>
    </row>
    <row r="1327" spans="26:26" x14ac:dyDescent="0.25">
      <c r="Z1327">
        <v>385369.64786705328</v>
      </c>
    </row>
    <row r="1328" spans="26:26" x14ac:dyDescent="0.25">
      <c r="Z1328">
        <v>385406.13253571402</v>
      </c>
    </row>
    <row r="1329" spans="26:26" x14ac:dyDescent="0.25">
      <c r="Z1329">
        <v>385442.52622016362</v>
      </c>
    </row>
    <row r="1330" spans="26:26" x14ac:dyDescent="0.25">
      <c r="Z1330">
        <v>385478.82914729539</v>
      </c>
    </row>
    <row r="1331" spans="26:26" x14ac:dyDescent="0.25">
      <c r="Z1331">
        <v>385515.04154343676</v>
      </c>
    </row>
    <row r="1332" spans="26:26" x14ac:dyDescent="0.25">
      <c r="Z1332">
        <v>385551.16363435093</v>
      </c>
    </row>
    <row r="1333" spans="26:26" x14ac:dyDescent="0.25">
      <c r="Z1333">
        <v>385587.19564523781</v>
      </c>
    </row>
    <row r="1334" spans="26:26" x14ac:dyDescent="0.25">
      <c r="Z1334">
        <v>385623.137800736</v>
      </c>
    </row>
    <row r="1335" spans="26:26" x14ac:dyDescent="0.25">
      <c r="Z1335">
        <v>385658.99032492365</v>
      </c>
    </row>
    <row r="1336" spans="26:26" x14ac:dyDescent="0.25">
      <c r="Z1336">
        <v>385694.75344132038</v>
      </c>
    </row>
    <row r="1337" spans="26:26" x14ac:dyDescent="0.25">
      <c r="Z1337">
        <v>385730.42737288814</v>
      </c>
    </row>
    <row r="1338" spans="26:26" x14ac:dyDescent="0.25">
      <c r="Z1338">
        <v>385766.01234203303</v>
      </c>
    </row>
    <row r="1339" spans="26:26" x14ac:dyDescent="0.25">
      <c r="Z1339">
        <v>385801.50857060653</v>
      </c>
    </row>
    <row r="1340" spans="26:26" x14ac:dyDescent="0.25">
      <c r="Z1340">
        <v>385836.91627990676</v>
      </c>
    </row>
    <row r="1341" spans="26:26" x14ac:dyDescent="0.25">
      <c r="Z1341">
        <v>385872.23569068004</v>
      </c>
    </row>
    <row r="1342" spans="26:26" x14ac:dyDescent="0.25">
      <c r="Z1342">
        <v>385907.46702312224</v>
      </c>
    </row>
    <row r="1343" spans="26:26" x14ac:dyDescent="0.25">
      <c r="Z1343">
        <v>385942.61049688008</v>
      </c>
    </row>
    <row r="1344" spans="26:26" x14ac:dyDescent="0.25">
      <c r="Z1344">
        <v>385977.66633105243</v>
      </c>
    </row>
    <row r="1345" spans="26:26" x14ac:dyDescent="0.25">
      <c r="Z1345">
        <v>386012.63474419189</v>
      </c>
    </row>
    <row r="1346" spans="26:26" x14ac:dyDescent="0.25">
      <c r="Z1346">
        <v>386047.51595430617</v>
      </c>
    </row>
    <row r="1347" spans="26:26" x14ac:dyDescent="0.25">
      <c r="Z1347">
        <v>386082.31017885904</v>
      </c>
    </row>
    <row r="1348" spans="26:26" x14ac:dyDescent="0.25">
      <c r="Z1348">
        <v>386117.01763477211</v>
      </c>
    </row>
    <row r="1349" spans="26:26" x14ac:dyDescent="0.25">
      <c r="Z1349">
        <v>386151.63853842602</v>
      </c>
    </row>
    <row r="1350" spans="26:26" x14ac:dyDescent="0.25">
      <c r="Z1350">
        <v>386186.17310566193</v>
      </c>
    </row>
    <row r="1351" spans="26:26" x14ac:dyDescent="0.25">
      <c r="Z1351">
        <v>386220.62155178247</v>
      </c>
    </row>
    <row r="1352" spans="26:26" x14ac:dyDescent="0.25">
      <c r="Z1352">
        <v>386254.98409155349</v>
      </c>
    </row>
    <row r="1353" spans="26:26" x14ac:dyDescent="0.25">
      <c r="Z1353">
        <v>386289.26093920553</v>
      </c>
    </row>
    <row r="1354" spans="26:26" x14ac:dyDescent="0.25">
      <c r="Z1354">
        <v>386323.45230843441</v>
      </c>
    </row>
    <row r="1355" spans="26:26" x14ac:dyDescent="0.25">
      <c r="Z1355">
        <v>386357.55841240345</v>
      </c>
    </row>
    <row r="1356" spans="26:26" x14ac:dyDescent="0.25">
      <c r="Z1356">
        <v>386391.57946374407</v>
      </c>
    </row>
    <row r="1357" spans="26:26" x14ac:dyDescent="0.25">
      <c r="Z1357">
        <v>386425.51567455771</v>
      </c>
    </row>
    <row r="1358" spans="26:26" x14ac:dyDescent="0.25">
      <c r="Z1358">
        <v>386459.36725641665</v>
      </c>
    </row>
    <row r="1359" spans="26:26" x14ac:dyDescent="0.25">
      <c r="Z1359">
        <v>386493.13442036574</v>
      </c>
    </row>
    <row r="1360" spans="26:26" x14ac:dyDescent="0.25">
      <c r="Z1360">
        <v>386526.8173769234</v>
      </c>
    </row>
    <row r="1361" spans="26:26" x14ac:dyDescent="0.25">
      <c r="Z1361">
        <v>386560.41633608326</v>
      </c>
    </row>
    <row r="1362" spans="26:26" x14ac:dyDescent="0.25">
      <c r="Z1362">
        <v>386593.9315073149</v>
      </c>
    </row>
    <row r="1363" spans="26:26" x14ac:dyDescent="0.25">
      <c r="Z1363">
        <v>386627.36309956602</v>
      </c>
    </row>
    <row r="1364" spans="26:26" x14ac:dyDescent="0.25">
      <c r="Z1364">
        <v>386660.71132126282</v>
      </c>
    </row>
    <row r="1365" spans="26:26" x14ac:dyDescent="0.25">
      <c r="Z1365">
        <v>386693.97638031206</v>
      </c>
    </row>
    <row r="1366" spans="26:26" x14ac:dyDescent="0.25">
      <c r="Z1366">
        <v>386727.15848410182</v>
      </c>
    </row>
    <row r="1367" spans="26:26" x14ac:dyDescent="0.25">
      <c r="Z1367">
        <v>386760.25783950306</v>
      </c>
    </row>
    <row r="1368" spans="26:26" x14ac:dyDescent="0.25">
      <c r="Z1368">
        <v>386793.2746528709</v>
      </c>
    </row>
    <row r="1369" spans="26:26" x14ac:dyDescent="0.25">
      <c r="Z1369">
        <v>386826.20913004573</v>
      </c>
    </row>
    <row r="1370" spans="26:26" x14ac:dyDescent="0.25">
      <c r="Z1370">
        <v>386859.06147635484</v>
      </c>
    </row>
    <row r="1371" spans="26:26" x14ac:dyDescent="0.25">
      <c r="Z1371">
        <v>386891.83189661335</v>
      </c>
    </row>
    <row r="1372" spans="26:26" x14ac:dyDescent="0.25">
      <c r="Z1372">
        <v>386924.5205951255</v>
      </c>
    </row>
    <row r="1373" spans="26:26" x14ac:dyDescent="0.25">
      <c r="Z1373">
        <v>386957.12777568627</v>
      </c>
    </row>
    <row r="1374" spans="26:26" x14ac:dyDescent="0.25">
      <c r="Z1374">
        <v>386989.65364158235</v>
      </c>
    </row>
    <row r="1375" spans="26:26" x14ac:dyDescent="0.25">
      <c r="Z1375">
        <v>387022.09839559335</v>
      </c>
    </row>
    <row r="1376" spans="26:26" x14ac:dyDescent="0.25">
      <c r="Z1376">
        <v>387054.46223999339</v>
      </c>
    </row>
    <row r="1377" spans="26:26" x14ac:dyDescent="0.25">
      <c r="Z1377">
        <v>387086.74537655199</v>
      </c>
    </row>
    <row r="1378" spans="26:26" x14ac:dyDescent="0.25">
      <c r="Z1378">
        <v>387118.94800653565</v>
      </c>
    </row>
    <row r="1379" spans="26:26" x14ac:dyDescent="0.25">
      <c r="Z1379">
        <v>387151.07033070887</v>
      </c>
    </row>
    <row r="1380" spans="26:26" x14ac:dyDescent="0.25">
      <c r="Z1380">
        <v>387183.11254933552</v>
      </c>
    </row>
    <row r="1381" spans="26:26" x14ac:dyDescent="0.25">
      <c r="Z1381">
        <v>387215.0748621801</v>
      </c>
    </row>
    <row r="1382" spans="26:26" x14ac:dyDescent="0.25">
      <c r="Z1382">
        <v>387246.9574685088</v>
      </c>
    </row>
    <row r="1383" spans="26:26" x14ac:dyDescent="0.25">
      <c r="Z1383">
        <v>387278.76056709111</v>
      </c>
    </row>
    <row r="1384" spans="26:26" x14ac:dyDescent="0.25">
      <c r="Z1384">
        <v>387310.48435620061</v>
      </c>
    </row>
    <row r="1385" spans="26:26" x14ac:dyDescent="0.25">
      <c r="Z1385">
        <v>387342.12903361651</v>
      </c>
    </row>
    <row r="1386" spans="26:26" x14ac:dyDescent="0.25">
      <c r="Z1386">
        <v>387373.694796625</v>
      </c>
    </row>
    <row r="1387" spans="26:26" x14ac:dyDescent="0.25">
      <c r="Z1387">
        <v>387405.1818420199</v>
      </c>
    </row>
    <row r="1388" spans="26:26" x14ac:dyDescent="0.25">
      <c r="Z1388">
        <v>387436.59036610468</v>
      </c>
    </row>
    <row r="1389" spans="26:26" x14ac:dyDescent="0.25">
      <c r="Z1389">
        <v>387467.92056469293</v>
      </c>
    </row>
    <row r="1390" spans="26:26" x14ac:dyDescent="0.25">
      <c r="Z1390">
        <v>387499.17263311014</v>
      </c>
    </row>
    <row r="1391" spans="26:26" x14ac:dyDescent="0.25">
      <c r="Z1391">
        <v>387530.34676619468</v>
      </c>
    </row>
    <row r="1392" spans="26:26" x14ac:dyDescent="0.25">
      <c r="Z1392">
        <v>387561.44315829891</v>
      </c>
    </row>
    <row r="1393" spans="26:26" x14ac:dyDescent="0.25">
      <c r="Z1393">
        <v>387592.46200329071</v>
      </c>
    </row>
    <row r="1394" spans="26:26" x14ac:dyDescent="0.25">
      <c r="Z1394">
        <v>387623.40349455428</v>
      </c>
    </row>
    <row r="1395" spans="26:26" x14ac:dyDescent="0.25">
      <c r="Z1395">
        <v>387654.26782499178</v>
      </c>
    </row>
    <row r="1396" spans="26:26" x14ac:dyDescent="0.25">
      <c r="Z1396">
        <v>387685.05518702429</v>
      </c>
    </row>
    <row r="1397" spans="26:26" x14ac:dyDescent="0.25">
      <c r="Z1397">
        <v>387715.7657725928</v>
      </c>
    </row>
    <row r="1398" spans="26:26" x14ac:dyDescent="0.25">
      <c r="Z1398">
        <v>387746.39977315988</v>
      </c>
    </row>
    <row r="1399" spans="26:26" x14ac:dyDescent="0.25">
      <c r="Z1399">
        <v>387776.95737971063</v>
      </c>
    </row>
    <row r="1400" spans="26:26" x14ac:dyDescent="0.25">
      <c r="Z1400">
        <v>387807.43878275377</v>
      </c>
    </row>
    <row r="1401" spans="26:26" x14ac:dyDescent="0.25">
      <c r="Z1401">
        <v>387837.84417232289</v>
      </c>
    </row>
    <row r="1402" spans="26:26" x14ac:dyDescent="0.25">
      <c r="Z1402">
        <v>387868.17373797798</v>
      </c>
    </row>
    <row r="1403" spans="26:26" x14ac:dyDescent="0.25">
      <c r="Z1403">
        <v>387898.42766880599</v>
      </c>
    </row>
    <row r="1404" spans="26:26" x14ac:dyDescent="0.25">
      <c r="Z1404">
        <v>387928.60615342238</v>
      </c>
    </row>
    <row r="1405" spans="26:26" x14ac:dyDescent="0.25">
      <c r="Z1405">
        <v>387958.70937997248</v>
      </c>
    </row>
    <row r="1406" spans="26:26" x14ac:dyDescent="0.25">
      <c r="Z1406">
        <v>387988.7375361321</v>
      </c>
    </row>
    <row r="1407" spans="26:26" x14ac:dyDescent="0.25">
      <c r="Z1407">
        <v>388018.69080910936</v>
      </c>
    </row>
    <row r="1408" spans="26:26" x14ac:dyDescent="0.25">
      <c r="Z1408">
        <v>388048.56938564527</v>
      </c>
    </row>
    <row r="1409" spans="26:26" x14ac:dyDescent="0.25">
      <c r="Z1409">
        <v>388078.37345201522</v>
      </c>
    </row>
    <row r="1410" spans="26:26" x14ac:dyDescent="0.25">
      <c r="Z1410">
        <v>388108.10319403018</v>
      </c>
    </row>
    <row r="1411" spans="26:26" x14ac:dyDescent="0.25">
      <c r="Z1411">
        <v>388137.75879703759</v>
      </c>
    </row>
    <row r="1412" spans="26:26" x14ac:dyDescent="0.25">
      <c r="Z1412">
        <v>388167.34044592275</v>
      </c>
    </row>
    <row r="1413" spans="26:26" x14ac:dyDescent="0.25">
      <c r="Z1413">
        <v>388196.84832510998</v>
      </c>
    </row>
    <row r="1414" spans="26:26" x14ac:dyDescent="0.25">
      <c r="Z1414">
        <v>388226.28261856351</v>
      </c>
    </row>
    <row r="1415" spans="26:26" x14ac:dyDescent="0.25">
      <c r="Z1415">
        <v>388255.64350978908</v>
      </c>
    </row>
    <row r="1416" spans="26:26" x14ac:dyDescent="0.25">
      <c r="Z1416">
        <v>388284.93118183449</v>
      </c>
    </row>
    <row r="1417" spans="26:26" x14ac:dyDescent="0.25">
      <c r="Z1417">
        <v>388314.14581729128</v>
      </c>
    </row>
    <row r="1418" spans="26:26" x14ac:dyDescent="0.25">
      <c r="Z1418">
        <v>388343.28759829549</v>
      </c>
    </row>
    <row r="1419" spans="26:26" x14ac:dyDescent="0.25">
      <c r="Z1419">
        <v>388372.35670652916</v>
      </c>
    </row>
    <row r="1420" spans="26:26" x14ac:dyDescent="0.25">
      <c r="Z1420">
        <v>388401.35332322115</v>
      </c>
    </row>
    <row r="1421" spans="26:26" x14ac:dyDescent="0.25">
      <c r="Z1421">
        <v>388430.27762914827</v>
      </c>
    </row>
    <row r="1422" spans="26:26" x14ac:dyDescent="0.25">
      <c r="Z1422">
        <v>388459.1298046367</v>
      </c>
    </row>
    <row r="1423" spans="26:26" x14ac:dyDescent="0.25">
      <c r="Z1423">
        <v>388487.91002956277</v>
      </c>
    </row>
    <row r="1424" spans="26:26" x14ac:dyDescent="0.25">
      <c r="Z1424">
        <v>388516.6184833544</v>
      </c>
    </row>
    <row r="1425" spans="26:26" x14ac:dyDescent="0.25">
      <c r="Z1425">
        <v>388545.25534499186</v>
      </c>
    </row>
    <row r="1426" spans="26:26" x14ac:dyDescent="0.25">
      <c r="Z1426">
        <v>388573.82079300936</v>
      </c>
    </row>
    <row r="1427" spans="26:26" x14ac:dyDescent="0.25">
      <c r="Z1427">
        <v>388602.31500549568</v>
      </c>
    </row>
    <row r="1428" spans="26:26" x14ac:dyDescent="0.25">
      <c r="Z1428">
        <v>388630.73816009535</v>
      </c>
    </row>
    <row r="1429" spans="26:26" x14ac:dyDescent="0.25">
      <c r="Z1429">
        <v>388659.09043401037</v>
      </c>
    </row>
    <row r="1430" spans="26:26" x14ac:dyDescent="0.25">
      <c r="Z1430">
        <v>388687.37200400035</v>
      </c>
    </row>
    <row r="1431" spans="26:26" x14ac:dyDescent="0.25">
      <c r="Z1431">
        <v>388715.58304638445</v>
      </c>
    </row>
    <row r="1432" spans="26:26" x14ac:dyDescent="0.25">
      <c r="Z1432">
        <v>388743.72373704182</v>
      </c>
    </row>
    <row r="1433" spans="26:26" x14ac:dyDescent="0.25">
      <c r="Z1433">
        <v>388771.79425141332</v>
      </c>
    </row>
    <row r="1434" spans="26:26" x14ac:dyDescent="0.25">
      <c r="Z1434">
        <v>388799.79476450203</v>
      </c>
    </row>
    <row r="1435" spans="26:26" x14ac:dyDescent="0.25">
      <c r="Z1435">
        <v>388827.72545087483</v>
      </c>
    </row>
    <row r="1436" spans="26:26" x14ac:dyDescent="0.25">
      <c r="Z1436">
        <v>388855.58648466319</v>
      </c>
    </row>
    <row r="1437" spans="26:26" x14ac:dyDescent="0.25">
      <c r="Z1437">
        <v>388883.3780395643</v>
      </c>
    </row>
    <row r="1438" spans="26:26" x14ac:dyDescent="0.25">
      <c r="Z1438">
        <v>388911.10028884216</v>
      </c>
    </row>
    <row r="1439" spans="26:26" x14ac:dyDescent="0.25">
      <c r="Z1439">
        <v>388938.75340532884</v>
      </c>
    </row>
    <row r="1440" spans="26:26" x14ac:dyDescent="0.25">
      <c r="Z1440">
        <v>388966.33756142529</v>
      </c>
    </row>
    <row r="1441" spans="26:26" x14ac:dyDescent="0.25">
      <c r="Z1441">
        <v>388993.85292910249</v>
      </c>
    </row>
    <row r="1442" spans="26:26" x14ac:dyDescent="0.25">
      <c r="Z1442">
        <v>389021.29967990273</v>
      </c>
    </row>
    <row r="1443" spans="26:26" x14ac:dyDescent="0.25">
      <c r="Z1443">
        <v>389048.67798494041</v>
      </c>
    </row>
    <row r="1444" spans="26:26" x14ac:dyDescent="0.25">
      <c r="Z1444">
        <v>389075.98801490315</v>
      </c>
    </row>
    <row r="1445" spans="26:26" x14ac:dyDescent="0.25">
      <c r="Z1445">
        <v>389103.22994005302</v>
      </c>
    </row>
    <row r="1446" spans="26:26" x14ac:dyDescent="0.25">
      <c r="Z1446">
        <v>389130.40393022745</v>
      </c>
    </row>
    <row r="1447" spans="26:26" x14ac:dyDescent="0.25">
      <c r="Z1447">
        <v>389157.5101548403</v>
      </c>
    </row>
    <row r="1448" spans="26:26" x14ac:dyDescent="0.25">
      <c r="Z1448">
        <v>389184.54878288315</v>
      </c>
    </row>
    <row r="1449" spans="26:26" x14ac:dyDescent="0.25">
      <c r="Z1449">
        <v>389211.51998292579</v>
      </c>
    </row>
    <row r="1450" spans="26:26" x14ac:dyDescent="0.25">
      <c r="Z1450">
        <v>389238.42392311798</v>
      </c>
    </row>
    <row r="1451" spans="26:26" x14ac:dyDescent="0.25">
      <c r="Z1451">
        <v>389265.26077118999</v>
      </c>
    </row>
    <row r="1452" spans="26:26" x14ac:dyDescent="0.25">
      <c r="Z1452">
        <v>389292.03069445392</v>
      </c>
    </row>
    <row r="1453" spans="26:26" x14ac:dyDescent="0.25">
      <c r="Z1453">
        <v>389318.7338598044</v>
      </c>
    </row>
    <row r="1454" spans="26:26" x14ac:dyDescent="0.25">
      <c r="Z1454">
        <v>389345.37043372012</v>
      </c>
    </row>
    <row r="1455" spans="26:26" x14ac:dyDescent="0.25">
      <c r="Z1455">
        <v>389371.94058226439</v>
      </c>
    </row>
    <row r="1456" spans="26:26" x14ac:dyDescent="0.25">
      <c r="Z1456">
        <v>389398.44447108672</v>
      </c>
    </row>
    <row r="1457" spans="26:26" x14ac:dyDescent="0.25">
      <c r="Z1457">
        <v>389424.88226542313</v>
      </c>
    </row>
    <row r="1458" spans="26:26" x14ac:dyDescent="0.25">
      <c r="Z1458">
        <v>389451.25413009792</v>
      </c>
    </row>
    <row r="1459" spans="26:26" x14ac:dyDescent="0.25">
      <c r="Z1459">
        <v>389477.5602295241</v>
      </c>
    </row>
    <row r="1460" spans="26:26" x14ac:dyDescent="0.25">
      <c r="Z1460">
        <v>389503.80072770483</v>
      </c>
    </row>
    <row r="1461" spans="26:26" x14ac:dyDescent="0.25">
      <c r="Z1461">
        <v>389529.97578823427</v>
      </c>
    </row>
    <row r="1462" spans="26:26" x14ac:dyDescent="0.25">
      <c r="Z1462">
        <v>389556.08557429851</v>
      </c>
    </row>
    <row r="1463" spans="26:26" x14ac:dyDescent="0.25">
      <c r="Z1463">
        <v>389582.13024867681</v>
      </c>
    </row>
    <row r="1464" spans="26:26" x14ac:dyDescent="0.25">
      <c r="Z1464">
        <v>389608.10997374245</v>
      </c>
    </row>
    <row r="1465" spans="26:26" x14ac:dyDescent="0.25">
      <c r="Z1465">
        <v>389634.02491146378</v>
      </c>
    </row>
    <row r="1466" spans="26:26" x14ac:dyDescent="0.25">
      <c r="Z1466">
        <v>389659.87522340525</v>
      </c>
    </row>
    <row r="1467" spans="26:26" x14ac:dyDescent="0.25">
      <c r="Z1467">
        <v>389685.66107072844</v>
      </c>
    </row>
    <row r="1468" spans="26:26" x14ac:dyDescent="0.25">
      <c r="Z1468">
        <v>389711.38261419302</v>
      </c>
    </row>
    <row r="1469" spans="26:26" x14ac:dyDescent="0.25">
      <c r="Z1469">
        <v>389737.0400141576</v>
      </c>
    </row>
    <row r="1470" spans="26:26" x14ac:dyDescent="0.25">
      <c r="Z1470">
        <v>389762.63343058113</v>
      </c>
    </row>
    <row r="1471" spans="26:26" x14ac:dyDescent="0.25">
      <c r="Z1471">
        <v>389788.16302302358</v>
      </c>
    </row>
    <row r="1472" spans="26:26" x14ac:dyDescent="0.25">
      <c r="Z1472">
        <v>389813.62895064696</v>
      </c>
    </row>
    <row r="1473" spans="26:26" x14ac:dyDescent="0.25">
      <c r="Z1473">
        <v>389839.03137221641</v>
      </c>
    </row>
    <row r="1474" spans="26:26" x14ac:dyDescent="0.25">
      <c r="Z1474">
        <v>389864.37044610112</v>
      </c>
    </row>
    <row r="1475" spans="26:26" x14ac:dyDescent="0.25">
      <c r="Z1475">
        <v>389889.64633027546</v>
      </c>
    </row>
    <row r="1476" spans="26:26" x14ac:dyDescent="0.25">
      <c r="Z1476">
        <v>389914.85918231966</v>
      </c>
    </row>
    <row r="1477" spans="26:26" x14ac:dyDescent="0.25">
      <c r="Z1477">
        <v>389940.00915942114</v>
      </c>
    </row>
    <row r="1478" spans="26:26" x14ac:dyDescent="0.25">
      <c r="Z1478">
        <v>389965.09641837521</v>
      </c>
    </row>
    <row r="1479" spans="26:26" x14ac:dyDescent="0.25">
      <c r="Z1479">
        <v>389990.1211155862</v>
      </c>
    </row>
    <row r="1480" spans="26:26" x14ac:dyDescent="0.25">
      <c r="Z1480">
        <v>390015.08340706857</v>
      </c>
    </row>
    <row r="1481" spans="26:26" x14ac:dyDescent="0.25">
      <c r="Z1481">
        <v>390039.98344844737</v>
      </c>
    </row>
    <row r="1482" spans="26:26" x14ac:dyDescent="0.25">
      <c r="Z1482">
        <v>390064.82139495999</v>
      </c>
    </row>
    <row r="1483" spans="26:26" x14ac:dyDescent="0.25">
      <c r="Z1483">
        <v>390089.59740145638</v>
      </c>
    </row>
    <row r="1484" spans="26:26" x14ac:dyDescent="0.25">
      <c r="Z1484">
        <v>390114.31162240042</v>
      </c>
    </row>
    <row r="1485" spans="26:26" x14ac:dyDescent="0.25">
      <c r="Z1485">
        <v>390138.96421187068</v>
      </c>
    </row>
    <row r="1486" spans="26:26" x14ac:dyDescent="0.25">
      <c r="Z1486">
        <v>390163.55532356177</v>
      </c>
    </row>
    <row r="1487" spans="26:26" x14ac:dyDescent="0.25">
      <c r="Z1487">
        <v>390188.0851107848</v>
      </c>
    </row>
    <row r="1488" spans="26:26" x14ac:dyDescent="0.25">
      <c r="Z1488">
        <v>390212.5537264687</v>
      </c>
    </row>
    <row r="1489" spans="26:26" x14ac:dyDescent="0.25">
      <c r="Z1489">
        <v>390236.96132316074</v>
      </c>
    </row>
    <row r="1490" spans="26:26" x14ac:dyDescent="0.25">
      <c r="Z1490">
        <v>390261.30805302825</v>
      </c>
    </row>
    <row r="1491" spans="26:26" x14ac:dyDescent="0.25">
      <c r="Z1491">
        <v>390285.59406785853</v>
      </c>
    </row>
    <row r="1492" spans="26:26" x14ac:dyDescent="0.25">
      <c r="Z1492">
        <v>390309.81951906084</v>
      </c>
    </row>
    <row r="1493" spans="26:26" x14ac:dyDescent="0.25">
      <c r="Z1493">
        <v>390333.9845576667</v>
      </c>
    </row>
    <row r="1494" spans="26:26" x14ac:dyDescent="0.25">
      <c r="Z1494">
        <v>390358.08933433087</v>
      </c>
    </row>
    <row r="1495" spans="26:26" x14ac:dyDescent="0.25">
      <c r="Z1495">
        <v>390382.13399933255</v>
      </c>
    </row>
    <row r="1496" spans="26:26" x14ac:dyDescent="0.25">
      <c r="Z1496">
        <v>390406.11870257609</v>
      </c>
    </row>
    <row r="1497" spans="26:26" x14ac:dyDescent="0.25">
      <c r="Z1497">
        <v>390430.04359359213</v>
      </c>
    </row>
    <row r="1498" spans="26:26" x14ac:dyDescent="0.25">
      <c r="Z1498">
        <v>390453.90882153832</v>
      </c>
    </row>
    <row r="1499" spans="26:26" x14ac:dyDescent="0.25">
      <c r="Z1499">
        <v>390477.71453520033</v>
      </c>
    </row>
    <row r="1500" spans="26:26" x14ac:dyDescent="0.25">
      <c r="Z1500">
        <v>390501.46088299283</v>
      </c>
    </row>
    <row r="1501" spans="26:26" x14ac:dyDescent="0.25">
      <c r="Z1501">
        <v>390525.14801296045</v>
      </c>
    </row>
    <row r="1502" spans="26:26" x14ac:dyDescent="0.25">
      <c r="Z1502">
        <v>390548.77607277851</v>
      </c>
    </row>
    <row r="1503" spans="26:26" x14ac:dyDescent="0.25">
      <c r="Z1503">
        <v>390572.34520975407</v>
      </c>
    </row>
    <row r="1504" spans="26:26" x14ac:dyDescent="0.25">
      <c r="Z1504">
        <v>390595.85557082697</v>
      </c>
    </row>
    <row r="1505" spans="26:26" x14ac:dyDescent="0.25">
      <c r="Z1505">
        <v>390619.30730257055</v>
      </c>
    </row>
    <row r="1506" spans="26:26" x14ac:dyDescent="0.25">
      <c r="Z1506">
        <v>390642.70055119257</v>
      </c>
    </row>
    <row r="1507" spans="26:26" x14ac:dyDescent="0.25">
      <c r="Z1507">
        <v>390666.03546253621</v>
      </c>
    </row>
    <row r="1508" spans="26:26" x14ac:dyDescent="0.25">
      <c r="Z1508">
        <v>390689.31218208105</v>
      </c>
    </row>
    <row r="1509" spans="26:26" x14ac:dyDescent="0.25">
      <c r="Z1509">
        <v>390712.53085494367</v>
      </c>
    </row>
    <row r="1510" spans="26:26" x14ac:dyDescent="0.25">
      <c r="Z1510">
        <v>390735.69162587897</v>
      </c>
    </row>
    <row r="1511" spans="26:26" x14ac:dyDescent="0.25">
      <c r="Z1511">
        <v>390758.79463928082</v>
      </c>
    </row>
    <row r="1512" spans="26:26" x14ac:dyDescent="0.25">
      <c r="Z1512">
        <v>390781.8400391828</v>
      </c>
    </row>
    <row r="1513" spans="26:26" x14ac:dyDescent="0.25">
      <c r="Z1513">
        <v>390804.8279692597</v>
      </c>
    </row>
    <row r="1514" spans="26:26" x14ac:dyDescent="0.25">
      <c r="Z1514">
        <v>390827.75857282756</v>
      </c>
    </row>
    <row r="1515" spans="26:26" x14ac:dyDescent="0.25">
      <c r="Z1515">
        <v>390850.63199284551</v>
      </c>
    </row>
    <row r="1516" spans="26:26" x14ac:dyDescent="0.25">
      <c r="Z1516">
        <v>390873.44837191573</v>
      </c>
    </row>
    <row r="1517" spans="26:26" x14ac:dyDescent="0.25">
      <c r="Z1517">
        <v>390896.20785228501</v>
      </c>
    </row>
    <row r="1518" spans="26:26" x14ac:dyDescent="0.25">
      <c r="Z1518">
        <v>390918.9105758454</v>
      </c>
    </row>
    <row r="1519" spans="26:26" x14ac:dyDescent="0.25">
      <c r="Z1519">
        <v>390941.55668413505</v>
      </c>
    </row>
    <row r="1520" spans="26:26" x14ac:dyDescent="0.25">
      <c r="Z1520">
        <v>390964.14631833922</v>
      </c>
    </row>
    <row r="1521" spans="26:26" x14ac:dyDescent="0.25">
      <c r="Z1521">
        <v>390986.67961929098</v>
      </c>
    </row>
    <row r="1522" spans="26:26" x14ac:dyDescent="0.25">
      <c r="Z1522">
        <v>391009.15672747226</v>
      </c>
    </row>
    <row r="1523" spans="26:26" x14ac:dyDescent="0.25">
      <c r="Z1523">
        <v>391031.57778301474</v>
      </c>
    </row>
    <row r="1524" spans="26:26" x14ac:dyDescent="0.25">
      <c r="Z1524">
        <v>391053.94292570051</v>
      </c>
    </row>
    <row r="1525" spans="26:26" x14ac:dyDescent="0.25">
      <c r="Z1525">
        <v>391076.25229496305</v>
      </c>
    </row>
    <row r="1526" spans="26:26" x14ac:dyDescent="0.25">
      <c r="Z1526">
        <v>391098.50602988841</v>
      </c>
    </row>
    <row r="1527" spans="26:26" x14ac:dyDescent="0.25">
      <c r="Z1527">
        <v>391120.70426921535</v>
      </c>
    </row>
    <row r="1528" spans="26:26" x14ac:dyDescent="0.25">
      <c r="Z1528">
        <v>391142.84715133696</v>
      </c>
    </row>
    <row r="1529" spans="26:26" x14ac:dyDescent="0.25">
      <c r="Z1529">
        <v>391164.93481430126</v>
      </c>
    </row>
    <row r="1530" spans="26:26" x14ac:dyDescent="0.25">
      <c r="Z1530">
        <v>391186.96739581175</v>
      </c>
    </row>
    <row r="1531" spans="26:26" x14ac:dyDescent="0.25">
      <c r="Z1531">
        <v>391208.94503322867</v>
      </c>
    </row>
    <row r="1532" spans="26:26" x14ac:dyDescent="0.25">
      <c r="Z1532">
        <v>391230.8678635697</v>
      </c>
    </row>
    <row r="1533" spans="26:26" x14ac:dyDescent="0.25">
      <c r="Z1533">
        <v>391252.73602351086</v>
      </c>
    </row>
    <row r="1534" spans="26:26" x14ac:dyDescent="0.25">
      <c r="Z1534">
        <v>391274.54964938748</v>
      </c>
    </row>
    <row r="1535" spans="26:26" x14ac:dyDescent="0.25">
      <c r="Z1535">
        <v>391296.30887719447</v>
      </c>
    </row>
    <row r="1536" spans="26:26" x14ac:dyDescent="0.25">
      <c r="Z1536">
        <v>391318.013842588</v>
      </c>
    </row>
    <row r="1537" spans="26:26" x14ac:dyDescent="0.25">
      <c r="Z1537">
        <v>391339.66468088585</v>
      </c>
    </row>
    <row r="1538" spans="26:26" x14ac:dyDescent="0.25">
      <c r="Z1538">
        <v>391361.2615270681</v>
      </c>
    </row>
    <row r="1539" spans="26:26" x14ac:dyDescent="0.25">
      <c r="Z1539">
        <v>391382.80451577873</v>
      </c>
    </row>
    <row r="1540" spans="26:26" x14ac:dyDescent="0.25">
      <c r="Z1540">
        <v>391404.29378132534</v>
      </c>
    </row>
    <row r="1541" spans="26:26" x14ac:dyDescent="0.25">
      <c r="Z1541">
        <v>391425.72945768113</v>
      </c>
    </row>
    <row r="1542" spans="26:26" x14ac:dyDescent="0.25">
      <c r="Z1542">
        <v>391447.11167848494</v>
      </c>
    </row>
    <row r="1543" spans="26:26" x14ac:dyDescent="0.25">
      <c r="Z1543">
        <v>391468.44057704235</v>
      </c>
    </row>
    <row r="1544" spans="26:26" x14ac:dyDescent="0.25">
      <c r="Z1544">
        <v>391489.71628632653</v>
      </c>
    </row>
    <row r="1545" spans="26:26" x14ac:dyDescent="0.25">
      <c r="Z1545">
        <v>391510.93893897912</v>
      </c>
    </row>
    <row r="1546" spans="26:26" x14ac:dyDescent="0.25">
      <c r="Z1546">
        <v>391532.10866731079</v>
      </c>
    </row>
    <row r="1547" spans="26:26" x14ac:dyDescent="0.25">
      <c r="Z1547">
        <v>391553.22560330248</v>
      </c>
    </row>
    <row r="1548" spans="26:26" x14ac:dyDescent="0.25">
      <c r="Z1548">
        <v>391574.28987860598</v>
      </c>
    </row>
    <row r="1549" spans="26:26" x14ac:dyDescent="0.25">
      <c r="Z1549">
        <v>391595.30162454466</v>
      </c>
    </row>
    <row r="1550" spans="26:26" x14ac:dyDescent="0.25">
      <c r="Z1550">
        <v>391616.2609721144</v>
      </c>
    </row>
    <row r="1551" spans="26:26" x14ac:dyDescent="0.25">
      <c r="Z1551">
        <v>391637.16805198439</v>
      </c>
    </row>
    <row r="1552" spans="26:26" x14ac:dyDescent="0.25">
      <c r="Z1552">
        <v>391658.0229944982</v>
      </c>
    </row>
    <row r="1553" spans="26:26" x14ac:dyDescent="0.25">
      <c r="Z1553">
        <v>391678.82592967397</v>
      </c>
    </row>
    <row r="1554" spans="26:26" x14ac:dyDescent="0.25">
      <c r="Z1554">
        <v>391699.576987206</v>
      </c>
    </row>
    <row r="1555" spans="26:26" x14ac:dyDescent="0.25">
      <c r="Z1555">
        <v>391720.27629646478</v>
      </c>
    </row>
    <row r="1556" spans="26:26" x14ac:dyDescent="0.25">
      <c r="Z1556">
        <v>391740.92398649856</v>
      </c>
    </row>
    <row r="1557" spans="26:26" x14ac:dyDescent="0.25">
      <c r="Z1557">
        <v>391761.52018603345</v>
      </c>
    </row>
    <row r="1558" spans="26:26" x14ac:dyDescent="0.25">
      <c r="Z1558">
        <v>391782.06502347474</v>
      </c>
    </row>
    <row r="1559" spans="26:26" x14ac:dyDescent="0.25">
      <c r="Z1559">
        <v>391802.55862690753</v>
      </c>
    </row>
    <row r="1560" spans="26:26" x14ac:dyDescent="0.25">
      <c r="Z1560">
        <v>391823.00112409727</v>
      </c>
    </row>
    <row r="1561" spans="26:26" x14ac:dyDescent="0.25">
      <c r="Z1561">
        <v>391843.39264249103</v>
      </c>
    </row>
    <row r="1562" spans="26:26" x14ac:dyDescent="0.25">
      <c r="Z1562">
        <v>391863.73330921802</v>
      </c>
    </row>
    <row r="1563" spans="26:26" x14ac:dyDescent="0.25">
      <c r="Z1563">
        <v>391884.02325109026</v>
      </c>
    </row>
    <row r="1564" spans="26:26" x14ac:dyDescent="0.25">
      <c r="Z1564">
        <v>391904.26259460376</v>
      </c>
    </row>
    <row r="1565" spans="26:26" x14ac:dyDescent="0.25">
      <c r="Z1565">
        <v>391924.45146593888</v>
      </c>
    </row>
    <row r="1566" spans="26:26" x14ac:dyDescent="0.25">
      <c r="Z1566">
        <v>391944.58999096154</v>
      </c>
    </row>
    <row r="1567" spans="26:26" x14ac:dyDescent="0.25">
      <c r="Z1567">
        <v>391964.67829522345</v>
      </c>
    </row>
    <row r="1568" spans="26:26" x14ac:dyDescent="0.25">
      <c r="Z1568">
        <v>391984.71650396351</v>
      </c>
    </row>
    <row r="1569" spans="26:26" x14ac:dyDescent="0.25">
      <c r="Z1569">
        <v>392004.7047421083</v>
      </c>
    </row>
    <row r="1570" spans="26:26" x14ac:dyDescent="0.25">
      <c r="Z1570">
        <v>392024.6431342726</v>
      </c>
    </row>
    <row r="1571" spans="26:26" x14ac:dyDescent="0.25">
      <c r="Z1571">
        <v>392044.53180476069</v>
      </c>
    </row>
    <row r="1572" spans="26:26" x14ac:dyDescent="0.25">
      <c r="Z1572">
        <v>392064.37087756675</v>
      </c>
    </row>
    <row r="1573" spans="26:26" x14ac:dyDescent="0.25">
      <c r="Z1573">
        <v>392084.16047637584</v>
      </c>
    </row>
    <row r="1574" spans="26:26" x14ac:dyDescent="0.25">
      <c r="Z1574">
        <v>392103.90072456439</v>
      </c>
    </row>
    <row r="1575" spans="26:26" x14ac:dyDescent="0.25">
      <c r="Z1575">
        <v>392123.59174520144</v>
      </c>
    </row>
    <row r="1576" spans="26:26" x14ac:dyDescent="0.25">
      <c r="Z1576">
        <v>392143.23366104881</v>
      </c>
    </row>
    <row r="1577" spans="26:26" x14ac:dyDescent="0.25">
      <c r="Z1577">
        <v>392162.82659456239</v>
      </c>
    </row>
    <row r="1578" spans="26:26" x14ac:dyDescent="0.25">
      <c r="Z1578">
        <v>392182.37066789262</v>
      </c>
    </row>
    <row r="1579" spans="26:26" x14ac:dyDescent="0.25">
      <c r="Z1579">
        <v>392201.86600288545</v>
      </c>
    </row>
    <row r="1580" spans="26:26" x14ac:dyDescent="0.25">
      <c r="Z1580">
        <v>392221.31272108271</v>
      </c>
    </row>
    <row r="1581" spans="26:26" x14ac:dyDescent="0.25">
      <c r="Z1581">
        <v>392240.71094372345</v>
      </c>
    </row>
    <row r="1582" spans="26:26" x14ac:dyDescent="0.25">
      <c r="Z1582">
        <v>392260.06079174404</v>
      </c>
    </row>
    <row r="1583" spans="26:26" x14ac:dyDescent="0.25">
      <c r="Z1583">
        <v>392279.36238577956</v>
      </c>
    </row>
    <row r="1584" spans="26:26" x14ac:dyDescent="0.25">
      <c r="Z1584">
        <v>392298.61584616418</v>
      </c>
    </row>
    <row r="1585" spans="26:26" x14ac:dyDescent="0.25">
      <c r="Z1585">
        <v>392317.82129293185</v>
      </c>
    </row>
    <row r="1586" spans="26:26" x14ac:dyDescent="0.25">
      <c r="Z1586">
        <v>392336.97884581733</v>
      </c>
    </row>
    <row r="1587" spans="26:26" x14ac:dyDescent="0.25">
      <c r="Z1587">
        <v>392356.08862425666</v>
      </c>
    </row>
    <row r="1588" spans="26:26" x14ac:dyDescent="0.25">
      <c r="Z1588">
        <v>392375.15074738819</v>
      </c>
    </row>
    <row r="1589" spans="26:26" x14ac:dyDescent="0.25">
      <c r="Z1589">
        <v>392394.16533405305</v>
      </c>
    </row>
    <row r="1590" spans="26:26" x14ac:dyDescent="0.25">
      <c r="Z1590">
        <v>392413.13250279607</v>
      </c>
    </row>
    <row r="1591" spans="26:26" x14ac:dyDescent="0.25">
      <c r="Z1591">
        <v>392432.05237186642</v>
      </c>
    </row>
    <row r="1592" spans="26:26" x14ac:dyDescent="0.25">
      <c r="Z1592">
        <v>392450.92505921837</v>
      </c>
    </row>
    <row r="1593" spans="26:26" x14ac:dyDescent="0.25">
      <c r="Z1593">
        <v>392469.75068251212</v>
      </c>
    </row>
    <row r="1594" spans="26:26" x14ac:dyDescent="0.25">
      <c r="Z1594">
        <v>392488.5293591143</v>
      </c>
    </row>
    <row r="1595" spans="26:26" x14ac:dyDescent="0.25">
      <c r="Z1595">
        <v>392507.26120609907</v>
      </c>
    </row>
    <row r="1596" spans="26:26" x14ac:dyDescent="0.25">
      <c r="Z1596">
        <v>392525.94634024845</v>
      </c>
    </row>
    <row r="1597" spans="26:26" x14ac:dyDescent="0.25">
      <c r="Z1597">
        <v>392544.58487805328</v>
      </c>
    </row>
    <row r="1598" spans="26:26" x14ac:dyDescent="0.25">
      <c r="Z1598">
        <v>392563.17693571403</v>
      </c>
    </row>
    <row r="1599" spans="26:26" x14ac:dyDescent="0.25">
      <c r="Z1599">
        <v>392581.72262914118</v>
      </c>
    </row>
    <row r="1600" spans="26:26" x14ac:dyDescent="0.25">
      <c r="Z1600">
        <v>392600.22207395628</v>
      </c>
    </row>
    <row r="1601" spans="26:26" x14ac:dyDescent="0.25">
      <c r="Z1601">
        <v>392618.67538549256</v>
      </c>
    </row>
    <row r="1602" spans="26:26" x14ac:dyDescent="0.25">
      <c r="Z1602">
        <v>392637.08267879556</v>
      </c>
    </row>
    <row r="1603" spans="26:26" x14ac:dyDescent="0.25">
      <c r="Z1603">
        <v>392655.444068624</v>
      </c>
    </row>
    <row r="1604" spans="26:26" x14ac:dyDescent="0.25">
      <c r="Z1604">
        <v>392673.75966945034</v>
      </c>
    </row>
    <row r="1605" spans="26:26" x14ac:dyDescent="0.25">
      <c r="Z1605">
        <v>392692.02959546173</v>
      </c>
    </row>
    <row r="1606" spans="26:26" x14ac:dyDescent="0.25">
      <c r="Z1606">
        <v>392710.25396056031</v>
      </c>
    </row>
    <row r="1607" spans="26:26" x14ac:dyDescent="0.25">
      <c r="Z1607">
        <v>392728.4328783644</v>
      </c>
    </row>
    <row r="1608" spans="26:26" x14ac:dyDescent="0.25">
      <c r="Z1608">
        <v>392746.56646220887</v>
      </c>
    </row>
    <row r="1609" spans="26:26" x14ac:dyDescent="0.25">
      <c r="Z1609">
        <v>392764.65482514602</v>
      </c>
    </row>
    <row r="1610" spans="26:26" x14ac:dyDescent="0.25">
      <c r="Z1610">
        <v>392782.69807994616</v>
      </c>
    </row>
    <row r="1611" spans="26:26" x14ac:dyDescent="0.25">
      <c r="Z1611">
        <v>392800.69633909845</v>
      </c>
    </row>
    <row r="1612" spans="26:26" x14ac:dyDescent="0.25">
      <c r="Z1612">
        <v>392818.64971481141</v>
      </c>
    </row>
    <row r="1613" spans="26:26" x14ac:dyDescent="0.25">
      <c r="Z1613">
        <v>392836.5583190138</v>
      </c>
    </row>
    <row r="1614" spans="26:26" x14ac:dyDescent="0.25">
      <c r="Z1614">
        <v>392854.42226335546</v>
      </c>
    </row>
    <row r="1615" spans="26:26" x14ac:dyDescent="0.25">
      <c r="Z1615">
        <v>392872.24165920744</v>
      </c>
    </row>
    <row r="1616" spans="26:26" x14ac:dyDescent="0.25">
      <c r="Z1616">
        <v>392890.01661766326</v>
      </c>
    </row>
    <row r="1617" spans="26:26" x14ac:dyDescent="0.25">
      <c r="Z1617">
        <v>392907.74724953942</v>
      </c>
    </row>
    <row r="1618" spans="26:26" x14ac:dyDescent="0.25">
      <c r="Z1618">
        <v>392925.43366537598</v>
      </c>
    </row>
    <row r="1619" spans="26:26" x14ac:dyDescent="0.25">
      <c r="Z1619">
        <v>392943.07597543736</v>
      </c>
    </row>
    <row r="1620" spans="26:26" x14ac:dyDescent="0.25">
      <c r="Z1620">
        <v>392960.67428971309</v>
      </c>
    </row>
    <row r="1621" spans="26:26" x14ac:dyDescent="0.25">
      <c r="Z1621">
        <v>392978.22871791833</v>
      </c>
    </row>
    <row r="1622" spans="26:26" x14ac:dyDescent="0.25">
      <c r="Z1622">
        <v>392995.73936949461</v>
      </c>
    </row>
    <row r="1623" spans="26:26" x14ac:dyDescent="0.25">
      <c r="Z1623">
        <v>393013.20635361056</v>
      </c>
    </row>
    <row r="1624" spans="26:26" x14ac:dyDescent="0.25">
      <c r="Z1624">
        <v>393030.62977916264</v>
      </c>
    </row>
    <row r="1625" spans="26:26" x14ac:dyDescent="0.25">
      <c r="Z1625">
        <v>393048.00975477573</v>
      </c>
    </row>
    <row r="1626" spans="26:26" x14ac:dyDescent="0.25">
      <c r="Z1626">
        <v>393065.34638880368</v>
      </c>
    </row>
    <row r="1627" spans="26:26" x14ac:dyDescent="0.25">
      <c r="Z1627">
        <v>393082.63978933037</v>
      </c>
    </row>
    <row r="1628" spans="26:26" x14ac:dyDescent="0.25">
      <c r="Z1628">
        <v>393099.89006416994</v>
      </c>
    </row>
    <row r="1629" spans="26:26" x14ac:dyDescent="0.25">
      <c r="Z1629">
        <v>393117.09732086776</v>
      </c>
    </row>
    <row r="1630" spans="26:26" x14ac:dyDescent="0.25">
      <c r="Z1630">
        <v>393134.261666701</v>
      </c>
    </row>
    <row r="1631" spans="26:26" x14ac:dyDescent="0.25">
      <c r="Z1631">
        <v>393151.38320867933</v>
      </c>
    </row>
    <row r="1632" spans="26:26" x14ac:dyDescent="0.25">
      <c r="Z1632">
        <v>393168.46205354546</v>
      </c>
    </row>
    <row r="1633" spans="26:26" x14ac:dyDescent="0.25">
      <c r="Z1633">
        <v>393185.498307776</v>
      </c>
    </row>
    <row r="1634" spans="26:26" x14ac:dyDescent="0.25">
      <c r="Z1634">
        <v>393202.49207758205</v>
      </c>
    </row>
    <row r="1635" spans="26:26" x14ac:dyDescent="0.25">
      <c r="Z1635">
        <v>393219.44346890983</v>
      </c>
    </row>
    <row r="1636" spans="26:26" x14ac:dyDescent="0.25">
      <c r="Z1636">
        <v>393236.35258744116</v>
      </c>
    </row>
    <row r="1637" spans="26:26" x14ac:dyDescent="0.25">
      <c r="Z1637">
        <v>393253.21953859471</v>
      </c>
    </row>
    <row r="1638" spans="26:26" x14ac:dyDescent="0.25">
      <c r="Z1638">
        <v>393270.04442752589</v>
      </c>
    </row>
    <row r="1639" spans="26:26" x14ac:dyDescent="0.25">
      <c r="Z1639">
        <v>393286.82735912804</v>
      </c>
    </row>
    <row r="1640" spans="26:26" x14ac:dyDescent="0.25">
      <c r="Z1640">
        <v>393303.56843803299</v>
      </c>
    </row>
    <row r="1641" spans="26:26" x14ac:dyDescent="0.25">
      <c r="Z1641">
        <v>393320.26776861143</v>
      </c>
    </row>
    <row r="1642" spans="26:26" x14ac:dyDescent="0.25">
      <c r="Z1642">
        <v>393336.925454974</v>
      </c>
    </row>
    <row r="1643" spans="26:26" x14ac:dyDescent="0.25">
      <c r="Z1643">
        <v>393353.5416009716</v>
      </c>
    </row>
    <row r="1644" spans="26:26" x14ac:dyDescent="0.25">
      <c r="Z1644">
        <v>393370.11631019606</v>
      </c>
    </row>
    <row r="1645" spans="26:26" x14ac:dyDescent="0.25">
      <c r="Z1645">
        <v>393386.6496859811</v>
      </c>
    </row>
    <row r="1646" spans="26:26" x14ac:dyDescent="0.25">
      <c r="Z1646">
        <v>393403.14183140261</v>
      </c>
    </row>
    <row r="1647" spans="26:26" x14ac:dyDescent="0.25">
      <c r="Z1647">
        <v>393419.5928492794</v>
      </c>
    </row>
    <row r="1648" spans="26:26" x14ac:dyDescent="0.25">
      <c r="Z1648">
        <v>393436.00284217397</v>
      </c>
    </row>
    <row r="1649" spans="26:26" x14ac:dyDescent="0.25">
      <c r="Z1649">
        <v>393452.37191239302</v>
      </c>
    </row>
    <row r="1650" spans="26:26" x14ac:dyDescent="0.25">
      <c r="Z1650">
        <v>393468.70016198803</v>
      </c>
    </row>
    <row r="1651" spans="26:26" x14ac:dyDescent="0.25">
      <c r="Z1651">
        <v>393484.98769275617</v>
      </c>
    </row>
    <row r="1652" spans="26:26" x14ac:dyDescent="0.25">
      <c r="Z1652">
        <v>393501.23460624053</v>
      </c>
    </row>
    <row r="1653" spans="26:26" x14ac:dyDescent="0.25">
      <c r="Z1653">
        <v>393517.44100373122</v>
      </c>
    </row>
    <row r="1654" spans="26:26" x14ac:dyDescent="0.25">
      <c r="Z1654">
        <v>393533.60698626557</v>
      </c>
    </row>
    <row r="1655" spans="26:26" x14ac:dyDescent="0.25">
      <c r="Z1655">
        <v>393549.73265462898</v>
      </c>
    </row>
    <row r="1656" spans="26:26" x14ac:dyDescent="0.25">
      <c r="Z1656">
        <v>393565.81810935558</v>
      </c>
    </row>
    <row r="1657" spans="26:26" x14ac:dyDescent="0.25">
      <c r="Z1657">
        <v>393581.86345072876</v>
      </c>
    </row>
    <row r="1658" spans="26:26" x14ac:dyDescent="0.25">
      <c r="Z1658">
        <v>393597.86877878179</v>
      </c>
    </row>
    <row r="1659" spans="26:26" x14ac:dyDescent="0.25">
      <c r="Z1659">
        <v>393613.83419329853</v>
      </c>
    </row>
    <row r="1660" spans="26:26" x14ac:dyDescent="0.25">
      <c r="Z1660">
        <v>393629.75979381404</v>
      </c>
    </row>
    <row r="1661" spans="26:26" x14ac:dyDescent="0.25">
      <c r="Z1661">
        <v>393645.64567961503</v>
      </c>
    </row>
    <row r="1662" spans="26:26" x14ac:dyDescent="0.25">
      <c r="Z1662">
        <v>393661.49194974068</v>
      </c>
    </row>
    <row r="1663" spans="26:26" x14ac:dyDescent="0.25">
      <c r="Z1663">
        <v>393677.29870298319</v>
      </c>
    </row>
    <row r="1664" spans="26:26" x14ac:dyDescent="0.25">
      <c r="Z1664">
        <v>393693.06603788846</v>
      </c>
    </row>
    <row r="1665" spans="26:26" x14ac:dyDescent="0.25">
      <c r="Z1665">
        <v>393708.79405275657</v>
      </c>
    </row>
    <row r="1666" spans="26:26" x14ac:dyDescent="0.25">
      <c r="Z1666">
        <v>393724.48284564243</v>
      </c>
    </row>
    <row r="1667" spans="26:26" x14ac:dyDescent="0.25">
      <c r="Z1667">
        <v>393740.13251435658</v>
      </c>
    </row>
    <row r="1668" spans="26:26" x14ac:dyDescent="0.25">
      <c r="Z1668">
        <v>393755.74315646541</v>
      </c>
    </row>
    <row r="1669" spans="26:26" x14ac:dyDescent="0.25">
      <c r="Z1669">
        <v>393771.3148692922</v>
      </c>
    </row>
    <row r="1670" spans="26:26" x14ac:dyDescent="0.25">
      <c r="Z1670">
        <v>393786.84774991736</v>
      </c>
    </row>
    <row r="1671" spans="26:26" x14ac:dyDescent="0.25">
      <c r="Z1671">
        <v>393802.34189517947</v>
      </c>
    </row>
    <row r="1672" spans="26:26" x14ac:dyDescent="0.25">
      <c r="Z1672">
        <v>393817.79740167526</v>
      </c>
    </row>
    <row r="1673" spans="26:26" x14ac:dyDescent="0.25">
      <c r="Z1673">
        <v>393833.21436576085</v>
      </c>
    </row>
    <row r="1674" spans="26:26" x14ac:dyDescent="0.25">
      <c r="Z1674">
        <v>393848.59288355196</v>
      </c>
    </row>
    <row r="1675" spans="26:26" x14ac:dyDescent="0.25">
      <c r="Z1675">
        <v>393863.93305092462</v>
      </c>
    </row>
    <row r="1676" spans="26:26" x14ac:dyDescent="0.25">
      <c r="Z1676">
        <v>393879.23496351589</v>
      </c>
    </row>
    <row r="1677" spans="26:26" x14ac:dyDescent="0.25">
      <c r="Z1677">
        <v>393894.49871672405</v>
      </c>
    </row>
    <row r="1678" spans="26:26" x14ac:dyDescent="0.25">
      <c r="Z1678">
        <v>393909.72440570983</v>
      </c>
    </row>
    <row r="1679" spans="26:26" x14ac:dyDescent="0.25">
      <c r="Z1679">
        <v>393924.91212539631</v>
      </c>
    </row>
    <row r="1680" spans="26:26" x14ac:dyDescent="0.25">
      <c r="Z1680">
        <v>393940.06197047012</v>
      </c>
    </row>
    <row r="1681" spans="26:26" x14ac:dyDescent="0.25">
      <c r="Z1681">
        <v>393955.17403538164</v>
      </c>
    </row>
    <row r="1682" spans="26:26" x14ac:dyDescent="0.25">
      <c r="Z1682">
        <v>393970.24841434578</v>
      </c>
    </row>
    <row r="1683" spans="26:26" x14ac:dyDescent="0.25">
      <c r="Z1683">
        <v>393985.28520134243</v>
      </c>
    </row>
    <row r="1684" spans="26:26" x14ac:dyDescent="0.25">
      <c r="Z1684">
        <v>394000.28449011716</v>
      </c>
    </row>
    <row r="1685" spans="26:26" x14ac:dyDescent="0.25">
      <c r="Z1685">
        <v>394015.2463741817</v>
      </c>
    </row>
    <row r="1686" spans="26:26" x14ac:dyDescent="0.25">
      <c r="Z1686">
        <v>394030.17094681464</v>
      </c>
    </row>
    <row r="1687" spans="26:26" x14ac:dyDescent="0.25">
      <c r="Z1687">
        <v>394045.05830106197</v>
      </c>
    </row>
    <row r="1688" spans="26:26" x14ac:dyDescent="0.25">
      <c r="Z1688">
        <v>394059.90852973762</v>
      </c>
    </row>
    <row r="1689" spans="26:26" x14ac:dyDescent="0.25">
      <c r="Z1689">
        <v>394074.72172542405</v>
      </c>
    </row>
    <row r="1690" spans="26:26" x14ac:dyDescent="0.25">
      <c r="Z1690">
        <v>394089.49798047292</v>
      </c>
    </row>
    <row r="1691" spans="26:26" x14ac:dyDescent="0.25">
      <c r="Z1691">
        <v>394104.23738700536</v>
      </c>
    </row>
    <row r="1692" spans="26:26" x14ac:dyDescent="0.25">
      <c r="Z1692">
        <v>394118.94003691315</v>
      </c>
    </row>
    <row r="1693" spans="26:26" x14ac:dyDescent="0.25">
      <c r="Z1693">
        <v>394133.60602185846</v>
      </c>
    </row>
    <row r="1694" spans="26:26" x14ac:dyDescent="0.25">
      <c r="Z1694">
        <v>394148.23543327523</v>
      </c>
    </row>
    <row r="1695" spans="26:26" x14ac:dyDescent="0.25">
      <c r="Z1695">
        <v>394162.82836236939</v>
      </c>
    </row>
    <row r="1696" spans="26:26" x14ac:dyDescent="0.25">
      <c r="Z1696">
        <v>394177.38490011904</v>
      </c>
    </row>
    <row r="1697" spans="26:26" x14ac:dyDescent="0.25">
      <c r="Z1697">
        <v>394191.90513727587</v>
      </c>
    </row>
    <row r="1698" spans="26:26" x14ac:dyDescent="0.25">
      <c r="Z1698">
        <v>394206.38916436495</v>
      </c>
    </row>
    <row r="1699" spans="26:26" x14ac:dyDescent="0.25">
      <c r="Z1699">
        <v>394220.83707168576</v>
      </c>
    </row>
    <row r="1700" spans="26:26" x14ac:dyDescent="0.25">
      <c r="Z1700">
        <v>394235.24894931249</v>
      </c>
    </row>
    <row r="1701" spans="26:26" x14ac:dyDescent="0.25">
      <c r="Z1701">
        <v>394249.62488709472</v>
      </c>
    </row>
    <row r="1702" spans="26:26" x14ac:dyDescent="0.25">
      <c r="Z1702">
        <v>394263.96497465804</v>
      </c>
    </row>
    <row r="1703" spans="26:26" x14ac:dyDescent="0.25">
      <c r="Z1703">
        <v>394278.26930140454</v>
      </c>
    </row>
    <row r="1704" spans="26:26" x14ac:dyDescent="0.25">
      <c r="Z1704">
        <v>394292.53795651329</v>
      </c>
    </row>
    <row r="1705" spans="26:26" x14ac:dyDescent="0.25">
      <c r="Z1705">
        <v>394306.77102894092</v>
      </c>
    </row>
    <row r="1706" spans="26:26" x14ac:dyDescent="0.25">
      <c r="Z1706">
        <v>394320.96860742237</v>
      </c>
    </row>
    <row r="1707" spans="26:26" x14ac:dyDescent="0.25">
      <c r="Z1707">
        <v>394335.13078047114</v>
      </c>
    </row>
    <row r="1708" spans="26:26" x14ac:dyDescent="0.25">
      <c r="Z1708">
        <v>394349.25763638027</v>
      </c>
    </row>
    <row r="1709" spans="26:26" x14ac:dyDescent="0.25">
      <c r="Z1709">
        <v>394363.34926322219</v>
      </c>
    </row>
    <row r="1710" spans="26:26" x14ac:dyDescent="0.25">
      <c r="Z1710">
        <v>394377.40574885003</v>
      </c>
    </row>
    <row r="1711" spans="26:26" x14ac:dyDescent="0.25">
      <c r="Z1711">
        <v>394391.42718089785</v>
      </c>
    </row>
    <row r="1712" spans="26:26" x14ac:dyDescent="0.25">
      <c r="Z1712">
        <v>394405.41364678083</v>
      </c>
    </row>
    <row r="1713" spans="26:26" x14ac:dyDescent="0.25">
      <c r="Z1713">
        <v>394419.36523369659</v>
      </c>
    </row>
    <row r="1714" spans="26:26" x14ac:dyDescent="0.25">
      <c r="Z1714">
        <v>394433.28202862508</v>
      </c>
    </row>
    <row r="1715" spans="26:26" x14ac:dyDescent="0.25">
      <c r="Z1715">
        <v>394447.16411832924</v>
      </c>
    </row>
    <row r="1716" spans="26:26" x14ac:dyDescent="0.25">
      <c r="Z1716">
        <v>394461.01158935582</v>
      </c>
    </row>
    <row r="1717" spans="26:26" x14ac:dyDescent="0.25">
      <c r="Z1717">
        <v>394474.82452803571</v>
      </c>
    </row>
    <row r="1718" spans="26:26" x14ac:dyDescent="0.25">
      <c r="Z1718">
        <v>394488.60302048456</v>
      </c>
    </row>
    <row r="1719" spans="26:26" x14ac:dyDescent="0.25">
      <c r="Z1719">
        <v>394502.34715260309</v>
      </c>
    </row>
    <row r="1720" spans="26:26" x14ac:dyDescent="0.25">
      <c r="Z1720">
        <v>394516.05701007781</v>
      </c>
    </row>
    <row r="1721" spans="26:26" x14ac:dyDescent="0.25">
      <c r="Z1721">
        <v>394529.73267838184</v>
      </c>
    </row>
    <row r="1722" spans="26:26" x14ac:dyDescent="0.25">
      <c r="Z1722">
        <v>394543.37424277497</v>
      </c>
    </row>
    <row r="1723" spans="26:26" x14ac:dyDescent="0.25">
      <c r="Z1723">
        <v>394556.98178830423</v>
      </c>
    </row>
    <row r="1724" spans="26:26" x14ac:dyDescent="0.25">
      <c r="Z1724">
        <v>394570.55539980467</v>
      </c>
    </row>
    <row r="1725" spans="26:26" x14ac:dyDescent="0.25">
      <c r="Z1725">
        <v>394584.09516189992</v>
      </c>
    </row>
    <row r="1726" spans="26:26" x14ac:dyDescent="0.25">
      <c r="Z1726">
        <v>394597.60115900246</v>
      </c>
    </row>
    <row r="1727" spans="26:26" x14ac:dyDescent="0.25">
      <c r="Z1727">
        <v>394611.07347531413</v>
      </c>
    </row>
    <row r="1728" spans="26:26" x14ac:dyDescent="0.25">
      <c r="Z1728">
        <v>394624.51219482708</v>
      </c>
    </row>
    <row r="1729" spans="26:26" x14ac:dyDescent="0.25">
      <c r="Z1729">
        <v>394637.91740132374</v>
      </c>
    </row>
    <row r="1730" spans="26:26" x14ac:dyDescent="0.25">
      <c r="Z1730">
        <v>394651.28917837783</v>
      </c>
    </row>
    <row r="1731" spans="26:26" x14ac:dyDescent="0.25">
      <c r="Z1731">
        <v>394664.62760935439</v>
      </c>
    </row>
    <row r="1732" spans="26:26" x14ac:dyDescent="0.25">
      <c r="Z1732">
        <v>394677.9327774109</v>
      </c>
    </row>
    <row r="1733" spans="26:26" x14ac:dyDescent="0.25">
      <c r="Z1733">
        <v>394691.20476549712</v>
      </c>
    </row>
    <row r="1734" spans="26:26" x14ac:dyDescent="0.25">
      <c r="Z1734">
        <v>394704.44365635625</v>
      </c>
    </row>
    <row r="1735" spans="26:26" x14ac:dyDescent="0.25">
      <c r="Z1735">
        <v>394717.64953252493</v>
      </c>
    </row>
    <row r="1736" spans="26:26" x14ac:dyDescent="0.25">
      <c r="Z1736">
        <v>394730.82247633417</v>
      </c>
    </row>
    <row r="1737" spans="26:26" x14ac:dyDescent="0.25">
      <c r="Z1737">
        <v>394743.96256990934</v>
      </c>
    </row>
    <row r="1738" spans="26:26" x14ac:dyDescent="0.25">
      <c r="Z1738">
        <v>394757.06989517139</v>
      </c>
    </row>
    <row r="1739" spans="26:26" x14ac:dyDescent="0.25">
      <c r="Z1739">
        <v>394770.14453383681</v>
      </c>
    </row>
    <row r="1740" spans="26:26" x14ac:dyDescent="0.25">
      <c r="Z1740">
        <v>394783.18656741828</v>
      </c>
    </row>
    <row r="1741" spans="26:26" x14ac:dyDescent="0.25">
      <c r="Z1741">
        <v>394796.19607722521</v>
      </c>
    </row>
    <row r="1742" spans="26:26" x14ac:dyDescent="0.25">
      <c r="Z1742">
        <v>394809.17314436432</v>
      </c>
    </row>
    <row r="1743" spans="26:26" x14ac:dyDescent="0.25">
      <c r="Z1743">
        <v>394822.11784973997</v>
      </c>
    </row>
    <row r="1744" spans="26:26" x14ac:dyDescent="0.25">
      <c r="Z1744">
        <v>394835.03027405479</v>
      </c>
    </row>
    <row r="1745" spans="26:26" x14ac:dyDescent="0.25">
      <c r="Z1745">
        <v>394847.91049781028</v>
      </c>
    </row>
    <row r="1746" spans="26:26" x14ac:dyDescent="0.25">
      <c r="Z1746">
        <v>394860.758601307</v>
      </c>
    </row>
    <row r="1747" spans="26:26" x14ac:dyDescent="0.25">
      <c r="Z1747">
        <v>394873.57466464542</v>
      </c>
    </row>
    <row r="1748" spans="26:26" x14ac:dyDescent="0.25">
      <c r="Z1748">
        <v>394886.35876772611</v>
      </c>
    </row>
    <row r="1749" spans="26:26" x14ac:dyDescent="0.25">
      <c r="Z1749">
        <v>394899.11099025048</v>
      </c>
    </row>
    <row r="1750" spans="26:26" x14ac:dyDescent="0.25">
      <c r="Z1750">
        <v>394911.83141172118</v>
      </c>
    </row>
    <row r="1751" spans="26:26" x14ac:dyDescent="0.25">
      <c r="Z1751">
        <v>394924.52011144254</v>
      </c>
    </row>
    <row r="1752" spans="26:26" x14ac:dyDescent="0.25">
      <c r="Z1752">
        <v>394937.17716852122</v>
      </c>
    </row>
    <row r="1753" spans="26:26" x14ac:dyDescent="0.25">
      <c r="Z1753">
        <v>394949.80266186659</v>
      </c>
    </row>
    <row r="1754" spans="26:26" x14ac:dyDescent="0.25">
      <c r="Z1754">
        <v>394962.39667019114</v>
      </c>
    </row>
    <row r="1755" spans="26:26" x14ac:dyDescent="0.25">
      <c r="Z1755">
        <v>394974.95927201107</v>
      </c>
    </row>
    <row r="1756" spans="26:26" x14ac:dyDescent="0.25">
      <c r="Z1756">
        <v>394987.49054564693</v>
      </c>
    </row>
    <row r="1757" spans="26:26" x14ac:dyDescent="0.25">
      <c r="Z1757">
        <v>394999.99056922388</v>
      </c>
    </row>
    <row r="1758" spans="26:26" x14ac:dyDescent="0.25">
      <c r="Z1758">
        <v>395012.45942067221</v>
      </c>
    </row>
    <row r="1759" spans="26:26" x14ac:dyDescent="0.25">
      <c r="Z1759">
        <v>395024.89717772783</v>
      </c>
    </row>
    <row r="1760" spans="26:26" x14ac:dyDescent="0.25">
      <c r="Z1760">
        <v>395037.30391793302</v>
      </c>
    </row>
    <row r="1761" spans="26:26" x14ac:dyDescent="0.25">
      <c r="Z1761">
        <v>395049.6797186365</v>
      </c>
    </row>
    <row r="1762" spans="26:26" x14ac:dyDescent="0.25">
      <c r="Z1762">
        <v>395062.02465699398</v>
      </c>
    </row>
    <row r="1763" spans="26:26" x14ac:dyDescent="0.25">
      <c r="Z1763">
        <v>395074.33880996908</v>
      </c>
    </row>
    <row r="1764" spans="26:26" x14ac:dyDescent="0.25">
      <c r="Z1764">
        <v>395086.62225433323</v>
      </c>
    </row>
    <row r="1765" spans="26:26" x14ac:dyDescent="0.25">
      <c r="Z1765">
        <v>395098.87506666657</v>
      </c>
    </row>
    <row r="1766" spans="26:26" x14ac:dyDescent="0.25">
      <c r="Z1766">
        <v>395111.09732335818</v>
      </c>
    </row>
    <row r="1767" spans="26:26" x14ac:dyDescent="0.25">
      <c r="Z1767">
        <v>395123.28910060669</v>
      </c>
    </row>
    <row r="1768" spans="26:26" x14ac:dyDescent="0.25">
      <c r="Z1768">
        <v>395135.45047442062</v>
      </c>
    </row>
    <row r="1769" spans="26:26" x14ac:dyDescent="0.25">
      <c r="Z1769">
        <v>395147.58152061905</v>
      </c>
    </row>
    <row r="1770" spans="26:26" x14ac:dyDescent="0.25">
      <c r="Z1770">
        <v>395159.682314832</v>
      </c>
    </row>
    <row r="1771" spans="26:26" x14ac:dyDescent="0.25">
      <c r="Z1771">
        <v>395171.75293250073</v>
      </c>
    </row>
    <row r="1772" spans="26:26" x14ac:dyDescent="0.25">
      <c r="Z1772">
        <v>395183.79344887851</v>
      </c>
    </row>
    <row r="1773" spans="26:26" x14ac:dyDescent="0.25">
      <c r="Z1773">
        <v>395195.80393903097</v>
      </c>
    </row>
    <row r="1774" spans="26:26" x14ac:dyDescent="0.25">
      <c r="Z1774">
        <v>395207.78447783634</v>
      </c>
    </row>
    <row r="1775" spans="26:26" x14ac:dyDescent="0.25">
      <c r="Z1775">
        <v>395219.73513998638</v>
      </c>
    </row>
    <row r="1776" spans="26:26" x14ac:dyDescent="0.25">
      <c r="Z1776">
        <v>395231.6559999864</v>
      </c>
    </row>
    <row r="1777" spans="26:26" x14ac:dyDescent="0.25">
      <c r="Z1777">
        <v>395243.54713215603</v>
      </c>
    </row>
    <row r="1778" spans="26:26" x14ac:dyDescent="0.25">
      <c r="Z1778">
        <v>395255.40861062944</v>
      </c>
    </row>
    <row r="1779" spans="26:26" x14ac:dyDescent="0.25">
      <c r="Z1779">
        <v>395267.24050935608</v>
      </c>
    </row>
    <row r="1780" spans="26:26" x14ac:dyDescent="0.25">
      <c r="Z1780">
        <v>395279.04290210077</v>
      </c>
    </row>
    <row r="1781" spans="26:26" x14ac:dyDescent="0.25">
      <c r="Z1781">
        <v>395290.81586244475</v>
      </c>
    </row>
    <row r="1782" spans="26:26" x14ac:dyDescent="0.25">
      <c r="Z1782">
        <v>395302.55946378526</v>
      </c>
    </row>
    <row r="1783" spans="26:26" x14ac:dyDescent="0.25">
      <c r="Z1783">
        <v>395314.27377933689</v>
      </c>
    </row>
    <row r="1784" spans="26:26" x14ac:dyDescent="0.25">
      <c r="Z1784">
        <v>395325.95888213156</v>
      </c>
    </row>
    <row r="1785" spans="26:26" x14ac:dyDescent="0.25">
      <c r="Z1785">
        <v>395337.61484501901</v>
      </c>
    </row>
    <row r="1786" spans="26:26" x14ac:dyDescent="0.25">
      <c r="Z1786">
        <v>395349.24174066738</v>
      </c>
    </row>
    <row r="1787" spans="26:26" x14ac:dyDescent="0.25">
      <c r="Z1787">
        <v>395360.83964156348</v>
      </c>
    </row>
    <row r="1788" spans="26:26" x14ac:dyDescent="0.25">
      <c r="Z1788">
        <v>395372.40862001339</v>
      </c>
    </row>
    <row r="1789" spans="26:26" x14ac:dyDescent="0.25">
      <c r="Z1789">
        <v>395383.94874814304</v>
      </c>
    </row>
    <row r="1790" spans="26:26" x14ac:dyDescent="0.25">
      <c r="Z1790">
        <v>395395.46009789826</v>
      </c>
    </row>
    <row r="1791" spans="26:26" x14ac:dyDescent="0.25">
      <c r="Z1791">
        <v>395406.94274104567</v>
      </c>
    </row>
    <row r="1792" spans="26:26" x14ac:dyDescent="0.25">
      <c r="Z1792">
        <v>395418.39674917277</v>
      </c>
    </row>
    <row r="1793" spans="26:26" x14ac:dyDescent="0.25">
      <c r="Z1793">
        <v>395429.82219368854</v>
      </c>
    </row>
    <row r="1794" spans="26:26" x14ac:dyDescent="0.25">
      <c r="Z1794">
        <v>395441.21914582403</v>
      </c>
    </row>
    <row r="1795" spans="26:26" x14ac:dyDescent="0.25">
      <c r="Z1795">
        <v>395452.58767663239</v>
      </c>
    </row>
    <row r="1796" spans="26:26" x14ac:dyDescent="0.25">
      <c r="Z1796">
        <v>395463.92785698996</v>
      </c>
    </row>
    <row r="1797" spans="26:26" x14ac:dyDescent="0.25">
      <c r="Z1797">
        <v>395475.23975759587</v>
      </c>
    </row>
    <row r="1798" spans="26:26" x14ac:dyDescent="0.25">
      <c r="Z1798">
        <v>395486.52344897349</v>
      </c>
    </row>
    <row r="1799" spans="26:26" x14ac:dyDescent="0.25">
      <c r="Z1799">
        <v>395497.77900146984</v>
      </c>
    </row>
    <row r="1800" spans="26:26" x14ac:dyDescent="0.25">
      <c r="Z1800">
        <v>395509.00648525666</v>
      </c>
    </row>
    <row r="1801" spans="26:26" x14ac:dyDescent="0.25">
      <c r="Z1801">
        <v>395520.2059703308</v>
      </c>
    </row>
    <row r="1802" spans="26:26" x14ac:dyDescent="0.25">
      <c r="Z1802">
        <v>395531.37752651452</v>
      </c>
    </row>
    <row r="1803" spans="26:26" x14ac:dyDescent="0.25">
      <c r="Z1803">
        <v>395542.5212234559</v>
      </c>
    </row>
    <row r="1804" spans="26:26" x14ac:dyDescent="0.25">
      <c r="Z1804">
        <v>395553.63713062939</v>
      </c>
    </row>
    <row r="1805" spans="26:26" x14ac:dyDescent="0.25">
      <c r="Z1805">
        <v>395564.72531733598</v>
      </c>
    </row>
    <row r="1806" spans="26:26" x14ac:dyDescent="0.25">
      <c r="Z1806">
        <v>395575.78585270426</v>
      </c>
    </row>
    <row r="1807" spans="26:26" x14ac:dyDescent="0.25">
      <c r="Z1807">
        <v>395586.81880569004</v>
      </c>
    </row>
    <row r="1808" spans="26:26" x14ac:dyDescent="0.25">
      <c r="Z1808">
        <v>395597.82424507733</v>
      </c>
    </row>
    <row r="1809" spans="26:26" x14ac:dyDescent="0.25">
      <c r="Z1809">
        <v>395608.80223947862</v>
      </c>
    </row>
    <row r="1810" spans="26:26" x14ac:dyDescent="0.25">
      <c r="Z1810">
        <v>395619.75285733526</v>
      </c>
    </row>
    <row r="1811" spans="26:26" x14ac:dyDescent="0.25">
      <c r="Z1811">
        <v>395630.67616691801</v>
      </c>
    </row>
    <row r="1812" spans="26:26" x14ac:dyDescent="0.25">
      <c r="Z1812">
        <v>395641.57223632716</v>
      </c>
    </row>
    <row r="1813" spans="26:26" x14ac:dyDescent="0.25">
      <c r="Z1813">
        <v>395652.44113349344</v>
      </c>
    </row>
    <row r="1814" spans="26:26" x14ac:dyDescent="0.25">
      <c r="Z1814">
        <v>395663.28292617801</v>
      </c>
    </row>
    <row r="1815" spans="26:26" x14ac:dyDescent="0.25">
      <c r="Z1815">
        <v>395674.09768197307</v>
      </c>
    </row>
    <row r="1816" spans="26:26" x14ac:dyDescent="0.25">
      <c r="Z1816">
        <v>395684.88546830235</v>
      </c>
    </row>
    <row r="1817" spans="26:26" x14ac:dyDescent="0.25">
      <c r="Z1817">
        <v>395695.64635242126</v>
      </c>
    </row>
    <row r="1818" spans="26:26" x14ac:dyDescent="0.25">
      <c r="Z1818">
        <v>395706.38040141773</v>
      </c>
    </row>
    <row r="1819" spans="26:26" x14ac:dyDescent="0.25">
      <c r="Z1819">
        <v>395717.08768221218</v>
      </c>
    </row>
    <row r="1820" spans="26:26" x14ac:dyDescent="0.25">
      <c r="Z1820">
        <v>395727.76826155832</v>
      </c>
    </row>
    <row r="1821" spans="26:26" x14ac:dyDescent="0.25">
      <c r="Z1821">
        <v>395738.42220604321</v>
      </c>
    </row>
    <row r="1822" spans="26:26" x14ac:dyDescent="0.25">
      <c r="Z1822">
        <v>395749.04958208796</v>
      </c>
    </row>
    <row r="1823" spans="26:26" x14ac:dyDescent="0.25">
      <c r="Z1823">
        <v>395759.65045594808</v>
      </c>
    </row>
    <row r="1824" spans="26:26" x14ac:dyDescent="0.25">
      <c r="Z1824">
        <v>395770.22489371384</v>
      </c>
    </row>
    <row r="1825" spans="26:26" x14ac:dyDescent="0.25">
      <c r="Z1825">
        <v>395780.77296131052</v>
      </c>
    </row>
    <row r="1826" spans="26:26" x14ac:dyDescent="0.25">
      <c r="Z1826">
        <v>395791.29472449928</v>
      </c>
    </row>
    <row r="1827" spans="26:26" x14ac:dyDescent="0.25">
      <c r="Z1827">
        <v>395801.79024887708</v>
      </c>
    </row>
    <row r="1828" spans="26:26" x14ac:dyDescent="0.25">
      <c r="Z1828">
        <v>395812.25959987735</v>
      </c>
    </row>
    <row r="1829" spans="26:26" x14ac:dyDescent="0.25">
      <c r="Z1829">
        <v>395822.70284277044</v>
      </c>
    </row>
    <row r="1830" spans="26:26" x14ac:dyDescent="0.25">
      <c r="Z1830">
        <v>395833.12004266382</v>
      </c>
    </row>
    <row r="1831" spans="26:26" x14ac:dyDescent="0.25">
      <c r="Z1831">
        <v>395843.51126450254</v>
      </c>
    </row>
    <row r="1832" spans="26:26" x14ac:dyDescent="0.25">
      <c r="Z1832">
        <v>395853.87657306989</v>
      </c>
    </row>
    <row r="1833" spans="26:26" x14ac:dyDescent="0.25">
      <c r="Z1833">
        <v>395864.2160329874</v>
      </c>
    </row>
    <row r="1834" spans="26:26" x14ac:dyDescent="0.25">
      <c r="Z1834">
        <v>395874.52970871562</v>
      </c>
    </row>
    <row r="1835" spans="26:26" x14ac:dyDescent="0.25">
      <c r="Z1835">
        <v>395884.81766455423</v>
      </c>
    </row>
    <row r="1836" spans="26:26" x14ac:dyDescent="0.25">
      <c r="Z1836">
        <v>395895.07996464265</v>
      </c>
    </row>
    <row r="1837" spans="26:26" x14ac:dyDescent="0.25">
      <c r="Z1837">
        <v>395905.31667296024</v>
      </c>
    </row>
    <row r="1838" spans="26:26" x14ac:dyDescent="0.25">
      <c r="Z1838">
        <v>395915.52785332693</v>
      </c>
    </row>
    <row r="1839" spans="26:26" x14ac:dyDescent="0.25">
      <c r="Z1839">
        <v>395925.71356940345</v>
      </c>
    </row>
    <row r="1840" spans="26:26" x14ac:dyDescent="0.25">
      <c r="Z1840">
        <v>395935.87388469168</v>
      </c>
    </row>
    <row r="1841" spans="26:26" x14ac:dyDescent="0.25">
      <c r="Z1841">
        <v>395946.00886253535</v>
      </c>
    </row>
    <row r="1842" spans="26:26" x14ac:dyDescent="0.25">
      <c r="Z1842">
        <v>395956.11856612004</v>
      </c>
    </row>
    <row r="1843" spans="26:26" x14ac:dyDescent="0.25">
      <c r="Z1843">
        <v>395966.20305847388</v>
      </c>
    </row>
    <row r="1844" spans="26:26" x14ac:dyDescent="0.25">
      <c r="Z1844">
        <v>395976.26240246766</v>
      </c>
    </row>
    <row r="1845" spans="26:26" x14ac:dyDescent="0.25">
      <c r="Z1845">
        <v>395986.29666081566</v>
      </c>
    </row>
    <row r="1846" spans="26:26" x14ac:dyDescent="0.25">
      <c r="Z1846">
        <v>395996.30589607544</v>
      </c>
    </row>
    <row r="1847" spans="26:26" x14ac:dyDescent="0.25">
      <c r="Z1847">
        <v>396006.29017064883</v>
      </c>
    </row>
    <row r="1848" spans="26:26" x14ac:dyDescent="0.25">
      <c r="Z1848">
        <v>396016.24954678188</v>
      </c>
    </row>
    <row r="1849" spans="26:26" x14ac:dyDescent="0.25">
      <c r="Z1849">
        <v>396026.18408656545</v>
      </c>
    </row>
    <row r="1850" spans="26:26" x14ac:dyDescent="0.25">
      <c r="Z1850">
        <v>396036.09385193564</v>
      </c>
    </row>
    <row r="1851" spans="26:26" x14ac:dyDescent="0.25">
      <c r="Z1851">
        <v>396045.97890467395</v>
      </c>
    </row>
    <row r="1852" spans="26:26" x14ac:dyDescent="0.25">
      <c r="Z1852">
        <v>396055.8393064079</v>
      </c>
    </row>
    <row r="1853" spans="26:26" x14ac:dyDescent="0.25">
      <c r="Z1853">
        <v>396065.67511861137</v>
      </c>
    </row>
    <row r="1854" spans="26:26" x14ac:dyDescent="0.25">
      <c r="Z1854">
        <v>396075.48640260485</v>
      </c>
    </row>
    <row r="1855" spans="26:26" x14ac:dyDescent="0.25">
      <c r="Z1855">
        <v>396085.27321955597</v>
      </c>
    </row>
    <row r="1856" spans="26:26" x14ac:dyDescent="0.25">
      <c r="Z1856">
        <v>396095.0356304798</v>
      </c>
    </row>
    <row r="1857" spans="26:26" x14ac:dyDescent="0.25">
      <c r="Z1857">
        <v>396104.77369623916</v>
      </c>
    </row>
    <row r="1858" spans="26:26" x14ac:dyDescent="0.25">
      <c r="Z1858">
        <v>396114.48747754534</v>
      </c>
    </row>
    <row r="1859" spans="26:26" x14ac:dyDescent="0.25">
      <c r="Z1859">
        <v>396124.17703495792</v>
      </c>
    </row>
    <row r="1860" spans="26:26" x14ac:dyDescent="0.25">
      <c r="Z1860">
        <v>396133.84242888569</v>
      </c>
    </row>
    <row r="1861" spans="26:26" x14ac:dyDescent="0.25">
      <c r="Z1861">
        <v>396143.48371958669</v>
      </c>
    </row>
    <row r="1862" spans="26:26" x14ac:dyDescent="0.25">
      <c r="Z1862">
        <v>396153.10096716887</v>
      </c>
    </row>
    <row r="1863" spans="26:26" x14ac:dyDescent="0.25">
      <c r="Z1863">
        <v>396162.69423158985</v>
      </c>
    </row>
    <row r="1864" spans="26:26" x14ac:dyDescent="0.25">
      <c r="Z1864">
        <v>396172.26357265824</v>
      </c>
    </row>
    <row r="1865" spans="26:26" x14ac:dyDescent="0.25">
      <c r="Z1865">
        <v>396181.80905003316</v>
      </c>
    </row>
    <row r="1866" spans="26:26" x14ac:dyDescent="0.25">
      <c r="Z1866">
        <v>396191.33072322508</v>
      </c>
    </row>
    <row r="1867" spans="26:26" x14ac:dyDescent="0.25">
      <c r="Z1867">
        <v>396200.82865159604</v>
      </c>
    </row>
    <row r="1868" spans="26:26" x14ac:dyDescent="0.25">
      <c r="Z1868">
        <v>396210.30289436015</v>
      </c>
    </row>
    <row r="1869" spans="26:26" x14ac:dyDescent="0.25">
      <c r="Z1869">
        <v>396219.75351058372</v>
      </c>
    </row>
    <row r="1870" spans="26:26" x14ac:dyDescent="0.25">
      <c r="Z1870">
        <v>396229.18055918574</v>
      </c>
    </row>
    <row r="1871" spans="26:26" x14ac:dyDescent="0.25">
      <c r="Z1871">
        <v>396238.58409893839</v>
      </c>
    </row>
    <row r="1872" spans="26:26" x14ac:dyDescent="0.25">
      <c r="Z1872">
        <v>396247.96418846719</v>
      </c>
    </row>
    <row r="1873" spans="26:26" x14ac:dyDescent="0.25">
      <c r="Z1873">
        <v>396257.32088625157</v>
      </c>
    </row>
    <row r="1874" spans="26:26" x14ac:dyDescent="0.25">
      <c r="Z1874">
        <v>396266.654250625</v>
      </c>
    </row>
    <row r="1875" spans="26:26" x14ac:dyDescent="0.25">
      <c r="Z1875">
        <v>396275.96433977562</v>
      </c>
    </row>
    <row r="1876" spans="26:26" x14ac:dyDescent="0.25">
      <c r="Z1876">
        <v>396285.25121174625</v>
      </c>
    </row>
    <row r="1877" spans="26:26" x14ac:dyDescent="0.25">
      <c r="Z1877">
        <v>396294.51492443512</v>
      </c>
    </row>
    <row r="1878" spans="26:26" x14ac:dyDescent="0.25">
      <c r="Z1878">
        <v>396303.75553559617</v>
      </c>
    </row>
    <row r="1879" spans="26:26" x14ac:dyDescent="0.25">
      <c r="Z1879">
        <v>396312.97310283908</v>
      </c>
    </row>
    <row r="1880" spans="26:26" x14ac:dyDescent="0.25">
      <c r="Z1880">
        <v>396322.16768362996</v>
      </c>
    </row>
    <row r="1881" spans="26:26" x14ac:dyDescent="0.25">
      <c r="Z1881">
        <v>396331.33933529176</v>
      </c>
    </row>
    <row r="1882" spans="26:26" x14ac:dyDescent="0.25">
      <c r="Z1882">
        <v>396340.48811500426</v>
      </c>
    </row>
    <row r="1883" spans="26:26" x14ac:dyDescent="0.25">
      <c r="Z1883">
        <v>396349.61407980474</v>
      </c>
    </row>
    <row r="1884" spans="26:26" x14ac:dyDescent="0.25">
      <c r="Z1884">
        <v>396358.71728658827</v>
      </c>
    </row>
    <row r="1885" spans="26:26" x14ac:dyDescent="0.25">
      <c r="Z1885">
        <v>396367.79779210797</v>
      </c>
    </row>
    <row r="1886" spans="26:26" x14ac:dyDescent="0.25">
      <c r="Z1886">
        <v>396376.85565297556</v>
      </c>
    </row>
    <row r="1887" spans="26:26" x14ac:dyDescent="0.25">
      <c r="Z1887">
        <v>396385.89092566137</v>
      </c>
    </row>
    <row r="1888" spans="26:26" x14ac:dyDescent="0.25">
      <c r="Z1888">
        <v>396394.90366649517</v>
      </c>
    </row>
    <row r="1889" spans="26:26" x14ac:dyDescent="0.25">
      <c r="Z1889">
        <v>396403.89393166598</v>
      </c>
    </row>
    <row r="1890" spans="26:26" x14ac:dyDescent="0.25">
      <c r="Z1890">
        <v>396412.86177722295</v>
      </c>
    </row>
    <row r="1891" spans="26:26" x14ac:dyDescent="0.25">
      <c r="Z1891">
        <v>396421.80725907523</v>
      </c>
    </row>
    <row r="1892" spans="26:26" x14ac:dyDescent="0.25">
      <c r="Z1892">
        <v>396430.73043299274</v>
      </c>
    </row>
    <row r="1893" spans="26:26" x14ac:dyDescent="0.25">
      <c r="Z1893">
        <v>396439.63135460624</v>
      </c>
    </row>
    <row r="1894" spans="26:26" x14ac:dyDescent="0.25">
      <c r="Z1894">
        <v>396448.51007940772</v>
      </c>
    </row>
    <row r="1895" spans="26:26" x14ac:dyDescent="0.25">
      <c r="Z1895">
        <v>396457.36666275084</v>
      </c>
    </row>
    <row r="1896" spans="26:26" x14ac:dyDescent="0.25">
      <c r="Z1896">
        <v>396466.20115985122</v>
      </c>
    </row>
    <row r="1897" spans="26:26" x14ac:dyDescent="0.25">
      <c r="Z1897">
        <v>396475.01362578676</v>
      </c>
    </row>
    <row r="1898" spans="26:26" x14ac:dyDescent="0.25">
      <c r="Z1898">
        <v>396483.80411549803</v>
      </c>
    </row>
    <row r="1899" spans="26:26" x14ac:dyDescent="0.25">
      <c r="Z1899">
        <v>396492.57268378854</v>
      </c>
    </row>
    <row r="1900" spans="26:26" x14ac:dyDescent="0.25">
      <c r="Z1900">
        <v>396501.31938532519</v>
      </c>
    </row>
    <row r="1901" spans="26:26" x14ac:dyDescent="0.25">
      <c r="Z1901">
        <v>396510.04427463864</v>
      </c>
    </row>
    <row r="1902" spans="26:26" x14ac:dyDescent="0.25">
      <c r="Z1902">
        <v>396518.74740612332</v>
      </c>
    </row>
    <row r="1903" spans="26:26" x14ac:dyDescent="0.25">
      <c r="Z1903">
        <v>396527.4288340382</v>
      </c>
    </row>
    <row r="1904" spans="26:26" x14ac:dyDescent="0.25">
      <c r="Z1904">
        <v>396536.08861250692</v>
      </c>
    </row>
    <row r="1905" spans="26:26" x14ac:dyDescent="0.25">
      <c r="Z1905">
        <v>396544.72679551819</v>
      </c>
    </row>
    <row r="1906" spans="26:26" x14ac:dyDescent="0.25">
      <c r="Z1906">
        <v>396553.34343692585</v>
      </c>
    </row>
    <row r="1907" spans="26:26" x14ac:dyDescent="0.25">
      <c r="Z1907">
        <v>396561.93859044969</v>
      </c>
    </row>
    <row r="1908" spans="26:26" x14ac:dyDescent="0.25">
      <c r="Z1908">
        <v>396570.51230967551</v>
      </c>
    </row>
    <row r="1909" spans="26:26" x14ac:dyDescent="0.25">
      <c r="Z1909">
        <v>396579.06464805541</v>
      </c>
    </row>
    <row r="1910" spans="26:26" x14ac:dyDescent="0.25">
      <c r="Z1910">
        <v>396587.59565890813</v>
      </c>
    </row>
    <row r="1911" spans="26:26" x14ac:dyDescent="0.25">
      <c r="Z1911">
        <v>396596.10539541958</v>
      </c>
    </row>
    <row r="1912" spans="26:26" x14ac:dyDescent="0.25">
      <c r="Z1912">
        <v>396604.59391064296</v>
      </c>
    </row>
    <row r="1913" spans="26:26" x14ac:dyDescent="0.25">
      <c r="Z1913">
        <v>396613.06125749921</v>
      </c>
    </row>
    <row r="1914" spans="26:26" x14ac:dyDescent="0.25">
      <c r="Z1914">
        <v>396621.50748877728</v>
      </c>
    </row>
    <row r="1915" spans="26:26" x14ac:dyDescent="0.25">
      <c r="Z1915">
        <v>396629.93265713443</v>
      </c>
    </row>
    <row r="1916" spans="26:26" x14ac:dyDescent="0.25">
      <c r="Z1916">
        <v>396638.33681509667</v>
      </c>
    </row>
    <row r="1917" spans="26:26" x14ac:dyDescent="0.25">
      <c r="Z1917">
        <v>396646.72001505905</v>
      </c>
    </row>
    <row r="1918" spans="26:26" x14ac:dyDescent="0.25">
      <c r="Z1918">
        <v>396655.08230928582</v>
      </c>
    </row>
    <row r="1919" spans="26:26" x14ac:dyDescent="0.25">
      <c r="Z1919">
        <v>396663.42374991102</v>
      </c>
    </row>
    <row r="1920" spans="26:26" x14ac:dyDescent="0.25">
      <c r="Z1920">
        <v>396671.74438893871</v>
      </c>
    </row>
    <row r="1921" spans="26:26" x14ac:dyDescent="0.25">
      <c r="Z1921">
        <v>396680.04427824309</v>
      </c>
    </row>
    <row r="1922" spans="26:26" x14ac:dyDescent="0.25">
      <c r="Z1922">
        <v>396688.32346956921</v>
      </c>
    </row>
    <row r="1923" spans="26:26" x14ac:dyDescent="0.25">
      <c r="Z1923">
        <v>396696.58201453282</v>
      </c>
    </row>
    <row r="1924" spans="26:26" x14ac:dyDescent="0.25">
      <c r="Z1924">
        <v>396704.81996462127</v>
      </c>
    </row>
    <row r="1925" spans="26:26" x14ac:dyDescent="0.25">
      <c r="Z1925">
        <v>396713.03737119329</v>
      </c>
    </row>
    <row r="1926" spans="26:26" x14ac:dyDescent="0.25">
      <c r="Z1926">
        <v>396721.23428547959</v>
      </c>
    </row>
    <row r="1927" spans="26:26" x14ac:dyDescent="0.25">
      <c r="Z1927">
        <v>396729.41075858317</v>
      </c>
    </row>
    <row r="1928" spans="26:26" x14ac:dyDescent="0.25">
      <c r="Z1928">
        <v>396737.56684147945</v>
      </c>
    </row>
    <row r="1929" spans="26:26" x14ac:dyDescent="0.25">
      <c r="Z1929">
        <v>396745.7025850169</v>
      </c>
    </row>
    <row r="1930" spans="26:26" x14ac:dyDescent="0.25">
      <c r="Z1930">
        <v>396753.8180399171</v>
      </c>
    </row>
    <row r="1931" spans="26:26" x14ac:dyDescent="0.25">
      <c r="Z1931">
        <v>396761.91325677518</v>
      </c>
    </row>
    <row r="1932" spans="26:26" x14ac:dyDescent="0.25">
      <c r="Z1932">
        <v>396769.98828605999</v>
      </c>
    </row>
    <row r="1933" spans="26:26" x14ac:dyDescent="0.25">
      <c r="Z1933">
        <v>396778.04317811475</v>
      </c>
    </row>
    <row r="1934" spans="26:26" x14ac:dyDescent="0.25">
      <c r="Z1934">
        <v>396786.07798315684</v>
      </c>
    </row>
    <row r="1935" spans="26:26" x14ac:dyDescent="0.25">
      <c r="Z1935">
        <v>396794.09275127866</v>
      </c>
    </row>
    <row r="1936" spans="26:26" x14ac:dyDescent="0.25">
      <c r="Z1936">
        <v>396802.08753244748</v>
      </c>
    </row>
    <row r="1937" spans="26:26" x14ac:dyDescent="0.25">
      <c r="Z1937">
        <v>396810.06237650628</v>
      </c>
    </row>
    <row r="1938" spans="26:26" x14ac:dyDescent="0.25">
      <c r="Z1938">
        <v>396818.01733317331</v>
      </c>
    </row>
    <row r="1939" spans="26:26" x14ac:dyDescent="0.25">
      <c r="Z1939">
        <v>396825.95245204319</v>
      </c>
    </row>
    <row r="1940" spans="26:26" x14ac:dyDescent="0.25">
      <c r="Z1940">
        <v>396833.86778258678</v>
      </c>
    </row>
    <row r="1941" spans="26:26" x14ac:dyDescent="0.25">
      <c r="Z1941">
        <v>396841.76337415143</v>
      </c>
    </row>
    <row r="1942" spans="26:26" x14ac:dyDescent="0.25">
      <c r="Z1942">
        <v>396849.63927596144</v>
      </c>
    </row>
    <row r="1943" spans="26:26" x14ac:dyDescent="0.25">
      <c r="Z1943">
        <v>396857.49553711864</v>
      </c>
    </row>
    <row r="1944" spans="26:26" x14ac:dyDescent="0.25">
      <c r="Z1944">
        <v>396865.33220660215</v>
      </c>
    </row>
    <row r="1945" spans="26:26" x14ac:dyDescent="0.25">
      <c r="Z1945">
        <v>396873.14933326899</v>
      </c>
    </row>
    <row r="1946" spans="26:26" x14ac:dyDescent="0.25">
      <c r="Z1946">
        <v>396880.94696585438</v>
      </c>
    </row>
    <row r="1947" spans="26:26" x14ac:dyDescent="0.25">
      <c r="Z1947">
        <v>396888.72515297192</v>
      </c>
    </row>
    <row r="1948" spans="26:26" x14ac:dyDescent="0.25">
      <c r="Z1948">
        <v>396896.48394311417</v>
      </c>
    </row>
    <row r="1949" spans="26:26" x14ac:dyDescent="0.25">
      <c r="Z1949">
        <v>396904.22338465252</v>
      </c>
    </row>
    <row r="1950" spans="26:26" x14ac:dyDescent="0.25">
      <c r="Z1950">
        <v>396911.94352583791</v>
      </c>
    </row>
    <row r="1951" spans="26:26" x14ac:dyDescent="0.25">
      <c r="Z1951">
        <v>396919.64441480092</v>
      </c>
    </row>
    <row r="1952" spans="26:26" x14ac:dyDescent="0.25">
      <c r="Z1952">
        <v>396927.32609955204</v>
      </c>
    </row>
    <row r="1953" spans="26:26" x14ac:dyDescent="0.25">
      <c r="Z1953">
        <v>396934.98862798209</v>
      </c>
    </row>
    <row r="1954" spans="26:26" x14ac:dyDescent="0.25">
      <c r="Z1954">
        <v>396942.63204786245</v>
      </c>
    </row>
    <row r="1955" spans="26:26" x14ac:dyDescent="0.25">
      <c r="Z1955">
        <v>396950.25640684529</v>
      </c>
    </row>
    <row r="1956" spans="26:26" x14ac:dyDescent="0.25">
      <c r="Z1956">
        <v>396957.86175246414</v>
      </c>
    </row>
    <row r="1957" spans="26:26" x14ac:dyDescent="0.25">
      <c r="Z1957">
        <v>396965.44813213381</v>
      </c>
    </row>
    <row r="1958" spans="26:26" x14ac:dyDescent="0.25">
      <c r="Z1958">
        <v>396973.01559315092</v>
      </c>
    </row>
    <row r="1959" spans="26:26" x14ac:dyDescent="0.25">
      <c r="Z1959">
        <v>396980.56418269419</v>
      </c>
    </row>
    <row r="1960" spans="26:26" x14ac:dyDescent="0.25">
      <c r="Z1960">
        <v>396988.09394782467</v>
      </c>
    </row>
    <row r="1961" spans="26:26" x14ac:dyDescent="0.25">
      <c r="Z1961">
        <v>396995.60493548593</v>
      </c>
    </row>
    <row r="1962" spans="26:26" x14ac:dyDescent="0.25">
      <c r="Z1962">
        <v>397003.09719250468</v>
      </c>
    </row>
    <row r="1963" spans="26:26" x14ac:dyDescent="0.25">
      <c r="Z1963">
        <v>397010.5707655907</v>
      </c>
    </row>
    <row r="1964" spans="26:26" x14ac:dyDescent="0.25">
      <c r="Z1964">
        <v>397018.02570133732</v>
      </c>
    </row>
    <row r="1965" spans="26:26" x14ac:dyDescent="0.25">
      <c r="Z1965">
        <v>397025.46204622177</v>
      </c>
    </row>
    <row r="1966" spans="26:26" x14ac:dyDescent="0.25">
      <c r="Z1966">
        <v>397032.8798466053</v>
      </c>
    </row>
    <row r="1967" spans="26:26" x14ac:dyDescent="0.25">
      <c r="Z1967">
        <v>397040.27914873342</v>
      </c>
    </row>
    <row r="1968" spans="26:26" x14ac:dyDescent="0.25">
      <c r="Z1968">
        <v>397047.65999873664</v>
      </c>
    </row>
    <row r="1969" spans="26:26" x14ac:dyDescent="0.25">
      <c r="Z1969">
        <v>397055.02244263003</v>
      </c>
    </row>
    <row r="1970" spans="26:26" x14ac:dyDescent="0.25">
      <c r="Z1970">
        <v>397062.36652631429</v>
      </c>
    </row>
    <row r="1971" spans="26:26" x14ac:dyDescent="0.25">
      <c r="Z1971">
        <v>397069.69229557528</v>
      </c>
    </row>
    <row r="1972" spans="26:26" x14ac:dyDescent="0.25">
      <c r="Z1972">
        <v>397076.99979608512</v>
      </c>
    </row>
    <row r="1973" spans="26:26" x14ac:dyDescent="0.25">
      <c r="Z1973">
        <v>397084.2890734016</v>
      </c>
    </row>
    <row r="1974" spans="26:26" x14ac:dyDescent="0.25">
      <c r="Z1974">
        <v>397091.56017296913</v>
      </c>
    </row>
    <row r="1975" spans="26:26" x14ac:dyDescent="0.25">
      <c r="Z1975">
        <v>397098.81314011884</v>
      </c>
    </row>
    <row r="1976" spans="26:26" x14ac:dyDescent="0.25">
      <c r="Z1976">
        <v>397106.04802006867</v>
      </c>
    </row>
    <row r="1977" spans="26:26" x14ac:dyDescent="0.25">
      <c r="Z1977">
        <v>397113.2648579239</v>
      </c>
    </row>
    <row r="1978" spans="26:26" x14ac:dyDescent="0.25">
      <c r="Z1978">
        <v>397120.46369867719</v>
      </c>
    </row>
    <row r="1979" spans="26:26" x14ac:dyDescent="0.25">
      <c r="Z1979">
        <v>397127.64458720916</v>
      </c>
    </row>
    <row r="1980" spans="26:26" x14ac:dyDescent="0.25">
      <c r="Z1980">
        <v>397134.80756828847</v>
      </c>
    </row>
    <row r="1981" spans="26:26" x14ac:dyDescent="0.25">
      <c r="Z1981">
        <v>397141.95268657204</v>
      </c>
    </row>
    <row r="1982" spans="26:26" x14ac:dyDescent="0.25">
      <c r="Z1982">
        <v>397149.0799866055</v>
      </c>
    </row>
    <row r="1983" spans="26:26" x14ac:dyDescent="0.25">
      <c r="Z1983">
        <v>397156.18951282342</v>
      </c>
    </row>
    <row r="1984" spans="26:26" x14ac:dyDescent="0.25">
      <c r="Z1984">
        <v>397163.28130954958</v>
      </c>
    </row>
    <row r="1985" spans="26:26" x14ac:dyDescent="0.25">
      <c r="Z1985">
        <v>397170.35542099708</v>
      </c>
    </row>
    <row r="1986" spans="26:26" x14ac:dyDescent="0.25">
      <c r="Z1986">
        <v>397177.41189126892</v>
      </c>
    </row>
    <row r="1987" spans="26:26" x14ac:dyDescent="0.25">
      <c r="Z1987">
        <v>397184.45076435799</v>
      </c>
    </row>
    <row r="1988" spans="26:26" x14ac:dyDescent="0.25">
      <c r="Z1988">
        <v>397191.47208414762</v>
      </c>
    </row>
    <row r="1989" spans="26:26" x14ac:dyDescent="0.25">
      <c r="Z1989">
        <v>397198.47589441162</v>
      </c>
    </row>
    <row r="1990" spans="26:26" x14ac:dyDescent="0.25">
      <c r="Z1990">
        <v>397205.46223881462</v>
      </c>
    </row>
    <row r="1991" spans="26:26" x14ac:dyDescent="0.25">
      <c r="Z1991">
        <v>397212.43116091227</v>
      </c>
    </row>
    <row r="1992" spans="26:26" x14ac:dyDescent="0.25">
      <c r="Z1992">
        <v>397219.38270415191</v>
      </c>
    </row>
    <row r="1993" spans="26:26" x14ac:dyDescent="0.25">
      <c r="Z1993">
        <v>397226.31691187224</v>
      </c>
    </row>
    <row r="1994" spans="26:26" x14ac:dyDescent="0.25">
      <c r="Z1994">
        <v>397233.23382730392</v>
      </c>
    </row>
    <row r="1995" spans="26:26" x14ac:dyDescent="0.25">
      <c r="Z1995">
        <v>397240.13349357003</v>
      </c>
    </row>
    <row r="1996" spans="26:26" x14ac:dyDescent="0.25">
      <c r="Z1996">
        <v>397247.0159536858</v>
      </c>
    </row>
    <row r="1997" spans="26:26" x14ac:dyDescent="0.25">
      <c r="Z1997">
        <v>397253.88125055947</v>
      </c>
    </row>
    <row r="1998" spans="26:26" x14ac:dyDescent="0.25">
      <c r="Z1998">
        <v>397260.72942699195</v>
      </c>
    </row>
    <row r="1999" spans="26:26" x14ac:dyDescent="0.25">
      <c r="Z1999">
        <v>397267.56052567775</v>
      </c>
    </row>
    <row r="2000" spans="26:26" x14ac:dyDescent="0.25">
      <c r="Z2000">
        <v>397274.37458920473</v>
      </c>
    </row>
    <row r="2001" spans="26:26" x14ac:dyDescent="0.25">
      <c r="Z2001">
        <v>397281.17166005459</v>
      </c>
    </row>
    <row r="2002" spans="26:26" x14ac:dyDescent="0.25">
      <c r="Z2002">
        <v>397287.95178060315</v>
      </c>
    </row>
    <row r="2003" spans="26:26" x14ac:dyDescent="0.25">
      <c r="Z2003">
        <v>397294.71499312029</v>
      </c>
    </row>
    <row r="2004" spans="26:26" x14ac:dyDescent="0.25">
      <c r="Z2004">
        <v>397301.46133977087</v>
      </c>
    </row>
    <row r="2005" spans="26:26" x14ac:dyDescent="0.25">
      <c r="Z2005">
        <v>397308.19086261431</v>
      </c>
    </row>
    <row r="2006" spans="26:26" x14ac:dyDescent="0.25">
      <c r="Z2006">
        <v>397314.90360360529</v>
      </c>
    </row>
    <row r="2007" spans="26:26" x14ac:dyDescent="0.25">
      <c r="Z2007">
        <v>397321.59960459382</v>
      </c>
    </row>
    <row r="2008" spans="26:26" x14ac:dyDescent="0.25">
      <c r="Z2008">
        <v>397328.27890732553</v>
      </c>
    </row>
    <row r="2009" spans="26:26" x14ac:dyDescent="0.25">
      <c r="Z2009">
        <v>397334.94155344192</v>
      </c>
    </row>
    <row r="2010" spans="26:26" x14ac:dyDescent="0.25">
      <c r="Z2010">
        <v>397341.5875844807</v>
      </c>
    </row>
    <row r="2011" spans="26:26" x14ac:dyDescent="0.25">
      <c r="Z2011">
        <v>397348.21704187599</v>
      </c>
    </row>
    <row r="2012" spans="26:26" x14ac:dyDescent="0.25">
      <c r="Z2012">
        <v>397354.82996695861</v>
      </c>
    </row>
    <row r="2013" spans="26:26" x14ac:dyDescent="0.25">
      <c r="Z2013">
        <v>397361.42640095629</v>
      </c>
    </row>
    <row r="2014" spans="26:26" x14ac:dyDescent="0.25">
      <c r="Z2014">
        <v>397368.00638499373</v>
      </c>
    </row>
    <row r="2015" spans="26:26" x14ac:dyDescent="0.25">
      <c r="Z2015">
        <v>397374.56996009353</v>
      </c>
    </row>
    <row r="2016" spans="26:26" x14ac:dyDescent="0.25">
      <c r="Z2016">
        <v>397381.11716717557</v>
      </c>
    </row>
    <row r="2017" spans="26:26" x14ac:dyDescent="0.25">
      <c r="Z2017">
        <v>397387.64804705797</v>
      </c>
    </row>
    <row r="2018" spans="26:26" x14ac:dyDescent="0.25">
      <c r="Z2018">
        <v>397394.16264045681</v>
      </c>
    </row>
    <row r="2019" spans="26:26" x14ac:dyDescent="0.25">
      <c r="Z2019">
        <v>397400.66098798683</v>
      </c>
    </row>
    <row r="2020" spans="26:26" x14ac:dyDescent="0.25">
      <c r="Z2020">
        <v>397407.14313016139</v>
      </c>
    </row>
    <row r="2021" spans="26:26" x14ac:dyDescent="0.25">
      <c r="Z2021">
        <v>397413.60910739296</v>
      </c>
    </row>
    <row r="2022" spans="26:26" x14ac:dyDescent="0.25">
      <c r="Z2022">
        <v>397420.05895999295</v>
      </c>
    </row>
    <row r="2023" spans="26:26" x14ac:dyDescent="0.25">
      <c r="Z2023">
        <v>397426.49272817251</v>
      </c>
    </row>
    <row r="2024" spans="26:26" x14ac:dyDescent="0.25">
      <c r="Z2024">
        <v>397432.91045204242</v>
      </c>
    </row>
    <row r="2025" spans="26:26" x14ac:dyDescent="0.25">
      <c r="Z2025">
        <v>397439.31217161339</v>
      </c>
    </row>
    <row r="2026" spans="26:26" x14ac:dyDescent="0.25">
      <c r="Z2026">
        <v>397445.69792679639</v>
      </c>
    </row>
    <row r="2027" spans="26:26" x14ac:dyDescent="0.25">
      <c r="Z2027">
        <v>397452.0677574029</v>
      </c>
    </row>
    <row r="2028" spans="26:26" x14ac:dyDescent="0.25">
      <c r="Z2028">
        <v>397458.42170314502</v>
      </c>
    </row>
    <row r="2029" spans="26:26" x14ac:dyDescent="0.25">
      <c r="Z2029">
        <v>397464.759803636</v>
      </c>
    </row>
    <row r="2030" spans="26:26" x14ac:dyDescent="0.25">
      <c r="Z2030">
        <v>397471.08209838992</v>
      </c>
    </row>
    <row r="2031" spans="26:26" x14ac:dyDescent="0.25">
      <c r="Z2031">
        <v>397477.38862682291</v>
      </c>
    </row>
    <row r="2032" spans="26:26" x14ac:dyDescent="0.25">
      <c r="Z2032">
        <v>397483.67942825222</v>
      </c>
    </row>
    <row r="2033" spans="26:26" x14ac:dyDescent="0.25">
      <c r="Z2033">
        <v>397489.95454189752</v>
      </c>
    </row>
    <row r="2034" spans="26:26" x14ac:dyDescent="0.25">
      <c r="Z2034">
        <v>397496.21400688036</v>
      </c>
    </row>
    <row r="2035" spans="26:26" x14ac:dyDescent="0.25">
      <c r="Z2035">
        <v>397502.45786222478</v>
      </c>
    </row>
    <row r="2036" spans="26:26" x14ac:dyDescent="0.25">
      <c r="Z2036">
        <v>397508.68614685757</v>
      </c>
    </row>
    <row r="2037" spans="26:26" x14ac:dyDescent="0.25">
      <c r="Z2037">
        <v>397514.89889960864</v>
      </c>
    </row>
    <row r="2038" spans="26:26" x14ac:dyDescent="0.25">
      <c r="Z2038">
        <v>397521.0961592106</v>
      </c>
    </row>
    <row r="2039" spans="26:26" x14ac:dyDescent="0.25">
      <c r="Z2039">
        <v>397527.27796429984</v>
      </c>
    </row>
    <row r="2040" spans="26:26" x14ac:dyDescent="0.25">
      <c r="Z2040">
        <v>397533.44435341627</v>
      </c>
    </row>
    <row r="2041" spans="26:26" x14ac:dyDescent="0.25">
      <c r="Z2041">
        <v>397539.5953650038</v>
      </c>
    </row>
    <row r="2042" spans="26:26" x14ac:dyDescent="0.25">
      <c r="Z2042">
        <v>397545.73103741021</v>
      </c>
    </row>
    <row r="2043" spans="26:26" x14ac:dyDescent="0.25">
      <c r="Z2043">
        <v>397551.851408888</v>
      </c>
    </row>
    <row r="2044" spans="26:26" x14ac:dyDescent="0.25">
      <c r="Z2044">
        <v>397557.95651759405</v>
      </c>
    </row>
    <row r="2045" spans="26:26" x14ac:dyDescent="0.25">
      <c r="Z2045">
        <v>397564.04640159005</v>
      </c>
    </row>
    <row r="2046" spans="26:26" x14ac:dyDescent="0.25">
      <c r="Z2046">
        <v>397570.121098843</v>
      </c>
    </row>
    <row r="2047" spans="26:26" x14ac:dyDescent="0.25">
      <c r="Z2047">
        <v>397576.18064722489</v>
      </c>
    </row>
    <row r="2048" spans="26:26" x14ac:dyDescent="0.25">
      <c r="Z2048">
        <v>397582.2250845136</v>
      </c>
    </row>
    <row r="2049" spans="26:26" x14ac:dyDescent="0.25">
      <c r="Z2049">
        <v>397588.2544483926</v>
      </c>
    </row>
    <row r="2050" spans="26:26" x14ac:dyDescent="0.25">
      <c r="Z2050">
        <v>397594.26877645153</v>
      </c>
    </row>
    <row r="2051" spans="26:26" x14ac:dyDescent="0.25">
      <c r="Z2051">
        <v>397600.26810618606</v>
      </c>
    </row>
    <row r="2052" spans="26:26" x14ac:dyDescent="0.25">
      <c r="Z2052">
        <v>397606.25247499853</v>
      </c>
    </row>
    <row r="2053" spans="26:26" x14ac:dyDescent="0.25">
      <c r="Z2053">
        <v>397612.22192019806</v>
      </c>
    </row>
    <row r="2054" spans="26:26" x14ac:dyDescent="0.25">
      <c r="Z2054">
        <v>397618.17647900054</v>
      </c>
    </row>
    <row r="2055" spans="26:26" x14ac:dyDescent="0.25">
      <c r="Z2055">
        <v>397624.11618852918</v>
      </c>
    </row>
    <row r="2056" spans="26:26" x14ac:dyDescent="0.25">
      <c r="Z2056">
        <v>397630.04108581465</v>
      </c>
    </row>
    <row r="2057" spans="26:26" x14ac:dyDescent="0.25">
      <c r="Z2057">
        <v>397635.95120779518</v>
      </c>
    </row>
    <row r="2058" spans="26:26" x14ac:dyDescent="0.25">
      <c r="Z2058">
        <v>397641.84659131692</v>
      </c>
    </row>
    <row r="2059" spans="26:26" x14ac:dyDescent="0.25">
      <c r="Z2059">
        <v>397647.72727313405</v>
      </c>
    </row>
    <row r="2060" spans="26:26" x14ac:dyDescent="0.25">
      <c r="Z2060">
        <v>397653.59328990924</v>
      </c>
    </row>
    <row r="2061" spans="26:26" x14ac:dyDescent="0.25">
      <c r="Z2061">
        <v>397659.44467821374</v>
      </c>
    </row>
    <row r="2062" spans="26:26" x14ac:dyDescent="0.25">
      <c r="Z2062">
        <v>397665.28147452744</v>
      </c>
    </row>
    <row r="2063" spans="26:26" x14ac:dyDescent="0.25">
      <c r="Z2063">
        <v>397671.10371523933</v>
      </c>
    </row>
    <row r="2064" spans="26:26" x14ac:dyDescent="0.25">
      <c r="Z2064">
        <v>397676.9114366477</v>
      </c>
    </row>
    <row r="2065" spans="26:26" x14ac:dyDescent="0.25">
      <c r="Z2065">
        <v>397682.70467496035</v>
      </c>
    </row>
    <row r="2066" spans="26:26" x14ac:dyDescent="0.25">
      <c r="Z2066">
        <v>397688.48346629459</v>
      </c>
    </row>
    <row r="2067" spans="26:26" x14ac:dyDescent="0.25">
      <c r="Z2067">
        <v>397694.2478466779</v>
      </c>
    </row>
    <row r="2068" spans="26:26" x14ac:dyDescent="0.25">
      <c r="Z2068">
        <v>397699.99785204779</v>
      </c>
    </row>
    <row r="2069" spans="26:26" x14ac:dyDescent="0.25">
      <c r="Z2069">
        <v>397705.73351825215</v>
      </c>
    </row>
    <row r="2070" spans="26:26" x14ac:dyDescent="0.25">
      <c r="Z2070">
        <v>397711.45488104952</v>
      </c>
    </row>
    <row r="2071" spans="26:26" x14ac:dyDescent="0.25">
      <c r="Z2071">
        <v>397717.16197610926</v>
      </c>
    </row>
    <row r="2072" spans="26:26" x14ac:dyDescent="0.25">
      <c r="Z2072">
        <v>397722.85483901168</v>
      </c>
    </row>
    <row r="2073" spans="26:26" x14ac:dyDescent="0.25">
      <c r="Z2073">
        <v>397728.5335052486</v>
      </c>
    </row>
    <row r="2074" spans="26:26" x14ac:dyDescent="0.25">
      <c r="Z2074">
        <v>397734.19801022304</v>
      </c>
    </row>
    <row r="2075" spans="26:26" x14ac:dyDescent="0.25">
      <c r="Z2075">
        <v>397739.84838924988</v>
      </c>
    </row>
    <row r="2076" spans="26:26" x14ac:dyDescent="0.25">
      <c r="Z2076">
        <v>397745.48467755603</v>
      </c>
    </row>
    <row r="2077" spans="26:26" x14ac:dyDescent="0.25">
      <c r="Z2077">
        <v>397751.1069102803</v>
      </c>
    </row>
    <row r="2078" spans="26:26" x14ac:dyDescent="0.25">
      <c r="Z2078">
        <v>397756.71512247412</v>
      </c>
    </row>
    <row r="2079" spans="26:26" x14ac:dyDescent="0.25">
      <c r="Z2079">
        <v>397762.30934910139</v>
      </c>
    </row>
    <row r="2080" spans="26:26" x14ac:dyDescent="0.25">
      <c r="Z2080">
        <v>397767.88962503878</v>
      </c>
    </row>
    <row r="2081" spans="26:26" x14ac:dyDescent="0.25">
      <c r="Z2081">
        <v>397773.45598507614</v>
      </c>
    </row>
    <row r="2082" spans="26:26" x14ac:dyDescent="0.25">
      <c r="Z2082">
        <v>397779.00846391631</v>
      </c>
    </row>
    <row r="2083" spans="26:26" x14ac:dyDescent="0.25">
      <c r="Z2083">
        <v>397784.54709617584</v>
      </c>
    </row>
    <row r="2084" spans="26:26" x14ac:dyDescent="0.25">
      <c r="Z2084">
        <v>397790.07191638486</v>
      </c>
    </row>
    <row r="2085" spans="26:26" x14ac:dyDescent="0.25">
      <c r="Z2085">
        <v>397795.58295898739</v>
      </c>
    </row>
    <row r="2086" spans="26:26" x14ac:dyDescent="0.25">
      <c r="Z2086">
        <v>397801.08025834162</v>
      </c>
    </row>
    <row r="2087" spans="26:26" x14ac:dyDescent="0.25">
      <c r="Z2087">
        <v>397806.56384871976</v>
      </c>
    </row>
    <row r="2088" spans="26:26" x14ac:dyDescent="0.25">
      <c r="Z2088">
        <v>397812.03376430896</v>
      </c>
    </row>
    <row r="2089" spans="26:26" x14ac:dyDescent="0.25">
      <c r="Z2089">
        <v>397817.490039211</v>
      </c>
    </row>
    <row r="2090" spans="26:26" x14ac:dyDescent="0.25">
      <c r="Z2090">
        <v>397822.93270744238</v>
      </c>
    </row>
    <row r="2091" spans="26:26" x14ac:dyDescent="0.25">
      <c r="Z2091">
        <v>397828.36180293508</v>
      </c>
    </row>
    <row r="2092" spans="26:26" x14ac:dyDescent="0.25">
      <c r="Z2092">
        <v>397833.77735953615</v>
      </c>
    </row>
    <row r="2093" spans="26:26" x14ac:dyDescent="0.25">
      <c r="Z2093">
        <v>397839.17941100866</v>
      </c>
    </row>
    <row r="2094" spans="26:26" x14ac:dyDescent="0.25">
      <c r="Z2094">
        <v>397844.5679910311</v>
      </c>
    </row>
    <row r="2095" spans="26:26" x14ac:dyDescent="0.25">
      <c r="Z2095">
        <v>397849.94313319813</v>
      </c>
    </row>
    <row r="2096" spans="26:26" x14ac:dyDescent="0.25">
      <c r="Z2096">
        <v>397855.30487102055</v>
      </c>
    </row>
    <row r="2097" spans="26:26" x14ac:dyDescent="0.25">
      <c r="Z2097">
        <v>397860.65323792573</v>
      </c>
    </row>
    <row r="2098" spans="26:26" x14ac:dyDescent="0.25">
      <c r="Z2098">
        <v>397865.98826725758</v>
      </c>
    </row>
    <row r="2099" spans="26:26" x14ac:dyDescent="0.25">
      <c r="Z2099">
        <v>397871.30999227695</v>
      </c>
    </row>
    <row r="2100" spans="26:26" x14ac:dyDescent="0.25">
      <c r="Z2100">
        <v>397876.6184461615</v>
      </c>
    </row>
    <row r="2101" spans="26:26" x14ac:dyDescent="0.25">
      <c r="Z2101">
        <v>397881.9136620065</v>
      </c>
    </row>
    <row r="2102" spans="26:26" x14ac:dyDescent="0.25">
      <c r="Z2102">
        <v>397887.1956728244</v>
      </c>
    </row>
    <row r="2103" spans="26:26" x14ac:dyDescent="0.25">
      <c r="Z2103">
        <v>397892.46451154555</v>
      </c>
    </row>
    <row r="2104" spans="26:26" x14ac:dyDescent="0.25">
      <c r="Z2104">
        <v>397897.72021101805</v>
      </c>
    </row>
    <row r="2105" spans="26:26" x14ac:dyDescent="0.25">
      <c r="Z2105">
        <v>397902.96280400804</v>
      </c>
    </row>
    <row r="2106" spans="26:26" x14ac:dyDescent="0.25">
      <c r="Z2106">
        <v>397908.1923232</v>
      </c>
    </row>
    <row r="2107" spans="26:26" x14ac:dyDescent="0.25">
      <c r="Z2107">
        <v>397913.40880119702</v>
      </c>
    </row>
    <row r="2108" spans="26:26" x14ac:dyDescent="0.25">
      <c r="Z2108">
        <v>397918.61227052065</v>
      </c>
    </row>
    <row r="2109" spans="26:26" x14ac:dyDescent="0.25">
      <c r="Z2109">
        <v>397923.8027636116</v>
      </c>
    </row>
    <row r="2110" spans="26:26" x14ac:dyDescent="0.25">
      <c r="Z2110">
        <v>397928.98031282955</v>
      </c>
    </row>
    <row r="2111" spans="26:26" x14ac:dyDescent="0.25">
      <c r="Z2111">
        <v>397934.14495045348</v>
      </c>
    </row>
    <row r="2112" spans="26:26" x14ac:dyDescent="0.25">
      <c r="Z2112">
        <v>397939.29670868174</v>
      </c>
    </row>
    <row r="2113" spans="26:26" x14ac:dyDescent="0.25">
      <c r="Z2113">
        <v>397944.43561963266</v>
      </c>
    </row>
    <row r="2114" spans="26:26" x14ac:dyDescent="0.25">
      <c r="Z2114">
        <v>397949.56171534432</v>
      </c>
    </row>
    <row r="2115" spans="26:26" x14ac:dyDescent="0.25">
      <c r="Z2115">
        <v>397954.67502777488</v>
      </c>
    </row>
    <row r="2116" spans="26:26" x14ac:dyDescent="0.25">
      <c r="Z2116">
        <v>397959.77558880288</v>
      </c>
    </row>
    <row r="2117" spans="26:26" x14ac:dyDescent="0.25">
      <c r="Z2117">
        <v>397964.86343022727</v>
      </c>
    </row>
    <row r="2118" spans="26:26" x14ac:dyDescent="0.25">
      <c r="Z2118">
        <v>397969.93858376786</v>
      </c>
    </row>
    <row r="2119" spans="26:26" x14ac:dyDescent="0.25">
      <c r="Z2119">
        <v>397975.00108106516</v>
      </c>
    </row>
    <row r="2120" spans="26:26" x14ac:dyDescent="0.25">
      <c r="Z2120">
        <v>397980.050953681</v>
      </c>
    </row>
    <row r="2121" spans="26:26" x14ac:dyDescent="0.25">
      <c r="Z2121">
        <v>397985.08823309827</v>
      </c>
    </row>
    <row r="2122" spans="26:26" x14ac:dyDescent="0.25">
      <c r="Z2122">
        <v>397990.11295072146</v>
      </c>
    </row>
    <row r="2123" spans="26:26" x14ac:dyDescent="0.25">
      <c r="Z2123">
        <v>397995.12513787678</v>
      </c>
    </row>
    <row r="2124" spans="26:26" x14ac:dyDescent="0.25">
      <c r="Z2124">
        <v>398000.12482581229</v>
      </c>
    </row>
    <row r="2125" spans="26:26" x14ac:dyDescent="0.25">
      <c r="Z2125">
        <v>398005.11204569798</v>
      </c>
    </row>
    <row r="2126" spans="26:26" x14ac:dyDescent="0.25">
      <c r="Z2126">
        <v>398010.0868286264</v>
      </c>
    </row>
    <row r="2127" spans="26:26" x14ac:dyDescent="0.25">
      <c r="Z2127">
        <v>398015.04920561239</v>
      </c>
    </row>
    <row r="2128" spans="26:26" x14ac:dyDescent="0.25">
      <c r="Z2128">
        <v>398019.99920759338</v>
      </c>
    </row>
    <row r="2129" spans="26:26" x14ac:dyDescent="0.25">
      <c r="Z2129">
        <v>398024.93686542986</v>
      </c>
    </row>
    <row r="2130" spans="26:26" x14ac:dyDescent="0.25">
      <c r="Z2130">
        <v>398029.86220990511</v>
      </c>
    </row>
    <row r="2131" spans="26:26" x14ac:dyDescent="0.25">
      <c r="Z2131">
        <v>398034.77527172578</v>
      </c>
    </row>
    <row r="2132" spans="26:26" x14ac:dyDescent="0.25">
      <c r="Z2132">
        <v>398039.67608152196</v>
      </c>
    </row>
    <row r="2133" spans="26:26" x14ac:dyDescent="0.25">
      <c r="Z2133">
        <v>398044.56466984731</v>
      </c>
    </row>
    <row r="2134" spans="26:26" x14ac:dyDescent="0.25">
      <c r="Z2134">
        <v>398049.44106717937</v>
      </c>
    </row>
    <row r="2135" spans="26:26" x14ac:dyDescent="0.25">
      <c r="Z2135">
        <v>398054.30530391959</v>
      </c>
    </row>
    <row r="2136" spans="26:26" x14ac:dyDescent="0.25">
      <c r="Z2136">
        <v>398059.15741039359</v>
      </c>
    </row>
    <row r="2137" spans="26:26" x14ac:dyDescent="0.25">
      <c r="Z2137">
        <v>398063.99741685152</v>
      </c>
    </row>
    <row r="2138" spans="26:26" x14ac:dyDescent="0.25">
      <c r="Z2138">
        <v>398068.82535346778</v>
      </c>
    </row>
    <row r="2139" spans="26:26" x14ac:dyDescent="0.25">
      <c r="Z2139">
        <v>398073.64125034196</v>
      </c>
    </row>
    <row r="2140" spans="26:26" x14ac:dyDescent="0.25">
      <c r="Z2140">
        <v>398078.4451374982</v>
      </c>
    </row>
    <row r="2141" spans="26:26" x14ac:dyDescent="0.25">
      <c r="Z2141">
        <v>398083.23704488599</v>
      </c>
    </row>
    <row r="2142" spans="26:26" x14ac:dyDescent="0.25">
      <c r="Z2142">
        <v>398088.01700238005</v>
      </c>
    </row>
    <row r="2143" spans="26:26" x14ac:dyDescent="0.25">
      <c r="Z2143">
        <v>398092.78503978055</v>
      </c>
    </row>
    <row r="2144" spans="26:26" x14ac:dyDescent="0.25">
      <c r="Z2144">
        <v>398097.5411868135</v>
      </c>
    </row>
    <row r="2145" spans="26:26" x14ac:dyDescent="0.25">
      <c r="Z2145">
        <v>398102.2854731307</v>
      </c>
    </row>
    <row r="2146" spans="26:26" x14ac:dyDescent="0.25">
      <c r="Z2146">
        <v>398107.01792830991</v>
      </c>
    </row>
    <row r="2147" spans="26:26" x14ac:dyDescent="0.25">
      <c r="Z2147">
        <v>398111.73858185532</v>
      </c>
    </row>
    <row r="2148" spans="26:26" x14ac:dyDescent="0.25">
      <c r="Z2148">
        <v>398116.44746319734</v>
      </c>
    </row>
    <row r="2149" spans="26:26" x14ac:dyDescent="0.25">
      <c r="Z2149">
        <v>398121.14460169309</v>
      </c>
    </row>
    <row r="2150" spans="26:26" x14ac:dyDescent="0.25">
      <c r="Z2150">
        <v>398125.83002662647</v>
      </c>
    </row>
    <row r="2151" spans="26:26" x14ac:dyDescent="0.25">
      <c r="Z2151">
        <v>398130.50376720849</v>
      </c>
    </row>
    <row r="2152" spans="26:26" x14ac:dyDescent="0.25">
      <c r="Z2152">
        <v>398135.16585257702</v>
      </c>
    </row>
    <row r="2153" spans="26:26" x14ac:dyDescent="0.25">
      <c r="Z2153">
        <v>398139.81631179753</v>
      </c>
    </row>
    <row r="2154" spans="26:26" x14ac:dyDescent="0.25">
      <c r="Z2154">
        <v>398144.45517386292</v>
      </c>
    </row>
    <row r="2155" spans="26:26" x14ac:dyDescent="0.25">
      <c r="Z2155">
        <v>398149.08246769366</v>
      </c>
    </row>
    <row r="2156" spans="26:26" x14ac:dyDescent="0.25">
      <c r="Z2156">
        <v>398153.69822213828</v>
      </c>
    </row>
    <row r="2157" spans="26:26" x14ac:dyDescent="0.25">
      <c r="Z2157">
        <v>398158.30246597336</v>
      </c>
    </row>
    <row r="2158" spans="26:26" x14ac:dyDescent="0.25">
      <c r="Z2158">
        <v>398162.89522790362</v>
      </c>
    </row>
    <row r="2159" spans="26:26" x14ac:dyDescent="0.25">
      <c r="Z2159">
        <v>398167.47653656226</v>
      </c>
    </row>
    <row r="2160" spans="26:26" x14ac:dyDescent="0.25">
      <c r="Z2160">
        <v>398172.04642051097</v>
      </c>
    </row>
    <row r="2161" spans="26:26" x14ac:dyDescent="0.25">
      <c r="Z2161">
        <v>398176.60490824032</v>
      </c>
    </row>
    <row r="2162" spans="26:26" x14ac:dyDescent="0.25">
      <c r="Z2162">
        <v>398181.15202816989</v>
      </c>
    </row>
    <row r="2163" spans="26:26" x14ac:dyDescent="0.25">
      <c r="Z2163">
        <v>398185.68780864828</v>
      </c>
    </row>
    <row r="2164" spans="26:26" x14ac:dyDescent="0.25">
      <c r="Z2164">
        <v>398190.2122779534</v>
      </c>
    </row>
    <row r="2165" spans="26:26" x14ac:dyDescent="0.25">
      <c r="Z2165">
        <v>398194.72546429269</v>
      </c>
    </row>
    <row r="2166" spans="26:26" x14ac:dyDescent="0.25">
      <c r="Z2166">
        <v>398199.2273958032</v>
      </c>
    </row>
    <row r="2167" spans="26:26" x14ac:dyDescent="0.25">
      <c r="Z2167">
        <v>398203.71810055181</v>
      </c>
    </row>
    <row r="2168" spans="26:26" x14ac:dyDescent="0.25">
      <c r="Z2168">
        <v>398208.19760653545</v>
      </c>
    </row>
    <row r="2169" spans="26:26" x14ac:dyDescent="0.25">
      <c r="Z2169">
        <v>398212.66594168125</v>
      </c>
    </row>
    <row r="2170" spans="26:26" x14ac:dyDescent="0.25">
      <c r="Z2170">
        <v>398217.12313384662</v>
      </c>
    </row>
    <row r="2171" spans="26:26" x14ac:dyDescent="0.25">
      <c r="Z2171">
        <v>398221.56921081961</v>
      </c>
    </row>
    <row r="2172" spans="26:26" x14ac:dyDescent="0.25">
      <c r="Z2172">
        <v>398226.00420031883</v>
      </c>
    </row>
    <row r="2173" spans="26:26" x14ac:dyDescent="0.25">
      <c r="Z2173">
        <v>398230.42812999379</v>
      </c>
    </row>
    <row r="2174" spans="26:26" x14ac:dyDescent="0.25">
      <c r="Z2174">
        <v>398234.84102742519</v>
      </c>
    </row>
    <row r="2175" spans="26:26" x14ac:dyDescent="0.25">
      <c r="Z2175">
        <v>398239.24292012496</v>
      </c>
    </row>
    <row r="2176" spans="26:26" x14ac:dyDescent="0.25">
      <c r="Z2176">
        <v>398243.63383553608</v>
      </c>
    </row>
    <row r="2177" spans="26:26" x14ac:dyDescent="0.25">
      <c r="Z2177">
        <v>398248.01380103349</v>
      </c>
    </row>
    <row r="2178" spans="26:26" x14ac:dyDescent="0.25">
      <c r="Z2178">
        <v>398252.3828439237</v>
      </c>
    </row>
    <row r="2179" spans="26:26" x14ac:dyDescent="0.25">
      <c r="Z2179">
        <v>398256.74099144508</v>
      </c>
    </row>
    <row r="2180" spans="26:26" x14ac:dyDescent="0.25">
      <c r="Z2180">
        <v>398261.08827076817</v>
      </c>
    </row>
    <row r="2181" spans="26:26" x14ac:dyDescent="0.25">
      <c r="Z2181">
        <v>398265.42470899568</v>
      </c>
    </row>
    <row r="2182" spans="26:26" x14ac:dyDescent="0.25">
      <c r="Z2182">
        <v>398269.75033316278</v>
      </c>
    </row>
    <row r="2183" spans="26:26" x14ac:dyDescent="0.25">
      <c r="Z2183">
        <v>398274.06517023715</v>
      </c>
    </row>
    <row r="2184" spans="26:26" x14ac:dyDescent="0.25">
      <c r="Z2184">
        <v>398278.36924711935</v>
      </c>
    </row>
    <row r="2185" spans="26:26" x14ac:dyDescent="0.25">
      <c r="Z2185">
        <v>398282.66259064275</v>
      </c>
    </row>
    <row r="2186" spans="26:26" x14ac:dyDescent="0.25">
      <c r="Z2186">
        <v>398286.94522757386</v>
      </c>
    </row>
    <row r="2187" spans="26:26" x14ac:dyDescent="0.25">
      <c r="Z2187">
        <v>398291.21718461229</v>
      </c>
    </row>
    <row r="2188" spans="26:26" x14ac:dyDescent="0.25">
      <c r="Z2188">
        <v>398295.47848839132</v>
      </c>
    </row>
    <row r="2189" spans="26:26" x14ac:dyDescent="0.25">
      <c r="Z2189">
        <v>398299.72916547762</v>
      </c>
    </row>
    <row r="2190" spans="26:26" x14ac:dyDescent="0.25">
      <c r="Z2190">
        <v>398303.96924237168</v>
      </c>
    </row>
    <row r="2191" spans="26:26" x14ac:dyDescent="0.25">
      <c r="Z2191">
        <v>398308.19874550792</v>
      </c>
    </row>
    <row r="2192" spans="26:26" x14ac:dyDescent="0.25">
      <c r="Z2192">
        <v>398312.41770125477</v>
      </c>
    </row>
    <row r="2193" spans="26:26" x14ac:dyDescent="0.25">
      <c r="Z2193">
        <v>398316.62613591499</v>
      </c>
    </row>
    <row r="2194" spans="26:26" x14ac:dyDescent="0.25">
      <c r="Z2194">
        <v>398320.82407572569</v>
      </c>
    </row>
    <row r="2195" spans="26:26" x14ac:dyDescent="0.25">
      <c r="Z2195">
        <v>398325.01154685853</v>
      </c>
    </row>
    <row r="2196" spans="26:26" x14ac:dyDescent="0.25">
      <c r="Z2196">
        <v>398329.18857542</v>
      </c>
    </row>
    <row r="2197" spans="26:26" x14ac:dyDescent="0.25">
      <c r="Z2197">
        <v>398333.35518745135</v>
      </c>
    </row>
    <row r="2198" spans="26:26" x14ac:dyDescent="0.25">
      <c r="Z2198">
        <v>398337.51140892901</v>
      </c>
    </row>
    <row r="2199" spans="26:26" x14ac:dyDescent="0.25">
      <c r="Z2199">
        <v>398341.6572657646</v>
      </c>
    </row>
    <row r="2200" spans="26:26" x14ac:dyDescent="0.25">
      <c r="Z2200">
        <v>398345.79278380511</v>
      </c>
    </row>
    <row r="2201" spans="26:26" x14ac:dyDescent="0.25">
      <c r="Z2201">
        <v>398349.91798883304</v>
      </c>
    </row>
    <row r="2202" spans="26:26" x14ac:dyDescent="0.25">
      <c r="Z2202">
        <v>398354.03290656663</v>
      </c>
    </row>
    <row r="2203" spans="26:26" x14ac:dyDescent="0.25">
      <c r="Z2203">
        <v>398358.13756265998</v>
      </c>
    </row>
    <row r="2204" spans="26:26" x14ac:dyDescent="0.25">
      <c r="Z2204">
        <v>398362.2319827032</v>
      </c>
    </row>
    <row r="2205" spans="26:26" x14ac:dyDescent="0.25">
      <c r="Z2205">
        <v>398366.31619222264</v>
      </c>
    </row>
    <row r="2206" spans="26:26" x14ac:dyDescent="0.25">
      <c r="Z2206">
        <v>398370.39021668094</v>
      </c>
    </row>
    <row r="2207" spans="26:26" x14ac:dyDescent="0.25">
      <c r="Z2207">
        <v>398374.45408147725</v>
      </c>
    </row>
    <row r="2208" spans="26:26" x14ac:dyDescent="0.25">
      <c r="Z2208">
        <v>398378.50781194743</v>
      </c>
    </row>
    <row r="2209" spans="26:26" x14ac:dyDescent="0.25">
      <c r="Z2209">
        <v>398382.55143336399</v>
      </c>
    </row>
    <row r="2210" spans="26:26" x14ac:dyDescent="0.25">
      <c r="Z2210">
        <v>398386.58497093664</v>
      </c>
    </row>
    <row r="2211" spans="26:26" x14ac:dyDescent="0.25">
      <c r="Z2211">
        <v>398390.60844981211</v>
      </c>
    </row>
    <row r="2212" spans="26:26" x14ac:dyDescent="0.25">
      <c r="Z2212">
        <v>398394.62189507438</v>
      </c>
    </row>
    <row r="2213" spans="26:26" x14ac:dyDescent="0.25">
      <c r="Z2213">
        <v>398398.62533174508</v>
      </c>
    </row>
    <row r="2214" spans="26:26" x14ac:dyDescent="0.25">
      <c r="Z2214">
        <v>398402.61878478312</v>
      </c>
    </row>
    <row r="2215" spans="26:26" x14ac:dyDescent="0.25">
      <c r="Z2215">
        <v>398406.60227908537</v>
      </c>
    </row>
    <row r="2216" spans="26:26" x14ac:dyDescent="0.25">
      <c r="Z2216">
        <v>398410.57583948667</v>
      </c>
    </row>
    <row r="2217" spans="26:26" x14ac:dyDescent="0.25">
      <c r="Z2217">
        <v>398414.53949075978</v>
      </c>
    </row>
    <row r="2218" spans="26:26" x14ac:dyDescent="0.25">
      <c r="Z2218">
        <v>398418.49325761577</v>
      </c>
    </row>
    <row r="2219" spans="26:26" x14ac:dyDescent="0.25">
      <c r="Z2219">
        <v>398422.43716470402</v>
      </c>
    </row>
    <row r="2220" spans="26:26" x14ac:dyDescent="0.25">
      <c r="Z2220">
        <v>398426.3712366125</v>
      </c>
    </row>
    <row r="2221" spans="26:26" x14ac:dyDescent="0.25">
      <c r="Z2221">
        <v>398430.2954978678</v>
      </c>
    </row>
    <row r="2222" spans="26:26" x14ac:dyDescent="0.25">
      <c r="Z2222">
        <v>398434.20997293544</v>
      </c>
    </row>
    <row r="2223" spans="26:26" x14ac:dyDescent="0.25">
      <c r="Z2223">
        <v>398438.11468621989</v>
      </c>
    </row>
    <row r="2224" spans="26:26" x14ac:dyDescent="0.25">
      <c r="Z2224">
        <v>398442.00966206472</v>
      </c>
    </row>
    <row r="2225" spans="26:26" x14ac:dyDescent="0.25">
      <c r="Z2225">
        <v>398445.89492475288</v>
      </c>
    </row>
    <row r="2226" spans="26:26" x14ac:dyDescent="0.25">
      <c r="Z2226">
        <v>398449.77049850655</v>
      </c>
    </row>
    <row r="2227" spans="26:26" x14ac:dyDescent="0.25">
      <c r="Z2227">
        <v>398453.63640748785</v>
      </c>
    </row>
    <row r="2228" spans="26:26" x14ac:dyDescent="0.25">
      <c r="Z2228">
        <v>398457.49267579836</v>
      </c>
    </row>
    <row r="2229" spans="26:26" x14ac:dyDescent="0.25">
      <c r="Z2229">
        <v>398461.33932747965</v>
      </c>
    </row>
    <row r="2230" spans="26:26" x14ac:dyDescent="0.25">
      <c r="Z2230">
        <v>398465.1763865134</v>
      </c>
    </row>
    <row r="2231" spans="26:26" x14ac:dyDescent="0.25">
      <c r="Z2231">
        <v>398469.00387682131</v>
      </c>
    </row>
    <row r="2232" spans="26:26" x14ac:dyDescent="0.25">
      <c r="Z2232">
        <v>398472.82182226563</v>
      </c>
    </row>
    <row r="2233" spans="26:26" x14ac:dyDescent="0.25">
      <c r="Z2233">
        <v>398476.63024664909</v>
      </c>
    </row>
    <row r="2234" spans="26:26" x14ac:dyDescent="0.25">
      <c r="Z2234">
        <v>398480.42917371471</v>
      </c>
    </row>
    <row r="2235" spans="26:26" x14ac:dyDescent="0.25">
      <c r="Z2235">
        <v>398484.21862714691</v>
      </c>
    </row>
    <row r="2236" spans="26:26" x14ac:dyDescent="0.25">
      <c r="Z2236">
        <v>398487.99863057042</v>
      </c>
    </row>
    <row r="2237" spans="26:26" x14ac:dyDescent="0.25">
      <c r="Z2237">
        <v>398491.76920755155</v>
      </c>
    </row>
    <row r="2238" spans="26:26" x14ac:dyDescent="0.25">
      <c r="Z2238">
        <v>398495.53038159758</v>
      </c>
    </row>
    <row r="2239" spans="26:26" x14ac:dyDescent="0.25">
      <c r="Z2239">
        <v>398499.28217615717</v>
      </c>
    </row>
    <row r="2240" spans="26:26" x14ac:dyDescent="0.25">
      <c r="Z2240">
        <v>398503.02461462066</v>
      </c>
    </row>
    <row r="2241" spans="26:26" x14ac:dyDescent="0.25">
      <c r="Z2241">
        <v>398506.75772031985</v>
      </c>
    </row>
    <row r="2242" spans="26:26" x14ac:dyDescent="0.25">
      <c r="Z2242">
        <v>398510.48151652853</v>
      </c>
    </row>
    <row r="2243" spans="26:26" x14ac:dyDescent="0.25">
      <c r="Z2243">
        <v>398514.19602646236</v>
      </c>
    </row>
    <row r="2244" spans="26:26" x14ac:dyDescent="0.25">
      <c r="Z2244">
        <v>398517.90127327916</v>
      </c>
    </row>
    <row r="2245" spans="26:26" x14ac:dyDescent="0.25">
      <c r="Z2245">
        <v>398521.59728007898</v>
      </c>
    </row>
    <row r="2246" spans="26:26" x14ac:dyDescent="0.25">
      <c r="Z2246">
        <v>398525.28406990418</v>
      </c>
    </row>
    <row r="2247" spans="26:26" x14ac:dyDescent="0.25">
      <c r="Z2247">
        <v>398528.96166573989</v>
      </c>
    </row>
    <row r="2248" spans="26:26" x14ac:dyDescent="0.25">
      <c r="Z2248">
        <v>398532.63009051356</v>
      </c>
    </row>
    <row r="2249" spans="26:26" x14ac:dyDescent="0.25">
      <c r="Z2249">
        <v>398536.2893670958</v>
      </c>
    </row>
    <row r="2250" spans="26:26" x14ac:dyDescent="0.25">
      <c r="Z2250">
        <v>398539.93951830006</v>
      </c>
    </row>
    <row r="2251" spans="26:26" x14ac:dyDescent="0.25">
      <c r="Z2251">
        <v>398543.58056688285</v>
      </c>
    </row>
    <row r="2252" spans="26:26" x14ac:dyDescent="0.25">
      <c r="Z2252">
        <v>398547.21253554401</v>
      </c>
    </row>
    <row r="2253" spans="26:26" x14ac:dyDescent="0.25">
      <c r="Z2253">
        <v>398550.83544692671</v>
      </c>
    </row>
    <row r="2254" spans="26:26" x14ac:dyDescent="0.25">
      <c r="Z2254">
        <v>398554.44932361762</v>
      </c>
    </row>
    <row r="2255" spans="26:26" x14ac:dyDescent="0.25">
      <c r="Z2255">
        <v>398558.05418814725</v>
      </c>
    </row>
    <row r="2256" spans="26:26" x14ac:dyDescent="0.25">
      <c r="Z2256">
        <v>398561.65006298985</v>
      </c>
    </row>
    <row r="2257" spans="26:26" x14ac:dyDescent="0.25">
      <c r="Z2257">
        <v>398565.23697056342</v>
      </c>
    </row>
    <row r="2258" spans="26:26" x14ac:dyDescent="0.25">
      <c r="Z2258">
        <v>398568.81493323029</v>
      </c>
    </row>
    <row r="2259" spans="26:26" x14ac:dyDescent="0.25">
      <c r="Z2259">
        <v>398572.38397329708</v>
      </c>
    </row>
    <row r="2260" spans="26:26" x14ac:dyDescent="0.25">
      <c r="Z2260">
        <v>398575.94411301456</v>
      </c>
    </row>
    <row r="2261" spans="26:26" x14ac:dyDescent="0.25">
      <c r="Z2261">
        <v>398579.49537457805</v>
      </c>
    </row>
    <row r="2262" spans="26:26" x14ac:dyDescent="0.25">
      <c r="Z2262">
        <v>398583.03778012778</v>
      </c>
    </row>
    <row r="2263" spans="26:26" x14ac:dyDescent="0.25">
      <c r="Z2263">
        <v>398586.57135174837</v>
      </c>
    </row>
    <row r="2264" spans="26:26" x14ac:dyDescent="0.25">
      <c r="Z2264">
        <v>398590.09611146973</v>
      </c>
    </row>
    <row r="2265" spans="26:26" x14ac:dyDescent="0.25">
      <c r="Z2265">
        <v>398593.61208126653</v>
      </c>
    </row>
    <row r="2266" spans="26:26" x14ac:dyDescent="0.25">
      <c r="Z2266">
        <v>398597.11928305897</v>
      </c>
    </row>
    <row r="2267" spans="26:26" x14ac:dyDescent="0.25">
      <c r="Z2267">
        <v>398600.61773871217</v>
      </c>
    </row>
    <row r="2268" spans="26:26" x14ac:dyDescent="0.25">
      <c r="Z2268">
        <v>398604.10747003707</v>
      </c>
    </row>
    <row r="2269" spans="26:26" x14ac:dyDescent="0.25">
      <c r="Z2269">
        <v>398607.58849879005</v>
      </c>
    </row>
    <row r="2270" spans="26:26" x14ac:dyDescent="0.25">
      <c r="Z2270">
        <v>398611.06084667338</v>
      </c>
    </row>
    <row r="2271" spans="26:26" x14ac:dyDescent="0.25">
      <c r="Z2271">
        <v>398614.52453533508</v>
      </c>
    </row>
    <row r="2272" spans="26:26" x14ac:dyDescent="0.25">
      <c r="Z2272">
        <v>398617.97958636913</v>
      </c>
    </row>
    <row r="2273" spans="26:26" x14ac:dyDescent="0.25">
      <c r="Z2273">
        <v>398621.42602131586</v>
      </c>
    </row>
    <row r="2274" spans="26:26" x14ac:dyDescent="0.25">
      <c r="Z2274">
        <v>398624.86386166164</v>
      </c>
    </row>
    <row r="2275" spans="26:26" x14ac:dyDescent="0.25">
      <c r="Z2275">
        <v>398628.29312883958</v>
      </c>
    </row>
    <row r="2276" spans="26:26" x14ac:dyDescent="0.25">
      <c r="Z2276">
        <v>398631.713844229</v>
      </c>
    </row>
    <row r="2277" spans="26:26" x14ac:dyDescent="0.25">
      <c r="Z2277">
        <v>398635.12602915609</v>
      </c>
    </row>
    <row r="2278" spans="26:26" x14ac:dyDescent="0.25">
      <c r="Z2278">
        <v>398638.52970489394</v>
      </c>
    </row>
    <row r="2279" spans="26:26" x14ac:dyDescent="0.25">
      <c r="Z2279">
        <v>398641.92489266221</v>
      </c>
    </row>
    <row r="2280" spans="26:26" x14ac:dyDescent="0.25">
      <c r="Z2280">
        <v>398645.31161362818</v>
      </c>
    </row>
    <row r="2281" spans="26:26" x14ac:dyDescent="0.25">
      <c r="Z2281">
        <v>398648.68988890591</v>
      </c>
    </row>
    <row r="2282" spans="26:26" x14ac:dyDescent="0.25">
      <c r="Z2282">
        <v>398652.05973955698</v>
      </c>
    </row>
    <row r="2283" spans="26:26" x14ac:dyDescent="0.25">
      <c r="Z2283">
        <v>398655.42118659051</v>
      </c>
    </row>
    <row r="2284" spans="26:26" x14ac:dyDescent="0.25">
      <c r="Z2284">
        <v>398658.77425096312</v>
      </c>
    </row>
    <row r="2285" spans="26:26" x14ac:dyDescent="0.25">
      <c r="Z2285">
        <v>398662.11895357916</v>
      </c>
    </row>
    <row r="2286" spans="26:26" x14ac:dyDescent="0.25">
      <c r="Z2286">
        <v>398665.45531529095</v>
      </c>
    </row>
    <row r="2287" spans="26:26" x14ac:dyDescent="0.25">
      <c r="Z2287">
        <v>398668.7833568987</v>
      </c>
    </row>
    <row r="2288" spans="26:26" x14ac:dyDescent="0.25">
      <c r="Z2288">
        <v>398672.10309915082</v>
      </c>
    </row>
    <row r="2289" spans="26:26" x14ac:dyDescent="0.25">
      <c r="Z2289">
        <v>398675.41456274397</v>
      </c>
    </row>
    <row r="2290" spans="26:26" x14ac:dyDescent="0.25">
      <c r="Z2290">
        <v>398678.71776832314</v>
      </c>
    </row>
    <row r="2291" spans="26:26" x14ac:dyDescent="0.25">
      <c r="Z2291">
        <v>398682.01273648191</v>
      </c>
    </row>
    <row r="2292" spans="26:26" x14ac:dyDescent="0.25">
      <c r="Z2292">
        <v>398685.29948776256</v>
      </c>
    </row>
    <row r="2293" spans="26:26" x14ac:dyDescent="0.25">
      <c r="Z2293">
        <v>398688.57804265589</v>
      </c>
    </row>
    <row r="2294" spans="26:26" x14ac:dyDescent="0.25">
      <c r="Z2294">
        <v>398691.84842160187</v>
      </c>
    </row>
    <row r="2295" spans="26:26" x14ac:dyDescent="0.25">
      <c r="Z2295">
        <v>398695.11064498941</v>
      </c>
    </row>
    <row r="2296" spans="26:26" x14ac:dyDescent="0.25">
      <c r="Z2296">
        <v>398698.36473315652</v>
      </c>
    </row>
    <row r="2297" spans="26:26" x14ac:dyDescent="0.25">
      <c r="Z2297">
        <v>398701.61070639052</v>
      </c>
    </row>
    <row r="2298" spans="26:26" x14ac:dyDescent="0.25">
      <c r="Z2298">
        <v>398704.8485849282</v>
      </c>
    </row>
    <row r="2299" spans="26:26" x14ac:dyDescent="0.25">
      <c r="Z2299">
        <v>398708.07838895585</v>
      </c>
    </row>
    <row r="2300" spans="26:26" x14ac:dyDescent="0.25">
      <c r="Z2300">
        <v>398711.30013860931</v>
      </c>
    </row>
    <row r="2301" spans="26:26" x14ac:dyDescent="0.25">
      <c r="Z2301">
        <v>398714.51385397441</v>
      </c>
    </row>
    <row r="2302" spans="26:26" x14ac:dyDescent="0.25">
      <c r="Z2302">
        <v>398717.71955508663</v>
      </c>
    </row>
    <row r="2303" spans="26:26" x14ac:dyDescent="0.25">
      <c r="Z2303">
        <v>398720.91726193181</v>
      </c>
    </row>
    <row r="2304" spans="26:26" x14ac:dyDescent="0.25">
      <c r="Z2304">
        <v>398724.10699444573</v>
      </c>
    </row>
    <row r="2305" spans="26:26" x14ac:dyDescent="0.25">
      <c r="Z2305">
        <v>398727.28877251444</v>
      </c>
    </row>
    <row r="2306" spans="26:26" x14ac:dyDescent="0.25">
      <c r="Z2306">
        <v>398730.46261597448</v>
      </c>
    </row>
    <row r="2307" spans="26:26" x14ac:dyDescent="0.25">
      <c r="Z2307">
        <v>398733.62854461296</v>
      </c>
    </row>
    <row r="2308" spans="26:26" x14ac:dyDescent="0.25">
      <c r="Z2308">
        <v>398736.78657816752</v>
      </c>
    </row>
    <row r="2309" spans="26:26" x14ac:dyDescent="0.25">
      <c r="Z2309">
        <v>398739.93673632672</v>
      </c>
    </row>
    <row r="2310" spans="26:26" x14ac:dyDescent="0.25">
      <c r="Z2310">
        <v>398743.07903872989</v>
      </c>
    </row>
    <row r="2311" spans="26:26" x14ac:dyDescent="0.25">
      <c r="Z2311">
        <v>398746.21350496751</v>
      </c>
    </row>
    <row r="2312" spans="26:26" x14ac:dyDescent="0.25">
      <c r="Z2312">
        <v>398749.34015458106</v>
      </c>
    </row>
    <row r="2313" spans="26:26" x14ac:dyDescent="0.25">
      <c r="Z2313">
        <v>398752.45900706336</v>
      </c>
    </row>
    <row r="2314" spans="26:26" x14ac:dyDescent="0.25">
      <c r="Z2314">
        <v>398755.57008185872</v>
      </c>
    </row>
    <row r="2315" spans="26:26" x14ac:dyDescent="0.25">
      <c r="Z2315">
        <v>398758.67339836288</v>
      </c>
    </row>
    <row r="2316" spans="26:26" x14ac:dyDescent="0.25">
      <c r="Z2316">
        <v>398761.76897592301</v>
      </c>
    </row>
    <row r="2317" spans="26:26" x14ac:dyDescent="0.25">
      <c r="Z2317">
        <v>398764.85683383845</v>
      </c>
    </row>
    <row r="2318" spans="26:26" x14ac:dyDescent="0.25">
      <c r="Z2318">
        <v>398767.93699135998</v>
      </c>
    </row>
    <row r="2319" spans="26:26" x14ac:dyDescent="0.25">
      <c r="Z2319">
        <v>398771.00946769078</v>
      </c>
    </row>
    <row r="2320" spans="26:26" x14ac:dyDescent="0.25">
      <c r="Z2320">
        <v>398774.07428198581</v>
      </c>
    </row>
    <row r="2321" spans="26:26" x14ac:dyDescent="0.25">
      <c r="Z2321">
        <v>398777.13145335246</v>
      </c>
    </row>
    <row r="2322" spans="26:26" x14ac:dyDescent="0.25">
      <c r="Z2322">
        <v>398780.18100085034</v>
      </c>
    </row>
    <row r="2323" spans="26:26" x14ac:dyDescent="0.25">
      <c r="Z2323">
        <v>398783.22294349159</v>
      </c>
    </row>
    <row r="2324" spans="26:26" x14ac:dyDescent="0.25">
      <c r="Z2324">
        <v>398786.25730024098</v>
      </c>
    </row>
    <row r="2325" spans="26:26" x14ac:dyDescent="0.25">
      <c r="Z2325">
        <v>398789.28409001598</v>
      </c>
    </row>
    <row r="2326" spans="26:26" x14ac:dyDescent="0.25">
      <c r="Z2326">
        <v>398792.30333168677</v>
      </c>
    </row>
    <row r="2327" spans="26:26" x14ac:dyDescent="0.25">
      <c r="Z2327">
        <v>398795.31504407647</v>
      </c>
    </row>
    <row r="2328" spans="26:26" x14ac:dyDescent="0.25">
      <c r="Z2328">
        <v>398798.31924596161</v>
      </c>
    </row>
    <row r="2329" spans="26:26" x14ac:dyDescent="0.25">
      <c r="Z2329">
        <v>398801.31595607143</v>
      </c>
    </row>
    <row r="2330" spans="26:26" x14ac:dyDescent="0.25">
      <c r="Z2330">
        <v>398804.30519308872</v>
      </c>
    </row>
    <row r="2331" spans="26:26" x14ac:dyDescent="0.25">
      <c r="Z2331">
        <v>398807.28697564959</v>
      </c>
    </row>
    <row r="2332" spans="26:26" x14ac:dyDescent="0.25">
      <c r="Z2332">
        <v>398810.26132234372</v>
      </c>
    </row>
    <row r="2333" spans="26:26" x14ac:dyDescent="0.25">
      <c r="Z2333">
        <v>398813.22825171443</v>
      </c>
    </row>
    <row r="2334" spans="26:26" x14ac:dyDescent="0.25">
      <c r="Z2334">
        <v>398816.18778225884</v>
      </c>
    </row>
    <row r="2335" spans="26:26" x14ac:dyDescent="0.25">
      <c r="Z2335">
        <v>398819.13993242779</v>
      </c>
    </row>
    <row r="2336" spans="26:26" x14ac:dyDescent="0.25">
      <c r="Z2336">
        <v>398822.08472062618</v>
      </c>
    </row>
    <row r="2337" spans="26:26" x14ac:dyDescent="0.25">
      <c r="Z2337">
        <v>398825.02216521313</v>
      </c>
    </row>
    <row r="2338" spans="26:26" x14ac:dyDescent="0.25">
      <c r="Z2338">
        <v>398827.95228450192</v>
      </c>
    </row>
    <row r="2339" spans="26:26" x14ac:dyDescent="0.25">
      <c r="Z2339">
        <v>398830.87509675999</v>
      </c>
    </row>
    <row r="2340" spans="26:26" x14ac:dyDescent="0.25">
      <c r="Z2340">
        <v>398833.79062020947</v>
      </c>
    </row>
    <row r="2341" spans="26:26" x14ac:dyDescent="0.25">
      <c r="Z2341">
        <v>398836.69887302694</v>
      </c>
    </row>
    <row r="2342" spans="26:26" x14ac:dyDescent="0.25">
      <c r="Z2342">
        <v>398839.59987334354</v>
      </c>
    </row>
    <row r="2343" spans="26:26" x14ac:dyDescent="0.25">
      <c r="Z2343">
        <v>398842.49363924545</v>
      </c>
    </row>
    <row r="2344" spans="26:26" x14ac:dyDescent="0.25">
      <c r="Z2344">
        <v>398845.3801887735</v>
      </c>
    </row>
    <row r="2345" spans="26:26" x14ac:dyDescent="0.25">
      <c r="Z2345">
        <v>398848.25953992369</v>
      </c>
    </row>
    <row r="2346" spans="26:26" x14ac:dyDescent="0.25">
      <c r="Z2346">
        <v>398851.13171064708</v>
      </c>
    </row>
    <row r="2347" spans="26:26" x14ac:dyDescent="0.25">
      <c r="Z2347">
        <v>398853.99671884993</v>
      </c>
    </row>
    <row r="2348" spans="26:26" x14ac:dyDescent="0.25">
      <c r="Z2348">
        <v>398856.85458239395</v>
      </c>
    </row>
    <row r="2349" spans="26:26" x14ac:dyDescent="0.25">
      <c r="Z2349">
        <v>398859.70531909622</v>
      </c>
    </row>
    <row r="2350" spans="26:26" x14ac:dyDescent="0.25">
      <c r="Z2350">
        <v>398862.5489467294</v>
      </c>
    </row>
    <row r="2351" spans="26:26" x14ac:dyDescent="0.25">
      <c r="Z2351">
        <v>398865.38548302185</v>
      </c>
    </row>
    <row r="2352" spans="26:26" x14ac:dyDescent="0.25">
      <c r="Z2352">
        <v>398868.2149456577</v>
      </c>
    </row>
    <row r="2353" spans="26:26" x14ac:dyDescent="0.25">
      <c r="Z2353">
        <v>398871.03735227702</v>
      </c>
    </row>
    <row r="2354" spans="26:26" x14ac:dyDescent="0.25">
      <c r="Z2354">
        <v>398873.85272047581</v>
      </c>
    </row>
    <row r="2355" spans="26:26" x14ac:dyDescent="0.25">
      <c r="Z2355">
        <v>398876.66106780636</v>
      </c>
    </row>
    <row r="2356" spans="26:26" x14ac:dyDescent="0.25">
      <c r="Z2356">
        <v>398879.46241177683</v>
      </c>
    </row>
    <row r="2357" spans="26:26" x14ac:dyDescent="0.25">
      <c r="Z2357">
        <v>398882.25676985219</v>
      </c>
    </row>
    <row r="2358" spans="26:26" x14ac:dyDescent="0.25">
      <c r="Z2358">
        <v>398885.0441594536</v>
      </c>
    </row>
    <row r="2359" spans="26:26" x14ac:dyDescent="0.25">
      <c r="Z2359">
        <v>398887.82459795871</v>
      </c>
    </row>
    <row r="2360" spans="26:26" x14ac:dyDescent="0.25">
      <c r="Z2360">
        <v>398890.59810270194</v>
      </c>
    </row>
    <row r="2361" spans="26:26" x14ac:dyDescent="0.25">
      <c r="Z2361">
        <v>398893.36469097453</v>
      </c>
    </row>
    <row r="2362" spans="26:26" x14ac:dyDescent="0.25">
      <c r="Z2362">
        <v>398896.12438002444</v>
      </c>
    </row>
    <row r="2363" spans="26:26" x14ac:dyDescent="0.25">
      <c r="Z2363">
        <v>398898.87718705676</v>
      </c>
    </row>
    <row r="2364" spans="26:26" x14ac:dyDescent="0.25">
      <c r="Z2364">
        <v>398901.62312923372</v>
      </c>
    </row>
    <row r="2365" spans="26:26" x14ac:dyDescent="0.25">
      <c r="Z2365">
        <v>398904.36222367454</v>
      </c>
    </row>
    <row r="2366" spans="26:26" x14ac:dyDescent="0.25">
      <c r="Z2366">
        <v>398907.09448745585</v>
      </c>
    </row>
    <row r="2367" spans="26:26" x14ac:dyDescent="0.25">
      <c r="Z2367">
        <v>398909.81993761181</v>
      </c>
    </row>
    <row r="2368" spans="26:26" x14ac:dyDescent="0.25">
      <c r="Z2368">
        <v>398912.53859113401</v>
      </c>
    </row>
    <row r="2369" spans="26:26" x14ac:dyDescent="0.25">
      <c r="Z2369">
        <v>398915.25046497158</v>
      </c>
    </row>
    <row r="2370" spans="26:26" x14ac:dyDescent="0.25">
      <c r="Z2370">
        <v>398917.95557603147</v>
      </c>
    </row>
    <row r="2371" spans="26:26" x14ac:dyDescent="0.25">
      <c r="Z2371">
        <v>398920.65394117858</v>
      </c>
    </row>
    <row r="2372" spans="26:26" x14ac:dyDescent="0.25">
      <c r="Z2372">
        <v>398923.34557723545</v>
      </c>
    </row>
    <row r="2373" spans="26:26" x14ac:dyDescent="0.25">
      <c r="Z2373">
        <v>398926.03050098306</v>
      </c>
    </row>
    <row r="2374" spans="26:26" x14ac:dyDescent="0.25">
      <c r="Z2374">
        <v>398928.70872916013</v>
      </c>
    </row>
    <row r="2375" spans="26:26" x14ac:dyDescent="0.25">
      <c r="Z2375">
        <v>398931.380278464</v>
      </c>
    </row>
    <row r="2376" spans="26:26" x14ac:dyDescent="0.25">
      <c r="Z2376">
        <v>398934.04516555008</v>
      </c>
    </row>
    <row r="2377" spans="26:26" x14ac:dyDescent="0.25">
      <c r="Z2377">
        <v>398936.70340703253</v>
      </c>
    </row>
    <row r="2378" spans="26:26" x14ac:dyDescent="0.25">
      <c r="Z2378">
        <v>398939.35501948377</v>
      </c>
    </row>
    <row r="2379" spans="26:26" x14ac:dyDescent="0.25">
      <c r="Z2379">
        <v>398942.00001943525</v>
      </c>
    </row>
    <row r="2380" spans="26:26" x14ac:dyDescent="0.25">
      <c r="Z2380">
        <v>398944.63842337683</v>
      </c>
    </row>
    <row r="2381" spans="26:26" x14ac:dyDescent="0.25">
      <c r="Z2381">
        <v>398947.27024775738</v>
      </c>
    </row>
    <row r="2382" spans="26:26" x14ac:dyDescent="0.25">
      <c r="Z2382">
        <v>398949.89550898492</v>
      </c>
    </row>
    <row r="2383" spans="26:26" x14ac:dyDescent="0.25">
      <c r="Z2383">
        <v>398952.51422342635</v>
      </c>
    </row>
    <row r="2384" spans="26:26" x14ac:dyDescent="0.25">
      <c r="Z2384">
        <v>398955.12640740781</v>
      </c>
    </row>
    <row r="2385" spans="26:26" x14ac:dyDescent="0.25">
      <c r="Z2385">
        <v>398957.73207721481</v>
      </c>
    </row>
    <row r="2386" spans="26:26" x14ac:dyDescent="0.25">
      <c r="Z2386">
        <v>398960.33124909201</v>
      </c>
    </row>
    <row r="2387" spans="26:26" x14ac:dyDescent="0.25">
      <c r="Z2387">
        <v>398962.92393924395</v>
      </c>
    </row>
    <row r="2388" spans="26:26" x14ac:dyDescent="0.25">
      <c r="Z2388">
        <v>398965.51016383438</v>
      </c>
    </row>
    <row r="2389" spans="26:26" x14ac:dyDescent="0.25">
      <c r="Z2389">
        <v>398968.08993898687</v>
      </c>
    </row>
    <row r="2390" spans="26:26" x14ac:dyDescent="0.25">
      <c r="Z2390">
        <v>398970.66328078491</v>
      </c>
    </row>
    <row r="2391" spans="26:26" x14ac:dyDescent="0.25">
      <c r="Z2391">
        <v>398973.23020527174</v>
      </c>
    </row>
    <row r="2392" spans="26:26" x14ac:dyDescent="0.25">
      <c r="Z2392">
        <v>398975.79072845058</v>
      </c>
    </row>
    <row r="2393" spans="26:26" x14ac:dyDescent="0.25">
      <c r="Z2393">
        <v>398978.34486628487</v>
      </c>
    </row>
    <row r="2394" spans="26:26" x14ac:dyDescent="0.25">
      <c r="Z2394">
        <v>398980.89263469819</v>
      </c>
    </row>
    <row r="2395" spans="26:26" x14ac:dyDescent="0.25">
      <c r="Z2395">
        <v>398983.43404957419</v>
      </c>
    </row>
    <row r="2396" spans="26:26" x14ac:dyDescent="0.25">
      <c r="Z2396">
        <v>398985.96912675735</v>
      </c>
    </row>
    <row r="2397" spans="26:26" x14ac:dyDescent="0.25">
      <c r="Z2397">
        <v>398988.49788205227</v>
      </c>
    </row>
    <row r="2398" spans="26:26" x14ac:dyDescent="0.25">
      <c r="Z2398">
        <v>398991.02033122414</v>
      </c>
    </row>
    <row r="2399" spans="26:26" x14ac:dyDescent="0.25">
      <c r="Z2399">
        <v>398993.53648999915</v>
      </c>
    </row>
    <row r="2400" spans="26:26" x14ac:dyDescent="0.25">
      <c r="Z2400">
        <v>398996.046374064</v>
      </c>
    </row>
    <row r="2401" spans="26:26" x14ac:dyDescent="0.25">
      <c r="Z2401">
        <v>398998.54999906634</v>
      </c>
    </row>
    <row r="2402" spans="26:26" x14ac:dyDescent="0.25">
      <c r="Z2402">
        <v>399001.04738061479</v>
      </c>
    </row>
    <row r="2403" spans="26:26" x14ac:dyDescent="0.25">
      <c r="Z2403">
        <v>399003.5385342791</v>
      </c>
    </row>
    <row r="2404" spans="26:26" x14ac:dyDescent="0.25">
      <c r="Z2404">
        <v>399006.0234755901</v>
      </c>
    </row>
    <row r="2405" spans="26:26" x14ac:dyDescent="0.25">
      <c r="Z2405">
        <v>399008.50222004001</v>
      </c>
    </row>
    <row r="2406" spans="26:26" x14ac:dyDescent="0.25">
      <c r="Z2406">
        <v>399010.97478308232</v>
      </c>
    </row>
    <row r="2407" spans="26:26" x14ac:dyDescent="0.25">
      <c r="Z2407">
        <v>399013.44118013198</v>
      </c>
    </row>
    <row r="2408" spans="26:26" x14ac:dyDescent="0.25">
      <c r="Z2408">
        <v>399015.90142656554</v>
      </c>
    </row>
    <row r="2409" spans="26:26" x14ac:dyDescent="0.25">
      <c r="Z2409">
        <v>399018.35553772125</v>
      </c>
    </row>
    <row r="2410" spans="26:26" x14ac:dyDescent="0.25">
      <c r="Z2410">
        <v>399020.80352889904</v>
      </c>
    </row>
    <row r="2411" spans="26:26" x14ac:dyDescent="0.25">
      <c r="Z2411">
        <v>399023.24541536061</v>
      </c>
    </row>
    <row r="2412" spans="26:26" x14ac:dyDescent="0.25">
      <c r="Z2412">
        <v>399025.68121232977</v>
      </c>
    </row>
    <row r="2413" spans="26:26" x14ac:dyDescent="0.25">
      <c r="Z2413">
        <v>399028.11093499232</v>
      </c>
    </row>
    <row r="2414" spans="26:26" x14ac:dyDescent="0.25">
      <c r="Z2414">
        <v>399030.53459849604</v>
      </c>
    </row>
    <row r="2415" spans="26:26" x14ac:dyDescent="0.25">
      <c r="Z2415">
        <v>399032.95221795118</v>
      </c>
    </row>
    <row r="2416" spans="26:26" x14ac:dyDescent="0.25">
      <c r="Z2416">
        <v>399035.36380843009</v>
      </c>
    </row>
    <row r="2417" spans="26:26" x14ac:dyDescent="0.25">
      <c r="Z2417">
        <v>399037.76938496769</v>
      </c>
    </row>
    <row r="2418" spans="26:26" x14ac:dyDescent="0.25">
      <c r="Z2418">
        <v>399040.16896256129</v>
      </c>
    </row>
    <row r="2419" spans="26:26" x14ac:dyDescent="0.25">
      <c r="Z2419">
        <v>399042.56255617086</v>
      </c>
    </row>
    <row r="2420" spans="26:26" x14ac:dyDescent="0.25">
      <c r="Z2420">
        <v>399044.95018071908</v>
      </c>
    </row>
    <row r="2421" spans="26:26" x14ac:dyDescent="0.25">
      <c r="Z2421">
        <v>399047.33185109135</v>
      </c>
    </row>
    <row r="2422" spans="26:26" x14ac:dyDescent="0.25">
      <c r="Z2422">
        <v>399049.70758213603</v>
      </c>
    </row>
    <row r="2423" spans="26:26" x14ac:dyDescent="0.25">
      <c r="Z2423">
        <v>399052.07738866436</v>
      </c>
    </row>
    <row r="2424" spans="26:26" x14ac:dyDescent="0.25">
      <c r="Z2424">
        <v>399054.44128545071</v>
      </c>
    </row>
    <row r="2425" spans="26:26" x14ac:dyDescent="0.25">
      <c r="Z2425">
        <v>399056.79928723263</v>
      </c>
    </row>
    <row r="2426" spans="26:26" x14ac:dyDescent="0.25">
      <c r="Z2426">
        <v>399059.15140871087</v>
      </c>
    </row>
    <row r="2427" spans="26:26" x14ac:dyDescent="0.25">
      <c r="Z2427">
        <v>399061.4976645495</v>
      </c>
    </row>
    <row r="2428" spans="26:26" x14ac:dyDescent="0.25">
      <c r="Z2428">
        <v>399063.83806937607</v>
      </c>
    </row>
    <row r="2429" spans="26:26" x14ac:dyDescent="0.25">
      <c r="Z2429">
        <v>399066.17263778159</v>
      </c>
    </row>
    <row r="2430" spans="26:26" x14ac:dyDescent="0.25">
      <c r="Z2430">
        <v>399068.50138432079</v>
      </c>
    </row>
    <row r="2431" spans="26:26" x14ac:dyDescent="0.25">
      <c r="Z2431">
        <v>399070.82432351203</v>
      </c>
    </row>
    <row r="2432" spans="26:26" x14ac:dyDescent="0.25">
      <c r="Z2432">
        <v>399073.1414698374</v>
      </c>
    </row>
    <row r="2433" spans="26:26" x14ac:dyDescent="0.25">
      <c r="Z2433">
        <v>399075.45283774304</v>
      </c>
    </row>
    <row r="2434" spans="26:26" x14ac:dyDescent="0.25">
      <c r="Z2434">
        <v>399077.7584416389</v>
      </c>
    </row>
    <row r="2435" spans="26:26" x14ac:dyDescent="0.25">
      <c r="Z2435">
        <v>399080.05829589925</v>
      </c>
    </row>
    <row r="2436" spans="26:26" x14ac:dyDescent="0.25">
      <c r="Z2436">
        <v>399082.35241486208</v>
      </c>
    </row>
    <row r="2437" spans="26:26" x14ac:dyDescent="0.25">
      <c r="Z2437">
        <v>399084.64081283001</v>
      </c>
    </row>
    <row r="2438" spans="26:26" x14ac:dyDescent="0.25">
      <c r="Z2438">
        <v>399086.9235040698</v>
      </c>
    </row>
    <row r="2439" spans="26:26" x14ac:dyDescent="0.25">
      <c r="Z2439">
        <v>399089.20050281275</v>
      </c>
    </row>
    <row r="2440" spans="26:26" x14ac:dyDescent="0.25">
      <c r="Z2440">
        <v>399091.47182325466</v>
      </c>
    </row>
    <row r="2441" spans="26:26" x14ac:dyDescent="0.25">
      <c r="Z2441">
        <v>399093.73747955571</v>
      </c>
    </row>
    <row r="2442" spans="26:26" x14ac:dyDescent="0.25">
      <c r="Z2442">
        <v>399095.99748584116</v>
      </c>
    </row>
    <row r="2443" spans="26:26" x14ac:dyDescent="0.25">
      <c r="Z2443">
        <v>399098.25185620063</v>
      </c>
    </row>
    <row r="2444" spans="26:26" x14ac:dyDescent="0.25">
      <c r="Z2444">
        <v>399100.50060468895</v>
      </c>
    </row>
    <row r="2445" spans="26:26" x14ac:dyDescent="0.25">
      <c r="Z2445">
        <v>399102.7437453256</v>
      </c>
    </row>
    <row r="2446" spans="26:26" x14ac:dyDescent="0.25">
      <c r="Z2446">
        <v>399104.98129209533</v>
      </c>
    </row>
    <row r="2447" spans="26:26" x14ac:dyDescent="0.25">
      <c r="Z2447">
        <v>399107.21325894794</v>
      </c>
    </row>
    <row r="2448" spans="26:26" x14ac:dyDescent="0.25">
      <c r="Z2448">
        <v>399109.43965979852</v>
      </c>
    </row>
    <row r="2449" spans="26:26" x14ac:dyDescent="0.25">
      <c r="Z2449">
        <v>399111.66050852719</v>
      </c>
    </row>
    <row r="2450" spans="26:26" x14ac:dyDescent="0.25">
      <c r="Z2450">
        <v>399113.87581897975</v>
      </c>
    </row>
    <row r="2451" spans="26:26" x14ac:dyDescent="0.25">
      <c r="Z2451">
        <v>399116.08560496732</v>
      </c>
    </row>
    <row r="2452" spans="26:26" x14ac:dyDescent="0.25">
      <c r="Z2452">
        <v>399118.28988026665</v>
      </c>
    </row>
    <row r="2453" spans="26:26" x14ac:dyDescent="0.25">
      <c r="Z2453">
        <v>399120.4886586201</v>
      </c>
    </row>
    <row r="2454" spans="26:26" x14ac:dyDescent="0.25">
      <c r="Z2454">
        <v>399122.68195373577</v>
      </c>
    </row>
    <row r="2455" spans="26:26" x14ac:dyDescent="0.25">
      <c r="Z2455">
        <v>399124.86977928755</v>
      </c>
    </row>
    <row r="2456" spans="26:26" x14ac:dyDescent="0.25">
      <c r="Z2456">
        <v>399127.05214891525</v>
      </c>
    </row>
    <row r="2457" spans="26:26" x14ac:dyDescent="0.25">
      <c r="Z2457">
        <v>399129.22907622467</v>
      </c>
    </row>
    <row r="2458" spans="26:26" x14ac:dyDescent="0.25">
      <c r="Z2458">
        <v>399131.40057478769</v>
      </c>
    </row>
    <row r="2459" spans="26:26" x14ac:dyDescent="0.25">
      <c r="Z2459">
        <v>399133.56665814237</v>
      </c>
    </row>
    <row r="2460" spans="26:26" x14ac:dyDescent="0.25">
      <c r="Z2460">
        <v>399135.72733979288</v>
      </c>
    </row>
    <row r="2461" spans="26:26" x14ac:dyDescent="0.25">
      <c r="Z2461">
        <v>399137.88263320981</v>
      </c>
    </row>
    <row r="2462" spans="26:26" x14ac:dyDescent="0.25">
      <c r="Z2462">
        <v>399140.03255183029</v>
      </c>
    </row>
    <row r="2463" spans="26:26" x14ac:dyDescent="0.25">
      <c r="Z2463">
        <v>399142.17710905761</v>
      </c>
    </row>
    <row r="2464" spans="26:26" x14ac:dyDescent="0.25">
      <c r="Z2464">
        <v>399144.31631826196</v>
      </c>
    </row>
    <row r="2465" spans="26:26" x14ac:dyDescent="0.25">
      <c r="Z2465">
        <v>399146.45019278006</v>
      </c>
    </row>
    <row r="2466" spans="26:26" x14ac:dyDescent="0.25">
      <c r="Z2466">
        <v>399148.57874591526</v>
      </c>
    </row>
    <row r="2467" spans="26:26" x14ac:dyDescent="0.25">
      <c r="Z2467">
        <v>399150.70199093787</v>
      </c>
    </row>
    <row r="2468" spans="26:26" x14ac:dyDescent="0.25">
      <c r="Z2468">
        <v>399152.81994108518</v>
      </c>
    </row>
    <row r="2469" spans="26:26" x14ac:dyDescent="0.25">
      <c r="Z2469">
        <v>399154.93260956125</v>
      </c>
    </row>
    <row r="2470" spans="26:26" x14ac:dyDescent="0.25">
      <c r="Z2470">
        <v>399157.04000953742</v>
      </c>
    </row>
    <row r="2471" spans="26:26" x14ac:dyDescent="0.25">
      <c r="Z2471">
        <v>399159.14215415204</v>
      </c>
    </row>
    <row r="2472" spans="26:26" x14ac:dyDescent="0.25">
      <c r="Z2472">
        <v>399161.23905651079</v>
      </c>
    </row>
    <row r="2473" spans="26:26" x14ac:dyDescent="0.25">
      <c r="Z2473">
        <v>399163.33072968654</v>
      </c>
    </row>
    <row r="2474" spans="26:26" x14ac:dyDescent="0.25">
      <c r="Z2474">
        <v>399165.41718671977</v>
      </c>
    </row>
    <row r="2475" spans="26:26" x14ac:dyDescent="0.25">
      <c r="Z2475">
        <v>399167.49844061816</v>
      </c>
    </row>
    <row r="2476" spans="26:26" x14ac:dyDescent="0.25">
      <c r="Z2476">
        <v>399169.57450435736</v>
      </c>
    </row>
    <row r="2477" spans="26:26" x14ac:dyDescent="0.25">
      <c r="Z2477">
        <v>399171.64539088018</v>
      </c>
    </row>
    <row r="2478" spans="26:26" x14ac:dyDescent="0.25">
      <c r="Z2478">
        <v>399173.71111309738</v>
      </c>
    </row>
    <row r="2479" spans="26:26" x14ac:dyDescent="0.25">
      <c r="Z2479">
        <v>399175.77168388764</v>
      </c>
    </row>
    <row r="2480" spans="26:26" x14ac:dyDescent="0.25">
      <c r="Z2480">
        <v>399177.82711609744</v>
      </c>
    </row>
    <row r="2481" spans="26:26" x14ac:dyDescent="0.25">
      <c r="Z2481">
        <v>399179.87742254109</v>
      </c>
    </row>
    <row r="2482" spans="26:26" x14ac:dyDescent="0.25">
      <c r="Z2482">
        <v>399181.92261600104</v>
      </c>
    </row>
    <row r="2483" spans="26:26" x14ac:dyDescent="0.25">
      <c r="Z2483">
        <v>399183.96270922798</v>
      </c>
    </row>
    <row r="2484" spans="26:26" x14ac:dyDescent="0.25">
      <c r="Z2484">
        <v>399185.99771494063</v>
      </c>
    </row>
    <row r="2485" spans="26:26" x14ac:dyDescent="0.25">
      <c r="Z2485">
        <v>399188.02764582605</v>
      </c>
    </row>
    <row r="2486" spans="26:26" x14ac:dyDescent="0.25">
      <c r="Z2486">
        <v>399190.05251453974</v>
      </c>
    </row>
    <row r="2487" spans="26:26" x14ac:dyDescent="0.25">
      <c r="Z2487">
        <v>399192.0723337055</v>
      </c>
    </row>
    <row r="2488" spans="26:26" x14ac:dyDescent="0.25">
      <c r="Z2488">
        <v>399194.08711591567</v>
      </c>
    </row>
    <row r="2489" spans="26:26" x14ac:dyDescent="0.25">
      <c r="Z2489">
        <v>399196.09687373135</v>
      </c>
    </row>
    <row r="2490" spans="26:26" x14ac:dyDescent="0.25">
      <c r="Z2490">
        <v>399198.10161968216</v>
      </c>
    </row>
    <row r="2491" spans="26:26" x14ac:dyDescent="0.25">
      <c r="Z2491">
        <v>399200.10136626649</v>
      </c>
    </row>
    <row r="2492" spans="26:26" x14ac:dyDescent="0.25">
      <c r="Z2492">
        <v>399202.09612595162</v>
      </c>
    </row>
    <row r="2493" spans="26:26" x14ac:dyDescent="0.25">
      <c r="Z2493">
        <v>399204.08591117366</v>
      </c>
    </row>
    <row r="2494" spans="26:26" x14ac:dyDescent="0.25">
      <c r="Z2494">
        <v>399206.07073433779</v>
      </c>
    </row>
    <row r="2495" spans="26:26" x14ac:dyDescent="0.25">
      <c r="Z2495">
        <v>399208.05060781824</v>
      </c>
    </row>
    <row r="2496" spans="26:26" x14ac:dyDescent="0.25">
      <c r="Z2496">
        <v>399210.02554395841</v>
      </c>
    </row>
    <row r="2497" spans="26:26" x14ac:dyDescent="0.25">
      <c r="Z2497">
        <v>399211.99555507075</v>
      </c>
    </row>
    <row r="2498" spans="26:26" x14ac:dyDescent="0.25">
      <c r="Z2498">
        <v>399213.96065343713</v>
      </c>
    </row>
    <row r="2499" spans="26:26" x14ac:dyDescent="0.25">
      <c r="Z2499">
        <v>399215.92085130885</v>
      </c>
    </row>
    <row r="2500" spans="26:26" x14ac:dyDescent="0.25">
      <c r="Z2500">
        <v>399217.87616090657</v>
      </c>
    </row>
    <row r="2501" spans="26:26" x14ac:dyDescent="0.25">
      <c r="Z2501">
        <v>399219.82659442048</v>
      </c>
    </row>
    <row r="2502" spans="26:26" x14ac:dyDescent="0.25">
      <c r="Z2502">
        <v>399221.7721640105</v>
      </c>
    </row>
    <row r="2503" spans="26:26" x14ac:dyDescent="0.25">
      <c r="Z2503">
        <v>399223.71288180596</v>
      </c>
    </row>
    <row r="2504" spans="26:26" x14ac:dyDescent="0.25">
      <c r="Z2504">
        <v>399225.64875990624</v>
      </c>
    </row>
    <row r="2505" spans="26:26" x14ac:dyDescent="0.25">
      <c r="Z2505">
        <v>399227.5798103803</v>
      </c>
    </row>
    <row r="2506" spans="26:26" x14ac:dyDescent="0.25">
      <c r="Z2506">
        <v>399229.5060452671</v>
      </c>
    </row>
    <row r="2507" spans="26:26" x14ac:dyDescent="0.25">
      <c r="Z2507">
        <v>399231.42747657566</v>
      </c>
    </row>
    <row r="2508" spans="26:26" x14ac:dyDescent="0.25">
      <c r="Z2508">
        <v>399233.34411628492</v>
      </c>
    </row>
    <row r="2509" spans="26:26" x14ac:dyDescent="0.25">
      <c r="Z2509">
        <v>399235.25597634405</v>
      </c>
    </row>
    <row r="2510" spans="26:26" x14ac:dyDescent="0.25">
      <c r="Z2510">
        <v>399237.16306867241</v>
      </c>
    </row>
    <row r="2511" spans="26:26" x14ac:dyDescent="0.25">
      <c r="Z2511">
        <v>399239.06540515949</v>
      </c>
    </row>
    <row r="2512" spans="26:26" x14ac:dyDescent="0.25">
      <c r="Z2512">
        <v>399240.96299766534</v>
      </c>
    </row>
    <row r="2513" spans="26:26" x14ac:dyDescent="0.25">
      <c r="Z2513">
        <v>399242.85585802025</v>
      </c>
    </row>
    <row r="2514" spans="26:26" x14ac:dyDescent="0.25">
      <c r="Z2514">
        <v>399244.74399802519</v>
      </c>
    </row>
    <row r="2515" spans="26:26" x14ac:dyDescent="0.25">
      <c r="Z2515">
        <v>399246.62742945156</v>
      </c>
    </row>
    <row r="2516" spans="26:26" x14ac:dyDescent="0.25">
      <c r="Z2516">
        <v>399248.50616404146</v>
      </c>
    </row>
    <row r="2517" spans="26:26" x14ac:dyDescent="0.25">
      <c r="Z2517">
        <v>399250.38021350768</v>
      </c>
    </row>
    <row r="2518" spans="26:26" x14ac:dyDescent="0.25">
      <c r="Z2518">
        <v>399252.24958953384</v>
      </c>
    </row>
    <row r="2519" spans="26:26" x14ac:dyDescent="0.25">
      <c r="Z2519">
        <v>399254.11430377443</v>
      </c>
    </row>
    <row r="2520" spans="26:26" x14ac:dyDescent="0.25">
      <c r="Z2520">
        <v>399255.97436785477</v>
      </c>
    </row>
    <row r="2521" spans="26:26" x14ac:dyDescent="0.25">
      <c r="Z2521">
        <v>399257.82979337138</v>
      </c>
    </row>
    <row r="2522" spans="26:26" x14ac:dyDescent="0.25">
      <c r="Z2522">
        <v>399259.68059189169</v>
      </c>
    </row>
    <row r="2523" spans="26:26" x14ac:dyDescent="0.25">
      <c r="Z2523">
        <v>399261.52677495428</v>
      </c>
    </row>
    <row r="2524" spans="26:26" x14ac:dyDescent="0.25">
      <c r="Z2524">
        <v>399263.36835406907</v>
      </c>
    </row>
    <row r="2525" spans="26:26" x14ac:dyDescent="0.25">
      <c r="Z2525">
        <v>399265.20534071728</v>
      </c>
    </row>
    <row r="2526" spans="26:26" x14ac:dyDescent="0.25">
      <c r="Z2526">
        <v>399267.03774635145</v>
      </c>
    </row>
    <row r="2527" spans="26:26" x14ac:dyDescent="0.25">
      <c r="Z2527">
        <v>399268.8655823954</v>
      </c>
    </row>
    <row r="2528" spans="26:26" x14ac:dyDescent="0.25">
      <c r="Z2528">
        <v>399270.68886024482</v>
      </c>
    </row>
    <row r="2529" spans="26:26" x14ac:dyDescent="0.25">
      <c r="Z2529">
        <v>399272.50759126665</v>
      </c>
    </row>
    <row r="2530" spans="26:26" x14ac:dyDescent="0.25">
      <c r="Z2530">
        <v>399274.32178679964</v>
      </c>
    </row>
    <row r="2531" spans="26:26" x14ac:dyDescent="0.25">
      <c r="Z2531">
        <v>399276.1314581543</v>
      </c>
    </row>
    <row r="2532" spans="26:26" x14ac:dyDescent="0.25">
      <c r="Z2532">
        <v>399277.93661661271</v>
      </c>
    </row>
    <row r="2533" spans="26:26" x14ac:dyDescent="0.25">
      <c r="Z2533">
        <v>399279.73727342917</v>
      </c>
    </row>
    <row r="2534" spans="26:26" x14ac:dyDescent="0.25">
      <c r="Z2534">
        <v>399281.5334398296</v>
      </c>
    </row>
    <row r="2535" spans="26:26" x14ac:dyDescent="0.25">
      <c r="Z2535">
        <v>399283.3251270121</v>
      </c>
    </row>
    <row r="2536" spans="26:26" x14ac:dyDescent="0.25">
      <c r="Z2536">
        <v>399285.11234614672</v>
      </c>
    </row>
    <row r="2537" spans="26:26" x14ac:dyDescent="0.25">
      <c r="Z2537">
        <v>399286.89510837576</v>
      </c>
    </row>
    <row r="2538" spans="26:26" x14ac:dyDescent="0.25">
      <c r="Z2538">
        <v>399288.67342481372</v>
      </c>
    </row>
    <row r="2539" spans="26:26" x14ac:dyDescent="0.25">
      <c r="Z2539">
        <v>399290.44730654737</v>
      </c>
    </row>
    <row r="2540" spans="26:26" x14ac:dyDescent="0.25">
      <c r="Z2540">
        <v>399292.21676463576</v>
      </c>
    </row>
    <row r="2541" spans="26:26" x14ac:dyDescent="0.25">
      <c r="Z2541">
        <v>399293.98181011045</v>
      </c>
    </row>
    <row r="2542" spans="26:26" x14ac:dyDescent="0.25">
      <c r="Z2542">
        <v>399295.74245397554</v>
      </c>
    </row>
    <row r="2543" spans="26:26" x14ac:dyDescent="0.25">
      <c r="Z2543">
        <v>399297.4987072075</v>
      </c>
    </row>
    <row r="2544" spans="26:26" x14ac:dyDescent="0.25">
      <c r="Z2544">
        <v>399299.25058075564</v>
      </c>
    </row>
    <row r="2545" spans="26:26" x14ac:dyDescent="0.25">
      <c r="Z2545">
        <v>399300.99808554183</v>
      </c>
    </row>
    <row r="2546" spans="26:26" x14ac:dyDescent="0.25">
      <c r="Z2546">
        <v>399302.74123246066</v>
      </c>
    </row>
    <row r="2547" spans="26:26" x14ac:dyDescent="0.25">
      <c r="Z2547">
        <v>399304.48003237968</v>
      </c>
    </row>
    <row r="2548" spans="26:26" x14ac:dyDescent="0.25">
      <c r="Z2548">
        <v>399306.21449613932</v>
      </c>
    </row>
    <row r="2549" spans="26:26" x14ac:dyDescent="0.25">
      <c r="Z2549">
        <v>399307.94463455293</v>
      </c>
    </row>
    <row r="2550" spans="26:26" x14ac:dyDescent="0.25">
      <c r="Z2550">
        <v>399309.67045840691</v>
      </c>
    </row>
    <row r="2551" spans="26:26" x14ac:dyDescent="0.25">
      <c r="Z2551">
        <v>399311.39197846077</v>
      </c>
    </row>
    <row r="2552" spans="26:26" x14ac:dyDescent="0.25">
      <c r="Z2552">
        <v>399313.10920544714</v>
      </c>
    </row>
    <row r="2553" spans="26:26" x14ac:dyDescent="0.25">
      <c r="Z2553">
        <v>399314.82215007197</v>
      </c>
    </row>
    <row r="2554" spans="26:26" x14ac:dyDescent="0.25">
      <c r="Z2554">
        <v>399316.53082301444</v>
      </c>
    </row>
    <row r="2555" spans="26:26" x14ac:dyDescent="0.25">
      <c r="Z2555">
        <v>399318.23523492715</v>
      </c>
    </row>
    <row r="2556" spans="26:26" x14ac:dyDescent="0.25">
      <c r="Z2556">
        <v>399319.93539643608</v>
      </c>
    </row>
    <row r="2557" spans="26:26" x14ac:dyDescent="0.25">
      <c r="Z2557">
        <v>399321.63131814066</v>
      </c>
    </row>
    <row r="2558" spans="26:26" x14ac:dyDescent="0.25">
      <c r="Z2558">
        <v>399323.3230106142</v>
      </c>
    </row>
    <row r="2559" spans="26:26" x14ac:dyDescent="0.25">
      <c r="Z2559">
        <v>399325.01048440312</v>
      </c>
    </row>
    <row r="2560" spans="26:26" x14ac:dyDescent="0.25">
      <c r="Z2560">
        <v>399326.69375002803</v>
      </c>
    </row>
    <row r="2561" spans="26:26" x14ac:dyDescent="0.25">
      <c r="Z2561">
        <v>399328.37281798309</v>
      </c>
    </row>
    <row r="2562" spans="26:26" x14ac:dyDescent="0.25">
      <c r="Z2562">
        <v>399330.04769873625</v>
      </c>
    </row>
    <row r="2563" spans="26:26" x14ac:dyDescent="0.25">
      <c r="Z2563">
        <v>399331.71840272943</v>
      </c>
    </row>
    <row r="2564" spans="26:26" x14ac:dyDescent="0.25">
      <c r="Z2564">
        <v>399333.38494037854</v>
      </c>
    </row>
    <row r="2565" spans="26:26" x14ac:dyDescent="0.25">
      <c r="Z2565">
        <v>399335.04732207331</v>
      </c>
    </row>
    <row r="2566" spans="26:26" x14ac:dyDescent="0.25">
      <c r="Z2566">
        <v>399336.7055581779</v>
      </c>
    </row>
    <row r="2567" spans="26:26" x14ac:dyDescent="0.25">
      <c r="Z2567">
        <v>399338.35965903028</v>
      </c>
    </row>
    <row r="2568" spans="26:26" x14ac:dyDescent="0.25">
      <c r="Z2568">
        <v>399340.00963494292</v>
      </c>
    </row>
    <row r="2569" spans="26:26" x14ac:dyDescent="0.25">
      <c r="Z2569">
        <v>399341.65549620247</v>
      </c>
    </row>
    <row r="2570" spans="26:26" x14ac:dyDescent="0.25">
      <c r="Z2570">
        <v>399343.29725306976</v>
      </c>
    </row>
    <row r="2571" spans="26:26" x14ac:dyDescent="0.25">
      <c r="Z2571">
        <v>399344.93491578032</v>
      </c>
    </row>
    <row r="2572" spans="26:26" x14ac:dyDescent="0.25">
      <c r="Z2572">
        <v>399346.56849454396</v>
      </c>
    </row>
    <row r="2573" spans="26:26" x14ac:dyDescent="0.25">
      <c r="Z2573">
        <v>399348.19799954508</v>
      </c>
    </row>
    <row r="2574" spans="26:26" x14ac:dyDescent="0.25">
      <c r="Z2574">
        <v>399349.82344094274</v>
      </c>
    </row>
    <row r="2575" spans="26:26" x14ac:dyDescent="0.25">
      <c r="Z2575">
        <v>399351.44482887053</v>
      </c>
    </row>
    <row r="2576" spans="26:26" x14ac:dyDescent="0.25">
      <c r="Z2576">
        <v>399353.06217343692</v>
      </c>
    </row>
    <row r="2577" spans="26:26" x14ac:dyDescent="0.25">
      <c r="Z2577">
        <v>399354.67548472516</v>
      </c>
    </row>
    <row r="2578" spans="26:26" x14ac:dyDescent="0.25">
      <c r="Z2578">
        <v>399356.28477279312</v>
      </c>
    </row>
    <row r="2579" spans="26:26" x14ac:dyDescent="0.25">
      <c r="Z2579">
        <v>399357.89004767395</v>
      </c>
    </row>
    <row r="2580" spans="26:26" x14ac:dyDescent="0.25">
      <c r="Z2580">
        <v>399359.49131937552</v>
      </c>
    </row>
    <row r="2581" spans="26:26" x14ac:dyDescent="0.25">
      <c r="Z2581">
        <v>399361.08859788079</v>
      </c>
    </row>
    <row r="2582" spans="26:26" x14ac:dyDescent="0.25">
      <c r="Z2582">
        <v>399362.68189314794</v>
      </c>
    </row>
    <row r="2583" spans="26:26" x14ac:dyDescent="0.25">
      <c r="Z2583">
        <v>399364.2712151102</v>
      </c>
    </row>
    <row r="2584" spans="26:26" x14ac:dyDescent="0.25">
      <c r="Z2584">
        <v>399365.85657367599</v>
      </c>
    </row>
    <row r="2585" spans="26:26" x14ac:dyDescent="0.25">
      <c r="Z2585">
        <v>399367.4379787292</v>
      </c>
    </row>
    <row r="2586" spans="26:26" x14ac:dyDescent="0.25">
      <c r="Z2586">
        <v>399369.01544012886</v>
      </c>
    </row>
    <row r="2587" spans="26:26" x14ac:dyDescent="0.25">
      <c r="Z2587">
        <v>399370.58896770957</v>
      </c>
    </row>
    <row r="2588" spans="26:26" x14ac:dyDescent="0.25">
      <c r="Z2588">
        <v>399372.15857128141</v>
      </c>
    </row>
    <row r="2589" spans="26:26" x14ac:dyDescent="0.25">
      <c r="Z2589">
        <v>399373.7242606298</v>
      </c>
    </row>
    <row r="2590" spans="26:26" x14ac:dyDescent="0.25">
      <c r="Z2590">
        <v>399375.28604551603</v>
      </c>
    </row>
    <row r="2591" spans="26:26" x14ac:dyDescent="0.25">
      <c r="Z2591">
        <v>399376.84393567685</v>
      </c>
    </row>
    <row r="2592" spans="26:26" x14ac:dyDescent="0.25">
      <c r="Z2592">
        <v>399378.3979408248</v>
      </c>
    </row>
    <row r="2593" spans="26:26" x14ac:dyDescent="0.25">
      <c r="Z2593">
        <v>399379.94807064813</v>
      </c>
    </row>
    <row r="2594" spans="26:26" x14ac:dyDescent="0.25">
      <c r="Z2594">
        <v>399381.49433481111</v>
      </c>
    </row>
    <row r="2595" spans="26:26" x14ac:dyDescent="0.25">
      <c r="Z2595">
        <v>399383.03674295376</v>
      </c>
    </row>
    <row r="2596" spans="26:26" x14ac:dyDescent="0.25">
      <c r="Z2596">
        <v>399384.57530469203</v>
      </c>
    </row>
    <row r="2597" spans="26:26" x14ac:dyDescent="0.25">
      <c r="Z2597">
        <v>399386.11002961796</v>
      </c>
    </row>
    <row r="2598" spans="26:26" x14ac:dyDescent="0.25">
      <c r="Z2598">
        <v>399387.64092729968</v>
      </c>
    </row>
    <row r="2599" spans="26:26" x14ac:dyDescent="0.25">
      <c r="Z2599">
        <v>399389.16800728149</v>
      </c>
    </row>
    <row r="2600" spans="26:26" x14ac:dyDescent="0.25">
      <c r="Z2600">
        <v>399390.69127908378</v>
      </c>
    </row>
    <row r="2601" spans="26:26" x14ac:dyDescent="0.25">
      <c r="Z2601">
        <v>399392.2107522033</v>
      </c>
    </row>
    <row r="2602" spans="26:26" x14ac:dyDescent="0.25">
      <c r="Z2602">
        <v>399393.72643611301</v>
      </c>
    </row>
    <row r="2603" spans="26:26" x14ac:dyDescent="0.25">
      <c r="Z2603">
        <v>399395.23834026232</v>
      </c>
    </row>
    <row r="2604" spans="26:26" x14ac:dyDescent="0.25">
      <c r="Z2604">
        <v>399396.74647407717</v>
      </c>
    </row>
    <row r="2605" spans="26:26" x14ac:dyDescent="0.25">
      <c r="Z2605">
        <v>399398.25084695977</v>
      </c>
    </row>
    <row r="2606" spans="26:26" x14ac:dyDescent="0.25">
      <c r="Z2606">
        <v>399399.751468289</v>
      </c>
    </row>
    <row r="2607" spans="26:26" x14ac:dyDescent="0.25">
      <c r="Z2607">
        <v>399401.24834742048</v>
      </c>
    </row>
    <row r="2608" spans="26:26" x14ac:dyDescent="0.25">
      <c r="Z2608">
        <v>399402.74149368622</v>
      </c>
    </row>
    <row r="2609" spans="26:26" x14ac:dyDescent="0.25">
      <c r="Z2609">
        <v>399404.23091639532</v>
      </c>
    </row>
    <row r="2610" spans="26:26" x14ac:dyDescent="0.25">
      <c r="Z2610">
        <v>399405.71662483318</v>
      </c>
    </row>
    <row r="2611" spans="26:26" x14ac:dyDescent="0.25">
      <c r="Z2611">
        <v>399407.19862826256</v>
      </c>
    </row>
    <row r="2612" spans="26:26" x14ac:dyDescent="0.25">
      <c r="Z2612">
        <v>399408.6769359227</v>
      </c>
    </row>
    <row r="2613" spans="26:26" x14ac:dyDescent="0.25">
      <c r="Z2613">
        <v>399410.15155703016</v>
      </c>
    </row>
    <row r="2614" spans="26:26" x14ac:dyDescent="0.25">
      <c r="Z2614">
        <v>399411.62250077823</v>
      </c>
    </row>
    <row r="2615" spans="26:26" x14ac:dyDescent="0.25">
      <c r="Z2615">
        <v>399413.08977633732</v>
      </c>
    </row>
    <row r="2616" spans="26:26" x14ac:dyDescent="0.25">
      <c r="Z2616">
        <v>399414.55339285528</v>
      </c>
    </row>
    <row r="2617" spans="26:26" x14ac:dyDescent="0.25">
      <c r="Z2617">
        <v>399416.01335945661</v>
      </c>
    </row>
    <row r="2618" spans="26:26" x14ac:dyDescent="0.25">
      <c r="Z2618">
        <v>399417.4696852435</v>
      </c>
    </row>
    <row r="2619" spans="26:26" x14ac:dyDescent="0.25">
      <c r="Z2619">
        <v>399418.92237929528</v>
      </c>
    </row>
    <row r="2620" spans="26:26" x14ac:dyDescent="0.25">
      <c r="Z2620">
        <v>399420.37145066855</v>
      </c>
    </row>
    <row r="2621" spans="26:26" x14ac:dyDescent="0.25">
      <c r="Z2621">
        <v>399421.81690839754</v>
      </c>
    </row>
    <row r="2622" spans="26:26" x14ac:dyDescent="0.25">
      <c r="Z2622">
        <v>399423.25876149384</v>
      </c>
    </row>
    <row r="2623" spans="26:26" x14ac:dyDescent="0.25">
      <c r="Z2623">
        <v>399424.69701894646</v>
      </c>
    </row>
    <row r="2624" spans="26:26" x14ac:dyDescent="0.25">
      <c r="Z2624">
        <v>399426.13168972213</v>
      </c>
    </row>
    <row r="2625" spans="26:26" x14ac:dyDescent="0.25">
      <c r="Z2625">
        <v>399427.56278276525</v>
      </c>
    </row>
    <row r="2626" spans="26:26" x14ac:dyDescent="0.25">
      <c r="Z2626">
        <v>399428.99030699779</v>
      </c>
    </row>
    <row r="2627" spans="26:26" x14ac:dyDescent="0.25">
      <c r="Z2627">
        <v>399430.41427131946</v>
      </c>
    </row>
    <row r="2628" spans="26:26" x14ac:dyDescent="0.25">
      <c r="Z2628">
        <v>399431.83468460798</v>
      </c>
    </row>
    <row r="2629" spans="26:26" x14ac:dyDescent="0.25">
      <c r="Z2629">
        <v>399433.25155571866</v>
      </c>
    </row>
    <row r="2630" spans="26:26" x14ac:dyDescent="0.25">
      <c r="Z2630">
        <v>399434.66489348497</v>
      </c>
    </row>
    <row r="2631" spans="26:26" x14ac:dyDescent="0.25">
      <c r="Z2631">
        <v>399436.07470671815</v>
      </c>
    </row>
    <row r="2632" spans="26:26" x14ac:dyDescent="0.25">
      <c r="Z2632">
        <v>399437.48100420763</v>
      </c>
    </row>
    <row r="2633" spans="26:26" x14ac:dyDescent="0.25">
      <c r="Z2633">
        <v>399438.88379472081</v>
      </c>
    </row>
    <row r="2634" spans="26:26" x14ac:dyDescent="0.25">
      <c r="Z2634">
        <v>399440.28308700328</v>
      </c>
    </row>
    <row r="2635" spans="26:26" x14ac:dyDescent="0.25">
      <c r="Z2635">
        <v>399441.67888977885</v>
      </c>
    </row>
    <row r="2636" spans="26:26" x14ac:dyDescent="0.25">
      <c r="Z2636">
        <v>399443.07121174951</v>
      </c>
    </row>
    <row r="2637" spans="26:26" x14ac:dyDescent="0.25">
      <c r="Z2637">
        <v>399444.46006159548</v>
      </c>
    </row>
    <row r="2638" spans="26:26" x14ac:dyDescent="0.25">
      <c r="Z2638">
        <v>399445.8454479755</v>
      </c>
    </row>
    <row r="2639" spans="26:26" x14ac:dyDescent="0.25">
      <c r="Z2639">
        <v>399447.22737952677</v>
      </c>
    </row>
    <row r="2640" spans="26:26" x14ac:dyDescent="0.25">
      <c r="Z2640">
        <v>399448.60586486454</v>
      </c>
    </row>
    <row r="2641" spans="26:26" x14ac:dyDescent="0.25">
      <c r="Z2641">
        <v>399449.98091258318</v>
      </c>
    </row>
    <row r="2642" spans="26:26" x14ac:dyDescent="0.25">
      <c r="Z2642">
        <v>399451.35253125499</v>
      </c>
    </row>
    <row r="2643" spans="26:26" x14ac:dyDescent="0.25">
      <c r="Z2643">
        <v>399452.72072943143</v>
      </c>
    </row>
    <row r="2644" spans="26:26" x14ac:dyDescent="0.25">
      <c r="Z2644">
        <v>399454.08551564231</v>
      </c>
    </row>
    <row r="2645" spans="26:26" x14ac:dyDescent="0.25">
      <c r="Z2645">
        <v>399455.4468983963</v>
      </c>
    </row>
    <row r="2646" spans="26:26" x14ac:dyDescent="0.25">
      <c r="Z2646">
        <v>399456.80488618085</v>
      </c>
    </row>
    <row r="2647" spans="26:26" x14ac:dyDescent="0.25">
      <c r="Z2647">
        <v>399458.1594874622</v>
      </c>
    </row>
    <row r="2648" spans="26:26" x14ac:dyDescent="0.25">
      <c r="Z2648">
        <v>399459.51071068546</v>
      </c>
    </row>
    <row r="2649" spans="26:26" x14ac:dyDescent="0.25">
      <c r="Z2649">
        <v>399460.85856427479</v>
      </c>
    </row>
    <row r="2650" spans="26:26" x14ac:dyDescent="0.25">
      <c r="Z2650">
        <v>399462.20305663324</v>
      </c>
    </row>
    <row r="2651" spans="26:26" x14ac:dyDescent="0.25">
      <c r="Z2651">
        <v>399463.54419614287</v>
      </c>
    </row>
    <row r="2652" spans="26:26" x14ac:dyDescent="0.25">
      <c r="Z2652">
        <v>399464.88199116493</v>
      </c>
    </row>
    <row r="2653" spans="26:26" x14ac:dyDescent="0.25">
      <c r="Z2653">
        <v>399466.21645003982</v>
      </c>
    </row>
    <row r="2654" spans="26:26" x14ac:dyDescent="0.25">
      <c r="Z2654">
        <v>399467.54758108716</v>
      </c>
    </row>
    <row r="2655" spans="26:26" x14ac:dyDescent="0.25">
      <c r="Z2655">
        <v>399468.87539260561</v>
      </c>
    </row>
    <row r="2656" spans="26:26" x14ac:dyDescent="0.25">
      <c r="Z2656">
        <v>399470.19989287347</v>
      </c>
    </row>
    <row r="2657" spans="26:26" x14ac:dyDescent="0.25">
      <c r="Z2657">
        <v>399471.52109014802</v>
      </c>
    </row>
    <row r="2658" spans="26:26" x14ac:dyDescent="0.25">
      <c r="Z2658">
        <v>399472.83899266639</v>
      </c>
    </row>
    <row r="2659" spans="26:26" x14ac:dyDescent="0.25">
      <c r="Z2659">
        <v>399474.15360864479</v>
      </c>
    </row>
    <row r="2660" spans="26:26" x14ac:dyDescent="0.25">
      <c r="Z2660">
        <v>399475.46494627907</v>
      </c>
    </row>
    <row r="2661" spans="26:26" x14ac:dyDescent="0.25">
      <c r="Z2661">
        <v>399476.77301374474</v>
      </c>
    </row>
    <row r="2662" spans="26:26" x14ac:dyDescent="0.25">
      <c r="Z2662">
        <v>399478.07781919674</v>
      </c>
    </row>
    <row r="2663" spans="26:26" x14ac:dyDescent="0.25">
      <c r="Z2663">
        <v>399479.37937076978</v>
      </c>
    </row>
    <row r="2664" spans="26:26" x14ac:dyDescent="0.25">
      <c r="Z2664">
        <v>399480.6776765784</v>
      </c>
    </row>
    <row r="2665" spans="26:26" x14ac:dyDescent="0.25">
      <c r="Z2665">
        <v>399481.97274471656</v>
      </c>
    </row>
    <row r="2666" spans="26:26" x14ac:dyDescent="0.25">
      <c r="Z2666">
        <v>399483.26458325842</v>
      </c>
    </row>
    <row r="2667" spans="26:26" x14ac:dyDescent="0.25">
      <c r="Z2667">
        <v>399484.55320025777</v>
      </c>
    </row>
    <row r="2668" spans="26:26" x14ac:dyDescent="0.25">
      <c r="Z2668">
        <v>399485.83860374836</v>
      </c>
    </row>
    <row r="2669" spans="26:26" x14ac:dyDescent="0.25">
      <c r="Z2669">
        <v>399487.12080174405</v>
      </c>
    </row>
    <row r="2670" spans="26:26" x14ac:dyDescent="0.25">
      <c r="Z2670">
        <v>399488.39980223845</v>
      </c>
    </row>
    <row r="2671" spans="26:26" x14ac:dyDescent="0.25">
      <c r="Z2671">
        <v>399489.67561320547</v>
      </c>
    </row>
    <row r="2672" spans="26:26" x14ac:dyDescent="0.25">
      <c r="Z2672">
        <v>399490.94824259897</v>
      </c>
    </row>
    <row r="2673" spans="26:26" x14ac:dyDescent="0.25">
      <c r="Z2673">
        <v>399492.21769835305</v>
      </c>
    </row>
    <row r="2674" spans="26:26" x14ac:dyDescent="0.25">
      <c r="Z2674">
        <v>399493.4839883821</v>
      </c>
    </row>
    <row r="2675" spans="26:26" x14ac:dyDescent="0.25">
      <c r="Z2675">
        <v>399494.74712058069</v>
      </c>
    </row>
    <row r="2676" spans="26:26" x14ac:dyDescent="0.25">
      <c r="Z2676">
        <v>399496.00710282358</v>
      </c>
    </row>
    <row r="2677" spans="26:26" x14ac:dyDescent="0.25">
      <c r="Z2677">
        <v>399497.26394296618</v>
      </c>
    </row>
    <row r="2678" spans="26:26" x14ac:dyDescent="0.25">
      <c r="Z2678">
        <v>399498.51764884411</v>
      </c>
    </row>
    <row r="2679" spans="26:26" x14ac:dyDescent="0.25">
      <c r="Z2679">
        <v>399499.76822827337</v>
      </c>
    </row>
    <row r="2680" spans="26:26" x14ac:dyDescent="0.25">
      <c r="Z2680">
        <v>399501.01568905078</v>
      </c>
    </row>
    <row r="2681" spans="26:26" x14ac:dyDescent="0.25">
      <c r="Z2681">
        <v>399502.26003895333</v>
      </c>
    </row>
    <row r="2682" spans="26:26" x14ac:dyDescent="0.25">
      <c r="Z2682">
        <v>399503.50128573907</v>
      </c>
    </row>
    <row r="2683" spans="26:26" x14ac:dyDescent="0.25">
      <c r="Z2683">
        <v>399504.73943714617</v>
      </c>
    </row>
    <row r="2684" spans="26:26" x14ac:dyDescent="0.25">
      <c r="Z2684">
        <v>399505.97450089396</v>
      </c>
    </row>
    <row r="2685" spans="26:26" x14ac:dyDescent="0.25">
      <c r="Z2685">
        <v>399507.20648468222</v>
      </c>
    </row>
    <row r="2686" spans="26:26" x14ac:dyDescent="0.25">
      <c r="Z2686">
        <v>399508.43539619172</v>
      </c>
    </row>
    <row r="2687" spans="26:26" x14ac:dyDescent="0.25">
      <c r="Z2687">
        <v>399509.66124308406</v>
      </c>
    </row>
    <row r="2688" spans="26:26" x14ac:dyDescent="0.25">
      <c r="Z2688">
        <v>399510.88403300155</v>
      </c>
    </row>
    <row r="2689" spans="26:26" x14ac:dyDescent="0.25">
      <c r="Z2689">
        <v>399512.10377356759</v>
      </c>
    </row>
    <row r="2690" spans="26:26" x14ac:dyDescent="0.25">
      <c r="Z2690">
        <v>399513.32047238661</v>
      </c>
    </row>
    <row r="2691" spans="26:26" x14ac:dyDescent="0.25">
      <c r="Z2691">
        <v>399514.53413704404</v>
      </c>
    </row>
    <row r="2692" spans="26:26" x14ac:dyDescent="0.25">
      <c r="Z2692">
        <v>399515.74477510626</v>
      </c>
    </row>
    <row r="2693" spans="26:26" x14ac:dyDescent="0.25">
      <c r="Z2693">
        <v>399516.95239412098</v>
      </c>
    </row>
    <row r="2694" spans="26:26" x14ac:dyDescent="0.25">
      <c r="Z2694">
        <v>399518.15700161696</v>
      </c>
    </row>
    <row r="2695" spans="26:26" x14ac:dyDescent="0.25">
      <c r="Z2695">
        <v>399519.35860510415</v>
      </c>
    </row>
    <row r="2696" spans="26:26" x14ac:dyDescent="0.25">
      <c r="Z2696">
        <v>399520.557212074</v>
      </c>
    </row>
    <row r="2697" spans="26:26" x14ac:dyDescent="0.25">
      <c r="Z2697">
        <v>399521.75282999896</v>
      </c>
    </row>
    <row r="2698" spans="26:26" x14ac:dyDescent="0.25">
      <c r="Z2698">
        <v>399522.94546633313</v>
      </c>
    </row>
    <row r="2699" spans="26:26" x14ac:dyDescent="0.25">
      <c r="Z2699">
        <v>399524.13512851187</v>
      </c>
    </row>
    <row r="2700" spans="26:26" x14ac:dyDescent="0.25">
      <c r="Z2700">
        <v>399525.32182395196</v>
      </c>
    </row>
    <row r="2701" spans="26:26" x14ac:dyDescent="0.25">
      <c r="Z2701">
        <v>399526.50556005188</v>
      </c>
    </row>
    <row r="2702" spans="26:26" x14ac:dyDescent="0.25">
      <c r="Z2702">
        <v>399527.68634419137</v>
      </c>
    </row>
    <row r="2703" spans="26:26" x14ac:dyDescent="0.25">
      <c r="Z2703">
        <v>399528.86418373202</v>
      </c>
    </row>
    <row r="2704" spans="26:26" x14ac:dyDescent="0.25">
      <c r="Z2704">
        <v>399530.03908601706</v>
      </c>
    </row>
    <row r="2705" spans="26:26" x14ac:dyDescent="0.25">
      <c r="Z2705">
        <v>399531.21105837106</v>
      </c>
    </row>
    <row r="2706" spans="26:26" x14ac:dyDescent="0.25">
      <c r="Z2706">
        <v>399532.38010810083</v>
      </c>
    </row>
    <row r="2707" spans="26:26" x14ac:dyDescent="0.25">
      <c r="Z2707">
        <v>399533.5462424946</v>
      </c>
    </row>
    <row r="2708" spans="26:26" x14ac:dyDescent="0.25">
      <c r="Z2708">
        <v>399534.70946882252</v>
      </c>
    </row>
    <row r="2709" spans="26:26" x14ac:dyDescent="0.25">
      <c r="Z2709">
        <v>399535.86979433673</v>
      </c>
    </row>
    <row r="2710" spans="26:26" x14ac:dyDescent="0.25">
      <c r="Z2710">
        <v>399537.02722627099</v>
      </c>
    </row>
    <row r="2711" spans="26:26" x14ac:dyDescent="0.25">
      <c r="Z2711">
        <v>399538.18177184142</v>
      </c>
    </row>
    <row r="2712" spans="26:26" x14ac:dyDescent="0.25">
      <c r="Z2712">
        <v>399539.33343824581</v>
      </c>
    </row>
    <row r="2713" spans="26:26" x14ac:dyDescent="0.25">
      <c r="Z2713">
        <v>399540.48223266419</v>
      </c>
    </row>
    <row r="2714" spans="26:26" x14ac:dyDescent="0.25">
      <c r="Z2714">
        <v>399541.62816225848</v>
      </c>
    </row>
    <row r="2715" spans="26:26" x14ac:dyDescent="0.25">
      <c r="Z2715">
        <v>399542.77123417309</v>
      </c>
    </row>
    <row r="2716" spans="26:26" x14ac:dyDescent="0.25">
      <c r="Z2716">
        <v>399543.91145553422</v>
      </c>
    </row>
    <row r="2717" spans="26:26" x14ac:dyDescent="0.25">
      <c r="Z2717">
        <v>399545.04883345059</v>
      </c>
    </row>
    <row r="2718" spans="26:26" x14ac:dyDescent="0.25">
      <c r="Z2718">
        <v>399546.18337501312</v>
      </c>
    </row>
    <row r="2719" spans="26:26" x14ac:dyDescent="0.25">
      <c r="Z2719">
        <v>399547.31508729485</v>
      </c>
    </row>
    <row r="2720" spans="26:26" x14ac:dyDescent="0.25">
      <c r="Z2720">
        <v>399548.44397735142</v>
      </c>
    </row>
    <row r="2721" spans="26:26" x14ac:dyDescent="0.25">
      <c r="Z2721">
        <v>399549.57005222089</v>
      </c>
    </row>
    <row r="2722" spans="26:26" x14ac:dyDescent="0.25">
      <c r="Z2722">
        <v>399550.69331892359</v>
      </c>
    </row>
    <row r="2723" spans="26:26" x14ac:dyDescent="0.25">
      <c r="Z2723">
        <v>399551.8137844624</v>
      </c>
    </row>
    <row r="2724" spans="26:26" x14ac:dyDescent="0.25">
      <c r="Z2724">
        <v>399552.93145582284</v>
      </c>
    </row>
    <row r="2725" spans="26:26" x14ac:dyDescent="0.25">
      <c r="Z2725">
        <v>399554.04633997293</v>
      </c>
    </row>
    <row r="2726" spans="26:26" x14ac:dyDescent="0.25">
      <c r="Z2726">
        <v>399555.15844386327</v>
      </c>
    </row>
    <row r="2727" spans="26:26" x14ac:dyDescent="0.25">
      <c r="Z2727">
        <v>399556.26777442719</v>
      </c>
    </row>
    <row r="2728" spans="26:26" x14ac:dyDescent="0.25">
      <c r="Z2728">
        <v>399557.37433858082</v>
      </c>
    </row>
    <row r="2729" spans="26:26" x14ac:dyDescent="0.25">
      <c r="Z2729">
        <v>399558.47814322269</v>
      </c>
    </row>
    <row r="2730" spans="26:26" x14ac:dyDescent="0.25">
      <c r="Z2730">
        <v>399559.57919523463</v>
      </c>
    </row>
    <row r="2731" spans="26:26" x14ac:dyDescent="0.25">
      <c r="Z2731">
        <v>399560.67750148091</v>
      </c>
    </row>
    <row r="2732" spans="26:26" x14ac:dyDescent="0.25">
      <c r="Z2732">
        <v>399561.77306880889</v>
      </c>
    </row>
    <row r="2733" spans="26:26" x14ac:dyDescent="0.25">
      <c r="Z2733">
        <v>399562.86590404878</v>
      </c>
    </row>
    <row r="2734" spans="26:26" x14ac:dyDescent="0.25">
      <c r="Z2734">
        <v>399563.95601401379</v>
      </c>
    </row>
    <row r="2735" spans="26:26" x14ac:dyDescent="0.25">
      <c r="Z2735">
        <v>399565.04340550001</v>
      </c>
    </row>
    <row r="2736" spans="26:26" x14ac:dyDescent="0.25">
      <c r="Z2736">
        <v>399566.12808528676</v>
      </c>
    </row>
    <row r="2737" spans="26:26" x14ac:dyDescent="0.25">
      <c r="Z2737">
        <v>399567.21006013645</v>
      </c>
    </row>
    <row r="2738" spans="26:26" x14ac:dyDescent="0.25">
      <c r="Z2738">
        <v>399568.28933679441</v>
      </c>
    </row>
    <row r="2739" spans="26:26" x14ac:dyDescent="0.25">
      <c r="Z2739">
        <v>399569.36592198949</v>
      </c>
    </row>
    <row r="2740" spans="26:26" x14ac:dyDescent="0.25">
      <c r="Z2740">
        <v>399570.4398224334</v>
      </c>
    </row>
    <row r="2741" spans="26:26" x14ac:dyDescent="0.25">
      <c r="Z2741">
        <v>399571.51104482129</v>
      </c>
    </row>
    <row r="2742" spans="26:26" x14ac:dyDescent="0.25">
      <c r="Z2742">
        <v>399572.57959583175</v>
      </c>
    </row>
    <row r="2743" spans="26:26" x14ac:dyDescent="0.25">
      <c r="Z2743">
        <v>399573.64548212645</v>
      </c>
    </row>
    <row r="2744" spans="26:26" x14ac:dyDescent="0.25">
      <c r="Z2744">
        <v>399574.7087103505</v>
      </c>
    </row>
    <row r="2745" spans="26:26" x14ac:dyDescent="0.25">
      <c r="Z2745">
        <v>399575.76928713272</v>
      </c>
    </row>
    <row r="2746" spans="26:26" x14ac:dyDescent="0.25">
      <c r="Z2746">
        <v>399576.82721908501</v>
      </c>
    </row>
    <row r="2747" spans="26:26" x14ac:dyDescent="0.25">
      <c r="Z2747">
        <v>399577.88251280296</v>
      </c>
    </row>
    <row r="2748" spans="26:26" x14ac:dyDescent="0.25">
      <c r="Z2748">
        <v>399578.93517486588</v>
      </c>
    </row>
    <row r="2749" spans="26:26" x14ac:dyDescent="0.25">
      <c r="Z2749">
        <v>399579.98521183623</v>
      </c>
    </row>
    <row r="2750" spans="26:26" x14ac:dyDescent="0.25">
      <c r="Z2750">
        <v>399581.03263026057</v>
      </c>
    </row>
    <row r="2751" spans="26:26" x14ac:dyDescent="0.25">
      <c r="Z2751">
        <v>399582.07743666891</v>
      </c>
    </row>
    <row r="2752" spans="26:26" x14ac:dyDescent="0.25">
      <c r="Z2752">
        <v>399583.11963757494</v>
      </c>
    </row>
    <row r="2753" spans="26:26" x14ac:dyDescent="0.25">
      <c r="Z2753">
        <v>399584.15923947631</v>
      </c>
    </row>
    <row r="2754" spans="26:26" x14ac:dyDescent="0.25">
      <c r="Z2754">
        <v>399585.19624885416</v>
      </c>
    </row>
    <row r="2755" spans="26:26" x14ac:dyDescent="0.25">
      <c r="Z2755">
        <v>399586.23067217373</v>
      </c>
    </row>
    <row r="2756" spans="26:26" x14ac:dyDescent="0.25">
      <c r="Z2756">
        <v>399587.26251588401</v>
      </c>
    </row>
    <row r="2757" spans="26:26" x14ac:dyDescent="0.25">
      <c r="Z2757">
        <v>399588.29178641795</v>
      </c>
    </row>
    <row r="2758" spans="26:26" x14ac:dyDescent="0.25">
      <c r="Z2758">
        <v>399589.31849019247</v>
      </c>
    </row>
    <row r="2759" spans="26:26" x14ac:dyDescent="0.25">
      <c r="Z2759">
        <v>399590.3426336085</v>
      </c>
    </row>
    <row r="2760" spans="26:26" x14ac:dyDescent="0.25">
      <c r="Z2760">
        <v>399591.36422305088</v>
      </c>
    </row>
    <row r="2761" spans="26:26" x14ac:dyDescent="0.25">
      <c r="Z2761">
        <v>399592.3832648886</v>
      </c>
    </row>
    <row r="2762" spans="26:26" x14ac:dyDescent="0.25">
      <c r="Z2762">
        <v>399593.39976547495</v>
      </c>
    </row>
    <row r="2763" spans="26:26" x14ac:dyDescent="0.25">
      <c r="Z2763">
        <v>399594.41373114707</v>
      </c>
    </row>
    <row r="2764" spans="26:26" x14ac:dyDescent="0.25">
      <c r="Z2764">
        <v>399595.42516822647</v>
      </c>
    </row>
    <row r="2765" spans="26:26" x14ac:dyDescent="0.25">
      <c r="Z2765">
        <v>399596.43408301892</v>
      </c>
    </row>
    <row r="2766" spans="26:26" x14ac:dyDescent="0.25">
      <c r="Z2766">
        <v>399597.44048181444</v>
      </c>
    </row>
    <row r="2767" spans="26:26" x14ac:dyDescent="0.25">
      <c r="Z2767">
        <v>399598.44437088724</v>
      </c>
    </row>
    <row r="2768" spans="26:26" x14ac:dyDescent="0.25">
      <c r="Z2768">
        <v>399599.44575649599</v>
      </c>
    </row>
    <row r="2769" spans="26:26" x14ac:dyDescent="0.25">
      <c r="Z2769">
        <v>399600.44464488374</v>
      </c>
    </row>
    <row r="2770" spans="26:26" x14ac:dyDescent="0.25">
      <c r="Z2770">
        <v>399601.44104227808</v>
      </c>
    </row>
    <row r="2771" spans="26:26" x14ac:dyDescent="0.25">
      <c r="Z2771">
        <v>399602.43495489086</v>
      </c>
    </row>
    <row r="2772" spans="26:26" x14ac:dyDescent="0.25">
      <c r="Z2772">
        <v>399603.42638891854</v>
      </c>
    </row>
    <row r="2773" spans="26:26" x14ac:dyDescent="0.25">
      <c r="Z2773">
        <v>399604.41535054211</v>
      </c>
    </row>
    <row r="2774" spans="26:26" x14ac:dyDescent="0.25">
      <c r="Z2774">
        <v>399605.40184592735</v>
      </c>
    </row>
    <row r="2775" spans="26:26" x14ac:dyDescent="0.25">
      <c r="Z2775">
        <v>399606.3858812243</v>
      </c>
    </row>
    <row r="2776" spans="26:26" x14ac:dyDescent="0.25">
      <c r="Z2776">
        <v>399607.36746256787</v>
      </c>
    </row>
    <row r="2777" spans="26:26" x14ac:dyDescent="0.25">
      <c r="Z2777">
        <v>399608.34659607772</v>
      </c>
    </row>
    <row r="2778" spans="26:26" x14ac:dyDescent="0.25">
      <c r="Z2778">
        <v>399609.32328785805</v>
      </c>
    </row>
    <row r="2779" spans="26:26" x14ac:dyDescent="0.25">
      <c r="Z2779">
        <v>399610.29754399805</v>
      </c>
    </row>
    <row r="2780" spans="26:26" x14ac:dyDescent="0.25">
      <c r="Z2780">
        <v>399611.26937057159</v>
      </c>
    </row>
    <row r="2781" spans="26:26" x14ac:dyDescent="0.25">
      <c r="Z2781">
        <v>399612.23877363751</v>
      </c>
    </row>
    <row r="2782" spans="26:26" x14ac:dyDescent="0.25">
      <c r="Z2782">
        <v>399613.20575923938</v>
      </c>
    </row>
    <row r="2783" spans="26:26" x14ac:dyDescent="0.25">
      <c r="Z2783">
        <v>399614.1703334059</v>
      </c>
    </row>
    <row r="2784" spans="26:26" x14ac:dyDescent="0.25">
      <c r="Z2784">
        <v>399615.13250215055</v>
      </c>
    </row>
    <row r="2785" spans="26:26" x14ac:dyDescent="0.25">
      <c r="Z2785">
        <v>399616.09227147186</v>
      </c>
    </row>
    <row r="2786" spans="26:26" x14ac:dyDescent="0.25">
      <c r="Z2786">
        <v>399617.04964735347</v>
      </c>
    </row>
    <row r="2787" spans="26:26" x14ac:dyDescent="0.25">
      <c r="Z2787">
        <v>399618.00463576405</v>
      </c>
    </row>
    <row r="2788" spans="26:26" x14ac:dyDescent="0.25">
      <c r="Z2788">
        <v>399618.95724265743</v>
      </c>
    </row>
    <row r="2789" spans="26:26" x14ac:dyDescent="0.25">
      <c r="Z2789">
        <v>399619.90747397247</v>
      </c>
    </row>
    <row r="2790" spans="26:26" x14ac:dyDescent="0.25">
      <c r="Z2790">
        <v>399620.85533563339</v>
      </c>
    </row>
    <row r="2791" spans="26:26" x14ac:dyDescent="0.25">
      <c r="Z2791">
        <v>399621.80083354953</v>
      </c>
    </row>
    <row r="2792" spans="26:26" x14ac:dyDescent="0.25">
      <c r="Z2792">
        <v>399622.74397361546</v>
      </c>
    </row>
    <row r="2793" spans="26:26" x14ac:dyDescent="0.25">
      <c r="Z2793">
        <v>399623.68476171122</v>
      </c>
    </row>
    <row r="2794" spans="26:26" x14ac:dyDescent="0.25">
      <c r="Z2794">
        <v>399624.62320370192</v>
      </c>
    </row>
    <row r="2795" spans="26:26" x14ac:dyDescent="0.25">
      <c r="Z2795">
        <v>399625.55930543836</v>
      </c>
    </row>
    <row r="2796" spans="26:26" x14ac:dyDescent="0.25">
      <c r="Z2796">
        <v>399626.49307275645</v>
      </c>
    </row>
    <row r="2797" spans="26:26" x14ac:dyDescent="0.25">
      <c r="Z2797">
        <v>399627.42451147776</v>
      </c>
    </row>
    <row r="2798" spans="26:26" x14ac:dyDescent="0.25">
      <c r="Z2798">
        <v>399628.35362740926</v>
      </c>
    </row>
    <row r="2799" spans="26:26" x14ac:dyDescent="0.25">
      <c r="Z2799">
        <v>399629.28042634338</v>
      </c>
    </row>
    <row r="2800" spans="26:26" x14ac:dyDescent="0.25">
      <c r="Z2800">
        <v>399630.20491405821</v>
      </c>
    </row>
    <row r="2801" spans="26:26" x14ac:dyDescent="0.25">
      <c r="Z2801">
        <v>399631.12709631748</v>
      </c>
    </row>
    <row r="2802" spans="26:26" x14ac:dyDescent="0.25">
      <c r="Z2802">
        <v>399632.04697887029</v>
      </c>
    </row>
    <row r="2803" spans="26:26" x14ac:dyDescent="0.25">
      <c r="Z2803">
        <v>399632.96456745162</v>
      </c>
    </row>
    <row r="2804" spans="26:26" x14ac:dyDescent="0.25">
      <c r="Z2804">
        <v>399633.87986778218</v>
      </c>
    </row>
    <row r="2805" spans="26:26" x14ac:dyDescent="0.25">
      <c r="Z2805">
        <v>399634.79288556828</v>
      </c>
    </row>
    <row r="2806" spans="26:26" x14ac:dyDescent="0.25">
      <c r="Z2806">
        <v>399635.70362650196</v>
      </c>
    </row>
    <row r="2807" spans="26:26" x14ac:dyDescent="0.25">
      <c r="Z2807">
        <v>399636.61209626141</v>
      </c>
    </row>
    <row r="2808" spans="26:26" x14ac:dyDescent="0.25">
      <c r="Z2808">
        <v>399637.51830051007</v>
      </c>
    </row>
    <row r="2809" spans="26:26" x14ac:dyDescent="0.25">
      <c r="Z2809">
        <v>399638.42224489781</v>
      </c>
    </row>
    <row r="2810" spans="26:26" x14ac:dyDescent="0.25">
      <c r="Z2810">
        <v>399639.32393506018</v>
      </c>
    </row>
    <row r="2811" spans="26:26" x14ac:dyDescent="0.25">
      <c r="Z2811">
        <v>399640.2233766187</v>
      </c>
    </row>
    <row r="2812" spans="26:26" x14ac:dyDescent="0.25">
      <c r="Z2812">
        <v>399641.12057518068</v>
      </c>
    </row>
    <row r="2813" spans="26:26" x14ac:dyDescent="0.25">
      <c r="Z2813">
        <v>399642.0155363399</v>
      </c>
    </row>
    <row r="2814" spans="26:26" x14ac:dyDescent="0.25">
      <c r="Z2814">
        <v>399642.90826567565</v>
      </c>
    </row>
    <row r="2815" spans="26:26" x14ac:dyDescent="0.25">
      <c r="Z2815">
        <v>399643.79876875377</v>
      </c>
    </row>
    <row r="2816" spans="26:26" x14ac:dyDescent="0.25">
      <c r="Z2816">
        <v>399644.68705112592</v>
      </c>
    </row>
    <row r="2817" spans="26:26" x14ac:dyDescent="0.25">
      <c r="Z2817">
        <v>399645.57311833015</v>
      </c>
    </row>
    <row r="2818" spans="26:26" x14ac:dyDescent="0.25">
      <c r="Z2818">
        <v>399646.45697589038</v>
      </c>
    </row>
    <row r="2819" spans="26:26" x14ac:dyDescent="0.25">
      <c r="Z2819">
        <v>399647.33862931712</v>
      </c>
    </row>
    <row r="2820" spans="26:26" x14ac:dyDescent="0.25">
      <c r="Z2820">
        <v>399648.21808410686</v>
      </c>
    </row>
    <row r="2821" spans="26:26" x14ac:dyDescent="0.25">
      <c r="Z2821">
        <v>399649.09534574248</v>
      </c>
    </row>
    <row r="2822" spans="26:26" x14ac:dyDescent="0.25">
      <c r="Z2822">
        <v>399649.97041969327</v>
      </c>
    </row>
    <row r="2823" spans="26:26" x14ac:dyDescent="0.25">
      <c r="Z2823">
        <v>399650.8433114147</v>
      </c>
    </row>
    <row r="2824" spans="26:26" x14ac:dyDescent="0.25">
      <c r="Z2824">
        <v>399651.71402634884</v>
      </c>
    </row>
    <row r="2825" spans="26:26" x14ac:dyDescent="0.25">
      <c r="Z2825">
        <v>399652.58256992401</v>
      </c>
    </row>
    <row r="2826" spans="26:26" x14ac:dyDescent="0.25">
      <c r="Z2826">
        <v>399653.44894755515</v>
      </c>
    </row>
    <row r="2827" spans="26:26" x14ac:dyDescent="0.25">
      <c r="Z2827">
        <v>399654.31316464354</v>
      </c>
    </row>
    <row r="2828" spans="26:26" x14ac:dyDescent="0.25">
      <c r="Z2828">
        <v>399655.17522657709</v>
      </c>
    </row>
    <row r="2829" spans="26:26" x14ac:dyDescent="0.25">
      <c r="Z2829">
        <v>399656.03513873031</v>
      </c>
    </row>
    <row r="2830" spans="26:26" x14ac:dyDescent="0.25">
      <c r="Z2830">
        <v>399656.89290646411</v>
      </c>
    </row>
    <row r="2831" spans="26:26" x14ac:dyDescent="0.25">
      <c r="Z2831">
        <v>399657.74853512627</v>
      </c>
    </row>
    <row r="2832" spans="26:26" x14ac:dyDescent="0.25">
      <c r="Z2832">
        <v>399658.60203005117</v>
      </c>
    </row>
    <row r="2833" spans="26:26" x14ac:dyDescent="0.25">
      <c r="Z2833">
        <v>399659.45339655975</v>
      </c>
    </row>
    <row r="2834" spans="26:26" x14ac:dyDescent="0.25">
      <c r="Z2834">
        <v>399660.3026399599</v>
      </c>
    </row>
    <row r="2835" spans="26:26" x14ac:dyDescent="0.25">
      <c r="Z2835">
        <v>399661.14976554597</v>
      </c>
    </row>
    <row r="2836" spans="26:26" x14ac:dyDescent="0.25">
      <c r="Z2836">
        <v>399661.99477859947</v>
      </c>
    </row>
    <row r="2837" spans="26:26" x14ac:dyDescent="0.25">
      <c r="Z2837">
        <v>399662.83768438851</v>
      </c>
    </row>
    <row r="2838" spans="26:26" x14ac:dyDescent="0.25">
      <c r="Z2838">
        <v>399663.67848816811</v>
      </c>
    </row>
    <row r="2839" spans="26:26" x14ac:dyDescent="0.25">
      <c r="Z2839">
        <v>399664.51719518017</v>
      </c>
    </row>
    <row r="2840" spans="26:26" x14ac:dyDescent="0.25">
      <c r="Z2840">
        <v>399665.3538106535</v>
      </c>
    </row>
    <row r="2841" spans="26:26" x14ac:dyDescent="0.25">
      <c r="Z2841">
        <v>399666.18833980401</v>
      </c>
    </row>
    <row r="2842" spans="26:26" x14ac:dyDescent="0.25">
      <c r="Z2842">
        <v>399667.02078783442</v>
      </c>
    </row>
    <row r="2843" spans="26:26" x14ac:dyDescent="0.25">
      <c r="Z2843">
        <v>399667.85115993459</v>
      </c>
    </row>
    <row r="2844" spans="26:26" x14ac:dyDescent="0.25">
      <c r="Z2844">
        <v>399668.6794612814</v>
      </c>
    </row>
    <row r="2845" spans="26:26" x14ac:dyDescent="0.25">
      <c r="Z2845">
        <v>399669.50569703878</v>
      </c>
    </row>
    <row r="2846" spans="26:26" x14ac:dyDescent="0.25">
      <c r="Z2846">
        <v>399670.32987235789</v>
      </c>
    </row>
    <row r="2847" spans="26:26" x14ac:dyDescent="0.25">
      <c r="Z2847">
        <v>399671.15199237695</v>
      </c>
    </row>
    <row r="2848" spans="26:26" x14ac:dyDescent="0.25">
      <c r="Z2848">
        <v>399671.97206222138</v>
      </c>
    </row>
    <row r="2849" spans="26:26" x14ac:dyDescent="0.25">
      <c r="Z2849">
        <v>399672.7900870039</v>
      </c>
    </row>
    <row r="2850" spans="26:26" x14ac:dyDescent="0.25">
      <c r="Z2850">
        <v>399673.60607182432</v>
      </c>
    </row>
    <row r="2851" spans="26:26" x14ac:dyDescent="0.25">
      <c r="Z2851">
        <v>399674.42002176988</v>
      </c>
    </row>
    <row r="2852" spans="26:26" x14ac:dyDescent="0.25">
      <c r="Z2852">
        <v>399675.23194191512</v>
      </c>
    </row>
    <row r="2853" spans="26:26" x14ac:dyDescent="0.25">
      <c r="Z2853">
        <v>399676.04183732183</v>
      </c>
    </row>
    <row r="2854" spans="26:26" x14ac:dyDescent="0.25">
      <c r="Z2854">
        <v>399676.84971303924</v>
      </c>
    </row>
    <row r="2855" spans="26:26" x14ac:dyDescent="0.25">
      <c r="Z2855">
        <v>399677.65557410393</v>
      </c>
    </row>
    <row r="2856" spans="26:26" x14ac:dyDescent="0.25">
      <c r="Z2856">
        <v>399678.45942554012</v>
      </c>
    </row>
    <row r="2857" spans="26:26" x14ac:dyDescent="0.25">
      <c r="Z2857">
        <v>399679.26127235917</v>
      </c>
    </row>
    <row r="2858" spans="26:26" x14ac:dyDescent="0.25">
      <c r="Z2858">
        <v>399680.06111956027</v>
      </c>
    </row>
    <row r="2859" spans="26:26" x14ac:dyDescent="0.25">
      <c r="Z2859">
        <v>399680.85897212999</v>
      </c>
    </row>
    <row r="2860" spans="26:26" x14ac:dyDescent="0.25">
      <c r="Z2860">
        <v>399681.65483504237</v>
      </c>
    </row>
    <row r="2861" spans="26:26" x14ac:dyDescent="0.25">
      <c r="Z2861">
        <v>399682.44871325925</v>
      </c>
    </row>
    <row r="2862" spans="26:26" x14ac:dyDescent="0.25">
      <c r="Z2862">
        <v>399683.24061172991</v>
      </c>
    </row>
    <row r="2863" spans="26:26" x14ac:dyDescent="0.25">
      <c r="Z2863">
        <v>399684.03053539142</v>
      </c>
    </row>
    <row r="2864" spans="26:26" x14ac:dyDescent="0.25">
      <c r="Z2864">
        <v>399684.81848916848</v>
      </c>
    </row>
    <row r="2865" spans="26:26" x14ac:dyDescent="0.25">
      <c r="Z2865">
        <v>399685.6044779736</v>
      </c>
    </row>
    <row r="2866" spans="26:26" x14ac:dyDescent="0.25">
      <c r="Z2866">
        <v>399686.38850670675</v>
      </c>
    </row>
    <row r="2867" spans="26:26" x14ac:dyDescent="0.25">
      <c r="Z2867">
        <v>399687.17058025615</v>
      </c>
    </row>
    <row r="2868" spans="26:26" x14ac:dyDescent="0.25">
      <c r="Z2868">
        <v>399687.95070349739</v>
      </c>
    </row>
    <row r="2869" spans="26:26" x14ac:dyDescent="0.25">
      <c r="Z2869">
        <v>399688.7288812942</v>
      </c>
    </row>
    <row r="2870" spans="26:26" x14ac:dyDescent="0.25">
      <c r="Z2870">
        <v>399689.50511849794</v>
      </c>
    </row>
    <row r="2871" spans="26:26" x14ac:dyDescent="0.25">
      <c r="Z2871">
        <v>399690.27941994806</v>
      </c>
    </row>
    <row r="2872" spans="26:26" x14ac:dyDescent="0.25">
      <c r="Z2872">
        <v>399691.05179047189</v>
      </c>
    </row>
    <row r="2873" spans="26:26" x14ac:dyDescent="0.25">
      <c r="Z2873">
        <v>399691.82223488466</v>
      </c>
    </row>
    <row r="2874" spans="26:26" x14ac:dyDescent="0.25">
      <c r="Z2874">
        <v>399692.59075798973</v>
      </c>
    </row>
    <row r="2875" spans="26:26" x14ac:dyDescent="0.25">
      <c r="Z2875">
        <v>399693.35736457829</v>
      </c>
    </row>
    <row r="2876" spans="26:26" x14ac:dyDescent="0.25">
      <c r="Z2876">
        <v>399694.12205942965</v>
      </c>
    </row>
    <row r="2877" spans="26:26" x14ac:dyDescent="0.25">
      <c r="Z2877">
        <v>399694.88484731142</v>
      </c>
    </row>
    <row r="2878" spans="26:26" x14ac:dyDescent="0.25">
      <c r="Z2878">
        <v>399695.64573297894</v>
      </c>
    </row>
    <row r="2879" spans="26:26" x14ac:dyDescent="0.25">
      <c r="Z2879">
        <v>399696.40472117596</v>
      </c>
    </row>
    <row r="2880" spans="26:26" x14ac:dyDescent="0.25">
      <c r="Z2880">
        <v>399697.16181663441</v>
      </c>
    </row>
    <row r="2881" spans="26:26" x14ac:dyDescent="0.25">
      <c r="Z2881">
        <v>399697.91702407424</v>
      </c>
    </row>
    <row r="2882" spans="26:26" x14ac:dyDescent="0.25">
      <c r="Z2882">
        <v>399698.67034820374</v>
      </c>
    </row>
    <row r="2883" spans="26:26" x14ac:dyDescent="0.25">
      <c r="Z2883">
        <v>399699.42179371946</v>
      </c>
    </row>
    <row r="2884" spans="26:26" x14ac:dyDescent="0.25">
      <c r="Z2884">
        <v>399700.17136530613</v>
      </c>
    </row>
    <row r="2885" spans="26:26" x14ac:dyDescent="0.25">
      <c r="Z2885">
        <v>399700.91906763706</v>
      </c>
    </row>
    <row r="2886" spans="26:26" x14ac:dyDescent="0.25">
      <c r="Z2886">
        <v>399701.66490537365</v>
      </c>
    </row>
    <row r="2887" spans="26:26" x14ac:dyDescent="0.25">
      <c r="Z2887">
        <v>399702.40888316568</v>
      </c>
    </row>
    <row r="2888" spans="26:26" x14ac:dyDescent="0.25">
      <c r="Z2888">
        <v>399703.15100565157</v>
      </c>
    </row>
    <row r="2889" spans="26:26" x14ac:dyDescent="0.25">
      <c r="Z2889">
        <v>399703.89127745799</v>
      </c>
    </row>
    <row r="2890" spans="26:26" x14ac:dyDescent="0.25">
      <c r="Z2890">
        <v>399704.62970319996</v>
      </c>
    </row>
    <row r="2891" spans="26:26" x14ac:dyDescent="0.25">
      <c r="Z2891">
        <v>399705.36628748127</v>
      </c>
    </row>
    <row r="2892" spans="26:26" x14ac:dyDescent="0.25">
      <c r="Z2892">
        <v>399706.101034894</v>
      </c>
    </row>
    <row r="2893" spans="26:26" x14ac:dyDescent="0.25">
      <c r="Z2893">
        <v>399706.83395001898</v>
      </c>
    </row>
    <row r="2894" spans="26:26" x14ac:dyDescent="0.25">
      <c r="Z2894">
        <v>399707.56503742537</v>
      </c>
    </row>
    <row r="2895" spans="26:26" x14ac:dyDescent="0.25">
      <c r="Z2895">
        <v>399708.29430167121</v>
      </c>
    </row>
    <row r="2896" spans="26:26" x14ac:dyDescent="0.25">
      <c r="Z2896">
        <v>399709.02174730296</v>
      </c>
    </row>
    <row r="2897" spans="26:26" x14ac:dyDescent="0.25">
      <c r="Z2897">
        <v>399709.74737885583</v>
      </c>
    </row>
    <row r="2898" spans="26:26" x14ac:dyDescent="0.25">
      <c r="Z2898">
        <v>399710.4712008537</v>
      </c>
    </row>
    <row r="2899" spans="26:26" x14ac:dyDescent="0.25">
      <c r="Z2899">
        <v>399711.1932178092</v>
      </c>
    </row>
    <row r="2900" spans="26:26" x14ac:dyDescent="0.25">
      <c r="Z2900">
        <v>399711.91343422362</v>
      </c>
    </row>
    <row r="2901" spans="26:26" x14ac:dyDescent="0.25">
      <c r="Z2901">
        <v>399712.63185458712</v>
      </c>
    </row>
    <row r="2902" spans="26:26" x14ac:dyDescent="0.25">
      <c r="Z2902">
        <v>399713.34848337871</v>
      </c>
    </row>
    <row r="2903" spans="26:26" x14ac:dyDescent="0.25">
      <c r="Z2903">
        <v>399714.063325066</v>
      </c>
    </row>
    <row r="2904" spans="26:26" x14ac:dyDescent="0.25">
      <c r="Z2904">
        <v>399714.77638410579</v>
      </c>
    </row>
    <row r="2905" spans="26:26" x14ac:dyDescent="0.25">
      <c r="Z2905">
        <v>399715.48766494339</v>
      </c>
    </row>
    <row r="2906" spans="26:26" x14ac:dyDescent="0.25">
      <c r="Z2906">
        <v>399716.19717201334</v>
      </c>
    </row>
    <row r="2907" spans="26:26" x14ac:dyDescent="0.25">
      <c r="Z2907">
        <v>399716.90490973904</v>
      </c>
    </row>
    <row r="2908" spans="26:26" x14ac:dyDescent="0.25">
      <c r="Z2908">
        <v>399717.61088253267</v>
      </c>
    </row>
    <row r="2909" spans="26:26" x14ac:dyDescent="0.25">
      <c r="Z2909">
        <v>399718.31509479572</v>
      </c>
    </row>
    <row r="2910" spans="26:26" x14ac:dyDescent="0.25">
      <c r="Z2910">
        <v>399719.01755091845</v>
      </c>
    </row>
    <row r="2911" spans="26:26" x14ac:dyDescent="0.25">
      <c r="Z2911">
        <v>399719.71825528023</v>
      </c>
    </row>
    <row r="2912" spans="26:26" x14ac:dyDescent="0.25">
      <c r="Z2912">
        <v>399720.41721224959</v>
      </c>
    </row>
    <row r="2913" spans="26:26" x14ac:dyDescent="0.25">
      <c r="Z2913">
        <v>399721.1144261841</v>
      </c>
    </row>
    <row r="2914" spans="26:26" x14ac:dyDescent="0.25">
      <c r="Z2914">
        <v>399721.80990143056</v>
      </c>
    </row>
    <row r="2915" spans="26:26" x14ac:dyDescent="0.25">
      <c r="Z2915">
        <v>399722.50364232471</v>
      </c>
    </row>
    <row r="2916" spans="26:26" x14ac:dyDescent="0.25">
      <c r="Z2916">
        <v>399723.19565319183</v>
      </c>
    </row>
    <row r="2917" spans="26:26" x14ac:dyDescent="0.25">
      <c r="Z2917">
        <v>399723.88593834586</v>
      </c>
    </row>
    <row r="2918" spans="26:26" x14ac:dyDescent="0.25">
      <c r="Z2918">
        <v>399724.57450209069</v>
      </c>
    </row>
    <row r="2919" spans="26:26" x14ac:dyDescent="0.25">
      <c r="Z2919">
        <v>399725.26134871884</v>
      </c>
    </row>
    <row r="2920" spans="26:26" x14ac:dyDescent="0.25">
      <c r="Z2920">
        <v>399725.94648251258</v>
      </c>
    </row>
    <row r="2921" spans="26:26" x14ac:dyDescent="0.25">
      <c r="Z2921">
        <v>399726.62990774325</v>
      </c>
    </row>
    <row r="2922" spans="26:26" x14ac:dyDescent="0.25">
      <c r="Z2922">
        <v>399727.3116286716</v>
      </c>
    </row>
    <row r="2923" spans="26:26" x14ac:dyDescent="0.25">
      <c r="Z2923">
        <v>399727.99164954771</v>
      </c>
    </row>
    <row r="2924" spans="26:26" x14ac:dyDescent="0.25">
      <c r="Z2924">
        <v>399728.66997461114</v>
      </c>
    </row>
    <row r="2925" spans="26:26" x14ac:dyDescent="0.25">
      <c r="Z2925">
        <v>399729.34660809091</v>
      </c>
    </row>
    <row r="2926" spans="26:26" x14ac:dyDescent="0.25">
      <c r="Z2926">
        <v>399730.02155420539</v>
      </c>
    </row>
    <row r="2927" spans="26:26" x14ac:dyDescent="0.25">
      <c r="Z2927">
        <v>399730.69481716253</v>
      </c>
    </row>
    <row r="2928" spans="26:26" x14ac:dyDescent="0.25">
      <c r="Z2928">
        <v>399731.36640115955</v>
      </c>
    </row>
    <row r="2929" spans="26:26" x14ac:dyDescent="0.25">
      <c r="Z2929">
        <v>399732.03631038364</v>
      </c>
    </row>
    <row r="2930" spans="26:26" x14ac:dyDescent="0.25">
      <c r="Z2930">
        <v>399732.70454901113</v>
      </c>
    </row>
    <row r="2931" spans="26:26" x14ac:dyDescent="0.25">
      <c r="Z2931">
        <v>399733.37112120813</v>
      </c>
    </row>
    <row r="2932" spans="26:26" x14ac:dyDescent="0.25">
      <c r="Z2932">
        <v>399734.03603113029</v>
      </c>
    </row>
    <row r="2933" spans="26:26" x14ac:dyDescent="0.25">
      <c r="Z2933">
        <v>399734.69928292296</v>
      </c>
    </row>
    <row r="2934" spans="26:26" x14ac:dyDescent="0.25">
      <c r="Z2934">
        <v>399735.36088072119</v>
      </c>
    </row>
    <row r="2935" spans="26:26" x14ac:dyDescent="0.25">
      <c r="Z2935">
        <v>399736.02082864952</v>
      </c>
    </row>
    <row r="2936" spans="26:26" x14ac:dyDescent="0.25">
      <c r="Z2936">
        <v>399736.67913082248</v>
      </c>
    </row>
    <row r="2937" spans="26:26" x14ac:dyDescent="0.25">
      <c r="Z2937">
        <v>399737.33579134411</v>
      </c>
    </row>
    <row r="2938" spans="26:26" x14ac:dyDescent="0.25">
      <c r="Z2938">
        <v>399737.99081430834</v>
      </c>
    </row>
    <row r="2939" spans="26:26" x14ac:dyDescent="0.25">
      <c r="Z2939">
        <v>399738.64420379885</v>
      </c>
    </row>
    <row r="2940" spans="26:26" x14ac:dyDescent="0.25">
      <c r="Z2940">
        <v>399739.29596388916</v>
      </c>
    </row>
    <row r="2941" spans="26:26" x14ac:dyDescent="0.25">
      <c r="Z2941">
        <v>399739.94609864254</v>
      </c>
    </row>
    <row r="2942" spans="26:26" x14ac:dyDescent="0.25">
      <c r="Z2942">
        <v>399740.59461211221</v>
      </c>
    </row>
    <row r="2943" spans="26:26" x14ac:dyDescent="0.25">
      <c r="Z2943">
        <v>399741.24150834139</v>
      </c>
    </row>
    <row r="2944" spans="26:26" x14ac:dyDescent="0.25">
      <c r="Z2944">
        <v>399741.88679136301</v>
      </c>
    </row>
    <row r="2945" spans="26:26" x14ac:dyDescent="0.25">
      <c r="Z2945">
        <v>399742.53046519996</v>
      </c>
    </row>
    <row r="2946" spans="26:26" x14ac:dyDescent="0.25">
      <c r="Z2946">
        <v>399743.17253386532</v>
      </c>
    </row>
    <row r="2947" spans="26:26" x14ac:dyDescent="0.25">
      <c r="Z2947">
        <v>399743.81300136191</v>
      </c>
    </row>
    <row r="2948" spans="26:26" x14ac:dyDescent="0.25">
      <c r="Z2948">
        <v>399744.45187168272</v>
      </c>
    </row>
    <row r="2949" spans="26:26" x14ac:dyDescent="0.25">
      <c r="Z2949">
        <v>399745.08914881072</v>
      </c>
    </row>
    <row r="2950" spans="26:26" x14ac:dyDescent="0.25">
      <c r="Z2950">
        <v>399745.72483671887</v>
      </c>
    </row>
    <row r="2951" spans="26:26" x14ac:dyDescent="0.25">
      <c r="Z2951">
        <v>399746.35893937049</v>
      </c>
    </row>
    <row r="2952" spans="26:26" x14ac:dyDescent="0.25">
      <c r="Z2952">
        <v>399746.99146071868</v>
      </c>
    </row>
    <row r="2953" spans="26:26" x14ac:dyDescent="0.25">
      <c r="Z2953">
        <v>399747.6224047069</v>
      </c>
    </row>
    <row r="2954" spans="26:26" x14ac:dyDescent="0.25">
      <c r="Z2954">
        <v>399748.2517752687</v>
      </c>
    </row>
    <row r="2955" spans="26:26" x14ac:dyDescent="0.25">
      <c r="Z2955">
        <v>399748.87957632792</v>
      </c>
    </row>
    <row r="2956" spans="26:26" x14ac:dyDescent="0.25">
      <c r="Z2956">
        <v>399749.50581179839</v>
      </c>
    </row>
    <row r="2957" spans="26:26" x14ac:dyDescent="0.25">
      <c r="Z2957">
        <v>399750.13048558449</v>
      </c>
    </row>
    <row r="2958" spans="26:26" x14ac:dyDescent="0.25">
      <c r="Z2958">
        <v>399750.75360158051</v>
      </c>
    </row>
    <row r="2959" spans="26:26" x14ac:dyDescent="0.25">
      <c r="Z2959">
        <v>399751.37516367133</v>
      </c>
    </row>
    <row r="2960" spans="26:26" x14ac:dyDescent="0.25">
      <c r="Z2960">
        <v>399751.99517573201</v>
      </c>
    </row>
    <row r="2961" spans="26:26" x14ac:dyDescent="0.25">
      <c r="Z2961">
        <v>399752.61364162795</v>
      </c>
    </row>
    <row r="2962" spans="26:26" x14ac:dyDescent="0.25">
      <c r="Z2962">
        <v>399753.23056521488</v>
      </c>
    </row>
    <row r="2963" spans="26:26" x14ac:dyDescent="0.25">
      <c r="Z2963">
        <v>399753.84595033905</v>
      </c>
    </row>
    <row r="2964" spans="26:26" x14ac:dyDescent="0.25">
      <c r="Z2964">
        <v>399754.45980083692</v>
      </c>
    </row>
    <row r="2965" spans="26:26" x14ac:dyDescent="0.25">
      <c r="Z2965">
        <v>399755.07212053559</v>
      </c>
    </row>
    <row r="2966" spans="26:26" x14ac:dyDescent="0.25">
      <c r="Z2966">
        <v>399755.6829132525</v>
      </c>
    </row>
    <row r="2967" spans="26:26" x14ac:dyDescent="0.25">
      <c r="Z2967">
        <v>399756.29218279547</v>
      </c>
    </row>
    <row r="2968" spans="26:26" x14ac:dyDescent="0.25">
      <c r="Z2968">
        <v>399756.89993296308</v>
      </c>
    </row>
    <row r="2969" spans="26:26" x14ac:dyDescent="0.25">
      <c r="Z2969">
        <v>399757.50616754423</v>
      </c>
    </row>
    <row r="2970" spans="26:26" x14ac:dyDescent="0.25">
      <c r="Z2970">
        <v>399758.11089031841</v>
      </c>
    </row>
    <row r="2971" spans="26:26" x14ac:dyDescent="0.25">
      <c r="Z2971">
        <v>399758.71410505578</v>
      </c>
    </row>
    <row r="2972" spans="26:26" x14ac:dyDescent="0.25">
      <c r="Z2972">
        <v>399759.31581551698</v>
      </c>
    </row>
    <row r="2973" spans="26:26" x14ac:dyDescent="0.25">
      <c r="Z2973">
        <v>399759.91602545336</v>
      </c>
    </row>
    <row r="2974" spans="26:26" x14ac:dyDescent="0.25">
      <c r="Z2974">
        <v>399760.51473860681</v>
      </c>
    </row>
    <row r="2975" spans="26:26" x14ac:dyDescent="0.25">
      <c r="Z2975">
        <v>399761.11195871007</v>
      </c>
    </row>
    <row r="2976" spans="26:26" x14ac:dyDescent="0.25">
      <c r="Z2976">
        <v>399761.70768948633</v>
      </c>
    </row>
    <row r="2977" spans="26:26" x14ac:dyDescent="0.25">
      <c r="Z2977">
        <v>399762.3019346497</v>
      </c>
    </row>
    <row r="2978" spans="26:26" x14ac:dyDescent="0.25">
      <c r="Z2978">
        <v>399762.89469790494</v>
      </c>
    </row>
    <row r="2979" spans="26:26" x14ac:dyDescent="0.25">
      <c r="Z2979">
        <v>399763.48598294758</v>
      </c>
    </row>
    <row r="2980" spans="26:26" x14ac:dyDescent="0.25">
      <c r="Z2980">
        <v>399764.07579346397</v>
      </c>
    </row>
    <row r="2981" spans="26:26" x14ac:dyDescent="0.25">
      <c r="Z2981">
        <v>399764.6641331311</v>
      </c>
    </row>
    <row r="2982" spans="26:26" x14ac:dyDescent="0.25">
      <c r="Z2982">
        <v>399765.25100561709</v>
      </c>
    </row>
    <row r="2983" spans="26:26" x14ac:dyDescent="0.25">
      <c r="Z2983">
        <v>399765.83641458064</v>
      </c>
    </row>
    <row r="2984" spans="26:26" x14ac:dyDescent="0.25">
      <c r="Z2984">
        <v>399766.42036367144</v>
      </c>
    </row>
    <row r="2985" spans="26:26" x14ac:dyDescent="0.25">
      <c r="Z2985">
        <v>399767.00285653007</v>
      </c>
    </row>
    <row r="2986" spans="26:26" x14ac:dyDescent="0.25">
      <c r="Z2986">
        <v>399767.58389678813</v>
      </c>
    </row>
    <row r="2987" spans="26:26" x14ac:dyDescent="0.25">
      <c r="Z2987">
        <v>399768.16348806798</v>
      </c>
    </row>
    <row r="2988" spans="26:26" x14ac:dyDescent="0.25">
      <c r="Z2988">
        <v>399768.74163398304</v>
      </c>
    </row>
    <row r="2989" spans="26:26" x14ac:dyDescent="0.25">
      <c r="Z2989">
        <v>399769.3183381377</v>
      </c>
    </row>
    <row r="2990" spans="26:26" x14ac:dyDescent="0.25">
      <c r="Z2990">
        <v>399769.89360412734</v>
      </c>
    </row>
    <row r="2991" spans="26:26" x14ac:dyDescent="0.25">
      <c r="Z2991">
        <v>399770.46743553848</v>
      </c>
    </row>
    <row r="2992" spans="26:26" x14ac:dyDescent="0.25">
      <c r="Z2992">
        <v>399771.03983594867</v>
      </c>
    </row>
    <row r="2993" spans="26:26" x14ac:dyDescent="0.25">
      <c r="Z2993">
        <v>399771.61080892634</v>
      </c>
    </row>
    <row r="2994" spans="26:26" x14ac:dyDescent="0.25">
      <c r="Z2994">
        <v>399772.18035803124</v>
      </c>
    </row>
    <row r="2995" spans="26:26" x14ac:dyDescent="0.25">
      <c r="Z2995">
        <v>399772.74848681415</v>
      </c>
    </row>
    <row r="2996" spans="26:26" x14ac:dyDescent="0.25">
      <c r="Z2996">
        <v>399773.31519881717</v>
      </c>
    </row>
    <row r="2997" spans="26:26" x14ac:dyDescent="0.25">
      <c r="Z2997">
        <v>399773.88049757323</v>
      </c>
    </row>
    <row r="2998" spans="26:26" x14ac:dyDescent="0.25">
      <c r="Z2998">
        <v>399774.44438660669</v>
      </c>
    </row>
    <row r="2999" spans="26:26" x14ac:dyDescent="0.25">
      <c r="Z2999">
        <v>399775.0068694331</v>
      </c>
    </row>
    <row r="3000" spans="26:26" x14ac:dyDescent="0.25">
      <c r="Z3000">
        <v>399775.56794955925</v>
      </c>
    </row>
    <row r="3001" spans="26:26" x14ac:dyDescent="0.25">
      <c r="Z3001">
        <v>399776.12763048301</v>
      </c>
    </row>
    <row r="3002" spans="26:26" x14ac:dyDescent="0.25">
      <c r="Z3002">
        <v>399776.68591569382</v>
      </c>
    </row>
    <row r="3003" spans="26:26" x14ac:dyDescent="0.25">
      <c r="Z3003">
        <v>399777.24280867208</v>
      </c>
    </row>
    <row r="3004" spans="26:26" x14ac:dyDescent="0.25">
      <c r="Z3004">
        <v>399777.79831288988</v>
      </c>
    </row>
    <row r="3005" spans="26:26" x14ac:dyDescent="0.25">
      <c r="Z3005">
        <v>399778.3524318104</v>
      </c>
    </row>
    <row r="3006" spans="26:26" x14ac:dyDescent="0.25">
      <c r="Z3006">
        <v>399778.9051688881</v>
      </c>
    </row>
    <row r="3007" spans="26:26" x14ac:dyDescent="0.25">
      <c r="Z3007">
        <v>399779.45652756927</v>
      </c>
    </row>
    <row r="3008" spans="26:26" x14ac:dyDescent="0.25">
      <c r="Z3008">
        <v>399780.00651129102</v>
      </c>
    </row>
    <row r="3009" spans="26:26" x14ac:dyDescent="0.25">
      <c r="Z3009">
        <v>399780.55512348225</v>
      </c>
    </row>
    <row r="3010" spans="26:26" x14ac:dyDescent="0.25">
      <c r="Z3010">
        <v>399781.10236756335</v>
      </c>
    </row>
    <row r="3011" spans="26:26" x14ac:dyDescent="0.25">
      <c r="Z3011">
        <v>399781.64824694605</v>
      </c>
    </row>
    <row r="3012" spans="26:26" x14ac:dyDescent="0.25">
      <c r="Z3012">
        <v>399782.19276503345</v>
      </c>
    </row>
    <row r="3013" spans="26:26" x14ac:dyDescent="0.25">
      <c r="Z3013">
        <v>399782.73592522036</v>
      </c>
    </row>
    <row r="3014" spans="26:26" x14ac:dyDescent="0.25">
      <c r="Z3014">
        <v>399783.27773089311</v>
      </c>
    </row>
    <row r="3015" spans="26:26" x14ac:dyDescent="0.25">
      <c r="Z3015">
        <v>399783.81818542955</v>
      </c>
    </row>
    <row r="3016" spans="26:26" x14ac:dyDescent="0.25">
      <c r="Z3016">
        <v>399784.3572921991</v>
      </c>
    </row>
    <row r="3017" spans="26:26" x14ac:dyDescent="0.25">
      <c r="Z3017">
        <v>399784.89505456266</v>
      </c>
    </row>
    <row r="3018" spans="26:26" x14ac:dyDescent="0.25">
      <c r="Z3018">
        <v>399785.43147587299</v>
      </c>
    </row>
    <row r="3019" spans="26:26" x14ac:dyDescent="0.25">
      <c r="Z3019">
        <v>399785.9665594743</v>
      </c>
    </row>
    <row r="3020" spans="26:26" x14ac:dyDescent="0.25">
      <c r="Z3020">
        <v>399786.50030870253</v>
      </c>
    </row>
    <row r="3021" spans="26:26" x14ac:dyDescent="0.25">
      <c r="Z3021">
        <v>399787.03272688529</v>
      </c>
    </row>
    <row r="3022" spans="26:26" x14ac:dyDescent="0.25">
      <c r="Z3022">
        <v>399787.56381734199</v>
      </c>
    </row>
    <row r="3023" spans="26:26" x14ac:dyDescent="0.25">
      <c r="Z3023">
        <v>399788.09358338354</v>
      </c>
    </row>
    <row r="3024" spans="26:26" x14ac:dyDescent="0.25">
      <c r="Z3024">
        <v>399788.6220283127</v>
      </c>
    </row>
    <row r="3025" spans="26:26" x14ac:dyDescent="0.25">
      <c r="Z3025">
        <v>399789.14915542415</v>
      </c>
    </row>
    <row r="3026" spans="26:26" x14ac:dyDescent="0.25">
      <c r="Z3026">
        <v>399789.67496800411</v>
      </c>
    </row>
    <row r="3027" spans="26:26" x14ac:dyDescent="0.25">
      <c r="Z3027">
        <v>399790.19946933078</v>
      </c>
    </row>
    <row r="3028" spans="26:26" x14ac:dyDescent="0.25">
      <c r="Z3028">
        <v>399790.72266267409</v>
      </c>
    </row>
    <row r="3029" spans="26:26" x14ac:dyDescent="0.25">
      <c r="Z3029">
        <v>399791.24455129588</v>
      </c>
    </row>
    <row r="3030" spans="26:26" x14ac:dyDescent="0.25">
      <c r="Z3030">
        <v>399791.76513844979</v>
      </c>
    </row>
    <row r="3031" spans="26:26" x14ac:dyDescent="0.25">
      <c r="Z3031">
        <v>399792.2844273813</v>
      </c>
    </row>
    <row r="3032" spans="26:26" x14ac:dyDescent="0.25">
      <c r="Z3032">
        <v>399792.80242132797</v>
      </c>
    </row>
    <row r="3033" spans="26:26" x14ac:dyDescent="0.25">
      <c r="Z3033">
        <v>399793.31912351924</v>
      </c>
    </row>
    <row r="3034" spans="26:26" x14ac:dyDescent="0.25">
      <c r="Z3034">
        <v>399793.8345371763</v>
      </c>
    </row>
    <row r="3035" spans="26:26" x14ac:dyDescent="0.25">
      <c r="Z3035">
        <v>399794.34866551252</v>
      </c>
    </row>
    <row r="3036" spans="26:26" x14ac:dyDescent="0.25">
      <c r="Z3036">
        <v>399794.86151173315</v>
      </c>
    </row>
    <row r="3037" spans="26:26" x14ac:dyDescent="0.25">
      <c r="Z3037">
        <v>399795.37307903555</v>
      </c>
    </row>
    <row r="3038" spans="26:26" x14ac:dyDescent="0.25">
      <c r="Z3038">
        <v>399795.88337060902</v>
      </c>
    </row>
    <row r="3039" spans="26:26" x14ac:dyDescent="0.25">
      <c r="Z3039">
        <v>399796.39238963497</v>
      </c>
    </row>
    <row r="3040" spans="26:26" x14ac:dyDescent="0.25">
      <c r="Z3040">
        <v>399796.90013928676</v>
      </c>
    </row>
    <row r="3041" spans="26:26" x14ac:dyDescent="0.25">
      <c r="Z3041">
        <v>399797.4066227299</v>
      </c>
    </row>
    <row r="3042" spans="26:26" x14ac:dyDescent="0.25">
      <c r="Z3042">
        <v>399797.9118431221</v>
      </c>
    </row>
    <row r="3043" spans="26:26" x14ac:dyDescent="0.25">
      <c r="Z3043">
        <v>399798.41580361308</v>
      </c>
    </row>
    <row r="3044" spans="26:26" x14ac:dyDescent="0.25">
      <c r="Z3044">
        <v>399798.91850734467</v>
      </c>
    </row>
    <row r="3045" spans="26:26" x14ac:dyDescent="0.25">
      <c r="Z3045">
        <v>399799.41995745111</v>
      </c>
    </row>
    <row r="3046" spans="26:26" x14ac:dyDescent="0.25">
      <c r="Z3046">
        <v>399799.9201570584</v>
      </c>
    </row>
    <row r="3047" spans="26:26" x14ac:dyDescent="0.25">
      <c r="Z3047">
        <v>399800.41910928523</v>
      </c>
    </row>
    <row r="3048" spans="26:26" x14ac:dyDescent="0.25">
      <c r="Z3048">
        <v>399800.91681724211</v>
      </c>
    </row>
    <row r="3049" spans="26:26" x14ac:dyDescent="0.25">
      <c r="Z3049">
        <v>399801.41328403202</v>
      </c>
    </row>
    <row r="3050" spans="26:26" x14ac:dyDescent="0.25">
      <c r="Z3050">
        <v>399801.90851275012</v>
      </c>
    </row>
    <row r="3051" spans="26:26" x14ac:dyDescent="0.25">
      <c r="Z3051">
        <v>399802.40250648395</v>
      </c>
    </row>
    <row r="3052" spans="26:26" x14ac:dyDescent="0.25">
      <c r="Z3052">
        <v>399802.89526831318</v>
      </c>
    </row>
    <row r="3053" spans="26:26" x14ac:dyDescent="0.25">
      <c r="Z3053">
        <v>399803.38680130988</v>
      </c>
    </row>
    <row r="3054" spans="26:26" x14ac:dyDescent="0.25">
      <c r="Z3054">
        <v>399803.87710853858</v>
      </c>
    </row>
    <row r="3055" spans="26:26" x14ac:dyDescent="0.25">
      <c r="Z3055">
        <v>399804.36619305593</v>
      </c>
    </row>
    <row r="3056" spans="26:26" x14ac:dyDescent="0.25">
      <c r="Z3056">
        <v>399804.85405791114</v>
      </c>
    </row>
    <row r="3057" spans="26:26" x14ac:dyDescent="0.25">
      <c r="Z3057">
        <v>399805.34070614574</v>
      </c>
    </row>
    <row r="3058" spans="26:26" x14ac:dyDescent="0.25">
      <c r="Z3058">
        <v>399805.8261407938</v>
      </c>
    </row>
    <row r="3059" spans="26:26" x14ac:dyDescent="0.25">
      <c r="Z3059">
        <v>399806.31036488159</v>
      </c>
    </row>
    <row r="3060" spans="26:26" x14ac:dyDescent="0.25">
      <c r="Z3060">
        <v>399806.793381428</v>
      </c>
    </row>
    <row r="3061" spans="26:26" x14ac:dyDescent="0.25">
      <c r="Z3061">
        <v>399807.27519344439</v>
      </c>
    </row>
    <row r="3062" spans="26:26" x14ac:dyDescent="0.25">
      <c r="Z3062">
        <v>399807.75580393453</v>
      </c>
    </row>
    <row r="3063" spans="26:26" x14ac:dyDescent="0.25">
      <c r="Z3063">
        <v>399808.23521589482</v>
      </c>
    </row>
    <row r="3064" spans="26:26" x14ac:dyDescent="0.25">
      <c r="Z3064">
        <v>399808.71343231405</v>
      </c>
    </row>
    <row r="3065" spans="26:26" x14ac:dyDescent="0.25">
      <c r="Z3065">
        <v>399809.19045617362</v>
      </c>
    </row>
    <row r="3066" spans="26:26" x14ac:dyDescent="0.25">
      <c r="Z3066">
        <v>399809.66629044747</v>
      </c>
    </row>
    <row r="3067" spans="26:26" x14ac:dyDescent="0.25">
      <c r="Z3067">
        <v>399810.14093810227</v>
      </c>
    </row>
    <row r="3068" spans="26:26" x14ac:dyDescent="0.25">
      <c r="Z3068">
        <v>399810.61440209695</v>
      </c>
    </row>
    <row r="3069" spans="26:26" x14ac:dyDescent="0.25">
      <c r="Z3069">
        <v>399811.08668538352</v>
      </c>
    </row>
    <row r="3070" spans="26:26" x14ac:dyDescent="0.25">
      <c r="Z3070">
        <v>399811.55779090628</v>
      </c>
    </row>
    <row r="3071" spans="26:26" x14ac:dyDescent="0.25">
      <c r="Z3071">
        <v>399812.02772160224</v>
      </c>
    </row>
    <row r="3072" spans="26:26" x14ac:dyDescent="0.25">
      <c r="Z3072">
        <v>399812.49648040126</v>
      </c>
    </row>
    <row r="3073" spans="26:26" x14ac:dyDescent="0.25">
      <c r="Z3073">
        <v>399812.96407022566</v>
      </c>
    </row>
    <row r="3074" spans="26:26" x14ac:dyDescent="0.25">
      <c r="Z3074">
        <v>399813.43049399072</v>
      </c>
    </row>
    <row r="3075" spans="26:26" x14ac:dyDescent="0.25">
      <c r="Z3075">
        <v>399813.89575460419</v>
      </c>
    </row>
    <row r="3076" spans="26:26" x14ac:dyDescent="0.25">
      <c r="Z3076">
        <v>399814.35985496675</v>
      </c>
    </row>
    <row r="3077" spans="26:26" x14ac:dyDescent="0.25">
      <c r="Z3077">
        <v>399814.82279797189</v>
      </c>
    </row>
    <row r="3078" spans="26:26" x14ac:dyDescent="0.25">
      <c r="Z3078">
        <v>399815.28458650562</v>
      </c>
    </row>
    <row r="3079" spans="26:26" x14ac:dyDescent="0.25">
      <c r="Z3079">
        <v>399815.74522344698</v>
      </c>
    </row>
    <row r="3080" spans="26:26" x14ac:dyDescent="0.25">
      <c r="Z3080">
        <v>399816.20471166779</v>
      </c>
    </row>
    <row r="3081" spans="26:26" x14ac:dyDescent="0.25">
      <c r="Z3081">
        <v>399816.66305403272</v>
      </c>
    </row>
    <row r="3082" spans="26:26" x14ac:dyDescent="0.25">
      <c r="Z3082">
        <v>399817.12025339925</v>
      </c>
    </row>
    <row r="3083" spans="26:26" x14ac:dyDescent="0.25">
      <c r="Z3083">
        <v>399817.57631261763</v>
      </c>
    </row>
    <row r="3084" spans="26:26" x14ac:dyDescent="0.25">
      <c r="Z3084">
        <v>399818.03123453137</v>
      </c>
    </row>
    <row r="3085" spans="26:26" x14ac:dyDescent="0.25">
      <c r="Z3085">
        <v>399818.4850219764</v>
      </c>
    </row>
    <row r="3086" spans="26:26" x14ac:dyDescent="0.25">
      <c r="Z3086">
        <v>399818.93767778197</v>
      </c>
    </row>
    <row r="3087" spans="26:26" x14ac:dyDescent="0.25">
      <c r="Z3087">
        <v>399819.38920476998</v>
      </c>
    </row>
    <row r="3088" spans="26:26" x14ac:dyDescent="0.25">
      <c r="Z3088">
        <v>399819.83960575564</v>
      </c>
    </row>
    <row r="3089" spans="26:26" x14ac:dyDescent="0.25">
      <c r="Z3089">
        <v>399820.28888354677</v>
      </c>
    </row>
    <row r="3090" spans="26:26" x14ac:dyDescent="0.25">
      <c r="Z3090">
        <v>399820.7370409444</v>
      </c>
    </row>
    <row r="3091" spans="26:26" x14ac:dyDescent="0.25">
      <c r="Z3091">
        <v>399821.18408074253</v>
      </c>
    </row>
    <row r="3092" spans="26:26" x14ac:dyDescent="0.25">
      <c r="Z3092">
        <v>399821.63000572822</v>
      </c>
    </row>
    <row r="3093" spans="26:26" x14ac:dyDescent="0.25">
      <c r="Z3093">
        <v>399822.07481868152</v>
      </c>
    </row>
    <row r="3094" spans="26:26" x14ac:dyDescent="0.25">
      <c r="Z3094">
        <v>399822.51852237561</v>
      </c>
    </row>
    <row r="3095" spans="26:26" x14ac:dyDescent="0.25">
      <c r="Z3095">
        <v>399822.96111957665</v>
      </c>
    </row>
    <row r="3096" spans="26:26" x14ac:dyDescent="0.25">
      <c r="Z3096">
        <v>399823.40261304408</v>
      </c>
    </row>
    <row r="3097" spans="26:26" x14ac:dyDescent="0.25">
      <c r="Z3097">
        <v>399823.84300553019</v>
      </c>
    </row>
    <row r="3098" spans="26:26" x14ac:dyDescent="0.25">
      <c r="Z3098">
        <v>399824.28229978075</v>
      </c>
    </row>
    <row r="3099" spans="26:26" x14ac:dyDescent="0.25">
      <c r="Z3099">
        <v>399824.72049853444</v>
      </c>
    </row>
    <row r="3100" spans="26:26" x14ac:dyDescent="0.25">
      <c r="Z3100">
        <v>399825.15760452312</v>
      </c>
    </row>
    <row r="3101" spans="26:26" x14ac:dyDescent="0.25">
      <c r="Z3101">
        <v>399825.59362047195</v>
      </c>
    </row>
    <row r="3102" spans="26:26" x14ac:dyDescent="0.25">
      <c r="Z3102">
        <v>399826.02854909917</v>
      </c>
    </row>
    <row r="3103" spans="26:26" x14ac:dyDescent="0.25">
      <c r="Z3103">
        <v>399826.46239311638</v>
      </c>
    </row>
    <row r="3104" spans="26:26" x14ac:dyDescent="0.25">
      <c r="Z3104">
        <v>399826.89515522833</v>
      </c>
    </row>
    <row r="3105" spans="26:26" x14ac:dyDescent="0.25">
      <c r="Z3105">
        <v>399827.32683813298</v>
      </c>
    </row>
    <row r="3106" spans="26:26" x14ac:dyDescent="0.25">
      <c r="Z3106">
        <v>399827.7574445217</v>
      </c>
    </row>
    <row r="3107" spans="26:26" x14ac:dyDescent="0.25">
      <c r="Z3107">
        <v>399828.18697707896</v>
      </c>
    </row>
    <row r="3108" spans="26:26" x14ac:dyDescent="0.25">
      <c r="Z3108">
        <v>399828.61543848278</v>
      </c>
    </row>
    <row r="3109" spans="26:26" x14ac:dyDescent="0.25">
      <c r="Z3109">
        <v>399829.04283140425</v>
      </c>
    </row>
    <row r="3110" spans="26:26" x14ac:dyDescent="0.25">
      <c r="Z3110">
        <v>399829.469158508</v>
      </c>
    </row>
    <row r="3111" spans="26:26" x14ac:dyDescent="0.25">
      <c r="Z3111">
        <v>399829.89442245191</v>
      </c>
    </row>
    <row r="3112" spans="26:26" x14ac:dyDescent="0.25">
      <c r="Z3112">
        <v>399830.31862588716</v>
      </c>
    </row>
    <row r="3113" spans="26:26" x14ac:dyDescent="0.25">
      <c r="Z3113">
        <v>399830.74177145853</v>
      </c>
    </row>
    <row r="3114" spans="26:26" x14ac:dyDescent="0.25">
      <c r="Z3114">
        <v>399831.163861804</v>
      </c>
    </row>
    <row r="3115" spans="26:26" x14ac:dyDescent="0.25">
      <c r="Z3115">
        <v>399831.58489955508</v>
      </c>
    </row>
    <row r="3116" spans="26:26" x14ac:dyDescent="0.25">
      <c r="Z3116">
        <v>399832.00488733675</v>
      </c>
    </row>
    <row r="3117" spans="26:26" x14ac:dyDescent="0.25">
      <c r="Z3117">
        <v>399832.42382776737</v>
      </c>
    </row>
    <row r="3118" spans="26:26" x14ac:dyDescent="0.25">
      <c r="Z3118">
        <v>399832.84172345873</v>
      </c>
    </row>
    <row r="3119" spans="26:26" x14ac:dyDescent="0.25">
      <c r="Z3119">
        <v>399833.25857701612</v>
      </c>
    </row>
    <row r="3120" spans="26:26" x14ac:dyDescent="0.25">
      <c r="Z3120">
        <v>399833.6743910386</v>
      </c>
    </row>
    <row r="3121" spans="26:26" x14ac:dyDescent="0.25">
      <c r="Z3121">
        <v>399834.08916811825</v>
      </c>
    </row>
    <row r="3122" spans="26:26" x14ac:dyDescent="0.25">
      <c r="Z3122">
        <v>399834.5029108412</v>
      </c>
    </row>
    <row r="3123" spans="26:26" x14ac:dyDescent="0.25">
      <c r="Z3123">
        <v>399834.91562178673</v>
      </c>
    </row>
    <row r="3124" spans="26:26" x14ac:dyDescent="0.25">
      <c r="Z3124">
        <v>399835.32730352791</v>
      </c>
    </row>
    <row r="3125" spans="26:26" x14ac:dyDescent="0.25">
      <c r="Z3125">
        <v>399835.7379586313</v>
      </c>
    </row>
    <row r="3126" spans="26:26" x14ac:dyDescent="0.25">
      <c r="Z3126">
        <v>399836.14758965711</v>
      </c>
    </row>
    <row r="3127" spans="26:26" x14ac:dyDescent="0.25">
      <c r="Z3127">
        <v>399836.55619915924</v>
      </c>
    </row>
    <row r="3128" spans="26:26" x14ac:dyDescent="0.25">
      <c r="Z3128">
        <v>399836.96378968505</v>
      </c>
    </row>
    <row r="3129" spans="26:26" x14ac:dyDescent="0.25">
      <c r="Z3129">
        <v>399837.37036377558</v>
      </c>
    </row>
    <row r="3130" spans="26:26" x14ac:dyDescent="0.25">
      <c r="Z3130">
        <v>399837.77592396567</v>
      </c>
    </row>
    <row r="3131" spans="26:26" x14ac:dyDescent="0.25">
      <c r="Z3131">
        <v>399838.18047278374</v>
      </c>
    </row>
    <row r="3132" spans="26:26" x14ac:dyDescent="0.25">
      <c r="Z3132">
        <v>399838.58401275182</v>
      </c>
    </row>
    <row r="3133" spans="26:26" x14ac:dyDescent="0.25">
      <c r="Z3133">
        <v>399838.98654638592</v>
      </c>
    </row>
    <row r="3134" spans="26:26" x14ac:dyDescent="0.25">
      <c r="Z3134">
        <v>399839.38807619544</v>
      </c>
    </row>
    <row r="3135" spans="26:26" x14ac:dyDescent="0.25">
      <c r="Z3135">
        <v>399839.78860468371</v>
      </c>
    </row>
    <row r="3136" spans="26:26" x14ac:dyDescent="0.25">
      <c r="Z3136">
        <v>399840.18813434785</v>
      </c>
    </row>
    <row r="3137" spans="26:26" x14ac:dyDescent="0.25">
      <c r="Z3137">
        <v>399840.58666767861</v>
      </c>
    </row>
    <row r="3138" spans="26:26" x14ac:dyDescent="0.25">
      <c r="Z3138">
        <v>399840.98420716071</v>
      </c>
    </row>
    <row r="3139" spans="26:26" x14ac:dyDescent="0.25">
      <c r="Z3139">
        <v>399841.38075527252</v>
      </c>
    </row>
    <row r="3140" spans="26:26" x14ac:dyDescent="0.25">
      <c r="Z3140">
        <v>399841.77631448634</v>
      </c>
    </row>
    <row r="3141" spans="26:26" x14ac:dyDescent="0.25">
      <c r="Z3141">
        <v>399842.17088726815</v>
      </c>
    </row>
    <row r="3142" spans="26:26" x14ac:dyDescent="0.25">
      <c r="Z3142">
        <v>399842.56447607797</v>
      </c>
    </row>
    <row r="3143" spans="26:26" x14ac:dyDescent="0.25">
      <c r="Z3143">
        <v>399842.95708336955</v>
      </c>
    </row>
    <row r="3144" spans="26:26" x14ac:dyDescent="0.25">
      <c r="Z3144">
        <v>399843.34871159057</v>
      </c>
    </row>
    <row r="3145" spans="26:26" x14ac:dyDescent="0.25">
      <c r="Z3145">
        <v>399843.73936318263</v>
      </c>
    </row>
    <row r="3146" spans="26:26" x14ac:dyDescent="0.25">
      <c r="Z3146">
        <v>399844.12904058117</v>
      </c>
    </row>
    <row r="3147" spans="26:26" x14ac:dyDescent="0.25">
      <c r="Z3147">
        <v>399844.51774621563</v>
      </c>
    </row>
    <row r="3148" spans="26:26" x14ac:dyDescent="0.25">
      <c r="Z3148">
        <v>399844.90548250935</v>
      </c>
    </row>
    <row r="3149" spans="26:26" x14ac:dyDescent="0.25">
      <c r="Z3149">
        <v>399845.29225187958</v>
      </c>
    </row>
    <row r="3150" spans="26:26" x14ac:dyDescent="0.25">
      <c r="Z3150">
        <v>399845.67805673782</v>
      </c>
    </row>
    <row r="3151" spans="26:26" x14ac:dyDescent="0.25">
      <c r="Z3151">
        <v>399846.06289948907</v>
      </c>
    </row>
    <row r="3152" spans="26:26" x14ac:dyDescent="0.25">
      <c r="Z3152">
        <v>399846.44678253273</v>
      </c>
    </row>
    <row r="3153" spans="26:26" x14ac:dyDescent="0.25">
      <c r="Z3153">
        <v>399846.82970826211</v>
      </c>
    </row>
    <row r="3154" spans="26:26" x14ac:dyDescent="0.25">
      <c r="Z3154">
        <v>399847.21167906438</v>
      </c>
    </row>
    <row r="3155" spans="26:26" x14ac:dyDescent="0.25">
      <c r="Z3155">
        <v>399847.59269732115</v>
      </c>
    </row>
    <row r="3156" spans="26:26" x14ac:dyDescent="0.25">
      <c r="Z3156">
        <v>399847.97276540764</v>
      </c>
    </row>
    <row r="3157" spans="26:26" x14ac:dyDescent="0.25">
      <c r="Z3157">
        <v>399848.35188569338</v>
      </c>
    </row>
    <row r="3158" spans="26:26" x14ac:dyDescent="0.25">
      <c r="Z3158">
        <v>399848.730060542</v>
      </c>
    </row>
    <row r="3159" spans="26:26" x14ac:dyDescent="0.25">
      <c r="Z3159">
        <v>399849.10729231121</v>
      </c>
    </row>
    <row r="3160" spans="26:26" x14ac:dyDescent="0.25">
      <c r="Z3160">
        <v>399849.48358335288</v>
      </c>
    </row>
    <row r="3161" spans="26:26" x14ac:dyDescent="0.25">
      <c r="Z3161">
        <v>399849.85893601284</v>
      </c>
    </row>
    <row r="3162" spans="26:26" x14ac:dyDescent="0.25">
      <c r="Z3162">
        <v>399850.23335263127</v>
      </c>
    </row>
    <row r="3163" spans="26:26" x14ac:dyDescent="0.25">
      <c r="Z3163">
        <v>399850.60683554236</v>
      </c>
    </row>
    <row r="3164" spans="26:26" x14ac:dyDescent="0.25">
      <c r="Z3164">
        <v>399850.97938707471</v>
      </c>
    </row>
    <row r="3165" spans="26:26" x14ac:dyDescent="0.25">
      <c r="Z3165">
        <v>399851.35100955085</v>
      </c>
    </row>
    <row r="3166" spans="26:26" x14ac:dyDescent="0.25">
      <c r="Z3166">
        <v>399851.72170528764</v>
      </c>
    </row>
    <row r="3167" spans="26:26" x14ac:dyDescent="0.25">
      <c r="Z3167">
        <v>399852.09147659614</v>
      </c>
    </row>
    <row r="3168" spans="26:26" x14ac:dyDescent="0.25">
      <c r="Z3168">
        <v>399852.46032578166</v>
      </c>
    </row>
    <row r="3169" spans="26:26" x14ac:dyDescent="0.25">
      <c r="Z3169">
        <v>399852.82825514383</v>
      </c>
    </row>
    <row r="3170" spans="26:26" x14ac:dyDescent="0.25">
      <c r="Z3170">
        <v>399853.19526697637</v>
      </c>
    </row>
    <row r="3171" spans="26:26" x14ac:dyDescent="0.25">
      <c r="Z3171">
        <v>399853.56136356742</v>
      </c>
    </row>
    <row r="3172" spans="26:26" x14ac:dyDescent="0.25">
      <c r="Z3172">
        <v>399853.92654719949</v>
      </c>
    </row>
    <row r="3173" spans="26:26" x14ac:dyDescent="0.25">
      <c r="Z3173">
        <v>399854.29082014906</v>
      </c>
    </row>
    <row r="3174" spans="26:26" x14ac:dyDescent="0.25">
      <c r="Z3174">
        <v>399854.65418468736</v>
      </c>
    </row>
    <row r="3175" spans="26:26" x14ac:dyDescent="0.25">
      <c r="Z3175">
        <v>399855.01664307964</v>
      </c>
    </row>
    <row r="3176" spans="26:26" x14ac:dyDescent="0.25">
      <c r="Z3176">
        <v>399855.37819758576</v>
      </c>
    </row>
    <row r="3177" spans="26:26" x14ac:dyDescent="0.25">
      <c r="Z3177">
        <v>399855.73885045957</v>
      </c>
    </row>
    <row r="3178" spans="26:26" x14ac:dyDescent="0.25">
      <c r="Z3178">
        <v>399856.09860394965</v>
      </c>
    </row>
    <row r="3179" spans="26:26" x14ac:dyDescent="0.25">
      <c r="Z3179">
        <v>399856.4574602989</v>
      </c>
    </row>
    <row r="3180" spans="26:26" x14ac:dyDescent="0.25">
      <c r="Z3180">
        <v>399856.81542174454</v>
      </c>
    </row>
    <row r="3181" spans="26:26" x14ac:dyDescent="0.25">
      <c r="Z3181">
        <v>399857.17249051825</v>
      </c>
    </row>
    <row r="3182" spans="26:26" x14ac:dyDescent="0.25">
      <c r="Z3182">
        <v>399857.52866884618</v>
      </c>
    </row>
    <row r="3183" spans="26:26" x14ac:dyDescent="0.25">
      <c r="Z3183">
        <v>399857.88395894878</v>
      </c>
    </row>
    <row r="3184" spans="26:26" x14ac:dyDescent="0.25">
      <c r="Z3184">
        <v>399858.23836304114</v>
      </c>
    </row>
    <row r="3185" spans="26:26" x14ac:dyDescent="0.25">
      <c r="Z3185">
        <v>399858.59188333282</v>
      </c>
    </row>
    <row r="3186" spans="26:26" x14ac:dyDescent="0.25">
      <c r="Z3186">
        <v>399858.9445220278</v>
      </c>
    </row>
    <row r="3187" spans="26:26" x14ac:dyDescent="0.25">
      <c r="Z3187">
        <v>399859.29628132441</v>
      </c>
    </row>
    <row r="3188" spans="26:26" x14ac:dyDescent="0.25">
      <c r="Z3188">
        <v>399859.64716341591</v>
      </c>
    </row>
    <row r="3189" spans="26:26" x14ac:dyDescent="0.25">
      <c r="Z3189">
        <v>399859.99717048969</v>
      </c>
    </row>
    <row r="3190" spans="26:26" x14ac:dyDescent="0.25">
      <c r="Z3190">
        <v>399860.34630472789</v>
      </c>
    </row>
    <row r="3191" spans="26:26" x14ac:dyDescent="0.25">
      <c r="Z3191">
        <v>399860.69456830708</v>
      </c>
    </row>
    <row r="3192" spans="26:26" x14ac:dyDescent="0.25">
      <c r="Z3192">
        <v>399861.04196339863</v>
      </c>
    </row>
    <row r="3193" spans="26:26" x14ac:dyDescent="0.25">
      <c r="Z3193">
        <v>399861.38849216816</v>
      </c>
    </row>
    <row r="3194" spans="26:26" x14ac:dyDescent="0.25">
      <c r="Z3194">
        <v>399861.73415677622</v>
      </c>
    </row>
    <row r="3195" spans="26:26" x14ac:dyDescent="0.25">
      <c r="Z3195">
        <v>399862.07895937783</v>
      </c>
    </row>
    <row r="3196" spans="26:26" x14ac:dyDescent="0.25">
      <c r="Z3196">
        <v>399862.42290212249</v>
      </c>
    </row>
    <row r="3197" spans="26:26" x14ac:dyDescent="0.25">
      <c r="Z3197">
        <v>399862.76598715462</v>
      </c>
    </row>
    <row r="3198" spans="26:26" x14ac:dyDescent="0.25">
      <c r="Z3198">
        <v>399863.10821661307</v>
      </c>
    </row>
    <row r="3199" spans="26:26" x14ac:dyDescent="0.25">
      <c r="Z3199">
        <v>399863.44959263148</v>
      </c>
    </row>
    <row r="3200" spans="26:26" x14ac:dyDescent="0.25">
      <c r="Z3200">
        <v>399863.79011733813</v>
      </c>
    </row>
    <row r="3201" spans="26:26" x14ac:dyDescent="0.25">
      <c r="Z3201">
        <v>399864.12979285599</v>
      </c>
    </row>
    <row r="3202" spans="26:26" x14ac:dyDescent="0.25">
      <c r="Z3202">
        <v>399864.4686213028</v>
      </c>
    </row>
    <row r="3203" spans="26:26" x14ac:dyDescent="0.25">
      <c r="Z3203">
        <v>399864.80660479079</v>
      </c>
    </row>
    <row r="3204" spans="26:26" x14ac:dyDescent="0.25">
      <c r="Z3204">
        <v>399865.14374542719</v>
      </c>
    </row>
    <row r="3205" spans="26:26" x14ac:dyDescent="0.25">
      <c r="Z3205">
        <v>399865.48004531395</v>
      </c>
    </row>
    <row r="3206" spans="26:26" x14ac:dyDescent="0.25">
      <c r="Z3206">
        <v>399865.81550654757</v>
      </c>
    </row>
    <row r="3207" spans="26:26" x14ac:dyDescent="0.25">
      <c r="Z3207">
        <v>399866.15013121947</v>
      </c>
    </row>
    <row r="3208" spans="26:26" x14ac:dyDescent="0.25">
      <c r="Z3208">
        <v>399866.48392141593</v>
      </c>
    </row>
    <row r="3209" spans="26:26" x14ac:dyDescent="0.25">
      <c r="Z3209">
        <v>399866.81687921792</v>
      </c>
    </row>
    <row r="3210" spans="26:26" x14ac:dyDescent="0.25">
      <c r="Z3210">
        <v>399867.14900670119</v>
      </c>
    </row>
    <row r="3211" spans="26:26" x14ac:dyDescent="0.25">
      <c r="Z3211">
        <v>399867.48030593636</v>
      </c>
    </row>
    <row r="3212" spans="26:26" x14ac:dyDescent="0.25">
      <c r="Z3212">
        <v>399867.81077898887</v>
      </c>
    </row>
    <row r="3213" spans="26:26" x14ac:dyDescent="0.25">
      <c r="Z3213">
        <v>399868.1404279191</v>
      </c>
    </row>
    <row r="3214" spans="26:26" x14ac:dyDescent="0.25">
      <c r="Z3214">
        <v>399868.46925478213</v>
      </c>
    </row>
    <row r="3215" spans="26:26" x14ac:dyDescent="0.25">
      <c r="Z3215">
        <v>399868.79726162803</v>
      </c>
    </row>
    <row r="3216" spans="26:26" x14ac:dyDescent="0.25">
      <c r="Z3216">
        <v>399869.12445050181</v>
      </c>
    </row>
    <row r="3217" spans="26:26" x14ac:dyDescent="0.25">
      <c r="Z3217">
        <v>399869.45082344319</v>
      </c>
    </row>
    <row r="3218" spans="26:26" x14ac:dyDescent="0.25">
      <c r="Z3218">
        <v>399869.77638248692</v>
      </c>
    </row>
    <row r="3219" spans="26:26" x14ac:dyDescent="0.25">
      <c r="Z3219">
        <v>399870.10112966283</v>
      </c>
    </row>
    <row r="3220" spans="26:26" x14ac:dyDescent="0.25">
      <c r="Z3220">
        <v>399870.42506699532</v>
      </c>
    </row>
    <row r="3221" spans="26:26" x14ac:dyDescent="0.25">
      <c r="Z3221">
        <v>399870.74819650408</v>
      </c>
    </row>
    <row r="3222" spans="26:26" x14ac:dyDescent="0.25">
      <c r="Z3222">
        <v>399871.07052020356</v>
      </c>
    </row>
    <row r="3223" spans="26:26" x14ac:dyDescent="0.25">
      <c r="Z3223">
        <v>399871.39204010332</v>
      </c>
    </row>
    <row r="3224" spans="26:26" x14ac:dyDescent="0.25">
      <c r="Z3224">
        <v>399871.71275820775</v>
      </c>
    </row>
    <row r="3225" spans="26:26" x14ac:dyDescent="0.25">
      <c r="Z3225">
        <v>399872.03267651645</v>
      </c>
    </row>
    <row r="3226" spans="26:26" x14ac:dyDescent="0.25">
      <c r="Z3226">
        <v>399872.3517970239</v>
      </c>
    </row>
    <row r="3227" spans="26:26" x14ac:dyDescent="0.25">
      <c r="Z3227">
        <v>399872.67012171965</v>
      </c>
    </row>
    <row r="3228" spans="26:26" x14ac:dyDescent="0.25">
      <c r="Z3228">
        <v>399872.98765258817</v>
      </c>
    </row>
    <row r="3229" spans="26:26" x14ac:dyDescent="0.25">
      <c r="Z3229">
        <v>399873.30439160916</v>
      </c>
    </row>
    <row r="3230" spans="26:26" x14ac:dyDescent="0.25">
      <c r="Z3230">
        <v>399873.62034075719</v>
      </c>
    </row>
    <row r="3231" spans="26:26" x14ac:dyDescent="0.25">
      <c r="Z3231">
        <v>399873.93550200219</v>
      </c>
    </row>
    <row r="3232" spans="26:26" x14ac:dyDescent="0.25">
      <c r="Z3232">
        <v>399874.24987730896</v>
      </c>
    </row>
    <row r="3233" spans="26:26" x14ac:dyDescent="0.25">
      <c r="Z3233">
        <v>399874.56346863735</v>
      </c>
    </row>
    <row r="3234" spans="26:26" x14ac:dyDescent="0.25">
      <c r="Z3234">
        <v>399874.8762779425</v>
      </c>
    </row>
    <row r="3235" spans="26:26" x14ac:dyDescent="0.25">
      <c r="Z3235">
        <v>399875.1883071746</v>
      </c>
    </row>
    <row r="3236" spans="26:26" x14ac:dyDescent="0.25">
      <c r="Z3236">
        <v>399875.49955827883</v>
      </c>
    </row>
    <row r="3237" spans="26:26" x14ac:dyDescent="0.25">
      <c r="Z3237">
        <v>399875.81003319588</v>
      </c>
    </row>
    <row r="3238" spans="26:26" x14ac:dyDescent="0.25">
      <c r="Z3238">
        <v>399876.11973386118</v>
      </c>
    </row>
    <row r="3239" spans="26:26" x14ac:dyDescent="0.25">
      <c r="Z3239">
        <v>399876.4286622057</v>
      </c>
    </row>
    <row r="3240" spans="26:26" x14ac:dyDescent="0.25">
      <c r="Z3240">
        <v>399876.73682015535</v>
      </c>
    </row>
    <row r="3241" spans="26:26" x14ac:dyDescent="0.25">
      <c r="Z3241">
        <v>399877.04420963122</v>
      </c>
    </row>
    <row r="3242" spans="26:26" x14ac:dyDescent="0.25">
      <c r="Z3242">
        <v>399877.35083254986</v>
      </c>
    </row>
    <row r="3243" spans="26:26" x14ac:dyDescent="0.25">
      <c r="Z3243">
        <v>399877.6566908228</v>
      </c>
    </row>
    <row r="3244" spans="26:26" x14ac:dyDescent="0.25">
      <c r="Z3244">
        <v>399877.96178635693</v>
      </c>
    </row>
    <row r="3245" spans="26:26" x14ac:dyDescent="0.25">
      <c r="Z3245">
        <v>399878.2661210543</v>
      </c>
    </row>
    <row r="3246" spans="26:26" x14ac:dyDescent="0.25">
      <c r="Z3246">
        <v>399878.56969681225</v>
      </c>
    </row>
    <row r="3247" spans="26:26" x14ac:dyDescent="0.25">
      <c r="Z3247">
        <v>399878.87251552346</v>
      </c>
    </row>
    <row r="3248" spans="26:26" x14ac:dyDescent="0.25">
      <c r="Z3248">
        <v>399879.17457907577</v>
      </c>
    </row>
    <row r="3249" spans="26:26" x14ac:dyDescent="0.25">
      <c r="Z3249">
        <v>399879.47588935238</v>
      </c>
    </row>
    <row r="3250" spans="26:26" x14ac:dyDescent="0.25">
      <c r="Z3250">
        <v>399879.77644823183</v>
      </c>
    </row>
    <row r="3251" spans="26:26" x14ac:dyDescent="0.25">
      <c r="Z3251">
        <v>399880.07625758788</v>
      </c>
    </row>
    <row r="3252" spans="26:26" x14ac:dyDescent="0.25">
      <c r="Z3252">
        <v>399880.37531928963</v>
      </c>
    </row>
    <row r="3253" spans="26:26" x14ac:dyDescent="0.25">
      <c r="Z3253">
        <v>399880.67363520159</v>
      </c>
    </row>
    <row r="3254" spans="26:26" x14ac:dyDescent="0.25">
      <c r="Z3254">
        <v>399880.97120718367</v>
      </c>
    </row>
    <row r="3255" spans="26:26" x14ac:dyDescent="0.25">
      <c r="Z3255">
        <v>399881.26803709089</v>
      </c>
    </row>
    <row r="3256" spans="26:26" x14ac:dyDescent="0.25">
      <c r="Z3256">
        <v>399881.56412677397</v>
      </c>
    </row>
    <row r="3257" spans="26:26" x14ac:dyDescent="0.25">
      <c r="Z3257">
        <v>399881.85947807878</v>
      </c>
    </row>
    <row r="3258" spans="26:26" x14ac:dyDescent="0.25">
      <c r="Z3258">
        <v>399882.15409284667</v>
      </c>
    </row>
    <row r="3259" spans="26:26" x14ac:dyDescent="0.25">
      <c r="Z3259">
        <v>399882.44797291438</v>
      </c>
    </row>
    <row r="3260" spans="26:26" x14ac:dyDescent="0.25">
      <c r="Z3260">
        <v>399882.74112011411</v>
      </c>
    </row>
    <row r="3261" spans="26:26" x14ac:dyDescent="0.25">
      <c r="Z3261">
        <v>399883.0335362734</v>
      </c>
    </row>
    <row r="3262" spans="26:26" x14ac:dyDescent="0.25">
      <c r="Z3262">
        <v>399883.32522321539</v>
      </c>
    </row>
    <row r="3263" spans="26:26" x14ac:dyDescent="0.25">
      <c r="Z3263">
        <v>399883.61618275847</v>
      </c>
    </row>
    <row r="3264" spans="26:26" x14ac:dyDescent="0.25">
      <c r="Z3264">
        <v>399883.90641671664</v>
      </c>
    </row>
    <row r="3265" spans="26:26" x14ac:dyDescent="0.25">
      <c r="Z3265">
        <v>399884.19592689944</v>
      </c>
    </row>
    <row r="3266" spans="26:26" x14ac:dyDescent="0.25">
      <c r="Z3266">
        <v>399884.48471511161</v>
      </c>
    </row>
    <row r="3267" spans="26:26" x14ac:dyDescent="0.25">
      <c r="Z3267">
        <v>399884.77278315375</v>
      </c>
    </row>
    <row r="3268" spans="26:26" x14ac:dyDescent="0.25">
      <c r="Z3268">
        <v>399885.06013282173</v>
      </c>
    </row>
    <row r="3269" spans="26:26" x14ac:dyDescent="0.25">
      <c r="Z3269">
        <v>399885.34676590696</v>
      </c>
    </row>
    <row r="3270" spans="26:26" x14ac:dyDescent="0.25">
      <c r="Z3270">
        <v>399885.6326841964</v>
      </c>
    </row>
    <row r="3271" spans="26:26" x14ac:dyDescent="0.25">
      <c r="Z3271">
        <v>399885.9178894728</v>
      </c>
    </row>
    <row r="3272" spans="26:26" x14ac:dyDescent="0.25">
      <c r="Z3272">
        <v>399886.20238351397</v>
      </c>
    </row>
    <row r="3273" spans="26:26" x14ac:dyDescent="0.25">
      <c r="Z3273">
        <v>399886.48616809375</v>
      </c>
    </row>
    <row r="3274" spans="26:26" x14ac:dyDescent="0.25">
      <c r="Z3274">
        <v>399886.76924498129</v>
      </c>
    </row>
    <row r="3275" spans="26:26" x14ac:dyDescent="0.25">
      <c r="Z3275">
        <v>399887.05161594145</v>
      </c>
    </row>
    <row r="3276" spans="26:26" x14ac:dyDescent="0.25">
      <c r="Z3276">
        <v>399887.33328273462</v>
      </c>
    </row>
    <row r="3277" spans="26:26" x14ac:dyDescent="0.25">
      <c r="Z3277">
        <v>399887.61424711684</v>
      </c>
    </row>
    <row r="3278" spans="26:26" x14ac:dyDescent="0.25">
      <c r="Z3278">
        <v>399887.89451083972</v>
      </c>
    </row>
    <row r="3279" spans="26:26" x14ac:dyDescent="0.25">
      <c r="Z3279">
        <v>399888.17407565058</v>
      </c>
    </row>
    <row r="3280" spans="26:26" x14ac:dyDescent="0.25">
      <c r="Z3280">
        <v>399888.45294329233</v>
      </c>
    </row>
    <row r="3281" spans="26:26" x14ac:dyDescent="0.25">
      <c r="Z3281">
        <v>399888.73111550359</v>
      </c>
    </row>
    <row r="3282" spans="26:26" x14ac:dyDescent="0.25">
      <c r="Z3282">
        <v>399889.00859401852</v>
      </c>
    </row>
    <row r="3283" spans="26:26" x14ac:dyDescent="0.25">
      <c r="Z3283">
        <v>399889.28538056713</v>
      </c>
    </row>
    <row r="3284" spans="26:26" x14ac:dyDescent="0.25">
      <c r="Z3284">
        <v>399889.56147687498</v>
      </c>
    </row>
    <row r="3285" spans="26:26" x14ac:dyDescent="0.25">
      <c r="Z3285">
        <v>399889.83688466327</v>
      </c>
    </row>
    <row r="3286" spans="26:26" x14ac:dyDescent="0.25">
      <c r="Z3286">
        <v>399890.11160564917</v>
      </c>
    </row>
    <row r="3287" spans="26:26" x14ac:dyDescent="0.25">
      <c r="Z3287">
        <v>399890.38564154529</v>
      </c>
    </row>
    <row r="3288" spans="26:26" x14ac:dyDescent="0.25">
      <c r="Z3288">
        <v>399890.65899406013</v>
      </c>
    </row>
    <row r="3289" spans="26:26" x14ac:dyDescent="0.25">
      <c r="Z3289">
        <v>399890.93166489794</v>
      </c>
    </row>
    <row r="3290" spans="26:26" x14ac:dyDescent="0.25">
      <c r="Z3290">
        <v>399891.20365575847</v>
      </c>
    </row>
    <row r="3291" spans="26:26" x14ac:dyDescent="0.25">
      <c r="Z3291">
        <v>399891.47496833763</v>
      </c>
    </row>
    <row r="3292" spans="26:26" x14ac:dyDescent="0.25">
      <c r="Z3292">
        <v>399891.74560432683</v>
      </c>
    </row>
    <row r="3293" spans="26:26" x14ac:dyDescent="0.25">
      <c r="Z3293">
        <v>399892.01556541328</v>
      </c>
    </row>
    <row r="3294" spans="26:26" x14ac:dyDescent="0.25">
      <c r="Z3294">
        <v>399892.28485328011</v>
      </c>
    </row>
    <row r="3295" spans="26:26" x14ac:dyDescent="0.25">
      <c r="Z3295">
        <v>399892.55346960609</v>
      </c>
    </row>
    <row r="3296" spans="26:26" x14ac:dyDescent="0.25">
      <c r="Z3296">
        <v>399892.82141606597</v>
      </c>
    </row>
    <row r="3297" spans="26:26" x14ac:dyDescent="0.25">
      <c r="Z3297">
        <v>399893.08869433013</v>
      </c>
    </row>
    <row r="3298" spans="26:26" x14ac:dyDescent="0.25">
      <c r="Z3298">
        <v>399893.355306065</v>
      </c>
    </row>
    <row r="3299" spans="26:26" x14ac:dyDescent="0.25">
      <c r="Z3299">
        <v>399893.62125293259</v>
      </c>
    </row>
    <row r="3300" spans="26:26" x14ac:dyDescent="0.25">
      <c r="Z3300">
        <v>399893.88653659116</v>
      </c>
    </row>
    <row r="3301" spans="26:26" x14ac:dyDescent="0.25">
      <c r="Z3301">
        <v>399894.15115869441</v>
      </c>
    </row>
    <row r="3302" spans="26:26" x14ac:dyDescent="0.25">
      <c r="Z3302">
        <v>399894.41512089217</v>
      </c>
    </row>
    <row r="3303" spans="26:26" x14ac:dyDescent="0.25">
      <c r="Z3303">
        <v>399894.67842483008</v>
      </c>
    </row>
    <row r="3304" spans="26:26" x14ac:dyDescent="0.25">
      <c r="Z3304">
        <v>399894.94107214973</v>
      </c>
    </row>
    <row r="3305" spans="26:26" x14ac:dyDescent="0.25">
      <c r="Z3305">
        <v>399895.20306448854</v>
      </c>
    </row>
    <row r="3306" spans="26:26" x14ac:dyDescent="0.25">
      <c r="Z3306">
        <v>399895.46440347983</v>
      </c>
    </row>
    <row r="3307" spans="26:26" x14ac:dyDescent="0.25">
      <c r="Z3307">
        <v>399895.72509075294</v>
      </c>
    </row>
    <row r="3308" spans="26:26" x14ac:dyDescent="0.25">
      <c r="Z3308">
        <v>399895.98512793315</v>
      </c>
    </row>
    <row r="3309" spans="26:26" x14ac:dyDescent="0.25">
      <c r="Z3309">
        <v>399896.24451664148</v>
      </c>
    </row>
    <row r="3310" spans="26:26" x14ac:dyDescent="0.25">
      <c r="Z3310">
        <v>399896.50325849524</v>
      </c>
    </row>
    <row r="3311" spans="26:26" x14ac:dyDescent="0.25">
      <c r="Z3311">
        <v>399896.76135510748</v>
      </c>
    </row>
    <row r="3312" spans="26:26" x14ac:dyDescent="0.25">
      <c r="Z3312">
        <v>399897.01880808722</v>
      </c>
    </row>
    <row r="3313" spans="26:26" x14ac:dyDescent="0.25">
      <c r="Z3313">
        <v>399897.27561903966</v>
      </c>
    </row>
    <row r="3314" spans="26:26" x14ac:dyDescent="0.25">
      <c r="Z3314">
        <v>399897.53178956575</v>
      </c>
    </row>
    <row r="3315" spans="26:26" x14ac:dyDescent="0.25">
      <c r="Z3315">
        <v>399897.78732126259</v>
      </c>
    </row>
    <row r="3316" spans="26:26" x14ac:dyDescent="0.25">
      <c r="Z3316">
        <v>399898.04221572331</v>
      </c>
    </row>
    <row r="3317" spans="26:26" x14ac:dyDescent="0.25">
      <c r="Z3317">
        <v>399898.296474537</v>
      </c>
    </row>
    <row r="3318" spans="26:26" x14ac:dyDescent="0.25">
      <c r="Z3318">
        <v>399898.55009928875</v>
      </c>
    </row>
    <row r="3319" spans="26:26" x14ac:dyDescent="0.25">
      <c r="Z3319">
        <v>399898.80309155985</v>
      </c>
    </row>
    <row r="3320" spans="26:26" x14ac:dyDescent="0.25">
      <c r="Z3320">
        <v>399899.05545292748</v>
      </c>
    </row>
    <row r="3321" spans="26:26" x14ac:dyDescent="0.25">
      <c r="Z3321">
        <v>399899.30718496512</v>
      </c>
    </row>
    <row r="3322" spans="26:26" x14ac:dyDescent="0.25">
      <c r="Z3322">
        <v>399899.55828924198</v>
      </c>
    </row>
    <row r="3323" spans="26:26" x14ac:dyDescent="0.25">
      <c r="Z3323">
        <v>399899.80876732367</v>
      </c>
    </row>
    <row r="3324" spans="26:26" x14ac:dyDescent="0.25">
      <c r="Z3324">
        <v>399900.05862077174</v>
      </c>
    </row>
    <row r="3325" spans="26:26" x14ac:dyDescent="0.25">
      <c r="Z3325">
        <v>399900.30785114388</v>
      </c>
    </row>
    <row r="3326" spans="26:26" x14ac:dyDescent="0.25">
      <c r="Z3326">
        <v>399900.55645999388</v>
      </c>
    </row>
    <row r="3327" spans="26:26" x14ac:dyDescent="0.25">
      <c r="Z3327">
        <v>399900.80444887176</v>
      </c>
    </row>
    <row r="3328" spans="26:26" x14ac:dyDescent="0.25">
      <c r="Z3328">
        <v>399901.05181932345</v>
      </c>
    </row>
    <row r="3329" spans="26:26" x14ac:dyDescent="0.25">
      <c r="Z3329">
        <v>399901.29857289116</v>
      </c>
    </row>
    <row r="3330" spans="26:26" x14ac:dyDescent="0.25">
      <c r="Z3330">
        <v>399901.54471111338</v>
      </c>
    </row>
    <row r="3331" spans="26:26" x14ac:dyDescent="0.25">
      <c r="Z3331">
        <v>399901.79023552459</v>
      </c>
    </row>
    <row r="3332" spans="26:26" x14ac:dyDescent="0.25">
      <c r="Z3332">
        <v>399902.03514765546</v>
      </c>
    </row>
    <row r="3333" spans="26:26" x14ac:dyDescent="0.25">
      <c r="Z3333">
        <v>399902.27944903285</v>
      </c>
    </row>
    <row r="3334" spans="26:26" x14ac:dyDescent="0.25">
      <c r="Z3334">
        <v>399902.52314117993</v>
      </c>
    </row>
    <row r="3335" spans="26:26" x14ac:dyDescent="0.25">
      <c r="Z3335">
        <v>399902.76622561587</v>
      </c>
    </row>
    <row r="3336" spans="26:26" x14ac:dyDescent="0.25">
      <c r="Z3336">
        <v>399903.00870385626</v>
      </c>
    </row>
    <row r="3337" spans="26:26" x14ac:dyDescent="0.25">
      <c r="Z3337">
        <v>399903.25057741272</v>
      </c>
    </row>
    <row r="3338" spans="26:26" x14ac:dyDescent="0.25">
      <c r="Z3338">
        <v>399903.49184779322</v>
      </c>
    </row>
    <row r="3339" spans="26:26" x14ac:dyDescent="0.25">
      <c r="Z3339">
        <v>399903.73251650197</v>
      </c>
    </row>
    <row r="3340" spans="26:26" x14ac:dyDescent="0.25">
      <c r="Z3340">
        <v>399903.97258503939</v>
      </c>
    </row>
    <row r="3341" spans="26:26" x14ac:dyDescent="0.25">
      <c r="Z3341">
        <v>399904.21205490211</v>
      </c>
    </row>
    <row r="3342" spans="26:26" x14ac:dyDescent="0.25">
      <c r="Z3342">
        <v>399904.45092758315</v>
      </c>
    </row>
    <row r="3343" spans="26:26" x14ac:dyDescent="0.25">
      <c r="Z3343">
        <v>399904.68920457171</v>
      </c>
    </row>
    <row r="3344" spans="26:26" x14ac:dyDescent="0.25">
      <c r="Z3344">
        <v>399904.92688735336</v>
      </c>
    </row>
    <row r="3345" spans="26:26" x14ac:dyDescent="0.25">
      <c r="Z3345">
        <v>399905.16397740983</v>
      </c>
    </row>
    <row r="3346" spans="26:26" x14ac:dyDescent="0.25">
      <c r="Z3346">
        <v>399905.40047621931</v>
      </c>
    </row>
    <row r="3347" spans="26:26" x14ac:dyDescent="0.25">
      <c r="Z3347">
        <v>399905.63638525613</v>
      </c>
    </row>
    <row r="3348" spans="26:26" x14ac:dyDescent="0.25">
      <c r="Z3348">
        <v>399905.87170599116</v>
      </c>
    </row>
    <row r="3349" spans="26:26" x14ac:dyDescent="0.25">
      <c r="Z3349">
        <v>399906.10643989145</v>
      </c>
    </row>
    <row r="3350" spans="26:26" x14ac:dyDescent="0.25">
      <c r="Z3350">
        <v>399906.3405884204</v>
      </c>
    </row>
    <row r="3351" spans="26:26" x14ac:dyDescent="0.25">
      <c r="Z3351">
        <v>399906.57415303774</v>
      </c>
    </row>
    <row r="3352" spans="26:26" x14ac:dyDescent="0.25">
      <c r="Z3352">
        <v>399906.80713519978</v>
      </c>
    </row>
    <row r="3353" spans="26:26" x14ac:dyDescent="0.25">
      <c r="Z3353">
        <v>399907.03953635891</v>
      </c>
    </row>
    <row r="3354" spans="26:26" x14ac:dyDescent="0.25">
      <c r="Z3354">
        <v>399907.27135796397</v>
      </c>
    </row>
    <row r="3355" spans="26:26" x14ac:dyDescent="0.25">
      <c r="Z3355">
        <v>399907.50260146032</v>
      </c>
    </row>
    <row r="3356" spans="26:26" x14ac:dyDescent="0.25">
      <c r="Z3356">
        <v>399907.73326828959</v>
      </c>
    </row>
    <row r="3357" spans="26:26" x14ac:dyDescent="0.25">
      <c r="Z3357">
        <v>399907.96335988987</v>
      </c>
    </row>
    <row r="3358" spans="26:26" x14ac:dyDescent="0.25">
      <c r="Z3358">
        <v>399908.1928776956</v>
      </c>
    </row>
    <row r="3359" spans="26:26" x14ac:dyDescent="0.25">
      <c r="Z3359">
        <v>399908.42182313779</v>
      </c>
    </row>
    <row r="3360" spans="26:26" x14ac:dyDescent="0.25">
      <c r="Z3360">
        <v>399908.65019764367</v>
      </c>
    </row>
    <row r="3361" spans="26:26" x14ac:dyDescent="0.25">
      <c r="Z3361">
        <v>399908.87800263707</v>
      </c>
    </row>
    <row r="3362" spans="26:26" x14ac:dyDescent="0.25">
      <c r="Z3362">
        <v>399909.10523953824</v>
      </c>
    </row>
    <row r="3363" spans="26:26" x14ac:dyDescent="0.25">
      <c r="Z3363">
        <v>399909.33190976386</v>
      </c>
    </row>
    <row r="3364" spans="26:26" x14ac:dyDescent="0.25">
      <c r="Z3364">
        <v>399909.55801472702</v>
      </c>
    </row>
    <row r="3365" spans="26:26" x14ac:dyDescent="0.25">
      <c r="Z3365">
        <v>399909.78355583741</v>
      </c>
    </row>
    <row r="3366" spans="26:26" x14ac:dyDescent="0.25">
      <c r="Z3366">
        <v>399910.00853450119</v>
      </c>
    </row>
    <row r="3367" spans="26:26" x14ac:dyDescent="0.25">
      <c r="Z3367">
        <v>399910.23295212083</v>
      </c>
    </row>
    <row r="3368" spans="26:26" x14ac:dyDescent="0.25">
      <c r="Z3368">
        <v>399910.45681009564</v>
      </c>
    </row>
    <row r="3369" spans="26:26" x14ac:dyDescent="0.25">
      <c r="Z3369">
        <v>399910.68010982109</v>
      </c>
    </row>
    <row r="3370" spans="26:26" x14ac:dyDescent="0.25">
      <c r="Z3370">
        <v>399910.90285268932</v>
      </c>
    </row>
    <row r="3371" spans="26:26" x14ac:dyDescent="0.25">
      <c r="Z3371">
        <v>399911.12504008913</v>
      </c>
    </row>
    <row r="3372" spans="26:26" x14ac:dyDescent="0.25">
      <c r="Z3372">
        <v>399911.34667340561</v>
      </c>
    </row>
    <row r="3373" spans="26:26" x14ac:dyDescent="0.25">
      <c r="Z3373">
        <v>399911.56775402057</v>
      </c>
    </row>
    <row r="3374" spans="26:26" x14ac:dyDescent="0.25">
      <c r="Z3374">
        <v>399911.78828331229</v>
      </c>
    </row>
    <row r="3375" spans="26:26" x14ac:dyDescent="0.25">
      <c r="Z3375">
        <v>399912.00826265564</v>
      </c>
    </row>
    <row r="3376" spans="26:26" x14ac:dyDescent="0.25">
      <c r="Z3376">
        <v>399912.22769342212</v>
      </c>
    </row>
    <row r="3377" spans="26:26" x14ac:dyDescent="0.25">
      <c r="Z3377">
        <v>399912.44657697965</v>
      </c>
    </row>
    <row r="3378" spans="26:26" x14ac:dyDescent="0.25">
      <c r="Z3378">
        <v>399912.66491469293</v>
      </c>
    </row>
    <row r="3379" spans="26:26" x14ac:dyDescent="0.25">
      <c r="Z3379">
        <v>399912.88270792313</v>
      </c>
    </row>
    <row r="3380" spans="26:26" x14ac:dyDescent="0.25">
      <c r="Z3380">
        <v>399913.099958028</v>
      </c>
    </row>
    <row r="3381" spans="26:26" x14ac:dyDescent="0.25">
      <c r="Z3381">
        <v>399913.31666636211</v>
      </c>
    </row>
    <row r="3382" spans="26:26" x14ac:dyDescent="0.25">
      <c r="Z3382">
        <v>399913.53283427644</v>
      </c>
    </row>
    <row r="3383" spans="26:26" x14ac:dyDescent="0.25">
      <c r="Z3383">
        <v>399913.74846311862</v>
      </c>
    </row>
    <row r="3384" spans="26:26" x14ac:dyDescent="0.25">
      <c r="Z3384">
        <v>399913.96355423308</v>
      </c>
    </row>
    <row r="3385" spans="26:26" x14ac:dyDescent="0.25">
      <c r="Z3385">
        <v>399914.17810896062</v>
      </c>
    </row>
    <row r="3386" spans="26:26" x14ac:dyDescent="0.25">
      <c r="Z3386">
        <v>399914.39212863904</v>
      </c>
    </row>
    <row r="3387" spans="26:26" x14ac:dyDescent="0.25">
      <c r="Z3387">
        <v>399914.60561460257</v>
      </c>
    </row>
    <row r="3388" spans="26:26" x14ac:dyDescent="0.25">
      <c r="Z3388">
        <v>399914.81856818206</v>
      </c>
    </row>
    <row r="3389" spans="26:26" x14ac:dyDescent="0.25">
      <c r="Z3389">
        <v>399915.03099070536</v>
      </c>
    </row>
    <row r="3390" spans="26:26" x14ac:dyDescent="0.25">
      <c r="Z3390">
        <v>399915.24288349657</v>
      </c>
    </row>
    <row r="3391" spans="26:26" x14ac:dyDescent="0.25">
      <c r="Z3391">
        <v>399915.45424787689</v>
      </c>
    </row>
    <row r="3392" spans="26:26" x14ac:dyDescent="0.25">
      <c r="Z3392">
        <v>399915.66508516396</v>
      </c>
    </row>
    <row r="3393" spans="26:26" x14ac:dyDescent="0.25">
      <c r="Z3393">
        <v>399915.87539667235</v>
      </c>
    </row>
    <row r="3394" spans="26:26" x14ac:dyDescent="0.25">
      <c r="Z3394">
        <v>399916.085183713</v>
      </c>
    </row>
    <row r="3395" spans="26:26" x14ac:dyDescent="0.25">
      <c r="Z3395">
        <v>399916.29444759403</v>
      </c>
    </row>
    <row r="3396" spans="26:26" x14ac:dyDescent="0.25">
      <c r="Z3396">
        <v>399916.50318961998</v>
      </c>
    </row>
    <row r="3397" spans="26:26" x14ac:dyDescent="0.25">
      <c r="Z3397">
        <v>399916.71141109226</v>
      </c>
    </row>
    <row r="3398" spans="26:26" x14ac:dyDescent="0.25">
      <c r="Z3398">
        <v>399916.91911330901</v>
      </c>
    </row>
    <row r="3399" spans="26:26" x14ac:dyDescent="0.25">
      <c r="Z3399">
        <v>399917.12629756506</v>
      </c>
    </row>
    <row r="3400" spans="26:26" x14ac:dyDescent="0.25">
      <c r="Z3400">
        <v>399917.33296515216</v>
      </c>
    </row>
    <row r="3401" spans="26:26" x14ac:dyDescent="0.25">
      <c r="Z3401">
        <v>399917.53911735874</v>
      </c>
    </row>
    <row r="3402" spans="26:26" x14ac:dyDescent="0.25">
      <c r="Z3402">
        <v>399917.74475547014</v>
      </c>
    </row>
    <row r="3403" spans="26:26" x14ac:dyDescent="0.25">
      <c r="Z3403">
        <v>399917.9498807682</v>
      </c>
    </row>
    <row r="3404" spans="26:26" x14ac:dyDescent="0.25">
      <c r="Z3404">
        <v>399918.15449453186</v>
      </c>
    </row>
    <row r="3405" spans="26:26" x14ac:dyDescent="0.25">
      <c r="Z3405">
        <v>399918.35859803675</v>
      </c>
    </row>
    <row r="3406" spans="26:26" x14ac:dyDescent="0.25">
      <c r="Z3406">
        <v>399918.56219255534</v>
      </c>
    </row>
    <row r="3407" spans="26:26" x14ac:dyDescent="0.25">
      <c r="Z3407">
        <v>399918.76527935703</v>
      </c>
    </row>
    <row r="3408" spans="26:26" x14ac:dyDescent="0.25">
      <c r="Z3408">
        <v>399918.96785970777</v>
      </c>
    </row>
    <row r="3409" spans="26:26" x14ac:dyDescent="0.25">
      <c r="Z3409">
        <v>399919.16993487056</v>
      </c>
    </row>
    <row r="3410" spans="26:26" x14ac:dyDescent="0.25">
      <c r="Z3410">
        <v>399919.37150610529</v>
      </c>
    </row>
    <row r="3411" spans="26:26" x14ac:dyDescent="0.25">
      <c r="Z3411">
        <v>399919.57257466862</v>
      </c>
    </row>
    <row r="3412" spans="26:26" x14ac:dyDescent="0.25">
      <c r="Z3412">
        <v>399919.7731418141</v>
      </c>
    </row>
    <row r="3413" spans="26:26" x14ac:dyDescent="0.25">
      <c r="Z3413">
        <v>399919.9732087921</v>
      </c>
    </row>
    <row r="3414" spans="26:26" x14ac:dyDescent="0.25">
      <c r="Z3414">
        <v>399920.17277685</v>
      </c>
    </row>
    <row r="3415" spans="26:26" x14ac:dyDescent="0.25">
      <c r="Z3415">
        <v>399920.37184723187</v>
      </c>
    </row>
    <row r="3416" spans="26:26" x14ac:dyDescent="0.25">
      <c r="Z3416">
        <v>399920.57042117894</v>
      </c>
    </row>
    <row r="3417" spans="26:26" x14ac:dyDescent="0.25">
      <c r="Z3417">
        <v>399920.76849992911</v>
      </c>
    </row>
    <row r="3418" spans="26:26" x14ac:dyDescent="0.25">
      <c r="Z3418">
        <v>399920.96608471731</v>
      </c>
    </row>
    <row r="3419" spans="26:26" x14ac:dyDescent="0.25">
      <c r="Z3419">
        <v>399921.16317677539</v>
      </c>
    </row>
    <row r="3420" spans="26:26" x14ac:dyDescent="0.25">
      <c r="Z3420">
        <v>399921.35977733205</v>
      </c>
    </row>
    <row r="3421" spans="26:26" x14ac:dyDescent="0.25">
      <c r="Z3421">
        <v>399921.55588761304</v>
      </c>
    </row>
    <row r="3422" spans="26:26" x14ac:dyDescent="0.25">
      <c r="Z3422">
        <v>399921.75150884094</v>
      </c>
    </row>
    <row r="3423" spans="26:26" x14ac:dyDescent="0.25">
      <c r="Z3423">
        <v>399921.94664223533</v>
      </c>
    </row>
    <row r="3424" spans="26:26" x14ac:dyDescent="0.25">
      <c r="Z3424">
        <v>399922.1412890128</v>
      </c>
    </row>
    <row r="3425" spans="26:26" x14ac:dyDescent="0.25">
      <c r="Z3425">
        <v>399922.33545038686</v>
      </c>
    </row>
    <row r="3426" spans="26:26" x14ac:dyDescent="0.25">
      <c r="Z3426">
        <v>399922.52912756789</v>
      </c>
    </row>
    <row r="3427" spans="26:26" x14ac:dyDescent="0.25">
      <c r="Z3427">
        <v>399922.72232176352</v>
      </c>
    </row>
    <row r="3428" spans="26:26" x14ac:dyDescent="0.25">
      <c r="Z3428">
        <v>399922.91503417806</v>
      </c>
    </row>
    <row r="3429" spans="26:26" x14ac:dyDescent="0.25">
      <c r="Z3429">
        <v>399923.10726601304</v>
      </c>
    </row>
    <row r="3430" spans="26:26" x14ac:dyDescent="0.25">
      <c r="Z3430">
        <v>399923.29901846685</v>
      </c>
    </row>
    <row r="3431" spans="26:26" x14ac:dyDescent="0.25">
      <c r="Z3431">
        <v>399923.49029273499</v>
      </c>
    </row>
    <row r="3432" spans="26:26" x14ac:dyDescent="0.25">
      <c r="Z3432">
        <v>399923.68109001004</v>
      </c>
    </row>
    <row r="3433" spans="26:26" x14ac:dyDescent="0.25">
      <c r="Z3433">
        <v>399923.87141148135</v>
      </c>
    </row>
    <row r="3434" spans="26:26" x14ac:dyDescent="0.25">
      <c r="Z3434">
        <v>399924.06125833542</v>
      </c>
    </row>
    <row r="3435" spans="26:26" x14ac:dyDescent="0.25">
      <c r="Z3435">
        <v>399924.25063175609</v>
      </c>
    </row>
    <row r="3436" spans="26:26" x14ac:dyDescent="0.25">
      <c r="Z3436">
        <v>399924.43953292374</v>
      </c>
    </row>
    <row r="3437" spans="26:26" x14ac:dyDescent="0.25">
      <c r="Z3437">
        <v>399924.62796301622</v>
      </c>
    </row>
    <row r="3438" spans="26:26" x14ac:dyDescent="0.25">
      <c r="Z3438">
        <v>399924.8159232082</v>
      </c>
    </row>
    <row r="3439" spans="26:26" x14ac:dyDescent="0.25">
      <c r="Z3439">
        <v>399925.00341467152</v>
      </c>
    </row>
    <row r="3440" spans="26:26" x14ac:dyDescent="0.25">
      <c r="Z3440">
        <v>399925.19043857511</v>
      </c>
    </row>
    <row r="3441" spans="26:26" x14ac:dyDescent="0.25">
      <c r="Z3441">
        <v>399925.37699608487</v>
      </c>
    </row>
    <row r="3442" spans="26:26" x14ac:dyDescent="0.25">
      <c r="Z3442">
        <v>399925.56308836397</v>
      </c>
    </row>
    <row r="3443" spans="26:26" x14ac:dyDescent="0.25">
      <c r="Z3443">
        <v>399925.74871657259</v>
      </c>
    </row>
    <row r="3444" spans="26:26" x14ac:dyDescent="0.25">
      <c r="Z3444">
        <v>399925.93388186785</v>
      </c>
    </row>
    <row r="3445" spans="26:26" x14ac:dyDescent="0.25">
      <c r="Z3445">
        <v>399926.11858540436</v>
      </c>
    </row>
    <row r="3446" spans="26:26" x14ac:dyDescent="0.25">
      <c r="Z3446">
        <v>399926.30282833352</v>
      </c>
    </row>
    <row r="3447" spans="26:26" x14ac:dyDescent="0.25">
      <c r="Z3447">
        <v>399926.48661180399</v>
      </c>
    </row>
    <row r="3448" spans="26:26" x14ac:dyDescent="0.25">
      <c r="Z3448">
        <v>399926.66993696161</v>
      </c>
    </row>
    <row r="3449" spans="26:26" x14ac:dyDescent="0.25">
      <c r="Z3449">
        <v>399926.85280494922</v>
      </c>
    </row>
    <row r="3450" spans="26:26" x14ac:dyDescent="0.25">
      <c r="Z3450">
        <v>399927.03521690698</v>
      </c>
    </row>
    <row r="3451" spans="26:26" x14ac:dyDescent="0.25">
      <c r="Z3451">
        <v>399927.21717397205</v>
      </c>
    </row>
    <row r="3452" spans="26:26" x14ac:dyDescent="0.25">
      <c r="Z3452">
        <v>399927.39867727883</v>
      </c>
    </row>
    <row r="3453" spans="26:26" x14ac:dyDescent="0.25">
      <c r="Z3453">
        <v>399927.57972795895</v>
      </c>
    </row>
    <row r="3454" spans="26:26" x14ac:dyDescent="0.25">
      <c r="Z3454">
        <v>399927.76032714109</v>
      </c>
    </row>
    <row r="3455" spans="26:26" x14ac:dyDescent="0.25">
      <c r="Z3455">
        <v>399927.94047595118</v>
      </c>
    </row>
    <row r="3456" spans="26:26" x14ac:dyDescent="0.25">
      <c r="Z3456">
        <v>399928.12017551245</v>
      </c>
    </row>
    <row r="3457" spans="26:26" x14ac:dyDescent="0.25">
      <c r="Z3457">
        <v>399928.29942694504</v>
      </c>
    </row>
    <row r="3458" spans="26:26" x14ac:dyDescent="0.25">
      <c r="Z3458">
        <v>399928.47823136667</v>
      </c>
    </row>
    <row r="3459" spans="26:26" x14ac:dyDescent="0.25">
      <c r="Z3459">
        <v>399928.65658989194</v>
      </c>
    </row>
    <row r="3460" spans="26:26" x14ac:dyDescent="0.25">
      <c r="Z3460">
        <v>399928.83450363285</v>
      </c>
    </row>
    <row r="3461" spans="26:26" x14ac:dyDescent="0.25">
      <c r="Z3461">
        <v>399929.01197369862</v>
      </c>
    </row>
    <row r="3462" spans="26:26" x14ac:dyDescent="0.25">
      <c r="Z3462">
        <v>399929.1890011956</v>
      </c>
    </row>
    <row r="3463" spans="26:26" x14ac:dyDescent="0.25">
      <c r="Z3463">
        <v>399929.36558722751</v>
      </c>
    </row>
    <row r="3464" spans="26:26" x14ac:dyDescent="0.25">
      <c r="Z3464">
        <v>399929.5417328953</v>
      </c>
    </row>
    <row r="3465" spans="26:26" x14ac:dyDescent="0.25">
      <c r="Z3465">
        <v>399929.71743929706</v>
      </c>
    </row>
    <row r="3466" spans="26:26" x14ac:dyDescent="0.25">
      <c r="Z3466">
        <v>399929.8927075282</v>
      </c>
    </row>
    <row r="3467" spans="26:26" x14ac:dyDescent="0.25">
      <c r="Z3467">
        <v>399930.0675386815</v>
      </c>
    </row>
    <row r="3468" spans="26:26" x14ac:dyDescent="0.25">
      <c r="Z3468">
        <v>399930.2419338469</v>
      </c>
    </row>
    <row r="3469" spans="26:26" x14ac:dyDescent="0.25">
      <c r="Z3469">
        <v>399930.41589411162</v>
      </c>
    </row>
    <row r="3470" spans="26:26" x14ac:dyDescent="0.25">
      <c r="Z3470">
        <v>399930.58942056028</v>
      </c>
    </row>
    <row r="3471" spans="26:26" x14ac:dyDescent="0.25">
      <c r="Z3471">
        <v>399930.76251427457</v>
      </c>
    </row>
    <row r="3472" spans="26:26" x14ac:dyDescent="0.25">
      <c r="Z3472">
        <v>399930.93517633376</v>
      </c>
    </row>
    <row r="3473" spans="26:26" x14ac:dyDescent="0.25">
      <c r="Z3473">
        <v>399931.10740781418</v>
      </c>
    </row>
    <row r="3474" spans="26:26" x14ac:dyDescent="0.25">
      <c r="Z3474">
        <v>399931.2792097897</v>
      </c>
    </row>
    <row r="3475" spans="26:26" x14ac:dyDescent="0.25">
      <c r="Z3475">
        <v>399931.4505833314</v>
      </c>
    </row>
    <row r="3476" spans="26:26" x14ac:dyDescent="0.25">
      <c r="Z3476">
        <v>399931.62152950757</v>
      </c>
    </row>
    <row r="3477" spans="26:26" x14ac:dyDescent="0.25">
      <c r="Z3477">
        <v>399931.79204938415</v>
      </c>
    </row>
    <row r="3478" spans="26:26" x14ac:dyDescent="0.25">
      <c r="Z3478">
        <v>399931.96214402409</v>
      </c>
    </row>
    <row r="3479" spans="26:26" x14ac:dyDescent="0.25">
      <c r="Z3479">
        <v>399932.13181448786</v>
      </c>
    </row>
    <row r="3480" spans="26:26" x14ac:dyDescent="0.25">
      <c r="Z3480">
        <v>399932.30106183328</v>
      </c>
    </row>
    <row r="3481" spans="26:26" x14ac:dyDescent="0.25">
      <c r="Z3481">
        <v>399932.46988711547</v>
      </c>
    </row>
    <row r="3482" spans="26:26" x14ac:dyDescent="0.25">
      <c r="Z3482">
        <v>399932.63829138706</v>
      </c>
    </row>
    <row r="3483" spans="26:26" x14ac:dyDescent="0.25">
      <c r="Z3483">
        <v>399932.80627569777</v>
      </c>
    </row>
    <row r="3484" spans="26:26" x14ac:dyDescent="0.25">
      <c r="Z3484">
        <v>399932.97384109505</v>
      </c>
    </row>
    <row r="3485" spans="26:26" x14ac:dyDescent="0.25">
      <c r="Z3485">
        <v>399933.14098862349</v>
      </c>
    </row>
    <row r="3486" spans="26:26" x14ac:dyDescent="0.25">
      <c r="Z3486">
        <v>399933.30771932518</v>
      </c>
    </row>
    <row r="3487" spans="26:26" x14ac:dyDescent="0.25">
      <c r="Z3487">
        <v>399933.47403423954</v>
      </c>
    </row>
    <row r="3488" spans="26:26" x14ac:dyDescent="0.25">
      <c r="Z3488">
        <v>399933.63993440359</v>
      </c>
    </row>
    <row r="3489" spans="26:26" x14ac:dyDescent="0.25">
      <c r="Z3489">
        <v>399933.80542085139</v>
      </c>
    </row>
    <row r="3490" spans="26:26" x14ac:dyDescent="0.25">
      <c r="Z3490">
        <v>399933.97049461491</v>
      </c>
    </row>
    <row r="3491" spans="26:26" x14ac:dyDescent="0.25">
      <c r="Z3491">
        <v>399934.13515672309</v>
      </c>
    </row>
    <row r="3492" spans="26:26" x14ac:dyDescent="0.25">
      <c r="Z3492">
        <v>399934.29940820258</v>
      </c>
    </row>
    <row r="3493" spans="26:26" x14ac:dyDescent="0.25">
      <c r="Z3493">
        <v>399934.46325007739</v>
      </c>
    </row>
    <row r="3494" spans="26:26" x14ac:dyDescent="0.25">
      <c r="Z3494">
        <v>399934.62668336899</v>
      </c>
    </row>
    <row r="3495" spans="26:26" x14ac:dyDescent="0.25">
      <c r="Z3495">
        <v>399934.78970909625</v>
      </c>
    </row>
    <row r="3496" spans="26:26" x14ac:dyDescent="0.25">
      <c r="Z3496">
        <v>399934.95232827554</v>
      </c>
    </row>
    <row r="3497" spans="26:26" x14ac:dyDescent="0.25">
      <c r="Z3497">
        <v>399935.11454192072</v>
      </c>
    </row>
    <row r="3498" spans="26:26" x14ac:dyDescent="0.25">
      <c r="Z3498">
        <v>399935.27635104314</v>
      </c>
    </row>
    <row r="3499" spans="26:26" x14ac:dyDescent="0.25">
      <c r="Z3499">
        <v>399935.43775665155</v>
      </c>
    </row>
    <row r="3500" spans="26:26" x14ac:dyDescent="0.25">
      <c r="Z3500">
        <v>399935.59875975212</v>
      </c>
    </row>
    <row r="3501" spans="26:26" x14ac:dyDescent="0.25">
      <c r="Z3501">
        <v>399935.75936134876</v>
      </c>
    </row>
    <row r="3502" spans="26:26" x14ac:dyDescent="0.25">
      <c r="Z3502">
        <v>399935.91956244264</v>
      </c>
    </row>
    <row r="3503" spans="26:26" x14ac:dyDescent="0.25">
      <c r="Z3503">
        <v>399936.07936403254</v>
      </c>
    </row>
    <row r="3504" spans="26:26" x14ac:dyDescent="0.25">
      <c r="Z3504">
        <v>399936.23876711476</v>
      </c>
    </row>
    <row r="3505" spans="26:26" x14ac:dyDescent="0.25">
      <c r="Z3505">
        <v>399936.39777268306</v>
      </c>
    </row>
    <row r="3506" spans="26:26" x14ac:dyDescent="0.25">
      <c r="Z3506">
        <v>399936.55638172873</v>
      </c>
    </row>
    <row r="3507" spans="26:26" x14ac:dyDescent="0.25">
      <c r="Z3507">
        <v>399936.71459524066</v>
      </c>
    </row>
    <row r="3508" spans="26:26" x14ac:dyDescent="0.25">
      <c r="Z3508">
        <v>399936.87241420511</v>
      </c>
    </row>
    <row r="3509" spans="26:26" x14ac:dyDescent="0.25">
      <c r="Z3509">
        <v>399937.02983960608</v>
      </c>
    </row>
    <row r="3510" spans="26:26" x14ac:dyDescent="0.25">
      <c r="Z3510">
        <v>399937.18687242502</v>
      </c>
    </row>
    <row r="3511" spans="26:26" x14ac:dyDescent="0.25">
      <c r="Z3511">
        <v>399937.34351364098</v>
      </c>
    </row>
    <row r="3512" spans="26:26" x14ac:dyDescent="0.25">
      <c r="Z3512">
        <v>399937.49976423034</v>
      </c>
    </row>
    <row r="3513" spans="26:26" x14ac:dyDescent="0.25">
      <c r="Z3513">
        <v>399937.65562516748</v>
      </c>
    </row>
    <row r="3514" spans="26:26" x14ac:dyDescent="0.25">
      <c r="Z3514">
        <v>399937.8110974239</v>
      </c>
    </row>
    <row r="3515" spans="26:26" x14ac:dyDescent="0.25">
      <c r="Z3515">
        <v>399937.96618196898</v>
      </c>
    </row>
    <row r="3516" spans="26:26" x14ac:dyDescent="0.25">
      <c r="Z3516">
        <v>399938.12087976956</v>
      </c>
    </row>
    <row r="3517" spans="26:26" x14ac:dyDescent="0.25">
      <c r="Z3517">
        <v>399938.27519179008</v>
      </c>
    </row>
    <row r="3518" spans="26:26" x14ac:dyDescent="0.25">
      <c r="Z3518">
        <v>399938.42911899259</v>
      </c>
    </row>
    <row r="3519" spans="26:26" x14ac:dyDescent="0.25">
      <c r="Z3519">
        <v>399938.58266233676</v>
      </c>
    </row>
    <row r="3520" spans="26:26" x14ac:dyDescent="0.25">
      <c r="Z3520">
        <v>399938.73582277977</v>
      </c>
    </row>
    <row r="3521" spans="26:26" x14ac:dyDescent="0.25">
      <c r="Z3521">
        <v>399938.88860127656</v>
      </c>
    </row>
    <row r="3522" spans="26:26" x14ac:dyDescent="0.25">
      <c r="Z3522">
        <v>399939.04099877964</v>
      </c>
    </row>
    <row r="3523" spans="26:26" x14ac:dyDescent="0.25">
      <c r="Z3523">
        <v>399939.19301623909</v>
      </c>
    </row>
    <row r="3524" spans="26:26" x14ac:dyDescent="0.25">
      <c r="Z3524">
        <v>399939.34465460258</v>
      </c>
    </row>
    <row r="3525" spans="26:26" x14ac:dyDescent="0.25">
      <c r="Z3525">
        <v>399939.49591481552</v>
      </c>
    </row>
    <row r="3526" spans="26:26" x14ac:dyDescent="0.25">
      <c r="Z3526">
        <v>399939.64679782093</v>
      </c>
    </row>
    <row r="3527" spans="26:26" x14ac:dyDescent="0.25">
      <c r="Z3527">
        <v>399939.79730455956</v>
      </c>
    </row>
    <row r="3528" spans="26:26" x14ac:dyDescent="0.25">
      <c r="Z3528">
        <v>399939.9474359696</v>
      </c>
    </row>
    <row r="3529" spans="26:26" x14ac:dyDescent="0.25">
      <c r="Z3529">
        <v>399940.09719298716</v>
      </c>
    </row>
    <row r="3530" spans="26:26" x14ac:dyDescent="0.25">
      <c r="Z3530">
        <v>399940.24657654582</v>
      </c>
    </row>
    <row r="3531" spans="26:26" x14ac:dyDescent="0.25">
      <c r="Z3531">
        <v>399940.39558757684</v>
      </c>
    </row>
    <row r="3532" spans="26:26" x14ac:dyDescent="0.25">
      <c r="Z3532">
        <v>399940.54422700935</v>
      </c>
    </row>
    <row r="3533" spans="26:26" x14ac:dyDescent="0.25">
      <c r="Z3533">
        <v>399940.69249576994</v>
      </c>
    </row>
    <row r="3534" spans="26:26" x14ac:dyDescent="0.25">
      <c r="Z3534">
        <v>399940.84039478295</v>
      </c>
    </row>
    <row r="3535" spans="26:26" x14ac:dyDescent="0.25">
      <c r="Z3535">
        <v>399940.98792497057</v>
      </c>
    </row>
    <row r="3536" spans="26:26" x14ac:dyDescent="0.25">
      <c r="Z3536">
        <v>399941.13508725242</v>
      </c>
    </row>
    <row r="3537" spans="26:26" x14ac:dyDescent="0.25">
      <c r="Z3537">
        <v>399941.28188254603</v>
      </c>
    </row>
    <row r="3538" spans="26:26" x14ac:dyDescent="0.25">
      <c r="Z3538">
        <v>399941.42831176665</v>
      </c>
    </row>
    <row r="3539" spans="26:26" x14ac:dyDescent="0.25">
      <c r="Z3539">
        <v>399941.57437582704</v>
      </c>
    </row>
    <row r="3540" spans="26:26" x14ac:dyDescent="0.25">
      <c r="Z3540">
        <v>399941.72007563798</v>
      </c>
    </row>
    <row r="3541" spans="26:26" x14ac:dyDescent="0.25">
      <c r="Z3541">
        <v>399941.86541210767</v>
      </c>
    </row>
    <row r="3542" spans="26:26" x14ac:dyDescent="0.25">
      <c r="Z3542">
        <v>399942.0103861423</v>
      </c>
    </row>
    <row r="3543" spans="26:26" x14ac:dyDescent="0.25">
      <c r="Z3543">
        <v>399942.15499864571</v>
      </c>
    </row>
    <row r="3544" spans="26:26" x14ac:dyDescent="0.25">
      <c r="Z3544">
        <v>399942.29925051943</v>
      </c>
    </row>
    <row r="3545" spans="26:26" x14ac:dyDescent="0.25">
      <c r="Z3545">
        <v>399942.44314266276</v>
      </c>
    </row>
    <row r="3546" spans="26:26" x14ac:dyDescent="0.25">
      <c r="Z3546">
        <v>399942.58667597279</v>
      </c>
    </row>
    <row r="3547" spans="26:26" x14ac:dyDescent="0.25">
      <c r="Z3547">
        <v>399942.72985134448</v>
      </c>
    </row>
    <row r="3548" spans="26:26" x14ac:dyDescent="0.25">
      <c r="Z3548">
        <v>399942.87266967027</v>
      </c>
    </row>
    <row r="3549" spans="26:26" x14ac:dyDescent="0.25">
      <c r="Z3549">
        <v>399943.01513184066</v>
      </c>
    </row>
    <row r="3550" spans="26:26" x14ac:dyDescent="0.25">
      <c r="Z3550">
        <v>399943.15723874385</v>
      </c>
    </row>
    <row r="3551" spans="26:26" x14ac:dyDescent="0.25">
      <c r="Z3551">
        <v>399943.29899126571</v>
      </c>
    </row>
    <row r="3552" spans="26:26" x14ac:dyDescent="0.25">
      <c r="Z3552">
        <v>399943.44039028994</v>
      </c>
    </row>
    <row r="3553" spans="26:26" x14ac:dyDescent="0.25">
      <c r="Z3553">
        <v>399943.58143669821</v>
      </c>
    </row>
    <row r="3554" spans="26:26" x14ac:dyDescent="0.25">
      <c r="Z3554">
        <v>399943.72213136981</v>
      </c>
    </row>
    <row r="3555" spans="26:26" x14ac:dyDescent="0.25">
      <c r="Z3555">
        <v>399943.86247518181</v>
      </c>
    </row>
    <row r="3556" spans="26:26" x14ac:dyDescent="0.25">
      <c r="Z3556">
        <v>399944.00246900925</v>
      </c>
    </row>
    <row r="3557" spans="26:26" x14ac:dyDescent="0.25">
      <c r="Z3557">
        <v>399944.14211372501</v>
      </c>
    </row>
    <row r="3558" spans="26:26" x14ac:dyDescent="0.25">
      <c r="Z3558">
        <v>399944.28141019947</v>
      </c>
    </row>
    <row r="3559" spans="26:26" x14ac:dyDescent="0.25">
      <c r="Z3559">
        <v>399944.42035930121</v>
      </c>
    </row>
    <row r="3560" spans="26:26" x14ac:dyDescent="0.25">
      <c r="Z3560">
        <v>399944.55896189646</v>
      </c>
    </row>
    <row r="3561" spans="26:26" x14ac:dyDescent="0.25">
      <c r="Z3561">
        <v>399944.69721884932</v>
      </c>
    </row>
    <row r="3562" spans="26:26" x14ac:dyDescent="0.25">
      <c r="Z3562">
        <v>399944.8351310218</v>
      </c>
    </row>
    <row r="3563" spans="26:26" x14ac:dyDescent="0.25">
      <c r="Z3563">
        <v>399944.97269927367</v>
      </c>
    </row>
    <row r="3564" spans="26:26" x14ac:dyDescent="0.25">
      <c r="Z3564">
        <v>399945.10992446245</v>
      </c>
    </row>
    <row r="3565" spans="26:26" x14ac:dyDescent="0.25">
      <c r="Z3565">
        <v>399945.24680744385</v>
      </c>
    </row>
    <row r="3566" spans="26:26" x14ac:dyDescent="0.25">
      <c r="Z3566">
        <v>399945.3833490712</v>
      </c>
    </row>
    <row r="3567" spans="26:26" x14ac:dyDescent="0.25">
      <c r="Z3567">
        <v>399945.51955019566</v>
      </c>
    </row>
    <row r="3568" spans="26:26" x14ac:dyDescent="0.25">
      <c r="Z3568">
        <v>399945.65541166655</v>
      </c>
    </row>
    <row r="3569" spans="26:26" x14ac:dyDescent="0.25">
      <c r="Z3569">
        <v>399945.79093433067</v>
      </c>
    </row>
    <row r="3570" spans="26:26" x14ac:dyDescent="0.25">
      <c r="Z3570">
        <v>399945.92611903307</v>
      </c>
    </row>
    <row r="3571" spans="26:26" x14ac:dyDescent="0.25">
      <c r="Z3571">
        <v>399946.06096661661</v>
      </c>
    </row>
    <row r="3572" spans="26:26" x14ac:dyDescent="0.25">
      <c r="Z3572">
        <v>399946.19547792175</v>
      </c>
    </row>
    <row r="3573" spans="26:26" x14ac:dyDescent="0.25">
      <c r="Z3573">
        <v>399946.32965378725</v>
      </c>
    </row>
    <row r="3574" spans="26:26" x14ac:dyDescent="0.25">
      <c r="Z3574">
        <v>399946.46349504968</v>
      </c>
    </row>
    <row r="3575" spans="26:26" x14ac:dyDescent="0.25">
      <c r="Z3575">
        <v>399946.59700254333</v>
      </c>
    </row>
    <row r="3576" spans="26:26" x14ac:dyDescent="0.25">
      <c r="Z3576">
        <v>399946.73017710057</v>
      </c>
    </row>
    <row r="3577" spans="26:26" x14ac:dyDescent="0.25">
      <c r="Z3577">
        <v>399946.86301955167</v>
      </c>
    </row>
    <row r="3578" spans="26:26" x14ac:dyDescent="0.25">
      <c r="Z3578">
        <v>399946.99553072487</v>
      </c>
    </row>
    <row r="3579" spans="26:26" x14ac:dyDescent="0.25">
      <c r="Z3579">
        <v>399947.12771144626</v>
      </c>
    </row>
    <row r="3580" spans="26:26" x14ac:dyDescent="0.25">
      <c r="Z3580">
        <v>399947.25956253993</v>
      </c>
    </row>
    <row r="3581" spans="26:26" x14ac:dyDescent="0.25">
      <c r="Z3581">
        <v>399947.39108482783</v>
      </c>
    </row>
    <row r="3582" spans="26:26" x14ac:dyDescent="0.25">
      <c r="Z3582">
        <v>399947.52227913006</v>
      </c>
    </row>
    <row r="3583" spans="26:26" x14ac:dyDescent="0.25">
      <c r="Z3583">
        <v>399947.65314626438</v>
      </c>
    </row>
    <row r="3584" spans="26:26" x14ac:dyDescent="0.25">
      <c r="Z3584">
        <v>399947.78368704673</v>
      </c>
    </row>
    <row r="3585" spans="26:26" x14ac:dyDescent="0.25">
      <c r="Z3585">
        <v>399947.91390229104</v>
      </c>
    </row>
    <row r="3586" spans="26:26" x14ac:dyDescent="0.25">
      <c r="Z3586">
        <v>399948.04379280901</v>
      </c>
    </row>
    <row r="3587" spans="26:26" x14ac:dyDescent="0.25">
      <c r="Z3587">
        <v>399948.17335941049</v>
      </c>
    </row>
    <row r="3588" spans="26:26" x14ac:dyDescent="0.25">
      <c r="Z3588">
        <v>399948.30260290316</v>
      </c>
    </row>
    <row r="3589" spans="26:26" x14ac:dyDescent="0.25">
      <c r="Z3589">
        <v>399948.43152409297</v>
      </c>
    </row>
    <row r="3590" spans="26:26" x14ac:dyDescent="0.25">
      <c r="Z3590">
        <v>399948.56012378348</v>
      </c>
    </row>
    <row r="3591" spans="26:26" x14ac:dyDescent="0.25">
      <c r="Z3591">
        <v>399948.68840277661</v>
      </c>
    </row>
    <row r="3592" spans="26:26" x14ac:dyDescent="0.25">
      <c r="Z3592">
        <v>399948.8163618719</v>
      </c>
    </row>
    <row r="3593" spans="26:26" x14ac:dyDescent="0.25">
      <c r="Z3593">
        <v>399948.9440018672</v>
      </c>
    </row>
    <row r="3594" spans="26:26" x14ac:dyDescent="0.25">
      <c r="Z3594">
        <v>399949.07132355834</v>
      </c>
    </row>
    <row r="3595" spans="26:26" x14ac:dyDescent="0.25">
      <c r="Z3595">
        <v>399949.19832773897</v>
      </c>
    </row>
    <row r="3596" spans="26:26" x14ac:dyDescent="0.25">
      <c r="Z3596">
        <v>399949.32501520094</v>
      </c>
    </row>
    <row r="3597" spans="26:26" x14ac:dyDescent="0.25">
      <c r="Z3597">
        <v>399949.45138673414</v>
      </c>
    </row>
    <row r="3598" spans="26:26" x14ac:dyDescent="0.25">
      <c r="Z3598">
        <v>399949.5774431263</v>
      </c>
    </row>
    <row r="3599" spans="26:26" x14ac:dyDescent="0.25">
      <c r="Z3599">
        <v>399949.70318516338</v>
      </c>
    </row>
    <row r="3600" spans="26:26" x14ac:dyDescent="0.25">
      <c r="Z3600">
        <v>399949.82861362933</v>
      </c>
    </row>
    <row r="3601" spans="26:26" x14ac:dyDescent="0.25">
      <c r="Z3601">
        <v>399949.95372930606</v>
      </c>
    </row>
    <row r="3602" spans="26:26" x14ac:dyDescent="0.25">
      <c r="Z3602">
        <v>399950.07853297365</v>
      </c>
    </row>
    <row r="3603" spans="26:26" x14ac:dyDescent="0.25">
      <c r="Z3603">
        <v>399950.20302541013</v>
      </c>
    </row>
    <row r="3604" spans="26:26" x14ac:dyDescent="0.25">
      <c r="Z3604">
        <v>399950.32720739162</v>
      </c>
    </row>
    <row r="3605" spans="26:26" x14ac:dyDescent="0.25">
      <c r="Z3605">
        <v>399950.45107969246</v>
      </c>
    </row>
    <row r="3606" spans="26:26" x14ac:dyDescent="0.25">
      <c r="Z3606">
        <v>399950.57464308472</v>
      </c>
    </row>
    <row r="3607" spans="26:26" x14ac:dyDescent="0.25">
      <c r="Z3607">
        <v>399950.69789833884</v>
      </c>
    </row>
    <row r="3608" spans="26:26" x14ac:dyDescent="0.25">
      <c r="Z3608">
        <v>399950.82084622327</v>
      </c>
    </row>
    <row r="3609" spans="26:26" x14ac:dyDescent="0.25">
      <c r="Z3609">
        <v>399950.94348750456</v>
      </c>
    </row>
    <row r="3610" spans="26:26" x14ac:dyDescent="0.25">
      <c r="Z3610">
        <v>399951.06582294713</v>
      </c>
    </row>
    <row r="3611" spans="26:26" x14ac:dyDescent="0.25">
      <c r="Z3611">
        <v>399951.18785331387</v>
      </c>
    </row>
    <row r="3612" spans="26:26" x14ac:dyDescent="0.25">
      <c r="Z3612">
        <v>399951.30957936548</v>
      </c>
    </row>
    <row r="3613" spans="26:26" x14ac:dyDescent="0.25">
      <c r="Z3613">
        <v>399951.43100186082</v>
      </c>
    </row>
    <row r="3614" spans="26:26" x14ac:dyDescent="0.25">
      <c r="Z3614">
        <v>399951.55212155689</v>
      </c>
    </row>
    <row r="3615" spans="26:26" x14ac:dyDescent="0.25">
      <c r="Z3615">
        <v>399951.67293920892</v>
      </c>
    </row>
    <row r="3616" spans="26:26" x14ac:dyDescent="0.25">
      <c r="Z3616">
        <v>399951.79345557</v>
      </c>
    </row>
    <row r="3617" spans="26:26" x14ac:dyDescent="0.25">
      <c r="Z3617">
        <v>399951.91367139149</v>
      </c>
    </row>
    <row r="3618" spans="26:26" x14ac:dyDescent="0.25">
      <c r="Z3618">
        <v>399952.03358742292</v>
      </c>
    </row>
    <row r="3619" spans="26:26" x14ac:dyDescent="0.25">
      <c r="Z3619">
        <v>399952.15320441191</v>
      </c>
    </row>
    <row r="3620" spans="26:26" x14ac:dyDescent="0.25">
      <c r="Z3620">
        <v>399952.27252310415</v>
      </c>
    </row>
    <row r="3621" spans="26:26" x14ac:dyDescent="0.25">
      <c r="Z3621">
        <v>399952.39154424355</v>
      </c>
    </row>
    <row r="3622" spans="26:26" x14ac:dyDescent="0.25">
      <c r="Z3622">
        <v>399952.51026857208</v>
      </c>
    </row>
    <row r="3623" spans="26:26" x14ac:dyDescent="0.25">
      <c r="Z3623">
        <v>399952.62869683007</v>
      </c>
    </row>
    <row r="3624" spans="26:26" x14ac:dyDescent="0.25">
      <c r="Z3624">
        <v>399952.74682975566</v>
      </c>
    </row>
    <row r="3625" spans="26:26" x14ac:dyDescent="0.25">
      <c r="Z3625">
        <v>399952.86466808541</v>
      </c>
    </row>
    <row r="3626" spans="26:26" x14ac:dyDescent="0.25">
      <c r="Z3626">
        <v>399952.98221255402</v>
      </c>
    </row>
    <row r="3627" spans="26:26" x14ac:dyDescent="0.25">
      <c r="Z3627">
        <v>399953.09946389432</v>
      </c>
    </row>
    <row r="3628" spans="26:26" x14ac:dyDescent="0.25">
      <c r="Z3628">
        <v>399953.21642283717</v>
      </c>
    </row>
    <row r="3629" spans="26:26" x14ac:dyDescent="0.25">
      <c r="Z3629">
        <v>399953.3330901119</v>
      </c>
    </row>
    <row r="3630" spans="26:26" x14ac:dyDescent="0.25">
      <c r="Z3630">
        <v>399953.44946644583</v>
      </c>
    </row>
    <row r="3631" spans="26:26" x14ac:dyDescent="0.25">
      <c r="Z3631">
        <v>399953.56555256445</v>
      </c>
    </row>
    <row r="3632" spans="26:26" x14ac:dyDescent="0.25">
      <c r="Z3632">
        <v>399953.68134919147</v>
      </c>
    </row>
    <row r="3633" spans="26:26" x14ac:dyDescent="0.25">
      <c r="Z3633">
        <v>399953.79685704882</v>
      </c>
    </row>
    <row r="3634" spans="26:26" x14ac:dyDescent="0.25">
      <c r="Z3634">
        <v>399953.91207685665</v>
      </c>
    </row>
    <row r="3635" spans="26:26" x14ac:dyDescent="0.25">
      <c r="Z3635">
        <v>399954.02700933337</v>
      </c>
    </row>
    <row r="3636" spans="26:26" x14ac:dyDescent="0.25">
      <c r="Z3636">
        <v>399954.14165519539</v>
      </c>
    </row>
    <row r="3637" spans="26:26" x14ac:dyDescent="0.25">
      <c r="Z3637">
        <v>399954.25601515744</v>
      </c>
    </row>
    <row r="3638" spans="26:26" x14ac:dyDescent="0.25">
      <c r="Z3638">
        <v>399954.37008993264</v>
      </c>
    </row>
    <row r="3639" spans="26:26" x14ac:dyDescent="0.25">
      <c r="Z3639">
        <v>399954.48388023203</v>
      </c>
    </row>
    <row r="3640" spans="26:26" x14ac:dyDescent="0.25">
      <c r="Z3640">
        <v>399954.59738676512</v>
      </c>
    </row>
    <row r="3641" spans="26:26" x14ac:dyDescent="0.25">
      <c r="Z3641">
        <v>399954.71061023953</v>
      </c>
    </row>
    <row r="3642" spans="26:26" x14ac:dyDescent="0.25">
      <c r="Z3642">
        <v>399954.8235513611</v>
      </c>
    </row>
    <row r="3643" spans="26:26" x14ac:dyDescent="0.25">
      <c r="Z3643">
        <v>399954.93621083407</v>
      </c>
    </row>
    <row r="3644" spans="26:26" x14ac:dyDescent="0.25">
      <c r="Z3644">
        <v>399955.04858936067</v>
      </c>
    </row>
    <row r="3645" spans="26:26" x14ac:dyDescent="0.25">
      <c r="Z3645">
        <v>399955.16068764153</v>
      </c>
    </row>
    <row r="3646" spans="26:26" x14ac:dyDescent="0.25">
      <c r="Z3646">
        <v>399955.27250637562</v>
      </c>
    </row>
    <row r="3647" spans="26:26" x14ac:dyDescent="0.25">
      <c r="Z3647">
        <v>399955.38404625992</v>
      </c>
    </row>
    <row r="3648" spans="26:26" x14ac:dyDescent="0.25">
      <c r="Z3648">
        <v>399955.49530799</v>
      </c>
    </row>
    <row r="3649" spans="26:26" x14ac:dyDescent="0.25">
      <c r="Z3649">
        <v>399955.60629225936</v>
      </c>
    </row>
    <row r="3650" spans="26:26" x14ac:dyDescent="0.25">
      <c r="Z3650">
        <v>399955.71699975996</v>
      </c>
    </row>
    <row r="3651" spans="26:26" x14ac:dyDescent="0.25">
      <c r="Z3651">
        <v>399955.82743118197</v>
      </c>
    </row>
    <row r="3652" spans="26:26" x14ac:dyDescent="0.25">
      <c r="Z3652">
        <v>399955.93758721394</v>
      </c>
    </row>
    <row r="3653" spans="26:26" x14ac:dyDescent="0.25">
      <c r="Z3653">
        <v>399956.04746854259</v>
      </c>
    </row>
    <row r="3654" spans="26:26" x14ac:dyDescent="0.25">
      <c r="Z3654">
        <v>399956.15707585297</v>
      </c>
    </row>
    <row r="3655" spans="26:26" x14ac:dyDescent="0.25">
      <c r="Z3655">
        <v>399956.26640982839</v>
      </c>
    </row>
    <row r="3656" spans="26:26" x14ac:dyDescent="0.25">
      <c r="Z3656">
        <v>399956.3754711505</v>
      </c>
    </row>
    <row r="3657" spans="26:26" x14ac:dyDescent="0.25">
      <c r="Z3657">
        <v>399956.4842604993</v>
      </c>
    </row>
    <row r="3658" spans="26:26" x14ac:dyDescent="0.25">
      <c r="Z3658">
        <v>399956.59277855291</v>
      </c>
    </row>
    <row r="3659" spans="26:26" x14ac:dyDescent="0.25">
      <c r="Z3659">
        <v>399956.70102598792</v>
      </c>
    </row>
    <row r="3660" spans="26:26" x14ac:dyDescent="0.25">
      <c r="Z3660">
        <v>399956.8090034792</v>
      </c>
    </row>
    <row r="3661" spans="26:26" x14ac:dyDescent="0.25">
      <c r="Z3661">
        <v>399956.91671169992</v>
      </c>
    </row>
    <row r="3662" spans="26:26" x14ac:dyDescent="0.25">
      <c r="Z3662">
        <v>399957.02415132162</v>
      </c>
    </row>
    <row r="3663" spans="26:26" x14ac:dyDescent="0.25">
      <c r="Z3663">
        <v>399957.13132301409</v>
      </c>
    </row>
    <row r="3664" spans="26:26" x14ac:dyDescent="0.25">
      <c r="Z3664">
        <v>399957.23822744546</v>
      </c>
    </row>
    <row r="3665" spans="26:26" x14ac:dyDescent="0.25">
      <c r="Z3665">
        <v>399957.3448652823</v>
      </c>
    </row>
    <row r="3666" spans="26:26" x14ac:dyDescent="0.25">
      <c r="Z3666">
        <v>399957.45123718935</v>
      </c>
    </row>
    <row r="3667" spans="26:26" x14ac:dyDescent="0.25">
      <c r="Z3667">
        <v>399957.55734382971</v>
      </c>
    </row>
    <row r="3668" spans="26:26" x14ac:dyDescent="0.25">
      <c r="Z3668">
        <v>399957.66318586509</v>
      </c>
    </row>
    <row r="3669" spans="26:26" x14ac:dyDescent="0.25">
      <c r="Z3669">
        <v>399957.76876395522</v>
      </c>
    </row>
    <row r="3670" spans="26:26" x14ac:dyDescent="0.25">
      <c r="Z3670">
        <v>399957.87407875829</v>
      </c>
    </row>
    <row r="3671" spans="26:26" x14ac:dyDescent="0.25">
      <c r="Z3671">
        <v>399957.97913093097</v>
      </c>
    </row>
    <row r="3672" spans="26:26" x14ac:dyDescent="0.25">
      <c r="Z3672">
        <v>399958.08392112819</v>
      </c>
    </row>
    <row r="3673" spans="26:26" x14ac:dyDescent="0.25">
      <c r="Z3673">
        <v>399958.1884500031</v>
      </c>
    </row>
    <row r="3674" spans="26:26" x14ac:dyDescent="0.25">
      <c r="Z3674">
        <v>399958.29271820764</v>
      </c>
    </row>
    <row r="3675" spans="26:26" x14ac:dyDescent="0.25">
      <c r="Z3675">
        <v>399958.39672639163</v>
      </c>
    </row>
    <row r="3676" spans="26:26" x14ac:dyDescent="0.25">
      <c r="Z3676">
        <v>399958.50047520362</v>
      </c>
    </row>
    <row r="3677" spans="26:26" x14ac:dyDescent="0.25">
      <c r="Z3677">
        <v>399958.60396529036</v>
      </c>
    </row>
    <row r="3678" spans="26:26" x14ac:dyDescent="0.25">
      <c r="Z3678">
        <v>399958.70719729713</v>
      </c>
    </row>
    <row r="3679" spans="26:26" x14ac:dyDescent="0.25">
      <c r="Z3679">
        <v>399958.81017186749</v>
      </c>
    </row>
    <row r="3680" spans="26:26" x14ac:dyDescent="0.25">
      <c r="Z3680">
        <v>399958.9128896434</v>
      </c>
    </row>
    <row r="3681" spans="26:26" x14ac:dyDescent="0.25">
      <c r="Z3681">
        <v>399959.0153512652</v>
      </c>
    </row>
    <row r="3682" spans="26:26" x14ac:dyDescent="0.25">
      <c r="Z3682">
        <v>399959.11755737179</v>
      </c>
    </row>
    <row r="3683" spans="26:26" x14ac:dyDescent="0.25">
      <c r="Z3683">
        <v>399959.2195086003</v>
      </c>
    </row>
    <row r="3684" spans="26:26" x14ac:dyDescent="0.25">
      <c r="Z3684">
        <v>399959.32120558637</v>
      </c>
    </row>
    <row r="3685" spans="26:26" x14ac:dyDescent="0.25">
      <c r="Z3685">
        <v>399959.42264896387</v>
      </c>
    </row>
    <row r="3686" spans="26:26" x14ac:dyDescent="0.25">
      <c r="Z3686">
        <v>399959.52383936552</v>
      </c>
    </row>
    <row r="3687" spans="26:26" x14ac:dyDescent="0.25">
      <c r="Z3687">
        <v>399959.62477742194</v>
      </c>
    </row>
    <row r="3688" spans="26:26" x14ac:dyDescent="0.25">
      <c r="Z3688">
        <v>399959.72546376253</v>
      </c>
    </row>
    <row r="3689" spans="26:26" x14ac:dyDescent="0.25">
      <c r="Z3689">
        <v>399959.82589901501</v>
      </c>
    </row>
    <row r="3690" spans="26:26" x14ac:dyDescent="0.25">
      <c r="Z3690">
        <v>399959.92608380551</v>
      </c>
    </row>
    <row r="3691" spans="26:26" x14ac:dyDescent="0.25">
      <c r="Z3691">
        <v>399960.0260187586</v>
      </c>
    </row>
    <row r="3692" spans="26:26" x14ac:dyDescent="0.25">
      <c r="Z3692">
        <v>399960.12570449733</v>
      </c>
    </row>
    <row r="3693" spans="26:26" x14ac:dyDescent="0.25">
      <c r="Z3693">
        <v>399960.22514164326</v>
      </c>
    </row>
    <row r="3694" spans="26:26" x14ac:dyDescent="0.25">
      <c r="Z3694">
        <v>399960.32433081622</v>
      </c>
    </row>
    <row r="3695" spans="26:26" x14ac:dyDescent="0.25">
      <c r="Z3695">
        <v>399960.42327263462</v>
      </c>
    </row>
    <row r="3696" spans="26:26" x14ac:dyDescent="0.25">
      <c r="Z3696">
        <v>399960.52196771535</v>
      </c>
    </row>
    <row r="3697" spans="26:26" x14ac:dyDescent="0.25">
      <c r="Z3697">
        <v>399960.62041667366</v>
      </c>
    </row>
    <row r="3698" spans="26:26" x14ac:dyDescent="0.25">
      <c r="Z3698">
        <v>399960.71862012328</v>
      </c>
    </row>
    <row r="3699" spans="26:26" x14ac:dyDescent="0.25">
      <c r="Z3699">
        <v>399960.81657867663</v>
      </c>
    </row>
    <row r="3700" spans="26:26" x14ac:dyDescent="0.25">
      <c r="Z3700">
        <v>399960.9142929443</v>
      </c>
    </row>
    <row r="3701" spans="26:26" x14ac:dyDescent="0.25">
      <c r="Z3701">
        <v>399961.01176353544</v>
      </c>
    </row>
    <row r="3702" spans="26:26" x14ac:dyDescent="0.25">
      <c r="Z3702">
        <v>399961.10899105779</v>
      </c>
    </row>
    <row r="3703" spans="26:26" x14ac:dyDescent="0.25">
      <c r="Z3703">
        <v>399961.20597611752</v>
      </c>
    </row>
    <row r="3704" spans="26:26" x14ac:dyDescent="0.25">
      <c r="Z3704">
        <v>399961.30271931918</v>
      </c>
    </row>
    <row r="3705" spans="26:26" x14ac:dyDescent="0.25">
      <c r="Z3705">
        <v>399961.39922126604</v>
      </c>
    </row>
    <row r="3706" spans="26:26" x14ac:dyDescent="0.25">
      <c r="Z3706">
        <v>399961.49548255967</v>
      </c>
    </row>
    <row r="3707" spans="26:26" x14ac:dyDescent="0.25">
      <c r="Z3707">
        <v>399961.59150380018</v>
      </c>
    </row>
    <row r="3708" spans="26:26" x14ac:dyDescent="0.25">
      <c r="Z3708">
        <v>399961.6872855862</v>
      </c>
    </row>
    <row r="3709" spans="26:26" x14ac:dyDescent="0.25">
      <c r="Z3709">
        <v>399961.78282851493</v>
      </c>
    </row>
    <row r="3710" spans="26:26" x14ac:dyDescent="0.25">
      <c r="Z3710">
        <v>399961.87813318195</v>
      </c>
    </row>
    <row r="3711" spans="26:26" x14ac:dyDescent="0.25">
      <c r="Z3711">
        <v>399961.97320018144</v>
      </c>
    </row>
    <row r="3712" spans="26:26" x14ac:dyDescent="0.25">
      <c r="Z3712">
        <v>399962.06803010619</v>
      </c>
    </row>
    <row r="3713" spans="26:26" x14ac:dyDescent="0.25">
      <c r="Z3713">
        <v>399962.16262354737</v>
      </c>
    </row>
    <row r="3714" spans="26:26" x14ac:dyDescent="0.25">
      <c r="Z3714">
        <v>399962.2569810946</v>
      </c>
    </row>
    <row r="3715" spans="26:26" x14ac:dyDescent="0.25">
      <c r="Z3715">
        <v>399962.35110333626</v>
      </c>
    </row>
    <row r="3716" spans="26:26" x14ac:dyDescent="0.25">
      <c r="Z3716">
        <v>399962.44499085908</v>
      </c>
    </row>
    <row r="3717" spans="26:26" x14ac:dyDescent="0.25">
      <c r="Z3717">
        <v>399962.5386442485</v>
      </c>
    </row>
    <row r="3718" spans="26:26" x14ac:dyDescent="0.25">
      <c r="Z3718">
        <v>399962.63206408831</v>
      </c>
    </row>
    <row r="3719" spans="26:26" x14ac:dyDescent="0.25">
      <c r="Z3719">
        <v>399962.72525096091</v>
      </c>
    </row>
    <row r="3720" spans="26:26" x14ac:dyDescent="0.25">
      <c r="Z3720">
        <v>399962.81820544729</v>
      </c>
    </row>
    <row r="3721" spans="26:26" x14ac:dyDescent="0.25">
      <c r="Z3721">
        <v>399962.91092812695</v>
      </c>
    </row>
    <row r="3722" spans="26:26" x14ac:dyDescent="0.25">
      <c r="Z3722">
        <v>399963.00341957802</v>
      </c>
    </row>
    <row r="3723" spans="26:26" x14ac:dyDescent="0.25">
      <c r="Z3723">
        <v>399963.09568037704</v>
      </c>
    </row>
    <row r="3724" spans="26:26" x14ac:dyDescent="0.25">
      <c r="Z3724">
        <v>399963.18771109934</v>
      </c>
    </row>
    <row r="3725" spans="26:26" x14ac:dyDescent="0.25">
      <c r="Z3725">
        <v>399963.27951231849</v>
      </c>
    </row>
    <row r="3726" spans="26:26" x14ac:dyDescent="0.25">
      <c r="Z3726">
        <v>399963.37108460703</v>
      </c>
    </row>
    <row r="3727" spans="26:26" x14ac:dyDescent="0.25">
      <c r="Z3727">
        <v>399963.46242853563</v>
      </c>
    </row>
    <row r="3728" spans="26:26" x14ac:dyDescent="0.25">
      <c r="Z3728">
        <v>399963.55354467401</v>
      </c>
    </row>
    <row r="3729" spans="26:26" x14ac:dyDescent="0.25">
      <c r="Z3729">
        <v>399963.64443358994</v>
      </c>
    </row>
    <row r="3730" spans="26:26" x14ac:dyDescent="0.25">
      <c r="Z3730">
        <v>399963.73509585037</v>
      </c>
    </row>
    <row r="3731" spans="26:26" x14ac:dyDescent="0.25">
      <c r="Z3731">
        <v>399963.8255320203</v>
      </c>
    </row>
    <row r="3732" spans="26:26" x14ac:dyDescent="0.25">
      <c r="Z3732">
        <v>399963.91574266367</v>
      </c>
    </row>
    <row r="3733" spans="26:26" x14ac:dyDescent="0.25">
      <c r="Z3733">
        <v>399964.0057283428</v>
      </c>
    </row>
    <row r="3734" spans="26:26" x14ac:dyDescent="0.25">
      <c r="Z3734">
        <v>399964.09548961878</v>
      </c>
    </row>
    <row r="3735" spans="26:26" x14ac:dyDescent="0.25">
      <c r="Z3735">
        <v>399964.18502705113</v>
      </c>
    </row>
    <row r="3736" spans="26:26" x14ac:dyDescent="0.25">
      <c r="Z3736">
        <v>399964.27434119815</v>
      </c>
    </row>
    <row r="3737" spans="26:26" x14ac:dyDescent="0.25">
      <c r="Z3737">
        <v>399964.36343261664</v>
      </c>
    </row>
    <row r="3738" spans="26:26" x14ac:dyDescent="0.25">
      <c r="Z3738">
        <v>399964.45230186195</v>
      </c>
    </row>
    <row r="3739" spans="26:26" x14ac:dyDescent="0.25">
      <c r="Z3739">
        <v>399964.54094948823</v>
      </c>
    </row>
    <row r="3740" spans="26:26" x14ac:dyDescent="0.25">
      <c r="Z3740">
        <v>399964.62937604811</v>
      </c>
    </row>
    <row r="3741" spans="26:26" x14ac:dyDescent="0.25">
      <c r="Z3741">
        <v>399964.71758209291</v>
      </c>
    </row>
    <row r="3742" spans="26:26" x14ac:dyDescent="0.25">
      <c r="Z3742">
        <v>399964.80556817242</v>
      </c>
    </row>
    <row r="3743" spans="26:26" x14ac:dyDescent="0.25">
      <c r="Z3743">
        <v>399964.8933348353</v>
      </c>
    </row>
    <row r="3744" spans="26:26" x14ac:dyDescent="0.25">
      <c r="Z3744">
        <v>399964.98088262876</v>
      </c>
    </row>
    <row r="3745" spans="26:26" x14ac:dyDescent="0.25">
      <c r="Z3745">
        <v>399965.06821209856</v>
      </c>
    </row>
    <row r="3746" spans="26:26" x14ac:dyDescent="0.25">
      <c r="Z3746">
        <v>399965.15532378905</v>
      </c>
    </row>
    <row r="3747" spans="26:26" x14ac:dyDescent="0.25">
      <c r="Z3747">
        <v>399965.24221824348</v>
      </c>
    </row>
    <row r="3748" spans="26:26" x14ac:dyDescent="0.25">
      <c r="Z3748">
        <v>399965.32889600343</v>
      </c>
    </row>
    <row r="3749" spans="26:26" x14ac:dyDescent="0.25">
      <c r="Z3749">
        <v>399965.4153576094</v>
      </c>
    </row>
    <row r="3750" spans="26:26" x14ac:dyDescent="0.25">
      <c r="Z3750">
        <v>399965.50160360045</v>
      </c>
    </row>
    <row r="3751" spans="26:26" x14ac:dyDescent="0.25">
      <c r="Z3751">
        <v>399965.58763451414</v>
      </c>
    </row>
    <row r="3752" spans="26:26" x14ac:dyDescent="0.25">
      <c r="Z3752">
        <v>399965.67345088691</v>
      </c>
    </row>
    <row r="3753" spans="26:26" x14ac:dyDescent="0.25">
      <c r="Z3753">
        <v>399965.7590532538</v>
      </c>
    </row>
    <row r="3754" spans="26:26" x14ac:dyDescent="0.25">
      <c r="Z3754">
        <v>399965.8444421484</v>
      </c>
    </row>
    <row r="3755" spans="26:26" x14ac:dyDescent="0.25">
      <c r="Z3755">
        <v>399965.92961810314</v>
      </c>
    </row>
    <row r="3756" spans="26:26" x14ac:dyDescent="0.25">
      <c r="Z3756">
        <v>399966.01458164904</v>
      </c>
    </row>
    <row r="3757" spans="26:26" x14ac:dyDescent="0.25">
      <c r="Z3757">
        <v>399966.09933331574</v>
      </c>
    </row>
    <row r="3758" spans="26:26" x14ac:dyDescent="0.25">
      <c r="Z3758">
        <v>399966.18387363164</v>
      </c>
    </row>
    <row r="3759" spans="26:26" x14ac:dyDescent="0.25">
      <c r="Z3759">
        <v>399966.26820312382</v>
      </c>
    </row>
    <row r="3760" spans="26:26" x14ac:dyDescent="0.25">
      <c r="Z3760">
        <v>399966.35232231807</v>
      </c>
    </row>
    <row r="3761" spans="26:26" x14ac:dyDescent="0.25">
      <c r="Z3761">
        <v>399966.43623173871</v>
      </c>
    </row>
    <row r="3762" spans="26:26" x14ac:dyDescent="0.25">
      <c r="Z3762">
        <v>399966.51993190893</v>
      </c>
    </row>
    <row r="3763" spans="26:26" x14ac:dyDescent="0.25">
      <c r="Z3763">
        <v>399966.60342335055</v>
      </c>
    </row>
    <row r="3764" spans="26:26" x14ac:dyDescent="0.25">
      <c r="Z3764">
        <v>399966.68670658406</v>
      </c>
    </row>
    <row r="3765" spans="26:26" x14ac:dyDescent="0.25">
      <c r="Z3765">
        <v>399966.7697821288</v>
      </c>
    </row>
    <row r="3766" spans="26:26" x14ac:dyDescent="0.25">
      <c r="Z3766">
        <v>399966.85265050252</v>
      </c>
    </row>
    <row r="3767" spans="26:26" x14ac:dyDescent="0.25">
      <c r="Z3767">
        <v>399966.93531222199</v>
      </c>
    </row>
    <row r="3768" spans="26:26" x14ac:dyDescent="0.25">
      <c r="Z3768">
        <v>399967.01776780246</v>
      </c>
    </row>
    <row r="3769" spans="26:26" x14ac:dyDescent="0.25">
      <c r="Z3769">
        <v>399967.10001775809</v>
      </c>
    </row>
    <row r="3770" spans="26:26" x14ac:dyDescent="0.25">
      <c r="Z3770">
        <v>399967.18206260155</v>
      </c>
    </row>
    <row r="3771" spans="26:26" x14ac:dyDescent="0.25">
      <c r="Z3771">
        <v>399967.26390284445</v>
      </c>
    </row>
    <row r="3772" spans="26:26" x14ac:dyDescent="0.25">
      <c r="Z3772">
        <v>399967.34553899697</v>
      </c>
    </row>
    <row r="3773" spans="26:26" x14ac:dyDescent="0.25">
      <c r="Z3773">
        <v>399967.42697156803</v>
      </c>
    </row>
    <row r="3774" spans="26:26" x14ac:dyDescent="0.25">
      <c r="Z3774">
        <v>399967.50820106536</v>
      </c>
    </row>
    <row r="3775" spans="26:26" x14ac:dyDescent="0.25">
      <c r="Z3775">
        <v>399967.58922799537</v>
      </c>
    </row>
    <row r="3776" spans="26:26" x14ac:dyDescent="0.25">
      <c r="Z3776">
        <v>399967.67005286325</v>
      </c>
    </row>
    <row r="3777" spans="26:26" x14ac:dyDescent="0.25">
      <c r="Z3777">
        <v>399967.75067617279</v>
      </c>
    </row>
    <row r="3778" spans="26:26" x14ac:dyDescent="0.25">
      <c r="Z3778">
        <v>399967.83109842677</v>
      </c>
    </row>
    <row r="3779" spans="26:26" x14ac:dyDescent="0.25">
      <c r="Z3779">
        <v>399967.91132012644</v>
      </c>
    </row>
    <row r="3780" spans="26:26" x14ac:dyDescent="0.25">
      <c r="Z3780">
        <v>399967.99134177197</v>
      </c>
    </row>
    <row r="3781" spans="26:26" x14ac:dyDescent="0.25">
      <c r="Z3781">
        <v>399968.0711638623</v>
      </c>
    </row>
    <row r="3782" spans="26:26" x14ac:dyDescent="0.25">
      <c r="Z3782">
        <v>399968.15078689507</v>
      </c>
    </row>
    <row r="3783" spans="26:26" x14ac:dyDescent="0.25">
      <c r="Z3783">
        <v>399968.23021136667</v>
      </c>
    </row>
    <row r="3784" spans="26:26" x14ac:dyDescent="0.25">
      <c r="Z3784">
        <v>399968.30943777226</v>
      </c>
    </row>
    <row r="3785" spans="26:26" x14ac:dyDescent="0.25">
      <c r="Z3785">
        <v>399968.38846660574</v>
      </c>
    </row>
    <row r="3786" spans="26:26" x14ac:dyDescent="0.25">
      <c r="Z3786">
        <v>399968.46729835984</v>
      </c>
    </row>
    <row r="3787" spans="26:26" x14ac:dyDescent="0.25">
      <c r="Z3787">
        <v>399968.54593352601</v>
      </c>
    </row>
    <row r="3788" spans="26:26" x14ac:dyDescent="0.25">
      <c r="Z3788">
        <v>399968.62437259452</v>
      </c>
    </row>
    <row r="3789" spans="26:26" x14ac:dyDescent="0.25">
      <c r="Z3789">
        <v>399968.70261605433</v>
      </c>
    </row>
    <row r="3790" spans="26:26" x14ac:dyDescent="0.25">
      <c r="Z3790">
        <v>399968.78066439339</v>
      </c>
    </row>
    <row r="3791" spans="26:26" x14ac:dyDescent="0.25">
      <c r="Z3791">
        <v>399968.85851809813</v>
      </c>
    </row>
    <row r="3792" spans="26:26" x14ac:dyDescent="0.25">
      <c r="Z3792">
        <v>399968.93617765402</v>
      </c>
    </row>
    <row r="3793" spans="26:26" x14ac:dyDescent="0.25">
      <c r="Z3793">
        <v>399969.01364354516</v>
      </c>
    </row>
    <row r="3794" spans="26:26" x14ac:dyDescent="0.25">
      <c r="Z3794">
        <v>399969.0909162545</v>
      </c>
    </row>
    <row r="3795" spans="26:26" x14ac:dyDescent="0.25">
      <c r="Z3795">
        <v>399969.16799626383</v>
      </c>
    </row>
    <row r="3796" spans="26:26" x14ac:dyDescent="0.25">
      <c r="Z3796">
        <v>399969.24488405371</v>
      </c>
    </row>
    <row r="3797" spans="26:26" x14ac:dyDescent="0.25">
      <c r="Z3797">
        <v>399969.32158010342</v>
      </c>
    </row>
    <row r="3798" spans="26:26" x14ac:dyDescent="0.25">
      <c r="Z3798">
        <v>399969.3980848912</v>
      </c>
    </row>
    <row r="3799" spans="26:26" x14ac:dyDescent="0.25">
      <c r="Z3799">
        <v>399969.474398894</v>
      </c>
    </row>
    <row r="3800" spans="26:26" x14ac:dyDescent="0.25">
      <c r="Z3800">
        <v>399969.55052258755</v>
      </c>
    </row>
    <row r="3801" spans="26:26" x14ac:dyDescent="0.25">
      <c r="Z3801">
        <v>399969.62645644642</v>
      </c>
    </row>
    <row r="3802" spans="26:26" x14ac:dyDescent="0.25">
      <c r="Z3802">
        <v>399969.70220094407</v>
      </c>
    </row>
    <row r="3803" spans="26:26" x14ac:dyDescent="0.25">
      <c r="Z3803">
        <v>399969.77775655268</v>
      </c>
    </row>
    <row r="3804" spans="26:26" x14ac:dyDescent="0.25">
      <c r="Z3804">
        <v>399969.85312374332</v>
      </c>
    </row>
    <row r="3805" spans="26:26" x14ac:dyDescent="0.25">
      <c r="Z3805">
        <v>399969.92830298585</v>
      </c>
    </row>
    <row r="3806" spans="26:26" x14ac:dyDescent="0.25">
      <c r="Z3806">
        <v>399970.00329474901</v>
      </c>
    </row>
    <row r="3807" spans="26:26" x14ac:dyDescent="0.25">
      <c r="Z3807">
        <v>399970.07809950021</v>
      </c>
    </row>
    <row r="3808" spans="26:26" x14ac:dyDescent="0.25">
      <c r="Z3808">
        <v>399970.15271770593</v>
      </c>
    </row>
    <row r="3809" spans="26:26" x14ac:dyDescent="0.25">
      <c r="Z3809">
        <v>399970.22714983142</v>
      </c>
    </row>
    <row r="3810" spans="26:26" x14ac:dyDescent="0.25">
      <c r="Z3810">
        <v>399970.30139634054</v>
      </c>
    </row>
    <row r="3811" spans="26:26" x14ac:dyDescent="0.25">
      <c r="Z3811">
        <v>399970.37545769633</v>
      </c>
    </row>
    <row r="3812" spans="26:26" x14ac:dyDescent="0.25">
      <c r="Z3812">
        <v>399970.44933436043</v>
      </c>
    </row>
    <row r="3813" spans="26:26" x14ac:dyDescent="0.25">
      <c r="Z3813">
        <v>399970.52302679338</v>
      </c>
    </row>
    <row r="3814" spans="26:26" x14ac:dyDescent="0.25">
      <c r="Z3814">
        <v>399970.5965354548</v>
      </c>
    </row>
    <row r="3815" spans="26:26" x14ac:dyDescent="0.25">
      <c r="Z3815">
        <v>399970.66986080277</v>
      </c>
    </row>
    <row r="3816" spans="26:26" x14ac:dyDescent="0.25">
      <c r="Z3816">
        <v>399970.74300329451</v>
      </c>
    </row>
    <row r="3817" spans="26:26" x14ac:dyDescent="0.25">
      <c r="Z3817">
        <v>399970.81596338609</v>
      </c>
    </row>
    <row r="3818" spans="26:26" x14ac:dyDescent="0.25">
      <c r="Z3818">
        <v>399970.88874153228</v>
      </c>
    </row>
    <row r="3819" spans="26:26" x14ac:dyDescent="0.25">
      <c r="Z3819">
        <v>399970.96133818675</v>
      </c>
    </row>
    <row r="3820" spans="26:26" x14ac:dyDescent="0.25">
      <c r="Z3820">
        <v>399971.0337538023</v>
      </c>
    </row>
    <row r="3821" spans="26:26" x14ac:dyDescent="0.25">
      <c r="Z3821">
        <v>399971.10598883015</v>
      </c>
    </row>
    <row r="3822" spans="26:26" x14ac:dyDescent="0.25">
      <c r="Z3822">
        <v>399971.17804372089</v>
      </c>
    </row>
    <row r="3823" spans="26:26" x14ac:dyDescent="0.25">
      <c r="Z3823">
        <v>399971.2499189236</v>
      </c>
    </row>
    <row r="3824" spans="26:26" x14ac:dyDescent="0.25">
      <c r="Z3824">
        <v>399971.32161488634</v>
      </c>
    </row>
    <row r="3825" spans="26:26" x14ac:dyDescent="0.25">
      <c r="Z3825">
        <v>399971.39313205623</v>
      </c>
    </row>
    <row r="3826" spans="26:26" x14ac:dyDescent="0.25">
      <c r="Z3826">
        <v>399971.464470879</v>
      </c>
    </row>
    <row r="3827" spans="26:26" x14ac:dyDescent="0.25">
      <c r="Z3827">
        <v>399971.53563179955</v>
      </c>
    </row>
    <row r="3828" spans="26:26" x14ac:dyDescent="0.25">
      <c r="Z3828">
        <v>399971.60661526141</v>
      </c>
    </row>
    <row r="3829" spans="26:26" x14ac:dyDescent="0.25">
      <c r="Z3829">
        <v>399971.67742170714</v>
      </c>
    </row>
    <row r="3830" spans="26:26" x14ac:dyDescent="0.25">
      <c r="Z3830">
        <v>399971.74805157818</v>
      </c>
    </row>
    <row r="3831" spans="26:26" x14ac:dyDescent="0.25">
      <c r="Z3831">
        <v>399971.81850531488</v>
      </c>
    </row>
    <row r="3832" spans="26:26" x14ac:dyDescent="0.25">
      <c r="Z3832">
        <v>399971.88878335652</v>
      </c>
    </row>
    <row r="3833" spans="26:26" x14ac:dyDescent="0.25">
      <c r="Z3833">
        <v>399971.95888614113</v>
      </c>
    </row>
    <row r="3834" spans="26:26" x14ac:dyDescent="0.25">
      <c r="Z3834">
        <v>399972.02881410584</v>
      </c>
    </row>
    <row r="3835" spans="26:26" x14ac:dyDescent="0.25">
      <c r="Z3835">
        <v>399972.09856768668</v>
      </c>
    </row>
    <row r="3836" spans="26:26" x14ac:dyDescent="0.25">
      <c r="Z3836">
        <v>399972.16814731836</v>
      </c>
    </row>
    <row r="3837" spans="26:26" x14ac:dyDescent="0.25">
      <c r="Z3837">
        <v>399972.2375534348</v>
      </c>
    </row>
    <row r="3838" spans="26:26" x14ac:dyDescent="0.25">
      <c r="Z3838">
        <v>399972.30678646854</v>
      </c>
    </row>
    <row r="3839" spans="26:26" x14ac:dyDescent="0.25">
      <c r="Z3839">
        <v>399972.37584685144</v>
      </c>
    </row>
    <row r="3840" spans="26:26" x14ac:dyDescent="0.25">
      <c r="Z3840">
        <v>399972.44473501388</v>
      </c>
    </row>
    <row r="3841" spans="26:26" x14ac:dyDescent="0.25">
      <c r="Z3841">
        <v>399972.51345138549</v>
      </c>
    </row>
    <row r="3842" spans="26:26" x14ac:dyDescent="0.25">
      <c r="Z3842">
        <v>399972.5819963945</v>
      </c>
    </row>
    <row r="3843" spans="26:26" x14ac:dyDescent="0.25">
      <c r="Z3843">
        <v>399972.65037046833</v>
      </c>
    </row>
    <row r="3844" spans="26:26" x14ac:dyDescent="0.25">
      <c r="Z3844">
        <v>399972.71857403324</v>
      </c>
    </row>
    <row r="3845" spans="26:26" x14ac:dyDescent="0.25">
      <c r="Z3845">
        <v>399972.78660751443</v>
      </c>
    </row>
    <row r="3846" spans="26:26" x14ac:dyDescent="0.25">
      <c r="Z3846">
        <v>399972.85447133612</v>
      </c>
    </row>
    <row r="3847" spans="26:26" x14ac:dyDescent="0.25">
      <c r="Z3847">
        <v>399972.92216592131</v>
      </c>
    </row>
    <row r="3848" spans="26:26" x14ac:dyDescent="0.25">
      <c r="Z3848">
        <v>399972.98969169206</v>
      </c>
    </row>
    <row r="3849" spans="26:26" x14ac:dyDescent="0.25">
      <c r="Z3849">
        <v>399973.05704906938</v>
      </c>
    </row>
    <row r="3850" spans="26:26" x14ac:dyDescent="0.25">
      <c r="Z3850">
        <v>399973.12423847319</v>
      </c>
    </row>
    <row r="3851" spans="26:26" x14ac:dyDescent="0.25">
      <c r="Z3851">
        <v>399973.1912603224</v>
      </c>
    </row>
    <row r="3852" spans="26:26" x14ac:dyDescent="0.25">
      <c r="Z3852">
        <v>399973.25811503484</v>
      </c>
    </row>
    <row r="3853" spans="26:26" x14ac:dyDescent="0.25">
      <c r="Z3853">
        <v>399973.32480302727</v>
      </c>
    </row>
    <row r="3854" spans="26:26" x14ac:dyDescent="0.25">
      <c r="Z3854">
        <v>399973.39132471546</v>
      </c>
    </row>
    <row r="3855" spans="26:26" x14ac:dyDescent="0.25">
      <c r="Z3855">
        <v>399973.4576805142</v>
      </c>
    </row>
    <row r="3856" spans="26:26" x14ac:dyDescent="0.25">
      <c r="Z3856">
        <v>399973.52387083706</v>
      </c>
    </row>
    <row r="3857" spans="26:26" x14ac:dyDescent="0.25">
      <c r="Z3857">
        <v>399973.58989609685</v>
      </c>
    </row>
    <row r="3858" spans="26:26" x14ac:dyDescent="0.25">
      <c r="Z3858">
        <v>399973.65575670503</v>
      </c>
    </row>
    <row r="3859" spans="26:26" x14ac:dyDescent="0.25">
      <c r="Z3859">
        <v>399973.72145307239</v>
      </c>
    </row>
    <row r="3860" spans="26:26" x14ac:dyDescent="0.25">
      <c r="Z3860">
        <v>399973.78698560834</v>
      </c>
    </row>
    <row r="3861" spans="26:26" x14ac:dyDescent="0.25">
      <c r="Z3861">
        <v>399973.85235472157</v>
      </c>
    </row>
    <row r="3862" spans="26:26" x14ac:dyDescent="0.25">
      <c r="Z3862">
        <v>399973.91756081954</v>
      </c>
    </row>
    <row r="3863" spans="26:26" x14ac:dyDescent="0.25">
      <c r="Z3863">
        <v>399973.98260430875</v>
      </c>
    </row>
    <row r="3864" spans="26:26" x14ac:dyDescent="0.25">
      <c r="Z3864">
        <v>399974.04748559475</v>
      </c>
    </row>
    <row r="3865" spans="26:26" x14ac:dyDescent="0.25">
      <c r="Z3865">
        <v>399974.11220508208</v>
      </c>
    </row>
    <row r="3866" spans="26:26" x14ac:dyDescent="0.25">
      <c r="Z3866">
        <v>399974.17676317407</v>
      </c>
    </row>
    <row r="3867" spans="26:26" x14ac:dyDescent="0.25">
      <c r="Z3867">
        <v>399974.24116027344</v>
      </c>
    </row>
    <row r="3868" spans="26:26" x14ac:dyDescent="0.25">
      <c r="Z3868">
        <v>399974.30539678148</v>
      </c>
    </row>
    <row r="3869" spans="26:26" x14ac:dyDescent="0.25">
      <c r="Z3869">
        <v>399974.36947309872</v>
      </c>
    </row>
    <row r="3870" spans="26:26" x14ac:dyDescent="0.25">
      <c r="Z3870">
        <v>399974.43338962464</v>
      </c>
    </row>
    <row r="3871" spans="26:26" x14ac:dyDescent="0.25">
      <c r="Z3871">
        <v>399974.49714675779</v>
      </c>
    </row>
    <row r="3872" spans="26:26" x14ac:dyDescent="0.25">
      <c r="Z3872">
        <v>399974.56074489554</v>
      </c>
    </row>
    <row r="3873" spans="26:26" x14ac:dyDescent="0.25">
      <c r="Z3873">
        <v>399974.62418443448</v>
      </c>
    </row>
    <row r="3874" spans="26:26" x14ac:dyDescent="0.25">
      <c r="Z3874">
        <v>399974.68746577005</v>
      </c>
    </row>
    <row r="3875" spans="26:26" x14ac:dyDescent="0.25">
      <c r="Z3875">
        <v>399974.7505892968</v>
      </c>
    </row>
    <row r="3876" spans="26:26" x14ac:dyDescent="0.25">
      <c r="Z3876">
        <v>399974.81355540833</v>
      </c>
    </row>
    <row r="3877" spans="26:26" x14ac:dyDescent="0.25">
      <c r="Z3877">
        <v>399974.876364497</v>
      </c>
    </row>
    <row r="3878" spans="26:26" x14ac:dyDescent="0.25">
      <c r="Z3878">
        <v>399974.93901695462</v>
      </c>
    </row>
    <row r="3879" spans="26:26" x14ac:dyDescent="0.25">
      <c r="Z3879">
        <v>399975.00151317171</v>
      </c>
    </row>
    <row r="3880" spans="26:26" x14ac:dyDescent="0.25">
      <c r="Z3880">
        <v>399975.06385353784</v>
      </c>
    </row>
    <row r="3881" spans="26:26" x14ac:dyDescent="0.25">
      <c r="Z3881">
        <v>399975.12603844178</v>
      </c>
    </row>
    <row r="3882" spans="26:26" x14ac:dyDescent="0.25">
      <c r="Z3882">
        <v>399975.18806827109</v>
      </c>
    </row>
    <row r="3883" spans="26:26" x14ac:dyDescent="0.25">
      <c r="Z3883">
        <v>399975.24994341255</v>
      </c>
    </row>
    <row r="3884" spans="26:26" x14ac:dyDescent="0.25">
      <c r="Z3884">
        <v>399975.3116642519</v>
      </c>
    </row>
    <row r="3885" spans="26:26" x14ac:dyDescent="0.25">
      <c r="Z3885">
        <v>399975.37323117396</v>
      </c>
    </row>
    <row r="3886" spans="26:26" x14ac:dyDescent="0.25">
      <c r="Z3886">
        <v>399975.43464456254</v>
      </c>
    </row>
    <row r="3887" spans="26:26" x14ac:dyDescent="0.25">
      <c r="Z3887">
        <v>399975.49590480054</v>
      </c>
    </row>
    <row r="3888" spans="26:26" x14ac:dyDescent="0.25">
      <c r="Z3888">
        <v>399975.55701226991</v>
      </c>
    </row>
    <row r="3889" spans="26:26" x14ac:dyDescent="0.25">
      <c r="Z3889">
        <v>399975.61796735151</v>
      </c>
    </row>
    <row r="3890" spans="26:26" x14ac:dyDescent="0.25">
      <c r="Z3890">
        <v>399975.67877042544</v>
      </c>
    </row>
    <row r="3891" spans="26:26" x14ac:dyDescent="0.25">
      <c r="Z3891">
        <v>399975.73942187079</v>
      </c>
    </row>
    <row r="3892" spans="26:26" x14ac:dyDescent="0.25">
      <c r="Z3892">
        <v>399975.79992206558</v>
      </c>
    </row>
    <row r="3893" spans="26:26" x14ac:dyDescent="0.25">
      <c r="Z3893">
        <v>399975.86027138715</v>
      </c>
    </row>
    <row r="3894" spans="26:26" x14ac:dyDescent="0.25">
      <c r="Z3894">
        <v>399975.9204702116</v>
      </c>
    </row>
    <row r="3895" spans="26:26" x14ac:dyDescent="0.25">
      <c r="Z3895">
        <v>399975.98051891429</v>
      </c>
    </row>
    <row r="3896" spans="26:26" x14ac:dyDescent="0.25">
      <c r="Z3896">
        <v>399976.04041786969</v>
      </c>
    </row>
    <row r="3897" spans="26:26" x14ac:dyDescent="0.25">
      <c r="Z3897">
        <v>399976.10016745102</v>
      </c>
    </row>
    <row r="3898" spans="26:26" x14ac:dyDescent="0.25">
      <c r="Z3898">
        <v>399976.15976803092</v>
      </c>
    </row>
    <row r="3899" spans="26:26" x14ac:dyDescent="0.25">
      <c r="Z3899">
        <v>399976.21921998099</v>
      </c>
    </row>
    <row r="3900" spans="26:26" x14ac:dyDescent="0.25">
      <c r="Z3900">
        <v>399976.27852367179</v>
      </c>
    </row>
    <row r="3901" spans="26:26" x14ac:dyDescent="0.25">
      <c r="Z3901">
        <v>399976.33767947316</v>
      </c>
    </row>
    <row r="3902" spans="26:26" x14ac:dyDescent="0.25">
      <c r="Z3902">
        <v>399976.39668775379</v>
      </c>
    </row>
    <row r="3903" spans="26:26" x14ac:dyDescent="0.25">
      <c r="Z3903">
        <v>399976.45554888155</v>
      </c>
    </row>
    <row r="3904" spans="26:26" x14ac:dyDescent="0.25">
      <c r="Z3904">
        <v>399976.51426322351</v>
      </c>
    </row>
    <row r="3905" spans="26:26" x14ac:dyDescent="0.25">
      <c r="Z3905">
        <v>399976.5728311456</v>
      </c>
    </row>
    <row r="3906" spans="26:26" x14ac:dyDescent="0.25">
      <c r="Z3906">
        <v>399976.63125301315</v>
      </c>
    </row>
    <row r="3907" spans="26:26" x14ac:dyDescent="0.25">
      <c r="Z3907">
        <v>399976.68952919013</v>
      </c>
    </row>
    <row r="3908" spans="26:26" x14ac:dyDescent="0.25">
      <c r="Z3908">
        <v>399976.74766003998</v>
      </c>
    </row>
    <row r="3909" spans="26:26" x14ac:dyDescent="0.25">
      <c r="Z3909">
        <v>399976.80564592523</v>
      </c>
    </row>
    <row r="3910" spans="26:26" x14ac:dyDescent="0.25">
      <c r="Z3910">
        <v>399976.86348720716</v>
      </c>
    </row>
    <row r="3911" spans="26:26" x14ac:dyDescent="0.25">
      <c r="Z3911">
        <v>399976.9211842466</v>
      </c>
    </row>
    <row r="3912" spans="26:26" x14ac:dyDescent="0.25">
      <c r="Z3912">
        <v>399976.978737403</v>
      </c>
    </row>
    <row r="3913" spans="26:26" x14ac:dyDescent="0.25">
      <c r="Z3913">
        <v>399977.03614703543</v>
      </c>
    </row>
    <row r="3914" spans="26:26" x14ac:dyDescent="0.25">
      <c r="Z3914">
        <v>399977.09341350175</v>
      </c>
    </row>
    <row r="3915" spans="26:26" x14ac:dyDescent="0.25">
      <c r="Z3915">
        <v>399977.15053715883</v>
      </c>
    </row>
    <row r="3916" spans="26:26" x14ac:dyDescent="0.25">
      <c r="Z3916">
        <v>399977.20751836291</v>
      </c>
    </row>
    <row r="3917" spans="26:26" x14ac:dyDescent="0.25">
      <c r="Z3917">
        <v>399977.26435746928</v>
      </c>
    </row>
    <row r="3918" spans="26:26" x14ac:dyDescent="0.25">
      <c r="Z3918">
        <v>399977.32105483219</v>
      </c>
    </row>
    <row r="3919" spans="26:26" x14ac:dyDescent="0.25">
      <c r="Z3919">
        <v>399977.37761080515</v>
      </c>
    </row>
    <row r="3920" spans="26:26" x14ac:dyDescent="0.25">
      <c r="Z3920">
        <v>399977.43402574077</v>
      </c>
    </row>
    <row r="3921" spans="26:26" x14ac:dyDescent="0.25">
      <c r="Z3921">
        <v>399977.49029999081</v>
      </c>
    </row>
    <row r="3922" spans="26:26" x14ac:dyDescent="0.25">
      <c r="Z3922">
        <v>399977.54643390607</v>
      </c>
    </row>
    <row r="3923" spans="26:26" x14ac:dyDescent="0.25">
      <c r="Z3923">
        <v>399977.60242783645</v>
      </c>
    </row>
    <row r="3924" spans="26:26" x14ac:dyDescent="0.25">
      <c r="Z3924">
        <v>399977.65828213113</v>
      </c>
    </row>
    <row r="3925" spans="26:26" x14ac:dyDescent="0.25">
      <c r="Z3925">
        <v>399977.71399713826</v>
      </c>
    </row>
    <row r="3926" spans="26:26" x14ac:dyDescent="0.25">
      <c r="Z3926">
        <v>399977.76957320527</v>
      </c>
    </row>
    <row r="3927" spans="26:26" x14ac:dyDescent="0.25">
      <c r="Z3927">
        <v>399977.82501067856</v>
      </c>
    </row>
    <row r="3928" spans="26:26" x14ac:dyDescent="0.25">
      <c r="Z3928">
        <v>399977.88030990382</v>
      </c>
    </row>
    <row r="3929" spans="26:26" x14ac:dyDescent="0.25">
      <c r="Z3929">
        <v>399977.9354712257</v>
      </c>
    </row>
    <row r="3930" spans="26:26" x14ac:dyDescent="0.25">
      <c r="Z3930">
        <v>399977.99049498828</v>
      </c>
    </row>
    <row r="3931" spans="26:26" x14ac:dyDescent="0.25">
      <c r="Z3931">
        <v>399978.04538153444</v>
      </c>
    </row>
    <row r="3932" spans="26:26" x14ac:dyDescent="0.25">
      <c r="Z3932">
        <v>399978.10013120645</v>
      </c>
    </row>
    <row r="3933" spans="26:26" x14ac:dyDescent="0.25">
      <c r="Z3933">
        <v>399978.15474434558</v>
      </c>
    </row>
    <row r="3934" spans="26:26" x14ac:dyDescent="0.25">
      <c r="Z3934">
        <v>399978.20922129235</v>
      </c>
    </row>
    <row r="3935" spans="26:26" x14ac:dyDescent="0.25">
      <c r="Z3935">
        <v>399978.26356238639</v>
      </c>
    </row>
    <row r="3936" spans="26:26" x14ac:dyDescent="0.25">
      <c r="Z3936">
        <v>399978.31776796648</v>
      </c>
    </row>
    <row r="3937" spans="26:26" x14ac:dyDescent="0.25">
      <c r="Z3937">
        <v>399978.37183837051</v>
      </c>
    </row>
    <row r="3938" spans="26:26" x14ac:dyDescent="0.25">
      <c r="Z3938">
        <v>399978.42577393568</v>
      </c>
    </row>
    <row r="3939" spans="26:26" x14ac:dyDescent="0.25">
      <c r="Z3939">
        <v>399978.4795749982</v>
      </c>
    </row>
    <row r="3940" spans="26:26" x14ac:dyDescent="0.25">
      <c r="Z3940">
        <v>399978.53324189346</v>
      </c>
    </row>
    <row r="3941" spans="26:26" x14ac:dyDescent="0.25">
      <c r="Z3941">
        <v>399978.58677495609</v>
      </c>
    </row>
    <row r="3942" spans="26:26" x14ac:dyDescent="0.25">
      <c r="Z3942">
        <v>399978.64017451979</v>
      </c>
    </row>
    <row r="3943" spans="26:26" x14ac:dyDescent="0.25">
      <c r="Z3943">
        <v>399978.69344091747</v>
      </c>
    </row>
    <row r="3944" spans="26:26" x14ac:dyDescent="0.25">
      <c r="Z3944">
        <v>399978.74657448125</v>
      </c>
    </row>
    <row r="3945" spans="26:26" x14ac:dyDescent="0.25">
      <c r="Z3945">
        <v>399978.79957554239</v>
      </c>
    </row>
    <row r="3946" spans="26:26" x14ac:dyDescent="0.25">
      <c r="Z3946">
        <v>399978.85244443134</v>
      </c>
    </row>
    <row r="3947" spans="26:26" x14ac:dyDescent="0.25">
      <c r="Z3947">
        <v>399978.90518147766</v>
      </c>
    </row>
    <row r="3948" spans="26:26" x14ac:dyDescent="0.25">
      <c r="Z3948">
        <v>399978.95778701012</v>
      </c>
    </row>
    <row r="3949" spans="26:26" x14ac:dyDescent="0.25">
      <c r="Z3949">
        <v>399979.01026135671</v>
      </c>
    </row>
    <row r="3950" spans="26:26" x14ac:dyDescent="0.25">
      <c r="Z3950">
        <v>399979.06260484463</v>
      </c>
    </row>
    <row r="3951" spans="26:26" x14ac:dyDescent="0.25">
      <c r="Z3951">
        <v>399979.11481780012</v>
      </c>
    </row>
    <row r="3952" spans="26:26" x14ac:dyDescent="0.25">
      <c r="Z3952">
        <v>399979.16690054873</v>
      </c>
    </row>
    <row r="3953" spans="26:26" x14ac:dyDescent="0.25">
      <c r="Z3953">
        <v>399979.21885341522</v>
      </c>
    </row>
    <row r="3954" spans="26:26" x14ac:dyDescent="0.25">
      <c r="Z3954">
        <v>399979.27067672345</v>
      </c>
    </row>
    <row r="3955" spans="26:26" x14ac:dyDescent="0.25">
      <c r="Z3955">
        <v>399979.32237079641</v>
      </c>
    </row>
    <row r="3956" spans="26:26" x14ac:dyDescent="0.25">
      <c r="Z3956">
        <v>399979.37393595651</v>
      </c>
    </row>
    <row r="3957" spans="26:26" x14ac:dyDescent="0.25">
      <c r="Z3957">
        <v>399979.42537252518</v>
      </c>
    </row>
    <row r="3958" spans="26:26" x14ac:dyDescent="0.25">
      <c r="Z3958">
        <v>399979.47668082314</v>
      </c>
    </row>
    <row r="3959" spans="26:26" x14ac:dyDescent="0.25">
      <c r="Z3959">
        <v>399979.52786117024</v>
      </c>
    </row>
    <row r="3960" spans="26:26" x14ac:dyDescent="0.25">
      <c r="Z3960">
        <v>399979.57891388552</v>
      </c>
    </row>
    <row r="3961" spans="26:26" x14ac:dyDescent="0.25">
      <c r="Z3961">
        <v>399979.62983928726</v>
      </c>
    </row>
    <row r="3962" spans="26:26" x14ac:dyDescent="0.25">
      <c r="Z3962">
        <v>399979.68063769303</v>
      </c>
    </row>
    <row r="3963" spans="26:26" x14ac:dyDescent="0.25">
      <c r="Z3963">
        <v>399979.7313094195</v>
      </c>
    </row>
    <row r="3964" spans="26:26" x14ac:dyDescent="0.25">
      <c r="Z3964">
        <v>399979.78185478254</v>
      </c>
    </row>
    <row r="3965" spans="26:26" x14ac:dyDescent="0.25">
      <c r="Z3965">
        <v>399979.83227409731</v>
      </c>
    </row>
    <row r="3966" spans="26:26" x14ac:dyDescent="0.25">
      <c r="Z3966">
        <v>399979.88256767811</v>
      </c>
    </row>
    <row r="3967" spans="26:26" x14ac:dyDescent="0.25">
      <c r="Z3967">
        <v>399979.93273583852</v>
      </c>
    </row>
    <row r="3968" spans="26:26" x14ac:dyDescent="0.25">
      <c r="Z3968">
        <v>399979.98277889128</v>
      </c>
    </row>
    <row r="3969" spans="26:26" x14ac:dyDescent="0.25">
      <c r="Z3969">
        <v>399980.03269714839</v>
      </c>
    </row>
    <row r="3970" spans="26:26" x14ac:dyDescent="0.25">
      <c r="Z3970">
        <v>399980.08249092114</v>
      </c>
    </row>
    <row r="3971" spans="26:26" x14ac:dyDescent="0.25">
      <c r="Z3971">
        <v>399980.13216051983</v>
      </c>
    </row>
    <row r="3972" spans="26:26" x14ac:dyDescent="0.25">
      <c r="Z3972">
        <v>399980.1817062542</v>
      </c>
    </row>
    <row r="3973" spans="26:26" x14ac:dyDescent="0.25">
      <c r="Z3973">
        <v>399980.23112843308</v>
      </c>
    </row>
    <row r="3974" spans="26:26" x14ac:dyDescent="0.25">
      <c r="Z3974">
        <v>399980.28042736469</v>
      </c>
    </row>
    <row r="3975" spans="26:26" x14ac:dyDescent="0.25">
      <c r="Z3975">
        <v>399980.32960335631</v>
      </c>
    </row>
    <row r="3976" spans="26:26" x14ac:dyDescent="0.25">
      <c r="Z3976">
        <v>399980.37865671451</v>
      </c>
    </row>
    <row r="3977" spans="26:26" x14ac:dyDescent="0.25">
      <c r="Z3977">
        <v>399980.42758774519</v>
      </c>
    </row>
    <row r="3978" spans="26:26" x14ac:dyDescent="0.25">
      <c r="Z3978">
        <v>399980.47639675328</v>
      </c>
    </row>
    <row r="3979" spans="26:26" x14ac:dyDescent="0.25">
      <c r="Z3979">
        <v>399980.52508404315</v>
      </c>
    </row>
    <row r="3980" spans="26:26" x14ac:dyDescent="0.25">
      <c r="Z3980">
        <v>399980.57364991837</v>
      </c>
    </row>
    <row r="3981" spans="26:26" x14ac:dyDescent="0.25">
      <c r="Z3981">
        <v>399980.62209468166</v>
      </c>
    </row>
    <row r="3982" spans="26:26" x14ac:dyDescent="0.25">
      <c r="Z3982">
        <v>399980.67041863507</v>
      </c>
    </row>
    <row r="3983" spans="26:26" x14ac:dyDescent="0.25">
      <c r="Z3983">
        <v>399980.71862207988</v>
      </c>
    </row>
    <row r="3984" spans="26:26" x14ac:dyDescent="0.25">
      <c r="Z3984">
        <v>399980.76670531661</v>
      </c>
    </row>
    <row r="3985" spans="26:26" x14ac:dyDescent="0.25">
      <c r="Z3985">
        <v>399980.81466864498</v>
      </c>
    </row>
    <row r="3986" spans="26:26" x14ac:dyDescent="0.25">
      <c r="Z3986">
        <v>399980.86251236405</v>
      </c>
    </row>
    <row r="3987" spans="26:26" x14ac:dyDescent="0.25">
      <c r="Z3987">
        <v>399980.91023677209</v>
      </c>
    </row>
    <row r="3988" spans="26:26" x14ac:dyDescent="0.25">
      <c r="Z3988">
        <v>399980.95784216671</v>
      </c>
    </row>
    <row r="3989" spans="26:26" x14ac:dyDescent="0.25">
      <c r="Z3989">
        <v>399981.00532884465</v>
      </c>
    </row>
    <row r="3990" spans="26:26" x14ac:dyDescent="0.25">
      <c r="Z3990">
        <v>399981.05269710184</v>
      </c>
    </row>
    <row r="3991" spans="26:26" x14ac:dyDescent="0.25">
      <c r="Z3991">
        <v>399981.09994723374</v>
      </c>
    </row>
    <row r="3992" spans="26:26" x14ac:dyDescent="0.25">
      <c r="Z3992">
        <v>399981.14707953489</v>
      </c>
    </row>
    <row r="3993" spans="26:26" x14ac:dyDescent="0.25">
      <c r="Z3993">
        <v>399981.19409429916</v>
      </c>
    </row>
    <row r="3994" spans="26:26" x14ac:dyDescent="0.25">
      <c r="Z3994">
        <v>399981.24099181965</v>
      </c>
    </row>
    <row r="3995" spans="26:26" x14ac:dyDescent="0.25">
      <c r="Z3995">
        <v>399981.2877723886</v>
      </c>
    </row>
    <row r="3996" spans="26:26" x14ac:dyDescent="0.25">
      <c r="Z3996">
        <v>399981.33443629788</v>
      </c>
    </row>
    <row r="3997" spans="26:26" x14ac:dyDescent="0.25">
      <c r="Z3997">
        <v>399981.38098383829</v>
      </c>
    </row>
    <row r="3998" spans="26:26" x14ac:dyDescent="0.25">
      <c r="Z3998">
        <v>399981.42741530004</v>
      </c>
    </row>
    <row r="3999" spans="26:26" x14ac:dyDescent="0.25">
      <c r="Z3999">
        <v>399981.47373097262</v>
      </c>
    </row>
    <row r="4000" spans="26:26" x14ac:dyDescent="0.25">
      <c r="Z4000">
        <v>399981.51993114472</v>
      </c>
    </row>
    <row r="4001" spans="26:26" x14ac:dyDescent="0.25">
      <c r="Z4001">
        <v>399981.56601610454</v>
      </c>
    </row>
    <row r="4002" spans="26:26" x14ac:dyDescent="0.25">
      <c r="Z4002">
        <v>399981.61198613915</v>
      </c>
    </row>
    <row r="4003" spans="26:26" x14ac:dyDescent="0.25">
      <c r="Z4003">
        <v>399981.65784153534</v>
      </c>
    </row>
    <row r="4004" spans="26:26" x14ac:dyDescent="0.25">
      <c r="Z4004">
        <v>399981.70358257886</v>
      </c>
    </row>
    <row r="4005" spans="26:26" x14ac:dyDescent="0.25">
      <c r="Z4005">
        <v>399981.74920955498</v>
      </c>
    </row>
    <row r="4006" spans="26:26" x14ac:dyDescent="0.25">
      <c r="Z4006">
        <v>399981.79472274811</v>
      </c>
    </row>
    <row r="4007" spans="26:26" x14ac:dyDescent="0.25">
      <c r="Z4007">
        <v>399981.84012244199</v>
      </c>
    </row>
    <row r="4008" spans="26:26" x14ac:dyDescent="0.25">
      <c r="Z4008">
        <v>399981.88540891971</v>
      </c>
    </row>
    <row r="4009" spans="26:26" x14ac:dyDescent="0.25">
      <c r="Z4009">
        <v>399981.93058246351</v>
      </c>
    </row>
    <row r="4010" spans="26:26" x14ac:dyDescent="0.25">
      <c r="Z4010">
        <v>399981.97564335517</v>
      </c>
    </row>
    <row r="4011" spans="26:26" x14ac:dyDescent="0.25">
      <c r="Z4011">
        <v>399982.02059187548</v>
      </c>
    </row>
    <row r="4012" spans="26:26" x14ac:dyDescent="0.25">
      <c r="Z4012">
        <v>399982.06542830472</v>
      </c>
    </row>
    <row r="4013" spans="26:26" x14ac:dyDescent="0.25">
      <c r="Z4013">
        <v>399982.1101529224</v>
      </c>
    </row>
    <row r="4014" spans="26:26" x14ac:dyDescent="0.25">
      <c r="Z4014">
        <v>399982.15476600738</v>
      </c>
    </row>
    <row r="4015" spans="26:26" x14ac:dyDescent="0.25">
      <c r="Z4015">
        <v>399982.1992678378</v>
      </c>
    </row>
    <row r="4016" spans="26:26" x14ac:dyDescent="0.25">
      <c r="Z4016">
        <v>399982.24365869106</v>
      </c>
    </row>
    <row r="4017" spans="26:26" x14ac:dyDescent="0.25">
      <c r="Z4017">
        <v>399982.28793884401</v>
      </c>
    </row>
    <row r="4018" spans="26:26" x14ac:dyDescent="0.25">
      <c r="Z4018">
        <v>399982.33210857253</v>
      </c>
    </row>
    <row r="4019" spans="26:26" x14ac:dyDescent="0.25">
      <c r="Z4019">
        <v>399982.37616815214</v>
      </c>
    </row>
    <row r="4020" spans="26:26" x14ac:dyDescent="0.25">
      <c r="Z4020">
        <v>399982.42011785752</v>
      </c>
    </row>
    <row r="4021" spans="26:26" x14ac:dyDescent="0.25">
      <c r="Z4021">
        <v>399982.46395796258</v>
      </c>
    </row>
    <row r="4022" spans="26:26" x14ac:dyDescent="0.25">
      <c r="Z4022">
        <v>399982.50768874073</v>
      </c>
    </row>
    <row r="4023" spans="26:26" x14ac:dyDescent="0.25">
      <c r="Z4023">
        <v>399982.55131046457</v>
      </c>
    </row>
    <row r="4024" spans="26:26" x14ac:dyDescent="0.25">
      <c r="Z4024">
        <v>399982.59482340602</v>
      </c>
    </row>
    <row r="4025" spans="26:26" x14ac:dyDescent="0.25">
      <c r="Z4025">
        <v>399982.63822783646</v>
      </c>
    </row>
    <row r="4026" spans="26:26" x14ac:dyDescent="0.25">
      <c r="Z4026">
        <v>399982.68152402644</v>
      </c>
    </row>
    <row r="4027" spans="26:26" x14ac:dyDescent="0.25">
      <c r="Z4027">
        <v>399982.72471224575</v>
      </c>
    </row>
    <row r="4028" spans="26:26" x14ac:dyDescent="0.25">
      <c r="Z4028">
        <v>399982.76779276389</v>
      </c>
    </row>
    <row r="4029" spans="26:26" x14ac:dyDescent="0.25">
      <c r="Z4029">
        <v>399982.81076584925</v>
      </c>
    </row>
    <row r="4030" spans="26:26" x14ac:dyDescent="0.25">
      <c r="Z4030">
        <v>399982.85363176989</v>
      </c>
    </row>
    <row r="4031" spans="26:26" x14ac:dyDescent="0.25">
      <c r="Z4031">
        <v>399982.89639079286</v>
      </c>
    </row>
    <row r="4032" spans="26:26" x14ac:dyDescent="0.25">
      <c r="Z4032">
        <v>399982.93904318492</v>
      </c>
    </row>
    <row r="4033" spans="26:26" x14ac:dyDescent="0.25">
      <c r="Z4033">
        <v>399982.98158921185</v>
      </c>
    </row>
    <row r="4034" spans="26:26" x14ac:dyDescent="0.25">
      <c r="Z4034">
        <v>399983.02402913902</v>
      </c>
    </row>
    <row r="4035" spans="26:26" x14ac:dyDescent="0.25">
      <c r="Z4035">
        <v>399983.06636323093</v>
      </c>
    </row>
    <row r="4036" spans="26:26" x14ac:dyDescent="0.25">
      <c r="Z4036">
        <v>399983.10859175154</v>
      </c>
    </row>
    <row r="4037" spans="26:26" x14ac:dyDescent="0.25">
      <c r="Z4037">
        <v>399983.15071496414</v>
      </c>
    </row>
    <row r="4038" spans="26:26" x14ac:dyDescent="0.25">
      <c r="Z4038">
        <v>399983.19273313135</v>
      </c>
    </row>
    <row r="4039" spans="26:26" x14ac:dyDescent="0.25">
      <c r="Z4039">
        <v>399983.23464651505</v>
      </c>
    </row>
    <row r="4040" spans="26:26" x14ac:dyDescent="0.25">
      <c r="Z4040">
        <v>399983.27645537659</v>
      </c>
    </row>
    <row r="4041" spans="26:26" x14ac:dyDescent="0.25">
      <c r="Z4041">
        <v>399983.31815997668</v>
      </c>
    </row>
    <row r="4042" spans="26:26" x14ac:dyDescent="0.25">
      <c r="Z4042">
        <v>399983.35976057523</v>
      </c>
    </row>
    <row r="4043" spans="26:26" x14ac:dyDescent="0.25">
      <c r="Z4043">
        <v>399983.40125743166</v>
      </c>
    </row>
    <row r="4044" spans="26:26" x14ac:dyDescent="0.25">
      <c r="Z4044">
        <v>399983.44265080459</v>
      </c>
    </row>
    <row r="4045" spans="26:26" x14ac:dyDescent="0.25">
      <c r="Z4045">
        <v>399983.48394095228</v>
      </c>
    </row>
    <row r="4046" spans="26:26" x14ac:dyDescent="0.25">
      <c r="Z4046">
        <v>399983.52512813191</v>
      </c>
    </row>
    <row r="4047" spans="26:26" x14ac:dyDescent="0.25">
      <c r="Z4047">
        <v>399983.56621260039</v>
      </c>
    </row>
    <row r="4048" spans="26:26" x14ac:dyDescent="0.25">
      <c r="Z4048">
        <v>399983.6071946139</v>
      </c>
    </row>
    <row r="4049" spans="26:26" x14ac:dyDescent="0.25">
      <c r="Z4049">
        <v>399983.64807442785</v>
      </c>
    </row>
    <row r="4050" spans="26:26" x14ac:dyDescent="0.25">
      <c r="Z4050">
        <v>399983.68885229708</v>
      </c>
    </row>
    <row r="4051" spans="26:26" x14ac:dyDescent="0.25">
      <c r="Z4051">
        <v>399983.72952847584</v>
      </c>
    </row>
    <row r="4052" spans="26:26" x14ac:dyDescent="0.25">
      <c r="Z4052">
        <v>399983.7701032178</v>
      </c>
    </row>
    <row r="4053" spans="26:26" x14ac:dyDescent="0.25">
      <c r="Z4053">
        <v>399983.81057677587</v>
      </c>
    </row>
    <row r="4054" spans="26:26" x14ac:dyDescent="0.25">
      <c r="Z4054">
        <v>399983.85094940237</v>
      </c>
    </row>
    <row r="4055" spans="26:26" x14ac:dyDescent="0.25">
      <c r="Z4055">
        <v>399983.89122134901</v>
      </c>
    </row>
    <row r="4056" spans="26:26" x14ac:dyDescent="0.25">
      <c r="Z4056">
        <v>399983.93139286683</v>
      </c>
    </row>
    <row r="4057" spans="26:26" x14ac:dyDescent="0.25">
      <c r="Z4057">
        <v>399983.97146420635</v>
      </c>
    </row>
    <row r="4058" spans="26:26" x14ac:dyDescent="0.25">
      <c r="Z4058">
        <v>399984.01143561729</v>
      </c>
    </row>
    <row r="4059" spans="26:26" x14ac:dyDescent="0.25">
      <c r="Z4059">
        <v>399984.05130734888</v>
      </c>
    </row>
    <row r="4060" spans="26:26" x14ac:dyDescent="0.25">
      <c r="Z4060">
        <v>399984.09107964981</v>
      </c>
    </row>
    <row r="4061" spans="26:26" x14ac:dyDescent="0.25">
      <c r="Z4061">
        <v>399984.1307527679</v>
      </c>
    </row>
    <row r="4062" spans="26:26" x14ac:dyDescent="0.25">
      <c r="Z4062">
        <v>399984.17032695044</v>
      </c>
    </row>
    <row r="4063" spans="26:26" x14ac:dyDescent="0.25">
      <c r="Z4063">
        <v>399984.20980244438</v>
      </c>
    </row>
    <row r="4064" spans="26:26" x14ac:dyDescent="0.25">
      <c r="Z4064">
        <v>399984.24917949561</v>
      </c>
    </row>
    <row r="4065" spans="26:26" x14ac:dyDescent="0.25">
      <c r="Z4065">
        <v>399984.28845834977</v>
      </c>
    </row>
    <row r="4066" spans="26:26" x14ac:dyDescent="0.25">
      <c r="Z4066">
        <v>399984.3276392516</v>
      </c>
    </row>
    <row r="4067" spans="26:26" x14ac:dyDescent="0.25">
      <c r="Z4067">
        <v>399984.36672244559</v>
      </c>
    </row>
    <row r="4068" spans="26:26" x14ac:dyDescent="0.25">
      <c r="Z4068">
        <v>399984.40570817504</v>
      </c>
    </row>
    <row r="4069" spans="26:26" x14ac:dyDescent="0.25">
      <c r="Z4069">
        <v>399984.44459668332</v>
      </c>
    </row>
    <row r="4070" spans="26:26" x14ac:dyDescent="0.25">
      <c r="Z4070">
        <v>399984.48338821286</v>
      </c>
    </row>
    <row r="4071" spans="26:26" x14ac:dyDescent="0.25">
      <c r="Z4071">
        <v>399984.52208300529</v>
      </c>
    </row>
    <row r="4072" spans="26:26" x14ac:dyDescent="0.25">
      <c r="Z4072">
        <v>399984.5606813021</v>
      </c>
    </row>
    <row r="4073" spans="26:26" x14ac:dyDescent="0.25">
      <c r="Z4073">
        <v>399984.59918334376</v>
      </c>
    </row>
    <row r="4074" spans="26:26" x14ac:dyDescent="0.25">
      <c r="Z4074">
        <v>399984.63758937031</v>
      </c>
    </row>
    <row r="4075" spans="26:26" x14ac:dyDescent="0.25">
      <c r="Z4075">
        <v>399984.67589962122</v>
      </c>
    </row>
    <row r="4076" spans="26:26" x14ac:dyDescent="0.25">
      <c r="Z4076">
        <v>399984.71411433542</v>
      </c>
    </row>
    <row r="4077" spans="26:26" x14ac:dyDescent="0.25">
      <c r="Z4077">
        <v>399984.752233751</v>
      </c>
    </row>
    <row r="4078" spans="26:26" x14ac:dyDescent="0.25">
      <c r="Z4078">
        <v>399984.79025810579</v>
      </c>
    </row>
    <row r="4079" spans="26:26" x14ac:dyDescent="0.25">
      <c r="Z4079">
        <v>399984.82818763668</v>
      </c>
    </row>
    <row r="4080" spans="26:26" x14ac:dyDescent="0.25">
      <c r="Z4080">
        <v>399984.86602258019</v>
      </c>
    </row>
    <row r="4081" spans="26:26" x14ac:dyDescent="0.25">
      <c r="Z4081">
        <v>399984.90376317227</v>
      </c>
    </row>
    <row r="4082" spans="26:26" x14ac:dyDescent="0.25">
      <c r="Z4082">
        <v>399984.94140964816</v>
      </c>
    </row>
    <row r="4083" spans="26:26" x14ac:dyDescent="0.25">
      <c r="Z4083">
        <v>399984.97896224255</v>
      </c>
    </row>
    <row r="4084" spans="26:26" x14ac:dyDescent="0.25">
      <c r="Z4084">
        <v>399985.01642118959</v>
      </c>
    </row>
    <row r="4085" spans="26:26" x14ac:dyDescent="0.25">
      <c r="Z4085">
        <v>399985.05378672277</v>
      </c>
    </row>
    <row r="4086" spans="26:26" x14ac:dyDescent="0.25">
      <c r="Z4086">
        <v>399985.09105907509</v>
      </c>
    </row>
    <row r="4087" spans="26:26" x14ac:dyDescent="0.25">
      <c r="Z4087">
        <v>399985.12823847891</v>
      </c>
    </row>
    <row r="4088" spans="26:26" x14ac:dyDescent="0.25">
      <c r="Z4088">
        <v>399985.16532516602</v>
      </c>
    </row>
    <row r="4089" spans="26:26" x14ac:dyDescent="0.25">
      <c r="Z4089">
        <v>399985.20231936756</v>
      </c>
    </row>
    <row r="4090" spans="26:26" x14ac:dyDescent="0.25">
      <c r="Z4090">
        <v>399985.23922131426</v>
      </c>
    </row>
    <row r="4091" spans="26:26" x14ac:dyDescent="0.25">
      <c r="Z4091">
        <v>399985.27603123616</v>
      </c>
    </row>
    <row r="4092" spans="26:26" x14ac:dyDescent="0.25">
      <c r="Z4092">
        <v>399985.31274936278</v>
      </c>
    </row>
    <row r="4093" spans="26:26" x14ac:dyDescent="0.25">
      <c r="Z4093">
        <v>399985.34937592299</v>
      </c>
    </row>
    <row r="4094" spans="26:26" x14ac:dyDescent="0.25">
      <c r="Z4094">
        <v>399985.38591114513</v>
      </c>
    </row>
    <row r="4095" spans="26:26" x14ac:dyDescent="0.25">
      <c r="Z4095">
        <v>399985.42235525697</v>
      </c>
    </row>
    <row r="4096" spans="26:26" x14ac:dyDescent="0.25">
      <c r="Z4096">
        <v>399985.45870848576</v>
      </c>
    </row>
    <row r="4097" spans="26:26" x14ac:dyDescent="0.25">
      <c r="Z4097">
        <v>399985.49497105816</v>
      </c>
    </row>
    <row r="4098" spans="26:26" x14ac:dyDescent="0.25">
      <c r="Z4098">
        <v>399985.53114320012</v>
      </c>
    </row>
    <row r="4099" spans="26:26" x14ac:dyDescent="0.25">
      <c r="Z4099">
        <v>399985.56722513726</v>
      </c>
    </row>
    <row r="4100" spans="26:26" x14ac:dyDescent="0.25">
      <c r="Z4100">
        <v>399985.6032170945</v>
      </c>
    </row>
    <row r="4101" spans="26:26" x14ac:dyDescent="0.25">
      <c r="Z4101">
        <v>399985.63911929628</v>
      </c>
    </row>
    <row r="4102" spans="26:26" x14ac:dyDescent="0.25">
      <c r="Z4102">
        <v>399985.67493196635</v>
      </c>
    </row>
    <row r="4103" spans="26:26" x14ac:dyDescent="0.25">
      <c r="Z4103">
        <v>399985.71065532806</v>
      </c>
    </row>
    <row r="4104" spans="26:26" x14ac:dyDescent="0.25">
      <c r="Z4104">
        <v>399985.74628960405</v>
      </c>
    </row>
    <row r="4105" spans="26:26" x14ac:dyDescent="0.25">
      <c r="Z4105">
        <v>399985.7818350165</v>
      </c>
    </row>
    <row r="4106" spans="26:26" x14ac:dyDescent="0.25">
      <c r="Z4106">
        <v>399985.81729178701</v>
      </c>
    </row>
    <row r="4107" spans="26:26" x14ac:dyDescent="0.25">
      <c r="Z4107">
        <v>399985.8526601367</v>
      </c>
    </row>
    <row r="4108" spans="26:26" x14ac:dyDescent="0.25">
      <c r="Z4108">
        <v>399985.88794028596</v>
      </c>
    </row>
    <row r="4109" spans="26:26" x14ac:dyDescent="0.25">
      <c r="Z4109">
        <v>399985.9231324548</v>
      </c>
    </row>
    <row r="4110" spans="26:26" x14ac:dyDescent="0.25">
      <c r="Z4110">
        <v>399985.95823686267</v>
      </c>
    </row>
    <row r="4111" spans="26:26" x14ac:dyDescent="0.25">
      <c r="Z4111">
        <v>399985.99325372837</v>
      </c>
    </row>
    <row r="4112" spans="26:26" x14ac:dyDescent="0.25">
      <c r="Z4112">
        <v>399986.02818327019</v>
      </c>
    </row>
    <row r="4113" spans="26:26" x14ac:dyDescent="0.25">
      <c r="Z4113">
        <v>399986.06302570592</v>
      </c>
    </row>
    <row r="4114" spans="26:26" x14ac:dyDescent="0.25">
      <c r="Z4114">
        <v>399986.09778125276</v>
      </c>
    </row>
    <row r="4115" spans="26:26" x14ac:dyDescent="0.25">
      <c r="Z4115">
        <v>399986.13245012745</v>
      </c>
    </row>
    <row r="4116" spans="26:26" x14ac:dyDescent="0.25">
      <c r="Z4116">
        <v>399986.16703254607</v>
      </c>
    </row>
    <row r="4117" spans="26:26" x14ac:dyDescent="0.25">
      <c r="Z4117">
        <v>399986.20152872428</v>
      </c>
    </row>
    <row r="4118" spans="26:26" x14ac:dyDescent="0.25">
      <c r="Z4118">
        <v>399986.2359388771</v>
      </c>
    </row>
    <row r="4119" spans="26:26" x14ac:dyDescent="0.25">
      <c r="Z4119">
        <v>399986.27026321908</v>
      </c>
    </row>
    <row r="4120" spans="26:26" x14ac:dyDescent="0.25">
      <c r="Z4120">
        <v>399986.30450196413</v>
      </c>
    </row>
    <row r="4121" spans="26:26" x14ac:dyDescent="0.25">
      <c r="Z4121">
        <v>399986.33865532582</v>
      </c>
    </row>
    <row r="4122" spans="26:26" x14ac:dyDescent="0.25">
      <c r="Z4122">
        <v>399986.37272351701</v>
      </c>
    </row>
    <row r="4123" spans="26:26" x14ac:dyDescent="0.25">
      <c r="Z4123">
        <v>399986.4067067501</v>
      </c>
    </row>
    <row r="4124" spans="26:26" x14ac:dyDescent="0.25">
      <c r="Z4124">
        <v>399986.44060523703</v>
      </c>
    </row>
    <row r="4125" spans="26:26" x14ac:dyDescent="0.25">
      <c r="Z4125">
        <v>399986.47441918909</v>
      </c>
    </row>
    <row r="4126" spans="26:26" x14ac:dyDescent="0.25">
      <c r="Z4126">
        <v>399986.50814881705</v>
      </c>
    </row>
    <row r="4127" spans="26:26" x14ac:dyDescent="0.25">
      <c r="Z4127">
        <v>399986.54179433116</v>
      </c>
    </row>
    <row r="4128" spans="26:26" x14ac:dyDescent="0.25">
      <c r="Z4128">
        <v>399986.57535594137</v>
      </c>
    </row>
    <row r="4129" spans="26:26" x14ac:dyDescent="0.25">
      <c r="Z4129">
        <v>399986.60883385671</v>
      </c>
    </row>
    <row r="4130" spans="26:26" x14ac:dyDescent="0.25">
      <c r="Z4130">
        <v>399986.64222828601</v>
      </c>
    </row>
    <row r="4131" spans="26:26" x14ac:dyDescent="0.25">
      <c r="Z4131">
        <v>399986.67553943739</v>
      </c>
    </row>
    <row r="4132" spans="26:26" x14ac:dyDescent="0.25">
      <c r="Z4132">
        <v>399986.70876751863</v>
      </c>
    </row>
    <row r="4133" spans="26:26" x14ac:dyDescent="0.25">
      <c r="Z4133">
        <v>399986.74191273679</v>
      </c>
    </row>
    <row r="4134" spans="26:26" x14ac:dyDescent="0.25">
      <c r="Z4134">
        <v>399986.77497529855</v>
      </c>
    </row>
    <row r="4135" spans="26:26" x14ac:dyDescent="0.25">
      <c r="Z4135">
        <v>399986.80795540998</v>
      </c>
    </row>
    <row r="4136" spans="26:26" x14ac:dyDescent="0.25">
      <c r="Z4136">
        <v>399986.84085327684</v>
      </c>
    </row>
    <row r="4137" spans="26:26" x14ac:dyDescent="0.25">
      <c r="Z4137">
        <v>399986.87366910407</v>
      </c>
    </row>
    <row r="4138" spans="26:26" x14ac:dyDescent="0.25">
      <c r="Z4138">
        <v>399986.90640309633</v>
      </c>
    </row>
    <row r="4139" spans="26:26" x14ac:dyDescent="0.25">
      <c r="Z4139">
        <v>399986.93905545765</v>
      </c>
    </row>
    <row r="4140" spans="26:26" x14ac:dyDescent="0.25">
      <c r="Z4140">
        <v>399986.97162639169</v>
      </c>
    </row>
    <row r="4141" spans="26:26" x14ac:dyDescent="0.25">
      <c r="Z4141">
        <v>399987.00411610148</v>
      </c>
    </row>
    <row r="4142" spans="26:26" x14ac:dyDescent="0.25">
      <c r="Z4142">
        <v>399987.03652478947</v>
      </c>
    </row>
    <row r="4143" spans="26:26" x14ac:dyDescent="0.25">
      <c r="Z4143">
        <v>399987.0688526578</v>
      </c>
    </row>
    <row r="4144" spans="26:26" x14ac:dyDescent="0.25">
      <c r="Z4144">
        <v>399987.10109990806</v>
      </c>
    </row>
    <row r="4145" spans="26:26" x14ac:dyDescent="0.25">
      <c r="Z4145">
        <v>399987.13326674118</v>
      </c>
    </row>
    <row r="4146" spans="26:26" x14ac:dyDescent="0.25">
      <c r="Z4146">
        <v>399987.16535335779</v>
      </c>
    </row>
    <row r="4147" spans="26:26" x14ac:dyDescent="0.25">
      <c r="Z4147">
        <v>399987.19735995785</v>
      </c>
    </row>
    <row r="4148" spans="26:26" x14ac:dyDescent="0.25">
      <c r="Z4148">
        <v>399987.22928674106</v>
      </c>
    </row>
    <row r="4149" spans="26:26" x14ac:dyDescent="0.25">
      <c r="Z4149">
        <v>399987.26113390626</v>
      </c>
    </row>
    <row r="4150" spans="26:26" x14ac:dyDescent="0.25">
      <c r="Z4150">
        <v>399987.29290165217</v>
      </c>
    </row>
    <row r="4151" spans="26:26" x14ac:dyDescent="0.25">
      <c r="Z4151">
        <v>399987.32459017675</v>
      </c>
    </row>
    <row r="4152" spans="26:26" x14ac:dyDescent="0.25">
      <c r="Z4152">
        <v>399987.35619967751</v>
      </c>
    </row>
    <row r="4153" spans="26:26" x14ac:dyDescent="0.25">
      <c r="Z4153">
        <v>399987.38773035165</v>
      </c>
    </row>
    <row r="4154" spans="26:26" x14ac:dyDescent="0.25">
      <c r="Z4154">
        <v>399987.41918239568</v>
      </c>
    </row>
    <row r="4155" spans="26:26" x14ac:dyDescent="0.25">
      <c r="Z4155">
        <v>399987.45055600564</v>
      </c>
    </row>
    <row r="4156" spans="26:26" x14ac:dyDescent="0.25">
      <c r="Z4156">
        <v>399987.48185137718</v>
      </c>
    </row>
    <row r="4157" spans="26:26" x14ac:dyDescent="0.25">
      <c r="Z4157">
        <v>399987.51306870545</v>
      </c>
    </row>
    <row r="4158" spans="26:26" x14ac:dyDescent="0.25">
      <c r="Z4158">
        <v>399987.54420818493</v>
      </c>
    </row>
    <row r="4159" spans="26:26" x14ac:dyDescent="0.25">
      <c r="Z4159">
        <v>399987.57527000993</v>
      </c>
    </row>
    <row r="4160" spans="26:26" x14ac:dyDescent="0.25">
      <c r="Z4160">
        <v>399987.60625437397</v>
      </c>
    </row>
    <row r="4161" spans="26:26" x14ac:dyDescent="0.25">
      <c r="Z4161">
        <v>399987.63716147037</v>
      </c>
    </row>
    <row r="4162" spans="26:26" x14ac:dyDescent="0.25">
      <c r="Z4162">
        <v>399987.66799149156</v>
      </c>
    </row>
    <row r="4163" spans="26:26" x14ac:dyDescent="0.25">
      <c r="Z4163">
        <v>399987.69874462998</v>
      </c>
    </row>
    <row r="4164" spans="26:26" x14ac:dyDescent="0.25">
      <c r="Z4164">
        <v>399987.72942107735</v>
      </c>
    </row>
    <row r="4165" spans="26:26" x14ac:dyDescent="0.25">
      <c r="Z4165">
        <v>399987.76002102473</v>
      </c>
    </row>
    <row r="4166" spans="26:26" x14ac:dyDescent="0.25">
      <c r="Z4166">
        <v>399987.79054466315</v>
      </c>
    </row>
    <row r="4167" spans="26:26" x14ac:dyDescent="0.25">
      <c r="Z4167">
        <v>399987.82099218271</v>
      </c>
    </row>
    <row r="4168" spans="26:26" x14ac:dyDescent="0.25">
      <c r="Z4168">
        <v>399987.85136377322</v>
      </c>
    </row>
    <row r="4169" spans="26:26" x14ac:dyDescent="0.25">
      <c r="Z4169">
        <v>399987.88165962411</v>
      </c>
    </row>
    <row r="4170" spans="26:26" x14ac:dyDescent="0.25">
      <c r="Z4170">
        <v>399987.91187992436</v>
      </c>
    </row>
    <row r="4171" spans="26:26" x14ac:dyDescent="0.25">
      <c r="Z4171">
        <v>399987.94202486216</v>
      </c>
    </row>
    <row r="4172" spans="26:26" x14ac:dyDescent="0.25">
      <c r="Z4172">
        <v>399987.97209462564</v>
      </c>
    </row>
    <row r="4173" spans="26:26" x14ac:dyDescent="0.25">
      <c r="Z4173">
        <v>399988.00208940211</v>
      </c>
    </row>
    <row r="4174" spans="26:26" x14ac:dyDescent="0.25">
      <c r="Z4174">
        <v>399988.03200937866</v>
      </c>
    </row>
    <row r="4175" spans="26:26" x14ac:dyDescent="0.25">
      <c r="Z4175">
        <v>399988.06185474183</v>
      </c>
    </row>
    <row r="4176" spans="26:26" x14ac:dyDescent="0.25">
      <c r="Z4176">
        <v>399988.09162567765</v>
      </c>
    </row>
    <row r="4177" spans="26:26" x14ac:dyDescent="0.25">
      <c r="Z4177">
        <v>399988.12132237171</v>
      </c>
    </row>
    <row r="4178" spans="26:26" x14ac:dyDescent="0.25">
      <c r="Z4178">
        <v>399988.15094500914</v>
      </c>
    </row>
    <row r="4179" spans="26:26" x14ac:dyDescent="0.25">
      <c r="Z4179">
        <v>399988.18049377471</v>
      </c>
    </row>
    <row r="4180" spans="26:26" x14ac:dyDescent="0.25">
      <c r="Z4180">
        <v>399988.20996885258</v>
      </c>
    </row>
    <row r="4181" spans="26:26" x14ac:dyDescent="0.25">
      <c r="Z4181">
        <v>399988.23937042657</v>
      </c>
    </row>
    <row r="4182" spans="26:26" x14ac:dyDescent="0.25">
      <c r="Z4182">
        <v>399988.26869867987</v>
      </c>
    </row>
    <row r="4183" spans="26:26" x14ac:dyDescent="0.25">
      <c r="Z4183">
        <v>399988.29795379535</v>
      </c>
    </row>
    <row r="4184" spans="26:26" x14ac:dyDescent="0.25">
      <c r="Z4184">
        <v>399988.32713595545</v>
      </c>
    </row>
    <row r="4185" spans="26:26" x14ac:dyDescent="0.25">
      <c r="Z4185">
        <v>399988.35624534212</v>
      </c>
    </row>
    <row r="4186" spans="26:26" x14ac:dyDescent="0.25">
      <c r="Z4186">
        <v>399988.38528213679</v>
      </c>
    </row>
    <row r="4187" spans="26:26" x14ac:dyDescent="0.25">
      <c r="Z4187">
        <v>399988.41424652043</v>
      </c>
    </row>
    <row r="4188" spans="26:26" x14ac:dyDescent="0.25">
      <c r="Z4188">
        <v>399988.44313867379</v>
      </c>
    </row>
    <row r="4189" spans="26:26" x14ac:dyDescent="0.25">
      <c r="Z4189">
        <v>399988.47195877688</v>
      </c>
    </row>
    <row r="4190" spans="26:26" x14ac:dyDescent="0.25">
      <c r="Z4190">
        <v>399988.50070700934</v>
      </c>
    </row>
    <row r="4191" spans="26:26" x14ac:dyDescent="0.25">
      <c r="Z4191">
        <v>399988.52938355046</v>
      </c>
    </row>
    <row r="4192" spans="26:26" x14ac:dyDescent="0.25">
      <c r="Z4192">
        <v>399988.55798857898</v>
      </c>
    </row>
    <row r="4193" spans="26:26" x14ac:dyDescent="0.25">
      <c r="Z4193">
        <v>399988.58652227331</v>
      </c>
    </row>
    <row r="4194" spans="26:26" x14ac:dyDescent="0.25">
      <c r="Z4194">
        <v>399988.61498481134</v>
      </c>
    </row>
    <row r="4195" spans="26:26" x14ac:dyDescent="0.25">
      <c r="Z4195">
        <v>399988.64337637037</v>
      </c>
    </row>
    <row r="4196" spans="26:26" x14ac:dyDescent="0.25">
      <c r="Z4196">
        <v>399988.67169712752</v>
      </c>
    </row>
    <row r="4197" spans="26:26" x14ac:dyDescent="0.25">
      <c r="Z4197">
        <v>399988.69994725939</v>
      </c>
    </row>
    <row r="4198" spans="26:26" x14ac:dyDescent="0.25">
      <c r="Z4198">
        <v>399988.72812694201</v>
      </c>
    </row>
    <row r="4199" spans="26:26" x14ac:dyDescent="0.25">
      <c r="Z4199">
        <v>399988.7562363511</v>
      </c>
    </row>
    <row r="4200" spans="26:26" x14ac:dyDescent="0.25">
      <c r="Z4200">
        <v>399988.78427566198</v>
      </c>
    </row>
    <row r="4201" spans="26:26" x14ac:dyDescent="0.25">
      <c r="Z4201">
        <v>399988.8122450494</v>
      </c>
    </row>
    <row r="4202" spans="26:26" x14ac:dyDescent="0.25">
      <c r="Z4202">
        <v>399988.84014468768</v>
      </c>
    </row>
    <row r="4203" spans="26:26" x14ac:dyDescent="0.25">
      <c r="Z4203">
        <v>399988.86797475076</v>
      </c>
    </row>
    <row r="4204" spans="26:26" x14ac:dyDescent="0.25">
      <c r="Z4204">
        <v>399988.89573541225</v>
      </c>
    </row>
    <row r="4205" spans="26:26" x14ac:dyDescent="0.25">
      <c r="Z4205">
        <v>399988.92342684511</v>
      </c>
    </row>
    <row r="4206" spans="26:26" x14ac:dyDescent="0.25">
      <c r="Z4206">
        <v>399988.95104922209</v>
      </c>
    </row>
    <row r="4207" spans="26:26" x14ac:dyDescent="0.25">
      <c r="Z4207">
        <v>399988.9786027153</v>
      </c>
    </row>
    <row r="4208" spans="26:26" x14ac:dyDescent="0.25">
      <c r="Z4208">
        <v>399989.00608749653</v>
      </c>
    </row>
    <row r="4209" spans="26:26" x14ac:dyDescent="0.25">
      <c r="Z4209">
        <v>399989.03350373718</v>
      </c>
    </row>
    <row r="4210" spans="26:26" x14ac:dyDescent="0.25">
      <c r="Z4210">
        <v>399989.06085160817</v>
      </c>
    </row>
    <row r="4211" spans="26:26" x14ac:dyDescent="0.25">
      <c r="Z4211">
        <v>399989.08813127998</v>
      </c>
    </row>
    <row r="4212" spans="26:26" x14ac:dyDescent="0.25">
      <c r="Z4212">
        <v>399989.11534292268</v>
      </c>
    </row>
    <row r="4213" spans="26:26" x14ac:dyDescent="0.25">
      <c r="Z4213">
        <v>399989.14248670591</v>
      </c>
    </row>
    <row r="4214" spans="26:26" x14ac:dyDescent="0.25">
      <c r="Z4214">
        <v>399989.16956279892</v>
      </c>
    </row>
    <row r="4215" spans="26:26" x14ac:dyDescent="0.25">
      <c r="Z4215">
        <v>399989.19657137047</v>
      </c>
    </row>
    <row r="4216" spans="26:26" x14ac:dyDescent="0.25">
      <c r="Z4216">
        <v>399989.223512589</v>
      </c>
    </row>
    <row r="4217" spans="26:26" x14ac:dyDescent="0.25">
      <c r="Z4217">
        <v>399989.25038662244</v>
      </c>
    </row>
    <row r="4218" spans="26:26" x14ac:dyDescent="0.25">
      <c r="Z4218">
        <v>399989.27719363838</v>
      </c>
    </row>
    <row r="4219" spans="26:26" x14ac:dyDescent="0.25">
      <c r="Z4219">
        <v>399989.30393380387</v>
      </c>
    </row>
    <row r="4220" spans="26:26" x14ac:dyDescent="0.25">
      <c r="Z4220">
        <v>399989.33060728561</v>
      </c>
    </row>
    <row r="4221" spans="26:26" x14ac:dyDescent="0.25">
      <c r="Z4221">
        <v>399989.35721425002</v>
      </c>
    </row>
    <row r="4222" spans="26:26" x14ac:dyDescent="0.25">
      <c r="Z4222">
        <v>399989.38375486288</v>
      </c>
    </row>
    <row r="4223" spans="26:26" x14ac:dyDescent="0.25">
      <c r="Z4223">
        <v>399989.41022928967</v>
      </c>
    </row>
    <row r="4224" spans="26:26" x14ac:dyDescent="0.25">
      <c r="Z4224">
        <v>399989.43663769541</v>
      </c>
    </row>
    <row r="4225" spans="26:26" x14ac:dyDescent="0.25">
      <c r="Z4225">
        <v>399989.46298024477</v>
      </c>
    </row>
    <row r="4226" spans="26:26" x14ac:dyDescent="0.25">
      <c r="Z4226">
        <v>399989.48925710208</v>
      </c>
    </row>
    <row r="4227" spans="26:26" x14ac:dyDescent="0.25">
      <c r="Z4227">
        <v>399989.515468431</v>
      </c>
    </row>
    <row r="4228" spans="26:26" x14ac:dyDescent="0.25">
      <c r="Z4228">
        <v>399989.54161439498</v>
      </c>
    </row>
    <row r="4229" spans="26:26" x14ac:dyDescent="0.25">
      <c r="Z4229">
        <v>399989.56769515708</v>
      </c>
    </row>
    <row r="4230" spans="26:26" x14ac:dyDescent="0.25">
      <c r="Z4230">
        <v>399989.59371087991</v>
      </c>
    </row>
    <row r="4231" spans="26:26" x14ac:dyDescent="0.25">
      <c r="Z4231">
        <v>399989.61966172559</v>
      </c>
    </row>
    <row r="4232" spans="26:26" x14ac:dyDescent="0.25">
      <c r="Z4232">
        <v>399989.64554785594</v>
      </c>
    </row>
    <row r="4233" spans="26:26" x14ac:dyDescent="0.25">
      <c r="Z4233">
        <v>399989.67136943236</v>
      </c>
    </row>
    <row r="4234" spans="26:26" x14ac:dyDescent="0.25">
      <c r="Z4234">
        <v>399989.69712661579</v>
      </c>
    </row>
    <row r="4235" spans="26:26" x14ac:dyDescent="0.25">
      <c r="Z4235">
        <v>399989.7228195669</v>
      </c>
    </row>
    <row r="4236" spans="26:26" x14ac:dyDescent="0.25">
      <c r="Z4236">
        <v>399989.74844844575</v>
      </c>
    </row>
    <row r="4237" spans="26:26" x14ac:dyDescent="0.25">
      <c r="Z4237">
        <v>399989.77401341224</v>
      </c>
    </row>
    <row r="4238" spans="26:26" x14ac:dyDescent="0.25">
      <c r="Z4238">
        <v>399989.79951462563</v>
      </c>
    </row>
    <row r="4239" spans="26:26" x14ac:dyDescent="0.25">
      <c r="Z4239">
        <v>399989.82495224505</v>
      </c>
    </row>
    <row r="4240" spans="26:26" x14ac:dyDescent="0.25">
      <c r="Z4240">
        <v>399989.850326429</v>
      </c>
    </row>
    <row r="4241" spans="26:26" x14ac:dyDescent="0.25">
      <c r="Z4241">
        <v>399989.87563733564</v>
      </c>
    </row>
    <row r="4242" spans="26:26" x14ac:dyDescent="0.25">
      <c r="Z4242">
        <v>399989.90088512289</v>
      </c>
    </row>
    <row r="4243" spans="26:26" x14ac:dyDescent="0.25">
      <c r="Z4243">
        <v>399989.92606994795</v>
      </c>
    </row>
    <row r="4244" spans="26:26" x14ac:dyDescent="0.25">
      <c r="Z4244">
        <v>399989.95119196805</v>
      </c>
    </row>
    <row r="4245" spans="26:26" x14ac:dyDescent="0.25">
      <c r="Z4245">
        <v>399989.97625133971</v>
      </c>
    </row>
    <row r="4246" spans="26:26" x14ac:dyDescent="0.25">
      <c r="Z4246">
        <v>399990.00124821911</v>
      </c>
    </row>
    <row r="4247" spans="26:26" x14ac:dyDescent="0.25">
      <c r="Z4247">
        <v>399990.02618276223</v>
      </c>
    </row>
    <row r="4248" spans="26:26" x14ac:dyDescent="0.25">
      <c r="Z4248">
        <v>399990.05105512444</v>
      </c>
    </row>
    <row r="4249" spans="26:26" x14ac:dyDescent="0.25">
      <c r="Z4249">
        <v>399990.07586546073</v>
      </c>
    </row>
    <row r="4250" spans="26:26" x14ac:dyDescent="0.25">
      <c r="Z4250">
        <v>399990.10061392596</v>
      </c>
    </row>
    <row r="4251" spans="26:26" x14ac:dyDescent="0.25">
      <c r="Z4251">
        <v>399990.12530067429</v>
      </c>
    </row>
    <row r="4252" spans="26:26" x14ac:dyDescent="0.25">
      <c r="Z4252">
        <v>399990.14992585965</v>
      </c>
    </row>
    <row r="4253" spans="26:26" x14ac:dyDescent="0.25">
      <c r="Z4253">
        <v>399990.17448963557</v>
      </c>
    </row>
    <row r="4254" spans="26:26" x14ac:dyDescent="0.25">
      <c r="Z4254">
        <v>399990.1989921552</v>
      </c>
    </row>
    <row r="4255" spans="26:26" x14ac:dyDescent="0.25">
      <c r="Z4255">
        <v>399990.22343357123</v>
      </c>
    </row>
    <row r="4256" spans="26:26" x14ac:dyDescent="0.25">
      <c r="Z4256">
        <v>399990.24781403615</v>
      </c>
    </row>
    <row r="4257" spans="26:26" x14ac:dyDescent="0.25">
      <c r="Z4257">
        <v>399990.27213370189</v>
      </c>
    </row>
    <row r="4258" spans="26:26" x14ac:dyDescent="0.25">
      <c r="Z4258">
        <v>399990.29639272008</v>
      </c>
    </row>
    <row r="4259" spans="26:26" x14ac:dyDescent="0.25">
      <c r="Z4259">
        <v>399990.32059124194</v>
      </c>
    </row>
    <row r="4260" spans="26:26" x14ac:dyDescent="0.25">
      <c r="Z4260">
        <v>399990.34472941846</v>
      </c>
    </row>
    <row r="4261" spans="26:26" x14ac:dyDescent="0.25">
      <c r="Z4261">
        <v>399990.36880739994</v>
      </c>
    </row>
    <row r="4262" spans="26:26" x14ac:dyDescent="0.25">
      <c r="Z4262">
        <v>399990.3928253366</v>
      </c>
    </row>
    <row r="4263" spans="26:26" x14ac:dyDescent="0.25">
      <c r="Z4263">
        <v>399990.41678337811</v>
      </c>
    </row>
    <row r="4264" spans="26:26" x14ac:dyDescent="0.25">
      <c r="Z4264">
        <v>399990.44068167394</v>
      </c>
    </row>
    <row r="4265" spans="26:26" x14ac:dyDescent="0.25">
      <c r="Z4265">
        <v>399990.46452037303</v>
      </c>
    </row>
    <row r="4266" spans="26:26" x14ac:dyDescent="0.25">
      <c r="Z4266">
        <v>399990.488299624</v>
      </c>
    </row>
    <row r="4267" spans="26:26" x14ac:dyDescent="0.25">
      <c r="Z4267">
        <v>399990.51201957505</v>
      </c>
    </row>
    <row r="4268" spans="26:26" x14ac:dyDescent="0.25">
      <c r="Z4268">
        <v>399990.53568037413</v>
      </c>
    </row>
    <row r="4269" spans="26:26" x14ac:dyDescent="0.25">
      <c r="Z4269">
        <v>399990.55928216869</v>
      </c>
    </row>
    <row r="4270" spans="26:26" x14ac:dyDescent="0.25">
      <c r="Z4270">
        <v>399990.58282510593</v>
      </c>
    </row>
    <row r="4271" spans="26:26" x14ac:dyDescent="0.25">
      <c r="Z4271">
        <v>399990.60630933259</v>
      </c>
    </row>
    <row r="4272" spans="26:26" x14ac:dyDescent="0.25">
      <c r="Z4272">
        <v>399990.62973499513</v>
      </c>
    </row>
    <row r="4273" spans="26:26" x14ac:dyDescent="0.25">
      <c r="Z4273">
        <v>399990.65310223948</v>
      </c>
    </row>
    <row r="4274" spans="26:26" x14ac:dyDescent="0.25">
      <c r="Z4274">
        <v>399990.67641121143</v>
      </c>
    </row>
    <row r="4275" spans="26:26" x14ac:dyDescent="0.25">
      <c r="Z4275">
        <v>399990.69966205634</v>
      </c>
    </row>
    <row r="4276" spans="26:26" x14ac:dyDescent="0.25">
      <c r="Z4276">
        <v>399990.72285491903</v>
      </c>
    </row>
    <row r="4277" spans="26:26" x14ac:dyDescent="0.25">
      <c r="Z4277">
        <v>399990.7459899442</v>
      </c>
    </row>
    <row r="4278" spans="26:26" x14ac:dyDescent="0.25">
      <c r="Z4278">
        <v>399990.76906727598</v>
      </c>
    </row>
    <row r="4279" spans="26:26" x14ac:dyDescent="0.25">
      <c r="Z4279">
        <v>399990.79208705836</v>
      </c>
    </row>
    <row r="4280" spans="26:26" x14ac:dyDescent="0.25">
      <c r="Z4280">
        <v>399990.81504943478</v>
      </c>
    </row>
    <row r="4281" spans="26:26" x14ac:dyDescent="0.25">
      <c r="Z4281">
        <v>399990.83795454836</v>
      </c>
    </row>
    <row r="4282" spans="26:26" x14ac:dyDescent="0.25">
      <c r="Z4282">
        <v>399990.86080254201</v>
      </c>
    </row>
    <row r="4283" spans="26:26" x14ac:dyDescent="0.25">
      <c r="Z4283">
        <v>399990.8835935581</v>
      </c>
    </row>
    <row r="4284" spans="26:26" x14ac:dyDescent="0.25">
      <c r="Z4284">
        <v>399990.90632773878</v>
      </c>
    </row>
    <row r="4285" spans="26:26" x14ac:dyDescent="0.25">
      <c r="Z4285">
        <v>399990.92900522565</v>
      </c>
    </row>
    <row r="4286" spans="26:26" x14ac:dyDescent="0.25">
      <c r="Z4286">
        <v>399990.95162616036</v>
      </c>
    </row>
    <row r="4287" spans="26:26" x14ac:dyDescent="0.25">
      <c r="Z4287">
        <v>399990.97419068363</v>
      </c>
    </row>
    <row r="4288" spans="26:26" x14ac:dyDescent="0.25">
      <c r="Z4288">
        <v>399990.99669893627</v>
      </c>
    </row>
    <row r="4289" spans="26:26" x14ac:dyDescent="0.25">
      <c r="Z4289">
        <v>399991.01915105863</v>
      </c>
    </row>
    <row r="4290" spans="26:26" x14ac:dyDescent="0.25">
      <c r="Z4290">
        <v>399991.04154719063</v>
      </c>
    </row>
    <row r="4291" spans="26:26" x14ac:dyDescent="0.25">
      <c r="Z4291">
        <v>399991.06388747197</v>
      </c>
    </row>
    <row r="4292" spans="26:26" x14ac:dyDescent="0.25">
      <c r="Z4292">
        <v>399991.08617204189</v>
      </c>
    </row>
    <row r="4293" spans="26:26" x14ac:dyDescent="0.25">
      <c r="Z4293">
        <v>399991.10840103927</v>
      </c>
    </row>
    <row r="4294" spans="26:26" x14ac:dyDescent="0.25">
      <c r="Z4294">
        <v>399991.13057460275</v>
      </c>
    </row>
    <row r="4295" spans="26:26" x14ac:dyDescent="0.25">
      <c r="Z4295">
        <v>399991.15269287059</v>
      </c>
    </row>
    <row r="4296" spans="26:26" x14ac:dyDescent="0.25">
      <c r="Z4296">
        <v>399991.17475598061</v>
      </c>
    </row>
    <row r="4297" spans="26:26" x14ac:dyDescent="0.25">
      <c r="Z4297">
        <v>399991.19676407042</v>
      </c>
    </row>
    <row r="4298" spans="26:26" x14ac:dyDescent="0.25">
      <c r="Z4298">
        <v>399991.21871727722</v>
      </c>
    </row>
    <row r="4299" spans="26:26" x14ac:dyDescent="0.25">
      <c r="Z4299">
        <v>399991.24061573786</v>
      </c>
    </row>
    <row r="4300" spans="26:26" x14ac:dyDescent="0.25">
      <c r="Z4300">
        <v>399991.26245958894</v>
      </c>
    </row>
    <row r="4301" spans="26:26" x14ac:dyDescent="0.25">
      <c r="Z4301">
        <v>399991.28424896655</v>
      </c>
    </row>
    <row r="4302" spans="26:26" x14ac:dyDescent="0.25">
      <c r="Z4302">
        <v>399991.3059840065</v>
      </c>
    </row>
    <row r="4303" spans="26:26" x14ac:dyDescent="0.25">
      <c r="Z4303">
        <v>399991.3276648444</v>
      </c>
    </row>
    <row r="4304" spans="26:26" x14ac:dyDescent="0.25">
      <c r="Z4304">
        <v>399991.34929161536</v>
      </c>
    </row>
    <row r="4305" spans="26:26" x14ac:dyDescent="0.25">
      <c r="Z4305">
        <v>399991.37086445425</v>
      </c>
    </row>
    <row r="4306" spans="26:26" x14ac:dyDescent="0.25">
      <c r="Z4306">
        <v>399991.39238349546</v>
      </c>
    </row>
    <row r="4307" spans="26:26" x14ac:dyDescent="0.25">
      <c r="Z4307">
        <v>399991.41384887329</v>
      </c>
    </row>
    <row r="4308" spans="26:26" x14ac:dyDescent="0.25">
      <c r="Z4308">
        <v>399991.43526072148</v>
      </c>
    </row>
    <row r="4309" spans="26:26" x14ac:dyDescent="0.25">
      <c r="Z4309">
        <v>399991.45661917352</v>
      </c>
    </row>
    <row r="4310" spans="26:26" x14ac:dyDescent="0.25">
      <c r="Z4310">
        <v>399991.47792436264</v>
      </c>
    </row>
    <row r="4311" spans="26:26" x14ac:dyDescent="0.25">
      <c r="Z4311">
        <v>399991.49917642161</v>
      </c>
    </row>
    <row r="4312" spans="26:26" x14ac:dyDescent="0.25">
      <c r="Z4312">
        <v>399991.52037548291</v>
      </c>
    </row>
    <row r="4313" spans="26:26" x14ac:dyDescent="0.25">
      <c r="Z4313">
        <v>399991.54152167868</v>
      </c>
    </row>
    <row r="4314" spans="26:26" x14ac:dyDescent="0.25">
      <c r="Z4314">
        <v>399991.56261514087</v>
      </c>
    </row>
    <row r="4315" spans="26:26" x14ac:dyDescent="0.25">
      <c r="Z4315">
        <v>399991.58365600085</v>
      </c>
    </row>
    <row r="4316" spans="26:26" x14ac:dyDescent="0.25">
      <c r="Z4316">
        <v>399991.60464438988</v>
      </c>
    </row>
    <row r="4317" spans="26:26" x14ac:dyDescent="0.25">
      <c r="Z4317">
        <v>399991.62558043876</v>
      </c>
    </row>
    <row r="4318" spans="26:26" x14ac:dyDescent="0.25">
      <c r="Z4318">
        <v>399991.64646427805</v>
      </c>
    </row>
    <row r="4319" spans="26:26" x14ac:dyDescent="0.25">
      <c r="Z4319">
        <v>399991.66729603795</v>
      </c>
    </row>
    <row r="4320" spans="26:26" x14ac:dyDescent="0.25">
      <c r="Z4320">
        <v>399991.68807584839</v>
      </c>
    </row>
    <row r="4321" spans="26:26" x14ac:dyDescent="0.25">
      <c r="Z4321">
        <v>399991.70880383876</v>
      </c>
    </row>
    <row r="4322" spans="26:26" x14ac:dyDescent="0.25">
      <c r="Z4322">
        <v>399991.7294801384</v>
      </c>
    </row>
    <row r="4323" spans="26:26" x14ac:dyDescent="0.25">
      <c r="Z4323">
        <v>399991.75010487624</v>
      </c>
    </row>
    <row r="4324" spans="26:26" x14ac:dyDescent="0.25">
      <c r="Z4324">
        <v>399991.77067818079</v>
      </c>
    </row>
    <row r="4325" spans="26:26" x14ac:dyDescent="0.25">
      <c r="Z4325">
        <v>399991.79120018031</v>
      </c>
    </row>
    <row r="4326" spans="26:26" x14ac:dyDescent="0.25">
      <c r="Z4326">
        <v>399991.81167100283</v>
      </c>
    </row>
    <row r="4327" spans="26:26" x14ac:dyDescent="0.25">
      <c r="Z4327">
        <v>399991.83209077589</v>
      </c>
    </row>
    <row r="4328" spans="26:26" x14ac:dyDescent="0.25">
      <c r="Z4328">
        <v>399991.8524596268</v>
      </c>
    </row>
    <row r="4329" spans="26:26" x14ac:dyDescent="0.25">
      <c r="Z4329">
        <v>399991.87277768261</v>
      </c>
    </row>
    <row r="4330" spans="26:26" x14ac:dyDescent="0.25">
      <c r="Z4330">
        <v>399991.89304506994</v>
      </c>
    </row>
    <row r="4331" spans="26:26" x14ac:dyDescent="0.25">
      <c r="Z4331">
        <v>399991.91326191509</v>
      </c>
    </row>
    <row r="4332" spans="26:26" x14ac:dyDescent="0.25">
      <c r="Z4332">
        <v>399991.93342834426</v>
      </c>
    </row>
    <row r="4333" spans="26:26" x14ac:dyDescent="0.25">
      <c r="Z4333">
        <v>399991.95354448311</v>
      </c>
    </row>
    <row r="4334" spans="26:26" x14ac:dyDescent="0.25">
      <c r="Z4334">
        <v>399991.97361045692</v>
      </c>
    </row>
    <row r="4335" spans="26:26" x14ac:dyDescent="0.25">
      <c r="Z4335">
        <v>399991.99362639093</v>
      </c>
    </row>
    <row r="4336" spans="26:26" x14ac:dyDescent="0.25">
      <c r="Z4336">
        <v>399992.01359240996</v>
      </c>
    </row>
    <row r="4337" spans="26:26" x14ac:dyDescent="0.25">
      <c r="Z4337">
        <v>399992.03350863833</v>
      </c>
    </row>
    <row r="4338" spans="26:26" x14ac:dyDescent="0.25">
      <c r="Z4338">
        <v>399992.05337520031</v>
      </c>
    </row>
    <row r="4339" spans="26:26" x14ac:dyDescent="0.25">
      <c r="Z4339">
        <v>399992.07319221977</v>
      </c>
    </row>
    <row r="4340" spans="26:26" x14ac:dyDescent="0.25">
      <c r="Z4340">
        <v>399992.09295982023</v>
      </c>
    </row>
    <row r="4341" spans="26:26" x14ac:dyDescent="0.25">
      <c r="Z4341">
        <v>399992.11267812492</v>
      </c>
    </row>
    <row r="4342" spans="26:26" x14ac:dyDescent="0.25">
      <c r="Z4342">
        <v>399992.13234725682</v>
      </c>
    </row>
    <row r="4343" spans="26:26" x14ac:dyDescent="0.25">
      <c r="Z4343">
        <v>399992.15196733846</v>
      </c>
    </row>
    <row r="4344" spans="26:26" x14ac:dyDescent="0.25">
      <c r="Z4344">
        <v>399992.1715384922</v>
      </c>
    </row>
    <row r="4345" spans="26:26" x14ac:dyDescent="0.25">
      <c r="Z4345">
        <v>399992.19106084009</v>
      </c>
    </row>
    <row r="4346" spans="26:26" x14ac:dyDescent="0.25">
      <c r="Z4346">
        <v>399992.21053450386</v>
      </c>
    </row>
    <row r="4347" spans="26:26" x14ac:dyDescent="0.25">
      <c r="Z4347">
        <v>399992.2299596048</v>
      </c>
    </row>
    <row r="4348" spans="26:26" x14ac:dyDescent="0.25">
      <c r="Z4348">
        <v>399992.24933626415</v>
      </c>
    </row>
    <row r="4349" spans="26:26" x14ac:dyDescent="0.25">
      <c r="Z4349">
        <v>399992.2686646026</v>
      </c>
    </row>
    <row r="4350" spans="26:26" x14ac:dyDescent="0.25">
      <c r="Z4350">
        <v>399992.28794474079</v>
      </c>
    </row>
    <row r="4351" spans="26:26" x14ac:dyDescent="0.25">
      <c r="Z4351">
        <v>399992.30717679881</v>
      </c>
    </row>
    <row r="4352" spans="26:26" x14ac:dyDescent="0.25">
      <c r="Z4352">
        <v>399992.32636089652</v>
      </c>
    </row>
    <row r="4353" spans="26:26" x14ac:dyDescent="0.25">
      <c r="Z4353">
        <v>399992.34549715364</v>
      </c>
    </row>
    <row r="4354" spans="26:26" x14ac:dyDescent="0.25">
      <c r="Z4354">
        <v>399992.36458568944</v>
      </c>
    </row>
    <row r="4355" spans="26:26" x14ac:dyDescent="0.25">
      <c r="Z4355">
        <v>399992.3836266229</v>
      </c>
    </row>
    <row r="4356" spans="26:26" x14ac:dyDescent="0.25">
      <c r="Z4356">
        <v>399992.40262007271</v>
      </c>
    </row>
    <row r="4357" spans="26:26" x14ac:dyDescent="0.25">
      <c r="Z4357">
        <v>399992.42156615737</v>
      </c>
    </row>
    <row r="4358" spans="26:26" x14ac:dyDescent="0.25">
      <c r="Z4358">
        <v>399992.44046499487</v>
      </c>
    </row>
    <row r="4359" spans="26:26" x14ac:dyDescent="0.25">
      <c r="Z4359">
        <v>399992.45931670308</v>
      </c>
    </row>
    <row r="4360" spans="26:26" x14ac:dyDescent="0.25">
      <c r="Z4360">
        <v>399992.47812139953</v>
      </c>
    </row>
    <row r="4361" spans="26:26" x14ac:dyDescent="0.25">
      <c r="Z4361">
        <v>399992.49687920162</v>
      </c>
    </row>
    <row r="4362" spans="26:26" x14ac:dyDescent="0.25">
      <c r="Z4362">
        <v>399992.51559022599</v>
      </c>
    </row>
    <row r="4363" spans="26:26" x14ac:dyDescent="0.25">
      <c r="Z4363">
        <v>399992.53425458953</v>
      </c>
    </row>
    <row r="4364" spans="26:26" x14ac:dyDescent="0.25">
      <c r="Z4364">
        <v>399992.55287240853</v>
      </c>
    </row>
    <row r="4365" spans="26:26" x14ac:dyDescent="0.25">
      <c r="Z4365">
        <v>399992.57144379901</v>
      </c>
    </row>
    <row r="4366" spans="26:26" x14ac:dyDescent="0.25">
      <c r="Z4366">
        <v>399992.58996887685</v>
      </c>
    </row>
    <row r="4367" spans="26:26" x14ac:dyDescent="0.25">
      <c r="Z4367">
        <v>399992.60844775743</v>
      </c>
    </row>
    <row r="4368" spans="26:26" x14ac:dyDescent="0.25">
      <c r="Z4368">
        <v>399992.62688055605</v>
      </c>
    </row>
    <row r="4369" spans="26:26" x14ac:dyDescent="0.25">
      <c r="Z4369">
        <v>399992.64526738762</v>
      </c>
    </row>
    <row r="4370" spans="26:26" x14ac:dyDescent="0.25">
      <c r="Z4370">
        <v>399992.66360836662</v>
      </c>
    </row>
    <row r="4371" spans="26:26" x14ac:dyDescent="0.25">
      <c r="Z4371">
        <v>399992.68190360768</v>
      </c>
    </row>
    <row r="4372" spans="26:26" x14ac:dyDescent="0.25">
      <c r="Z4372">
        <v>399992.70015322458</v>
      </c>
    </row>
    <row r="4373" spans="26:26" x14ac:dyDescent="0.25">
      <c r="Z4373">
        <v>399992.71835733124</v>
      </c>
    </row>
    <row r="4374" spans="26:26" x14ac:dyDescent="0.25">
      <c r="Z4374">
        <v>399992.73651604116</v>
      </c>
    </row>
    <row r="4375" spans="26:26" x14ac:dyDescent="0.25">
      <c r="Z4375">
        <v>399992.7546294675</v>
      </c>
    </row>
    <row r="4376" spans="26:26" x14ac:dyDescent="0.25">
      <c r="Z4376">
        <v>399992.77269772318</v>
      </c>
    </row>
    <row r="4377" spans="26:26" x14ac:dyDescent="0.25">
      <c r="Z4377">
        <v>399992.79072092084</v>
      </c>
    </row>
    <row r="4378" spans="26:26" x14ac:dyDescent="0.25">
      <c r="Z4378">
        <v>399992.80869917298</v>
      </c>
    </row>
    <row r="4379" spans="26:26" x14ac:dyDescent="0.25">
      <c r="Z4379">
        <v>399992.82663259143</v>
      </c>
    </row>
    <row r="4380" spans="26:26" x14ac:dyDescent="0.25">
      <c r="Z4380">
        <v>399992.84452128824</v>
      </c>
    </row>
    <row r="4381" spans="26:26" x14ac:dyDescent="0.25">
      <c r="Z4381">
        <v>399992.86236537475</v>
      </c>
    </row>
    <row r="4382" spans="26:26" x14ac:dyDescent="0.25">
      <c r="Z4382">
        <v>399992.88016496244</v>
      </c>
    </row>
    <row r="4383" spans="26:26" x14ac:dyDescent="0.25">
      <c r="Z4383">
        <v>399992.89792016195</v>
      </c>
    </row>
    <row r="4384" spans="26:26" x14ac:dyDescent="0.25">
      <c r="Z4384">
        <v>399992.91563108424</v>
      </c>
    </row>
    <row r="4385" spans="26:26" x14ac:dyDescent="0.25">
      <c r="Z4385">
        <v>399992.93329783966</v>
      </c>
    </row>
    <row r="4386" spans="26:26" x14ac:dyDescent="0.25">
      <c r="Z4386">
        <v>399992.95092053834</v>
      </c>
    </row>
    <row r="4387" spans="26:26" x14ac:dyDescent="0.25">
      <c r="Z4387">
        <v>399992.96849929012</v>
      </c>
    </row>
    <row r="4388" spans="26:26" x14ac:dyDescent="0.25">
      <c r="Z4388">
        <v>399992.98603420454</v>
      </c>
    </row>
    <row r="4389" spans="26:26" x14ac:dyDescent="0.25">
      <c r="Z4389">
        <v>399993.0035253911</v>
      </c>
    </row>
    <row r="4390" spans="26:26" x14ac:dyDescent="0.25">
      <c r="Z4390">
        <v>399993.02097295877</v>
      </c>
    </row>
    <row r="4391" spans="26:26" x14ac:dyDescent="0.25">
      <c r="Z4391">
        <v>399993.0383770162</v>
      </c>
    </row>
    <row r="4392" spans="26:26" x14ac:dyDescent="0.25">
      <c r="Z4392">
        <v>399993.05573767202</v>
      </c>
    </row>
    <row r="4393" spans="26:26" x14ac:dyDescent="0.25">
      <c r="Z4393">
        <v>399993.07305503445</v>
      </c>
    </row>
    <row r="4394" spans="26:26" x14ac:dyDescent="0.25">
      <c r="Z4394">
        <v>399993.09032921144</v>
      </c>
    </row>
    <row r="4395" spans="26:26" x14ac:dyDescent="0.25">
      <c r="Z4395">
        <v>399993.10756031057</v>
      </c>
    </row>
    <row r="4396" spans="26:26" x14ac:dyDescent="0.25">
      <c r="Z4396">
        <v>399993.12474843953</v>
      </c>
    </row>
    <row r="4397" spans="26:26" x14ac:dyDescent="0.25">
      <c r="Z4397">
        <v>399993.14189370524</v>
      </c>
    </row>
    <row r="4398" spans="26:26" x14ac:dyDescent="0.25">
      <c r="Z4398">
        <v>399993.15899621474</v>
      </c>
    </row>
    <row r="4399" spans="26:26" x14ac:dyDescent="0.25">
      <c r="Z4399">
        <v>399993.1760560745</v>
      </c>
    </row>
    <row r="4400" spans="26:26" x14ac:dyDescent="0.25">
      <c r="Z4400">
        <v>399993.19307339104</v>
      </c>
    </row>
    <row r="4401" spans="26:26" x14ac:dyDescent="0.25">
      <c r="Z4401">
        <v>399993.21004827035</v>
      </c>
    </row>
    <row r="4402" spans="26:26" x14ac:dyDescent="0.25">
      <c r="Z4402">
        <v>399993.22698081832</v>
      </c>
    </row>
    <row r="4403" spans="26:26" x14ac:dyDescent="0.25">
      <c r="Z4403">
        <v>399993.24387114047</v>
      </c>
    </row>
    <row r="4404" spans="26:26" x14ac:dyDescent="0.25">
      <c r="Z4404">
        <v>399993.2607193421</v>
      </c>
    </row>
    <row r="4405" spans="26:26" x14ac:dyDescent="0.25">
      <c r="Z4405">
        <v>399993.27752552828</v>
      </c>
    </row>
    <row r="4406" spans="26:26" x14ac:dyDescent="0.25">
      <c r="Z4406">
        <v>399993.29428980383</v>
      </c>
    </row>
    <row r="4407" spans="26:26" x14ac:dyDescent="0.25">
      <c r="Z4407">
        <v>399993.31101227313</v>
      </c>
    </row>
    <row r="4408" spans="26:26" x14ac:dyDescent="0.25">
      <c r="Z4408">
        <v>399993.32769304048</v>
      </c>
    </row>
    <row r="4409" spans="26:26" x14ac:dyDescent="0.25">
      <c r="Z4409">
        <v>399993.34433220996</v>
      </c>
    </row>
    <row r="4410" spans="26:26" x14ac:dyDescent="0.25">
      <c r="Z4410">
        <v>399993.3609298853</v>
      </c>
    </row>
    <row r="4411" spans="26:26" x14ac:dyDescent="0.25">
      <c r="Z4411">
        <v>399993.3774861698</v>
      </c>
    </row>
    <row r="4412" spans="26:26" x14ac:dyDescent="0.25">
      <c r="Z4412">
        <v>399993.39400116692</v>
      </c>
    </row>
    <row r="4413" spans="26:26" x14ac:dyDescent="0.25">
      <c r="Z4413">
        <v>399993.41047497944</v>
      </c>
    </row>
    <row r="4414" spans="26:26" x14ac:dyDescent="0.25">
      <c r="Z4414">
        <v>399993.42690771015</v>
      </c>
    </row>
    <row r="4415" spans="26:26" x14ac:dyDescent="0.25">
      <c r="Z4415">
        <v>399993.44329946151</v>
      </c>
    </row>
    <row r="4416" spans="26:26" x14ac:dyDescent="0.25">
      <c r="Z4416">
        <v>399993.45965033572</v>
      </c>
    </row>
    <row r="4417" spans="26:26" x14ac:dyDescent="0.25">
      <c r="Z4417">
        <v>399993.47596043459</v>
      </c>
    </row>
    <row r="4418" spans="26:26" x14ac:dyDescent="0.25">
      <c r="Z4418">
        <v>399993.49222985998</v>
      </c>
    </row>
    <row r="4419" spans="26:26" x14ac:dyDescent="0.25">
      <c r="Z4419">
        <v>399993.50845871319</v>
      </c>
    </row>
    <row r="4420" spans="26:26" x14ac:dyDescent="0.25">
      <c r="Z4420">
        <v>399993.52464709547</v>
      </c>
    </row>
    <row r="4421" spans="26:26" x14ac:dyDescent="0.25">
      <c r="Z4421">
        <v>399993.54079510766</v>
      </c>
    </row>
    <row r="4422" spans="26:26" x14ac:dyDescent="0.25">
      <c r="Z4422">
        <v>399993.55690285057</v>
      </c>
    </row>
    <row r="4423" spans="26:26" x14ac:dyDescent="0.25">
      <c r="Z4423">
        <v>399993.57297042449</v>
      </c>
    </row>
    <row r="4424" spans="26:26" x14ac:dyDescent="0.25">
      <c r="Z4424">
        <v>399993.58899792971</v>
      </c>
    </row>
    <row r="4425" spans="26:26" x14ac:dyDescent="0.25">
      <c r="Z4425">
        <v>399993.60498546599</v>
      </c>
    </row>
    <row r="4426" spans="26:26" x14ac:dyDescent="0.25">
      <c r="Z4426">
        <v>399993.62093313318</v>
      </c>
    </row>
    <row r="4427" spans="26:26" x14ac:dyDescent="0.25">
      <c r="Z4427">
        <v>399993.63684103062</v>
      </c>
    </row>
    <row r="4428" spans="26:26" x14ac:dyDescent="0.25">
      <c r="Z4428">
        <v>399993.65270925744</v>
      </c>
    </row>
    <row r="4429" spans="26:26" x14ac:dyDescent="0.25">
      <c r="Z4429">
        <v>399993.66853791266</v>
      </c>
    </row>
    <row r="4430" spans="26:26" x14ac:dyDescent="0.25">
      <c r="Z4430">
        <v>399993.68432709493</v>
      </c>
    </row>
    <row r="4431" spans="26:26" x14ac:dyDescent="0.25">
      <c r="Z4431">
        <v>399993.70007690269</v>
      </c>
    </row>
    <row r="4432" spans="26:26" x14ac:dyDescent="0.25">
      <c r="Z4432">
        <v>399993.71578743408</v>
      </c>
    </row>
    <row r="4433" spans="26:26" x14ac:dyDescent="0.25">
      <c r="Z4433">
        <v>399993.73145878711</v>
      </c>
    </row>
    <row r="4434" spans="26:26" x14ac:dyDescent="0.25">
      <c r="Z4434">
        <v>399993.74709105951</v>
      </c>
    </row>
    <row r="4435" spans="26:26" x14ac:dyDescent="0.25">
      <c r="Z4435">
        <v>399993.76268434862</v>
      </c>
    </row>
    <row r="4436" spans="26:26" x14ac:dyDescent="0.25">
      <c r="Z4436">
        <v>399993.77823875175</v>
      </c>
    </row>
    <row r="4437" spans="26:26" x14ac:dyDescent="0.25">
      <c r="Z4437">
        <v>399993.79375436582</v>
      </c>
    </row>
    <row r="4438" spans="26:26" x14ac:dyDescent="0.25">
      <c r="Z4438">
        <v>399993.80923128757</v>
      </c>
    </row>
    <row r="4439" spans="26:26" x14ac:dyDescent="0.25">
      <c r="Z4439">
        <v>399993.82466961356</v>
      </c>
    </row>
    <row r="4440" spans="26:26" x14ac:dyDescent="0.25">
      <c r="Z4440">
        <v>399993.84006943996</v>
      </c>
    </row>
    <row r="4441" spans="26:26" x14ac:dyDescent="0.25">
      <c r="Z4441">
        <v>399993.85543086281</v>
      </c>
    </row>
    <row r="4442" spans="26:26" x14ac:dyDescent="0.25">
      <c r="Z4442">
        <v>399993.87075397786</v>
      </c>
    </row>
    <row r="4443" spans="26:26" x14ac:dyDescent="0.25">
      <c r="Z4443">
        <v>399993.88603888062</v>
      </c>
    </row>
    <row r="4444" spans="26:26" x14ac:dyDescent="0.25">
      <c r="Z4444">
        <v>399993.90128566651</v>
      </c>
    </row>
    <row r="4445" spans="26:26" x14ac:dyDescent="0.25">
      <c r="Z4445">
        <v>399993.91649443039</v>
      </c>
    </row>
    <row r="4446" spans="26:26" x14ac:dyDescent="0.25">
      <c r="Z4446">
        <v>399993.93166526721</v>
      </c>
    </row>
    <row r="4447" spans="26:26" x14ac:dyDescent="0.25">
      <c r="Z4447">
        <v>399993.94679827156</v>
      </c>
    </row>
    <row r="4448" spans="26:26" x14ac:dyDescent="0.25">
      <c r="Z4448">
        <v>399993.96189353766</v>
      </c>
    </row>
    <row r="4449" spans="26:26" x14ac:dyDescent="0.25">
      <c r="Z4449">
        <v>399993.97695115983</v>
      </c>
    </row>
    <row r="4450" spans="26:26" x14ac:dyDescent="0.25">
      <c r="Z4450">
        <v>399993.99197123176</v>
      </c>
    </row>
    <row r="4451" spans="26:26" x14ac:dyDescent="0.25">
      <c r="Z4451">
        <v>399994.00695384713</v>
      </c>
    </row>
    <row r="4452" spans="26:26" x14ac:dyDescent="0.25">
      <c r="Z4452">
        <v>399994.02189909935</v>
      </c>
    </row>
    <row r="4453" spans="26:26" x14ac:dyDescent="0.25">
      <c r="Z4453">
        <v>399994.03680708166</v>
      </c>
    </row>
    <row r="4454" spans="26:26" x14ac:dyDescent="0.25">
      <c r="Z4454">
        <v>399994.05167788692</v>
      </c>
    </row>
    <row r="4455" spans="26:26" x14ac:dyDescent="0.25">
      <c r="Z4455">
        <v>399994.06651160796</v>
      </c>
    </row>
    <row r="4456" spans="26:26" x14ac:dyDescent="0.25">
      <c r="Z4456">
        <v>399994.08130833704</v>
      </c>
    </row>
    <row r="4457" spans="26:26" x14ac:dyDescent="0.25">
      <c r="Z4457">
        <v>399994.09606816666</v>
      </c>
    </row>
    <row r="4458" spans="26:26" x14ac:dyDescent="0.25">
      <c r="Z4458">
        <v>399994.11079118872</v>
      </c>
    </row>
    <row r="4459" spans="26:26" x14ac:dyDescent="0.25">
      <c r="Z4459">
        <v>399994.12547749496</v>
      </c>
    </row>
    <row r="4460" spans="26:26" x14ac:dyDescent="0.25">
      <c r="Z4460">
        <v>399994.140127177</v>
      </c>
    </row>
    <row r="4461" spans="26:26" x14ac:dyDescent="0.25">
      <c r="Z4461">
        <v>399994.15474032622</v>
      </c>
    </row>
    <row r="4462" spans="26:26" x14ac:dyDescent="0.25">
      <c r="Z4462">
        <v>399994.16931703361</v>
      </c>
    </row>
    <row r="4463" spans="26:26" x14ac:dyDescent="0.25">
      <c r="Z4463">
        <v>399994.18385739019</v>
      </c>
    </row>
    <row r="4464" spans="26:26" x14ac:dyDescent="0.25">
      <c r="Z4464">
        <v>399994.19836148643</v>
      </c>
    </row>
    <row r="4465" spans="26:26" x14ac:dyDescent="0.25">
      <c r="Z4465">
        <v>399994.21282941289</v>
      </c>
    </row>
    <row r="4466" spans="26:26" x14ac:dyDescent="0.25">
      <c r="Z4466">
        <v>399994.22726125974</v>
      </c>
    </row>
    <row r="4467" spans="26:26" x14ac:dyDescent="0.25">
      <c r="Z4467">
        <v>399994.24165711692</v>
      </c>
    </row>
    <row r="4468" spans="26:26" x14ac:dyDescent="0.25">
      <c r="Z4468">
        <v>399994.25601707422</v>
      </c>
    </row>
    <row r="4469" spans="26:26" x14ac:dyDescent="0.25">
      <c r="Z4469">
        <v>399994.27034122124</v>
      </c>
    </row>
    <row r="4470" spans="26:26" x14ac:dyDescent="0.25">
      <c r="Z4470">
        <v>399994.2846296471</v>
      </c>
    </row>
    <row r="4471" spans="26:26" x14ac:dyDescent="0.25">
      <c r="Z4471">
        <v>399994.29888244101</v>
      </c>
    </row>
    <row r="4472" spans="26:26" x14ac:dyDescent="0.25">
      <c r="Z4472">
        <v>399994.31309969176</v>
      </c>
    </row>
    <row r="4473" spans="26:26" x14ac:dyDescent="0.25">
      <c r="Z4473">
        <v>399994.32728148805</v>
      </c>
    </row>
    <row r="4474" spans="26:26" x14ac:dyDescent="0.25">
      <c r="Z4474">
        <v>399994.34142791823</v>
      </c>
    </row>
    <row r="4475" spans="26:26" x14ac:dyDescent="0.25">
      <c r="Z4475">
        <v>399994.35553907062</v>
      </c>
    </row>
    <row r="4476" spans="26:26" x14ac:dyDescent="0.25">
      <c r="Z4476">
        <v>399994.36961503298</v>
      </c>
    </row>
    <row r="4477" spans="26:26" x14ac:dyDescent="0.25">
      <c r="Z4477">
        <v>399994.38365589327</v>
      </c>
    </row>
    <row r="4478" spans="26:26" x14ac:dyDescent="0.25">
      <c r="Z4478">
        <v>399994.39766173891</v>
      </c>
    </row>
    <row r="4479" spans="26:26" x14ac:dyDescent="0.25">
      <c r="Z4479">
        <v>399994.41163265728</v>
      </c>
    </row>
    <row r="4480" spans="26:26" x14ac:dyDescent="0.25">
      <c r="Z4480">
        <v>399994.42556873546</v>
      </c>
    </row>
    <row r="4481" spans="26:26" x14ac:dyDescent="0.25">
      <c r="Z4481">
        <v>399994.43947006029</v>
      </c>
    </row>
    <row r="4482" spans="26:26" x14ac:dyDescent="0.25">
      <c r="Z4482">
        <v>399994.45333671843</v>
      </c>
    </row>
    <row r="4483" spans="26:26" x14ac:dyDescent="0.25">
      <c r="Z4483">
        <v>399994.46716879652</v>
      </c>
    </row>
    <row r="4484" spans="26:26" x14ac:dyDescent="0.25">
      <c r="Z4484">
        <v>399994.48096638056</v>
      </c>
    </row>
    <row r="4485" spans="26:26" x14ac:dyDescent="0.25">
      <c r="Z4485">
        <v>399994.49472955667</v>
      </c>
    </row>
    <row r="4486" spans="26:26" x14ac:dyDescent="0.25">
      <c r="Z4486">
        <v>399994.50845841062</v>
      </c>
    </row>
    <row r="4487" spans="26:26" x14ac:dyDescent="0.25">
      <c r="Z4487">
        <v>399994.52215302805</v>
      </c>
    </row>
    <row r="4488" spans="26:26" x14ac:dyDescent="0.25">
      <c r="Z4488">
        <v>399994.53581349435</v>
      </c>
    </row>
    <row r="4489" spans="26:26" x14ac:dyDescent="0.25">
      <c r="Z4489">
        <v>399994.54943989462</v>
      </c>
    </row>
    <row r="4490" spans="26:26" x14ac:dyDescent="0.25">
      <c r="Z4490">
        <v>399994.56303231383</v>
      </c>
    </row>
    <row r="4491" spans="26:26" x14ac:dyDescent="0.25">
      <c r="Z4491">
        <v>399994.57659083675</v>
      </c>
    </row>
    <row r="4492" spans="26:26" x14ac:dyDescent="0.25">
      <c r="Z4492">
        <v>399994.59011554788</v>
      </c>
    </row>
    <row r="4493" spans="26:26" x14ac:dyDescent="0.25">
      <c r="Z4493">
        <v>399994.60360653151</v>
      </c>
    </row>
    <row r="4494" spans="26:26" x14ac:dyDescent="0.25">
      <c r="Z4494">
        <v>399994.61706387182</v>
      </c>
    </row>
    <row r="4495" spans="26:26" x14ac:dyDescent="0.25">
      <c r="Z4495">
        <v>399994.63048765267</v>
      </c>
    </row>
    <row r="4496" spans="26:26" x14ac:dyDescent="0.25">
      <c r="Z4496">
        <v>399994.64387795777</v>
      </c>
    </row>
    <row r="4497" spans="26:26" x14ac:dyDescent="0.25">
      <c r="Z4497">
        <v>399994.6572348706</v>
      </c>
    </row>
    <row r="4498" spans="26:26" x14ac:dyDescent="0.25">
      <c r="Z4498">
        <v>399994.67055847443</v>
      </c>
    </row>
    <row r="4499" spans="26:26" x14ac:dyDescent="0.25">
      <c r="Z4499">
        <v>399994.68384885229</v>
      </c>
    </row>
    <row r="4500" spans="26:26" x14ac:dyDescent="0.25">
      <c r="Z4500">
        <v>399994.69710608711</v>
      </c>
    </row>
    <row r="4501" spans="26:26" x14ac:dyDescent="0.25">
      <c r="Z4501">
        <v>399994.71033026144</v>
      </c>
    </row>
    <row r="4502" spans="26:26" x14ac:dyDescent="0.25">
      <c r="Z4502">
        <v>399994.72352145781</v>
      </c>
    </row>
    <row r="4503" spans="26:26" x14ac:dyDescent="0.25">
      <c r="Z4503">
        <v>399994.73667975841</v>
      </c>
    </row>
    <row r="4504" spans="26:26" x14ac:dyDescent="0.25">
      <c r="Z4504">
        <v>399994.74980524526</v>
      </c>
    </row>
    <row r="4505" spans="26:26" x14ac:dyDescent="0.25">
      <c r="Z4505">
        <v>399994.76289800025</v>
      </c>
    </row>
    <row r="4506" spans="26:26" x14ac:dyDescent="0.25">
      <c r="Z4506">
        <v>399994.77595810505</v>
      </c>
    </row>
    <row r="4507" spans="26:26" x14ac:dyDescent="0.25">
      <c r="Z4507">
        <v>399994.78898564092</v>
      </c>
    </row>
    <row r="4508" spans="26:26" x14ac:dyDescent="0.25">
      <c r="Z4508">
        <v>399994.80198068917</v>
      </c>
    </row>
    <row r="4509" spans="26:26" x14ac:dyDescent="0.25">
      <c r="Z4509">
        <v>399994.81494333083</v>
      </c>
    </row>
    <row r="4510" spans="26:26" x14ac:dyDescent="0.25">
      <c r="Z4510">
        <v>399994.82787364675</v>
      </c>
    </row>
    <row r="4511" spans="26:26" x14ac:dyDescent="0.25">
      <c r="Z4511">
        <v>399994.84077171743</v>
      </c>
    </row>
    <row r="4512" spans="26:26" x14ac:dyDescent="0.25">
      <c r="Z4512">
        <v>399994.85363762337</v>
      </c>
    </row>
    <row r="4513" spans="26:26" x14ac:dyDescent="0.25">
      <c r="Z4513">
        <v>399994.86647144478</v>
      </c>
    </row>
    <row r="4514" spans="26:26" x14ac:dyDescent="0.25">
      <c r="Z4514">
        <v>399994.87927326164</v>
      </c>
    </row>
    <row r="4515" spans="26:26" x14ac:dyDescent="0.25">
      <c r="Z4515">
        <v>399994.8920431537</v>
      </c>
    </row>
    <row r="4516" spans="26:26" x14ac:dyDescent="0.25">
      <c r="Z4516">
        <v>399994.90478120075</v>
      </c>
    </row>
    <row r="4517" spans="26:26" x14ac:dyDescent="0.25">
      <c r="Z4517">
        <v>399994.91748748202</v>
      </c>
    </row>
    <row r="4518" spans="26:26" x14ac:dyDescent="0.25">
      <c r="Z4518">
        <v>399994.93016207684</v>
      </c>
    </row>
    <row r="4519" spans="26:26" x14ac:dyDescent="0.25">
      <c r="Z4519">
        <v>399994.9428050642</v>
      </c>
    </row>
    <row r="4520" spans="26:26" x14ac:dyDescent="0.25">
      <c r="Z4520">
        <v>399994.95541652286</v>
      </c>
    </row>
    <row r="4521" spans="26:26" x14ac:dyDescent="0.25">
      <c r="Z4521">
        <v>399994.96799653157</v>
      </c>
    </row>
    <row r="4522" spans="26:26" x14ac:dyDescent="0.25">
      <c r="Z4522">
        <v>399994.98054516863</v>
      </c>
    </row>
    <row r="4523" spans="26:26" x14ac:dyDescent="0.25">
      <c r="Z4523">
        <v>399994.99306251237</v>
      </c>
    </row>
    <row r="4524" spans="26:26" x14ac:dyDescent="0.25">
      <c r="Z4524">
        <v>399995.00554864074</v>
      </c>
    </row>
    <row r="4525" spans="26:26" x14ac:dyDescent="0.25">
      <c r="Z4525">
        <v>399995.01800363167</v>
      </c>
    </row>
    <row r="4526" spans="26:26" x14ac:dyDescent="0.25">
      <c r="Z4526">
        <v>399995.03042756271</v>
      </c>
    </row>
    <row r="4527" spans="26:26" x14ac:dyDescent="0.25">
      <c r="Z4527">
        <v>399995.0428205115</v>
      </c>
    </row>
    <row r="4528" spans="26:26" x14ac:dyDescent="0.25">
      <c r="Z4528">
        <v>399995.05518255511</v>
      </c>
    </row>
    <row r="4529" spans="26:26" x14ac:dyDescent="0.25">
      <c r="Z4529">
        <v>399995.06751377066</v>
      </c>
    </row>
    <row r="4530" spans="26:26" x14ac:dyDescent="0.25">
      <c r="Z4530">
        <v>399995.0798142351</v>
      </c>
    </row>
    <row r="4531" spans="26:26" x14ac:dyDescent="0.25">
      <c r="Z4531">
        <v>399995.09208402503</v>
      </c>
    </row>
    <row r="4532" spans="26:26" x14ac:dyDescent="0.25">
      <c r="Z4532">
        <v>399995.10432321695</v>
      </c>
    </row>
    <row r="4533" spans="26:26" x14ac:dyDescent="0.25">
      <c r="Z4533">
        <v>399995.11653188721</v>
      </c>
    </row>
    <row r="4534" spans="26:26" x14ac:dyDescent="0.25">
      <c r="Z4534">
        <v>399995.12871011201</v>
      </c>
    </row>
    <row r="4535" spans="26:26" x14ac:dyDescent="0.25">
      <c r="Z4535">
        <v>399995.14085796708</v>
      </c>
    </row>
    <row r="4536" spans="26:26" x14ac:dyDescent="0.25">
      <c r="Z4536">
        <v>399995.15297552827</v>
      </c>
    </row>
    <row r="4537" spans="26:26" x14ac:dyDescent="0.25">
      <c r="Z4537">
        <v>399995.16506287106</v>
      </c>
    </row>
    <row r="4538" spans="26:26" x14ac:dyDescent="0.25">
      <c r="Z4538">
        <v>399995.17712007085</v>
      </c>
    </row>
    <row r="4539" spans="26:26" x14ac:dyDescent="0.25">
      <c r="Z4539">
        <v>399995.18914720288</v>
      </c>
    </row>
    <row r="4540" spans="26:26" x14ac:dyDescent="0.25">
      <c r="Z4540">
        <v>399995.20114434202</v>
      </c>
    </row>
    <row r="4541" spans="26:26" x14ac:dyDescent="0.25">
      <c r="Z4541">
        <v>399995.21311156312</v>
      </c>
    </row>
    <row r="4542" spans="26:26" x14ac:dyDescent="0.25">
      <c r="Z4542">
        <v>399995.2250489408</v>
      </c>
    </row>
    <row r="4543" spans="26:26" x14ac:dyDescent="0.25">
      <c r="Z4543">
        <v>399995.2369565494</v>
      </c>
    </row>
    <row r="4544" spans="26:26" x14ac:dyDescent="0.25">
      <c r="Z4544">
        <v>399995.24883446324</v>
      </c>
    </row>
    <row r="4545" spans="26:26" x14ac:dyDescent="0.25">
      <c r="Z4545">
        <v>399995.26068275631</v>
      </c>
    </row>
    <row r="4546" spans="26:26" x14ac:dyDescent="0.25">
      <c r="Z4546">
        <v>399995.27250150259</v>
      </c>
    </row>
    <row r="4547" spans="26:26" x14ac:dyDescent="0.25">
      <c r="Z4547">
        <v>399995.2842907756</v>
      </c>
    </row>
    <row r="4548" spans="26:26" x14ac:dyDescent="0.25">
      <c r="Z4548">
        <v>399995.29605064902</v>
      </c>
    </row>
    <row r="4549" spans="26:26" x14ac:dyDescent="0.25">
      <c r="Z4549">
        <v>399995.30778119602</v>
      </c>
    </row>
    <row r="4550" spans="26:26" x14ac:dyDescent="0.25">
      <c r="Z4550">
        <v>399995.31948248984</v>
      </c>
    </row>
    <row r="4551" spans="26:26" x14ac:dyDescent="0.25">
      <c r="Z4551">
        <v>399995.33115460328</v>
      </c>
    </row>
    <row r="4552" spans="26:26" x14ac:dyDescent="0.25">
      <c r="Z4552">
        <v>399995.34279760928</v>
      </c>
    </row>
    <row r="4553" spans="26:26" x14ac:dyDescent="0.25">
      <c r="Z4553">
        <v>399995.35441158031</v>
      </c>
    </row>
    <row r="4554" spans="26:26" x14ac:dyDescent="0.25">
      <c r="Z4554">
        <v>399995.36599658884</v>
      </c>
    </row>
    <row r="4555" spans="26:26" x14ac:dyDescent="0.25">
      <c r="Z4555">
        <v>399995.3775527071</v>
      </c>
    </row>
    <row r="4556" spans="26:26" x14ac:dyDescent="0.25">
      <c r="Z4556">
        <v>399995.38908000709</v>
      </c>
    </row>
    <row r="4557" spans="26:26" x14ac:dyDescent="0.25">
      <c r="Z4557">
        <v>399995.40057856072</v>
      </c>
    </row>
    <row r="4558" spans="26:26" x14ac:dyDescent="0.25">
      <c r="Z4558">
        <v>399995.41204843955</v>
      </c>
    </row>
    <row r="4559" spans="26:26" x14ac:dyDescent="0.25">
      <c r="Z4559">
        <v>399995.42348971532</v>
      </c>
    </row>
    <row r="4560" spans="26:26" x14ac:dyDescent="0.25">
      <c r="Z4560">
        <v>399995.43490245915</v>
      </c>
    </row>
    <row r="4561" spans="26:26" x14ac:dyDescent="0.25">
      <c r="Z4561">
        <v>399995.44628674228</v>
      </c>
    </row>
    <row r="4562" spans="26:26" x14ac:dyDescent="0.25">
      <c r="Z4562">
        <v>399995.45764263568</v>
      </c>
    </row>
    <row r="4563" spans="26:26" x14ac:dyDescent="0.25">
      <c r="Z4563">
        <v>399995.46897021018</v>
      </c>
    </row>
    <row r="4564" spans="26:26" x14ac:dyDescent="0.25">
      <c r="Z4564">
        <v>399995.48026953632</v>
      </c>
    </row>
    <row r="4565" spans="26:26" x14ac:dyDescent="0.25">
      <c r="Z4565">
        <v>399995.4915406846</v>
      </c>
    </row>
    <row r="4566" spans="26:26" x14ac:dyDescent="0.25">
      <c r="Z4566">
        <v>399995.50278372527</v>
      </c>
    </row>
    <row r="4567" spans="26:26" x14ac:dyDescent="0.25">
      <c r="Z4567">
        <v>399995.51399872848</v>
      </c>
    </row>
    <row r="4568" spans="26:26" x14ac:dyDescent="0.25">
      <c r="Z4568">
        <v>399995.52518576413</v>
      </c>
    </row>
    <row r="4569" spans="26:26" x14ac:dyDescent="0.25">
      <c r="Z4569">
        <v>399995.53634490183</v>
      </c>
    </row>
    <row r="4570" spans="26:26" x14ac:dyDescent="0.25">
      <c r="Z4570">
        <v>399995.54747621127</v>
      </c>
    </row>
    <row r="4571" spans="26:26" x14ac:dyDescent="0.25">
      <c r="Z4571">
        <v>399995.55857976188</v>
      </c>
    </row>
    <row r="4572" spans="26:26" x14ac:dyDescent="0.25">
      <c r="Z4572">
        <v>399995.56965562282</v>
      </c>
    </row>
    <row r="4573" spans="26:26" x14ac:dyDescent="0.25">
      <c r="Z4573">
        <v>399995.58070386318</v>
      </c>
    </row>
    <row r="4574" spans="26:26" x14ac:dyDescent="0.25">
      <c r="Z4574">
        <v>399995.59172455181</v>
      </c>
    </row>
    <row r="4575" spans="26:26" x14ac:dyDescent="0.25">
      <c r="Z4575">
        <v>399995.6027177574</v>
      </c>
    </row>
    <row r="4576" spans="26:26" x14ac:dyDescent="0.25">
      <c r="Z4576">
        <v>399995.61368354852</v>
      </c>
    </row>
    <row r="4577" spans="26:26" x14ac:dyDescent="0.25">
      <c r="Z4577">
        <v>399995.62462199351</v>
      </c>
    </row>
    <row r="4578" spans="26:26" x14ac:dyDescent="0.25">
      <c r="Z4578">
        <v>399995.63553316065</v>
      </c>
    </row>
    <row r="4579" spans="26:26" x14ac:dyDescent="0.25">
      <c r="Z4579">
        <v>399995.64641711785</v>
      </c>
    </row>
    <row r="4580" spans="26:26" x14ac:dyDescent="0.25">
      <c r="Z4580">
        <v>399995.657273933</v>
      </c>
    </row>
    <row r="4581" spans="26:26" x14ac:dyDescent="0.25">
      <c r="Z4581">
        <v>399995.66810367384</v>
      </c>
    </row>
    <row r="4582" spans="26:26" x14ac:dyDescent="0.25">
      <c r="Z4582">
        <v>399995.67890640785</v>
      </c>
    </row>
    <row r="4583" spans="26:26" x14ac:dyDescent="0.25">
      <c r="Z4583">
        <v>399995.6896822023</v>
      </c>
    </row>
    <row r="4584" spans="26:26" x14ac:dyDescent="0.25">
      <c r="Z4584">
        <v>399995.70043112448</v>
      </c>
    </row>
    <row r="4585" spans="26:26" x14ac:dyDescent="0.25">
      <c r="Z4585">
        <v>399995.7111532414</v>
      </c>
    </row>
    <row r="4586" spans="26:26" x14ac:dyDescent="0.25">
      <c r="Z4586">
        <v>399995.72184861981</v>
      </c>
    </row>
    <row r="4587" spans="26:26" x14ac:dyDescent="0.25">
      <c r="Z4587">
        <v>399995.73251732654</v>
      </c>
    </row>
    <row r="4588" spans="26:26" x14ac:dyDescent="0.25">
      <c r="Z4588">
        <v>399995.74315942795</v>
      </c>
    </row>
    <row r="4589" spans="26:26" x14ac:dyDescent="0.25">
      <c r="Z4589">
        <v>399995.7537749905</v>
      </c>
    </row>
    <row r="4590" spans="26:26" x14ac:dyDescent="0.25">
      <c r="Z4590">
        <v>399995.76436408021</v>
      </c>
    </row>
    <row r="4591" spans="26:26" x14ac:dyDescent="0.25">
      <c r="Z4591">
        <v>399995.77492676332</v>
      </c>
    </row>
    <row r="4592" spans="26:26" x14ac:dyDescent="0.25">
      <c r="Z4592">
        <v>399995.7854631056</v>
      </c>
    </row>
    <row r="4593" spans="26:26" x14ac:dyDescent="0.25">
      <c r="Z4593">
        <v>399995.79597317264</v>
      </c>
    </row>
    <row r="4594" spans="26:26" x14ac:dyDescent="0.25">
      <c r="Z4594">
        <v>399995.80645703006</v>
      </c>
    </row>
    <row r="4595" spans="26:26" x14ac:dyDescent="0.25">
      <c r="Z4595">
        <v>399995.81691474322</v>
      </c>
    </row>
    <row r="4596" spans="26:26" x14ac:dyDescent="0.25">
      <c r="Z4596">
        <v>399995.82734637731</v>
      </c>
    </row>
    <row r="4597" spans="26:26" x14ac:dyDescent="0.25">
      <c r="Z4597">
        <v>399995.83775199729</v>
      </c>
    </row>
    <row r="4598" spans="26:26" x14ac:dyDescent="0.25">
      <c r="Z4598">
        <v>399995.84813166811</v>
      </c>
    </row>
    <row r="4599" spans="26:26" x14ac:dyDescent="0.25">
      <c r="Z4599">
        <v>399995.85848545452</v>
      </c>
    </row>
    <row r="4600" spans="26:26" x14ac:dyDescent="0.25">
      <c r="Z4600">
        <v>399995.86881342094</v>
      </c>
    </row>
    <row r="4601" spans="26:26" x14ac:dyDescent="0.25">
      <c r="Z4601">
        <v>399995.87911563186</v>
      </c>
    </row>
    <row r="4602" spans="26:26" x14ac:dyDescent="0.25">
      <c r="Z4602">
        <v>399995.8893921515</v>
      </c>
    </row>
    <row r="4603" spans="26:26" x14ac:dyDescent="0.25">
      <c r="Z4603">
        <v>399995.89964304387</v>
      </c>
    </row>
    <row r="4604" spans="26:26" x14ac:dyDescent="0.25">
      <c r="Z4604">
        <v>399995.9098683729</v>
      </c>
    </row>
    <row r="4605" spans="26:26" x14ac:dyDescent="0.25">
      <c r="Z4605">
        <v>399995.92006820242</v>
      </c>
    </row>
    <row r="4606" spans="26:26" x14ac:dyDescent="0.25">
      <c r="Z4606">
        <v>399995.9302425959</v>
      </c>
    </row>
    <row r="4607" spans="26:26" x14ac:dyDescent="0.25">
      <c r="Z4607">
        <v>399995.9403916169</v>
      </c>
    </row>
    <row r="4608" spans="26:26" x14ac:dyDescent="0.25">
      <c r="Z4608">
        <v>399995.95051532862</v>
      </c>
    </row>
    <row r="4609" spans="26:26" x14ac:dyDescent="0.25">
      <c r="Z4609">
        <v>399995.96061379404</v>
      </c>
    </row>
    <row r="4610" spans="26:26" x14ac:dyDescent="0.25">
      <c r="Z4610">
        <v>399995.97068707639</v>
      </c>
    </row>
    <row r="4611" spans="26:26" x14ac:dyDescent="0.25">
      <c r="Z4611">
        <v>399995.98073523829</v>
      </c>
    </row>
    <row r="4612" spans="26:26" x14ac:dyDescent="0.25">
      <c r="Z4612">
        <v>399995.99075834244</v>
      </c>
    </row>
    <row r="4613" spans="26:26" x14ac:dyDescent="0.25">
      <c r="Z4613">
        <v>399996.00075645128</v>
      </c>
    </row>
    <row r="4614" spans="26:26" x14ac:dyDescent="0.25">
      <c r="Z4614">
        <v>399996.01072962722</v>
      </c>
    </row>
    <row r="4615" spans="26:26" x14ac:dyDescent="0.25">
      <c r="Z4615">
        <v>399996.02067793236</v>
      </c>
    </row>
    <row r="4616" spans="26:26" x14ac:dyDescent="0.25">
      <c r="Z4616">
        <v>399996.03060142882</v>
      </c>
    </row>
    <row r="4617" spans="26:26" x14ac:dyDescent="0.25">
      <c r="Z4617">
        <v>399996.04050017835</v>
      </c>
    </row>
    <row r="4618" spans="26:26" x14ac:dyDescent="0.25">
      <c r="Z4618">
        <v>399996.05037424277</v>
      </c>
    </row>
    <row r="4619" spans="26:26" x14ac:dyDescent="0.25">
      <c r="Z4619">
        <v>399996.06022368354</v>
      </c>
    </row>
    <row r="4620" spans="26:26" x14ac:dyDescent="0.25">
      <c r="Z4620">
        <v>399996.07004856213</v>
      </c>
    </row>
    <row r="4621" spans="26:26" x14ac:dyDescent="0.25">
      <c r="Z4621">
        <v>399996.07984893984</v>
      </c>
    </row>
    <row r="4622" spans="26:26" x14ac:dyDescent="0.25">
      <c r="Z4622">
        <v>399996.08962487761</v>
      </c>
    </row>
    <row r="4623" spans="26:26" x14ac:dyDescent="0.25">
      <c r="Z4623">
        <v>399996.09937643656</v>
      </c>
    </row>
    <row r="4624" spans="26:26" x14ac:dyDescent="0.25">
      <c r="Z4624">
        <v>399996.10910367739</v>
      </c>
    </row>
    <row r="4625" spans="26:26" x14ac:dyDescent="0.25">
      <c r="Z4625">
        <v>399996.1188066607</v>
      </c>
    </row>
    <row r="4626" spans="26:26" x14ac:dyDescent="0.25">
      <c r="Z4626">
        <v>399996.12848544709</v>
      </c>
    </row>
    <row r="4627" spans="26:26" x14ac:dyDescent="0.25">
      <c r="Z4627">
        <v>399996.13814009685</v>
      </c>
    </row>
    <row r="4628" spans="26:26" x14ac:dyDescent="0.25">
      <c r="Z4628">
        <v>399996.14777067018</v>
      </c>
    </row>
    <row r="4629" spans="26:26" x14ac:dyDescent="0.25">
      <c r="Z4629">
        <v>399996.15737722709</v>
      </c>
    </row>
    <row r="4630" spans="26:26" x14ac:dyDescent="0.25">
      <c r="Z4630">
        <v>399996.16695982753</v>
      </c>
    </row>
    <row r="4631" spans="26:26" x14ac:dyDescent="0.25">
      <c r="Z4631">
        <v>399996.17651853117</v>
      </c>
    </row>
    <row r="4632" spans="26:26" x14ac:dyDescent="0.25">
      <c r="Z4632">
        <v>399996.18605339772</v>
      </c>
    </row>
    <row r="4633" spans="26:26" x14ac:dyDescent="0.25">
      <c r="Z4633">
        <v>399996.19556448644</v>
      </c>
    </row>
    <row r="4634" spans="26:26" x14ac:dyDescent="0.25">
      <c r="Z4634">
        <v>399996.20505185681</v>
      </c>
    </row>
    <row r="4635" spans="26:26" x14ac:dyDescent="0.25">
      <c r="Z4635">
        <v>399996.21451556793</v>
      </c>
    </row>
    <row r="4636" spans="26:26" x14ac:dyDescent="0.25">
      <c r="Z4636">
        <v>399996.2239556787</v>
      </c>
    </row>
    <row r="4637" spans="26:26" x14ac:dyDescent="0.25">
      <c r="Z4637">
        <v>399996.23337224813</v>
      </c>
    </row>
    <row r="4638" spans="26:26" x14ac:dyDescent="0.25">
      <c r="Z4638">
        <v>399996.24276533478</v>
      </c>
    </row>
    <row r="4639" spans="26:26" x14ac:dyDescent="0.25">
      <c r="Z4639">
        <v>399996.25213499728</v>
      </c>
    </row>
    <row r="4640" spans="26:26" x14ac:dyDescent="0.25">
      <c r="Z4640">
        <v>399996.26148129406</v>
      </c>
    </row>
    <row r="4641" spans="26:26" x14ac:dyDescent="0.25">
      <c r="Z4641">
        <v>399996.27080428333</v>
      </c>
    </row>
    <row r="4642" spans="26:26" x14ac:dyDescent="0.25">
      <c r="Z4642">
        <v>399996.28010402329</v>
      </c>
    </row>
    <row r="4643" spans="26:26" x14ac:dyDescent="0.25">
      <c r="Z4643">
        <v>399996.28938057186</v>
      </c>
    </row>
    <row r="4644" spans="26:26" x14ac:dyDescent="0.25">
      <c r="Z4644">
        <v>399996.29863398691</v>
      </c>
    </row>
    <row r="4645" spans="26:26" x14ac:dyDescent="0.25">
      <c r="Z4645">
        <v>399996.30786432605</v>
      </c>
    </row>
    <row r="4646" spans="26:26" x14ac:dyDescent="0.25">
      <c r="Z4646">
        <v>399996.31707164692</v>
      </c>
    </row>
    <row r="4647" spans="26:26" x14ac:dyDescent="0.25">
      <c r="Z4647">
        <v>399996.3262560069</v>
      </c>
    </row>
    <row r="4648" spans="26:26" x14ac:dyDescent="0.25">
      <c r="Z4648">
        <v>399996.33541746327</v>
      </c>
    </row>
    <row r="4649" spans="26:26" x14ac:dyDescent="0.25">
      <c r="Z4649">
        <v>399996.34455607308</v>
      </c>
    </row>
    <row r="4650" spans="26:26" x14ac:dyDescent="0.25">
      <c r="Z4650">
        <v>399996.35367189336</v>
      </c>
    </row>
    <row r="4651" spans="26:26" x14ac:dyDescent="0.25">
      <c r="Z4651">
        <v>399996.36276498088</v>
      </c>
    </row>
    <row r="4652" spans="26:26" x14ac:dyDescent="0.25">
      <c r="Z4652">
        <v>399996.37183539243</v>
      </c>
    </row>
    <row r="4653" spans="26:26" x14ac:dyDescent="0.25">
      <c r="Z4653">
        <v>399996.38088318449</v>
      </c>
    </row>
    <row r="4654" spans="26:26" x14ac:dyDescent="0.25">
      <c r="Z4654">
        <v>399996.38990841346</v>
      </c>
    </row>
    <row r="4655" spans="26:26" x14ac:dyDescent="0.25">
      <c r="Z4655">
        <v>399996.39891113562</v>
      </c>
    </row>
    <row r="4656" spans="26:26" x14ac:dyDescent="0.25">
      <c r="Z4656">
        <v>399996.40789140709</v>
      </c>
    </row>
    <row r="4657" spans="26:26" x14ac:dyDescent="0.25">
      <c r="Z4657">
        <v>399996.41684928385</v>
      </c>
    </row>
    <row r="4658" spans="26:26" x14ac:dyDescent="0.25">
      <c r="Z4658">
        <v>399996.4257848218</v>
      </c>
    </row>
    <row r="4659" spans="26:26" x14ac:dyDescent="0.25">
      <c r="Z4659">
        <v>399996.43469807663</v>
      </c>
    </row>
    <row r="4660" spans="26:26" x14ac:dyDescent="0.25">
      <c r="Z4660">
        <v>399996.44358910387</v>
      </c>
    </row>
    <row r="4661" spans="26:26" x14ac:dyDescent="0.25">
      <c r="Z4661">
        <v>399996.45245795901</v>
      </c>
    </row>
    <row r="4662" spans="26:26" x14ac:dyDescent="0.25">
      <c r="Z4662">
        <v>399996.46130469721</v>
      </c>
    </row>
    <row r="4663" spans="26:26" x14ac:dyDescent="0.25">
      <c r="Z4663">
        <v>399996.47012937377</v>
      </c>
    </row>
    <row r="4664" spans="26:26" x14ac:dyDescent="0.25">
      <c r="Z4664">
        <v>399996.47893204371</v>
      </c>
    </row>
    <row r="4665" spans="26:26" x14ac:dyDescent="0.25">
      <c r="Z4665">
        <v>399996.48771276179</v>
      </c>
    </row>
    <row r="4666" spans="26:26" x14ac:dyDescent="0.25">
      <c r="Z4666">
        <v>399996.4964715828</v>
      </c>
    </row>
    <row r="4667" spans="26:26" x14ac:dyDescent="0.25">
      <c r="Z4667">
        <v>399996.50520856137</v>
      </c>
    </row>
    <row r="4668" spans="26:26" x14ac:dyDescent="0.25">
      <c r="Z4668">
        <v>399996.51392375201</v>
      </c>
    </row>
    <row r="4669" spans="26:26" x14ac:dyDescent="0.25">
      <c r="Z4669">
        <v>399996.522617209</v>
      </c>
    </row>
    <row r="4670" spans="26:26" x14ac:dyDescent="0.25">
      <c r="Z4670">
        <v>399996.5312889865</v>
      </c>
    </row>
    <row r="4671" spans="26:26" x14ac:dyDescent="0.25">
      <c r="Z4671">
        <v>399996.53993913869</v>
      </c>
    </row>
    <row r="4672" spans="26:26" x14ac:dyDescent="0.25">
      <c r="Z4672">
        <v>399996.54856771941</v>
      </c>
    </row>
    <row r="4673" spans="26:26" x14ac:dyDescent="0.25">
      <c r="Z4673">
        <v>399996.55717478244</v>
      </c>
    </row>
    <row r="4674" spans="26:26" x14ac:dyDescent="0.25">
      <c r="Z4674">
        <v>399996.56576038152</v>
      </c>
    </row>
    <row r="4675" spans="26:26" x14ac:dyDescent="0.25">
      <c r="Z4675">
        <v>399996.57432457007</v>
      </c>
    </row>
    <row r="4676" spans="26:26" x14ac:dyDescent="0.25">
      <c r="Z4676">
        <v>399996.58286740154</v>
      </c>
    </row>
    <row r="4677" spans="26:26" x14ac:dyDescent="0.25">
      <c r="Z4677">
        <v>399996.59138892923</v>
      </c>
    </row>
    <row r="4678" spans="26:26" x14ac:dyDescent="0.25">
      <c r="Z4678">
        <v>399996.59988920623</v>
      </c>
    </row>
    <row r="4679" spans="26:26" x14ac:dyDescent="0.25">
      <c r="Z4679">
        <v>399996.60836828547</v>
      </c>
    </row>
    <row r="4680" spans="26:26" x14ac:dyDescent="0.25">
      <c r="Z4680">
        <v>399996.61682621995</v>
      </c>
    </row>
    <row r="4681" spans="26:26" x14ac:dyDescent="0.25">
      <c r="Z4681">
        <v>399996.62526306231</v>
      </c>
    </row>
    <row r="4682" spans="26:26" x14ac:dyDescent="0.25">
      <c r="Z4682">
        <v>399996.63367886515</v>
      </c>
    </row>
    <row r="4683" spans="26:26" x14ac:dyDescent="0.25">
      <c r="Z4683">
        <v>399996.64207368094</v>
      </c>
    </row>
    <row r="4684" spans="26:26" x14ac:dyDescent="0.25">
      <c r="Z4684">
        <v>399996.65044756205</v>
      </c>
    </row>
    <row r="4685" spans="26:26" x14ac:dyDescent="0.25">
      <c r="Z4685">
        <v>399996.65880056057</v>
      </c>
    </row>
    <row r="4686" spans="26:26" x14ac:dyDescent="0.25">
      <c r="Z4686">
        <v>399996.66713272879</v>
      </c>
    </row>
    <row r="4687" spans="26:26" x14ac:dyDescent="0.25">
      <c r="Z4687">
        <v>399996.6754441185</v>
      </c>
    </row>
    <row r="4688" spans="26:26" x14ac:dyDescent="0.25">
      <c r="Z4688">
        <v>399996.68373478157</v>
      </c>
    </row>
    <row r="4689" spans="26:26" x14ac:dyDescent="0.25">
      <c r="Z4689">
        <v>399996.69200476963</v>
      </c>
    </row>
    <row r="4690" spans="26:26" x14ac:dyDescent="0.25">
      <c r="Z4690">
        <v>399996.70025413431</v>
      </c>
    </row>
    <row r="4691" spans="26:26" x14ac:dyDescent="0.25">
      <c r="Z4691">
        <v>399996.708482927</v>
      </c>
    </row>
    <row r="4692" spans="26:26" x14ac:dyDescent="0.25">
      <c r="Z4692">
        <v>399996.71669119899</v>
      </c>
    </row>
    <row r="4693" spans="26:26" x14ac:dyDescent="0.25">
      <c r="Z4693">
        <v>399996.72487900144</v>
      </c>
    </row>
    <row r="4694" spans="26:26" x14ac:dyDescent="0.25">
      <c r="Z4694">
        <v>399996.73304638552</v>
      </c>
    </row>
    <row r="4695" spans="26:26" x14ac:dyDescent="0.25">
      <c r="Z4695">
        <v>399996.74119340203</v>
      </c>
    </row>
    <row r="4696" spans="26:26" x14ac:dyDescent="0.25">
      <c r="Z4696">
        <v>399996.74932010175</v>
      </c>
    </row>
    <row r="4697" spans="26:26" x14ac:dyDescent="0.25">
      <c r="Z4697">
        <v>399996.75742653542</v>
      </c>
    </row>
    <row r="4698" spans="26:26" x14ac:dyDescent="0.25">
      <c r="Z4698">
        <v>399996.76551275351</v>
      </c>
    </row>
    <row r="4699" spans="26:26" x14ac:dyDescent="0.25">
      <c r="Z4699">
        <v>399996.77357880649</v>
      </c>
    </row>
    <row r="4700" spans="26:26" x14ac:dyDescent="0.25">
      <c r="Z4700">
        <v>399996.78162474465</v>
      </c>
    </row>
    <row r="4701" spans="26:26" x14ac:dyDescent="0.25">
      <c r="Z4701">
        <v>399996.7896506181</v>
      </c>
    </row>
    <row r="4702" spans="26:26" x14ac:dyDescent="0.25">
      <c r="Z4702">
        <v>399996.79765647691</v>
      </c>
    </row>
    <row r="4703" spans="26:26" x14ac:dyDescent="0.25">
      <c r="Z4703">
        <v>399996.80564237101</v>
      </c>
    </row>
    <row r="4704" spans="26:26" x14ac:dyDescent="0.25">
      <c r="Z4704">
        <v>399996.81360835012</v>
      </c>
    </row>
    <row r="4705" spans="26:26" x14ac:dyDescent="0.25">
      <c r="Z4705">
        <v>399996.82155446394</v>
      </c>
    </row>
    <row r="4706" spans="26:26" x14ac:dyDescent="0.25">
      <c r="Z4706">
        <v>399996.82948076207</v>
      </c>
    </row>
    <row r="4707" spans="26:26" x14ac:dyDescent="0.25">
      <c r="Z4707">
        <v>399996.83738729381</v>
      </c>
    </row>
    <row r="4708" spans="26:26" x14ac:dyDescent="0.25">
      <c r="Z4708">
        <v>399996.84527410852</v>
      </c>
    </row>
    <row r="4709" spans="26:26" x14ac:dyDescent="0.25">
      <c r="Z4709">
        <v>399996.85314125539</v>
      </c>
    </row>
    <row r="4710" spans="26:26" x14ac:dyDescent="0.25">
      <c r="Z4710">
        <v>399996.86098878348</v>
      </c>
    </row>
    <row r="4711" spans="26:26" x14ac:dyDescent="0.25">
      <c r="Z4711">
        <v>399996.86881674163</v>
      </c>
    </row>
    <row r="4712" spans="26:26" x14ac:dyDescent="0.25">
      <c r="Z4712">
        <v>399996.87662517861</v>
      </c>
    </row>
    <row r="4713" spans="26:26" x14ac:dyDescent="0.25">
      <c r="Z4713">
        <v>399996.88441414328</v>
      </c>
    </row>
    <row r="4714" spans="26:26" x14ac:dyDescent="0.25">
      <c r="Z4714">
        <v>399996.89218368405</v>
      </c>
    </row>
    <row r="4715" spans="26:26" x14ac:dyDescent="0.25">
      <c r="Z4715">
        <v>399996.89993384946</v>
      </c>
    </row>
    <row r="4716" spans="26:26" x14ac:dyDescent="0.25">
      <c r="Z4716">
        <v>399996.90766468772</v>
      </c>
    </row>
    <row r="4717" spans="26:26" x14ac:dyDescent="0.25">
      <c r="Z4717">
        <v>399996.91537624714</v>
      </c>
    </row>
    <row r="4718" spans="26:26" x14ac:dyDescent="0.25">
      <c r="Z4718">
        <v>399996.92306857568</v>
      </c>
    </row>
    <row r="4719" spans="26:26" x14ac:dyDescent="0.25">
      <c r="Z4719">
        <v>399996.93074172136</v>
      </c>
    </row>
    <row r="4720" spans="26:26" x14ac:dyDescent="0.25">
      <c r="Z4720">
        <v>399996.93839573202</v>
      </c>
    </row>
    <row r="4721" spans="26:26" x14ac:dyDescent="0.25">
      <c r="Z4721">
        <v>399996.94603065541</v>
      </c>
    </row>
    <row r="4722" spans="26:26" x14ac:dyDescent="0.25">
      <c r="Z4722">
        <v>399996.95364653901</v>
      </c>
    </row>
    <row r="4723" spans="26:26" x14ac:dyDescent="0.25">
      <c r="Z4723">
        <v>399996.96124343044</v>
      </c>
    </row>
    <row r="4724" spans="26:26" x14ac:dyDescent="0.25">
      <c r="Z4724">
        <v>399996.96882137703</v>
      </c>
    </row>
    <row r="4725" spans="26:26" x14ac:dyDescent="0.25">
      <c r="Z4725">
        <v>399996.97638042597</v>
      </c>
    </row>
    <row r="4726" spans="26:26" x14ac:dyDescent="0.25">
      <c r="Z4726">
        <v>399996.98392062442</v>
      </c>
    </row>
    <row r="4727" spans="26:26" x14ac:dyDescent="0.25">
      <c r="Z4727">
        <v>399996.99144201935</v>
      </c>
    </row>
    <row r="4728" spans="26:26" x14ac:dyDescent="0.25">
      <c r="Z4728">
        <v>399996.99894465768</v>
      </c>
    </row>
    <row r="4729" spans="26:26" x14ac:dyDescent="0.25">
      <c r="Z4729">
        <v>399997.00642858626</v>
      </c>
    </row>
    <row r="4730" spans="26:26" x14ac:dyDescent="0.25">
      <c r="Z4730">
        <v>399997.0138938516</v>
      </c>
    </row>
    <row r="4731" spans="26:26" x14ac:dyDescent="0.25">
      <c r="Z4731">
        <v>399997.02134050033</v>
      </c>
    </row>
    <row r="4732" spans="26:26" x14ac:dyDescent="0.25">
      <c r="Z4732">
        <v>399997.02876857889</v>
      </c>
    </row>
    <row r="4733" spans="26:26" x14ac:dyDescent="0.25">
      <c r="Z4733">
        <v>399997.03617813357</v>
      </c>
    </row>
    <row r="4734" spans="26:26" x14ac:dyDescent="0.25">
      <c r="Z4734">
        <v>399997.04356921057</v>
      </c>
    </row>
    <row r="4735" spans="26:26" x14ac:dyDescent="0.25">
      <c r="Z4735">
        <v>399997.05094185594</v>
      </c>
    </row>
    <row r="4736" spans="26:26" x14ac:dyDescent="0.25">
      <c r="Z4736">
        <v>399997.05829611566</v>
      </c>
    </row>
    <row r="4737" spans="26:26" x14ac:dyDescent="0.25">
      <c r="Z4737">
        <v>399997.06563203555</v>
      </c>
    </row>
    <row r="4738" spans="26:26" x14ac:dyDescent="0.25">
      <c r="Z4738">
        <v>399997.07294966141</v>
      </c>
    </row>
    <row r="4739" spans="26:26" x14ac:dyDescent="0.25">
      <c r="Z4739">
        <v>399997.08024903882</v>
      </c>
    </row>
    <row r="4740" spans="26:26" x14ac:dyDescent="0.25">
      <c r="Z4740">
        <v>399997.08753021329</v>
      </c>
    </row>
    <row r="4741" spans="26:26" x14ac:dyDescent="0.25">
      <c r="Z4741">
        <v>399997.09479323018</v>
      </c>
    </row>
    <row r="4742" spans="26:26" x14ac:dyDescent="0.25">
      <c r="Z4742">
        <v>399997.10203813482</v>
      </c>
    </row>
    <row r="4743" spans="26:26" x14ac:dyDescent="0.25">
      <c r="Z4743">
        <v>399997.10926497239</v>
      </c>
    </row>
    <row r="4744" spans="26:26" x14ac:dyDescent="0.25">
      <c r="Z4744">
        <v>399997.11647378799</v>
      </c>
    </row>
    <row r="4745" spans="26:26" x14ac:dyDescent="0.25">
      <c r="Z4745">
        <v>399997.12366462639</v>
      </c>
    </row>
    <row r="4746" spans="26:26" x14ac:dyDescent="0.25">
      <c r="Z4746">
        <v>399997.13083753258</v>
      </c>
    </row>
    <row r="4747" spans="26:26" x14ac:dyDescent="0.25">
      <c r="Z4747">
        <v>399997.1379925512</v>
      </c>
    </row>
    <row r="4748" spans="26:26" x14ac:dyDescent="0.25">
      <c r="Z4748">
        <v>399997.14512972679</v>
      </c>
    </row>
    <row r="4749" spans="26:26" x14ac:dyDescent="0.25">
      <c r="Z4749">
        <v>399997.15224910411</v>
      </c>
    </row>
    <row r="4750" spans="26:26" x14ac:dyDescent="0.25">
      <c r="Z4750">
        <v>399997.15935072728</v>
      </c>
    </row>
    <row r="4751" spans="26:26" x14ac:dyDescent="0.25">
      <c r="Z4751">
        <v>399997.16643464065</v>
      </c>
    </row>
    <row r="4752" spans="26:26" x14ac:dyDescent="0.25">
      <c r="Z4752">
        <v>399997.17350088846</v>
      </c>
    </row>
    <row r="4753" spans="26:26" x14ac:dyDescent="0.25">
      <c r="Z4753">
        <v>399997.1805495146</v>
      </c>
    </row>
    <row r="4754" spans="26:26" x14ac:dyDescent="0.25">
      <c r="Z4754">
        <v>399997.1875805633</v>
      </c>
    </row>
    <row r="4755" spans="26:26" x14ac:dyDescent="0.25">
      <c r="Z4755">
        <v>399997.19459407806</v>
      </c>
    </row>
    <row r="4756" spans="26:26" x14ac:dyDescent="0.25">
      <c r="Z4756">
        <v>399997.20159010281</v>
      </c>
    </row>
    <row r="4757" spans="26:26" x14ac:dyDescent="0.25">
      <c r="Z4757">
        <v>399997.20856868109</v>
      </c>
    </row>
    <row r="4758" spans="26:26" x14ac:dyDescent="0.25">
      <c r="Z4758">
        <v>399997.21552985645</v>
      </c>
    </row>
    <row r="4759" spans="26:26" x14ac:dyDescent="0.25">
      <c r="Z4759">
        <v>399997.2224736723</v>
      </c>
    </row>
    <row r="4760" spans="26:26" x14ac:dyDescent="0.25">
      <c r="Z4760">
        <v>399997.22940017184</v>
      </c>
    </row>
    <row r="4761" spans="26:26" x14ac:dyDescent="0.25">
      <c r="Z4761">
        <v>399997.23630939831</v>
      </c>
    </row>
    <row r="4762" spans="26:26" x14ac:dyDescent="0.25">
      <c r="Z4762">
        <v>399997.24320139486</v>
      </c>
    </row>
    <row r="4763" spans="26:26" x14ac:dyDescent="0.25">
      <c r="Z4763">
        <v>399997.25007620436</v>
      </c>
    </row>
    <row r="4764" spans="26:26" x14ac:dyDescent="0.25">
      <c r="Z4764">
        <v>399997.25693386968</v>
      </c>
    </row>
    <row r="4765" spans="26:26" x14ac:dyDescent="0.25">
      <c r="Z4765">
        <v>399997.26377443364</v>
      </c>
    </row>
    <row r="4766" spans="26:26" x14ac:dyDescent="0.25">
      <c r="Z4766">
        <v>399997.27059793874</v>
      </c>
    </row>
    <row r="4767" spans="26:26" x14ac:dyDescent="0.25">
      <c r="Z4767">
        <v>399997.27740442764</v>
      </c>
    </row>
    <row r="4768" spans="26:26" x14ac:dyDescent="0.25">
      <c r="Z4768">
        <v>399997.28419394285</v>
      </c>
    </row>
    <row r="4769" spans="26:26" x14ac:dyDescent="0.25">
      <c r="Z4769">
        <v>399997.29096652649</v>
      </c>
    </row>
    <row r="4770" spans="26:26" x14ac:dyDescent="0.25">
      <c r="Z4770">
        <v>399997.29772222094</v>
      </c>
    </row>
    <row r="4771" spans="26:26" x14ac:dyDescent="0.25">
      <c r="Z4771">
        <v>399997.3044610683</v>
      </c>
    </row>
    <row r="4772" spans="26:26" x14ac:dyDescent="0.25">
      <c r="Z4772">
        <v>399997.31118311052</v>
      </c>
    </row>
    <row r="4773" spans="26:26" x14ac:dyDescent="0.25">
      <c r="Z4773">
        <v>399997.31788838952</v>
      </c>
    </row>
    <row r="4774" spans="26:26" x14ac:dyDescent="0.25">
      <c r="Z4774">
        <v>399997.32457694714</v>
      </c>
    </row>
    <row r="4775" spans="26:26" x14ac:dyDescent="0.25">
      <c r="Z4775">
        <v>399997.33124882507</v>
      </c>
    </row>
    <row r="4776" spans="26:26" x14ac:dyDescent="0.25">
      <c r="Z4776">
        <v>399997.33790406492</v>
      </c>
    </row>
    <row r="4777" spans="26:26" x14ac:dyDescent="0.25">
      <c r="Z4777">
        <v>399997.34454270813</v>
      </c>
    </row>
    <row r="4778" spans="26:26" x14ac:dyDescent="0.25">
      <c r="Z4778">
        <v>399997.35116479616</v>
      </c>
    </row>
    <row r="4779" spans="26:26" x14ac:dyDescent="0.25">
      <c r="Z4779">
        <v>399997.35777037026</v>
      </c>
    </row>
    <row r="4780" spans="26:26" x14ac:dyDescent="0.25">
      <c r="Z4780">
        <v>399997.3643594716</v>
      </c>
    </row>
    <row r="4781" spans="26:26" x14ac:dyDescent="0.25">
      <c r="Z4781">
        <v>399997.37093214126</v>
      </c>
    </row>
    <row r="4782" spans="26:26" x14ac:dyDescent="0.25">
      <c r="Z4782">
        <v>399997.37748842017</v>
      </c>
    </row>
    <row r="4783" spans="26:26" x14ac:dyDescent="0.25">
      <c r="Z4783">
        <v>399997.3840283493</v>
      </c>
    </row>
    <row r="4784" spans="26:26" x14ac:dyDescent="0.25">
      <c r="Z4784">
        <v>399997.39055196935</v>
      </c>
    </row>
    <row r="4785" spans="26:26" x14ac:dyDescent="0.25">
      <c r="Z4785">
        <v>399997.39705932111</v>
      </c>
    </row>
    <row r="4786" spans="26:26" x14ac:dyDescent="0.25">
      <c r="Z4786">
        <v>399997.40355044493</v>
      </c>
    </row>
    <row r="4787" spans="26:26" x14ac:dyDescent="0.25">
      <c r="Z4787">
        <v>399997.41002538148</v>
      </c>
    </row>
    <row r="4788" spans="26:26" x14ac:dyDescent="0.25">
      <c r="Z4788">
        <v>399997.41648417106</v>
      </c>
    </row>
    <row r="4789" spans="26:26" x14ac:dyDescent="0.25">
      <c r="Z4789">
        <v>399997.42292685393</v>
      </c>
    </row>
    <row r="4790" spans="26:26" x14ac:dyDescent="0.25">
      <c r="Z4790">
        <v>399997.42935347027</v>
      </c>
    </row>
    <row r="4791" spans="26:26" x14ac:dyDescent="0.25">
      <c r="Z4791">
        <v>399997.43576406006</v>
      </c>
    </row>
    <row r="4792" spans="26:26" x14ac:dyDescent="0.25">
      <c r="Z4792">
        <v>399997.44215866347</v>
      </c>
    </row>
    <row r="4793" spans="26:26" x14ac:dyDescent="0.25">
      <c r="Z4793">
        <v>399997.44853732013</v>
      </c>
    </row>
    <row r="4794" spans="26:26" x14ac:dyDescent="0.25">
      <c r="Z4794">
        <v>399997.45490006998</v>
      </c>
    </row>
    <row r="4795" spans="26:26" x14ac:dyDescent="0.25">
      <c r="Z4795">
        <v>399997.46124695259</v>
      </c>
    </row>
    <row r="4796" spans="26:26" x14ac:dyDescent="0.25">
      <c r="Z4796">
        <v>399997.46757800755</v>
      </c>
    </row>
    <row r="4797" spans="26:26" x14ac:dyDescent="0.25">
      <c r="Z4797">
        <v>399997.47389327444</v>
      </c>
    </row>
    <row r="4798" spans="26:26" x14ac:dyDescent="0.25">
      <c r="Z4798">
        <v>399997.48019279243</v>
      </c>
    </row>
    <row r="4799" spans="26:26" x14ac:dyDescent="0.25">
      <c r="Z4799">
        <v>399997.48647660093</v>
      </c>
    </row>
    <row r="4800" spans="26:26" x14ac:dyDescent="0.25">
      <c r="Z4800">
        <v>399997.49274473905</v>
      </c>
    </row>
    <row r="4801" spans="26:26" x14ac:dyDescent="0.25">
      <c r="Z4801">
        <v>399997.49899724592</v>
      </c>
    </row>
    <row r="4802" spans="26:26" x14ac:dyDescent="0.25">
      <c r="Z4802">
        <v>399997.50523416058</v>
      </c>
    </row>
    <row r="4803" spans="26:26" x14ac:dyDescent="0.25">
      <c r="Z4803">
        <v>399997.51145552174</v>
      </c>
    </row>
    <row r="4804" spans="26:26" x14ac:dyDescent="0.25">
      <c r="Z4804">
        <v>399997.5176613683</v>
      </c>
    </row>
    <row r="4805" spans="26:26" x14ac:dyDescent="0.25">
      <c r="Z4805">
        <v>399997.52385173895</v>
      </c>
    </row>
    <row r="4806" spans="26:26" x14ac:dyDescent="0.25">
      <c r="Z4806">
        <v>399997.53002667229</v>
      </c>
    </row>
    <row r="4807" spans="26:26" x14ac:dyDescent="0.25">
      <c r="Z4807">
        <v>399997.53618620679</v>
      </c>
    </row>
    <row r="4808" spans="26:26" x14ac:dyDescent="0.25">
      <c r="Z4808">
        <v>399997.54233038082</v>
      </c>
    </row>
    <row r="4809" spans="26:26" x14ac:dyDescent="0.25">
      <c r="Z4809">
        <v>399997.54845923273</v>
      </c>
    </row>
    <row r="4810" spans="26:26" x14ac:dyDescent="0.25">
      <c r="Z4810">
        <v>399997.55457280076</v>
      </c>
    </row>
    <row r="4811" spans="26:26" x14ac:dyDescent="0.25">
      <c r="Z4811">
        <v>399997.56067112292</v>
      </c>
    </row>
    <row r="4812" spans="26:26" x14ac:dyDescent="0.25">
      <c r="Z4812">
        <v>399997.56675423734</v>
      </c>
    </row>
    <row r="4813" spans="26:26" x14ac:dyDescent="0.25">
      <c r="Z4813">
        <v>399997.57282218186</v>
      </c>
    </row>
    <row r="4814" spans="26:26" x14ac:dyDescent="0.25">
      <c r="Z4814">
        <v>399997.57887499442</v>
      </c>
    </row>
    <row r="4815" spans="26:26" x14ac:dyDescent="0.25">
      <c r="Z4815">
        <v>399997.58491271263</v>
      </c>
    </row>
    <row r="4816" spans="26:26" x14ac:dyDescent="0.25">
      <c r="Z4816">
        <v>399997.5909353742</v>
      </c>
    </row>
    <row r="4817" spans="26:26" x14ac:dyDescent="0.25">
      <c r="Z4817">
        <v>399997.59694301663</v>
      </c>
    </row>
    <row r="4818" spans="26:26" x14ac:dyDescent="0.25">
      <c r="Z4818">
        <v>399997.60293567745</v>
      </c>
    </row>
    <row r="4819" spans="26:26" x14ac:dyDescent="0.25">
      <c r="Z4819">
        <v>399997.60891339398</v>
      </c>
    </row>
    <row r="4820" spans="26:26" x14ac:dyDescent="0.25">
      <c r="Z4820">
        <v>399997.61487620341</v>
      </c>
    </row>
    <row r="4821" spans="26:26" x14ac:dyDescent="0.25">
      <c r="Z4821">
        <v>399997.62082414306</v>
      </c>
    </row>
    <row r="4822" spans="26:26" x14ac:dyDescent="0.25">
      <c r="Z4822">
        <v>399997.62675724999</v>
      </c>
    </row>
    <row r="4823" spans="26:26" x14ac:dyDescent="0.25">
      <c r="Z4823">
        <v>399997.63267556106</v>
      </c>
    </row>
    <row r="4824" spans="26:26" x14ac:dyDescent="0.25">
      <c r="Z4824">
        <v>399997.63857911329</v>
      </c>
    </row>
    <row r="4825" spans="26:26" x14ac:dyDescent="0.25">
      <c r="Z4825">
        <v>399997.64446794341</v>
      </c>
    </row>
    <row r="4826" spans="26:26" x14ac:dyDescent="0.25">
      <c r="Z4826">
        <v>399997.65034208819</v>
      </c>
    </row>
    <row r="4827" spans="26:26" x14ac:dyDescent="0.25">
      <c r="Z4827">
        <v>399997.65620158421</v>
      </c>
    </row>
    <row r="4828" spans="26:26" x14ac:dyDescent="0.25">
      <c r="Z4828">
        <v>399997.66204646806</v>
      </c>
    </row>
    <row r="4829" spans="26:26" x14ac:dyDescent="0.25">
      <c r="Z4829">
        <v>399997.66787677613</v>
      </c>
    </row>
    <row r="4830" spans="26:26" x14ac:dyDescent="0.25">
      <c r="Z4830">
        <v>399997.67369254475</v>
      </c>
    </row>
    <row r="4831" spans="26:26" x14ac:dyDescent="0.25">
      <c r="Z4831">
        <v>399997.67949381022</v>
      </c>
    </row>
    <row r="4832" spans="26:26" x14ac:dyDescent="0.25">
      <c r="Z4832">
        <v>399997.68528060871</v>
      </c>
    </row>
    <row r="4833" spans="26:26" x14ac:dyDescent="0.25">
      <c r="Z4833">
        <v>399997.6910529763</v>
      </c>
    </row>
    <row r="4834" spans="26:26" x14ac:dyDescent="0.25">
      <c r="Z4834">
        <v>399997.6968109489</v>
      </c>
    </row>
    <row r="4835" spans="26:26" x14ac:dyDescent="0.25">
      <c r="Z4835">
        <v>399997.70255456248</v>
      </c>
    </row>
    <row r="4836" spans="26:26" x14ac:dyDescent="0.25">
      <c r="Z4836">
        <v>399997.7082838529</v>
      </c>
    </row>
    <row r="4837" spans="26:26" x14ac:dyDescent="0.25">
      <c r="Z4837">
        <v>399997.71399885573</v>
      </c>
    </row>
    <row r="4838" spans="26:26" x14ac:dyDescent="0.25">
      <c r="Z4838">
        <v>399997.71969960677</v>
      </c>
    </row>
    <row r="4839" spans="26:26" x14ac:dyDescent="0.25">
      <c r="Z4839">
        <v>399997.72538614133</v>
      </c>
    </row>
    <row r="4840" spans="26:26" x14ac:dyDescent="0.25">
      <c r="Z4840">
        <v>399997.73105849512</v>
      </c>
    </row>
    <row r="4841" spans="26:26" x14ac:dyDescent="0.25">
      <c r="Z4841">
        <v>399997.7367167034</v>
      </c>
    </row>
    <row r="4842" spans="26:26" x14ac:dyDescent="0.25">
      <c r="Z4842">
        <v>399997.74236080138</v>
      </c>
    </row>
    <row r="4843" spans="26:26" x14ac:dyDescent="0.25">
      <c r="Z4843">
        <v>399997.74799082434</v>
      </c>
    </row>
    <row r="4844" spans="26:26" x14ac:dyDescent="0.25">
      <c r="Z4844">
        <v>399997.75360680727</v>
      </c>
    </row>
    <row r="4845" spans="26:26" x14ac:dyDescent="0.25">
      <c r="Z4845">
        <v>399997.75920878531</v>
      </c>
    </row>
    <row r="4846" spans="26:26" x14ac:dyDescent="0.25">
      <c r="Z4846">
        <v>399997.76479679334</v>
      </c>
    </row>
    <row r="4847" spans="26:26" x14ac:dyDescent="0.25">
      <c r="Z4847">
        <v>399997.77037086617</v>
      </c>
    </row>
    <row r="4848" spans="26:26" x14ac:dyDescent="0.25">
      <c r="Z4848">
        <v>399997.7759310386</v>
      </c>
    </row>
    <row r="4849" spans="26:26" x14ac:dyDescent="0.25">
      <c r="Z4849">
        <v>399997.78147734521</v>
      </c>
    </row>
    <row r="4850" spans="26:26" x14ac:dyDescent="0.25">
      <c r="Z4850">
        <v>399997.78700982063</v>
      </c>
    </row>
    <row r="4851" spans="26:26" x14ac:dyDescent="0.25">
      <c r="Z4851">
        <v>399997.79252849944</v>
      </c>
    </row>
    <row r="4852" spans="26:26" x14ac:dyDescent="0.25">
      <c r="Z4852">
        <v>399997.79803341586</v>
      </c>
    </row>
    <row r="4853" spans="26:26" x14ac:dyDescent="0.25">
      <c r="Z4853">
        <v>399997.80352460436</v>
      </c>
    </row>
    <row r="4854" spans="26:26" x14ac:dyDescent="0.25">
      <c r="Z4854">
        <v>399997.80900209909</v>
      </c>
    </row>
    <row r="4855" spans="26:26" x14ac:dyDescent="0.25">
      <c r="Z4855">
        <v>399997.81446593429</v>
      </c>
    </row>
    <row r="4856" spans="26:26" x14ac:dyDescent="0.25">
      <c r="Z4856">
        <v>399997.81991614396</v>
      </c>
    </row>
    <row r="4857" spans="26:26" x14ac:dyDescent="0.25">
      <c r="Z4857">
        <v>399997.82535276201</v>
      </c>
    </row>
    <row r="4858" spans="26:26" x14ac:dyDescent="0.25">
      <c r="Z4858">
        <v>399997.83077582245</v>
      </c>
    </row>
    <row r="4859" spans="26:26" x14ac:dyDescent="0.25">
      <c r="Z4859">
        <v>399997.83618535905</v>
      </c>
    </row>
    <row r="4860" spans="26:26" x14ac:dyDescent="0.25">
      <c r="Z4860">
        <v>399997.84158140555</v>
      </c>
    </row>
    <row r="4861" spans="26:26" x14ac:dyDescent="0.25">
      <c r="Z4861">
        <v>399997.84696399554</v>
      </c>
    </row>
    <row r="4862" spans="26:26" x14ac:dyDescent="0.25">
      <c r="Z4862">
        <v>399997.85233316262</v>
      </c>
    </row>
    <row r="4863" spans="26:26" x14ac:dyDescent="0.25">
      <c r="Z4863">
        <v>399997.8576889403</v>
      </c>
    </row>
    <row r="4864" spans="26:26" x14ac:dyDescent="0.25">
      <c r="Z4864">
        <v>399997.86303136195</v>
      </c>
    </row>
    <row r="4865" spans="26:26" x14ac:dyDescent="0.25">
      <c r="Z4865">
        <v>399997.86836046079</v>
      </c>
    </row>
    <row r="4866" spans="26:26" x14ac:dyDescent="0.25">
      <c r="Z4866">
        <v>399997.87367627001</v>
      </c>
    </row>
    <row r="4867" spans="26:26" x14ac:dyDescent="0.25">
      <c r="Z4867">
        <v>399997.87897882302</v>
      </c>
    </row>
    <row r="4868" spans="26:26" x14ac:dyDescent="0.25">
      <c r="Z4868">
        <v>399997.88426815259</v>
      </c>
    </row>
    <row r="4869" spans="26:26" x14ac:dyDescent="0.25">
      <c r="Z4869">
        <v>399997.88954429189</v>
      </c>
    </row>
    <row r="4870" spans="26:26" x14ac:dyDescent="0.25">
      <c r="Z4870">
        <v>399997.8948072737</v>
      </c>
    </row>
    <row r="4871" spans="26:26" x14ac:dyDescent="0.25">
      <c r="Z4871">
        <v>399997.9000571309</v>
      </c>
    </row>
    <row r="4872" spans="26:26" x14ac:dyDescent="0.25">
      <c r="Z4872">
        <v>399997.90529389615</v>
      </c>
    </row>
    <row r="4873" spans="26:26" x14ac:dyDescent="0.25">
      <c r="Z4873">
        <v>399997.91051760211</v>
      </c>
    </row>
    <row r="4874" spans="26:26" x14ac:dyDescent="0.25">
      <c r="Z4874">
        <v>399997.91572828143</v>
      </c>
    </row>
    <row r="4875" spans="26:26" x14ac:dyDescent="0.25">
      <c r="Z4875">
        <v>399997.92092596652</v>
      </c>
    </row>
    <row r="4876" spans="26:26" x14ac:dyDescent="0.25">
      <c r="Z4876">
        <v>399997.92611068976</v>
      </c>
    </row>
    <row r="4877" spans="26:26" x14ac:dyDescent="0.25">
      <c r="Z4877">
        <v>399997.93128248362</v>
      </c>
    </row>
    <row r="4878" spans="26:26" x14ac:dyDescent="0.25">
      <c r="Z4878">
        <v>399997.93644138018</v>
      </c>
    </row>
    <row r="4879" spans="26:26" x14ac:dyDescent="0.25">
      <c r="Z4879">
        <v>399997.94158741162</v>
      </c>
    </row>
    <row r="4880" spans="26:26" x14ac:dyDescent="0.25">
      <c r="Z4880">
        <v>399997.94672061008</v>
      </c>
    </row>
    <row r="4881" spans="26:26" x14ac:dyDescent="0.25">
      <c r="Z4881">
        <v>399997.95184100757</v>
      </c>
    </row>
    <row r="4882" spans="26:26" x14ac:dyDescent="0.25">
      <c r="Z4882">
        <v>399997.95694863598</v>
      </c>
    </row>
    <row r="4883" spans="26:26" x14ac:dyDescent="0.25">
      <c r="Z4883">
        <v>399997.96204352716</v>
      </c>
    </row>
    <row r="4884" spans="26:26" x14ac:dyDescent="0.25">
      <c r="Z4884">
        <v>399997.96712571289</v>
      </c>
    </row>
    <row r="4885" spans="26:26" x14ac:dyDescent="0.25">
      <c r="Z4885">
        <v>399997.97219522484</v>
      </c>
    </row>
    <row r="4886" spans="26:26" x14ac:dyDescent="0.25">
      <c r="Z4886">
        <v>399997.9772520946</v>
      </c>
    </row>
    <row r="4887" spans="26:26" x14ac:dyDescent="0.25">
      <c r="Z4887">
        <v>399997.98229635373</v>
      </c>
    </row>
    <row r="4888" spans="26:26" x14ac:dyDescent="0.25">
      <c r="Z4888">
        <v>399997.9873280336</v>
      </c>
    </row>
    <row r="4889" spans="26:26" x14ac:dyDescent="0.25">
      <c r="Z4889">
        <v>399997.99234716571</v>
      </c>
    </row>
    <row r="4890" spans="26:26" x14ac:dyDescent="0.25">
      <c r="Z4890">
        <v>399997.99735378125</v>
      </c>
    </row>
    <row r="4891" spans="26:26" x14ac:dyDescent="0.25">
      <c r="Z4891">
        <v>399998.00234791148</v>
      </c>
    </row>
    <row r="4892" spans="26:26" x14ac:dyDescent="0.25">
      <c r="Z4892">
        <v>399998.00732958753</v>
      </c>
    </row>
    <row r="4893" spans="26:26" x14ac:dyDescent="0.25">
      <c r="Z4893">
        <v>399998.01229884039</v>
      </c>
    </row>
    <row r="4894" spans="26:26" x14ac:dyDescent="0.25">
      <c r="Z4894">
        <v>399998.01725570118</v>
      </c>
    </row>
    <row r="4895" spans="26:26" x14ac:dyDescent="0.25">
      <c r="Z4895">
        <v>399998.02220020065</v>
      </c>
    </row>
    <row r="4896" spans="26:26" x14ac:dyDescent="0.25">
      <c r="Z4896">
        <v>399998.02713236969</v>
      </c>
    </row>
    <row r="4897" spans="26:26" x14ac:dyDescent="0.25">
      <c r="Z4897">
        <v>399998.03205223911</v>
      </c>
    </row>
    <row r="4898" spans="26:26" x14ac:dyDescent="0.25">
      <c r="Z4898">
        <v>399998.03695983952</v>
      </c>
    </row>
    <row r="4899" spans="26:26" x14ac:dyDescent="0.25">
      <c r="Z4899">
        <v>399998.04185520153</v>
      </c>
    </row>
    <row r="4900" spans="26:26" x14ac:dyDescent="0.25">
      <c r="Z4900">
        <v>399998.0467383556</v>
      </c>
    </row>
    <row r="4901" spans="26:26" x14ac:dyDescent="0.25">
      <c r="Z4901">
        <v>399998.05160933227</v>
      </c>
    </row>
    <row r="4902" spans="26:26" x14ac:dyDescent="0.25">
      <c r="Z4902">
        <v>399998.05646816187</v>
      </c>
    </row>
    <row r="4903" spans="26:26" x14ac:dyDescent="0.25">
      <c r="Z4903">
        <v>399998.06131487468</v>
      </c>
    </row>
    <row r="4904" spans="26:26" x14ac:dyDescent="0.25">
      <c r="Z4904">
        <v>399998.06614950096</v>
      </c>
    </row>
    <row r="4905" spans="26:26" x14ac:dyDescent="0.25">
      <c r="Z4905">
        <v>399998.07097207074</v>
      </c>
    </row>
    <row r="4906" spans="26:26" x14ac:dyDescent="0.25">
      <c r="Z4906">
        <v>399998.07578261424</v>
      </c>
    </row>
    <row r="4907" spans="26:26" x14ac:dyDescent="0.25">
      <c r="Z4907">
        <v>399998.08058116131</v>
      </c>
    </row>
    <row r="4908" spans="26:26" x14ac:dyDescent="0.25">
      <c r="Z4908">
        <v>399998.08536774199</v>
      </c>
    </row>
    <row r="4909" spans="26:26" x14ac:dyDescent="0.25">
      <c r="Z4909">
        <v>399998.09014238603</v>
      </c>
    </row>
    <row r="4910" spans="26:26" x14ac:dyDescent="0.25">
      <c r="Z4910">
        <v>399998.09490512317</v>
      </c>
    </row>
    <row r="4911" spans="26:26" x14ac:dyDescent="0.25">
      <c r="Z4911">
        <v>399998.09965598327</v>
      </c>
    </row>
    <row r="4912" spans="26:26" x14ac:dyDescent="0.25">
      <c r="Z4912">
        <v>399998.10439499578</v>
      </c>
    </row>
    <row r="4913" spans="26:26" x14ac:dyDescent="0.25">
      <c r="Z4913">
        <v>399998.10912219028</v>
      </c>
    </row>
    <row r="4914" spans="26:26" x14ac:dyDescent="0.25">
      <c r="Z4914">
        <v>399998.11383759626</v>
      </c>
    </row>
    <row r="4915" spans="26:26" x14ac:dyDescent="0.25">
      <c r="Z4915">
        <v>399998.1185412432</v>
      </c>
    </row>
    <row r="4916" spans="26:26" x14ac:dyDescent="0.25">
      <c r="Z4916">
        <v>399998.1232331603</v>
      </c>
    </row>
    <row r="4917" spans="26:26" x14ac:dyDescent="0.25">
      <c r="Z4917">
        <v>399998.12791337684</v>
      </c>
    </row>
    <row r="4918" spans="26:26" x14ac:dyDescent="0.25">
      <c r="Z4918">
        <v>399998.13258192205</v>
      </c>
    </row>
    <row r="4919" spans="26:26" x14ac:dyDescent="0.25">
      <c r="Z4919">
        <v>399998.13723882497</v>
      </c>
    </row>
    <row r="4920" spans="26:26" x14ac:dyDescent="0.25">
      <c r="Z4920">
        <v>399998.14188411471</v>
      </c>
    </row>
    <row r="4921" spans="26:26" x14ac:dyDescent="0.25">
      <c r="Z4921">
        <v>399998.14651782013</v>
      </c>
    </row>
    <row r="4922" spans="26:26" x14ac:dyDescent="0.25">
      <c r="Z4922">
        <v>399998.15113997017</v>
      </c>
    </row>
    <row r="4923" spans="26:26" x14ac:dyDescent="0.25">
      <c r="Z4923">
        <v>399998.15575059375</v>
      </c>
    </row>
    <row r="4924" spans="26:26" x14ac:dyDescent="0.25">
      <c r="Z4924">
        <v>399998.16034971946</v>
      </c>
    </row>
    <row r="4925" spans="26:26" x14ac:dyDescent="0.25">
      <c r="Z4925">
        <v>399998.16493737604</v>
      </c>
    </row>
    <row r="4926" spans="26:26" x14ac:dyDescent="0.25">
      <c r="Z4926">
        <v>399998.16951359203</v>
      </c>
    </row>
    <row r="4927" spans="26:26" x14ac:dyDescent="0.25">
      <c r="Z4927">
        <v>399998.17407839606</v>
      </c>
    </row>
    <row r="4928" spans="26:26" x14ac:dyDescent="0.25">
      <c r="Z4928">
        <v>399998.17863181647</v>
      </c>
    </row>
    <row r="4929" spans="26:26" x14ac:dyDescent="0.25">
      <c r="Z4929">
        <v>399998.18317388173</v>
      </c>
    </row>
    <row r="4930" spans="26:26" x14ac:dyDescent="0.25">
      <c r="Z4930">
        <v>399998.18770462024</v>
      </c>
    </row>
    <row r="4931" spans="26:26" x14ac:dyDescent="0.25">
      <c r="Z4931">
        <v>399998.19222406007</v>
      </c>
    </row>
    <row r="4932" spans="26:26" x14ac:dyDescent="0.25">
      <c r="Z4932">
        <v>399998.19673222949</v>
      </c>
    </row>
    <row r="4933" spans="26:26" x14ac:dyDescent="0.25">
      <c r="Z4933">
        <v>399998.20122915664</v>
      </c>
    </row>
    <row r="4934" spans="26:26" x14ac:dyDescent="0.25">
      <c r="Z4934">
        <v>399998.20571486943</v>
      </c>
    </row>
    <row r="4935" spans="26:26" x14ac:dyDescent="0.25">
      <c r="Z4935">
        <v>399998.21018939593</v>
      </c>
    </row>
    <row r="4936" spans="26:26" x14ac:dyDescent="0.25">
      <c r="Z4936">
        <v>399998.21465276403</v>
      </c>
    </row>
    <row r="4937" spans="26:26" x14ac:dyDescent="0.25">
      <c r="Z4937">
        <v>399998.21910500154</v>
      </c>
    </row>
    <row r="4938" spans="26:26" x14ac:dyDescent="0.25">
      <c r="Z4938">
        <v>399998.22354613617</v>
      </c>
    </row>
    <row r="4939" spans="26:26" x14ac:dyDescent="0.25">
      <c r="Z4939">
        <v>399998.22797619569</v>
      </c>
    </row>
    <row r="4940" spans="26:26" x14ac:dyDescent="0.25">
      <c r="Z4940">
        <v>399998.23239520768</v>
      </c>
    </row>
    <row r="4941" spans="26:26" x14ac:dyDescent="0.25">
      <c r="Z4941">
        <v>399998.23680319969</v>
      </c>
    </row>
    <row r="4942" spans="26:26" x14ac:dyDescent="0.25">
      <c r="Z4942">
        <v>399998.24120019918</v>
      </c>
    </row>
    <row r="4943" spans="26:26" x14ac:dyDescent="0.25">
      <c r="Z4943">
        <v>399998.24558623356</v>
      </c>
    </row>
    <row r="4944" spans="26:26" x14ac:dyDescent="0.25">
      <c r="Z4944">
        <v>399998.24996133026</v>
      </c>
    </row>
    <row r="4945" spans="26:26" x14ac:dyDescent="0.25">
      <c r="Z4945">
        <v>399998.25432551652</v>
      </c>
    </row>
    <row r="4946" spans="26:26" x14ac:dyDescent="0.25">
      <c r="Z4946">
        <v>399998.25867881946</v>
      </c>
    </row>
    <row r="4947" spans="26:26" x14ac:dyDescent="0.25">
      <c r="Z4947">
        <v>399998.26302126626</v>
      </c>
    </row>
    <row r="4948" spans="26:26" x14ac:dyDescent="0.25">
      <c r="Z4948">
        <v>399998.26735288405</v>
      </c>
    </row>
    <row r="4949" spans="26:26" x14ac:dyDescent="0.25">
      <c r="Z4949">
        <v>399998.27167369984</v>
      </c>
    </row>
    <row r="4950" spans="26:26" x14ac:dyDescent="0.25">
      <c r="Z4950">
        <v>399998.27598374046</v>
      </c>
    </row>
    <row r="4951" spans="26:26" x14ac:dyDescent="0.25">
      <c r="Z4951">
        <v>399998.28028303292</v>
      </c>
    </row>
    <row r="4952" spans="26:26" x14ac:dyDescent="0.25">
      <c r="Z4952">
        <v>399998.28457160387</v>
      </c>
    </row>
    <row r="4953" spans="26:26" x14ac:dyDescent="0.25">
      <c r="Z4953">
        <v>399998.28884948016</v>
      </c>
    </row>
    <row r="4954" spans="26:26" x14ac:dyDescent="0.25">
      <c r="Z4954">
        <v>399998.29311668844</v>
      </c>
    </row>
    <row r="4955" spans="26:26" x14ac:dyDescent="0.25">
      <c r="Z4955">
        <v>399998.29737325531</v>
      </c>
    </row>
    <row r="4956" spans="26:26" x14ac:dyDescent="0.25">
      <c r="Z4956">
        <v>399998.30161920725</v>
      </c>
    </row>
    <row r="4957" spans="26:26" x14ac:dyDescent="0.25">
      <c r="Z4957">
        <v>399998.30585457082</v>
      </c>
    </row>
    <row r="4958" spans="26:26" x14ac:dyDescent="0.25">
      <c r="Z4958">
        <v>399998.31007937243</v>
      </c>
    </row>
    <row r="4959" spans="26:26" x14ac:dyDescent="0.25">
      <c r="Z4959">
        <v>399998.31429363834</v>
      </c>
    </row>
    <row r="4960" spans="26:26" x14ac:dyDescent="0.25">
      <c r="Z4960">
        <v>399998.31849739485</v>
      </c>
    </row>
    <row r="4961" spans="26:26" x14ac:dyDescent="0.25">
      <c r="Z4961">
        <v>399998.32269066817</v>
      </c>
    </row>
    <row r="4962" spans="26:26" x14ac:dyDescent="0.25">
      <c r="Z4962">
        <v>399998.32687348448</v>
      </c>
    </row>
    <row r="4963" spans="26:26" x14ac:dyDescent="0.25">
      <c r="Z4963">
        <v>399998.3310458698</v>
      </c>
    </row>
    <row r="4964" spans="26:26" x14ac:dyDescent="0.25">
      <c r="Z4964">
        <v>399998.33520785021</v>
      </c>
    </row>
    <row r="4965" spans="26:26" x14ac:dyDescent="0.25">
      <c r="Z4965">
        <v>399998.33935945149</v>
      </c>
    </row>
    <row r="4966" spans="26:26" x14ac:dyDescent="0.25">
      <c r="Z4966">
        <v>399998.34350069979</v>
      </c>
    </row>
    <row r="4967" spans="26:26" x14ac:dyDescent="0.25">
      <c r="Z4967">
        <v>399998.34763162077</v>
      </c>
    </row>
    <row r="4968" spans="26:26" x14ac:dyDescent="0.25">
      <c r="Z4968">
        <v>399998.35175224009</v>
      </c>
    </row>
    <row r="4969" spans="26:26" x14ac:dyDescent="0.25">
      <c r="Z4969">
        <v>399998.35586258367</v>
      </c>
    </row>
    <row r="4970" spans="26:26" x14ac:dyDescent="0.25">
      <c r="Z4970">
        <v>399998.35996267694</v>
      </c>
    </row>
    <row r="4971" spans="26:26" x14ac:dyDescent="0.25">
      <c r="Z4971">
        <v>399998.36405254557</v>
      </c>
    </row>
    <row r="4972" spans="26:26" x14ac:dyDescent="0.25">
      <c r="Z4972">
        <v>399998.36813221511</v>
      </c>
    </row>
    <row r="4973" spans="26:26" x14ac:dyDescent="0.25">
      <c r="Z4973">
        <v>399998.37220171076</v>
      </c>
    </row>
    <row r="4974" spans="26:26" x14ac:dyDescent="0.25">
      <c r="Z4974">
        <v>399998.37626105815</v>
      </c>
    </row>
    <row r="4975" spans="26:26" x14ac:dyDescent="0.25">
      <c r="Z4975">
        <v>399998.3803102824</v>
      </c>
    </row>
    <row r="4976" spans="26:26" x14ac:dyDescent="0.25">
      <c r="Z4976">
        <v>399998.38434940891</v>
      </c>
    </row>
    <row r="4977" spans="26:26" x14ac:dyDescent="0.25">
      <c r="Z4977">
        <v>399998.38837846275</v>
      </c>
    </row>
    <row r="4978" spans="26:26" x14ac:dyDescent="0.25">
      <c r="Z4978">
        <v>399998.39239746908</v>
      </c>
    </row>
    <row r="4979" spans="26:26" x14ac:dyDescent="0.25">
      <c r="Z4979">
        <v>399998.39640645299</v>
      </c>
    </row>
    <row r="4980" spans="26:26" x14ac:dyDescent="0.25">
      <c r="Z4980">
        <v>399998.40040543937</v>
      </c>
    </row>
    <row r="4981" spans="26:26" x14ac:dyDescent="0.25">
      <c r="Z4981">
        <v>399998.40439445322</v>
      </c>
    </row>
    <row r="4982" spans="26:26" x14ac:dyDescent="0.25">
      <c r="Z4982">
        <v>399998.40837351943</v>
      </c>
    </row>
    <row r="4983" spans="26:26" x14ac:dyDescent="0.25">
      <c r="Z4983">
        <v>399998.41234266281</v>
      </c>
    </row>
    <row r="4984" spans="26:26" x14ac:dyDescent="0.25">
      <c r="Z4984">
        <v>399998.41630190797</v>
      </c>
    </row>
    <row r="4985" spans="26:26" x14ac:dyDescent="0.25">
      <c r="Z4985">
        <v>399998.42025127984</v>
      </c>
    </row>
    <row r="4986" spans="26:26" x14ac:dyDescent="0.25">
      <c r="Z4986">
        <v>399998.42419080279</v>
      </c>
    </row>
    <row r="4987" spans="26:26" x14ac:dyDescent="0.25">
      <c r="Z4987">
        <v>399998.42812050157</v>
      </c>
    </row>
    <row r="4988" spans="26:26" x14ac:dyDescent="0.25">
      <c r="Z4988">
        <v>399998.43204040057</v>
      </c>
    </row>
    <row r="4989" spans="26:26" x14ac:dyDescent="0.25">
      <c r="Z4989">
        <v>399998.43595052423</v>
      </c>
    </row>
    <row r="4990" spans="26:26" x14ac:dyDescent="0.25">
      <c r="Z4990">
        <v>399998.439850897</v>
      </c>
    </row>
    <row r="4991" spans="26:26" x14ac:dyDescent="0.25">
      <c r="Z4991">
        <v>399998.4437415431</v>
      </c>
    </row>
    <row r="4992" spans="26:26" x14ac:dyDescent="0.25">
      <c r="Z4992">
        <v>399998.44762248691</v>
      </c>
    </row>
    <row r="4993" spans="26:26" x14ac:dyDescent="0.25">
      <c r="Z4993">
        <v>399998.45149375254</v>
      </c>
    </row>
    <row r="4994" spans="26:26" x14ac:dyDescent="0.25">
      <c r="Z4994">
        <v>399998.45535536413</v>
      </c>
    </row>
    <row r="4995" spans="26:26" x14ac:dyDescent="0.25">
      <c r="Z4995">
        <v>399998.45920734579</v>
      </c>
    </row>
    <row r="4996" spans="26:26" x14ac:dyDescent="0.25">
      <c r="Z4996">
        <v>399998.4630497215</v>
      </c>
    </row>
    <row r="4997" spans="26:26" x14ac:dyDescent="0.25">
      <c r="Z4997">
        <v>399998.46688251517</v>
      </c>
    </row>
    <row r="4998" spans="26:26" x14ac:dyDescent="0.25">
      <c r="Z4998">
        <v>399998.47070575081</v>
      </c>
    </row>
    <row r="4999" spans="26:26" x14ac:dyDescent="0.25">
      <c r="Z4999">
        <v>399998.47451945214</v>
      </c>
    </row>
    <row r="5000" spans="26:26" x14ac:dyDescent="0.25">
      <c r="Z5000">
        <v>399998.4783236431</v>
      </c>
    </row>
    <row r="5001" spans="26:26" x14ac:dyDescent="0.25">
      <c r="Z5001">
        <v>399998.48211834719</v>
      </c>
    </row>
    <row r="5002" spans="26:26" x14ac:dyDescent="0.25">
      <c r="Z5002">
        <v>399998.48590358824</v>
      </c>
    </row>
    <row r="5003" spans="26:26" x14ac:dyDescent="0.25">
      <c r="Z5003">
        <v>399998.48967938975</v>
      </c>
    </row>
    <row r="5004" spans="26:26" x14ac:dyDescent="0.25">
      <c r="Z5004">
        <v>399998.4934457753</v>
      </c>
    </row>
    <row r="5005" spans="26:26" x14ac:dyDescent="0.25">
      <c r="Z5005">
        <v>399998.4972027684</v>
      </c>
    </row>
    <row r="5006" spans="26:26" x14ac:dyDescent="0.25">
      <c r="Z5006">
        <v>399998.50095039239</v>
      </c>
    </row>
    <row r="5007" spans="26:26" x14ac:dyDescent="0.25">
      <c r="Z5007">
        <v>399998.50468867074</v>
      </c>
    </row>
    <row r="5008" spans="26:26" x14ac:dyDescent="0.25">
      <c r="Z5008">
        <v>399998.50841762661</v>
      </c>
    </row>
    <row r="5009" spans="26:26" x14ac:dyDescent="0.25">
      <c r="Z5009">
        <v>399998.51213728345</v>
      </c>
    </row>
    <row r="5010" spans="26:26" x14ac:dyDescent="0.25">
      <c r="Z5010">
        <v>399998.51584766427</v>
      </c>
    </row>
    <row r="5011" spans="26:26" x14ac:dyDescent="0.25">
      <c r="Z5011">
        <v>399998.51954879233</v>
      </c>
    </row>
    <row r="5012" spans="26:26" x14ac:dyDescent="0.25">
      <c r="Z5012">
        <v>399998.52324069059</v>
      </c>
    </row>
    <row r="5013" spans="26:26" x14ac:dyDescent="0.25">
      <c r="Z5013">
        <v>399998.52692338219</v>
      </c>
    </row>
    <row r="5014" spans="26:26" x14ac:dyDescent="0.25">
      <c r="Z5014">
        <v>399998.5305968899</v>
      </c>
    </row>
    <row r="5015" spans="26:26" x14ac:dyDescent="0.25">
      <c r="Z5015">
        <v>399998.53426123678</v>
      </c>
    </row>
    <row r="5016" spans="26:26" x14ac:dyDescent="0.25">
      <c r="Z5016">
        <v>399998.5379164457</v>
      </c>
    </row>
    <row r="5017" spans="26:26" x14ac:dyDescent="0.25">
      <c r="Z5017">
        <v>399998.54156253935</v>
      </c>
    </row>
    <row r="5018" spans="26:26" x14ac:dyDescent="0.25">
      <c r="Z5018">
        <v>399998.5451995405</v>
      </c>
    </row>
    <row r="5019" spans="26:26" x14ac:dyDescent="0.25">
      <c r="Z5019">
        <v>399998.54882747179</v>
      </c>
    </row>
    <row r="5020" spans="26:26" x14ac:dyDescent="0.25">
      <c r="Z5020">
        <v>399998.55244635593</v>
      </c>
    </row>
    <row r="5021" spans="26:26" x14ac:dyDescent="0.25">
      <c r="Z5021">
        <v>399998.55605621543</v>
      </c>
    </row>
    <row r="5022" spans="26:26" x14ac:dyDescent="0.25">
      <c r="Z5022">
        <v>399998.55965707271</v>
      </c>
    </row>
    <row r="5023" spans="26:26" x14ac:dyDescent="0.25">
      <c r="Z5023">
        <v>399998.56324895035</v>
      </c>
    </row>
    <row r="5024" spans="26:26" x14ac:dyDescent="0.25">
      <c r="Z5024">
        <v>399998.56683187064</v>
      </c>
    </row>
    <row r="5025" spans="26:26" x14ac:dyDescent="0.25">
      <c r="Z5025">
        <v>399998.57040585601</v>
      </c>
    </row>
    <row r="5026" spans="26:26" x14ac:dyDescent="0.25">
      <c r="Z5026">
        <v>399998.57397092867</v>
      </c>
    </row>
    <row r="5027" spans="26:26" x14ac:dyDescent="0.25">
      <c r="Z5027">
        <v>399998.57752711093</v>
      </c>
    </row>
    <row r="5028" spans="26:26" x14ac:dyDescent="0.25">
      <c r="Z5028">
        <v>399998.58107442484</v>
      </c>
    </row>
    <row r="5029" spans="26:26" x14ac:dyDescent="0.25">
      <c r="Z5029">
        <v>399998.58461289265</v>
      </c>
    </row>
    <row r="5030" spans="26:26" x14ac:dyDescent="0.25">
      <c r="Z5030">
        <v>399998.58814253629</v>
      </c>
    </row>
    <row r="5031" spans="26:26" x14ac:dyDescent="0.25">
      <c r="Z5031">
        <v>399998.59166337783</v>
      </c>
    </row>
    <row r="5032" spans="26:26" x14ac:dyDescent="0.25">
      <c r="Z5032">
        <v>399998.5951754392</v>
      </c>
    </row>
    <row r="5033" spans="26:26" x14ac:dyDescent="0.25">
      <c r="Z5033">
        <v>399998.59867874236</v>
      </c>
    </row>
    <row r="5034" spans="26:26" x14ac:dyDescent="0.25">
      <c r="Z5034">
        <v>399998.60217330907</v>
      </c>
    </row>
    <row r="5035" spans="26:26" x14ac:dyDescent="0.25">
      <c r="Z5035">
        <v>399998.60565916117</v>
      </c>
    </row>
    <row r="5036" spans="26:26" x14ac:dyDescent="0.25">
      <c r="Z5036">
        <v>399998.60913632036</v>
      </c>
    </row>
    <row r="5037" spans="26:26" x14ac:dyDescent="0.25">
      <c r="Z5037">
        <v>399998.61260480835</v>
      </c>
    </row>
    <row r="5038" spans="26:26" x14ac:dyDescent="0.25">
      <c r="Z5038">
        <v>399998.61606464681</v>
      </c>
    </row>
    <row r="5039" spans="26:26" x14ac:dyDescent="0.25">
      <c r="Z5039">
        <v>399998.61951585714</v>
      </c>
    </row>
    <row r="5040" spans="26:26" x14ac:dyDescent="0.25">
      <c r="Z5040">
        <v>399998.62295846094</v>
      </c>
    </row>
    <row r="5041" spans="26:26" x14ac:dyDescent="0.25">
      <c r="Z5041">
        <v>399998.62639247975</v>
      </c>
    </row>
    <row r="5042" spans="26:26" x14ac:dyDescent="0.25">
      <c r="Z5042">
        <v>399998.62981793494</v>
      </c>
    </row>
    <row r="5043" spans="26:26" x14ac:dyDescent="0.25">
      <c r="Z5043">
        <v>399998.6332348478</v>
      </c>
    </row>
    <row r="5044" spans="26:26" x14ac:dyDescent="0.25">
      <c r="Z5044">
        <v>399998.6366432397</v>
      </c>
    </row>
    <row r="5045" spans="26:26" x14ac:dyDescent="0.25">
      <c r="Z5045">
        <v>399998.64004313189</v>
      </c>
    </row>
    <row r="5046" spans="26:26" x14ac:dyDescent="0.25">
      <c r="Z5046">
        <v>399998.64343454555</v>
      </c>
    </row>
    <row r="5047" spans="26:26" x14ac:dyDescent="0.25">
      <c r="Z5047">
        <v>399998.64681750175</v>
      </c>
    </row>
    <row r="5048" spans="26:26" x14ac:dyDescent="0.25">
      <c r="Z5048">
        <v>399998.65019202168</v>
      </c>
    </row>
    <row r="5049" spans="26:26" x14ac:dyDescent="0.25">
      <c r="Z5049">
        <v>399998.65355812642</v>
      </c>
    </row>
    <row r="5050" spans="26:26" x14ac:dyDescent="0.25">
      <c r="Z5050">
        <v>399998.65691583679</v>
      </c>
    </row>
    <row r="5051" spans="26:26" x14ac:dyDescent="0.25">
      <c r="Z5051">
        <v>399998.66026517388</v>
      </c>
    </row>
    <row r="5052" spans="26:26" x14ac:dyDescent="0.25">
      <c r="Z5052">
        <v>399998.66360615852</v>
      </c>
    </row>
    <row r="5053" spans="26:26" x14ac:dyDescent="0.25">
      <c r="Z5053">
        <v>399998.66693881142</v>
      </c>
    </row>
    <row r="5054" spans="26:26" x14ac:dyDescent="0.25">
      <c r="Z5054">
        <v>399998.67026315362</v>
      </c>
    </row>
    <row r="5055" spans="26:26" x14ac:dyDescent="0.25">
      <c r="Z5055">
        <v>399998.67357920558</v>
      </c>
    </row>
    <row r="5056" spans="26:26" x14ac:dyDescent="0.25">
      <c r="Z5056">
        <v>399998.67688698811</v>
      </c>
    </row>
    <row r="5057" spans="26:26" x14ac:dyDescent="0.25">
      <c r="Z5057">
        <v>399998.68018652184</v>
      </c>
    </row>
    <row r="5058" spans="26:26" x14ac:dyDescent="0.25">
      <c r="Z5058">
        <v>399998.68347782723</v>
      </c>
    </row>
    <row r="5059" spans="26:26" x14ac:dyDescent="0.25">
      <c r="Z5059">
        <v>399998.68676092493</v>
      </c>
    </row>
    <row r="5060" spans="26:26" x14ac:dyDescent="0.25">
      <c r="Z5060">
        <v>399998.69003583532</v>
      </c>
    </row>
    <row r="5061" spans="26:26" x14ac:dyDescent="0.25">
      <c r="Z5061">
        <v>399998.69330257887</v>
      </c>
    </row>
    <row r="5062" spans="26:26" x14ac:dyDescent="0.25">
      <c r="Z5062">
        <v>399998.69656117592</v>
      </c>
    </row>
    <row r="5063" spans="26:26" x14ac:dyDescent="0.25">
      <c r="Z5063">
        <v>399998.69981164677</v>
      </c>
    </row>
    <row r="5064" spans="26:26" x14ac:dyDescent="0.25">
      <c r="Z5064">
        <v>399998.70305401174</v>
      </c>
    </row>
    <row r="5065" spans="26:26" x14ac:dyDescent="0.25">
      <c r="Z5065">
        <v>399998.70628829102</v>
      </c>
    </row>
    <row r="5066" spans="26:26" x14ac:dyDescent="0.25">
      <c r="Z5066">
        <v>399998.70951450476</v>
      </c>
    </row>
    <row r="5067" spans="26:26" x14ac:dyDescent="0.25">
      <c r="Z5067">
        <v>399998.7127326731</v>
      </c>
    </row>
    <row r="5068" spans="26:26" x14ac:dyDescent="0.25">
      <c r="Z5068">
        <v>399998.71594281605</v>
      </c>
    </row>
    <row r="5069" spans="26:26" x14ac:dyDescent="0.25">
      <c r="Z5069">
        <v>399998.71914495371</v>
      </c>
    </row>
    <row r="5070" spans="26:26" x14ac:dyDescent="0.25">
      <c r="Z5070">
        <v>399998.72233910591</v>
      </c>
    </row>
    <row r="5071" spans="26:26" x14ac:dyDescent="0.25">
      <c r="Z5071">
        <v>399998.72552529268</v>
      </c>
    </row>
    <row r="5072" spans="26:26" x14ac:dyDescent="0.25">
      <c r="Z5072">
        <v>399998.72870353382</v>
      </c>
    </row>
    <row r="5073" spans="26:26" x14ac:dyDescent="0.25">
      <c r="Z5073">
        <v>399998.73187384923</v>
      </c>
    </row>
    <row r="5074" spans="26:26" x14ac:dyDescent="0.25">
      <c r="Z5074">
        <v>399998.73503625859</v>
      </c>
    </row>
    <row r="5075" spans="26:26" x14ac:dyDescent="0.25">
      <c r="Z5075">
        <v>399998.73819078167</v>
      </c>
    </row>
    <row r="5076" spans="26:26" x14ac:dyDescent="0.25">
      <c r="Z5076">
        <v>399998.74133743806</v>
      </c>
    </row>
    <row r="5077" spans="26:26" x14ac:dyDescent="0.25">
      <c r="Z5077">
        <v>399998.7444762474</v>
      </c>
    </row>
    <row r="5078" spans="26:26" x14ac:dyDescent="0.25">
      <c r="Z5078">
        <v>399998.74760722934</v>
      </c>
    </row>
    <row r="5079" spans="26:26" x14ac:dyDescent="0.25">
      <c r="Z5079">
        <v>399998.75073040335</v>
      </c>
    </row>
    <row r="5080" spans="26:26" x14ac:dyDescent="0.25">
      <c r="Z5080">
        <v>399998.75384578883</v>
      </c>
    </row>
    <row r="5081" spans="26:26" x14ac:dyDescent="0.25">
      <c r="Z5081">
        <v>399998.75695340539</v>
      </c>
    </row>
    <row r="5082" spans="26:26" x14ac:dyDescent="0.25">
      <c r="Z5082">
        <v>399998.76005327218</v>
      </c>
    </row>
    <row r="5083" spans="26:26" x14ac:dyDescent="0.25">
      <c r="Z5083">
        <v>399998.76314540859</v>
      </c>
    </row>
    <row r="5084" spans="26:26" x14ac:dyDescent="0.25">
      <c r="Z5084">
        <v>399998.76622983406</v>
      </c>
    </row>
    <row r="5085" spans="26:26" x14ac:dyDescent="0.25">
      <c r="Z5085">
        <v>399998.76930656761</v>
      </c>
    </row>
    <row r="5086" spans="26:26" x14ac:dyDescent="0.25">
      <c r="Z5086">
        <v>399998.77237562853</v>
      </c>
    </row>
    <row r="5087" spans="26:26" x14ac:dyDescent="0.25">
      <c r="Z5087">
        <v>399998.77543703601</v>
      </c>
    </row>
    <row r="5088" spans="26:26" x14ac:dyDescent="0.25">
      <c r="Z5088">
        <v>399998.77849080891</v>
      </c>
    </row>
    <row r="5089" spans="26:26" x14ac:dyDescent="0.25">
      <c r="Z5089">
        <v>399998.78153696656</v>
      </c>
    </row>
    <row r="5090" spans="26:26" x14ac:dyDescent="0.25">
      <c r="Z5090">
        <v>399998.78457552771</v>
      </c>
    </row>
    <row r="5091" spans="26:26" x14ac:dyDescent="0.25">
      <c r="Z5091">
        <v>399998.78760651144</v>
      </c>
    </row>
    <row r="5092" spans="26:26" x14ac:dyDescent="0.25">
      <c r="Z5092">
        <v>399998.79062993662</v>
      </c>
    </row>
    <row r="5093" spans="26:26" x14ac:dyDescent="0.25">
      <c r="Z5093">
        <v>399998.79364582204</v>
      </c>
    </row>
    <row r="5094" spans="26:26" x14ac:dyDescent="0.25">
      <c r="Z5094">
        <v>399998.79665418656</v>
      </c>
    </row>
    <row r="5095" spans="26:26" x14ac:dyDescent="0.25">
      <c r="Z5095">
        <v>399998.79965504893</v>
      </c>
    </row>
    <row r="5096" spans="26:26" x14ac:dyDescent="0.25">
      <c r="Z5096">
        <v>399998.8026484279</v>
      </c>
    </row>
    <row r="5097" spans="26:26" x14ac:dyDescent="0.25">
      <c r="Z5097">
        <v>399998.80563434202</v>
      </c>
    </row>
    <row r="5098" spans="26:26" x14ac:dyDescent="0.25">
      <c r="Z5098">
        <v>399998.80861281004</v>
      </c>
    </row>
    <row r="5099" spans="26:26" x14ac:dyDescent="0.25">
      <c r="Z5099">
        <v>399998.81158385036</v>
      </c>
    </row>
    <row r="5100" spans="26:26" x14ac:dyDescent="0.25">
      <c r="Z5100">
        <v>399998.81454748166</v>
      </c>
    </row>
    <row r="5101" spans="26:26" x14ac:dyDescent="0.25">
      <c r="Z5101">
        <v>399998.81750372238</v>
      </c>
    </row>
    <row r="5102" spans="26:26" x14ac:dyDescent="0.25">
      <c r="Z5102">
        <v>399998.82045259088</v>
      </c>
    </row>
    <row r="5103" spans="26:26" x14ac:dyDescent="0.25">
      <c r="Z5103">
        <v>399998.82339410565</v>
      </c>
    </row>
    <row r="5104" spans="26:26" x14ac:dyDescent="0.25">
      <c r="Z5104">
        <v>399998.82632828492</v>
      </c>
    </row>
    <row r="5105" spans="26:26" x14ac:dyDescent="0.25">
      <c r="Z5105">
        <v>399998.82925514708</v>
      </c>
    </row>
    <row r="5106" spans="26:26" x14ac:dyDescent="0.25">
      <c r="Z5106">
        <v>399998.83217471029</v>
      </c>
    </row>
    <row r="5107" spans="26:26" x14ac:dyDescent="0.25">
      <c r="Z5107">
        <v>399998.83508699277</v>
      </c>
    </row>
    <row r="5108" spans="26:26" x14ac:dyDescent="0.25">
      <c r="Z5108">
        <v>399998.83799201273</v>
      </c>
    </row>
    <row r="5109" spans="26:26" x14ac:dyDescent="0.25">
      <c r="Z5109">
        <v>399998.84088978829</v>
      </c>
    </row>
    <row r="5110" spans="26:26" x14ac:dyDescent="0.25">
      <c r="Z5110">
        <v>399998.84378033743</v>
      </c>
    </row>
    <row r="5111" spans="26:26" x14ac:dyDescent="0.25">
      <c r="Z5111">
        <v>399998.84666367824</v>
      </c>
    </row>
    <row r="5112" spans="26:26" x14ac:dyDescent="0.25">
      <c r="Z5112">
        <v>399998.84953982866</v>
      </c>
    </row>
    <row r="5113" spans="26:26" x14ac:dyDescent="0.25">
      <c r="Z5113">
        <v>399998.85240880668</v>
      </c>
    </row>
    <row r="5114" spans="26:26" x14ac:dyDescent="0.25">
      <c r="Z5114">
        <v>399998.85527063004</v>
      </c>
    </row>
    <row r="5115" spans="26:26" x14ac:dyDescent="0.25">
      <c r="Z5115">
        <v>399998.85812531679</v>
      </c>
    </row>
    <row r="5116" spans="26:26" x14ac:dyDescent="0.25">
      <c r="Z5116">
        <v>399998.86097288458</v>
      </c>
    </row>
    <row r="5117" spans="26:26" x14ac:dyDescent="0.25">
      <c r="Z5117">
        <v>399998.8638133512</v>
      </c>
    </row>
    <row r="5118" spans="26:26" x14ac:dyDescent="0.25">
      <c r="Z5118">
        <v>399998.86664673436</v>
      </c>
    </row>
    <row r="5119" spans="26:26" x14ac:dyDescent="0.25">
      <c r="Z5119">
        <v>399998.86947305169</v>
      </c>
    </row>
    <row r="5120" spans="26:26" x14ac:dyDescent="0.25">
      <c r="Z5120">
        <v>399998.87229232094</v>
      </c>
    </row>
    <row r="5121" spans="26:26" x14ac:dyDescent="0.25">
      <c r="Z5121">
        <v>399998.87510455953</v>
      </c>
    </row>
    <row r="5122" spans="26:26" x14ac:dyDescent="0.25">
      <c r="Z5122">
        <v>399998.87790978508</v>
      </c>
    </row>
    <row r="5123" spans="26:26" x14ac:dyDescent="0.25">
      <c r="Z5123">
        <v>399998.880708015</v>
      </c>
    </row>
    <row r="5124" spans="26:26" x14ac:dyDescent="0.25">
      <c r="Z5124">
        <v>399998.88349926687</v>
      </c>
    </row>
    <row r="5125" spans="26:26" x14ac:dyDescent="0.25">
      <c r="Z5125">
        <v>399998.88628355798</v>
      </c>
    </row>
    <row r="5126" spans="26:26" x14ac:dyDescent="0.25">
      <c r="Z5126">
        <v>399998.88906090573</v>
      </c>
    </row>
    <row r="5127" spans="26:26" x14ac:dyDescent="0.25">
      <c r="Z5127">
        <v>399998.8918313274</v>
      </c>
    </row>
    <row r="5128" spans="26:26" x14ac:dyDescent="0.25">
      <c r="Z5128">
        <v>399998.8945948403</v>
      </c>
    </row>
    <row r="5129" spans="26:26" x14ac:dyDescent="0.25">
      <c r="Z5129">
        <v>399998.89735146164</v>
      </c>
    </row>
    <row r="5130" spans="26:26" x14ac:dyDescent="0.25">
      <c r="Z5130">
        <v>399998.90010120859</v>
      </c>
    </row>
    <row r="5131" spans="26:26" x14ac:dyDescent="0.25">
      <c r="Z5131">
        <v>399998.90284409834</v>
      </c>
    </row>
    <row r="5132" spans="26:26" x14ac:dyDescent="0.25">
      <c r="Z5132">
        <v>399998.90558014798</v>
      </c>
    </row>
    <row r="5133" spans="26:26" x14ac:dyDescent="0.25">
      <c r="Z5133">
        <v>399998.90830937453</v>
      </c>
    </row>
    <row r="5134" spans="26:26" x14ac:dyDescent="0.25">
      <c r="Z5134">
        <v>399998.91103179508</v>
      </c>
    </row>
    <row r="5135" spans="26:26" x14ac:dyDescent="0.25">
      <c r="Z5135">
        <v>399998.91374742653</v>
      </c>
    </row>
    <row r="5136" spans="26:26" x14ac:dyDescent="0.25">
      <c r="Z5136">
        <v>399998.91645628575</v>
      </c>
    </row>
    <row r="5137" spans="26:26" x14ac:dyDescent="0.25">
      <c r="Z5137">
        <v>399998.91915838985</v>
      </c>
    </row>
    <row r="5138" spans="26:26" x14ac:dyDescent="0.25">
      <c r="Z5138">
        <v>399998.92185375548</v>
      </c>
    </row>
    <row r="5139" spans="26:26" x14ac:dyDescent="0.25">
      <c r="Z5139">
        <v>399998.92454239941</v>
      </c>
    </row>
    <row r="5140" spans="26:26" x14ac:dyDescent="0.25">
      <c r="Z5140">
        <v>399998.92722433858</v>
      </c>
    </row>
    <row r="5141" spans="26:26" x14ac:dyDescent="0.25">
      <c r="Z5141">
        <v>399998.92989958962</v>
      </c>
    </row>
    <row r="5142" spans="26:26" x14ac:dyDescent="0.25">
      <c r="Z5142">
        <v>399998.9325681692</v>
      </c>
    </row>
    <row r="5143" spans="26:26" x14ac:dyDescent="0.25">
      <c r="Z5143">
        <v>399998.93523009395</v>
      </c>
    </row>
    <row r="5144" spans="26:26" x14ac:dyDescent="0.25">
      <c r="Z5144">
        <v>399998.93788538052</v>
      </c>
    </row>
    <row r="5145" spans="26:26" x14ac:dyDescent="0.25">
      <c r="Z5145">
        <v>399998.94053404534</v>
      </c>
    </row>
    <row r="5146" spans="26:26" x14ac:dyDescent="0.25">
      <c r="Z5146">
        <v>399998.94317610509</v>
      </c>
    </row>
    <row r="5147" spans="26:26" x14ac:dyDescent="0.25">
      <c r="Z5147">
        <v>399998.94581157615</v>
      </c>
    </row>
    <row r="5148" spans="26:26" x14ac:dyDescent="0.25">
      <c r="Z5148">
        <v>399998.94844047498</v>
      </c>
    </row>
    <row r="5149" spans="26:26" x14ac:dyDescent="0.25">
      <c r="Z5149">
        <v>399998.95106281794</v>
      </c>
    </row>
    <row r="5150" spans="26:26" x14ac:dyDescent="0.25">
      <c r="Z5150">
        <v>399998.95367862139</v>
      </c>
    </row>
    <row r="5151" spans="26:26" x14ac:dyDescent="0.25">
      <c r="Z5151">
        <v>399998.95628790162</v>
      </c>
    </row>
    <row r="5152" spans="26:26" x14ac:dyDescent="0.25">
      <c r="Z5152">
        <v>399998.95889067499</v>
      </c>
    </row>
    <row r="5153" spans="26:26" x14ac:dyDescent="0.25">
      <c r="Z5153">
        <v>399998.96148695756</v>
      </c>
    </row>
    <row r="5154" spans="26:26" x14ac:dyDescent="0.25">
      <c r="Z5154">
        <v>399998.96407676564</v>
      </c>
    </row>
    <row r="5155" spans="26:26" x14ac:dyDescent="0.25">
      <c r="Z5155">
        <v>399998.96666011534</v>
      </c>
    </row>
    <row r="5156" spans="26:26" x14ac:dyDescent="0.25">
      <c r="Z5156">
        <v>399998.9692370228</v>
      </c>
    </row>
    <row r="5157" spans="26:26" x14ac:dyDescent="0.25">
      <c r="Z5157">
        <v>399998.97180750401</v>
      </c>
    </row>
    <row r="5158" spans="26:26" x14ac:dyDescent="0.25">
      <c r="Z5158">
        <v>399998.97437157511</v>
      </c>
    </row>
    <row r="5159" spans="26:26" x14ac:dyDescent="0.25">
      <c r="Z5159">
        <v>399998.97692925198</v>
      </c>
    </row>
    <row r="5160" spans="26:26" x14ac:dyDescent="0.25">
      <c r="Z5160">
        <v>399998.97948055057</v>
      </c>
    </row>
    <row r="5161" spans="26:26" x14ac:dyDescent="0.25">
      <c r="Z5161">
        <v>399998.98202548688</v>
      </c>
    </row>
    <row r="5162" spans="26:26" x14ac:dyDescent="0.25">
      <c r="Z5162">
        <v>399998.9845640767</v>
      </c>
    </row>
    <row r="5163" spans="26:26" x14ac:dyDescent="0.25">
      <c r="Z5163">
        <v>399998.98709633586</v>
      </c>
    </row>
    <row r="5164" spans="26:26" x14ac:dyDescent="0.25">
      <c r="Z5164">
        <v>399998.98962228018</v>
      </c>
    </row>
    <row r="5165" spans="26:26" x14ac:dyDescent="0.25">
      <c r="Z5165">
        <v>399998.99214192538</v>
      </c>
    </row>
    <row r="5166" spans="26:26" x14ac:dyDescent="0.25">
      <c r="Z5166">
        <v>399998.99465528713</v>
      </c>
    </row>
    <row r="5167" spans="26:26" x14ac:dyDescent="0.25">
      <c r="Z5167">
        <v>399998.99716238119</v>
      </c>
    </row>
    <row r="5168" spans="26:26" x14ac:dyDescent="0.25">
      <c r="Z5168">
        <v>399998.99966322311</v>
      </c>
    </row>
    <row r="5169" spans="26:26" x14ac:dyDescent="0.25">
      <c r="Z5169">
        <v>399999.00215782854</v>
      </c>
    </row>
    <row r="5170" spans="26:26" x14ac:dyDescent="0.25">
      <c r="Z5170">
        <v>399999.00464621303</v>
      </c>
    </row>
    <row r="5171" spans="26:26" x14ac:dyDescent="0.25">
      <c r="Z5171">
        <v>399999.007128392</v>
      </c>
    </row>
    <row r="5172" spans="26:26" x14ac:dyDescent="0.25">
      <c r="Z5172">
        <v>399999.00960438105</v>
      </c>
    </row>
    <row r="5173" spans="26:26" x14ac:dyDescent="0.25">
      <c r="Z5173">
        <v>399999.01207419555</v>
      </c>
    </row>
    <row r="5174" spans="26:26" x14ac:dyDescent="0.25">
      <c r="Z5174">
        <v>399999.01453785098</v>
      </c>
    </row>
    <row r="5175" spans="26:26" x14ac:dyDescent="0.25">
      <c r="Z5175">
        <v>399999.01699536253</v>
      </c>
    </row>
    <row r="5176" spans="26:26" x14ac:dyDescent="0.25">
      <c r="Z5176">
        <v>399999.01944674563</v>
      </c>
    </row>
    <row r="5177" spans="26:26" x14ac:dyDescent="0.25">
      <c r="Z5177">
        <v>399999.02189201565</v>
      </c>
    </row>
    <row r="5178" spans="26:26" x14ac:dyDescent="0.25">
      <c r="Z5178">
        <v>399999.02433118765</v>
      </c>
    </row>
    <row r="5179" spans="26:26" x14ac:dyDescent="0.25">
      <c r="Z5179">
        <v>399999.02676427702</v>
      </c>
    </row>
    <row r="5180" spans="26:26" x14ac:dyDescent="0.25">
      <c r="Z5180">
        <v>399999.02919129876</v>
      </c>
    </row>
    <row r="5181" spans="26:26" x14ac:dyDescent="0.25">
      <c r="Z5181">
        <v>399999.03161226807</v>
      </c>
    </row>
    <row r="5182" spans="26:26" x14ac:dyDescent="0.25">
      <c r="Z5182">
        <v>399999.03402720008</v>
      </c>
    </row>
    <row r="5183" spans="26:26" x14ac:dyDescent="0.25">
      <c r="Z5183">
        <v>399999.0364361098</v>
      </c>
    </row>
    <row r="5184" spans="26:26" x14ac:dyDescent="0.25">
      <c r="Z5184">
        <v>399999.03883901221</v>
      </c>
    </row>
    <row r="5185" spans="26:26" x14ac:dyDescent="0.25">
      <c r="Z5185">
        <v>399999.04123592243</v>
      </c>
    </row>
    <row r="5186" spans="26:26" x14ac:dyDescent="0.25">
      <c r="Z5186">
        <v>399999.0436268553</v>
      </c>
    </row>
    <row r="5187" spans="26:26" x14ac:dyDescent="0.25">
      <c r="Z5187">
        <v>399999.04601182573</v>
      </c>
    </row>
    <row r="5188" spans="26:26" x14ac:dyDescent="0.25">
      <c r="Z5188">
        <v>399999.04839084862</v>
      </c>
    </row>
    <row r="5189" spans="26:26" x14ac:dyDescent="0.25">
      <c r="Z5189">
        <v>399999.05076393881</v>
      </c>
    </row>
    <row r="5190" spans="26:26" x14ac:dyDescent="0.25">
      <c r="Z5190">
        <v>399999.05313111102</v>
      </c>
    </row>
    <row r="5191" spans="26:26" x14ac:dyDescent="0.25">
      <c r="Z5191">
        <v>399999.05549238005</v>
      </c>
    </row>
    <row r="5192" spans="26:26" x14ac:dyDescent="0.25">
      <c r="Z5192">
        <v>399999.05784776062</v>
      </c>
    </row>
    <row r="5193" spans="26:26" x14ac:dyDescent="0.25">
      <c r="Z5193">
        <v>399999.06019726745</v>
      </c>
    </row>
    <row r="5194" spans="26:26" x14ac:dyDescent="0.25">
      <c r="Z5194">
        <v>399999.06254091521</v>
      </c>
    </row>
    <row r="5195" spans="26:26" x14ac:dyDescent="0.25">
      <c r="Z5195">
        <v>399999.0648787184</v>
      </c>
    </row>
    <row r="5196" spans="26:26" x14ac:dyDescent="0.25">
      <c r="Z5196">
        <v>399999.06721069169</v>
      </c>
    </row>
    <row r="5197" spans="26:26" x14ac:dyDescent="0.25">
      <c r="Z5197">
        <v>399999.06953684957</v>
      </c>
    </row>
    <row r="5198" spans="26:26" x14ac:dyDescent="0.25">
      <c r="Z5198">
        <v>399999.07185720652</v>
      </c>
    </row>
    <row r="5199" spans="26:26" x14ac:dyDescent="0.25">
      <c r="Z5199">
        <v>399999.07417177712</v>
      </c>
    </row>
    <row r="5200" spans="26:26" x14ac:dyDescent="0.25">
      <c r="Z5200">
        <v>399999.07648057566</v>
      </c>
    </row>
    <row r="5201" spans="26:26" x14ac:dyDescent="0.25">
      <c r="Z5201">
        <v>399999.0787836166</v>
      </c>
    </row>
    <row r="5202" spans="26:26" x14ac:dyDescent="0.25">
      <c r="Z5202">
        <v>399999.0810809143</v>
      </c>
    </row>
    <row r="5203" spans="26:26" x14ac:dyDescent="0.25">
      <c r="Z5203">
        <v>399999.08337248309</v>
      </c>
    </row>
    <row r="5204" spans="26:26" x14ac:dyDescent="0.25">
      <c r="Z5204">
        <v>399999.08565833722</v>
      </c>
    </row>
    <row r="5205" spans="26:26" x14ac:dyDescent="0.25">
      <c r="Z5205">
        <v>399999.08793849102</v>
      </c>
    </row>
    <row r="5206" spans="26:26" x14ac:dyDescent="0.25">
      <c r="Z5206">
        <v>399999.09021295863</v>
      </c>
    </row>
    <row r="5207" spans="26:26" x14ac:dyDescent="0.25">
      <c r="Z5207">
        <v>399999.09248175425</v>
      </c>
    </row>
    <row r="5208" spans="26:26" x14ac:dyDescent="0.25">
      <c r="Z5208">
        <v>399999.09474489203</v>
      </c>
    </row>
    <row r="5209" spans="26:26" x14ac:dyDescent="0.25">
      <c r="Z5209">
        <v>399999.09700238606</v>
      </c>
    </row>
    <row r="5210" spans="26:26" x14ac:dyDescent="0.25">
      <c r="Z5210">
        <v>399999.09925425047</v>
      </c>
    </row>
    <row r="5211" spans="26:26" x14ac:dyDescent="0.25">
      <c r="Z5211">
        <v>399999.10150049918</v>
      </c>
    </row>
    <row r="5212" spans="26:26" x14ac:dyDescent="0.25">
      <c r="Z5212">
        <v>399999.10374114633</v>
      </c>
    </row>
    <row r="5213" spans="26:26" x14ac:dyDescent="0.25">
      <c r="Z5213">
        <v>399999.10597620578</v>
      </c>
    </row>
    <row r="5214" spans="26:26" x14ac:dyDescent="0.25">
      <c r="Z5214">
        <v>399999.10820569162</v>
      </c>
    </row>
    <row r="5215" spans="26:26" x14ac:dyDescent="0.25">
      <c r="Z5215">
        <v>399999.11042961752</v>
      </c>
    </row>
    <row r="5216" spans="26:26" x14ac:dyDescent="0.25">
      <c r="Z5216">
        <v>399999.11264799751</v>
      </c>
    </row>
    <row r="5217" spans="26:26" x14ac:dyDescent="0.25">
      <c r="Z5217">
        <v>399999.11486084544</v>
      </c>
    </row>
    <row r="5218" spans="26:26" x14ac:dyDescent="0.25">
      <c r="Z5218">
        <v>399999.11706817499</v>
      </c>
    </row>
    <row r="5219" spans="26:26" x14ac:dyDescent="0.25">
      <c r="Z5219">
        <v>399999.11926999997</v>
      </c>
    </row>
    <row r="5220" spans="26:26" x14ac:dyDescent="0.25">
      <c r="Z5220">
        <v>399999.12146633421</v>
      </c>
    </row>
    <row r="5221" spans="26:26" x14ac:dyDescent="0.25">
      <c r="Z5221">
        <v>399999.12365719117</v>
      </c>
    </row>
    <row r="5222" spans="26:26" x14ac:dyDescent="0.25">
      <c r="Z5222">
        <v>399999.1258425847</v>
      </c>
    </row>
    <row r="5223" spans="26:26" x14ac:dyDescent="0.25">
      <c r="Z5223">
        <v>399999.12802252837</v>
      </c>
    </row>
    <row r="5224" spans="26:26" x14ac:dyDescent="0.25">
      <c r="Z5224">
        <v>399999.13019703579</v>
      </c>
    </row>
    <row r="5225" spans="26:26" x14ac:dyDescent="0.25">
      <c r="Z5225">
        <v>399999.13236612052</v>
      </c>
    </row>
    <row r="5226" spans="26:26" x14ac:dyDescent="0.25">
      <c r="Z5226">
        <v>399999.13452979596</v>
      </c>
    </row>
    <row r="5227" spans="26:26" x14ac:dyDescent="0.25">
      <c r="Z5227">
        <v>399999.13668807584</v>
      </c>
    </row>
    <row r="5228" spans="26:26" x14ac:dyDescent="0.25">
      <c r="Z5228">
        <v>399999.13884097338</v>
      </c>
    </row>
    <row r="5229" spans="26:26" x14ac:dyDescent="0.25">
      <c r="Z5229">
        <v>399999.14098850219</v>
      </c>
    </row>
    <row r="5230" spans="26:26" x14ac:dyDescent="0.25">
      <c r="Z5230">
        <v>399999.14313067542</v>
      </c>
    </row>
    <row r="5231" spans="26:26" x14ac:dyDescent="0.25">
      <c r="Z5231">
        <v>399999.14526750665</v>
      </c>
    </row>
    <row r="5232" spans="26:26" x14ac:dyDescent="0.25">
      <c r="Z5232">
        <v>399999.14739900921</v>
      </c>
    </row>
    <row r="5233" spans="26:26" x14ac:dyDescent="0.25">
      <c r="Z5233">
        <v>399999.14952519618</v>
      </c>
    </row>
    <row r="5234" spans="26:26" x14ac:dyDescent="0.25">
      <c r="Z5234">
        <v>399999.15164608095</v>
      </c>
    </row>
    <row r="5235" spans="26:26" x14ac:dyDescent="0.25">
      <c r="Z5235">
        <v>399999.15376167675</v>
      </c>
    </row>
    <row r="5236" spans="26:26" x14ac:dyDescent="0.25">
      <c r="Z5236">
        <v>399999.15587199677</v>
      </c>
    </row>
    <row r="5237" spans="26:26" x14ac:dyDescent="0.25">
      <c r="Z5237">
        <v>399999.15797705413</v>
      </c>
    </row>
    <row r="5238" spans="26:26" x14ac:dyDescent="0.25">
      <c r="Z5238">
        <v>399999.16007686197</v>
      </c>
    </row>
    <row r="5239" spans="26:26" x14ac:dyDescent="0.25">
      <c r="Z5239">
        <v>399999.16217143339</v>
      </c>
    </row>
    <row r="5240" spans="26:26" x14ac:dyDescent="0.25">
      <c r="Z5240">
        <v>399999.16426078149</v>
      </c>
    </row>
    <row r="5241" spans="26:26" x14ac:dyDescent="0.25">
      <c r="Z5241">
        <v>399999.16634491913</v>
      </c>
    </row>
    <row r="5242" spans="26:26" x14ac:dyDescent="0.25">
      <c r="Z5242">
        <v>399999.16842385952</v>
      </c>
    </row>
    <row r="5243" spans="26:26" x14ac:dyDescent="0.25">
      <c r="Z5243">
        <v>399999.17049761547</v>
      </c>
    </row>
    <row r="5244" spans="26:26" x14ac:dyDescent="0.25">
      <c r="Z5244">
        <v>399999.17256619997</v>
      </c>
    </row>
    <row r="5245" spans="26:26" x14ac:dyDescent="0.25">
      <c r="Z5245">
        <v>399999.17462962586</v>
      </c>
    </row>
    <row r="5246" spans="26:26" x14ac:dyDescent="0.25">
      <c r="Z5246">
        <v>399999.17668790615</v>
      </c>
    </row>
    <row r="5247" spans="26:26" x14ac:dyDescent="0.25">
      <c r="Z5247">
        <v>399999.1787410535</v>
      </c>
    </row>
    <row r="5248" spans="26:26" x14ac:dyDescent="0.25">
      <c r="Z5248">
        <v>399999.1807890808</v>
      </c>
    </row>
    <row r="5249" spans="26:26" x14ac:dyDescent="0.25">
      <c r="Z5249">
        <v>399999.18283200084</v>
      </c>
    </row>
    <row r="5250" spans="26:26" x14ac:dyDescent="0.25">
      <c r="Z5250">
        <v>399999.18486982625</v>
      </c>
    </row>
    <row r="5251" spans="26:26" x14ac:dyDescent="0.25">
      <c r="Z5251">
        <v>399999.18690256978</v>
      </c>
    </row>
    <row r="5252" spans="26:26" x14ac:dyDescent="0.25">
      <c r="Z5252">
        <v>399999.18893024419</v>
      </c>
    </row>
    <row r="5253" spans="26:26" x14ac:dyDescent="0.25">
      <c r="Z5253">
        <v>399999.19095286203</v>
      </c>
    </row>
    <row r="5254" spans="26:26" x14ac:dyDescent="0.25">
      <c r="Z5254">
        <v>399999.19297043595</v>
      </c>
    </row>
    <row r="5255" spans="26:26" x14ac:dyDescent="0.25">
      <c r="Z5255">
        <v>399999.19498297852</v>
      </c>
    </row>
    <row r="5256" spans="26:26" x14ac:dyDescent="0.25">
      <c r="Z5256">
        <v>399999.19699050224</v>
      </c>
    </row>
    <row r="5257" spans="26:26" x14ac:dyDescent="0.25">
      <c r="Z5257">
        <v>399999.1989930197</v>
      </c>
    </row>
    <row r="5258" spans="26:26" x14ac:dyDescent="0.25">
      <c r="Z5258">
        <v>399999.20099054335</v>
      </c>
    </row>
    <row r="5259" spans="26:26" x14ac:dyDescent="0.25">
      <c r="Z5259">
        <v>399999.20298308559</v>
      </c>
    </row>
    <row r="5260" spans="26:26" x14ac:dyDescent="0.25">
      <c r="Z5260">
        <v>399999.20497065893</v>
      </c>
    </row>
    <row r="5261" spans="26:26" x14ac:dyDescent="0.25">
      <c r="Z5261">
        <v>399999.20695327577</v>
      </c>
    </row>
    <row r="5262" spans="26:26" x14ac:dyDescent="0.25">
      <c r="Z5262">
        <v>399999.20893094846</v>
      </c>
    </row>
    <row r="5263" spans="26:26" x14ac:dyDescent="0.25">
      <c r="Z5263">
        <v>399999.21090368921</v>
      </c>
    </row>
    <row r="5264" spans="26:26" x14ac:dyDescent="0.25">
      <c r="Z5264">
        <v>399999.21287151042</v>
      </c>
    </row>
    <row r="5265" spans="26:26" x14ac:dyDescent="0.25">
      <c r="Z5265">
        <v>399999.21483442438</v>
      </c>
    </row>
    <row r="5266" spans="26:26" x14ac:dyDescent="0.25">
      <c r="Z5266">
        <v>399999.21679244324</v>
      </c>
    </row>
    <row r="5267" spans="26:26" x14ac:dyDescent="0.25">
      <c r="Z5267">
        <v>399999.2187455793</v>
      </c>
    </row>
    <row r="5268" spans="26:26" x14ac:dyDescent="0.25">
      <c r="Z5268">
        <v>399999.22069384472</v>
      </c>
    </row>
    <row r="5269" spans="26:26" x14ac:dyDescent="0.25">
      <c r="Z5269">
        <v>399999.22263725154</v>
      </c>
    </row>
    <row r="5270" spans="26:26" x14ac:dyDescent="0.25">
      <c r="Z5270">
        <v>399999.224575812</v>
      </c>
    </row>
    <row r="5271" spans="26:26" x14ac:dyDescent="0.25">
      <c r="Z5271">
        <v>399999.22650953819</v>
      </c>
    </row>
    <row r="5272" spans="26:26" x14ac:dyDescent="0.25">
      <c r="Z5272">
        <v>399999.22843844211</v>
      </c>
    </row>
    <row r="5273" spans="26:26" x14ac:dyDescent="0.25">
      <c r="Z5273">
        <v>399999.23036253575</v>
      </c>
    </row>
    <row r="5274" spans="26:26" x14ac:dyDescent="0.25">
      <c r="Z5274">
        <v>399999.23228183121</v>
      </c>
    </row>
    <row r="5275" spans="26:26" x14ac:dyDescent="0.25">
      <c r="Z5275">
        <v>399999.23419634032</v>
      </c>
    </row>
    <row r="5276" spans="26:26" x14ac:dyDescent="0.25">
      <c r="Z5276">
        <v>399999.23610607511</v>
      </c>
    </row>
    <row r="5277" spans="26:26" x14ac:dyDescent="0.25">
      <c r="Z5277">
        <v>399999.23801104748</v>
      </c>
    </row>
    <row r="5278" spans="26:26" x14ac:dyDescent="0.25">
      <c r="Z5278">
        <v>399999.23991126934</v>
      </c>
    </row>
    <row r="5279" spans="26:26" x14ac:dyDescent="0.25">
      <c r="Z5279">
        <v>399999.24180675246</v>
      </c>
    </row>
    <row r="5280" spans="26:26" x14ac:dyDescent="0.25">
      <c r="Z5280">
        <v>399999.2436975087</v>
      </c>
    </row>
    <row r="5281" spans="26:26" x14ac:dyDescent="0.25">
      <c r="Z5281">
        <v>399999.24558354978</v>
      </c>
    </row>
    <row r="5282" spans="26:26" x14ac:dyDescent="0.25">
      <c r="Z5282">
        <v>399999.24746488757</v>
      </c>
    </row>
    <row r="5283" spans="26:26" x14ac:dyDescent="0.25">
      <c r="Z5283">
        <v>399999.24934153375</v>
      </c>
    </row>
    <row r="5284" spans="26:26" x14ac:dyDescent="0.25">
      <c r="Z5284">
        <v>399999.25121349999</v>
      </c>
    </row>
    <row r="5285" spans="26:26" x14ac:dyDescent="0.25">
      <c r="Z5285">
        <v>399999.25308079802</v>
      </c>
    </row>
    <row r="5286" spans="26:26" x14ac:dyDescent="0.25">
      <c r="Z5286">
        <v>399999.25494343945</v>
      </c>
    </row>
    <row r="5287" spans="26:26" x14ac:dyDescent="0.25">
      <c r="Z5287">
        <v>399999.25680143584</v>
      </c>
    </row>
    <row r="5288" spans="26:26" x14ac:dyDescent="0.25">
      <c r="Z5288">
        <v>399999.25865479879</v>
      </c>
    </row>
    <row r="5289" spans="26:26" x14ac:dyDescent="0.25">
      <c r="Z5289">
        <v>399999.26050353999</v>
      </c>
    </row>
    <row r="5290" spans="26:26" x14ac:dyDescent="0.25">
      <c r="Z5290">
        <v>399999.2623476708</v>
      </c>
    </row>
    <row r="5291" spans="26:26" x14ac:dyDescent="0.25">
      <c r="Z5291">
        <v>399999.26418720285</v>
      </c>
    </row>
    <row r="5292" spans="26:26" x14ac:dyDescent="0.25">
      <c r="Z5292">
        <v>399999.26602214738</v>
      </c>
    </row>
    <row r="5293" spans="26:26" x14ac:dyDescent="0.25">
      <c r="Z5293">
        <v>399999.26785251615</v>
      </c>
    </row>
    <row r="5294" spans="26:26" x14ac:dyDescent="0.25">
      <c r="Z5294">
        <v>399999.26967832033</v>
      </c>
    </row>
    <row r="5295" spans="26:26" x14ac:dyDescent="0.25">
      <c r="Z5295">
        <v>399999.27149957139</v>
      </c>
    </row>
    <row r="5296" spans="26:26" x14ac:dyDescent="0.25">
      <c r="Z5296">
        <v>399999.27331628074</v>
      </c>
    </row>
    <row r="5297" spans="26:26" x14ac:dyDescent="0.25">
      <c r="Z5297">
        <v>399999.27512845956</v>
      </c>
    </row>
    <row r="5298" spans="26:26" x14ac:dyDescent="0.25">
      <c r="Z5298">
        <v>399999.27693611925</v>
      </c>
    </row>
    <row r="5299" spans="26:26" x14ac:dyDescent="0.25">
      <c r="Z5299">
        <v>399999.2787392711</v>
      </c>
    </row>
    <row r="5300" spans="26:26" x14ac:dyDescent="0.25">
      <c r="Z5300">
        <v>399999.28053792624</v>
      </c>
    </row>
    <row r="5301" spans="26:26" x14ac:dyDescent="0.25">
      <c r="Z5301">
        <v>399999.28233209607</v>
      </c>
    </row>
    <row r="5302" spans="26:26" x14ac:dyDescent="0.25">
      <c r="Z5302">
        <v>399999.28412179154</v>
      </c>
    </row>
    <row r="5303" spans="26:26" x14ac:dyDescent="0.25">
      <c r="Z5303">
        <v>399999.28590702399</v>
      </c>
    </row>
    <row r="5304" spans="26:26" x14ac:dyDescent="0.25">
      <c r="Z5304">
        <v>399999.28768780443</v>
      </c>
    </row>
    <row r="5305" spans="26:26" x14ac:dyDescent="0.25">
      <c r="Z5305">
        <v>399999.28946414409</v>
      </c>
    </row>
    <row r="5306" spans="26:26" x14ac:dyDescent="0.25">
      <c r="Z5306">
        <v>399999.29123605398</v>
      </c>
    </row>
    <row r="5307" spans="26:26" x14ac:dyDescent="0.25">
      <c r="Z5307">
        <v>399999.29300354508</v>
      </c>
    </row>
    <row r="5308" spans="26:26" x14ac:dyDescent="0.25">
      <c r="Z5308">
        <v>399999.29476662853</v>
      </c>
    </row>
    <row r="5309" spans="26:26" x14ac:dyDescent="0.25">
      <c r="Z5309">
        <v>399999.29652531527</v>
      </c>
    </row>
    <row r="5310" spans="26:26" x14ac:dyDescent="0.25">
      <c r="Z5310">
        <v>399999.29827961617</v>
      </c>
    </row>
    <row r="5311" spans="26:26" x14ac:dyDescent="0.25">
      <c r="Z5311">
        <v>399999.30002954236</v>
      </c>
    </row>
    <row r="5312" spans="26:26" x14ac:dyDescent="0.25">
      <c r="Z5312">
        <v>399999.3017751046</v>
      </c>
    </row>
    <row r="5313" spans="26:26" x14ac:dyDescent="0.25">
      <c r="Z5313">
        <v>399999.30351631384</v>
      </c>
    </row>
    <row r="5314" spans="26:26" x14ac:dyDescent="0.25">
      <c r="Z5314">
        <v>399999.30525318085</v>
      </c>
    </row>
    <row r="5315" spans="26:26" x14ac:dyDescent="0.25">
      <c r="Z5315">
        <v>399999.30698571657</v>
      </c>
    </row>
    <row r="5316" spans="26:26" x14ac:dyDescent="0.25">
      <c r="Z5316">
        <v>399999.30871393176</v>
      </c>
    </row>
    <row r="5317" spans="26:26" x14ac:dyDescent="0.25">
      <c r="Z5317">
        <v>399999.31043783715</v>
      </c>
    </row>
    <row r="5318" spans="26:26" x14ac:dyDescent="0.25">
      <c r="Z5318">
        <v>399999.31215744355</v>
      </c>
    </row>
    <row r="5319" spans="26:26" x14ac:dyDescent="0.25">
      <c r="Z5319">
        <v>399999.31387276162</v>
      </c>
    </row>
    <row r="5320" spans="26:26" x14ac:dyDescent="0.25">
      <c r="Z5320">
        <v>399999.31558380218</v>
      </c>
    </row>
    <row r="5321" spans="26:26" x14ac:dyDescent="0.25">
      <c r="Z5321">
        <v>399999.31729057571</v>
      </c>
    </row>
    <row r="5322" spans="26:26" x14ac:dyDescent="0.25">
      <c r="Z5322">
        <v>399999.31899309292</v>
      </c>
    </row>
    <row r="5323" spans="26:26" x14ac:dyDescent="0.25">
      <c r="Z5323">
        <v>399999.32069136458</v>
      </c>
    </row>
    <row r="5324" spans="26:26" x14ac:dyDescent="0.25">
      <c r="Z5324">
        <v>399999.32238540106</v>
      </c>
    </row>
    <row r="5325" spans="26:26" x14ac:dyDescent="0.25">
      <c r="Z5325">
        <v>399999.32407521299</v>
      </c>
    </row>
    <row r="5326" spans="26:26" x14ac:dyDescent="0.25">
      <c r="Z5326">
        <v>399999.32576081099</v>
      </c>
    </row>
    <row r="5327" spans="26:26" x14ac:dyDescent="0.25">
      <c r="Z5327">
        <v>399999.32744220545</v>
      </c>
    </row>
    <row r="5328" spans="26:26" x14ac:dyDescent="0.25">
      <c r="Z5328">
        <v>399999.32911940693</v>
      </c>
    </row>
    <row r="5329" spans="26:26" x14ac:dyDescent="0.25">
      <c r="Z5329">
        <v>399999.33079242584</v>
      </c>
    </row>
    <row r="5330" spans="26:26" x14ac:dyDescent="0.25">
      <c r="Z5330">
        <v>399999.33246127272</v>
      </c>
    </row>
    <row r="5331" spans="26:26" x14ac:dyDescent="0.25">
      <c r="Z5331">
        <v>399999.3341259578</v>
      </c>
    </row>
    <row r="5332" spans="26:26" x14ac:dyDescent="0.25">
      <c r="Z5332">
        <v>399999.33578649157</v>
      </c>
    </row>
    <row r="5333" spans="26:26" x14ac:dyDescent="0.25">
      <c r="Z5333">
        <v>399999.33744288434</v>
      </c>
    </row>
    <row r="5334" spans="26:26" x14ac:dyDescent="0.25">
      <c r="Z5334">
        <v>399999.33909514651</v>
      </c>
    </row>
    <row r="5335" spans="26:26" x14ac:dyDescent="0.25">
      <c r="Z5335">
        <v>399999.34074328828</v>
      </c>
    </row>
    <row r="5336" spans="26:26" x14ac:dyDescent="0.25">
      <c r="Z5336">
        <v>399999.34238731995</v>
      </c>
    </row>
    <row r="5337" spans="26:26" x14ac:dyDescent="0.25">
      <c r="Z5337">
        <v>399999.34402725188</v>
      </c>
    </row>
    <row r="5338" spans="26:26" x14ac:dyDescent="0.25">
      <c r="Z5338">
        <v>399999.34566309414</v>
      </c>
    </row>
    <row r="5339" spans="26:26" x14ac:dyDescent="0.25">
      <c r="Z5339">
        <v>399999.34729485697</v>
      </c>
    </row>
    <row r="5340" spans="26:26" x14ac:dyDescent="0.25">
      <c r="Z5340">
        <v>399999.34892255062</v>
      </c>
    </row>
    <row r="5341" spans="26:26" x14ac:dyDescent="0.25">
      <c r="Z5341">
        <v>399999.3505461851</v>
      </c>
    </row>
    <row r="5342" spans="26:26" x14ac:dyDescent="0.25">
      <c r="Z5342">
        <v>399999.35216577072</v>
      </c>
    </row>
    <row r="5343" spans="26:26" x14ac:dyDescent="0.25">
      <c r="Z5343">
        <v>399999.35378131742</v>
      </c>
    </row>
    <row r="5344" spans="26:26" x14ac:dyDescent="0.25">
      <c r="Z5344">
        <v>399999.35539283534</v>
      </c>
    </row>
    <row r="5345" spans="26:26" x14ac:dyDescent="0.25">
      <c r="Z5345">
        <v>399999.35700033448</v>
      </c>
    </row>
    <row r="5346" spans="26:26" x14ac:dyDescent="0.25">
      <c r="Z5346">
        <v>399999.35860382492</v>
      </c>
    </row>
    <row r="5347" spans="26:26" x14ac:dyDescent="0.25">
      <c r="Z5347">
        <v>399999.36020331667</v>
      </c>
    </row>
    <row r="5348" spans="26:26" x14ac:dyDescent="0.25">
      <c r="Z5348">
        <v>399999.36179881962</v>
      </c>
    </row>
    <row r="5349" spans="26:26" x14ac:dyDescent="0.25">
      <c r="Z5349">
        <v>399999.36339034367</v>
      </c>
    </row>
    <row r="5350" spans="26:26" x14ac:dyDescent="0.25">
      <c r="Z5350">
        <v>399999.36497789901</v>
      </c>
    </row>
    <row r="5351" spans="26:26" x14ac:dyDescent="0.25">
      <c r="Z5351">
        <v>399999.36656149523</v>
      </c>
    </row>
    <row r="5352" spans="26:26" x14ac:dyDescent="0.25">
      <c r="Z5352">
        <v>399999.36814114236</v>
      </c>
    </row>
    <row r="5353" spans="26:26" x14ac:dyDescent="0.25">
      <c r="Z5353">
        <v>399999.36971685028</v>
      </c>
    </row>
    <row r="5354" spans="26:26" x14ac:dyDescent="0.25">
      <c r="Z5354">
        <v>399999.37128862867</v>
      </c>
    </row>
    <row r="5355" spans="26:26" x14ac:dyDescent="0.25">
      <c r="Z5355">
        <v>399999.37285648746</v>
      </c>
    </row>
    <row r="5356" spans="26:26" x14ac:dyDescent="0.25">
      <c r="Z5356">
        <v>399999.37442043639</v>
      </c>
    </row>
    <row r="5357" spans="26:26" x14ac:dyDescent="0.25">
      <c r="Z5357">
        <v>399999.37598048517</v>
      </c>
    </row>
    <row r="5358" spans="26:26" x14ac:dyDescent="0.25">
      <c r="Z5358">
        <v>399999.37753664359</v>
      </c>
    </row>
    <row r="5359" spans="26:26" x14ac:dyDescent="0.25">
      <c r="Z5359">
        <v>399999.37908892124</v>
      </c>
    </row>
    <row r="5360" spans="26:26" x14ac:dyDescent="0.25">
      <c r="Z5360">
        <v>399999.38063732797</v>
      </c>
    </row>
    <row r="5361" spans="26:26" x14ac:dyDescent="0.25">
      <c r="Z5361">
        <v>399999.38218187325</v>
      </c>
    </row>
    <row r="5362" spans="26:26" x14ac:dyDescent="0.25">
      <c r="Z5362">
        <v>399999.38372256682</v>
      </c>
    </row>
    <row r="5363" spans="26:26" x14ac:dyDescent="0.25">
      <c r="Z5363">
        <v>399999.38525941828</v>
      </c>
    </row>
    <row r="5364" spans="26:26" x14ac:dyDescent="0.25">
      <c r="Z5364">
        <v>399999.38679243717</v>
      </c>
    </row>
    <row r="5365" spans="26:26" x14ac:dyDescent="0.25">
      <c r="Z5365">
        <v>399999.3883216331</v>
      </c>
    </row>
    <row r="5366" spans="26:26" x14ac:dyDescent="0.25">
      <c r="Z5366">
        <v>399999.38984701561</v>
      </c>
    </row>
    <row r="5367" spans="26:26" x14ac:dyDescent="0.25">
      <c r="Z5367">
        <v>399999.39136859408</v>
      </c>
    </row>
    <row r="5368" spans="26:26" x14ac:dyDescent="0.25">
      <c r="Z5368">
        <v>399999.39288637816</v>
      </c>
    </row>
    <row r="5369" spans="26:26" x14ac:dyDescent="0.25">
      <c r="Z5369">
        <v>399999.39440037718</v>
      </c>
    </row>
    <row r="5370" spans="26:26" x14ac:dyDescent="0.25">
      <c r="Z5370">
        <v>399999.39591060067</v>
      </c>
    </row>
    <row r="5371" spans="26:26" x14ac:dyDescent="0.25">
      <c r="Z5371">
        <v>399999.39741705806</v>
      </c>
    </row>
    <row r="5372" spans="26:26" x14ac:dyDescent="0.25">
      <c r="Z5372">
        <v>399999.39891975868</v>
      </c>
    </row>
    <row r="5373" spans="26:26" x14ac:dyDescent="0.25">
      <c r="Z5373">
        <v>399999.40041871188</v>
      </c>
    </row>
    <row r="5374" spans="26:26" x14ac:dyDescent="0.25">
      <c r="Z5374">
        <v>399999.40191392705</v>
      </c>
    </row>
    <row r="5375" spans="26:26" x14ac:dyDescent="0.25">
      <c r="Z5375">
        <v>399999.40340541356</v>
      </c>
    </row>
    <row r="5376" spans="26:26" x14ac:dyDescent="0.25">
      <c r="Z5376">
        <v>399999.40489318059</v>
      </c>
    </row>
    <row r="5377" spans="26:26" x14ac:dyDescent="0.25">
      <c r="Z5377">
        <v>399999.40637723746</v>
      </c>
    </row>
    <row r="5378" spans="26:26" x14ac:dyDescent="0.25">
      <c r="Z5378">
        <v>399999.4078575935</v>
      </c>
    </row>
    <row r="5379" spans="26:26" x14ac:dyDescent="0.25">
      <c r="Z5379">
        <v>399999.40933425789</v>
      </c>
    </row>
    <row r="5380" spans="26:26" x14ac:dyDescent="0.25">
      <c r="Z5380">
        <v>399999.41080723976</v>
      </c>
    </row>
    <row r="5381" spans="26:26" x14ac:dyDescent="0.25">
      <c r="Z5381">
        <v>399999.41227654839</v>
      </c>
    </row>
    <row r="5382" spans="26:26" x14ac:dyDescent="0.25">
      <c r="Z5382">
        <v>399999.41374219285</v>
      </c>
    </row>
    <row r="5383" spans="26:26" x14ac:dyDescent="0.25">
      <c r="Z5383">
        <v>399999.41520418244</v>
      </c>
    </row>
    <row r="5384" spans="26:26" x14ac:dyDescent="0.25">
      <c r="Z5384">
        <v>399999.41666252608</v>
      </c>
    </row>
    <row r="5385" spans="26:26" x14ac:dyDescent="0.25">
      <c r="Z5385">
        <v>399999.41811723303</v>
      </c>
    </row>
    <row r="5386" spans="26:26" x14ac:dyDescent="0.25">
      <c r="Z5386">
        <v>399999.41956831224</v>
      </c>
    </row>
    <row r="5387" spans="26:26" x14ac:dyDescent="0.25">
      <c r="Z5387">
        <v>399999.42101577285</v>
      </c>
    </row>
    <row r="5388" spans="26:26" x14ac:dyDescent="0.25">
      <c r="Z5388">
        <v>399999.42245962372</v>
      </c>
    </row>
    <row r="5389" spans="26:26" x14ac:dyDescent="0.25">
      <c r="Z5389">
        <v>399999.42389987409</v>
      </c>
    </row>
    <row r="5390" spans="26:26" x14ac:dyDescent="0.25">
      <c r="Z5390">
        <v>399999.42533653276</v>
      </c>
    </row>
    <row r="5391" spans="26:26" x14ac:dyDescent="0.25">
      <c r="Z5391">
        <v>399999.42676960875</v>
      </c>
    </row>
    <row r="5392" spans="26:26" x14ac:dyDescent="0.25">
      <c r="Z5392">
        <v>399999.42819911096</v>
      </c>
    </row>
    <row r="5393" spans="26:26" x14ac:dyDescent="0.25">
      <c r="Z5393">
        <v>399999.4296250483</v>
      </c>
    </row>
    <row r="5394" spans="26:26" x14ac:dyDescent="0.25">
      <c r="Z5394">
        <v>399999.4310474298</v>
      </c>
    </row>
    <row r="5395" spans="26:26" x14ac:dyDescent="0.25">
      <c r="Z5395">
        <v>399999.43246626412</v>
      </c>
    </row>
    <row r="5396" spans="26:26" x14ac:dyDescent="0.25">
      <c r="Z5396">
        <v>399999.43388156022</v>
      </c>
    </row>
    <row r="5397" spans="26:26" x14ac:dyDescent="0.25">
      <c r="Z5397">
        <v>399999.43529332691</v>
      </c>
    </row>
    <row r="5398" spans="26:26" x14ac:dyDescent="0.25">
      <c r="Z5398">
        <v>399999.43670157297</v>
      </c>
    </row>
    <row r="5399" spans="26:26" x14ac:dyDescent="0.25">
      <c r="Z5399">
        <v>399999.43810630718</v>
      </c>
    </row>
    <row r="5400" spans="26:26" x14ac:dyDescent="0.25">
      <c r="Z5400">
        <v>399999.43950753834</v>
      </c>
    </row>
    <row r="5401" spans="26:26" x14ac:dyDescent="0.25">
      <c r="Z5401">
        <v>399999.44090527511</v>
      </c>
    </row>
    <row r="5402" spans="26:26" x14ac:dyDescent="0.25">
      <c r="Z5402">
        <v>399999.44229952636</v>
      </c>
    </row>
    <row r="5403" spans="26:26" x14ac:dyDescent="0.25">
      <c r="Z5403">
        <v>399999.44369030057</v>
      </c>
    </row>
    <row r="5404" spans="26:26" x14ac:dyDescent="0.25">
      <c r="Z5404">
        <v>399999.44507760659</v>
      </c>
    </row>
    <row r="5405" spans="26:26" x14ac:dyDescent="0.25">
      <c r="Z5405">
        <v>399999.44646145293</v>
      </c>
    </row>
    <row r="5406" spans="26:26" x14ac:dyDescent="0.25">
      <c r="Z5406">
        <v>399999.4478418483</v>
      </c>
    </row>
    <row r="5407" spans="26:26" x14ac:dyDescent="0.25">
      <c r="Z5407">
        <v>399999.44921880134</v>
      </c>
    </row>
    <row r="5408" spans="26:26" x14ac:dyDescent="0.25">
      <c r="Z5408">
        <v>399999.45059232047</v>
      </c>
    </row>
    <row r="5409" spans="26:26" x14ac:dyDescent="0.25">
      <c r="Z5409">
        <v>399999.45196241449</v>
      </c>
    </row>
    <row r="5410" spans="26:26" x14ac:dyDescent="0.25">
      <c r="Z5410">
        <v>399999.45332909178</v>
      </c>
    </row>
    <row r="5411" spans="26:26" x14ac:dyDescent="0.25">
      <c r="Z5411">
        <v>399999.45469236083</v>
      </c>
    </row>
    <row r="5412" spans="26:26" x14ac:dyDescent="0.25">
      <c r="Z5412">
        <v>399999.45605223026</v>
      </c>
    </row>
    <row r="5413" spans="26:26" x14ac:dyDescent="0.25">
      <c r="Z5413">
        <v>399999.45740870846</v>
      </c>
    </row>
    <row r="5414" spans="26:26" x14ac:dyDescent="0.25">
      <c r="Z5414">
        <v>399999.45876180398</v>
      </c>
    </row>
    <row r="5415" spans="26:26" x14ac:dyDescent="0.25">
      <c r="Z5415">
        <v>399999.4601115252</v>
      </c>
    </row>
    <row r="5416" spans="26:26" x14ac:dyDescent="0.25">
      <c r="Z5416">
        <v>399999.4614578805</v>
      </c>
    </row>
    <row r="5417" spans="26:26" x14ac:dyDescent="0.25">
      <c r="Z5417">
        <v>399999.46280087827</v>
      </c>
    </row>
    <row r="5418" spans="26:26" x14ac:dyDescent="0.25">
      <c r="Z5418">
        <v>399999.46414052695</v>
      </c>
    </row>
    <row r="5419" spans="26:26" x14ac:dyDescent="0.25">
      <c r="Z5419">
        <v>399999.46547683491</v>
      </c>
    </row>
    <row r="5420" spans="26:26" x14ac:dyDescent="0.25">
      <c r="Z5420">
        <v>399999.46680981031</v>
      </c>
    </row>
    <row r="5421" spans="26:26" x14ac:dyDescent="0.25">
      <c r="Z5421">
        <v>399999.46813946165</v>
      </c>
    </row>
    <row r="5422" spans="26:26" x14ac:dyDescent="0.25">
      <c r="Z5422">
        <v>399999.46946579718</v>
      </c>
    </row>
    <row r="5423" spans="26:26" x14ac:dyDescent="0.25">
      <c r="Z5423">
        <v>399999.47078882513</v>
      </c>
    </row>
    <row r="5424" spans="26:26" x14ac:dyDescent="0.25">
      <c r="Z5424">
        <v>399999.47210855375</v>
      </c>
    </row>
    <row r="5425" spans="26:26" x14ac:dyDescent="0.25">
      <c r="Z5425">
        <v>399999.4734249913</v>
      </c>
    </row>
    <row r="5426" spans="26:26" x14ac:dyDescent="0.25">
      <c r="Z5426">
        <v>399999.47473814589</v>
      </c>
    </row>
    <row r="5427" spans="26:26" x14ac:dyDescent="0.25">
      <c r="Z5427">
        <v>399999.47604802583</v>
      </c>
    </row>
    <row r="5428" spans="26:26" x14ac:dyDescent="0.25">
      <c r="Z5428">
        <v>399999.47735463927</v>
      </c>
    </row>
    <row r="5429" spans="26:26" x14ac:dyDescent="0.25">
      <c r="Z5429">
        <v>399999.47865799424</v>
      </c>
    </row>
    <row r="5430" spans="26:26" x14ac:dyDescent="0.25">
      <c r="Z5430">
        <v>399999.47995809902</v>
      </c>
    </row>
    <row r="5431" spans="26:26" x14ac:dyDescent="0.25">
      <c r="Z5431">
        <v>399999.48125496163</v>
      </c>
    </row>
    <row r="5432" spans="26:26" x14ac:dyDescent="0.25">
      <c r="Z5432">
        <v>399999.48254859011</v>
      </c>
    </row>
    <row r="5433" spans="26:26" x14ac:dyDescent="0.25">
      <c r="Z5433">
        <v>399999.4838389926</v>
      </c>
    </row>
    <row r="5434" spans="26:26" x14ac:dyDescent="0.25">
      <c r="Z5434">
        <v>399999.4851261772</v>
      </c>
    </row>
    <row r="5435" spans="26:26" x14ac:dyDescent="0.25">
      <c r="Z5435">
        <v>399999.48641015182</v>
      </c>
    </row>
    <row r="5436" spans="26:26" x14ac:dyDescent="0.25">
      <c r="Z5436">
        <v>399999.48769092449</v>
      </c>
    </row>
    <row r="5437" spans="26:26" x14ac:dyDescent="0.25">
      <c r="Z5437">
        <v>399999.48896850325</v>
      </c>
    </row>
    <row r="5438" spans="26:26" x14ac:dyDescent="0.25">
      <c r="Z5438">
        <v>399999.49024289596</v>
      </c>
    </row>
    <row r="5439" spans="26:26" x14ac:dyDescent="0.25">
      <c r="Z5439">
        <v>399999.4915141107</v>
      </c>
    </row>
    <row r="5440" spans="26:26" x14ac:dyDescent="0.25">
      <c r="Z5440">
        <v>399999.49278215534</v>
      </c>
    </row>
    <row r="5441" spans="26:26" x14ac:dyDescent="0.25">
      <c r="Z5441">
        <v>399999.49404703773</v>
      </c>
    </row>
    <row r="5442" spans="26:26" x14ac:dyDescent="0.25">
      <c r="Z5442">
        <v>399999.49530876585</v>
      </c>
    </row>
    <row r="5443" spans="26:26" x14ac:dyDescent="0.25">
      <c r="Z5443">
        <v>399999.49656734749</v>
      </c>
    </row>
    <row r="5444" spans="26:26" x14ac:dyDescent="0.25">
      <c r="Z5444">
        <v>399999.49782279046</v>
      </c>
    </row>
    <row r="5445" spans="26:26" x14ac:dyDescent="0.25">
      <c r="Z5445">
        <v>399999.49907510274</v>
      </c>
    </row>
    <row r="5446" spans="26:26" x14ac:dyDescent="0.25">
      <c r="Z5446">
        <v>399999.50032429199</v>
      </c>
    </row>
    <row r="5447" spans="26:26" x14ac:dyDescent="0.25">
      <c r="Z5447">
        <v>399999.50157036609</v>
      </c>
    </row>
    <row r="5448" spans="26:26" x14ac:dyDescent="0.25">
      <c r="Z5448">
        <v>399999.50281333277</v>
      </c>
    </row>
    <row r="5449" spans="26:26" x14ac:dyDescent="0.25">
      <c r="Z5449">
        <v>399999.50405319972</v>
      </c>
    </row>
    <row r="5450" spans="26:26" x14ac:dyDescent="0.25">
      <c r="Z5450">
        <v>399999.5052899748</v>
      </c>
    </row>
    <row r="5451" spans="26:26" x14ac:dyDescent="0.25">
      <c r="Z5451">
        <v>399999.50652366562</v>
      </c>
    </row>
    <row r="5452" spans="26:26" x14ac:dyDescent="0.25">
      <c r="Z5452">
        <v>399999.50775428</v>
      </c>
    </row>
    <row r="5453" spans="26:26" x14ac:dyDescent="0.25">
      <c r="Z5453">
        <v>399999.50898182538</v>
      </c>
    </row>
    <row r="5454" spans="26:26" x14ac:dyDescent="0.25">
      <c r="Z5454">
        <v>399999.51020630967</v>
      </c>
    </row>
    <row r="5455" spans="26:26" x14ac:dyDescent="0.25">
      <c r="Z5455">
        <v>399999.51142774028</v>
      </c>
    </row>
    <row r="5456" spans="26:26" x14ac:dyDescent="0.25">
      <c r="Z5456">
        <v>399999.51264612493</v>
      </c>
    </row>
    <row r="5457" spans="26:26" x14ac:dyDescent="0.25">
      <c r="Z5457">
        <v>399999.51386147126</v>
      </c>
    </row>
    <row r="5458" spans="26:26" x14ac:dyDescent="0.25">
      <c r="Z5458">
        <v>399999.51507378684</v>
      </c>
    </row>
    <row r="5459" spans="26:26" x14ac:dyDescent="0.25">
      <c r="Z5459">
        <v>399999.51628307911</v>
      </c>
    </row>
    <row r="5460" spans="26:26" x14ac:dyDescent="0.25">
      <c r="Z5460">
        <v>399999.5174893557</v>
      </c>
    </row>
    <row r="5461" spans="26:26" x14ac:dyDescent="0.25">
      <c r="Z5461">
        <v>399999.51869262417</v>
      </c>
    </row>
    <row r="5462" spans="26:26" x14ac:dyDescent="0.25">
      <c r="Z5462">
        <v>399999.51989289193</v>
      </c>
    </row>
    <row r="5463" spans="26:26" x14ac:dyDescent="0.25">
      <c r="Z5463">
        <v>399999.52109016653</v>
      </c>
    </row>
    <row r="5464" spans="26:26" x14ac:dyDescent="0.25">
      <c r="Z5464">
        <v>399999.52228445542</v>
      </c>
    </row>
    <row r="5465" spans="26:26" x14ac:dyDescent="0.25">
      <c r="Z5465">
        <v>399999.52347576595</v>
      </c>
    </row>
    <row r="5466" spans="26:26" x14ac:dyDescent="0.25">
      <c r="Z5466">
        <v>399999.52466410573</v>
      </c>
    </row>
    <row r="5467" spans="26:26" x14ac:dyDescent="0.25">
      <c r="Z5467">
        <v>399999.52584948199</v>
      </c>
    </row>
    <row r="5468" spans="26:26" x14ac:dyDescent="0.25">
      <c r="Z5468">
        <v>399999.52703190222</v>
      </c>
    </row>
    <row r="5469" spans="26:26" x14ac:dyDescent="0.25">
      <c r="Z5469">
        <v>399999.52821137384</v>
      </c>
    </row>
    <row r="5470" spans="26:26" x14ac:dyDescent="0.25">
      <c r="Z5470">
        <v>399999.52938790404</v>
      </c>
    </row>
    <row r="5471" spans="26:26" x14ac:dyDescent="0.25">
      <c r="Z5471">
        <v>399999.53056150035</v>
      </c>
    </row>
    <row r="5472" spans="26:26" x14ac:dyDescent="0.25">
      <c r="Z5472">
        <v>399999.53173216991</v>
      </c>
    </row>
    <row r="5473" spans="26:26" x14ac:dyDescent="0.25">
      <c r="Z5473">
        <v>399999.53289992007</v>
      </c>
    </row>
    <row r="5474" spans="26:26" x14ac:dyDescent="0.25">
      <c r="Z5474">
        <v>399999.53406475822</v>
      </c>
    </row>
    <row r="5475" spans="26:26" x14ac:dyDescent="0.25">
      <c r="Z5475">
        <v>399999.5352266914</v>
      </c>
    </row>
    <row r="5476" spans="26:26" x14ac:dyDescent="0.25">
      <c r="Z5476">
        <v>399999.53638572711</v>
      </c>
    </row>
    <row r="5477" spans="26:26" x14ac:dyDescent="0.25">
      <c r="Z5477">
        <v>399999.53754187247</v>
      </c>
    </row>
    <row r="5478" spans="26:26" x14ac:dyDescent="0.25">
      <c r="Z5478">
        <v>399999.53869513457</v>
      </c>
    </row>
    <row r="5479" spans="26:26" x14ac:dyDescent="0.25">
      <c r="Z5479">
        <v>399999.53984552081</v>
      </c>
    </row>
    <row r="5480" spans="26:26" x14ac:dyDescent="0.25">
      <c r="Z5480">
        <v>399999.54099303822</v>
      </c>
    </row>
    <row r="5481" spans="26:26" x14ac:dyDescent="0.25">
      <c r="Z5481">
        <v>399999.54213769396</v>
      </c>
    </row>
    <row r="5482" spans="26:26" x14ac:dyDescent="0.25">
      <c r="Z5482">
        <v>399999.54327949526</v>
      </c>
    </row>
    <row r="5483" spans="26:26" x14ac:dyDescent="0.25">
      <c r="Z5483">
        <v>399999.54441844911</v>
      </c>
    </row>
    <row r="5484" spans="26:26" x14ac:dyDescent="0.25">
      <c r="Z5484">
        <v>399999.5455545627</v>
      </c>
    </row>
    <row r="5485" spans="26:26" x14ac:dyDescent="0.25">
      <c r="Z5485">
        <v>399999.5466878431</v>
      </c>
    </row>
    <row r="5486" spans="26:26" x14ac:dyDescent="0.25">
      <c r="Z5486">
        <v>399999.54781829735</v>
      </c>
    </row>
    <row r="5487" spans="26:26" x14ac:dyDescent="0.25">
      <c r="Z5487">
        <v>399999.54894593253</v>
      </c>
    </row>
    <row r="5488" spans="26:26" x14ac:dyDescent="0.25">
      <c r="Z5488">
        <v>399999.55007075565</v>
      </c>
    </row>
    <row r="5489" spans="26:26" x14ac:dyDescent="0.25">
      <c r="Z5489">
        <v>399999.55119277374</v>
      </c>
    </row>
    <row r="5490" spans="26:26" x14ac:dyDescent="0.25">
      <c r="Z5490">
        <v>399999.55231199373</v>
      </c>
    </row>
    <row r="5491" spans="26:26" x14ac:dyDescent="0.25">
      <c r="Z5491">
        <v>399999.55342842266</v>
      </c>
    </row>
    <row r="5492" spans="26:26" x14ac:dyDescent="0.25">
      <c r="Z5492">
        <v>399999.55454206752</v>
      </c>
    </row>
    <row r="5493" spans="26:26" x14ac:dyDescent="0.25">
      <c r="Z5493">
        <v>399999.55565293517</v>
      </c>
    </row>
    <row r="5494" spans="26:26" x14ac:dyDescent="0.25">
      <c r="Z5494">
        <v>399999.55676103261</v>
      </c>
    </row>
    <row r="5495" spans="26:26" x14ac:dyDescent="0.25">
      <c r="Z5495">
        <v>399999.55786636664</v>
      </c>
    </row>
    <row r="5496" spans="26:26" x14ac:dyDescent="0.25">
      <c r="Z5496">
        <v>399999.5589689443</v>
      </c>
    </row>
    <row r="5497" spans="26:26" x14ac:dyDescent="0.25">
      <c r="Z5497">
        <v>399999.56006877235</v>
      </c>
    </row>
    <row r="5498" spans="26:26" x14ac:dyDescent="0.25">
      <c r="Z5498">
        <v>399999.56116585771</v>
      </c>
    </row>
    <row r="5499" spans="26:26" x14ac:dyDescent="0.25">
      <c r="Z5499">
        <v>399999.5622602072</v>
      </c>
    </row>
    <row r="5500" spans="26:26" x14ac:dyDescent="0.25">
      <c r="Z5500">
        <v>399999.56335182762</v>
      </c>
    </row>
    <row r="5501" spans="26:26" x14ac:dyDescent="0.25">
      <c r="Z5501">
        <v>399999.56444072584</v>
      </c>
    </row>
    <row r="5502" spans="26:26" x14ac:dyDescent="0.25">
      <c r="Z5502">
        <v>399999.56552690855</v>
      </c>
    </row>
    <row r="5503" spans="26:26" x14ac:dyDescent="0.25">
      <c r="Z5503">
        <v>399999.56661038258</v>
      </c>
    </row>
    <row r="5504" spans="26:26" x14ac:dyDescent="0.25">
      <c r="Z5504">
        <v>399999.56769115466</v>
      </c>
    </row>
    <row r="5505" spans="26:26" x14ac:dyDescent="0.25">
      <c r="Z5505">
        <v>399999.56876923161</v>
      </c>
    </row>
    <row r="5506" spans="26:26" x14ac:dyDescent="0.25">
      <c r="Z5506">
        <v>399999.56984462007</v>
      </c>
    </row>
    <row r="5507" spans="26:26" x14ac:dyDescent="0.25">
      <c r="Z5507">
        <v>399999.57091732678</v>
      </c>
    </row>
    <row r="5508" spans="26:26" x14ac:dyDescent="0.25">
      <c r="Z5508">
        <v>399999.57198735839</v>
      </c>
    </row>
    <row r="5509" spans="26:26" x14ac:dyDescent="0.25">
      <c r="Z5509">
        <v>399999.57305472158</v>
      </c>
    </row>
    <row r="5510" spans="26:26" x14ac:dyDescent="0.25">
      <c r="Z5510">
        <v>399999.57411942299</v>
      </c>
    </row>
    <row r="5511" spans="26:26" x14ac:dyDescent="0.25">
      <c r="Z5511">
        <v>399999.57518146932</v>
      </c>
    </row>
    <row r="5512" spans="26:26" x14ac:dyDescent="0.25">
      <c r="Z5512">
        <v>399999.5762408672</v>
      </c>
    </row>
    <row r="5513" spans="26:26" x14ac:dyDescent="0.25">
      <c r="Z5513">
        <v>399999.57729762315</v>
      </c>
    </row>
    <row r="5514" spans="26:26" x14ac:dyDescent="0.25">
      <c r="Z5514">
        <v>399999.57835174369</v>
      </c>
    </row>
    <row r="5515" spans="26:26" x14ac:dyDescent="0.25">
      <c r="Z5515">
        <v>399999.57940323564</v>
      </c>
    </row>
    <row r="5516" spans="26:26" x14ac:dyDescent="0.25">
      <c r="Z5516">
        <v>399999.58045210538</v>
      </c>
    </row>
    <row r="5517" spans="26:26" x14ac:dyDescent="0.25">
      <c r="Z5517">
        <v>399999.5814983595</v>
      </c>
    </row>
    <row r="5518" spans="26:26" x14ac:dyDescent="0.25">
      <c r="Z5518">
        <v>399999.58254200453</v>
      </c>
    </row>
    <row r="5519" spans="26:26" x14ac:dyDescent="0.25">
      <c r="Z5519">
        <v>399999.58358304686</v>
      </c>
    </row>
    <row r="5520" spans="26:26" x14ac:dyDescent="0.25">
      <c r="Z5520">
        <v>399999.58462149312</v>
      </c>
    </row>
    <row r="5521" spans="26:26" x14ac:dyDescent="0.25">
      <c r="Z5521">
        <v>399999.58565734979</v>
      </c>
    </row>
    <row r="5522" spans="26:26" x14ac:dyDescent="0.25">
      <c r="Z5522">
        <v>399999.58669062325</v>
      </c>
    </row>
    <row r="5523" spans="26:26" x14ac:dyDescent="0.25">
      <c r="Z5523">
        <v>399999.58772131987</v>
      </c>
    </row>
    <row r="5524" spans="26:26" x14ac:dyDescent="0.25">
      <c r="Z5524">
        <v>399999.58874944632</v>
      </c>
    </row>
    <row r="5525" spans="26:26" x14ac:dyDescent="0.25">
      <c r="Z5525">
        <v>399999.58977500879</v>
      </c>
    </row>
    <row r="5526" spans="26:26" x14ac:dyDescent="0.25">
      <c r="Z5526">
        <v>399999.59079801373</v>
      </c>
    </row>
    <row r="5527" spans="26:26" x14ac:dyDescent="0.25">
      <c r="Z5527">
        <v>399999.59181846754</v>
      </c>
    </row>
    <row r="5528" spans="26:26" x14ac:dyDescent="0.25">
      <c r="Z5528">
        <v>399999.59283637663</v>
      </c>
    </row>
    <row r="5529" spans="26:26" x14ac:dyDescent="0.25">
      <c r="Z5529">
        <v>399999.59385174728</v>
      </c>
    </row>
    <row r="5530" spans="26:26" x14ac:dyDescent="0.25">
      <c r="Z5530">
        <v>399999.59486458579</v>
      </c>
    </row>
    <row r="5531" spans="26:26" x14ac:dyDescent="0.25">
      <c r="Z5531">
        <v>399999.59587489854</v>
      </c>
    </row>
    <row r="5532" spans="26:26" x14ac:dyDescent="0.25">
      <c r="Z5532">
        <v>399999.59688269184</v>
      </c>
    </row>
    <row r="5533" spans="26:26" x14ac:dyDescent="0.25">
      <c r="Z5533">
        <v>399999.59788797185</v>
      </c>
    </row>
    <row r="5534" spans="26:26" x14ac:dyDescent="0.25">
      <c r="Z5534">
        <v>399999.59889074502</v>
      </c>
    </row>
    <row r="5535" spans="26:26" x14ac:dyDescent="0.25">
      <c r="Z5535">
        <v>399999.59989101748</v>
      </c>
    </row>
    <row r="5536" spans="26:26" x14ac:dyDescent="0.25">
      <c r="Z5536">
        <v>399999.60088879551</v>
      </c>
    </row>
    <row r="5537" spans="26:26" x14ac:dyDescent="0.25">
      <c r="Z5537">
        <v>399999.60188408528</v>
      </c>
    </row>
    <row r="5538" spans="26:26" x14ac:dyDescent="0.25">
      <c r="Z5538">
        <v>399999.60287689307</v>
      </c>
    </row>
    <row r="5539" spans="26:26" x14ac:dyDescent="0.25">
      <c r="Z5539">
        <v>399999.60386722494</v>
      </c>
    </row>
    <row r="5540" spans="26:26" x14ac:dyDescent="0.25">
      <c r="Z5540">
        <v>399999.60485508724</v>
      </c>
    </row>
    <row r="5541" spans="26:26" x14ac:dyDescent="0.25">
      <c r="Z5541">
        <v>399999.60584048601</v>
      </c>
    </row>
    <row r="5542" spans="26:26" x14ac:dyDescent="0.25">
      <c r="Z5542">
        <v>399999.60682342749</v>
      </c>
    </row>
    <row r="5543" spans="26:26" x14ac:dyDescent="0.25">
      <c r="Z5543">
        <v>399999.60780391766</v>
      </c>
    </row>
    <row r="5544" spans="26:26" x14ac:dyDescent="0.25">
      <c r="Z5544">
        <v>399999.60878196277</v>
      </c>
    </row>
    <row r="5545" spans="26:26" x14ac:dyDescent="0.25">
      <c r="Z5545">
        <v>399999.60975756886</v>
      </c>
    </row>
    <row r="5546" spans="26:26" x14ac:dyDescent="0.25">
      <c r="Z5546">
        <v>399999.61073074199</v>
      </c>
    </row>
    <row r="5547" spans="26:26" x14ac:dyDescent="0.25">
      <c r="Z5547">
        <v>399999.61170148832</v>
      </c>
    </row>
    <row r="5548" spans="26:26" x14ac:dyDescent="0.25">
      <c r="Z5548">
        <v>399999.61266981374</v>
      </c>
    </row>
    <row r="5549" spans="26:26" x14ac:dyDescent="0.25">
      <c r="Z5549">
        <v>399999.61363572441</v>
      </c>
    </row>
    <row r="5550" spans="26:26" x14ac:dyDescent="0.25">
      <c r="Z5550">
        <v>399999.61459922639</v>
      </c>
    </row>
    <row r="5551" spans="26:26" x14ac:dyDescent="0.25">
      <c r="Z5551">
        <v>399999.6155603255</v>
      </c>
    </row>
    <row r="5552" spans="26:26" x14ac:dyDescent="0.25">
      <c r="Z5552">
        <v>399999.61651902797</v>
      </c>
    </row>
    <row r="5553" spans="26:26" x14ac:dyDescent="0.25">
      <c r="Z5553">
        <v>399999.61747533968</v>
      </c>
    </row>
    <row r="5554" spans="26:26" x14ac:dyDescent="0.25">
      <c r="Z5554">
        <v>399999.61842926644</v>
      </c>
    </row>
    <row r="5555" spans="26:26" x14ac:dyDescent="0.25">
      <c r="Z5555">
        <v>399999.61938081443</v>
      </c>
    </row>
    <row r="5556" spans="26:26" x14ac:dyDescent="0.25">
      <c r="Z5556">
        <v>399999.62032998947</v>
      </c>
    </row>
    <row r="5557" spans="26:26" x14ac:dyDescent="0.25">
      <c r="Z5557">
        <v>399999.62127679744</v>
      </c>
    </row>
    <row r="5558" spans="26:26" x14ac:dyDescent="0.25">
      <c r="Z5558">
        <v>399999.62222124438</v>
      </c>
    </row>
    <row r="5559" spans="26:26" x14ac:dyDescent="0.25">
      <c r="Z5559">
        <v>399999.62316333601</v>
      </c>
    </row>
    <row r="5560" spans="26:26" x14ac:dyDescent="0.25">
      <c r="Z5560">
        <v>399999.62410307827</v>
      </c>
    </row>
    <row r="5561" spans="26:26" x14ac:dyDescent="0.25">
      <c r="Z5561">
        <v>399999.62504047714</v>
      </c>
    </row>
    <row r="5562" spans="26:26" x14ac:dyDescent="0.25">
      <c r="Z5562">
        <v>399999.62597553828</v>
      </c>
    </row>
    <row r="5563" spans="26:26" x14ac:dyDescent="0.25">
      <c r="Z5563">
        <v>399999.62690826762</v>
      </c>
    </row>
    <row r="5564" spans="26:26" x14ac:dyDescent="0.25">
      <c r="Z5564">
        <v>399999.62783867092</v>
      </c>
    </row>
    <row r="5565" spans="26:26" x14ac:dyDescent="0.25">
      <c r="Z5565">
        <v>399999.62876675406</v>
      </c>
    </row>
    <row r="5566" spans="26:26" x14ac:dyDescent="0.25">
      <c r="Z5566">
        <v>399999.62969252275</v>
      </c>
    </row>
    <row r="5567" spans="26:26" x14ac:dyDescent="0.25">
      <c r="Z5567">
        <v>399999.63061598281</v>
      </c>
    </row>
    <row r="5568" spans="26:26" x14ac:dyDescent="0.25">
      <c r="Z5568">
        <v>399999.63153713994</v>
      </c>
    </row>
    <row r="5569" spans="26:26" x14ac:dyDescent="0.25">
      <c r="Z5569">
        <v>399999.6324559999</v>
      </c>
    </row>
    <row r="5570" spans="26:26" x14ac:dyDescent="0.25">
      <c r="Z5570">
        <v>399999.63337256853</v>
      </c>
    </row>
    <row r="5571" spans="26:26" x14ac:dyDescent="0.25">
      <c r="Z5571">
        <v>399999.63428685139</v>
      </c>
    </row>
    <row r="5572" spans="26:26" x14ac:dyDescent="0.25">
      <c r="Z5572">
        <v>399999.63519885426</v>
      </c>
    </row>
    <row r="5573" spans="26:26" x14ac:dyDescent="0.25">
      <c r="Z5573">
        <v>399999.63610858278</v>
      </c>
    </row>
    <row r="5574" spans="26:26" x14ac:dyDescent="0.25">
      <c r="Z5574">
        <v>399999.63701604272</v>
      </c>
    </row>
    <row r="5575" spans="26:26" x14ac:dyDescent="0.25">
      <c r="Z5575">
        <v>399999.6379212396</v>
      </c>
    </row>
    <row r="5576" spans="26:26" x14ac:dyDescent="0.25">
      <c r="Z5576">
        <v>399999.63882417913</v>
      </c>
    </row>
    <row r="5577" spans="26:26" x14ac:dyDescent="0.25">
      <c r="Z5577">
        <v>399999.63972486695</v>
      </c>
    </row>
    <row r="5578" spans="26:26" x14ac:dyDescent="0.25">
      <c r="Z5578">
        <v>399999.64062330866</v>
      </c>
    </row>
    <row r="5579" spans="26:26" x14ac:dyDescent="0.25">
      <c r="Z5579">
        <v>399999.64151950995</v>
      </c>
    </row>
    <row r="5580" spans="26:26" x14ac:dyDescent="0.25">
      <c r="Z5580">
        <v>399999.64241347625</v>
      </c>
    </row>
    <row r="5581" spans="26:26" x14ac:dyDescent="0.25">
      <c r="Z5581">
        <v>399999.64330521325</v>
      </c>
    </row>
    <row r="5582" spans="26:26" x14ac:dyDescent="0.25">
      <c r="Z5582">
        <v>399999.64419472637</v>
      </c>
    </row>
    <row r="5583" spans="26:26" x14ac:dyDescent="0.25">
      <c r="Z5583">
        <v>399999.64508202131</v>
      </c>
    </row>
    <row r="5584" spans="26:26" x14ac:dyDescent="0.25">
      <c r="Z5584">
        <v>399999.64596710354</v>
      </c>
    </row>
    <row r="5585" spans="26:26" x14ac:dyDescent="0.25">
      <c r="Z5585">
        <v>399999.6468499786</v>
      </c>
    </row>
    <row r="5586" spans="26:26" x14ac:dyDescent="0.25">
      <c r="Z5586">
        <v>399999.64773065195</v>
      </c>
    </row>
    <row r="5587" spans="26:26" x14ac:dyDescent="0.25">
      <c r="Z5587">
        <v>399999.64860912919</v>
      </c>
    </row>
    <row r="5588" spans="26:26" x14ac:dyDescent="0.25">
      <c r="Z5588">
        <v>399999.6494854156</v>
      </c>
    </row>
    <row r="5589" spans="26:26" x14ac:dyDescent="0.25">
      <c r="Z5589">
        <v>399999.65035951685</v>
      </c>
    </row>
    <row r="5590" spans="26:26" x14ac:dyDescent="0.25">
      <c r="Z5590">
        <v>399999.65123143821</v>
      </c>
    </row>
    <row r="5591" spans="26:26" x14ac:dyDescent="0.25">
      <c r="Z5591">
        <v>399999.65210118529</v>
      </c>
    </row>
    <row r="5592" spans="26:26" x14ac:dyDescent="0.25">
      <c r="Z5592">
        <v>399999.65296876332</v>
      </c>
    </row>
    <row r="5593" spans="26:26" x14ac:dyDescent="0.25">
      <c r="Z5593">
        <v>399999.65383417794</v>
      </c>
    </row>
    <row r="5594" spans="26:26" x14ac:dyDescent="0.25">
      <c r="Z5594">
        <v>399999.65469743434</v>
      </c>
    </row>
    <row r="5595" spans="26:26" x14ac:dyDescent="0.25">
      <c r="Z5595">
        <v>399999.65555853798</v>
      </c>
    </row>
    <row r="5596" spans="26:26" x14ac:dyDescent="0.25">
      <c r="Z5596">
        <v>399999.65641749429</v>
      </c>
    </row>
    <row r="5597" spans="26:26" x14ac:dyDescent="0.25">
      <c r="Z5597">
        <v>399999.6572743085</v>
      </c>
    </row>
    <row r="5598" spans="26:26" x14ac:dyDescent="0.25">
      <c r="Z5598">
        <v>399999.65812898596</v>
      </c>
    </row>
    <row r="5599" spans="26:26" x14ac:dyDescent="0.25">
      <c r="Z5599">
        <v>399999.65898153221</v>
      </c>
    </row>
    <row r="5600" spans="26:26" x14ac:dyDescent="0.25">
      <c r="Z5600">
        <v>399999.6598319523</v>
      </c>
    </row>
    <row r="5601" spans="26:26" x14ac:dyDescent="0.25">
      <c r="Z5601">
        <v>399999.66068025166</v>
      </c>
    </row>
    <row r="5602" spans="26:26" x14ac:dyDescent="0.25">
      <c r="Z5602">
        <v>399999.66152643558</v>
      </c>
    </row>
    <row r="5603" spans="26:26" x14ac:dyDescent="0.25">
      <c r="Z5603">
        <v>399999.66237050929</v>
      </c>
    </row>
    <row r="5604" spans="26:26" x14ac:dyDescent="0.25">
      <c r="Z5604">
        <v>399999.6632124781</v>
      </c>
    </row>
    <row r="5605" spans="26:26" x14ac:dyDescent="0.25">
      <c r="Z5605">
        <v>399999.66405234725</v>
      </c>
    </row>
    <row r="5606" spans="26:26" x14ac:dyDescent="0.25">
      <c r="Z5606">
        <v>399999.66489012196</v>
      </c>
    </row>
    <row r="5607" spans="26:26" x14ac:dyDescent="0.25">
      <c r="Z5607">
        <v>399999.66572580748</v>
      </c>
    </row>
    <row r="5608" spans="26:26" x14ac:dyDescent="0.25">
      <c r="Z5608">
        <v>399999.66655940888</v>
      </c>
    </row>
    <row r="5609" spans="26:26" x14ac:dyDescent="0.25">
      <c r="Z5609">
        <v>399999.66739093157</v>
      </c>
    </row>
    <row r="5610" spans="26:26" x14ac:dyDescent="0.25">
      <c r="Z5610">
        <v>399999.66822038061</v>
      </c>
    </row>
    <row r="5611" spans="26:26" x14ac:dyDescent="0.25">
      <c r="Z5611">
        <v>399999.66904776124</v>
      </c>
    </row>
    <row r="5612" spans="26:26" x14ac:dyDescent="0.25">
      <c r="Z5612">
        <v>399999.66987307859</v>
      </c>
    </row>
    <row r="5613" spans="26:26" x14ac:dyDescent="0.25">
      <c r="Z5613">
        <v>399999.67069633771</v>
      </c>
    </row>
    <row r="5614" spans="26:26" x14ac:dyDescent="0.25">
      <c r="Z5614">
        <v>399999.67151754379</v>
      </c>
    </row>
    <row r="5615" spans="26:26" x14ac:dyDescent="0.25">
      <c r="Z5615">
        <v>399999.67233670206</v>
      </c>
    </row>
    <row r="5616" spans="26:26" x14ac:dyDescent="0.25">
      <c r="Z5616">
        <v>399999.67315381754</v>
      </c>
    </row>
    <row r="5617" spans="26:26" x14ac:dyDescent="0.25">
      <c r="Z5617">
        <v>399999.67396889534</v>
      </c>
    </row>
    <row r="5618" spans="26:26" x14ac:dyDescent="0.25">
      <c r="Z5618">
        <v>399999.67478194041</v>
      </c>
    </row>
    <row r="5619" spans="26:26" x14ac:dyDescent="0.25">
      <c r="Z5619">
        <v>399999.67559295805</v>
      </c>
    </row>
    <row r="5620" spans="26:26" x14ac:dyDescent="0.25">
      <c r="Z5620">
        <v>399999.67640195315</v>
      </c>
    </row>
    <row r="5621" spans="26:26" x14ac:dyDescent="0.25">
      <c r="Z5621">
        <v>399999.67720893084</v>
      </c>
    </row>
    <row r="5622" spans="26:26" x14ac:dyDescent="0.25">
      <c r="Z5622">
        <v>399999.67801389605</v>
      </c>
    </row>
    <row r="5623" spans="26:26" x14ac:dyDescent="0.25">
      <c r="Z5623">
        <v>399999.67881685396</v>
      </c>
    </row>
    <row r="5624" spans="26:26" x14ac:dyDescent="0.25">
      <c r="Z5624">
        <v>399999.67961780942</v>
      </c>
    </row>
    <row r="5625" spans="26:26" x14ac:dyDescent="0.25">
      <c r="Z5625">
        <v>399999.68041676754</v>
      </c>
    </row>
    <row r="5626" spans="26:26" x14ac:dyDescent="0.25">
      <c r="Z5626">
        <v>399999.68121373316</v>
      </c>
    </row>
    <row r="5627" spans="26:26" x14ac:dyDescent="0.25">
      <c r="Z5627">
        <v>399999.68200871139</v>
      </c>
    </row>
    <row r="5628" spans="26:26" x14ac:dyDescent="0.25">
      <c r="Z5628">
        <v>399999.68280170712</v>
      </c>
    </row>
    <row r="5629" spans="26:26" x14ac:dyDescent="0.25">
      <c r="Z5629">
        <v>399999.68359272531</v>
      </c>
    </row>
    <row r="5630" spans="26:26" x14ac:dyDescent="0.25">
      <c r="Z5630">
        <v>399999.6843817709</v>
      </c>
    </row>
    <row r="5631" spans="26:26" x14ac:dyDescent="0.25">
      <c r="Z5631">
        <v>399999.68516884878</v>
      </c>
    </row>
    <row r="5632" spans="26:26" x14ac:dyDescent="0.25">
      <c r="Z5632">
        <v>399999.6859539639</v>
      </c>
    </row>
    <row r="5633" spans="26:26" x14ac:dyDescent="0.25">
      <c r="Z5633">
        <v>399999.68673712102</v>
      </c>
    </row>
    <row r="5634" spans="26:26" x14ac:dyDescent="0.25">
      <c r="Z5634">
        <v>399999.68751832523</v>
      </c>
    </row>
    <row r="5635" spans="26:26" x14ac:dyDescent="0.25">
      <c r="Z5635">
        <v>399999.68829758134</v>
      </c>
    </row>
    <row r="5636" spans="26:26" x14ac:dyDescent="0.25">
      <c r="Z5636">
        <v>399999.68907489406</v>
      </c>
    </row>
    <row r="5637" spans="26:26" x14ac:dyDescent="0.25">
      <c r="Z5637">
        <v>399999.68985026836</v>
      </c>
    </row>
    <row r="5638" spans="26:26" x14ac:dyDescent="0.25">
      <c r="Z5638">
        <v>399999.69062370912</v>
      </c>
    </row>
    <row r="5639" spans="26:26" x14ac:dyDescent="0.25">
      <c r="Z5639">
        <v>399999.6913952211</v>
      </c>
    </row>
    <row r="5640" spans="26:26" x14ac:dyDescent="0.25">
      <c r="Z5640">
        <v>399999.69216480904</v>
      </c>
    </row>
    <row r="5641" spans="26:26" x14ac:dyDescent="0.25">
      <c r="Z5641">
        <v>399999.6929324778</v>
      </c>
    </row>
    <row r="5642" spans="26:26" x14ac:dyDescent="0.25">
      <c r="Z5642">
        <v>399999.69369823229</v>
      </c>
    </row>
    <row r="5643" spans="26:26" x14ac:dyDescent="0.25">
      <c r="Z5643">
        <v>399999.69446207711</v>
      </c>
    </row>
    <row r="5644" spans="26:26" x14ac:dyDescent="0.25">
      <c r="Z5644">
        <v>399999.69522401708</v>
      </c>
    </row>
    <row r="5645" spans="26:26" x14ac:dyDescent="0.25">
      <c r="Z5645">
        <v>399999.69598405692</v>
      </c>
    </row>
    <row r="5646" spans="26:26" x14ac:dyDescent="0.25">
      <c r="Z5646">
        <v>399999.69674220134</v>
      </c>
    </row>
    <row r="5647" spans="26:26" x14ac:dyDescent="0.25">
      <c r="Z5647">
        <v>399999.69749845524</v>
      </c>
    </row>
    <row r="5648" spans="26:26" x14ac:dyDescent="0.25">
      <c r="Z5648">
        <v>399999.6982528232</v>
      </c>
    </row>
    <row r="5649" spans="26:26" x14ac:dyDescent="0.25">
      <c r="Z5649">
        <v>399999.69900530996</v>
      </c>
    </row>
    <row r="5650" spans="26:26" x14ac:dyDescent="0.25">
      <c r="Z5650">
        <v>399999.6997559201</v>
      </c>
    </row>
    <row r="5651" spans="26:26" x14ac:dyDescent="0.25">
      <c r="Z5651">
        <v>399999.70050465851</v>
      </c>
    </row>
    <row r="5652" spans="26:26" x14ac:dyDescent="0.25">
      <c r="Z5652">
        <v>399999.70125152962</v>
      </c>
    </row>
    <row r="5653" spans="26:26" x14ac:dyDescent="0.25">
      <c r="Z5653">
        <v>399999.70199653832</v>
      </c>
    </row>
    <row r="5654" spans="26:26" x14ac:dyDescent="0.25">
      <c r="Z5654">
        <v>399999.70273968909</v>
      </c>
    </row>
    <row r="5655" spans="26:26" x14ac:dyDescent="0.25">
      <c r="Z5655">
        <v>399999.70348098659</v>
      </c>
    </row>
    <row r="5656" spans="26:26" x14ac:dyDescent="0.25">
      <c r="Z5656">
        <v>399999.70422043552</v>
      </c>
    </row>
    <row r="5657" spans="26:26" x14ac:dyDescent="0.25">
      <c r="Z5657">
        <v>399999.70495804038</v>
      </c>
    </row>
    <row r="5658" spans="26:26" x14ac:dyDescent="0.25">
      <c r="Z5658">
        <v>399999.70569380594</v>
      </c>
    </row>
    <row r="5659" spans="26:26" x14ac:dyDescent="0.25">
      <c r="Z5659">
        <v>399999.70642773656</v>
      </c>
    </row>
    <row r="5660" spans="26:26" x14ac:dyDescent="0.25">
      <c r="Z5660">
        <v>399999.70715983701</v>
      </c>
    </row>
    <row r="5661" spans="26:26" x14ac:dyDescent="0.25">
      <c r="Z5661">
        <v>399999.70789011172</v>
      </c>
    </row>
    <row r="5662" spans="26:26" x14ac:dyDescent="0.25">
      <c r="Z5662">
        <v>399999.70861856529</v>
      </c>
    </row>
    <row r="5663" spans="26:26" x14ac:dyDescent="0.25">
      <c r="Z5663">
        <v>399999.70934520231</v>
      </c>
    </row>
    <row r="5664" spans="26:26" x14ac:dyDescent="0.25">
      <c r="Z5664">
        <v>399999.71007002721</v>
      </c>
    </row>
    <row r="5665" spans="26:26" x14ac:dyDescent="0.25">
      <c r="Z5665">
        <v>399999.71079304459</v>
      </c>
    </row>
    <row r="5666" spans="26:26" x14ac:dyDescent="0.25">
      <c r="Z5666">
        <v>399999.71151425899</v>
      </c>
    </row>
    <row r="5667" spans="26:26" x14ac:dyDescent="0.25">
      <c r="Z5667">
        <v>399999.71223367477</v>
      </c>
    </row>
    <row r="5668" spans="26:26" x14ac:dyDescent="0.25">
      <c r="Z5668">
        <v>399999.71295129653</v>
      </c>
    </row>
    <row r="5669" spans="26:26" x14ac:dyDescent="0.25">
      <c r="Z5669">
        <v>399999.7136671287</v>
      </c>
    </row>
    <row r="5670" spans="26:26" x14ac:dyDescent="0.25">
      <c r="Z5670">
        <v>399999.71438117576</v>
      </c>
    </row>
    <row r="5671" spans="26:26" x14ac:dyDescent="0.25">
      <c r="Z5671">
        <v>399999.71509344212</v>
      </c>
    </row>
    <row r="5672" spans="26:26" x14ac:dyDescent="0.25">
      <c r="Z5672">
        <v>399999.71580393234</v>
      </c>
    </row>
    <row r="5673" spans="26:26" x14ac:dyDescent="0.25">
      <c r="Z5673">
        <v>399999.71651265072</v>
      </c>
    </row>
    <row r="5674" spans="26:26" x14ac:dyDescent="0.25">
      <c r="Z5674">
        <v>399999.71721960168</v>
      </c>
    </row>
    <row r="5675" spans="26:26" x14ac:dyDescent="0.25">
      <c r="Z5675">
        <v>399999.7179247897</v>
      </c>
    </row>
    <row r="5676" spans="26:26" x14ac:dyDescent="0.25">
      <c r="Z5676">
        <v>399999.71862821915</v>
      </c>
    </row>
    <row r="5677" spans="26:26" x14ac:dyDescent="0.25">
      <c r="Z5677">
        <v>399999.7193298944</v>
      </c>
    </row>
    <row r="5678" spans="26:26" x14ac:dyDescent="0.25">
      <c r="Z5678">
        <v>399999.72002981987</v>
      </c>
    </row>
    <row r="5679" spans="26:26" x14ac:dyDescent="0.25">
      <c r="Z5679">
        <v>399999.72072799987</v>
      </c>
    </row>
    <row r="5680" spans="26:26" x14ac:dyDescent="0.25">
      <c r="Z5680">
        <v>399999.72142443882</v>
      </c>
    </row>
    <row r="5681" spans="26:26" x14ac:dyDescent="0.25">
      <c r="Z5681">
        <v>399999.7221191409</v>
      </c>
    </row>
    <row r="5682" spans="26:26" x14ac:dyDescent="0.25">
      <c r="Z5682">
        <v>399999.72281211067</v>
      </c>
    </row>
    <row r="5683" spans="26:26" x14ac:dyDescent="0.25">
      <c r="Z5683">
        <v>399999.72350335226</v>
      </c>
    </row>
    <row r="5684" spans="26:26" x14ac:dyDescent="0.25">
      <c r="Z5684">
        <v>399999.72419287008</v>
      </c>
    </row>
    <row r="5685" spans="26:26" x14ac:dyDescent="0.25">
      <c r="Z5685">
        <v>399999.72488066839</v>
      </c>
    </row>
    <row r="5686" spans="26:26" x14ac:dyDescent="0.25">
      <c r="Z5686">
        <v>399999.72556675156</v>
      </c>
    </row>
    <row r="5687" spans="26:26" x14ac:dyDescent="0.25">
      <c r="Z5687">
        <v>399999.72625112376</v>
      </c>
    </row>
    <row r="5688" spans="26:26" x14ac:dyDescent="0.25">
      <c r="Z5688">
        <v>399999.72693378926</v>
      </c>
    </row>
    <row r="5689" spans="26:26" x14ac:dyDescent="0.25">
      <c r="Z5689">
        <v>399999.72761475242</v>
      </c>
    </row>
    <row r="5690" spans="26:26" x14ac:dyDescent="0.25">
      <c r="Z5690">
        <v>399999.72829401738</v>
      </c>
    </row>
    <row r="5691" spans="26:26" x14ac:dyDescent="0.25">
      <c r="Z5691">
        <v>399999.72897158837</v>
      </c>
    </row>
    <row r="5692" spans="26:26" x14ac:dyDescent="0.25">
      <c r="Z5692">
        <v>399999.72964746971</v>
      </c>
    </row>
    <row r="5693" spans="26:26" x14ac:dyDescent="0.25">
      <c r="Z5693">
        <v>399999.73032166553</v>
      </c>
    </row>
    <row r="5694" spans="26:26" x14ac:dyDescent="0.25">
      <c r="Z5694">
        <v>399999.73099418014</v>
      </c>
    </row>
    <row r="5695" spans="26:26" x14ac:dyDescent="0.25">
      <c r="Z5695">
        <v>399999.73166501755</v>
      </c>
    </row>
    <row r="5696" spans="26:26" x14ac:dyDescent="0.25">
      <c r="Z5696">
        <v>399999.73233418207</v>
      </c>
    </row>
    <row r="5697" spans="26:26" x14ac:dyDescent="0.25">
      <c r="Z5697">
        <v>399999.7330016779</v>
      </c>
    </row>
    <row r="5698" spans="26:26" x14ac:dyDescent="0.25">
      <c r="Z5698">
        <v>399999.73366750916</v>
      </c>
    </row>
    <row r="5699" spans="26:26" x14ac:dyDescent="0.25">
      <c r="Z5699">
        <v>399999.73433167994</v>
      </c>
    </row>
    <row r="5700" spans="26:26" x14ac:dyDescent="0.25">
      <c r="Z5700">
        <v>399999.73499419441</v>
      </c>
    </row>
    <row r="5701" spans="26:26" x14ac:dyDescent="0.25">
      <c r="Z5701">
        <v>399999.73565505678</v>
      </c>
    </row>
    <row r="5702" spans="26:26" x14ac:dyDescent="0.25">
      <c r="Z5702">
        <v>399999.73631427111</v>
      </c>
    </row>
    <row r="5703" spans="26:26" x14ac:dyDescent="0.25">
      <c r="Z5703">
        <v>399999.73697184148</v>
      </c>
    </row>
    <row r="5704" spans="26:26" x14ac:dyDescent="0.25">
      <c r="Z5704">
        <v>399999.73762777209</v>
      </c>
    </row>
    <row r="5705" spans="26:26" x14ac:dyDescent="0.25">
      <c r="Z5705">
        <v>399999.73828206689</v>
      </c>
    </row>
    <row r="5706" spans="26:26" x14ac:dyDescent="0.25">
      <c r="Z5706">
        <v>399999.73893473012</v>
      </c>
    </row>
    <row r="5707" spans="26:26" x14ac:dyDescent="0.25">
      <c r="Z5707">
        <v>399999.7395857657</v>
      </c>
    </row>
    <row r="5708" spans="26:26" x14ac:dyDescent="0.25">
      <c r="Z5708">
        <v>399999.74023517768</v>
      </c>
    </row>
    <row r="5709" spans="26:26" x14ac:dyDescent="0.25">
      <c r="Z5709">
        <v>399999.74088297028</v>
      </c>
    </row>
    <row r="5710" spans="26:26" x14ac:dyDescent="0.25">
      <c r="Z5710">
        <v>399999.74152914743</v>
      </c>
    </row>
    <row r="5711" spans="26:26" x14ac:dyDescent="0.25">
      <c r="Z5711">
        <v>399999.74217371311</v>
      </c>
    </row>
    <row r="5712" spans="26:26" x14ac:dyDescent="0.25">
      <c r="Z5712">
        <v>399999.7428166715</v>
      </c>
    </row>
    <row r="5713" spans="26:26" x14ac:dyDescent="0.25">
      <c r="Z5713">
        <v>399999.74345802644</v>
      </c>
    </row>
    <row r="5714" spans="26:26" x14ac:dyDescent="0.25">
      <c r="Z5714">
        <v>399999.74409778195</v>
      </c>
    </row>
    <row r="5715" spans="26:26" x14ac:dyDescent="0.25">
      <c r="Z5715">
        <v>399999.74473594211</v>
      </c>
    </row>
    <row r="5716" spans="26:26" x14ac:dyDescent="0.25">
      <c r="Z5716">
        <v>399999.74537251081</v>
      </c>
    </row>
    <row r="5717" spans="26:26" x14ac:dyDescent="0.25">
      <c r="Z5717">
        <v>399999.74600749207</v>
      </c>
    </row>
    <row r="5718" spans="26:26" x14ac:dyDescent="0.25">
      <c r="Z5718">
        <v>399999.74664088985</v>
      </c>
    </row>
    <row r="5719" spans="26:26" x14ac:dyDescent="0.25">
      <c r="Z5719">
        <v>399999.7472727081</v>
      </c>
    </row>
    <row r="5720" spans="26:26" x14ac:dyDescent="0.25">
      <c r="Z5720">
        <v>399999.74790295074</v>
      </c>
    </row>
    <row r="5721" spans="26:26" x14ac:dyDescent="0.25">
      <c r="Z5721">
        <v>399999.74853162165</v>
      </c>
    </row>
    <row r="5722" spans="26:26" x14ac:dyDescent="0.25">
      <c r="Z5722">
        <v>399999.74915872485</v>
      </c>
    </row>
    <row r="5723" spans="26:26" x14ac:dyDescent="0.25">
      <c r="Z5723">
        <v>399999.74978426413</v>
      </c>
    </row>
    <row r="5724" spans="26:26" x14ac:dyDescent="0.25">
      <c r="Z5724">
        <v>399999.75040824356</v>
      </c>
    </row>
    <row r="5725" spans="26:26" x14ac:dyDescent="0.25">
      <c r="Z5725">
        <v>399999.75103066693</v>
      </c>
    </row>
    <row r="5726" spans="26:26" x14ac:dyDescent="0.25">
      <c r="Z5726">
        <v>399999.75165153807</v>
      </c>
    </row>
    <row r="5727" spans="26:26" x14ac:dyDescent="0.25">
      <c r="Z5727">
        <v>399999.75227086095</v>
      </c>
    </row>
    <row r="5728" spans="26:26" x14ac:dyDescent="0.25">
      <c r="Z5728">
        <v>399999.75288863934</v>
      </c>
    </row>
    <row r="5729" spans="26:26" x14ac:dyDescent="0.25">
      <c r="Z5729">
        <v>399999.75350487715</v>
      </c>
    </row>
    <row r="5730" spans="26:26" x14ac:dyDescent="0.25">
      <c r="Z5730">
        <v>399999.75411957823</v>
      </c>
    </row>
    <row r="5731" spans="26:26" x14ac:dyDescent="0.25">
      <c r="Z5731">
        <v>399999.75473274634</v>
      </c>
    </row>
    <row r="5732" spans="26:26" x14ac:dyDescent="0.25">
      <c r="Z5732">
        <v>399999.75534438534</v>
      </c>
    </row>
    <row r="5733" spans="26:26" x14ac:dyDescent="0.25">
      <c r="Z5733">
        <v>399999.75595449912</v>
      </c>
    </row>
    <row r="5734" spans="26:26" x14ac:dyDescent="0.25">
      <c r="Z5734">
        <v>399999.75656309136</v>
      </c>
    </row>
    <row r="5735" spans="26:26" x14ac:dyDescent="0.25">
      <c r="Z5735">
        <v>399999.75717016601</v>
      </c>
    </row>
    <row r="5736" spans="26:26" x14ac:dyDescent="0.25">
      <c r="Z5736">
        <v>399999.75777572661</v>
      </c>
    </row>
    <row r="5737" spans="26:26" x14ac:dyDescent="0.25">
      <c r="Z5737">
        <v>399999.75837977719</v>
      </c>
    </row>
    <row r="5738" spans="26:26" x14ac:dyDescent="0.25">
      <c r="Z5738">
        <v>399999.75898232136</v>
      </c>
    </row>
    <row r="5739" spans="26:26" x14ac:dyDescent="0.25">
      <c r="Z5739">
        <v>399999.75958336296</v>
      </c>
    </row>
    <row r="5740" spans="26:26" x14ac:dyDescent="0.25">
      <c r="Z5740">
        <v>399999.76018290571</v>
      </c>
    </row>
    <row r="5741" spans="26:26" x14ac:dyDescent="0.25">
      <c r="Z5741">
        <v>399999.76078095334</v>
      </c>
    </row>
    <row r="5742" spans="26:26" x14ac:dyDescent="0.25">
      <c r="Z5742">
        <v>399999.76137750957</v>
      </c>
    </row>
    <row r="5743" spans="26:26" x14ac:dyDescent="0.25">
      <c r="Z5743">
        <v>399999.76197257813</v>
      </c>
    </row>
    <row r="5744" spans="26:26" x14ac:dyDescent="0.25">
      <c r="Z5744">
        <v>399999.76256616274</v>
      </c>
    </row>
    <row r="5745" spans="26:26" x14ac:dyDescent="0.25">
      <c r="Z5745">
        <v>399999.76315826707</v>
      </c>
    </row>
    <row r="5746" spans="26:26" x14ac:dyDescent="0.25">
      <c r="Z5746">
        <v>399999.76374889485</v>
      </c>
    </row>
    <row r="5747" spans="26:26" x14ac:dyDescent="0.25">
      <c r="Z5747">
        <v>399999.76433804969</v>
      </c>
    </row>
    <row r="5748" spans="26:26" x14ac:dyDescent="0.25">
      <c r="Z5748">
        <v>399999.76492573536</v>
      </c>
    </row>
    <row r="5749" spans="26:26" x14ac:dyDescent="0.25">
      <c r="Z5749">
        <v>399999.76551195543</v>
      </c>
    </row>
    <row r="5750" spans="26:26" x14ac:dyDescent="0.25">
      <c r="Z5750">
        <v>399999.76609671366</v>
      </c>
    </row>
    <row r="5751" spans="26:26" x14ac:dyDescent="0.25">
      <c r="Z5751">
        <v>399999.76668001362</v>
      </c>
    </row>
    <row r="5752" spans="26:26" x14ac:dyDescent="0.25">
      <c r="Z5752">
        <v>399999.76726185897</v>
      </c>
    </row>
    <row r="5753" spans="26:26" x14ac:dyDescent="0.25">
      <c r="Z5753">
        <v>399999.76784225338</v>
      </c>
    </row>
    <row r="5754" spans="26:26" x14ac:dyDescent="0.25">
      <c r="Z5754">
        <v>399999.76842120034</v>
      </c>
    </row>
    <row r="5755" spans="26:26" x14ac:dyDescent="0.25">
      <c r="Z5755">
        <v>399999.76899870357</v>
      </c>
    </row>
    <row r="5756" spans="26:26" x14ac:dyDescent="0.25">
      <c r="Z5756">
        <v>399999.76957476669</v>
      </c>
    </row>
    <row r="5757" spans="26:26" x14ac:dyDescent="0.25">
      <c r="Z5757">
        <v>399999.77014939318</v>
      </c>
    </row>
    <row r="5758" spans="26:26" x14ac:dyDescent="0.25">
      <c r="Z5758">
        <v>399999.77072258672</v>
      </c>
    </row>
    <row r="5759" spans="26:26" x14ac:dyDescent="0.25">
      <c r="Z5759">
        <v>399999.77129435085</v>
      </c>
    </row>
    <row r="5760" spans="26:26" x14ac:dyDescent="0.25">
      <c r="Z5760">
        <v>399999.77186468913</v>
      </c>
    </row>
    <row r="5761" spans="26:26" x14ac:dyDescent="0.25">
      <c r="Z5761">
        <v>399999.7724336051</v>
      </c>
    </row>
    <row r="5762" spans="26:26" x14ac:dyDescent="0.25">
      <c r="Z5762">
        <v>399999.77300110232</v>
      </c>
    </row>
    <row r="5763" spans="26:26" x14ac:dyDescent="0.25">
      <c r="Z5763">
        <v>399999.7735671844</v>
      </c>
    </row>
    <row r="5764" spans="26:26" x14ac:dyDescent="0.25">
      <c r="Z5764">
        <v>399999.77413185476</v>
      </c>
    </row>
    <row r="5765" spans="26:26" x14ac:dyDescent="0.25">
      <c r="Z5765">
        <v>399999.77469511697</v>
      </c>
    </row>
    <row r="5766" spans="26:26" x14ac:dyDescent="0.25">
      <c r="Z5766">
        <v>399999.77525697456</v>
      </c>
    </row>
    <row r="5767" spans="26:26" x14ac:dyDescent="0.25">
      <c r="Z5767">
        <v>399999.77581743093</v>
      </c>
    </row>
    <row r="5768" spans="26:26" x14ac:dyDescent="0.25">
      <c r="Z5768">
        <v>399999.77637648978</v>
      </c>
    </row>
    <row r="5769" spans="26:26" x14ac:dyDescent="0.25">
      <c r="Z5769">
        <v>399999.77693415433</v>
      </c>
    </row>
    <row r="5770" spans="26:26" x14ac:dyDescent="0.25">
      <c r="Z5770">
        <v>399999.77749042824</v>
      </c>
    </row>
    <row r="5771" spans="26:26" x14ac:dyDescent="0.25">
      <c r="Z5771">
        <v>399999.778045315</v>
      </c>
    </row>
    <row r="5772" spans="26:26" x14ac:dyDescent="0.25">
      <c r="Z5772">
        <v>399999.77859881794</v>
      </c>
    </row>
    <row r="5773" spans="26:26" x14ac:dyDescent="0.25">
      <c r="Z5773">
        <v>399999.77915094059</v>
      </c>
    </row>
    <row r="5774" spans="26:26" x14ac:dyDescent="0.25">
      <c r="Z5774">
        <v>399999.77970168635</v>
      </c>
    </row>
    <row r="5775" spans="26:26" x14ac:dyDescent="0.25">
      <c r="Z5775">
        <v>399999.78025105875</v>
      </c>
    </row>
    <row r="5776" spans="26:26" x14ac:dyDescent="0.25">
      <c r="Z5776">
        <v>399999.78079906106</v>
      </c>
    </row>
    <row r="5777" spans="26:26" x14ac:dyDescent="0.25">
      <c r="Z5777">
        <v>399999.78134569683</v>
      </c>
    </row>
    <row r="5778" spans="26:26" x14ac:dyDescent="0.25">
      <c r="Z5778">
        <v>399999.78189096943</v>
      </c>
    </row>
    <row r="5779" spans="26:26" x14ac:dyDescent="0.25">
      <c r="Z5779">
        <v>399999.78243488219</v>
      </c>
    </row>
    <row r="5780" spans="26:26" x14ac:dyDescent="0.25">
      <c r="Z5780">
        <v>399999.78297743859</v>
      </c>
    </row>
    <row r="5781" spans="26:26" x14ac:dyDescent="0.25">
      <c r="Z5781">
        <v>399999.78351864201</v>
      </c>
    </row>
    <row r="5782" spans="26:26" x14ac:dyDescent="0.25">
      <c r="Z5782">
        <v>399999.78405849577</v>
      </c>
    </row>
    <row r="5783" spans="26:26" x14ac:dyDescent="0.25">
      <c r="Z5783">
        <v>399999.78459700325</v>
      </c>
    </row>
    <row r="5784" spans="26:26" x14ac:dyDescent="0.25">
      <c r="Z5784">
        <v>399999.78513416788</v>
      </c>
    </row>
    <row r="5785" spans="26:26" x14ac:dyDescent="0.25">
      <c r="Z5785">
        <v>399999.78566999285</v>
      </c>
    </row>
    <row r="5786" spans="26:26" x14ac:dyDescent="0.25">
      <c r="Z5786">
        <v>399999.78620448161</v>
      </c>
    </row>
    <row r="5787" spans="26:26" x14ac:dyDescent="0.25">
      <c r="Z5787">
        <v>399999.78673763759</v>
      </c>
    </row>
    <row r="5788" spans="26:26" x14ac:dyDescent="0.25">
      <c r="Z5788">
        <v>399999.78726946394</v>
      </c>
    </row>
    <row r="5789" spans="26:26" x14ac:dyDescent="0.25">
      <c r="Z5789">
        <v>399999.78779996396</v>
      </c>
    </row>
    <row r="5790" spans="26:26" x14ac:dyDescent="0.25">
      <c r="Z5790">
        <v>399999.78832914116</v>
      </c>
    </row>
    <row r="5791" spans="26:26" x14ac:dyDescent="0.25">
      <c r="Z5791">
        <v>399999.78885699867</v>
      </c>
    </row>
    <row r="5792" spans="26:26" x14ac:dyDescent="0.25">
      <c r="Z5792">
        <v>399999.78938353981</v>
      </c>
    </row>
    <row r="5793" spans="26:26" x14ac:dyDescent="0.25">
      <c r="Z5793">
        <v>399999.78990876785</v>
      </c>
    </row>
    <row r="5794" spans="26:26" x14ac:dyDescent="0.25">
      <c r="Z5794">
        <v>399999.7904326861</v>
      </c>
    </row>
    <row r="5795" spans="26:26" x14ac:dyDescent="0.25">
      <c r="Z5795">
        <v>399999.79095529794</v>
      </c>
    </row>
    <row r="5796" spans="26:26" x14ac:dyDescent="0.25">
      <c r="Z5796">
        <v>399999.79147660639</v>
      </c>
    </row>
    <row r="5797" spans="26:26" x14ac:dyDescent="0.25">
      <c r="Z5797">
        <v>399999.79199661483</v>
      </c>
    </row>
    <row r="5798" spans="26:26" x14ac:dyDescent="0.25">
      <c r="Z5798">
        <v>399999.79251532652</v>
      </c>
    </row>
    <row r="5799" spans="26:26" x14ac:dyDescent="0.25">
      <c r="Z5799">
        <v>399999.79303274467</v>
      </c>
    </row>
    <row r="5800" spans="26:26" x14ac:dyDescent="0.25">
      <c r="Z5800">
        <v>399999.79354887252</v>
      </c>
    </row>
    <row r="5801" spans="26:26" x14ac:dyDescent="0.25">
      <c r="Z5801">
        <v>399999.79406371323</v>
      </c>
    </row>
    <row r="5802" spans="26:26" x14ac:dyDescent="0.25">
      <c r="Z5802">
        <v>399999.79457727005</v>
      </c>
    </row>
    <row r="5803" spans="26:26" x14ac:dyDescent="0.25">
      <c r="Z5803">
        <v>399999.79508954618</v>
      </c>
    </row>
    <row r="5804" spans="26:26" x14ac:dyDescent="0.25">
      <c r="Z5804">
        <v>399999.79560054478</v>
      </c>
    </row>
    <row r="5805" spans="26:26" x14ac:dyDescent="0.25">
      <c r="Z5805">
        <v>399999.79611026915</v>
      </c>
    </row>
    <row r="5806" spans="26:26" x14ac:dyDescent="0.25">
      <c r="Z5806">
        <v>399999.79661872232</v>
      </c>
    </row>
    <row r="5807" spans="26:26" x14ac:dyDescent="0.25">
      <c r="Z5807">
        <v>399999.79712590756</v>
      </c>
    </row>
    <row r="5808" spans="26:26" x14ac:dyDescent="0.25">
      <c r="Z5808">
        <v>399999.797631828</v>
      </c>
    </row>
    <row r="5809" spans="26:26" x14ac:dyDescent="0.25">
      <c r="Z5809">
        <v>399999.79813648679</v>
      </c>
    </row>
    <row r="5810" spans="26:26" x14ac:dyDescent="0.25">
      <c r="Z5810">
        <v>399999.79863988707</v>
      </c>
    </row>
    <row r="5811" spans="26:26" x14ac:dyDescent="0.25">
      <c r="Z5811">
        <v>399999.79914203199</v>
      </c>
    </row>
    <row r="5812" spans="26:26" x14ac:dyDescent="0.25">
      <c r="Z5812">
        <v>399999.79964292463</v>
      </c>
    </row>
    <row r="5813" spans="26:26" x14ac:dyDescent="0.25">
      <c r="Z5813">
        <v>399999.80014256825</v>
      </c>
    </row>
    <row r="5814" spans="26:26" x14ac:dyDescent="0.25">
      <c r="Z5814">
        <v>399999.80064096587</v>
      </c>
    </row>
    <row r="5815" spans="26:26" x14ac:dyDescent="0.25">
      <c r="Z5815">
        <v>399999.80113812053</v>
      </c>
    </row>
    <row r="5816" spans="26:26" x14ac:dyDescent="0.25">
      <c r="Z5816">
        <v>399999.80163403548</v>
      </c>
    </row>
    <row r="5817" spans="26:26" x14ac:dyDescent="0.25">
      <c r="Z5817">
        <v>399999.80212871364</v>
      </c>
    </row>
    <row r="5818" spans="26:26" x14ac:dyDescent="0.25">
      <c r="Z5818">
        <v>399999.80262215825</v>
      </c>
    </row>
    <row r="5819" spans="26:26" x14ac:dyDescent="0.25">
      <c r="Z5819">
        <v>399999.80311437236</v>
      </c>
    </row>
    <row r="5820" spans="26:26" x14ac:dyDescent="0.25">
      <c r="Z5820">
        <v>399999.80360535893</v>
      </c>
    </row>
    <row r="5821" spans="26:26" x14ac:dyDescent="0.25">
      <c r="Z5821">
        <v>399999.8040951211</v>
      </c>
    </row>
    <row r="5822" spans="26:26" x14ac:dyDescent="0.25">
      <c r="Z5822">
        <v>399999.80458366196</v>
      </c>
    </row>
    <row r="5823" spans="26:26" x14ac:dyDescent="0.25">
      <c r="Z5823">
        <v>399999.80507098453</v>
      </c>
    </row>
    <row r="5824" spans="26:26" x14ac:dyDescent="0.25">
      <c r="Z5824">
        <v>399999.80555709178</v>
      </c>
    </row>
    <row r="5825" spans="26:26" x14ac:dyDescent="0.25">
      <c r="Z5825">
        <v>399999.80604198686</v>
      </c>
    </row>
    <row r="5826" spans="26:26" x14ac:dyDescent="0.25">
      <c r="Z5826">
        <v>399999.80652567261</v>
      </c>
    </row>
    <row r="5827" spans="26:26" x14ac:dyDescent="0.25">
      <c r="Z5827">
        <v>399999.80700815225</v>
      </c>
    </row>
    <row r="5828" spans="26:26" x14ac:dyDescent="0.25">
      <c r="Z5828">
        <v>399999.80748942873</v>
      </c>
    </row>
    <row r="5829" spans="26:26" x14ac:dyDescent="0.25">
      <c r="Z5829">
        <v>399999.80796950491</v>
      </c>
    </row>
    <row r="5830" spans="26:26" x14ac:dyDescent="0.25">
      <c r="Z5830">
        <v>399999.80844838393</v>
      </c>
    </row>
    <row r="5831" spans="26:26" x14ac:dyDescent="0.25">
      <c r="Z5831">
        <v>399999.80892606877</v>
      </c>
    </row>
    <row r="5832" spans="26:26" x14ac:dyDescent="0.25">
      <c r="Z5832">
        <v>399999.80940256239</v>
      </c>
    </row>
    <row r="5833" spans="26:26" x14ac:dyDescent="0.25">
      <c r="Z5833">
        <v>399999.80987786775</v>
      </c>
    </row>
    <row r="5834" spans="26:26" x14ac:dyDescent="0.25">
      <c r="Z5834">
        <v>399999.81035198772</v>
      </c>
    </row>
    <row r="5835" spans="26:26" x14ac:dyDescent="0.25">
      <c r="Z5835">
        <v>399999.81082492543</v>
      </c>
    </row>
    <row r="5836" spans="26:26" x14ac:dyDescent="0.25">
      <c r="Z5836">
        <v>399999.81129668374</v>
      </c>
    </row>
    <row r="5837" spans="26:26" x14ac:dyDescent="0.25">
      <c r="Z5837">
        <v>399999.81176726561</v>
      </c>
    </row>
    <row r="5838" spans="26:26" x14ac:dyDescent="0.25">
      <c r="Z5838">
        <v>399999.81223667384</v>
      </c>
    </row>
    <row r="5839" spans="26:26" x14ac:dyDescent="0.25">
      <c r="Z5839">
        <v>399999.81270491157</v>
      </c>
    </row>
    <row r="5840" spans="26:26" x14ac:dyDescent="0.25">
      <c r="Z5840">
        <v>399999.81317198166</v>
      </c>
    </row>
    <row r="5841" spans="26:26" x14ac:dyDescent="0.25">
      <c r="Z5841">
        <v>399999.81363788689</v>
      </c>
    </row>
    <row r="5842" spans="26:26" x14ac:dyDescent="0.25">
      <c r="Z5842">
        <v>399999.81410263036</v>
      </c>
    </row>
    <row r="5843" spans="26:26" x14ac:dyDescent="0.25">
      <c r="Z5843">
        <v>399999.8145662148</v>
      </c>
    </row>
    <row r="5844" spans="26:26" x14ac:dyDescent="0.25">
      <c r="Z5844">
        <v>399999.81502864318</v>
      </c>
    </row>
    <row r="5845" spans="26:26" x14ac:dyDescent="0.25">
      <c r="Z5845">
        <v>399999.8154899184</v>
      </c>
    </row>
    <row r="5846" spans="26:26" x14ac:dyDescent="0.25">
      <c r="Z5846">
        <v>399999.81595004327</v>
      </c>
    </row>
    <row r="5847" spans="26:26" x14ac:dyDescent="0.25">
      <c r="Z5847">
        <v>399999.81640902074</v>
      </c>
    </row>
    <row r="5848" spans="26:26" x14ac:dyDescent="0.25">
      <c r="Z5848">
        <v>399999.81686685357</v>
      </c>
    </row>
    <row r="5849" spans="26:26" x14ac:dyDescent="0.25">
      <c r="Z5849">
        <v>399999.81732354476</v>
      </c>
    </row>
    <row r="5850" spans="26:26" x14ac:dyDescent="0.25">
      <c r="Z5850">
        <v>399999.81777909701</v>
      </c>
    </row>
    <row r="5851" spans="26:26" x14ac:dyDescent="0.25">
      <c r="Z5851">
        <v>399999.81823351327</v>
      </c>
    </row>
    <row r="5852" spans="26:26" x14ac:dyDescent="0.25">
      <c r="Z5852">
        <v>399999.81868679624</v>
      </c>
    </row>
    <row r="5853" spans="26:26" x14ac:dyDescent="0.25">
      <c r="Z5853">
        <v>399999.81913894886</v>
      </c>
    </row>
    <row r="5854" spans="26:26" x14ac:dyDescent="0.25">
      <c r="Z5854">
        <v>399999.81958997389</v>
      </c>
    </row>
    <row r="5855" spans="26:26" x14ac:dyDescent="0.25">
      <c r="Z5855">
        <v>399999.82003987423</v>
      </c>
    </row>
    <row r="5856" spans="26:26" x14ac:dyDescent="0.25">
      <c r="Z5856">
        <v>399999.82048865262</v>
      </c>
    </row>
    <row r="5857" spans="26:26" x14ac:dyDescent="0.25">
      <c r="Z5857">
        <v>399999.82093631185</v>
      </c>
    </row>
    <row r="5858" spans="26:26" x14ac:dyDescent="0.25">
      <c r="Z5858">
        <v>399999.82138285472</v>
      </c>
    </row>
    <row r="5859" spans="26:26" x14ac:dyDescent="0.25">
      <c r="Z5859">
        <v>399999.82182828395</v>
      </c>
    </row>
    <row r="5860" spans="26:26" x14ac:dyDescent="0.25">
      <c r="Z5860">
        <v>399999.82227260247</v>
      </c>
    </row>
    <row r="5861" spans="26:26" x14ac:dyDescent="0.25">
      <c r="Z5861">
        <v>399999.82271581294</v>
      </c>
    </row>
    <row r="5862" spans="26:26" x14ac:dyDescent="0.25">
      <c r="Z5862">
        <v>399999.82315791817</v>
      </c>
    </row>
    <row r="5863" spans="26:26" x14ac:dyDescent="0.25">
      <c r="Z5863">
        <v>399999.82359892083</v>
      </c>
    </row>
    <row r="5864" spans="26:26" x14ac:dyDescent="0.25">
      <c r="Z5864">
        <v>399999.82403882378</v>
      </c>
    </row>
    <row r="5865" spans="26:26" x14ac:dyDescent="0.25">
      <c r="Z5865">
        <v>399999.82447762974</v>
      </c>
    </row>
    <row r="5866" spans="26:26" x14ac:dyDescent="0.25">
      <c r="Z5866">
        <v>399999.82491534139</v>
      </c>
    </row>
    <row r="5867" spans="26:26" x14ac:dyDescent="0.25">
      <c r="Z5867">
        <v>399999.82535196148</v>
      </c>
    </row>
    <row r="5868" spans="26:26" x14ac:dyDescent="0.25">
      <c r="Z5868">
        <v>399999.82578749274</v>
      </c>
    </row>
    <row r="5869" spans="26:26" x14ac:dyDescent="0.25">
      <c r="Z5869">
        <v>399999.8262219379</v>
      </c>
    </row>
    <row r="5870" spans="26:26" x14ac:dyDescent="0.25">
      <c r="Z5870">
        <v>399999.82665529964</v>
      </c>
    </row>
    <row r="5871" spans="26:26" x14ac:dyDescent="0.25">
      <c r="Z5871">
        <v>399999.82708758069</v>
      </c>
    </row>
    <row r="5872" spans="26:26" x14ac:dyDescent="0.25">
      <c r="Z5872">
        <v>399999.82751878368</v>
      </c>
    </row>
    <row r="5873" spans="26:26" x14ac:dyDescent="0.25">
      <c r="Z5873">
        <v>399999.82794891146</v>
      </c>
    </row>
    <row r="5874" spans="26:26" x14ac:dyDescent="0.25">
      <c r="Z5874">
        <v>399999.82837796648</v>
      </c>
    </row>
    <row r="5875" spans="26:26" x14ac:dyDescent="0.25">
      <c r="Z5875">
        <v>399999.82880595163</v>
      </c>
    </row>
    <row r="5876" spans="26:26" x14ac:dyDescent="0.25">
      <c r="Z5876">
        <v>399999.8292328695</v>
      </c>
    </row>
    <row r="5877" spans="26:26" x14ac:dyDescent="0.25">
      <c r="Z5877">
        <v>399999.82965872268</v>
      </c>
    </row>
    <row r="5878" spans="26:26" x14ac:dyDescent="0.25">
      <c r="Z5878">
        <v>399999.83008351387</v>
      </c>
    </row>
    <row r="5879" spans="26:26" x14ac:dyDescent="0.25">
      <c r="Z5879">
        <v>399999.83050724579</v>
      </c>
    </row>
    <row r="5880" spans="26:26" x14ac:dyDescent="0.25">
      <c r="Z5880">
        <v>399999.83092992095</v>
      </c>
    </row>
    <row r="5881" spans="26:26" x14ac:dyDescent="0.25">
      <c r="Z5881">
        <v>399999.83135154209</v>
      </c>
    </row>
    <row r="5882" spans="26:26" x14ac:dyDescent="0.25">
      <c r="Z5882">
        <v>399999.83177211182</v>
      </c>
    </row>
    <row r="5883" spans="26:26" x14ac:dyDescent="0.25">
      <c r="Z5883">
        <v>399999.83219163271</v>
      </c>
    </row>
    <row r="5884" spans="26:26" x14ac:dyDescent="0.25">
      <c r="Z5884">
        <v>399999.83261010749</v>
      </c>
    </row>
    <row r="5885" spans="26:26" x14ac:dyDescent="0.25">
      <c r="Z5885">
        <v>399999.83302753861</v>
      </c>
    </row>
    <row r="5886" spans="26:26" x14ac:dyDescent="0.25">
      <c r="Z5886">
        <v>399999.8334439288</v>
      </c>
    </row>
    <row r="5887" spans="26:26" x14ac:dyDescent="0.25">
      <c r="Z5887">
        <v>399999.83385928057</v>
      </c>
    </row>
    <row r="5888" spans="26:26" x14ac:dyDescent="0.25">
      <c r="Z5888">
        <v>399999.83427359664</v>
      </c>
    </row>
    <row r="5889" spans="26:26" x14ac:dyDescent="0.25">
      <c r="Z5889">
        <v>399999.83468687942</v>
      </c>
    </row>
    <row r="5890" spans="26:26" x14ac:dyDescent="0.25">
      <c r="Z5890">
        <v>399999.83509913163</v>
      </c>
    </row>
    <row r="5891" spans="26:26" x14ac:dyDescent="0.25">
      <c r="Z5891">
        <v>399999.83551035571</v>
      </c>
    </row>
    <row r="5892" spans="26:26" x14ac:dyDescent="0.25">
      <c r="Z5892">
        <v>399999.83592055429</v>
      </c>
    </row>
    <row r="5893" spans="26:26" x14ac:dyDescent="0.25">
      <c r="Z5893">
        <v>399999.83632972999</v>
      </c>
    </row>
    <row r="5894" spans="26:26" x14ac:dyDescent="0.25">
      <c r="Z5894">
        <v>399999.83673788526</v>
      </c>
    </row>
    <row r="5895" spans="26:26" x14ac:dyDescent="0.25">
      <c r="Z5895">
        <v>399999.8371450227</v>
      </c>
    </row>
    <row r="5896" spans="26:26" x14ac:dyDescent="0.25">
      <c r="Z5896">
        <v>399999.83755114482</v>
      </c>
    </row>
    <row r="5897" spans="26:26" x14ac:dyDescent="0.25">
      <c r="Z5897">
        <v>399999.83795625425</v>
      </c>
    </row>
    <row r="5898" spans="26:26" x14ac:dyDescent="0.25">
      <c r="Z5898">
        <v>399999.83836035331</v>
      </c>
    </row>
    <row r="5899" spans="26:26" x14ac:dyDescent="0.25">
      <c r="Z5899">
        <v>399999.83876344474</v>
      </c>
    </row>
    <row r="5900" spans="26:26" x14ac:dyDescent="0.25">
      <c r="Z5900">
        <v>399999.83916553092</v>
      </c>
    </row>
    <row r="5901" spans="26:26" x14ac:dyDescent="0.25">
      <c r="Z5901">
        <v>399999.83956661436</v>
      </c>
    </row>
    <row r="5902" spans="26:26" x14ac:dyDescent="0.25">
      <c r="Z5902">
        <v>399999.83996669762</v>
      </c>
    </row>
    <row r="5903" spans="26:26" x14ac:dyDescent="0.25">
      <c r="Z5903">
        <v>399999.84036578314</v>
      </c>
    </row>
    <row r="5904" spans="26:26" x14ac:dyDescent="0.25">
      <c r="Z5904">
        <v>399999.84076387348</v>
      </c>
    </row>
    <row r="5905" spans="26:26" x14ac:dyDescent="0.25">
      <c r="Z5905">
        <v>399999.84116097103</v>
      </c>
    </row>
    <row r="5906" spans="26:26" x14ac:dyDescent="0.25">
      <c r="Z5906">
        <v>399999.84155707835</v>
      </c>
    </row>
    <row r="5907" spans="26:26" x14ac:dyDescent="0.25">
      <c r="Z5907">
        <v>399999.84195219784</v>
      </c>
    </row>
    <row r="5908" spans="26:26" x14ac:dyDescent="0.25">
      <c r="Z5908">
        <v>399999.84234633204</v>
      </c>
    </row>
    <row r="5909" spans="26:26" x14ac:dyDescent="0.25">
      <c r="Z5909">
        <v>399999.84273948334</v>
      </c>
    </row>
    <row r="5910" spans="26:26" x14ac:dyDescent="0.25">
      <c r="Z5910">
        <v>399999.8431316542</v>
      </c>
    </row>
    <row r="5911" spans="26:26" x14ac:dyDescent="0.25">
      <c r="Z5911">
        <v>399999.84352284711</v>
      </c>
    </row>
    <row r="5912" spans="26:26" x14ac:dyDescent="0.25">
      <c r="Z5912">
        <v>399999.8439130644</v>
      </c>
    </row>
    <row r="5913" spans="26:26" x14ac:dyDescent="0.25">
      <c r="Z5913">
        <v>399999.84430230863</v>
      </c>
    </row>
    <row r="5914" spans="26:26" x14ac:dyDescent="0.25">
      <c r="Z5914">
        <v>399999.84469058219</v>
      </c>
    </row>
    <row r="5915" spans="26:26" x14ac:dyDescent="0.25">
      <c r="Z5915">
        <v>399999.84507788747</v>
      </c>
    </row>
    <row r="5916" spans="26:26" x14ac:dyDescent="0.25">
      <c r="Z5916">
        <v>399999.84546422685</v>
      </c>
    </row>
    <row r="5917" spans="26:26" x14ac:dyDescent="0.25">
      <c r="Z5917">
        <v>399999.84584960289</v>
      </c>
    </row>
    <row r="5918" spans="26:26" x14ac:dyDescent="0.25">
      <c r="Z5918">
        <v>399999.84623401781</v>
      </c>
    </row>
    <row r="5919" spans="26:26" x14ac:dyDescent="0.25">
      <c r="Z5919">
        <v>399999.84661747416</v>
      </c>
    </row>
    <row r="5920" spans="26:26" x14ac:dyDescent="0.25">
      <c r="Z5920">
        <v>399999.84699997428</v>
      </c>
    </row>
    <row r="5921" spans="26:26" x14ac:dyDescent="0.25">
      <c r="Z5921">
        <v>399999.84738152043</v>
      </c>
    </row>
    <row r="5922" spans="26:26" x14ac:dyDescent="0.25">
      <c r="Z5922">
        <v>399999.84776211513</v>
      </c>
    </row>
    <row r="5923" spans="26:26" x14ac:dyDescent="0.25">
      <c r="Z5923">
        <v>399999.84814176074</v>
      </c>
    </row>
    <row r="5924" spans="26:26" x14ac:dyDescent="0.25">
      <c r="Z5924">
        <v>399999.84852045961</v>
      </c>
    </row>
    <row r="5925" spans="26:26" x14ac:dyDescent="0.25">
      <c r="Z5925">
        <v>399999.84889821406</v>
      </c>
    </row>
    <row r="5926" spans="26:26" x14ac:dyDescent="0.25">
      <c r="Z5926">
        <v>399999.84927502647</v>
      </c>
    </row>
    <row r="5927" spans="26:26" x14ac:dyDescent="0.25">
      <c r="Z5927">
        <v>399999.84965089924</v>
      </c>
    </row>
    <row r="5928" spans="26:26" x14ac:dyDescent="0.25">
      <c r="Z5928">
        <v>399999.85002583463</v>
      </c>
    </row>
    <row r="5929" spans="26:26" x14ac:dyDescent="0.25">
      <c r="Z5929">
        <v>399999.85039983509</v>
      </c>
    </row>
    <row r="5930" spans="26:26" x14ac:dyDescent="0.25">
      <c r="Z5930">
        <v>399999.85077290278</v>
      </c>
    </row>
    <row r="5931" spans="26:26" x14ac:dyDescent="0.25">
      <c r="Z5931">
        <v>399999.85114504019</v>
      </c>
    </row>
    <row r="5932" spans="26:26" x14ac:dyDescent="0.25">
      <c r="Z5932">
        <v>399999.85151624959</v>
      </c>
    </row>
    <row r="5933" spans="26:26" x14ac:dyDescent="0.25">
      <c r="Z5933">
        <v>399999.85188653326</v>
      </c>
    </row>
    <row r="5934" spans="26:26" x14ac:dyDescent="0.25">
      <c r="Z5934">
        <v>399999.85225589346</v>
      </c>
    </row>
    <row r="5935" spans="26:26" x14ac:dyDescent="0.25">
      <c r="Z5935">
        <v>399999.85262433271</v>
      </c>
    </row>
    <row r="5936" spans="26:26" x14ac:dyDescent="0.25">
      <c r="Z5936">
        <v>399999.85299185303</v>
      </c>
    </row>
    <row r="5937" spans="26:26" x14ac:dyDescent="0.25">
      <c r="Z5937">
        <v>399999.85335845692</v>
      </c>
    </row>
    <row r="5938" spans="26:26" x14ac:dyDescent="0.25">
      <c r="Z5938">
        <v>399999.85372414655</v>
      </c>
    </row>
    <row r="5939" spans="26:26" x14ac:dyDescent="0.25">
      <c r="Z5939">
        <v>399999.85408892424</v>
      </c>
    </row>
    <row r="5940" spans="26:26" x14ac:dyDescent="0.25">
      <c r="Z5940">
        <v>399999.85445279226</v>
      </c>
    </row>
    <row r="5941" spans="26:26" x14ac:dyDescent="0.25">
      <c r="Z5941">
        <v>399999.85481575289</v>
      </c>
    </row>
    <row r="5942" spans="26:26" x14ac:dyDescent="0.25">
      <c r="Z5942">
        <v>399999.85517780832</v>
      </c>
    </row>
    <row r="5943" spans="26:26" x14ac:dyDescent="0.25">
      <c r="Z5943">
        <v>399999.85553896095</v>
      </c>
    </row>
    <row r="5944" spans="26:26" x14ac:dyDescent="0.25">
      <c r="Z5944">
        <v>399999.85589921294</v>
      </c>
    </row>
    <row r="5945" spans="26:26" x14ac:dyDescent="0.25">
      <c r="Z5945">
        <v>399999.85625856649</v>
      </c>
    </row>
    <row r="5946" spans="26:26" x14ac:dyDescent="0.25">
      <c r="Z5946">
        <v>399999.85661702394</v>
      </c>
    </row>
    <row r="5947" spans="26:26" x14ac:dyDescent="0.25">
      <c r="Z5947">
        <v>399999.85697458748</v>
      </c>
    </row>
    <row r="5948" spans="26:26" x14ac:dyDescent="0.25">
      <c r="Z5948">
        <v>399999.85733125929</v>
      </c>
    </row>
    <row r="5949" spans="26:26" x14ac:dyDescent="0.25">
      <c r="Z5949">
        <v>399999.85768704175</v>
      </c>
    </row>
    <row r="5950" spans="26:26" x14ac:dyDescent="0.25">
      <c r="Z5950">
        <v>399999.85804193688</v>
      </c>
    </row>
    <row r="5951" spans="26:26" x14ac:dyDescent="0.25">
      <c r="Z5951">
        <v>399999.85839594703</v>
      </c>
    </row>
    <row r="5952" spans="26:26" x14ac:dyDescent="0.25">
      <c r="Z5952">
        <v>399999.85874907434</v>
      </c>
    </row>
    <row r="5953" spans="26:26" x14ac:dyDescent="0.25">
      <c r="Z5953">
        <v>399999.85910132097</v>
      </c>
    </row>
    <row r="5954" spans="26:26" x14ac:dyDescent="0.25">
      <c r="Z5954">
        <v>399999.85945268924</v>
      </c>
    </row>
    <row r="5955" spans="26:26" x14ac:dyDescent="0.25">
      <c r="Z5955">
        <v>399999.85980318132</v>
      </c>
    </row>
    <row r="5956" spans="26:26" x14ac:dyDescent="0.25">
      <c r="Z5956">
        <v>399999.86015279935</v>
      </c>
    </row>
    <row r="5957" spans="26:26" x14ac:dyDescent="0.25">
      <c r="Z5957">
        <v>399999.86050154548</v>
      </c>
    </row>
    <row r="5958" spans="26:26" x14ac:dyDescent="0.25">
      <c r="Z5958">
        <v>399999.86084942194</v>
      </c>
    </row>
    <row r="5959" spans="26:26" x14ac:dyDescent="0.25">
      <c r="Z5959">
        <v>399999.86119643081</v>
      </c>
    </row>
    <row r="5960" spans="26:26" x14ac:dyDescent="0.25">
      <c r="Z5960">
        <v>399999.86154257442</v>
      </c>
    </row>
    <row r="5961" spans="26:26" x14ac:dyDescent="0.25">
      <c r="Z5961">
        <v>399999.86188785476</v>
      </c>
    </row>
    <row r="5962" spans="26:26" x14ac:dyDescent="0.25">
      <c r="Z5962">
        <v>399999.86223227408</v>
      </c>
    </row>
    <row r="5963" spans="26:26" x14ac:dyDescent="0.25">
      <c r="Z5963">
        <v>399999.8625758345</v>
      </c>
    </row>
    <row r="5964" spans="26:26" x14ac:dyDescent="0.25">
      <c r="Z5964">
        <v>399999.86291853816</v>
      </c>
    </row>
    <row r="5965" spans="26:26" x14ac:dyDescent="0.25">
      <c r="Z5965">
        <v>399999.86326038721</v>
      </c>
    </row>
    <row r="5966" spans="26:26" x14ac:dyDescent="0.25">
      <c r="Z5966">
        <v>399999.86360138369</v>
      </c>
    </row>
    <row r="5967" spans="26:26" x14ac:dyDescent="0.25">
      <c r="Z5967">
        <v>399999.86394152994</v>
      </c>
    </row>
    <row r="5968" spans="26:26" x14ac:dyDescent="0.25">
      <c r="Z5968">
        <v>399999.86428082781</v>
      </c>
    </row>
    <row r="5969" spans="26:26" x14ac:dyDescent="0.25">
      <c r="Z5969">
        <v>399999.86461927963</v>
      </c>
    </row>
    <row r="5970" spans="26:26" x14ac:dyDescent="0.25">
      <c r="Z5970">
        <v>399999.86495688744</v>
      </c>
    </row>
    <row r="5971" spans="26:26" x14ac:dyDescent="0.25">
      <c r="Z5971">
        <v>399999.86529365327</v>
      </c>
    </row>
    <row r="5972" spans="26:26" x14ac:dyDescent="0.25">
      <c r="Z5972">
        <v>399999.86562957935</v>
      </c>
    </row>
    <row r="5973" spans="26:26" x14ac:dyDescent="0.25">
      <c r="Z5973">
        <v>399999.86596466764</v>
      </c>
    </row>
    <row r="5974" spans="26:26" x14ac:dyDescent="0.25">
      <c r="Z5974">
        <v>399999.86629892036</v>
      </c>
    </row>
    <row r="5975" spans="26:26" x14ac:dyDescent="0.25">
      <c r="Z5975">
        <v>399999.86663233954</v>
      </c>
    </row>
    <row r="5976" spans="26:26" x14ac:dyDescent="0.25">
      <c r="Z5976">
        <v>399999.86696492723</v>
      </c>
    </row>
    <row r="5977" spans="26:26" x14ac:dyDescent="0.25">
      <c r="Z5977">
        <v>399999.86729668546</v>
      </c>
    </row>
    <row r="5978" spans="26:26" x14ac:dyDescent="0.25">
      <c r="Z5978">
        <v>399999.86762761645</v>
      </c>
    </row>
    <row r="5979" spans="26:26" x14ac:dyDescent="0.25">
      <c r="Z5979">
        <v>399999.86795772216</v>
      </c>
    </row>
    <row r="5980" spans="26:26" x14ac:dyDescent="0.25">
      <c r="Z5980">
        <v>399999.86828700465</v>
      </c>
    </row>
    <row r="5981" spans="26:26" x14ac:dyDescent="0.25">
      <c r="Z5981">
        <v>399999.86861546594</v>
      </c>
    </row>
    <row r="5982" spans="26:26" x14ac:dyDescent="0.25">
      <c r="Z5982">
        <v>399999.86894310819</v>
      </c>
    </row>
    <row r="5983" spans="26:26" x14ac:dyDescent="0.25">
      <c r="Z5983">
        <v>399999.86926993338</v>
      </c>
    </row>
    <row r="5984" spans="26:26" x14ac:dyDescent="0.25">
      <c r="Z5984">
        <v>399999.86959594354</v>
      </c>
    </row>
    <row r="5985" spans="26:26" x14ac:dyDescent="0.25">
      <c r="Z5985">
        <v>399999.86992114066</v>
      </c>
    </row>
    <row r="5986" spans="26:26" x14ac:dyDescent="0.25">
      <c r="Z5986">
        <v>399999.87024552684</v>
      </c>
    </row>
    <row r="5987" spans="26:26" x14ac:dyDescent="0.25">
      <c r="Z5987">
        <v>399999.8705691041</v>
      </c>
    </row>
    <row r="5988" spans="26:26" x14ac:dyDescent="0.25">
      <c r="Z5988">
        <v>399999.87089187437</v>
      </c>
    </row>
    <row r="5989" spans="26:26" x14ac:dyDescent="0.25">
      <c r="Z5989">
        <v>399999.8712138398</v>
      </c>
    </row>
    <row r="5990" spans="26:26" x14ac:dyDescent="0.25">
      <c r="Z5990">
        <v>399999.87153500225</v>
      </c>
    </row>
    <row r="5991" spans="26:26" x14ac:dyDescent="0.25">
      <c r="Z5991">
        <v>399999.87185536383</v>
      </c>
    </row>
    <row r="5992" spans="26:26" x14ac:dyDescent="0.25">
      <c r="Z5992">
        <v>399999.87217492651</v>
      </c>
    </row>
    <row r="5993" spans="26:26" x14ac:dyDescent="0.25">
      <c r="Z5993">
        <v>399999.87249369232</v>
      </c>
    </row>
    <row r="5994" spans="26:26" x14ac:dyDescent="0.25">
      <c r="Z5994">
        <v>399999.8728116632</v>
      </c>
    </row>
    <row r="5995" spans="26:26" x14ac:dyDescent="0.25">
      <c r="Z5995">
        <v>399999.87312884105</v>
      </c>
    </row>
    <row r="5996" spans="26:26" x14ac:dyDescent="0.25">
      <c r="Z5996">
        <v>399999.87344522803</v>
      </c>
    </row>
    <row r="5997" spans="26:26" x14ac:dyDescent="0.25">
      <c r="Z5997">
        <v>399999.8737608259</v>
      </c>
    </row>
    <row r="5998" spans="26:26" x14ac:dyDescent="0.25">
      <c r="Z5998">
        <v>399999.87407563685</v>
      </c>
    </row>
    <row r="5999" spans="26:26" x14ac:dyDescent="0.25">
      <c r="Z5999">
        <v>399999.8743896627</v>
      </c>
    </row>
    <row r="6000" spans="26:26" x14ac:dyDescent="0.25">
      <c r="Z6000">
        <v>399999.87470290542</v>
      </c>
    </row>
    <row r="6001" spans="26:26" x14ac:dyDescent="0.25">
      <c r="Z6001">
        <v>399999.875015367</v>
      </c>
    </row>
    <row r="6002" spans="26:26" x14ac:dyDescent="0.25">
      <c r="Z6002">
        <v>399999.87532704935</v>
      </c>
    </row>
    <row r="6003" spans="26:26" x14ac:dyDescent="0.25">
      <c r="Z6003">
        <v>399999.87563795445</v>
      </c>
    </row>
    <row r="6004" spans="26:26" x14ac:dyDescent="0.25">
      <c r="Z6004">
        <v>399999.87594808423</v>
      </c>
    </row>
    <row r="6005" spans="26:26" x14ac:dyDescent="0.25">
      <c r="Z6005">
        <v>399999.87625744072</v>
      </c>
    </row>
    <row r="6006" spans="26:26" x14ac:dyDescent="0.25">
      <c r="Z6006">
        <v>399999.8765660256</v>
      </c>
    </row>
    <row r="6007" spans="26:26" x14ac:dyDescent="0.25">
      <c r="Z6007">
        <v>399999.87687384099</v>
      </c>
    </row>
    <row r="6008" spans="26:26" x14ac:dyDescent="0.25">
      <c r="Z6008">
        <v>399999.87718088884</v>
      </c>
    </row>
    <row r="6009" spans="26:26" x14ac:dyDescent="0.25">
      <c r="Z6009">
        <v>399999.87748717086</v>
      </c>
    </row>
    <row r="6010" spans="26:26" x14ac:dyDescent="0.25">
      <c r="Z6010">
        <v>399999.87779268913</v>
      </c>
    </row>
    <row r="6011" spans="26:26" x14ac:dyDescent="0.25">
      <c r="Z6011">
        <v>399999.87809744553</v>
      </c>
    </row>
    <row r="6012" spans="26:26" x14ac:dyDescent="0.25">
      <c r="Z6012">
        <v>399999.87840144197</v>
      </c>
    </row>
    <row r="6013" spans="26:26" x14ac:dyDescent="0.25">
      <c r="Z6013">
        <v>399999.87870468019</v>
      </c>
    </row>
    <row r="6014" spans="26:26" x14ac:dyDescent="0.25">
      <c r="Z6014">
        <v>399999.87900716229</v>
      </c>
    </row>
    <row r="6015" spans="26:26" x14ac:dyDescent="0.25">
      <c r="Z6015">
        <v>399999.87930889009</v>
      </c>
    </row>
    <row r="6016" spans="26:26" x14ac:dyDescent="0.25">
      <c r="Z6016">
        <v>399999.87960986543</v>
      </c>
    </row>
    <row r="6017" spans="26:26" x14ac:dyDescent="0.25">
      <c r="Z6017">
        <v>399999.87991009018</v>
      </c>
    </row>
    <row r="6018" spans="26:26" x14ac:dyDescent="0.25">
      <c r="Z6018">
        <v>399999.88020956627</v>
      </c>
    </row>
    <row r="6019" spans="26:26" x14ac:dyDescent="0.25">
      <c r="Z6019">
        <v>399999.88050829555</v>
      </c>
    </row>
    <row r="6020" spans="26:26" x14ac:dyDescent="0.25">
      <c r="Z6020">
        <v>399999.88080627983</v>
      </c>
    </row>
    <row r="6021" spans="26:26" x14ac:dyDescent="0.25">
      <c r="Z6021">
        <v>399999.88110352098</v>
      </c>
    </row>
    <row r="6022" spans="26:26" x14ac:dyDescent="0.25">
      <c r="Z6022">
        <v>399999.88140002103</v>
      </c>
    </row>
    <row r="6023" spans="26:26" x14ac:dyDescent="0.25">
      <c r="Z6023">
        <v>399999.88169578154</v>
      </c>
    </row>
    <row r="6024" spans="26:26" x14ac:dyDescent="0.25">
      <c r="Z6024">
        <v>399999.88199080451</v>
      </c>
    </row>
    <row r="6025" spans="26:26" x14ac:dyDescent="0.25">
      <c r="Z6025">
        <v>399999.88228509179</v>
      </c>
    </row>
    <row r="6026" spans="26:26" x14ac:dyDescent="0.25">
      <c r="Z6026">
        <v>399999.88257864519</v>
      </c>
    </row>
    <row r="6027" spans="26:26" x14ac:dyDescent="0.25">
      <c r="Z6027">
        <v>399999.88287146651</v>
      </c>
    </row>
    <row r="6028" spans="26:26" x14ac:dyDescent="0.25">
      <c r="Z6028">
        <v>399999.88316355762</v>
      </c>
    </row>
    <row r="6029" spans="26:26" x14ac:dyDescent="0.25">
      <c r="Z6029">
        <v>399999.88345492032</v>
      </c>
    </row>
    <row r="6030" spans="26:26" x14ac:dyDescent="0.25">
      <c r="Z6030">
        <v>399999.88374555641</v>
      </c>
    </row>
    <row r="6031" spans="26:26" x14ac:dyDescent="0.25">
      <c r="Z6031">
        <v>399999.88403546775</v>
      </c>
    </row>
    <row r="6032" spans="26:26" x14ac:dyDescent="0.25">
      <c r="Z6032">
        <v>399999.8843246561</v>
      </c>
    </row>
    <row r="6033" spans="26:26" x14ac:dyDescent="0.25">
      <c r="Z6033">
        <v>399999.88461312331</v>
      </c>
    </row>
    <row r="6034" spans="26:26" x14ac:dyDescent="0.25">
      <c r="Z6034">
        <v>399999.88490087114</v>
      </c>
    </row>
    <row r="6035" spans="26:26" x14ac:dyDescent="0.25">
      <c r="Z6035">
        <v>399999.88518790138</v>
      </c>
    </row>
    <row r="6036" spans="26:26" x14ac:dyDescent="0.25">
      <c r="Z6036">
        <v>399999.88547421584</v>
      </c>
    </row>
    <row r="6037" spans="26:26" x14ac:dyDescent="0.25">
      <c r="Z6037">
        <v>399999.88575981627</v>
      </c>
    </row>
    <row r="6038" spans="26:26" x14ac:dyDescent="0.25">
      <c r="Z6038">
        <v>399999.88604470453</v>
      </c>
    </row>
    <row r="6039" spans="26:26" x14ac:dyDescent="0.25">
      <c r="Z6039">
        <v>399999.88632888236</v>
      </c>
    </row>
    <row r="6040" spans="26:26" x14ac:dyDescent="0.25">
      <c r="Z6040">
        <v>399999.8866123514</v>
      </c>
    </row>
    <row r="6041" spans="26:26" x14ac:dyDescent="0.25">
      <c r="Z6041">
        <v>399999.88689511362</v>
      </c>
    </row>
    <row r="6042" spans="26:26" x14ac:dyDescent="0.25">
      <c r="Z6042">
        <v>399999.88717717072</v>
      </c>
    </row>
    <row r="6043" spans="26:26" x14ac:dyDescent="0.25">
      <c r="Z6043">
        <v>399999.88745852443</v>
      </c>
    </row>
    <row r="6044" spans="26:26" x14ac:dyDescent="0.25">
      <c r="Z6044">
        <v>399999.88773917645</v>
      </c>
    </row>
    <row r="6045" spans="26:26" x14ac:dyDescent="0.25">
      <c r="Z6045">
        <v>399999.8880191287</v>
      </c>
    </row>
    <row r="6046" spans="26:26" x14ac:dyDescent="0.25">
      <c r="Z6046">
        <v>399999.88829838269</v>
      </c>
    </row>
    <row r="6047" spans="26:26" x14ac:dyDescent="0.25">
      <c r="Z6047">
        <v>399999.8885769404</v>
      </c>
    </row>
    <row r="6048" spans="26:26" x14ac:dyDescent="0.25">
      <c r="Z6048">
        <v>399999.88885480334</v>
      </c>
    </row>
    <row r="6049" spans="26:26" x14ac:dyDescent="0.25">
      <c r="Z6049">
        <v>399999.88913197338</v>
      </c>
    </row>
    <row r="6050" spans="26:26" x14ac:dyDescent="0.25">
      <c r="Z6050">
        <v>399999.88940845226</v>
      </c>
    </row>
    <row r="6051" spans="26:26" x14ac:dyDescent="0.25">
      <c r="Z6051">
        <v>399999.88968424167</v>
      </c>
    </row>
    <row r="6052" spans="26:26" x14ac:dyDescent="0.25">
      <c r="Z6052">
        <v>399999.8899593433</v>
      </c>
    </row>
    <row r="6053" spans="26:26" x14ac:dyDescent="0.25">
      <c r="Z6053">
        <v>399999.8902337589</v>
      </c>
    </row>
    <row r="6054" spans="26:26" x14ac:dyDescent="0.25">
      <c r="Z6054">
        <v>399999.8905074902</v>
      </c>
    </row>
    <row r="6055" spans="26:26" x14ac:dyDescent="0.25">
      <c r="Z6055">
        <v>399999.89078053879</v>
      </c>
    </row>
    <row r="6056" spans="26:26" x14ac:dyDescent="0.25">
      <c r="Z6056">
        <v>399999.89105290658</v>
      </c>
    </row>
    <row r="6057" spans="26:26" x14ac:dyDescent="0.25">
      <c r="Z6057">
        <v>399999.89132459508</v>
      </c>
    </row>
    <row r="6058" spans="26:26" x14ac:dyDescent="0.25">
      <c r="Z6058">
        <v>399999.89159560611</v>
      </c>
    </row>
    <row r="6059" spans="26:26" x14ac:dyDescent="0.25">
      <c r="Z6059">
        <v>399999.89186594117</v>
      </c>
    </row>
    <row r="6060" spans="26:26" x14ac:dyDescent="0.25">
      <c r="Z6060">
        <v>399999.89213560225</v>
      </c>
    </row>
    <row r="6061" spans="26:26" x14ac:dyDescent="0.25">
      <c r="Z6061">
        <v>399999.89240459073</v>
      </c>
    </row>
    <row r="6062" spans="26:26" x14ac:dyDescent="0.25">
      <c r="Z6062">
        <v>399999.89267290849</v>
      </c>
    </row>
    <row r="6063" spans="26:26" x14ac:dyDescent="0.25">
      <c r="Z6063">
        <v>399999.8929405571</v>
      </c>
    </row>
    <row r="6064" spans="26:26" x14ac:dyDescent="0.25">
      <c r="Z6064">
        <v>399999.89320753823</v>
      </c>
    </row>
    <row r="6065" spans="26:26" x14ac:dyDescent="0.25">
      <c r="Z6065">
        <v>399999.89347385359</v>
      </c>
    </row>
    <row r="6066" spans="26:26" x14ac:dyDescent="0.25">
      <c r="Z6066">
        <v>399999.89373950486</v>
      </c>
    </row>
    <row r="6067" spans="26:26" x14ac:dyDescent="0.25">
      <c r="Z6067">
        <v>399999.8940044936</v>
      </c>
    </row>
    <row r="6068" spans="26:26" x14ac:dyDescent="0.25">
      <c r="Z6068">
        <v>399999.89426882158</v>
      </c>
    </row>
    <row r="6069" spans="26:26" x14ac:dyDescent="0.25">
      <c r="Z6069">
        <v>399999.89453249035</v>
      </c>
    </row>
    <row r="6070" spans="26:26" x14ac:dyDescent="0.25">
      <c r="Z6070">
        <v>399999.8947955016</v>
      </c>
    </row>
    <row r="6071" spans="26:26" x14ac:dyDescent="0.25">
      <c r="Z6071">
        <v>399999.89505785692</v>
      </c>
    </row>
    <row r="6072" spans="26:26" x14ac:dyDescent="0.25">
      <c r="Z6072">
        <v>399999.89531955804</v>
      </c>
    </row>
    <row r="6073" spans="26:26" x14ac:dyDescent="0.25">
      <c r="Z6073">
        <v>399999.89558060654</v>
      </c>
    </row>
    <row r="6074" spans="26:26" x14ac:dyDescent="0.25">
      <c r="Z6074">
        <v>399999.89584100398</v>
      </c>
    </row>
    <row r="6075" spans="26:26" x14ac:dyDescent="0.25">
      <c r="Z6075">
        <v>399999.89610075211</v>
      </c>
    </row>
    <row r="6076" spans="26:26" x14ac:dyDescent="0.25">
      <c r="Z6076">
        <v>399999.89635985252</v>
      </c>
    </row>
    <row r="6077" spans="26:26" x14ac:dyDescent="0.25">
      <c r="Z6077">
        <v>399999.8966183067</v>
      </c>
    </row>
    <row r="6078" spans="26:26" x14ac:dyDescent="0.25">
      <c r="Z6078">
        <v>399999.8968761164</v>
      </c>
    </row>
    <row r="6079" spans="26:26" x14ac:dyDescent="0.25">
      <c r="Z6079">
        <v>399999.89713328326</v>
      </c>
    </row>
    <row r="6080" spans="26:26" x14ac:dyDescent="0.25">
      <c r="Z6080">
        <v>399999.89738980873</v>
      </c>
    </row>
    <row r="6081" spans="26:26" x14ac:dyDescent="0.25">
      <c r="Z6081">
        <v>399999.89764569449</v>
      </c>
    </row>
    <row r="6082" spans="26:26" x14ac:dyDescent="0.25">
      <c r="Z6082">
        <v>399999.89790094213</v>
      </c>
    </row>
    <row r="6083" spans="26:26" x14ac:dyDescent="0.25">
      <c r="Z6083">
        <v>399999.89815555327</v>
      </c>
    </row>
    <row r="6084" spans="26:26" x14ac:dyDescent="0.25">
      <c r="Z6084">
        <v>399999.89840952941</v>
      </c>
    </row>
    <row r="6085" spans="26:26" x14ac:dyDescent="0.25">
      <c r="Z6085">
        <v>399999.89866287221</v>
      </c>
    </row>
    <row r="6086" spans="26:26" x14ac:dyDescent="0.25">
      <c r="Z6086">
        <v>399999.89891558327</v>
      </c>
    </row>
    <row r="6087" spans="26:26" x14ac:dyDescent="0.25">
      <c r="Z6087">
        <v>399999.89916766406</v>
      </c>
    </row>
    <row r="6088" spans="26:26" x14ac:dyDescent="0.25">
      <c r="Z6088">
        <v>399999.89941911632</v>
      </c>
    </row>
    <row r="6089" spans="26:26" x14ac:dyDescent="0.25">
      <c r="Z6089">
        <v>399999.89966994146</v>
      </c>
    </row>
    <row r="6090" spans="26:26" x14ac:dyDescent="0.25">
      <c r="Z6090">
        <v>399999.89992014109</v>
      </c>
    </row>
    <row r="6091" spans="26:26" x14ac:dyDescent="0.25">
      <c r="Z6091">
        <v>399999.9001697168</v>
      </c>
    </row>
    <row r="6092" spans="26:26" x14ac:dyDescent="0.25">
      <c r="Z6092">
        <v>399999.90041867015</v>
      </c>
    </row>
    <row r="6093" spans="26:26" x14ac:dyDescent="0.25">
      <c r="Z6093">
        <v>399999.90066700266</v>
      </c>
    </row>
    <row r="6094" spans="26:26" x14ac:dyDescent="0.25">
      <c r="Z6094">
        <v>399999.90091471584</v>
      </c>
    </row>
    <row r="6095" spans="26:26" x14ac:dyDescent="0.25">
      <c r="Z6095">
        <v>399999.90116181131</v>
      </c>
    </row>
    <row r="6096" spans="26:26" x14ac:dyDescent="0.25">
      <c r="Z6096">
        <v>399999.90140829061</v>
      </c>
    </row>
    <row r="6097" spans="26:26" x14ac:dyDescent="0.25">
      <c r="Z6097">
        <v>399999.90165415517</v>
      </c>
    </row>
    <row r="6098" spans="26:26" x14ac:dyDescent="0.25">
      <c r="Z6098">
        <v>399999.90189940669</v>
      </c>
    </row>
    <row r="6099" spans="26:26" x14ac:dyDescent="0.25">
      <c r="Z6099">
        <v>399999.90214404656</v>
      </c>
    </row>
    <row r="6100" spans="26:26" x14ac:dyDescent="0.25">
      <c r="Z6100">
        <v>399999.90238807641</v>
      </c>
    </row>
    <row r="6101" spans="26:26" x14ac:dyDescent="0.25">
      <c r="Z6101">
        <v>399999.90263149759</v>
      </c>
    </row>
    <row r="6102" spans="26:26" x14ac:dyDescent="0.25">
      <c r="Z6102">
        <v>399999.90287431184</v>
      </c>
    </row>
    <row r="6103" spans="26:26" x14ac:dyDescent="0.25">
      <c r="Z6103">
        <v>399999.90311652061</v>
      </c>
    </row>
    <row r="6104" spans="26:26" x14ac:dyDescent="0.25">
      <c r="Z6104">
        <v>399999.90335812519</v>
      </c>
    </row>
    <row r="6105" spans="26:26" x14ac:dyDescent="0.25">
      <c r="Z6105">
        <v>399999.90359912743</v>
      </c>
    </row>
    <row r="6106" spans="26:26" x14ac:dyDescent="0.25">
      <c r="Z6106">
        <v>399999.90383952856</v>
      </c>
    </row>
    <row r="6107" spans="26:26" x14ac:dyDescent="0.25">
      <c r="Z6107">
        <v>399999.90407933027</v>
      </c>
    </row>
    <row r="6108" spans="26:26" x14ac:dyDescent="0.25">
      <c r="Z6108">
        <v>399999.90431853395</v>
      </c>
    </row>
    <row r="6109" spans="26:26" x14ac:dyDescent="0.25">
      <c r="Z6109">
        <v>399999.90455714107</v>
      </c>
    </row>
    <row r="6110" spans="26:26" x14ac:dyDescent="0.25">
      <c r="Z6110">
        <v>399999.90479515318</v>
      </c>
    </row>
    <row r="6111" spans="26:26" x14ac:dyDescent="0.25">
      <c r="Z6111">
        <v>399999.90503257175</v>
      </c>
    </row>
    <row r="6112" spans="26:26" x14ac:dyDescent="0.25">
      <c r="Z6112">
        <v>399999.9052693983</v>
      </c>
    </row>
    <row r="6113" spans="26:26" x14ac:dyDescent="0.25">
      <c r="Z6113">
        <v>399999.9055056342</v>
      </c>
    </row>
    <row r="6114" spans="26:26" x14ac:dyDescent="0.25">
      <c r="Z6114">
        <v>399999.90574128099</v>
      </c>
    </row>
    <row r="6115" spans="26:26" x14ac:dyDescent="0.25">
      <c r="Z6115">
        <v>399999.90597634012</v>
      </c>
    </row>
    <row r="6116" spans="26:26" x14ac:dyDescent="0.25">
      <c r="Z6116">
        <v>399999.90621081315</v>
      </c>
    </row>
    <row r="6117" spans="26:26" x14ac:dyDescent="0.25">
      <c r="Z6117">
        <v>399999.90644470137</v>
      </c>
    </row>
    <row r="6118" spans="26:26" x14ac:dyDescent="0.25">
      <c r="Z6118">
        <v>399999.90667800634</v>
      </c>
    </row>
    <row r="6119" spans="26:26" x14ac:dyDescent="0.25">
      <c r="Z6119">
        <v>399999.90691072954</v>
      </c>
    </row>
    <row r="6120" spans="26:26" x14ac:dyDescent="0.25">
      <c r="Z6120">
        <v>399999.90714287234</v>
      </c>
    </row>
    <row r="6121" spans="26:26" x14ac:dyDescent="0.25">
      <c r="Z6121">
        <v>399999.90737443621</v>
      </c>
    </row>
    <row r="6122" spans="26:26" x14ac:dyDescent="0.25">
      <c r="Z6122">
        <v>399999.90760542266</v>
      </c>
    </row>
    <row r="6123" spans="26:26" x14ac:dyDescent="0.25">
      <c r="Z6123">
        <v>399999.90783583309</v>
      </c>
    </row>
    <row r="6124" spans="26:26" x14ac:dyDescent="0.25">
      <c r="Z6124">
        <v>399999.90806566895</v>
      </c>
    </row>
    <row r="6125" spans="26:26" x14ac:dyDescent="0.25">
      <c r="Z6125">
        <v>399999.90829493164</v>
      </c>
    </row>
    <row r="6126" spans="26:26" x14ac:dyDescent="0.25">
      <c r="Z6126">
        <v>399999.90852362255</v>
      </c>
    </row>
    <row r="6127" spans="26:26" x14ac:dyDescent="0.25">
      <c r="Z6127">
        <v>399999.90875174315</v>
      </c>
    </row>
    <row r="6128" spans="26:26" x14ac:dyDescent="0.25">
      <c r="Z6128">
        <v>399999.90897929494</v>
      </c>
    </row>
    <row r="6129" spans="26:26" x14ac:dyDescent="0.25">
      <c r="Z6129">
        <v>399999.90920627926</v>
      </c>
    </row>
    <row r="6130" spans="26:26" x14ac:dyDescent="0.25">
      <c r="Z6130">
        <v>399999.90943269746</v>
      </c>
    </row>
    <row r="6131" spans="26:26" x14ac:dyDescent="0.25">
      <c r="Z6131">
        <v>399999.9096585511</v>
      </c>
    </row>
    <row r="6132" spans="26:26" x14ac:dyDescent="0.25">
      <c r="Z6132">
        <v>399999.90988384158</v>
      </c>
    </row>
    <row r="6133" spans="26:26" x14ac:dyDescent="0.25">
      <c r="Z6133">
        <v>399999.91010857013</v>
      </c>
    </row>
    <row r="6134" spans="26:26" x14ac:dyDescent="0.25">
      <c r="Z6134">
        <v>399999.91033273825</v>
      </c>
    </row>
    <row r="6135" spans="26:26" x14ac:dyDescent="0.25">
      <c r="Z6135">
        <v>399999.91055634734</v>
      </c>
    </row>
    <row r="6136" spans="26:26" x14ac:dyDescent="0.25">
      <c r="Z6136">
        <v>399999.91077939887</v>
      </c>
    </row>
    <row r="6137" spans="26:26" x14ac:dyDescent="0.25">
      <c r="Z6137">
        <v>399999.91100189416</v>
      </c>
    </row>
    <row r="6138" spans="26:26" x14ac:dyDescent="0.25">
      <c r="Z6138">
        <v>399999.91122383456</v>
      </c>
    </row>
    <row r="6139" spans="26:26" x14ac:dyDescent="0.25">
      <c r="Z6139">
        <v>399999.91144522151</v>
      </c>
    </row>
    <row r="6140" spans="26:26" x14ac:dyDescent="0.25">
      <c r="Z6140">
        <v>399999.91166605637</v>
      </c>
    </row>
    <row r="6141" spans="26:26" x14ac:dyDescent="0.25">
      <c r="Z6141">
        <v>399999.91188634053</v>
      </c>
    </row>
    <row r="6142" spans="26:26" x14ac:dyDescent="0.25">
      <c r="Z6142">
        <v>399999.91210607532</v>
      </c>
    </row>
    <row r="6143" spans="26:26" x14ac:dyDescent="0.25">
      <c r="Z6143">
        <v>399999.91232526215</v>
      </c>
    </row>
    <row r="6144" spans="26:26" x14ac:dyDescent="0.25">
      <c r="Z6144">
        <v>399999.91254390241</v>
      </c>
    </row>
    <row r="6145" spans="26:26" x14ac:dyDescent="0.25">
      <c r="Z6145">
        <v>399999.91276199743</v>
      </c>
    </row>
    <row r="6146" spans="26:26" x14ac:dyDescent="0.25">
      <c r="Z6146">
        <v>399999.91297954856</v>
      </c>
    </row>
    <row r="6147" spans="26:26" x14ac:dyDescent="0.25">
      <c r="Z6147">
        <v>399999.91319655714</v>
      </c>
    </row>
    <row r="6148" spans="26:26" x14ac:dyDescent="0.25">
      <c r="Z6148">
        <v>399999.91341302462</v>
      </c>
    </row>
    <row r="6149" spans="26:26" x14ac:dyDescent="0.25">
      <c r="Z6149">
        <v>399999.91362895223</v>
      </c>
    </row>
    <row r="6150" spans="26:26" x14ac:dyDescent="0.25">
      <c r="Z6150">
        <v>399999.91384434135</v>
      </c>
    </row>
    <row r="6151" spans="26:26" x14ac:dyDescent="0.25">
      <c r="Z6151">
        <v>399999.9140591934</v>
      </c>
    </row>
    <row r="6152" spans="26:26" x14ac:dyDescent="0.25">
      <c r="Z6152">
        <v>399999.91427350958</v>
      </c>
    </row>
    <row r="6153" spans="26:26" x14ac:dyDescent="0.25">
      <c r="Z6153">
        <v>399999.91448729136</v>
      </c>
    </row>
    <row r="6154" spans="26:26" x14ac:dyDescent="0.25">
      <c r="Z6154">
        <v>399999.91470054007</v>
      </c>
    </row>
    <row r="6155" spans="26:26" x14ac:dyDescent="0.25">
      <c r="Z6155">
        <v>399999.91491325683</v>
      </c>
    </row>
    <row r="6156" spans="26:26" x14ac:dyDescent="0.25">
      <c r="Z6156">
        <v>399999.91512544331</v>
      </c>
    </row>
    <row r="6157" spans="26:26" x14ac:dyDescent="0.25">
      <c r="Z6157">
        <v>399999.91533710051</v>
      </c>
    </row>
    <row r="6158" spans="26:26" x14ac:dyDescent="0.25">
      <c r="Z6158">
        <v>399999.91554823</v>
      </c>
    </row>
    <row r="6159" spans="26:26" x14ac:dyDescent="0.25">
      <c r="Z6159">
        <v>399999.91575883288</v>
      </c>
    </row>
    <row r="6160" spans="26:26" x14ac:dyDescent="0.25">
      <c r="Z6160">
        <v>399999.91596891062</v>
      </c>
    </row>
    <row r="6161" spans="26:26" x14ac:dyDescent="0.25">
      <c r="Z6161">
        <v>399999.91617846442</v>
      </c>
    </row>
    <row r="6162" spans="26:26" x14ac:dyDescent="0.25">
      <c r="Z6162">
        <v>399999.9163874957</v>
      </c>
    </row>
    <row r="6163" spans="26:26" x14ac:dyDescent="0.25">
      <c r="Z6163">
        <v>399999.91659600573</v>
      </c>
    </row>
    <row r="6164" spans="26:26" x14ac:dyDescent="0.25">
      <c r="Z6164">
        <v>399999.91680399573</v>
      </c>
    </row>
    <row r="6165" spans="26:26" x14ac:dyDescent="0.25">
      <c r="Z6165">
        <v>399999.91701146698</v>
      </c>
    </row>
    <row r="6166" spans="26:26" x14ac:dyDescent="0.25">
      <c r="Z6166">
        <v>399999.91721842095</v>
      </c>
    </row>
    <row r="6167" spans="26:26" x14ac:dyDescent="0.25">
      <c r="Z6167">
        <v>399999.91742485878</v>
      </c>
    </row>
    <row r="6168" spans="26:26" x14ac:dyDescent="0.25">
      <c r="Z6168">
        <v>399999.91763078189</v>
      </c>
    </row>
    <row r="6169" spans="26:26" x14ac:dyDescent="0.25">
      <c r="Z6169">
        <v>399999.91783619137</v>
      </c>
    </row>
    <row r="6170" spans="26:26" x14ac:dyDescent="0.25">
      <c r="Z6170">
        <v>399999.91804108868</v>
      </c>
    </row>
    <row r="6171" spans="26:26" x14ac:dyDescent="0.25">
      <c r="Z6171">
        <v>399999.91824547498</v>
      </c>
    </row>
    <row r="6172" spans="26:26" x14ac:dyDescent="0.25">
      <c r="Z6172">
        <v>399999.91844935162</v>
      </c>
    </row>
    <row r="6173" spans="26:26" x14ac:dyDescent="0.25">
      <c r="Z6173">
        <v>399999.91865271982</v>
      </c>
    </row>
    <row r="6174" spans="26:26" x14ac:dyDescent="0.25">
      <c r="Z6174">
        <v>399999.91885558085</v>
      </c>
    </row>
    <row r="6175" spans="26:26" x14ac:dyDescent="0.25">
      <c r="Z6175">
        <v>399999.919057936</v>
      </c>
    </row>
    <row r="6176" spans="26:26" x14ac:dyDescent="0.25">
      <c r="Z6176">
        <v>399999.91925978655</v>
      </c>
    </row>
    <row r="6177" spans="26:26" x14ac:dyDescent="0.25">
      <c r="Z6177">
        <v>399999.91946113372</v>
      </c>
    </row>
    <row r="6178" spans="26:26" x14ac:dyDescent="0.25">
      <c r="Z6178">
        <v>399999.91966197878</v>
      </c>
    </row>
    <row r="6179" spans="26:26" x14ac:dyDescent="0.25">
      <c r="Z6179">
        <v>399999.91986232297</v>
      </c>
    </row>
    <row r="6180" spans="26:26" x14ac:dyDescent="0.25">
      <c r="Z6180">
        <v>399999.92006216757</v>
      </c>
    </row>
    <row r="6181" spans="26:26" x14ac:dyDescent="0.25">
      <c r="Z6181">
        <v>399999.92026151379</v>
      </c>
    </row>
    <row r="6182" spans="26:26" x14ac:dyDescent="0.25">
      <c r="Z6182">
        <v>399999.92046036286</v>
      </c>
    </row>
    <row r="6183" spans="26:26" x14ac:dyDescent="0.25">
      <c r="Z6183">
        <v>399999.92065871606</v>
      </c>
    </row>
    <row r="6184" spans="26:26" x14ac:dyDescent="0.25">
      <c r="Z6184">
        <v>399999.92085657461</v>
      </c>
    </row>
    <row r="6185" spans="26:26" x14ac:dyDescent="0.25">
      <c r="Z6185">
        <v>399999.92105393973</v>
      </c>
    </row>
    <row r="6186" spans="26:26" x14ac:dyDescent="0.25">
      <c r="Z6186">
        <v>399999.92125081277</v>
      </c>
    </row>
    <row r="6187" spans="26:26" x14ac:dyDescent="0.25">
      <c r="Z6187">
        <v>399999.92144719476</v>
      </c>
    </row>
    <row r="6188" spans="26:26" x14ac:dyDescent="0.25">
      <c r="Z6188">
        <v>399999.92164308706</v>
      </c>
    </row>
    <row r="6189" spans="26:26" x14ac:dyDescent="0.25">
      <c r="Z6189">
        <v>399999.92183849082</v>
      </c>
    </row>
    <row r="6190" spans="26:26" x14ac:dyDescent="0.25">
      <c r="Z6190">
        <v>399999.92203340732</v>
      </c>
    </row>
    <row r="6191" spans="26:26" x14ac:dyDescent="0.25">
      <c r="Z6191">
        <v>399999.92222783767</v>
      </c>
    </row>
    <row r="6192" spans="26:26" x14ac:dyDescent="0.25">
      <c r="Z6192">
        <v>399999.92242178327</v>
      </c>
    </row>
    <row r="6193" spans="26:26" x14ac:dyDescent="0.25">
      <c r="Z6193">
        <v>399999.9226152451</v>
      </c>
    </row>
    <row r="6194" spans="26:26" x14ac:dyDescent="0.25">
      <c r="Z6194">
        <v>399999.92280822457</v>
      </c>
    </row>
    <row r="6195" spans="26:26" x14ac:dyDescent="0.25">
      <c r="Z6195">
        <v>399999.92300072277</v>
      </c>
    </row>
    <row r="6196" spans="26:26" x14ac:dyDescent="0.25">
      <c r="Z6196">
        <v>399999.92319274094</v>
      </c>
    </row>
    <row r="6197" spans="26:26" x14ac:dyDescent="0.25">
      <c r="Z6197">
        <v>399999.92338428024</v>
      </c>
    </row>
    <row r="6198" spans="26:26" x14ac:dyDescent="0.25">
      <c r="Z6198">
        <v>399999.92357534182</v>
      </c>
    </row>
    <row r="6199" spans="26:26" x14ac:dyDescent="0.25">
      <c r="Z6199">
        <v>399999.92376592703</v>
      </c>
    </row>
    <row r="6200" spans="26:26" x14ac:dyDescent="0.25">
      <c r="Z6200">
        <v>399999.92395603692</v>
      </c>
    </row>
    <row r="6201" spans="26:26" x14ac:dyDescent="0.25">
      <c r="Z6201">
        <v>399999.92414567276</v>
      </c>
    </row>
    <row r="6202" spans="26:26" x14ac:dyDescent="0.25">
      <c r="Z6202">
        <v>399999.92433483567</v>
      </c>
    </row>
    <row r="6203" spans="26:26" x14ac:dyDescent="0.25">
      <c r="Z6203">
        <v>399999.92452352686</v>
      </c>
    </row>
    <row r="6204" spans="26:26" x14ac:dyDescent="0.25">
      <c r="Z6204">
        <v>399999.92471174744</v>
      </c>
    </row>
    <row r="6205" spans="26:26" x14ac:dyDescent="0.25">
      <c r="Z6205">
        <v>399999.92489949876</v>
      </c>
    </row>
    <row r="6206" spans="26:26" x14ac:dyDescent="0.25">
      <c r="Z6206">
        <v>399999.92508678179</v>
      </c>
    </row>
    <row r="6207" spans="26:26" x14ac:dyDescent="0.25">
      <c r="Z6207">
        <v>399999.92527359776</v>
      </c>
    </row>
    <row r="6208" spans="26:26" x14ac:dyDescent="0.25">
      <c r="Z6208">
        <v>399999.9254599479</v>
      </c>
    </row>
    <row r="6209" spans="26:26" x14ac:dyDescent="0.25">
      <c r="Z6209">
        <v>399999.92564583337</v>
      </c>
    </row>
    <row r="6210" spans="26:26" x14ac:dyDescent="0.25">
      <c r="Z6210">
        <v>399999.92583125521</v>
      </c>
    </row>
    <row r="6211" spans="26:26" x14ac:dyDescent="0.25">
      <c r="Z6211">
        <v>399999.92601621465</v>
      </c>
    </row>
    <row r="6212" spans="26:26" x14ac:dyDescent="0.25">
      <c r="Z6212">
        <v>399999.92620071286</v>
      </c>
    </row>
    <row r="6213" spans="26:26" x14ac:dyDescent="0.25">
      <c r="Z6213">
        <v>399999.92638475099</v>
      </c>
    </row>
    <row r="6214" spans="26:26" x14ac:dyDescent="0.25">
      <c r="Z6214">
        <v>399999.92656833021</v>
      </c>
    </row>
    <row r="6215" spans="26:26" x14ac:dyDescent="0.25">
      <c r="Z6215">
        <v>399999.92675145157</v>
      </c>
    </row>
    <row r="6216" spans="26:26" x14ac:dyDescent="0.25">
      <c r="Z6216">
        <v>399999.92693411629</v>
      </c>
    </row>
    <row r="6217" spans="26:26" x14ac:dyDescent="0.25">
      <c r="Z6217">
        <v>399999.92711632542</v>
      </c>
    </row>
    <row r="6218" spans="26:26" x14ac:dyDescent="0.25">
      <c r="Z6218">
        <v>399999.92729808029</v>
      </c>
    </row>
    <row r="6219" spans="26:26" x14ac:dyDescent="0.25">
      <c r="Z6219">
        <v>399999.92747938173</v>
      </c>
    </row>
    <row r="6220" spans="26:26" x14ac:dyDescent="0.25">
      <c r="Z6220">
        <v>399999.92766023119</v>
      </c>
    </row>
    <row r="6221" spans="26:26" x14ac:dyDescent="0.25">
      <c r="Z6221">
        <v>399999.92784062965</v>
      </c>
    </row>
    <row r="6222" spans="26:26" x14ac:dyDescent="0.25">
      <c r="Z6222">
        <v>399999.92802057817</v>
      </c>
    </row>
    <row r="6223" spans="26:26" x14ac:dyDescent="0.25">
      <c r="Z6223">
        <v>399999.92820007802</v>
      </c>
    </row>
    <row r="6224" spans="26:26" x14ac:dyDescent="0.25">
      <c r="Z6224">
        <v>399999.9283791302</v>
      </c>
    </row>
    <row r="6225" spans="26:26" x14ac:dyDescent="0.25">
      <c r="Z6225">
        <v>399999.92855773587</v>
      </c>
    </row>
    <row r="6226" spans="26:26" x14ac:dyDescent="0.25">
      <c r="Z6226">
        <v>399999.92873589607</v>
      </c>
    </row>
    <row r="6227" spans="26:26" x14ac:dyDescent="0.25">
      <c r="Z6227">
        <v>399999.92891361209</v>
      </c>
    </row>
    <row r="6228" spans="26:26" x14ac:dyDescent="0.25">
      <c r="Z6228">
        <v>399999.92909088481</v>
      </c>
    </row>
    <row r="6229" spans="26:26" x14ac:dyDescent="0.25">
      <c r="Z6229">
        <v>399999.92926771555</v>
      </c>
    </row>
    <row r="6230" spans="26:26" x14ac:dyDescent="0.25">
      <c r="Z6230">
        <v>399999.92944410531</v>
      </c>
    </row>
    <row r="6231" spans="26:26" x14ac:dyDescent="0.25">
      <c r="Z6231">
        <v>399999.92962005519</v>
      </c>
    </row>
    <row r="6232" spans="26:26" x14ac:dyDescent="0.25">
      <c r="Z6232">
        <v>399999.92979556625</v>
      </c>
    </row>
    <row r="6233" spans="26:26" x14ac:dyDescent="0.25">
      <c r="Z6233">
        <v>399999.92997063964</v>
      </c>
    </row>
    <row r="6234" spans="26:26" x14ac:dyDescent="0.25">
      <c r="Z6234">
        <v>399999.93014527642</v>
      </c>
    </row>
    <row r="6235" spans="26:26" x14ac:dyDescent="0.25">
      <c r="Z6235">
        <v>399999.93031947775</v>
      </c>
    </row>
    <row r="6236" spans="26:26" x14ac:dyDescent="0.25">
      <c r="Z6236">
        <v>399999.93049324467</v>
      </c>
    </row>
    <row r="6237" spans="26:26" x14ac:dyDescent="0.25">
      <c r="Z6237">
        <v>399999.93066657818</v>
      </c>
    </row>
    <row r="6238" spans="26:26" x14ac:dyDescent="0.25">
      <c r="Z6238">
        <v>399999.93083947949</v>
      </c>
    </row>
    <row r="6239" spans="26:26" x14ac:dyDescent="0.25">
      <c r="Z6239">
        <v>399999.93101194961</v>
      </c>
    </row>
    <row r="6240" spans="26:26" x14ac:dyDescent="0.25">
      <c r="Z6240">
        <v>399999.93118398963</v>
      </c>
    </row>
    <row r="6241" spans="26:26" x14ac:dyDescent="0.25">
      <c r="Z6241">
        <v>399999.93135560065</v>
      </c>
    </row>
    <row r="6242" spans="26:26" x14ac:dyDescent="0.25">
      <c r="Z6242">
        <v>399999.93152678368</v>
      </c>
    </row>
    <row r="6243" spans="26:26" x14ac:dyDescent="0.25">
      <c r="Z6243">
        <v>399999.93169753987</v>
      </c>
    </row>
    <row r="6244" spans="26:26" x14ac:dyDescent="0.25">
      <c r="Z6244">
        <v>399999.93186787021</v>
      </c>
    </row>
    <row r="6245" spans="26:26" x14ac:dyDescent="0.25">
      <c r="Z6245">
        <v>399999.93203777575</v>
      </c>
    </row>
    <row r="6246" spans="26:26" x14ac:dyDescent="0.25">
      <c r="Z6246">
        <v>399999.9322072576</v>
      </c>
    </row>
    <row r="6247" spans="26:26" x14ac:dyDescent="0.25">
      <c r="Z6247">
        <v>399999.93237631681</v>
      </c>
    </row>
    <row r="6248" spans="26:26" x14ac:dyDescent="0.25">
      <c r="Z6248">
        <v>399999.93254495435</v>
      </c>
    </row>
    <row r="6249" spans="26:26" x14ac:dyDescent="0.25">
      <c r="Z6249">
        <v>399999.93271317147</v>
      </c>
    </row>
    <row r="6250" spans="26:26" x14ac:dyDescent="0.25">
      <c r="Z6250">
        <v>399999.93288096902</v>
      </c>
    </row>
    <row r="6251" spans="26:26" x14ac:dyDescent="0.25">
      <c r="Z6251">
        <v>399999.93304834818</v>
      </c>
    </row>
    <row r="6252" spans="26:26" x14ac:dyDescent="0.25">
      <c r="Z6252">
        <v>399999.93321530992</v>
      </c>
    </row>
    <row r="6253" spans="26:26" x14ac:dyDescent="0.25">
      <c r="Z6253">
        <v>399999.93338185525</v>
      </c>
    </row>
    <row r="6254" spans="26:26" x14ac:dyDescent="0.25">
      <c r="Z6254">
        <v>399999.93354798527</v>
      </c>
    </row>
    <row r="6255" spans="26:26" x14ac:dyDescent="0.25">
      <c r="Z6255">
        <v>399999.93371370103</v>
      </c>
    </row>
    <row r="6256" spans="26:26" x14ac:dyDescent="0.25">
      <c r="Z6256">
        <v>399999.93387900351</v>
      </c>
    </row>
    <row r="6257" spans="26:26" x14ac:dyDescent="0.25">
      <c r="Z6257">
        <v>399999.93404389382</v>
      </c>
    </row>
    <row r="6258" spans="26:26" x14ac:dyDescent="0.25">
      <c r="Z6258">
        <v>399999.93420837284</v>
      </c>
    </row>
    <row r="6259" spans="26:26" x14ac:dyDescent="0.25">
      <c r="Z6259">
        <v>399999.93437244173</v>
      </c>
    </row>
    <row r="6260" spans="26:26" x14ac:dyDescent="0.25">
      <c r="Z6260">
        <v>399999.93453610147</v>
      </c>
    </row>
    <row r="6261" spans="26:26" x14ac:dyDescent="0.25">
      <c r="Z6261">
        <v>399999.93469935318</v>
      </c>
    </row>
    <row r="6262" spans="26:26" x14ac:dyDescent="0.25">
      <c r="Z6262">
        <v>399999.93486219761</v>
      </c>
    </row>
    <row r="6263" spans="26:26" x14ac:dyDescent="0.25">
      <c r="Z6263">
        <v>399999.9350246361</v>
      </c>
    </row>
    <row r="6264" spans="26:26" x14ac:dyDescent="0.25">
      <c r="Z6264">
        <v>399999.93518666935</v>
      </c>
    </row>
    <row r="6265" spans="26:26" x14ac:dyDescent="0.25">
      <c r="Z6265">
        <v>399999.93534829863</v>
      </c>
    </row>
    <row r="6266" spans="26:26" x14ac:dyDescent="0.25">
      <c r="Z6266">
        <v>399999.93550952483</v>
      </c>
    </row>
    <row r="6267" spans="26:26" x14ac:dyDescent="0.25">
      <c r="Z6267">
        <v>399999.93567034899</v>
      </c>
    </row>
    <row r="6268" spans="26:26" x14ac:dyDescent="0.25">
      <c r="Z6268">
        <v>399999.93583077204</v>
      </c>
    </row>
    <row r="6269" spans="26:26" x14ac:dyDescent="0.25">
      <c r="Z6269">
        <v>399999.93599079503</v>
      </c>
    </row>
    <row r="6270" spans="26:26" x14ac:dyDescent="0.25">
      <c r="Z6270">
        <v>399999.936150419</v>
      </c>
    </row>
    <row r="6271" spans="26:26" x14ac:dyDescent="0.25">
      <c r="Z6271">
        <v>399999.93630964484</v>
      </c>
    </row>
    <row r="6272" spans="26:26" x14ac:dyDescent="0.25">
      <c r="Z6272">
        <v>399999.93646847369</v>
      </c>
    </row>
    <row r="6273" spans="26:26" x14ac:dyDescent="0.25">
      <c r="Z6273">
        <v>399999.93662690645</v>
      </c>
    </row>
    <row r="6274" spans="26:26" x14ac:dyDescent="0.25">
      <c r="Z6274">
        <v>399999.93678494403</v>
      </c>
    </row>
    <row r="6275" spans="26:26" x14ac:dyDescent="0.25">
      <c r="Z6275">
        <v>399999.93694258761</v>
      </c>
    </row>
    <row r="6276" spans="26:26" x14ac:dyDescent="0.25">
      <c r="Z6276">
        <v>399999.93709983799</v>
      </c>
    </row>
    <row r="6277" spans="26:26" x14ac:dyDescent="0.25">
      <c r="Z6277">
        <v>399999.93725669623</v>
      </c>
    </row>
    <row r="6278" spans="26:26" x14ac:dyDescent="0.25">
      <c r="Z6278">
        <v>399999.93741316331</v>
      </c>
    </row>
    <row r="6279" spans="26:26" x14ac:dyDescent="0.25">
      <c r="Z6279">
        <v>399999.93756924022</v>
      </c>
    </row>
    <row r="6280" spans="26:26" x14ac:dyDescent="0.25">
      <c r="Z6280">
        <v>399999.93772492791</v>
      </c>
    </row>
    <row r="6281" spans="26:26" x14ac:dyDescent="0.25">
      <c r="Z6281">
        <v>399999.9378802274</v>
      </c>
    </row>
    <row r="6282" spans="26:26" x14ac:dyDescent="0.25">
      <c r="Z6282">
        <v>399999.93803513952</v>
      </c>
    </row>
    <row r="6283" spans="26:26" x14ac:dyDescent="0.25">
      <c r="Z6283">
        <v>399999.93818966538</v>
      </c>
    </row>
    <row r="6284" spans="26:26" x14ac:dyDescent="0.25">
      <c r="Z6284">
        <v>399999.93834380584</v>
      </c>
    </row>
    <row r="6285" spans="26:26" x14ac:dyDescent="0.25">
      <c r="Z6285">
        <v>399999.9384975619</v>
      </c>
    </row>
    <row r="6286" spans="26:26" x14ac:dyDescent="0.25">
      <c r="Z6286">
        <v>399999.93865093461</v>
      </c>
    </row>
    <row r="6287" spans="26:26" x14ac:dyDescent="0.25">
      <c r="Z6287">
        <v>399999.93880392477</v>
      </c>
    </row>
    <row r="6288" spans="26:26" x14ac:dyDescent="0.25">
      <c r="Z6288">
        <v>399999.93895653344</v>
      </c>
    </row>
    <row r="6289" spans="26:26" x14ac:dyDescent="0.25">
      <c r="Z6289">
        <v>399999.93910876155</v>
      </c>
    </row>
    <row r="6290" spans="26:26" x14ac:dyDescent="0.25">
      <c r="Z6290">
        <v>399999.93926061003</v>
      </c>
    </row>
    <row r="6291" spans="26:26" x14ac:dyDescent="0.25">
      <c r="Z6291">
        <v>399999.93941207981</v>
      </c>
    </row>
    <row r="6292" spans="26:26" x14ac:dyDescent="0.25">
      <c r="Z6292">
        <v>399999.93956317188</v>
      </c>
    </row>
    <row r="6293" spans="26:26" x14ac:dyDescent="0.25">
      <c r="Z6293">
        <v>399999.93971388717</v>
      </c>
    </row>
    <row r="6294" spans="26:26" x14ac:dyDescent="0.25">
      <c r="Z6294">
        <v>399999.93986422662</v>
      </c>
    </row>
    <row r="6295" spans="26:26" x14ac:dyDescent="0.25">
      <c r="Z6295">
        <v>399999.94001419115</v>
      </c>
    </row>
    <row r="6296" spans="26:26" x14ac:dyDescent="0.25">
      <c r="Z6296">
        <v>399999.94016378169</v>
      </c>
    </row>
    <row r="6297" spans="26:26" x14ac:dyDescent="0.25">
      <c r="Z6297">
        <v>399999.94031299918</v>
      </c>
    </row>
    <row r="6298" spans="26:26" x14ac:dyDescent="0.25">
      <c r="Z6298">
        <v>399999.94046184456</v>
      </c>
    </row>
    <row r="6299" spans="26:26" x14ac:dyDescent="0.25">
      <c r="Z6299">
        <v>399999.94061031879</v>
      </c>
    </row>
    <row r="6300" spans="26:26" x14ac:dyDescent="0.25">
      <c r="Z6300">
        <v>399999.94075842266</v>
      </c>
    </row>
    <row r="6301" spans="26:26" x14ac:dyDescent="0.25">
      <c r="Z6301">
        <v>399999.94090615731</v>
      </c>
    </row>
    <row r="6302" spans="26:26" x14ac:dyDescent="0.25">
      <c r="Z6302">
        <v>399999.94105352345</v>
      </c>
    </row>
    <row r="6303" spans="26:26" x14ac:dyDescent="0.25">
      <c r="Z6303">
        <v>399999.94120052224</v>
      </c>
    </row>
    <row r="6304" spans="26:26" x14ac:dyDescent="0.25">
      <c r="Z6304">
        <v>399999.94134715426</v>
      </c>
    </row>
    <row r="6305" spans="26:26" x14ac:dyDescent="0.25">
      <c r="Z6305">
        <v>399999.9414934208</v>
      </c>
    </row>
    <row r="6306" spans="26:26" x14ac:dyDescent="0.25">
      <c r="Z6306">
        <v>399999.94163932244</v>
      </c>
    </row>
    <row r="6307" spans="26:26" x14ac:dyDescent="0.25">
      <c r="Z6307">
        <v>399999.94178486028</v>
      </c>
    </row>
    <row r="6308" spans="26:26" x14ac:dyDescent="0.25">
      <c r="Z6308">
        <v>399999.94193003519</v>
      </c>
    </row>
    <row r="6309" spans="26:26" x14ac:dyDescent="0.25">
      <c r="Z6309">
        <v>399999.94207484811</v>
      </c>
    </row>
    <row r="6310" spans="26:26" x14ac:dyDescent="0.25">
      <c r="Z6310">
        <v>399999.94221929985</v>
      </c>
    </row>
    <row r="6311" spans="26:26" x14ac:dyDescent="0.25">
      <c r="Z6311">
        <v>399999.94236339134</v>
      </c>
    </row>
    <row r="6312" spans="26:26" x14ac:dyDescent="0.25">
      <c r="Z6312">
        <v>399999.94250712357</v>
      </c>
    </row>
    <row r="6313" spans="26:26" x14ac:dyDescent="0.25">
      <c r="Z6313">
        <v>399999.94265049737</v>
      </c>
    </row>
    <row r="6314" spans="26:26" x14ac:dyDescent="0.25">
      <c r="Z6314">
        <v>399999.94279351353</v>
      </c>
    </row>
    <row r="6315" spans="26:26" x14ac:dyDescent="0.25">
      <c r="Z6315">
        <v>399999.94293617312</v>
      </c>
    </row>
    <row r="6316" spans="26:26" x14ac:dyDescent="0.25">
      <c r="Z6316">
        <v>399999.94307847694</v>
      </c>
    </row>
    <row r="6317" spans="26:26" x14ac:dyDescent="0.25">
      <c r="Z6317">
        <v>399999.94322042586</v>
      </c>
    </row>
    <row r="6318" spans="26:26" x14ac:dyDescent="0.25">
      <c r="Z6318">
        <v>399999.94336202077</v>
      </c>
    </row>
    <row r="6319" spans="26:26" x14ac:dyDescent="0.25">
      <c r="Z6319">
        <v>399999.94350326259</v>
      </c>
    </row>
    <row r="6320" spans="26:26" x14ac:dyDescent="0.25">
      <c r="Z6320">
        <v>399999.94364415226</v>
      </c>
    </row>
    <row r="6321" spans="26:26" x14ac:dyDescent="0.25">
      <c r="Z6321">
        <v>399999.94378469052</v>
      </c>
    </row>
    <row r="6322" spans="26:26" x14ac:dyDescent="0.25">
      <c r="Z6322">
        <v>399999.94392487832</v>
      </c>
    </row>
    <row r="6323" spans="26:26" x14ac:dyDescent="0.25">
      <c r="Z6323">
        <v>399999.94406471652</v>
      </c>
    </row>
    <row r="6324" spans="26:26" x14ac:dyDescent="0.25">
      <c r="Z6324">
        <v>399999.944204206</v>
      </c>
    </row>
    <row r="6325" spans="26:26" x14ac:dyDescent="0.25">
      <c r="Z6325">
        <v>399999.94434334763</v>
      </c>
    </row>
    <row r="6326" spans="26:26" x14ac:dyDescent="0.25">
      <c r="Z6326">
        <v>399999.94448214228</v>
      </c>
    </row>
    <row r="6327" spans="26:26" x14ac:dyDescent="0.25">
      <c r="Z6327">
        <v>399999.94462059083</v>
      </c>
    </row>
    <row r="6328" spans="26:26" x14ac:dyDescent="0.25">
      <c r="Z6328">
        <v>399999.9447586941</v>
      </c>
    </row>
    <row r="6329" spans="26:26" x14ac:dyDescent="0.25">
      <c r="Z6329">
        <v>399999.944896453</v>
      </c>
    </row>
    <row r="6330" spans="26:26" x14ac:dyDescent="0.25">
      <c r="Z6330">
        <v>399999.94503386831</v>
      </c>
    </row>
    <row r="6331" spans="26:26" x14ac:dyDescent="0.25">
      <c r="Z6331">
        <v>399999.94517094089</v>
      </c>
    </row>
    <row r="6332" spans="26:26" x14ac:dyDescent="0.25">
      <c r="Z6332">
        <v>399999.94530767173</v>
      </c>
    </row>
    <row r="6333" spans="26:26" x14ac:dyDescent="0.25">
      <c r="Z6333">
        <v>399999.9454440616</v>
      </c>
    </row>
    <row r="6334" spans="26:26" x14ac:dyDescent="0.25">
      <c r="Z6334">
        <v>399999.94558011129</v>
      </c>
    </row>
    <row r="6335" spans="26:26" x14ac:dyDescent="0.25">
      <c r="Z6335">
        <v>399999.94571582176</v>
      </c>
    </row>
    <row r="6336" spans="26:26" x14ac:dyDescent="0.25">
      <c r="Z6336">
        <v>399999.9458511938</v>
      </c>
    </row>
    <row r="6337" spans="26:26" x14ac:dyDescent="0.25">
      <c r="Z6337">
        <v>399999.94598622824</v>
      </c>
    </row>
    <row r="6338" spans="26:26" x14ac:dyDescent="0.25">
      <c r="Z6338">
        <v>399999.94612092589</v>
      </c>
    </row>
    <row r="6339" spans="26:26" x14ac:dyDescent="0.25">
      <c r="Z6339">
        <v>399999.94625528768</v>
      </c>
    </row>
    <row r="6340" spans="26:26" x14ac:dyDescent="0.25">
      <c r="Z6340">
        <v>399999.94638931443</v>
      </c>
    </row>
    <row r="6341" spans="26:26" x14ac:dyDescent="0.25">
      <c r="Z6341">
        <v>399999.94652300689</v>
      </c>
    </row>
    <row r="6342" spans="26:26" x14ac:dyDescent="0.25">
      <c r="Z6342">
        <v>399999.94665636594</v>
      </c>
    </row>
    <row r="6343" spans="26:26" x14ac:dyDescent="0.25">
      <c r="Z6343">
        <v>399999.94678939244</v>
      </c>
    </row>
    <row r="6344" spans="26:26" x14ac:dyDescent="0.25">
      <c r="Z6344">
        <v>399999.94692208723</v>
      </c>
    </row>
    <row r="6345" spans="26:26" x14ac:dyDescent="0.25">
      <c r="Z6345">
        <v>399999.9470544511</v>
      </c>
    </row>
    <row r="6346" spans="26:26" x14ac:dyDescent="0.25">
      <c r="Z6346">
        <v>399999.94718648487</v>
      </c>
    </row>
    <row r="6347" spans="26:26" x14ac:dyDescent="0.25">
      <c r="Z6347">
        <v>399999.94731818943</v>
      </c>
    </row>
    <row r="6348" spans="26:26" x14ac:dyDescent="0.25">
      <c r="Z6348">
        <v>399999.94744956557</v>
      </c>
    </row>
    <row r="6349" spans="26:26" x14ac:dyDescent="0.25">
      <c r="Z6349">
        <v>399999.94758061401</v>
      </c>
    </row>
    <row r="6350" spans="26:26" x14ac:dyDescent="0.25">
      <c r="Z6350">
        <v>399999.94771133567</v>
      </c>
    </row>
    <row r="6351" spans="26:26" x14ac:dyDescent="0.25">
      <c r="Z6351">
        <v>399999.94784173131</v>
      </c>
    </row>
    <row r="6352" spans="26:26" x14ac:dyDescent="0.25">
      <c r="Z6352">
        <v>399999.94797180186</v>
      </c>
    </row>
    <row r="6353" spans="26:26" x14ac:dyDescent="0.25">
      <c r="Z6353">
        <v>399999.94810154795</v>
      </c>
    </row>
    <row r="6354" spans="26:26" x14ac:dyDescent="0.25">
      <c r="Z6354">
        <v>399999.94823097053</v>
      </c>
    </row>
    <row r="6355" spans="26:26" x14ac:dyDescent="0.25">
      <c r="Z6355">
        <v>399999.94836007035</v>
      </c>
    </row>
    <row r="6356" spans="26:26" x14ac:dyDescent="0.25">
      <c r="Z6356">
        <v>399999.94848884823</v>
      </c>
    </row>
    <row r="6357" spans="26:26" x14ac:dyDescent="0.25">
      <c r="Z6357">
        <v>399999.94861730497</v>
      </c>
    </row>
    <row r="6358" spans="26:26" x14ac:dyDescent="0.25">
      <c r="Z6358">
        <v>399999.94874544133</v>
      </c>
    </row>
    <row r="6359" spans="26:26" x14ac:dyDescent="0.25">
      <c r="Z6359">
        <v>399999.94887325825</v>
      </c>
    </row>
    <row r="6360" spans="26:26" x14ac:dyDescent="0.25">
      <c r="Z6360">
        <v>399999.94900075631</v>
      </c>
    </row>
    <row r="6361" spans="26:26" x14ac:dyDescent="0.25">
      <c r="Z6361">
        <v>399999.9491279365</v>
      </c>
    </row>
    <row r="6362" spans="26:26" x14ac:dyDescent="0.25">
      <c r="Z6362">
        <v>399999.94925479952</v>
      </c>
    </row>
    <row r="6363" spans="26:26" x14ac:dyDescent="0.25">
      <c r="Z6363">
        <v>399999.94938134612</v>
      </c>
    </row>
    <row r="6364" spans="26:26" x14ac:dyDescent="0.25">
      <c r="Z6364">
        <v>399999.94950757717</v>
      </c>
    </row>
    <row r="6365" spans="26:26" x14ac:dyDescent="0.25">
      <c r="Z6365">
        <v>399999.94963349344</v>
      </c>
    </row>
    <row r="6366" spans="26:26" x14ac:dyDescent="0.25">
      <c r="Z6366">
        <v>399999.94975909573</v>
      </c>
    </row>
    <row r="6367" spans="26:26" x14ac:dyDescent="0.25">
      <c r="Z6367">
        <v>399999.94988438475</v>
      </c>
    </row>
    <row r="6368" spans="26:26" x14ac:dyDescent="0.25">
      <c r="Z6368">
        <v>399999.95000936132</v>
      </c>
    </row>
    <row r="6369" spans="26:26" x14ac:dyDescent="0.25">
      <c r="Z6369">
        <v>399999.95013402629</v>
      </c>
    </row>
    <row r="6370" spans="26:26" x14ac:dyDescent="0.25">
      <c r="Z6370">
        <v>399999.95025838033</v>
      </c>
    </row>
    <row r="6371" spans="26:26" x14ac:dyDescent="0.25">
      <c r="Z6371">
        <v>399999.95038242429</v>
      </c>
    </row>
    <row r="6372" spans="26:26" x14ac:dyDescent="0.25">
      <c r="Z6372">
        <v>399999.95050615887</v>
      </c>
    </row>
    <row r="6373" spans="26:26" x14ac:dyDescent="0.25">
      <c r="Z6373">
        <v>399999.9506295849</v>
      </c>
    </row>
    <row r="6374" spans="26:26" x14ac:dyDescent="0.25">
      <c r="Z6374">
        <v>399999.95075270312</v>
      </c>
    </row>
    <row r="6375" spans="26:26" x14ac:dyDescent="0.25">
      <c r="Z6375">
        <v>399999.95087551436</v>
      </c>
    </row>
    <row r="6376" spans="26:26" x14ac:dyDescent="0.25">
      <c r="Z6376">
        <v>399999.95099801931</v>
      </c>
    </row>
    <row r="6377" spans="26:26" x14ac:dyDescent="0.25">
      <c r="Z6377">
        <v>399999.95112021873</v>
      </c>
    </row>
    <row r="6378" spans="26:26" x14ac:dyDescent="0.25">
      <c r="Z6378">
        <v>399999.95124211343</v>
      </c>
    </row>
    <row r="6379" spans="26:26" x14ac:dyDescent="0.25">
      <c r="Z6379">
        <v>399999.95136370423</v>
      </c>
    </row>
    <row r="6380" spans="26:26" x14ac:dyDescent="0.25">
      <c r="Z6380">
        <v>399999.95148499176</v>
      </c>
    </row>
    <row r="6381" spans="26:26" x14ac:dyDescent="0.25">
      <c r="Z6381">
        <v>399999.95160597679</v>
      </c>
    </row>
    <row r="6382" spans="26:26" x14ac:dyDescent="0.25">
      <c r="Z6382">
        <v>399999.95172666013</v>
      </c>
    </row>
    <row r="6383" spans="26:26" x14ac:dyDescent="0.25">
      <c r="Z6383">
        <v>399999.95184704254</v>
      </c>
    </row>
    <row r="6384" spans="26:26" x14ac:dyDescent="0.25">
      <c r="Z6384">
        <v>399999.95196712471</v>
      </c>
    </row>
    <row r="6385" spans="26:26" x14ac:dyDescent="0.25">
      <c r="Z6385">
        <v>399999.95208690746</v>
      </c>
    </row>
    <row r="6386" spans="26:26" x14ac:dyDescent="0.25">
      <c r="Z6386">
        <v>399999.95220639149</v>
      </c>
    </row>
    <row r="6387" spans="26:26" x14ac:dyDescent="0.25">
      <c r="Z6387">
        <v>399999.9523255775</v>
      </c>
    </row>
    <row r="6388" spans="26:26" x14ac:dyDescent="0.25">
      <c r="Z6388">
        <v>399999.95244446641</v>
      </c>
    </row>
    <row r="6389" spans="26:26" x14ac:dyDescent="0.25">
      <c r="Z6389">
        <v>399999.95256305876</v>
      </c>
    </row>
    <row r="6390" spans="26:26" x14ac:dyDescent="0.25">
      <c r="Z6390">
        <v>399999.95268135535</v>
      </c>
    </row>
    <row r="6391" spans="26:26" x14ac:dyDescent="0.25">
      <c r="Z6391">
        <v>399999.95279935695</v>
      </c>
    </row>
    <row r="6392" spans="26:26" x14ac:dyDescent="0.25">
      <c r="Z6392">
        <v>399999.95291706431</v>
      </c>
    </row>
    <row r="6393" spans="26:26" x14ac:dyDescent="0.25">
      <c r="Z6393">
        <v>399999.95303447807</v>
      </c>
    </row>
    <row r="6394" spans="26:26" x14ac:dyDescent="0.25">
      <c r="Z6394">
        <v>399999.9531515991</v>
      </c>
    </row>
    <row r="6395" spans="26:26" x14ac:dyDescent="0.25">
      <c r="Z6395">
        <v>399999.95326842804</v>
      </c>
    </row>
    <row r="6396" spans="26:26" x14ac:dyDescent="0.25">
      <c r="Z6396">
        <v>399999.95338496566</v>
      </c>
    </row>
    <row r="6397" spans="26:26" x14ac:dyDescent="0.25">
      <c r="Z6397">
        <v>399999.95350121259</v>
      </c>
    </row>
    <row r="6398" spans="26:26" x14ac:dyDescent="0.25">
      <c r="Z6398">
        <v>399999.95361716964</v>
      </c>
    </row>
    <row r="6399" spans="26:26" x14ac:dyDescent="0.25">
      <c r="Z6399">
        <v>399999.95373283757</v>
      </c>
    </row>
    <row r="6400" spans="26:26" x14ac:dyDescent="0.25">
      <c r="Z6400">
        <v>399999.95384821703</v>
      </c>
    </row>
    <row r="6401" spans="26:26" x14ac:dyDescent="0.25">
      <c r="Z6401">
        <v>399999.95396330871</v>
      </c>
    </row>
    <row r="6402" spans="26:26" x14ac:dyDescent="0.25">
      <c r="Z6402">
        <v>399999.95407811349</v>
      </c>
    </row>
    <row r="6403" spans="26:26" x14ac:dyDescent="0.25">
      <c r="Z6403">
        <v>399999.95419263188</v>
      </c>
    </row>
    <row r="6404" spans="26:26" x14ac:dyDescent="0.25">
      <c r="Z6404">
        <v>399999.9543068647</v>
      </c>
    </row>
    <row r="6405" spans="26:26" x14ac:dyDescent="0.25">
      <c r="Z6405">
        <v>399999.95442081266</v>
      </c>
    </row>
    <row r="6406" spans="26:26" x14ac:dyDescent="0.25">
      <c r="Z6406">
        <v>399999.95453447651</v>
      </c>
    </row>
    <row r="6407" spans="26:26" x14ac:dyDescent="0.25">
      <c r="Z6407">
        <v>399999.95464785682</v>
      </c>
    </row>
    <row r="6408" spans="26:26" x14ac:dyDescent="0.25">
      <c r="Z6408">
        <v>399999.95476095442</v>
      </c>
    </row>
    <row r="6409" spans="26:26" x14ac:dyDescent="0.25">
      <c r="Z6409">
        <v>399999.95487377007</v>
      </c>
    </row>
    <row r="6410" spans="26:26" x14ac:dyDescent="0.25">
      <c r="Z6410">
        <v>399999.95498630428</v>
      </c>
    </row>
    <row r="6411" spans="26:26" x14ac:dyDescent="0.25">
      <c r="Z6411">
        <v>399999.95509855787</v>
      </c>
    </row>
    <row r="6412" spans="26:26" x14ac:dyDescent="0.25">
      <c r="Z6412">
        <v>399999.95521053154</v>
      </c>
    </row>
    <row r="6413" spans="26:26" x14ac:dyDescent="0.25">
      <c r="Z6413">
        <v>399999.95532222599</v>
      </c>
    </row>
    <row r="6414" spans="26:26" x14ac:dyDescent="0.25">
      <c r="Z6414">
        <v>399999.95543364191</v>
      </c>
    </row>
    <row r="6415" spans="26:26" x14ac:dyDescent="0.25">
      <c r="Z6415">
        <v>399999.95554477995</v>
      </c>
    </row>
    <row r="6416" spans="26:26" x14ac:dyDescent="0.25">
      <c r="Z6416">
        <v>399999.95565564081</v>
      </c>
    </row>
    <row r="6417" spans="26:26" x14ac:dyDescent="0.25">
      <c r="Z6417">
        <v>399999.95576622529</v>
      </c>
    </row>
    <row r="6418" spans="26:26" x14ac:dyDescent="0.25">
      <c r="Z6418">
        <v>399999.95587653399</v>
      </c>
    </row>
    <row r="6419" spans="26:26" x14ac:dyDescent="0.25">
      <c r="Z6419">
        <v>399999.95598656754</v>
      </c>
    </row>
    <row r="6420" spans="26:26" x14ac:dyDescent="0.25">
      <c r="Z6420">
        <v>399999.95609632676</v>
      </c>
    </row>
    <row r="6421" spans="26:26" x14ac:dyDescent="0.25">
      <c r="Z6421">
        <v>399999.95620581217</v>
      </c>
    </row>
    <row r="6422" spans="26:26" x14ac:dyDescent="0.25">
      <c r="Z6422">
        <v>399999.95631502458</v>
      </c>
    </row>
    <row r="6423" spans="26:26" x14ac:dyDescent="0.25">
      <c r="Z6423">
        <v>399999.95642396476</v>
      </c>
    </row>
    <row r="6424" spans="26:26" x14ac:dyDescent="0.25">
      <c r="Z6424">
        <v>399999.95653263311</v>
      </c>
    </row>
    <row r="6425" spans="26:26" x14ac:dyDescent="0.25">
      <c r="Z6425">
        <v>399999.95664103056</v>
      </c>
    </row>
    <row r="6426" spans="26:26" x14ac:dyDescent="0.25">
      <c r="Z6426">
        <v>399999.95674915769</v>
      </c>
    </row>
    <row r="6427" spans="26:26" x14ac:dyDescent="0.25">
      <c r="Z6427">
        <v>399999.95685701509</v>
      </c>
    </row>
    <row r="6428" spans="26:26" x14ac:dyDescent="0.25">
      <c r="Z6428">
        <v>399999.95696460357</v>
      </c>
    </row>
    <row r="6429" spans="26:26" x14ac:dyDescent="0.25">
      <c r="Z6429">
        <v>399999.95707192377</v>
      </c>
    </row>
    <row r="6430" spans="26:26" x14ac:dyDescent="0.25">
      <c r="Z6430">
        <v>399999.95717897633</v>
      </c>
    </row>
    <row r="6431" spans="26:26" x14ac:dyDescent="0.25">
      <c r="Z6431">
        <v>399999.95728576195</v>
      </c>
    </row>
    <row r="6432" spans="26:26" x14ac:dyDescent="0.25">
      <c r="Z6432">
        <v>399999.95739228121</v>
      </c>
    </row>
    <row r="6433" spans="26:26" x14ac:dyDescent="0.25">
      <c r="Z6433">
        <v>399999.95749853487</v>
      </c>
    </row>
    <row r="6434" spans="26:26" x14ac:dyDescent="0.25">
      <c r="Z6434">
        <v>399999.95760452363</v>
      </c>
    </row>
    <row r="6435" spans="26:26" x14ac:dyDescent="0.25">
      <c r="Z6435">
        <v>399999.95771024801</v>
      </c>
    </row>
    <row r="6436" spans="26:26" x14ac:dyDescent="0.25">
      <c r="Z6436">
        <v>399999.95781570871</v>
      </c>
    </row>
    <row r="6437" spans="26:26" x14ac:dyDescent="0.25">
      <c r="Z6437">
        <v>399999.95792090642</v>
      </c>
    </row>
    <row r="6438" spans="26:26" x14ac:dyDescent="0.25">
      <c r="Z6438">
        <v>399999.95802584186</v>
      </c>
    </row>
    <row r="6439" spans="26:26" x14ac:dyDescent="0.25">
      <c r="Z6439">
        <v>399999.95813051553</v>
      </c>
    </row>
    <row r="6440" spans="26:26" x14ac:dyDescent="0.25">
      <c r="Z6440">
        <v>399999.9582349282</v>
      </c>
    </row>
    <row r="6441" spans="26:26" x14ac:dyDescent="0.25">
      <c r="Z6441">
        <v>399999.95833908051</v>
      </c>
    </row>
    <row r="6442" spans="26:26" x14ac:dyDescent="0.25">
      <c r="Z6442">
        <v>399999.95844297309</v>
      </c>
    </row>
    <row r="6443" spans="26:26" x14ac:dyDescent="0.25">
      <c r="Z6443">
        <v>399999.95854660653</v>
      </c>
    </row>
    <row r="6444" spans="26:26" x14ac:dyDescent="0.25">
      <c r="Z6444">
        <v>399999.95864998159</v>
      </c>
    </row>
    <row r="6445" spans="26:26" x14ac:dyDescent="0.25">
      <c r="Z6445">
        <v>399999.95875309885</v>
      </c>
    </row>
    <row r="6446" spans="26:26" x14ac:dyDescent="0.25">
      <c r="Z6446">
        <v>399999.958855959</v>
      </c>
    </row>
    <row r="6447" spans="26:26" x14ac:dyDescent="0.25">
      <c r="Z6447">
        <v>399999.95895856258</v>
      </c>
    </row>
    <row r="6448" spans="26:26" x14ac:dyDescent="0.25">
      <c r="Z6448">
        <v>399999.95906091027</v>
      </c>
    </row>
    <row r="6449" spans="26:26" x14ac:dyDescent="0.25">
      <c r="Z6449">
        <v>399999.95916300279</v>
      </c>
    </row>
    <row r="6450" spans="26:26" x14ac:dyDescent="0.25">
      <c r="Z6450">
        <v>399999.9592648407</v>
      </c>
    </row>
    <row r="6451" spans="26:26" x14ac:dyDescent="0.25">
      <c r="Z6451">
        <v>399999.95936642465</v>
      </c>
    </row>
    <row r="6452" spans="26:26" x14ac:dyDescent="0.25">
      <c r="Z6452">
        <v>399999.95946775522</v>
      </c>
    </row>
    <row r="6453" spans="26:26" x14ac:dyDescent="0.25">
      <c r="Z6453">
        <v>399999.95956883312</v>
      </c>
    </row>
    <row r="6454" spans="26:26" x14ac:dyDescent="0.25">
      <c r="Z6454">
        <v>399999.95966965903</v>
      </c>
    </row>
    <row r="6455" spans="26:26" x14ac:dyDescent="0.25">
      <c r="Z6455">
        <v>399999.95977023343</v>
      </c>
    </row>
    <row r="6456" spans="26:26" x14ac:dyDescent="0.25">
      <c r="Z6456">
        <v>399999.95987055701</v>
      </c>
    </row>
    <row r="6457" spans="26:26" x14ac:dyDescent="0.25">
      <c r="Z6457">
        <v>399999.95997063041</v>
      </c>
    </row>
    <row r="6458" spans="26:26" x14ac:dyDescent="0.25">
      <c r="Z6458">
        <v>399999.96007045434</v>
      </c>
    </row>
    <row r="6459" spans="26:26" x14ac:dyDescent="0.25">
      <c r="Z6459">
        <v>399999.96017002926</v>
      </c>
    </row>
    <row r="6460" spans="26:26" x14ac:dyDescent="0.25">
      <c r="Z6460">
        <v>399999.96026935586</v>
      </c>
    </row>
    <row r="6461" spans="26:26" x14ac:dyDescent="0.25">
      <c r="Z6461">
        <v>399999.96036843478</v>
      </c>
    </row>
    <row r="6462" spans="26:26" x14ac:dyDescent="0.25">
      <c r="Z6462">
        <v>399999.96046726662</v>
      </c>
    </row>
    <row r="6463" spans="26:26" x14ac:dyDescent="0.25">
      <c r="Z6463">
        <v>399999.96056585194</v>
      </c>
    </row>
    <row r="6464" spans="26:26" x14ac:dyDescent="0.25">
      <c r="Z6464">
        <v>399999.96066419146</v>
      </c>
    </row>
    <row r="6465" spans="26:26" x14ac:dyDescent="0.25">
      <c r="Z6465">
        <v>399999.96076228574</v>
      </c>
    </row>
    <row r="6466" spans="26:26" x14ac:dyDescent="0.25">
      <c r="Z6466">
        <v>399999.96086013544</v>
      </c>
    </row>
    <row r="6467" spans="26:26" x14ac:dyDescent="0.25">
      <c r="Z6467">
        <v>399999.96095774107</v>
      </c>
    </row>
    <row r="6468" spans="26:26" x14ac:dyDescent="0.25">
      <c r="Z6468">
        <v>399999.96105510328</v>
      </c>
    </row>
    <row r="6469" spans="26:26" x14ac:dyDescent="0.25">
      <c r="Z6469">
        <v>399999.96115222276</v>
      </c>
    </row>
    <row r="6470" spans="26:26" x14ac:dyDescent="0.25">
      <c r="Z6470">
        <v>399999.96124910004</v>
      </c>
    </row>
    <row r="6471" spans="26:26" x14ac:dyDescent="0.25">
      <c r="Z6471">
        <v>399999.96134573565</v>
      </c>
    </row>
    <row r="6472" spans="26:26" x14ac:dyDescent="0.25">
      <c r="Z6472">
        <v>399999.96144213033</v>
      </c>
    </row>
    <row r="6473" spans="26:26" x14ac:dyDescent="0.25">
      <c r="Z6473">
        <v>399999.96153828467</v>
      </c>
    </row>
    <row r="6474" spans="26:26" x14ac:dyDescent="0.25">
      <c r="Z6474">
        <v>399999.96163419914</v>
      </c>
    </row>
    <row r="6475" spans="26:26" x14ac:dyDescent="0.25">
      <c r="Z6475">
        <v>399999.96172987449</v>
      </c>
    </row>
    <row r="6476" spans="26:26" x14ac:dyDescent="0.25">
      <c r="Z6476">
        <v>399999.96182531118</v>
      </c>
    </row>
    <row r="6477" spans="26:26" x14ac:dyDescent="0.25">
      <c r="Z6477">
        <v>399999.96192050987</v>
      </c>
    </row>
    <row r="6478" spans="26:26" x14ac:dyDescent="0.25">
      <c r="Z6478">
        <v>399999.96201547125</v>
      </c>
    </row>
    <row r="6479" spans="26:26" x14ac:dyDescent="0.25">
      <c r="Z6479">
        <v>399999.96211019572</v>
      </c>
    </row>
    <row r="6480" spans="26:26" x14ac:dyDescent="0.25">
      <c r="Z6480">
        <v>399999.96220468404</v>
      </c>
    </row>
    <row r="6481" spans="26:26" x14ac:dyDescent="0.25">
      <c r="Z6481">
        <v>399999.96229893673</v>
      </c>
    </row>
    <row r="6482" spans="26:26" x14ac:dyDescent="0.25">
      <c r="Z6482">
        <v>399999.96239295427</v>
      </c>
    </row>
    <row r="6483" spans="26:26" x14ac:dyDescent="0.25">
      <c r="Z6483">
        <v>399999.96248673747</v>
      </c>
    </row>
    <row r="6484" spans="26:26" x14ac:dyDescent="0.25">
      <c r="Z6484">
        <v>399999.96258028678</v>
      </c>
    </row>
    <row r="6485" spans="26:26" x14ac:dyDescent="0.25">
      <c r="Z6485">
        <v>399999.96267360274</v>
      </c>
    </row>
    <row r="6486" spans="26:26" x14ac:dyDescent="0.25">
      <c r="Z6486">
        <v>399999.96276668605</v>
      </c>
    </row>
    <row r="6487" spans="26:26" x14ac:dyDescent="0.25">
      <c r="Z6487">
        <v>399999.96285953722</v>
      </c>
    </row>
    <row r="6488" spans="26:26" x14ac:dyDescent="0.25">
      <c r="Z6488">
        <v>399999.96295215678</v>
      </c>
    </row>
    <row r="6489" spans="26:26" x14ac:dyDescent="0.25">
      <c r="Z6489">
        <v>399999.96304454544</v>
      </c>
    </row>
    <row r="6490" spans="26:26" x14ac:dyDescent="0.25">
      <c r="Z6490">
        <v>399999.96313670365</v>
      </c>
    </row>
    <row r="6491" spans="26:26" x14ac:dyDescent="0.25">
      <c r="Z6491">
        <v>399999.96322863206</v>
      </c>
    </row>
    <row r="6492" spans="26:26" x14ac:dyDescent="0.25">
      <c r="Z6492">
        <v>399999.9633203313</v>
      </c>
    </row>
    <row r="6493" spans="26:26" x14ac:dyDescent="0.25">
      <c r="Z6493">
        <v>399999.96341180173</v>
      </c>
    </row>
    <row r="6494" spans="26:26" x14ac:dyDescent="0.25">
      <c r="Z6494">
        <v>399999.96350304416</v>
      </c>
    </row>
    <row r="6495" spans="26:26" x14ac:dyDescent="0.25">
      <c r="Z6495">
        <v>399999.96359405899</v>
      </c>
    </row>
    <row r="6496" spans="26:26" x14ac:dyDescent="0.25">
      <c r="Z6496">
        <v>399999.96368484688</v>
      </c>
    </row>
    <row r="6497" spans="26:26" x14ac:dyDescent="0.25">
      <c r="Z6497">
        <v>399999.9637754084</v>
      </c>
    </row>
    <row r="6498" spans="26:26" x14ac:dyDescent="0.25">
      <c r="Z6498">
        <v>399999.96386574401</v>
      </c>
    </row>
    <row r="6499" spans="26:26" x14ac:dyDescent="0.25">
      <c r="Z6499">
        <v>399999.96395585436</v>
      </c>
    </row>
    <row r="6500" spans="26:26" x14ac:dyDescent="0.25">
      <c r="Z6500">
        <v>399999.96404574002</v>
      </c>
    </row>
    <row r="6501" spans="26:26" x14ac:dyDescent="0.25">
      <c r="Z6501">
        <v>399999.96413540153</v>
      </c>
    </row>
    <row r="6502" spans="26:26" x14ac:dyDescent="0.25">
      <c r="Z6502">
        <v>399999.96422483941</v>
      </c>
    </row>
    <row r="6503" spans="26:26" x14ac:dyDescent="0.25">
      <c r="Z6503">
        <v>399999.96431405429</v>
      </c>
    </row>
    <row r="6504" spans="26:26" x14ac:dyDescent="0.25">
      <c r="Z6504">
        <v>399999.96440304664</v>
      </c>
    </row>
    <row r="6505" spans="26:26" x14ac:dyDescent="0.25">
      <c r="Z6505">
        <v>399999.96449181711</v>
      </c>
    </row>
    <row r="6506" spans="26:26" x14ac:dyDescent="0.25">
      <c r="Z6506">
        <v>399999.96458036621</v>
      </c>
    </row>
    <row r="6507" spans="26:26" x14ac:dyDescent="0.25">
      <c r="Z6507">
        <v>399999.96466869448</v>
      </c>
    </row>
    <row r="6508" spans="26:26" x14ac:dyDescent="0.25">
      <c r="Z6508">
        <v>399999.96475680242</v>
      </c>
    </row>
    <row r="6509" spans="26:26" x14ac:dyDescent="0.25">
      <c r="Z6509">
        <v>399999.96484469069</v>
      </c>
    </row>
    <row r="6510" spans="26:26" x14ac:dyDescent="0.25">
      <c r="Z6510">
        <v>399999.96493235987</v>
      </c>
    </row>
    <row r="6511" spans="26:26" x14ac:dyDescent="0.25">
      <c r="Z6511">
        <v>399999.9650198103</v>
      </c>
    </row>
    <row r="6512" spans="26:26" x14ac:dyDescent="0.25">
      <c r="Z6512">
        <v>399999.96510704269</v>
      </c>
    </row>
    <row r="6513" spans="26:26" x14ac:dyDescent="0.25">
      <c r="Z6513">
        <v>399999.96519405756</v>
      </c>
    </row>
    <row r="6514" spans="26:26" x14ac:dyDescent="0.25">
      <c r="Z6514">
        <v>399999.96528085542</v>
      </c>
    </row>
    <row r="6515" spans="26:26" x14ac:dyDescent="0.25">
      <c r="Z6515">
        <v>399999.96536743682</v>
      </c>
    </row>
    <row r="6516" spans="26:26" x14ac:dyDescent="0.25">
      <c r="Z6516">
        <v>399999.96545380232</v>
      </c>
    </row>
    <row r="6517" spans="26:26" x14ac:dyDescent="0.25">
      <c r="Z6517">
        <v>399999.96553995239</v>
      </c>
    </row>
    <row r="6518" spans="26:26" x14ac:dyDescent="0.25">
      <c r="Z6518">
        <v>399999.96562588774</v>
      </c>
    </row>
    <row r="6519" spans="26:26" x14ac:dyDescent="0.25">
      <c r="Z6519">
        <v>399999.9657116087</v>
      </c>
    </row>
    <row r="6520" spans="26:26" x14ac:dyDescent="0.25">
      <c r="Z6520">
        <v>399999.96579711593</v>
      </c>
    </row>
    <row r="6521" spans="26:26" x14ac:dyDescent="0.25">
      <c r="Z6521">
        <v>399999.96588240989</v>
      </c>
    </row>
    <row r="6522" spans="26:26" x14ac:dyDescent="0.25">
      <c r="Z6522">
        <v>399999.96596749115</v>
      </c>
    </row>
    <row r="6523" spans="26:26" x14ac:dyDescent="0.25">
      <c r="Z6523">
        <v>399999.96605236025</v>
      </c>
    </row>
    <row r="6524" spans="26:26" x14ac:dyDescent="0.25">
      <c r="Z6524">
        <v>399999.96613701771</v>
      </c>
    </row>
    <row r="6525" spans="26:26" x14ac:dyDescent="0.25">
      <c r="Z6525">
        <v>399999.96622146404</v>
      </c>
    </row>
    <row r="6526" spans="26:26" x14ac:dyDescent="0.25">
      <c r="Z6526">
        <v>399999.96630569978</v>
      </c>
    </row>
    <row r="6527" spans="26:26" x14ac:dyDescent="0.25">
      <c r="Z6527">
        <v>399999.96638972545</v>
      </c>
    </row>
    <row r="6528" spans="26:26" x14ac:dyDescent="0.25">
      <c r="Z6528">
        <v>399999.96647354163</v>
      </c>
    </row>
    <row r="6529" spans="26:26" x14ac:dyDescent="0.25">
      <c r="Z6529">
        <v>399999.96655714873</v>
      </c>
    </row>
    <row r="6530" spans="26:26" x14ac:dyDescent="0.25">
      <c r="Z6530">
        <v>399999.96664054738</v>
      </c>
    </row>
    <row r="6531" spans="26:26" x14ac:dyDescent="0.25">
      <c r="Z6531">
        <v>399999.96672373806</v>
      </c>
    </row>
    <row r="6532" spans="26:26" x14ac:dyDescent="0.25">
      <c r="Z6532">
        <v>399999.96680672123</v>
      </c>
    </row>
    <row r="6533" spans="26:26" x14ac:dyDescent="0.25">
      <c r="Z6533">
        <v>399999.96688949747</v>
      </c>
    </row>
    <row r="6534" spans="26:26" x14ac:dyDescent="0.25">
      <c r="Z6534">
        <v>399999.96697206731</v>
      </c>
    </row>
    <row r="6535" spans="26:26" x14ac:dyDescent="0.25">
      <c r="Z6535">
        <v>399999.96705443121</v>
      </c>
    </row>
    <row r="6536" spans="26:26" x14ac:dyDescent="0.25">
      <c r="Z6536">
        <v>399999.96713658981</v>
      </c>
    </row>
    <row r="6537" spans="26:26" x14ac:dyDescent="0.25">
      <c r="Z6537">
        <v>399999.9672185434</v>
      </c>
    </row>
    <row r="6538" spans="26:26" x14ac:dyDescent="0.25">
      <c r="Z6538">
        <v>399999.96730029269</v>
      </c>
    </row>
    <row r="6539" spans="26:26" x14ac:dyDescent="0.25">
      <c r="Z6539">
        <v>399999.96738183807</v>
      </c>
    </row>
    <row r="6540" spans="26:26" x14ac:dyDescent="0.25">
      <c r="Z6540">
        <v>399999.96746318013</v>
      </c>
    </row>
    <row r="6541" spans="26:26" x14ac:dyDescent="0.25">
      <c r="Z6541">
        <v>399999.96754431928</v>
      </c>
    </row>
    <row r="6542" spans="26:26" x14ac:dyDescent="0.25">
      <c r="Z6542">
        <v>399999.96762525622</v>
      </c>
    </row>
    <row r="6543" spans="26:26" x14ac:dyDescent="0.25">
      <c r="Z6543">
        <v>399999.96770599124</v>
      </c>
    </row>
    <row r="6544" spans="26:26" x14ac:dyDescent="0.25">
      <c r="Z6544">
        <v>399999.96778652491</v>
      </c>
    </row>
    <row r="6545" spans="26:26" x14ac:dyDescent="0.25">
      <c r="Z6545">
        <v>399999.96786685771</v>
      </c>
    </row>
    <row r="6546" spans="26:26" x14ac:dyDescent="0.25">
      <c r="Z6546">
        <v>399999.96794699028</v>
      </c>
    </row>
    <row r="6547" spans="26:26" x14ac:dyDescent="0.25">
      <c r="Z6547">
        <v>399999.96802692296</v>
      </c>
    </row>
    <row r="6548" spans="26:26" x14ac:dyDescent="0.25">
      <c r="Z6548">
        <v>399999.96810665634</v>
      </c>
    </row>
    <row r="6549" spans="26:26" x14ac:dyDescent="0.25">
      <c r="Z6549">
        <v>399999.96818619082</v>
      </c>
    </row>
    <row r="6550" spans="26:26" x14ac:dyDescent="0.25">
      <c r="Z6550">
        <v>399999.96826552704</v>
      </c>
    </row>
    <row r="6551" spans="26:26" x14ac:dyDescent="0.25">
      <c r="Z6551">
        <v>399999.96834466537</v>
      </c>
    </row>
    <row r="6552" spans="26:26" x14ac:dyDescent="0.25">
      <c r="Z6552">
        <v>399999.96842360636</v>
      </c>
    </row>
    <row r="6553" spans="26:26" x14ac:dyDescent="0.25">
      <c r="Z6553">
        <v>399999.96850235044</v>
      </c>
    </row>
    <row r="6554" spans="26:26" x14ac:dyDescent="0.25">
      <c r="Z6554">
        <v>399999.96858089825</v>
      </c>
    </row>
    <row r="6555" spans="26:26" x14ac:dyDescent="0.25">
      <c r="Z6555">
        <v>399999.96865925012</v>
      </c>
    </row>
    <row r="6556" spans="26:26" x14ac:dyDescent="0.25">
      <c r="Z6556">
        <v>399999.9687374066</v>
      </c>
    </row>
    <row r="6557" spans="26:26" x14ac:dyDescent="0.25">
      <c r="Z6557">
        <v>399999.96881536819</v>
      </c>
    </row>
    <row r="6558" spans="26:26" x14ac:dyDescent="0.25">
      <c r="Z6558">
        <v>399999.96889313532</v>
      </c>
    </row>
    <row r="6559" spans="26:26" x14ac:dyDescent="0.25">
      <c r="Z6559">
        <v>399999.96897070861</v>
      </c>
    </row>
    <row r="6560" spans="26:26" x14ac:dyDescent="0.25">
      <c r="Z6560">
        <v>399999.96904808836</v>
      </c>
    </row>
    <row r="6561" spans="26:26" x14ac:dyDescent="0.25">
      <c r="Z6561">
        <v>399999.96912527515</v>
      </c>
    </row>
    <row r="6562" spans="26:26" x14ac:dyDescent="0.25">
      <c r="Z6562">
        <v>399999.96920226951</v>
      </c>
    </row>
    <row r="6563" spans="26:26" x14ac:dyDescent="0.25">
      <c r="Z6563">
        <v>399999.96927907184</v>
      </c>
    </row>
    <row r="6564" spans="26:26" x14ac:dyDescent="0.25">
      <c r="Z6564">
        <v>399999.96935568261</v>
      </c>
    </row>
    <row r="6565" spans="26:26" x14ac:dyDescent="0.25">
      <c r="Z6565">
        <v>399999.96943210234</v>
      </c>
    </row>
    <row r="6566" spans="26:26" x14ac:dyDescent="0.25">
      <c r="Z6566">
        <v>399999.9695083315</v>
      </c>
    </row>
    <row r="6567" spans="26:26" x14ac:dyDescent="0.25">
      <c r="Z6567">
        <v>399999.96958437056</v>
      </c>
    </row>
    <row r="6568" spans="26:26" x14ac:dyDescent="0.25">
      <c r="Z6568">
        <v>399999.96966022009</v>
      </c>
    </row>
    <row r="6569" spans="26:26" x14ac:dyDescent="0.25">
      <c r="Z6569">
        <v>399999.96973588032</v>
      </c>
    </row>
    <row r="6570" spans="26:26" x14ac:dyDescent="0.25">
      <c r="Z6570">
        <v>399999.96981135197</v>
      </c>
    </row>
    <row r="6571" spans="26:26" x14ac:dyDescent="0.25">
      <c r="Z6571">
        <v>399999.96988663537</v>
      </c>
    </row>
    <row r="6572" spans="26:26" x14ac:dyDescent="0.25">
      <c r="Z6572">
        <v>399999.96996173105</v>
      </c>
    </row>
    <row r="6573" spans="26:26" x14ac:dyDescent="0.25">
      <c r="Z6573">
        <v>399999.97003663942</v>
      </c>
    </row>
    <row r="6574" spans="26:26" x14ac:dyDescent="0.25">
      <c r="Z6574">
        <v>399999.97011136106</v>
      </c>
    </row>
    <row r="6575" spans="26:26" x14ac:dyDescent="0.25">
      <c r="Z6575">
        <v>399999.97018589632</v>
      </c>
    </row>
    <row r="6576" spans="26:26" x14ac:dyDescent="0.25">
      <c r="Z6576">
        <v>399999.97026024573</v>
      </c>
    </row>
    <row r="6577" spans="26:26" x14ac:dyDescent="0.25">
      <c r="Z6577">
        <v>399999.97033440968</v>
      </c>
    </row>
    <row r="6578" spans="26:26" x14ac:dyDescent="0.25">
      <c r="Z6578">
        <v>399999.9704083887</v>
      </c>
    </row>
    <row r="6579" spans="26:26" x14ac:dyDescent="0.25">
      <c r="Z6579">
        <v>399999.97048218321</v>
      </c>
    </row>
    <row r="6580" spans="26:26" x14ac:dyDescent="0.25">
      <c r="Z6580">
        <v>399999.97055579379</v>
      </c>
    </row>
    <row r="6581" spans="26:26" x14ac:dyDescent="0.25">
      <c r="Z6581">
        <v>399999.97062922071</v>
      </c>
    </row>
    <row r="6582" spans="26:26" x14ac:dyDescent="0.25">
      <c r="Z6582">
        <v>399999.97070246452</v>
      </c>
    </row>
    <row r="6583" spans="26:26" x14ac:dyDescent="0.25">
      <c r="Z6583">
        <v>399999.97077552573</v>
      </c>
    </row>
    <row r="6584" spans="26:26" x14ac:dyDescent="0.25">
      <c r="Z6584">
        <v>399999.97084840474</v>
      </c>
    </row>
    <row r="6585" spans="26:26" x14ac:dyDescent="0.25">
      <c r="Z6585">
        <v>399999.97092110198</v>
      </c>
    </row>
    <row r="6586" spans="26:26" x14ac:dyDescent="0.25">
      <c r="Z6586">
        <v>399999.9709936179</v>
      </c>
    </row>
    <row r="6587" spans="26:26" x14ac:dyDescent="0.25">
      <c r="Z6587">
        <v>399999.97106595302</v>
      </c>
    </row>
    <row r="6588" spans="26:26" x14ac:dyDescent="0.25">
      <c r="Z6588">
        <v>399999.97113810771</v>
      </c>
    </row>
    <row r="6589" spans="26:26" x14ac:dyDescent="0.25">
      <c r="Z6589">
        <v>399999.97121008259</v>
      </c>
    </row>
    <row r="6590" spans="26:26" x14ac:dyDescent="0.25">
      <c r="Z6590">
        <v>399999.97128187784</v>
      </c>
    </row>
    <row r="6591" spans="26:26" x14ac:dyDescent="0.25">
      <c r="Z6591">
        <v>399999.9713534941</v>
      </c>
    </row>
    <row r="6592" spans="26:26" x14ac:dyDescent="0.25">
      <c r="Z6592">
        <v>399999.97142493178</v>
      </c>
    </row>
    <row r="6593" spans="26:26" x14ac:dyDescent="0.25">
      <c r="Z6593">
        <v>399999.97149619128</v>
      </c>
    </row>
    <row r="6594" spans="26:26" x14ac:dyDescent="0.25">
      <c r="Z6594">
        <v>399999.9715672732</v>
      </c>
    </row>
    <row r="6595" spans="26:26" x14ac:dyDescent="0.25">
      <c r="Z6595">
        <v>399999.9716381777</v>
      </c>
    </row>
    <row r="6596" spans="26:26" x14ac:dyDescent="0.25">
      <c r="Z6596">
        <v>399999.97170890542</v>
      </c>
    </row>
    <row r="6597" spans="26:26" x14ac:dyDescent="0.25">
      <c r="Z6597">
        <v>399999.97177945677</v>
      </c>
    </row>
    <row r="6598" spans="26:26" x14ac:dyDescent="0.25">
      <c r="Z6598">
        <v>399999.97184983222</v>
      </c>
    </row>
    <row r="6599" spans="26:26" x14ac:dyDescent="0.25">
      <c r="Z6599">
        <v>399999.97192003217</v>
      </c>
    </row>
    <row r="6600" spans="26:26" x14ac:dyDescent="0.25">
      <c r="Z6600">
        <v>399999.97199005698</v>
      </c>
    </row>
    <row r="6601" spans="26:26" x14ac:dyDescent="0.25">
      <c r="Z6601">
        <v>399999.97205990722</v>
      </c>
    </row>
    <row r="6602" spans="26:26" x14ac:dyDescent="0.25">
      <c r="Z6602">
        <v>399999.9721295833</v>
      </c>
    </row>
    <row r="6603" spans="26:26" x14ac:dyDescent="0.25">
      <c r="Z6603">
        <v>399999.97219908552</v>
      </c>
    </row>
    <row r="6604" spans="26:26" x14ac:dyDescent="0.25">
      <c r="Z6604">
        <v>399999.97226841451</v>
      </c>
    </row>
    <row r="6605" spans="26:26" x14ac:dyDescent="0.25">
      <c r="Z6605">
        <v>399999.97233757057</v>
      </c>
    </row>
    <row r="6606" spans="26:26" x14ac:dyDescent="0.25">
      <c r="Z6606">
        <v>399999.97240655421</v>
      </c>
    </row>
    <row r="6607" spans="26:26" x14ac:dyDescent="0.25">
      <c r="Z6607">
        <v>399999.97247536579</v>
      </c>
    </row>
    <row r="6608" spans="26:26" x14ac:dyDescent="0.25">
      <c r="Z6608">
        <v>399999.97254400578</v>
      </c>
    </row>
    <row r="6609" spans="26:26" x14ac:dyDescent="0.25">
      <c r="Z6609">
        <v>399999.97261247458</v>
      </c>
    </row>
    <row r="6610" spans="26:26" x14ac:dyDescent="0.25">
      <c r="Z6610">
        <v>399999.97268077265</v>
      </c>
    </row>
    <row r="6611" spans="26:26" x14ac:dyDescent="0.25">
      <c r="Z6611">
        <v>399999.97274890036</v>
      </c>
    </row>
    <row r="6612" spans="26:26" x14ac:dyDescent="0.25">
      <c r="Z6612">
        <v>399999.97281685827</v>
      </c>
    </row>
    <row r="6613" spans="26:26" x14ac:dyDescent="0.25">
      <c r="Z6613">
        <v>399999.97288464662</v>
      </c>
    </row>
    <row r="6614" spans="26:26" x14ac:dyDescent="0.25">
      <c r="Z6614">
        <v>399999.97295226599</v>
      </c>
    </row>
    <row r="6615" spans="26:26" x14ac:dyDescent="0.25">
      <c r="Z6615">
        <v>399999.97301971668</v>
      </c>
    </row>
    <row r="6616" spans="26:26" x14ac:dyDescent="0.25">
      <c r="Z6616">
        <v>399999.97308699921</v>
      </c>
    </row>
    <row r="6617" spans="26:26" x14ac:dyDescent="0.25">
      <c r="Z6617">
        <v>399999.97315411392</v>
      </c>
    </row>
    <row r="6618" spans="26:26" x14ac:dyDescent="0.25">
      <c r="Z6618">
        <v>399999.97322106123</v>
      </c>
    </row>
    <row r="6619" spans="26:26" x14ac:dyDescent="0.25">
      <c r="Z6619">
        <v>399999.97328784165</v>
      </c>
    </row>
    <row r="6620" spans="26:26" x14ac:dyDescent="0.25">
      <c r="Z6620">
        <v>399999.97335445549</v>
      </c>
    </row>
    <row r="6621" spans="26:26" x14ac:dyDescent="0.25">
      <c r="Z6621">
        <v>399999.9734209032</v>
      </c>
    </row>
    <row r="6622" spans="26:26" x14ac:dyDescent="0.25">
      <c r="Z6622">
        <v>399999.97348718531</v>
      </c>
    </row>
    <row r="6623" spans="26:26" x14ac:dyDescent="0.25">
      <c r="Z6623">
        <v>399999.973553302</v>
      </c>
    </row>
    <row r="6624" spans="26:26" x14ac:dyDescent="0.25">
      <c r="Z6624">
        <v>399999.9736192539</v>
      </c>
    </row>
    <row r="6625" spans="26:26" x14ac:dyDescent="0.25">
      <c r="Z6625">
        <v>399999.97368504124</v>
      </c>
    </row>
    <row r="6626" spans="26:26" x14ac:dyDescent="0.25">
      <c r="Z6626">
        <v>399999.97375066462</v>
      </c>
    </row>
    <row r="6627" spans="26:26" x14ac:dyDescent="0.25">
      <c r="Z6627">
        <v>399999.97381612426</v>
      </c>
    </row>
    <row r="6628" spans="26:26" x14ac:dyDescent="0.25">
      <c r="Z6628">
        <v>399999.97388142074</v>
      </c>
    </row>
    <row r="6629" spans="26:26" x14ac:dyDescent="0.25">
      <c r="Z6629">
        <v>399999.97394655435</v>
      </c>
    </row>
    <row r="6630" spans="26:26" x14ac:dyDescent="0.25">
      <c r="Z6630">
        <v>399999.97401152551</v>
      </c>
    </row>
    <row r="6631" spans="26:26" x14ac:dyDescent="0.25">
      <c r="Z6631">
        <v>399999.97407633474</v>
      </c>
    </row>
    <row r="6632" spans="26:26" x14ac:dyDescent="0.25">
      <c r="Z6632">
        <v>399999.97414098226</v>
      </c>
    </row>
    <row r="6633" spans="26:26" x14ac:dyDescent="0.25">
      <c r="Z6633">
        <v>399999.97420546861</v>
      </c>
    </row>
    <row r="6634" spans="26:26" x14ac:dyDescent="0.25">
      <c r="Z6634">
        <v>399999.97426979413</v>
      </c>
    </row>
    <row r="6635" spans="26:26" x14ac:dyDescent="0.25">
      <c r="Z6635">
        <v>399999.97433395917</v>
      </c>
    </row>
    <row r="6636" spans="26:26" x14ac:dyDescent="0.25">
      <c r="Z6636">
        <v>399999.97439796431</v>
      </c>
    </row>
    <row r="6637" spans="26:26" x14ac:dyDescent="0.25">
      <c r="Z6637">
        <v>399999.97446180979</v>
      </c>
    </row>
    <row r="6638" spans="26:26" x14ac:dyDescent="0.25">
      <c r="Z6638">
        <v>399999.97452549601</v>
      </c>
    </row>
    <row r="6639" spans="26:26" x14ac:dyDescent="0.25">
      <c r="Z6639">
        <v>399999.97458902351</v>
      </c>
    </row>
    <row r="6640" spans="26:26" x14ac:dyDescent="0.25">
      <c r="Z6640">
        <v>399999.9746523925</v>
      </c>
    </row>
    <row r="6641" spans="26:26" x14ac:dyDescent="0.25">
      <c r="Z6641">
        <v>399999.97471560352</v>
      </c>
    </row>
    <row r="6642" spans="26:26" x14ac:dyDescent="0.25">
      <c r="Z6642">
        <v>399999.97477865685</v>
      </c>
    </row>
    <row r="6643" spans="26:26" x14ac:dyDescent="0.25">
      <c r="Z6643">
        <v>399999.97484155296</v>
      </c>
    </row>
    <row r="6644" spans="26:26" x14ac:dyDescent="0.25">
      <c r="Z6644">
        <v>399999.9749042922</v>
      </c>
    </row>
    <row r="6645" spans="26:26" x14ac:dyDescent="0.25">
      <c r="Z6645">
        <v>399999.97496687504</v>
      </c>
    </row>
    <row r="6646" spans="26:26" x14ac:dyDescent="0.25">
      <c r="Z6646">
        <v>399999.97502930177</v>
      </c>
    </row>
    <row r="6647" spans="26:26" x14ac:dyDescent="0.25">
      <c r="Z6647">
        <v>399999.97509157285</v>
      </c>
    </row>
    <row r="6648" spans="26:26" x14ac:dyDescent="0.25">
      <c r="Z6648">
        <v>399999.97515368863</v>
      </c>
    </row>
    <row r="6649" spans="26:26" x14ac:dyDescent="0.25">
      <c r="Z6649">
        <v>399999.97521564952</v>
      </c>
    </row>
    <row r="6650" spans="26:26" x14ac:dyDescent="0.25">
      <c r="Z6650">
        <v>399999.97527745587</v>
      </c>
    </row>
    <row r="6651" spans="26:26" x14ac:dyDescent="0.25">
      <c r="Z6651">
        <v>399999.97533910809</v>
      </c>
    </row>
    <row r="6652" spans="26:26" x14ac:dyDescent="0.25">
      <c r="Z6652">
        <v>399999.97540060658</v>
      </c>
    </row>
    <row r="6653" spans="26:26" x14ac:dyDescent="0.25">
      <c r="Z6653">
        <v>399999.97546195169</v>
      </c>
    </row>
    <row r="6654" spans="26:26" x14ac:dyDescent="0.25">
      <c r="Z6654">
        <v>399999.97552314383</v>
      </c>
    </row>
    <row r="6655" spans="26:26" x14ac:dyDescent="0.25">
      <c r="Z6655">
        <v>399999.97558418341</v>
      </c>
    </row>
    <row r="6656" spans="26:26" x14ac:dyDescent="0.25">
      <c r="Z6656">
        <v>399999.97564507072</v>
      </c>
    </row>
    <row r="6657" spans="26:26" x14ac:dyDescent="0.25">
      <c r="Z6657">
        <v>399999.97570580617</v>
      </c>
    </row>
    <row r="6658" spans="26:26" x14ac:dyDescent="0.25">
      <c r="Z6658">
        <v>399999.97576639021</v>
      </c>
    </row>
    <row r="6659" spans="26:26" x14ac:dyDescent="0.25">
      <c r="Z6659">
        <v>399999.97582682315</v>
      </c>
    </row>
    <row r="6660" spans="26:26" x14ac:dyDescent="0.25">
      <c r="Z6660">
        <v>399999.97588710539</v>
      </c>
    </row>
    <row r="6661" spans="26:26" x14ac:dyDescent="0.25">
      <c r="Z6661">
        <v>399999.97594723728</v>
      </c>
    </row>
    <row r="6662" spans="26:26" x14ac:dyDescent="0.25">
      <c r="Z6662">
        <v>399999.97600721923</v>
      </c>
    </row>
    <row r="6663" spans="26:26" x14ac:dyDescent="0.25">
      <c r="Z6663">
        <v>399999.97606705158</v>
      </c>
    </row>
    <row r="6664" spans="26:26" x14ac:dyDescent="0.25">
      <c r="Z6664">
        <v>399999.97612673481</v>
      </c>
    </row>
    <row r="6665" spans="26:26" x14ac:dyDescent="0.25">
      <c r="Z6665">
        <v>399999.97618626914</v>
      </c>
    </row>
    <row r="6666" spans="26:26" x14ac:dyDescent="0.25">
      <c r="Z6666">
        <v>399999.97624565498</v>
      </c>
    </row>
    <row r="6667" spans="26:26" x14ac:dyDescent="0.25">
      <c r="Z6667">
        <v>399999.97630489274</v>
      </c>
    </row>
    <row r="6668" spans="26:26" x14ac:dyDescent="0.25">
      <c r="Z6668">
        <v>399999.97636398277</v>
      </c>
    </row>
    <row r="6669" spans="26:26" x14ac:dyDescent="0.25">
      <c r="Z6669">
        <v>399999.97642292548</v>
      </c>
    </row>
    <row r="6670" spans="26:26" x14ac:dyDescent="0.25">
      <c r="Z6670">
        <v>399999.97648172115</v>
      </c>
    </row>
    <row r="6671" spans="26:26" x14ac:dyDescent="0.25">
      <c r="Z6671">
        <v>399999.97654037026</v>
      </c>
    </row>
    <row r="6672" spans="26:26" x14ac:dyDescent="0.25">
      <c r="Z6672">
        <v>399999.97659887304</v>
      </c>
    </row>
    <row r="6673" spans="26:26" x14ac:dyDescent="0.25">
      <c r="Z6673">
        <v>399999.97665723</v>
      </c>
    </row>
    <row r="6674" spans="26:26" x14ac:dyDescent="0.25">
      <c r="Z6674">
        <v>399999.97671544144</v>
      </c>
    </row>
    <row r="6675" spans="26:26" x14ac:dyDescent="0.25">
      <c r="Z6675">
        <v>399999.9767735076</v>
      </c>
    </row>
    <row r="6676" spans="26:26" x14ac:dyDescent="0.25">
      <c r="Z6676">
        <v>399999.97683142906</v>
      </c>
    </row>
    <row r="6677" spans="26:26" x14ac:dyDescent="0.25">
      <c r="Z6677">
        <v>399999.97688920604</v>
      </c>
    </row>
    <row r="6678" spans="26:26" x14ac:dyDescent="0.25">
      <c r="Z6678">
        <v>399999.9769468389</v>
      </c>
    </row>
    <row r="6679" spans="26:26" x14ac:dyDescent="0.25">
      <c r="Z6679">
        <v>399999.9770043281</v>
      </c>
    </row>
    <row r="6680" spans="26:26" x14ac:dyDescent="0.25">
      <c r="Z6680">
        <v>399999.97706167388</v>
      </c>
    </row>
    <row r="6681" spans="26:26" x14ac:dyDescent="0.25">
      <c r="Z6681">
        <v>399999.9771188767</v>
      </c>
    </row>
    <row r="6682" spans="26:26" x14ac:dyDescent="0.25">
      <c r="Z6682">
        <v>399999.97717593692</v>
      </c>
    </row>
    <row r="6683" spans="26:26" x14ac:dyDescent="0.25">
      <c r="Z6683">
        <v>399999.97723285476</v>
      </c>
    </row>
    <row r="6684" spans="26:26" x14ac:dyDescent="0.25">
      <c r="Z6684">
        <v>399999.97728963068</v>
      </c>
    </row>
    <row r="6685" spans="26:26" x14ac:dyDescent="0.25">
      <c r="Z6685">
        <v>399999.97734626505</v>
      </c>
    </row>
    <row r="6686" spans="26:26" x14ac:dyDescent="0.25">
      <c r="Z6686">
        <v>399999.97740275809</v>
      </c>
    </row>
    <row r="6687" spans="26:26" x14ac:dyDescent="0.25">
      <c r="Z6687">
        <v>399999.97745911038</v>
      </c>
    </row>
    <row r="6688" spans="26:26" x14ac:dyDescent="0.25">
      <c r="Z6688">
        <v>399999.97751532204</v>
      </c>
    </row>
    <row r="6689" spans="26:26" x14ac:dyDescent="0.25">
      <c r="Z6689">
        <v>399999.9775713936</v>
      </c>
    </row>
    <row r="6690" spans="26:26" x14ac:dyDescent="0.25">
      <c r="Z6690">
        <v>399999.97762732528</v>
      </c>
    </row>
    <row r="6691" spans="26:26" x14ac:dyDescent="0.25">
      <c r="Z6691">
        <v>399999.97768311738</v>
      </c>
    </row>
    <row r="6692" spans="26:26" x14ac:dyDescent="0.25">
      <c r="Z6692">
        <v>399999.97773877054</v>
      </c>
    </row>
    <row r="6693" spans="26:26" x14ac:dyDescent="0.25">
      <c r="Z6693">
        <v>399999.97779428482</v>
      </c>
    </row>
    <row r="6694" spans="26:26" x14ac:dyDescent="0.25">
      <c r="Z6694">
        <v>399999.97784966067</v>
      </c>
    </row>
    <row r="6695" spans="26:26" x14ac:dyDescent="0.25">
      <c r="Z6695">
        <v>399999.97790489841</v>
      </c>
    </row>
    <row r="6696" spans="26:26" x14ac:dyDescent="0.25">
      <c r="Z6696">
        <v>399999.97795999842</v>
      </c>
    </row>
    <row r="6697" spans="26:26" x14ac:dyDescent="0.25">
      <c r="Z6697">
        <v>399999.978014961</v>
      </c>
    </row>
    <row r="6698" spans="26:26" x14ac:dyDescent="0.25">
      <c r="Z6698">
        <v>399999.97806978656</v>
      </c>
    </row>
    <row r="6699" spans="26:26" x14ac:dyDescent="0.25">
      <c r="Z6699">
        <v>399999.97812447534</v>
      </c>
    </row>
    <row r="6700" spans="26:26" x14ac:dyDescent="0.25">
      <c r="Z6700">
        <v>399999.97817902779</v>
      </c>
    </row>
    <row r="6701" spans="26:26" x14ac:dyDescent="0.25">
      <c r="Z6701">
        <v>399999.97823344421</v>
      </c>
    </row>
    <row r="6702" spans="26:26" x14ac:dyDescent="0.25">
      <c r="Z6702">
        <v>399999.97828772489</v>
      </c>
    </row>
    <row r="6703" spans="26:26" x14ac:dyDescent="0.25">
      <c r="Z6703">
        <v>399999.97834187018</v>
      </c>
    </row>
    <row r="6704" spans="26:26" x14ac:dyDescent="0.25">
      <c r="Z6704">
        <v>399999.97839588049</v>
      </c>
    </row>
    <row r="6705" spans="26:26" x14ac:dyDescent="0.25">
      <c r="Z6705">
        <v>399999.9784497561</v>
      </c>
    </row>
    <row r="6706" spans="26:26" x14ac:dyDescent="0.25">
      <c r="Z6706">
        <v>399999.97850349738</v>
      </c>
    </row>
    <row r="6707" spans="26:26" x14ac:dyDescent="0.25">
      <c r="Z6707">
        <v>399999.97855710459</v>
      </c>
    </row>
    <row r="6708" spans="26:26" x14ac:dyDescent="0.25">
      <c r="Z6708">
        <v>399999.97861057817</v>
      </c>
    </row>
    <row r="6709" spans="26:26" x14ac:dyDescent="0.25">
      <c r="Z6709">
        <v>399999.97866391833</v>
      </c>
    </row>
    <row r="6710" spans="26:26" x14ac:dyDescent="0.25">
      <c r="Z6710">
        <v>399999.97871712554</v>
      </c>
    </row>
    <row r="6711" spans="26:26" x14ac:dyDescent="0.25">
      <c r="Z6711">
        <v>399999.97877020005</v>
      </c>
    </row>
    <row r="6712" spans="26:26" x14ac:dyDescent="0.25">
      <c r="Z6712">
        <v>399999.97882314218</v>
      </c>
    </row>
    <row r="6713" spans="26:26" x14ac:dyDescent="0.25">
      <c r="Z6713">
        <v>399999.97887595231</v>
      </c>
    </row>
    <row r="6714" spans="26:26" x14ac:dyDescent="0.25">
      <c r="Z6714">
        <v>399999.97892863071</v>
      </c>
    </row>
    <row r="6715" spans="26:26" x14ac:dyDescent="0.25">
      <c r="Z6715">
        <v>399999.97898117779</v>
      </c>
    </row>
    <row r="6716" spans="26:26" x14ac:dyDescent="0.25">
      <c r="Z6716">
        <v>399999.97903359379</v>
      </c>
    </row>
    <row r="6717" spans="26:26" x14ac:dyDescent="0.25">
      <c r="Z6717">
        <v>399999.97908587911</v>
      </c>
    </row>
    <row r="6718" spans="26:26" x14ac:dyDescent="0.25">
      <c r="Z6718">
        <v>399999.97913803405</v>
      </c>
    </row>
    <row r="6719" spans="26:26" x14ac:dyDescent="0.25">
      <c r="Z6719">
        <v>399999.97919005889</v>
      </c>
    </row>
    <row r="6720" spans="26:26" x14ac:dyDescent="0.25">
      <c r="Z6720">
        <v>399999.97924195399</v>
      </c>
    </row>
    <row r="6721" spans="26:26" x14ac:dyDescent="0.25">
      <c r="Z6721">
        <v>399999.97929371969</v>
      </c>
    </row>
    <row r="6722" spans="26:26" x14ac:dyDescent="0.25">
      <c r="Z6722">
        <v>399999.97934535629</v>
      </c>
    </row>
    <row r="6723" spans="26:26" x14ac:dyDescent="0.25">
      <c r="Z6723">
        <v>399999.97939686413</v>
      </c>
    </row>
    <row r="6724" spans="26:26" x14ac:dyDescent="0.25">
      <c r="Z6724">
        <v>399999.97944824351</v>
      </c>
    </row>
    <row r="6725" spans="26:26" x14ac:dyDescent="0.25">
      <c r="Z6725">
        <v>399999.97949949477</v>
      </c>
    </row>
    <row r="6726" spans="26:26" x14ac:dyDescent="0.25">
      <c r="Z6726">
        <v>399999.97955061827</v>
      </c>
    </row>
    <row r="6727" spans="26:26" x14ac:dyDescent="0.25">
      <c r="Z6727">
        <v>399999.97960161424</v>
      </c>
    </row>
    <row r="6728" spans="26:26" x14ac:dyDescent="0.25">
      <c r="Z6728">
        <v>399999.97965248296</v>
      </c>
    </row>
    <row r="6729" spans="26:26" x14ac:dyDescent="0.25">
      <c r="Z6729">
        <v>399999.9797032249</v>
      </c>
    </row>
    <row r="6730" spans="26:26" x14ac:dyDescent="0.25">
      <c r="Z6730">
        <v>399999.97975384037</v>
      </c>
    </row>
    <row r="6731" spans="26:26" x14ac:dyDescent="0.25">
      <c r="Z6731">
        <v>399999.97980432952</v>
      </c>
    </row>
    <row r="6732" spans="26:26" x14ac:dyDescent="0.25">
      <c r="Z6732">
        <v>399999.97985469282</v>
      </c>
    </row>
    <row r="6733" spans="26:26" x14ac:dyDescent="0.25">
      <c r="Z6733">
        <v>399999.97990493046</v>
      </c>
    </row>
    <row r="6734" spans="26:26" x14ac:dyDescent="0.25">
      <c r="Z6734">
        <v>399999.97995504283</v>
      </c>
    </row>
    <row r="6735" spans="26:26" x14ac:dyDescent="0.25">
      <c r="Z6735">
        <v>399999.98000503029</v>
      </c>
    </row>
    <row r="6736" spans="26:26" x14ac:dyDescent="0.25">
      <c r="Z6736">
        <v>399999.98005489307</v>
      </c>
    </row>
    <row r="6737" spans="26:26" x14ac:dyDescent="0.25">
      <c r="Z6737">
        <v>399999.98010463145</v>
      </c>
    </row>
    <row r="6738" spans="26:26" x14ac:dyDescent="0.25">
      <c r="Z6738">
        <v>399999.98015424586</v>
      </c>
    </row>
    <row r="6739" spans="26:26" x14ac:dyDescent="0.25">
      <c r="Z6739">
        <v>399999.98020373652</v>
      </c>
    </row>
    <row r="6740" spans="26:26" x14ac:dyDescent="0.25">
      <c r="Z6740">
        <v>399999.98025310371</v>
      </c>
    </row>
    <row r="6741" spans="26:26" x14ac:dyDescent="0.25">
      <c r="Z6741">
        <v>399999.98030234786</v>
      </c>
    </row>
    <row r="6742" spans="26:26" x14ac:dyDescent="0.25">
      <c r="Z6742">
        <v>399999.98035146919</v>
      </c>
    </row>
    <row r="6743" spans="26:26" x14ac:dyDescent="0.25">
      <c r="Z6743">
        <v>399999.98040046805</v>
      </c>
    </row>
    <row r="6744" spans="26:26" x14ac:dyDescent="0.25">
      <c r="Z6744">
        <v>399999.98044934467</v>
      </c>
    </row>
    <row r="6745" spans="26:26" x14ac:dyDescent="0.25">
      <c r="Z6745">
        <v>399999.98049809941</v>
      </c>
    </row>
    <row r="6746" spans="26:26" x14ac:dyDescent="0.25">
      <c r="Z6746">
        <v>399999.98054673261</v>
      </c>
    </row>
    <row r="6747" spans="26:26" x14ac:dyDescent="0.25">
      <c r="Z6747">
        <v>399999.98059524444</v>
      </c>
    </row>
    <row r="6748" spans="26:26" x14ac:dyDescent="0.25">
      <c r="Z6748">
        <v>399999.98064363538</v>
      </c>
    </row>
    <row r="6749" spans="26:26" x14ac:dyDescent="0.25">
      <c r="Z6749">
        <v>399999.98069190566</v>
      </c>
    </row>
    <row r="6750" spans="26:26" x14ac:dyDescent="0.25">
      <c r="Z6750">
        <v>399999.9807400555</v>
      </c>
    </row>
    <row r="6751" spans="26:26" x14ac:dyDescent="0.25">
      <c r="Z6751">
        <v>399999.98078808526</v>
      </c>
    </row>
    <row r="6752" spans="26:26" x14ac:dyDescent="0.25">
      <c r="Z6752">
        <v>399999.98083599529</v>
      </c>
    </row>
    <row r="6753" spans="26:26" x14ac:dyDescent="0.25">
      <c r="Z6753">
        <v>399999.98088378581</v>
      </c>
    </row>
    <row r="6754" spans="26:26" x14ac:dyDescent="0.25">
      <c r="Z6754">
        <v>399999.98093145719</v>
      </c>
    </row>
    <row r="6755" spans="26:26" x14ac:dyDescent="0.25">
      <c r="Z6755">
        <v>399999.98097900965</v>
      </c>
    </row>
    <row r="6756" spans="26:26" x14ac:dyDescent="0.25">
      <c r="Z6756">
        <v>399999.98102644354</v>
      </c>
    </row>
    <row r="6757" spans="26:26" x14ac:dyDescent="0.25">
      <c r="Z6757">
        <v>399999.98107375915</v>
      </c>
    </row>
    <row r="6758" spans="26:26" x14ac:dyDescent="0.25">
      <c r="Z6758">
        <v>399999.98112095677</v>
      </c>
    </row>
    <row r="6759" spans="26:26" x14ac:dyDescent="0.25">
      <c r="Z6759">
        <v>399999.98116803664</v>
      </c>
    </row>
    <row r="6760" spans="26:26" x14ac:dyDescent="0.25">
      <c r="Z6760">
        <v>399999.98121499916</v>
      </c>
    </row>
    <row r="6761" spans="26:26" x14ac:dyDescent="0.25">
      <c r="Z6761">
        <v>399999.98126184451</v>
      </c>
    </row>
    <row r="6762" spans="26:26" x14ac:dyDescent="0.25">
      <c r="Z6762">
        <v>399999.98130857316</v>
      </c>
    </row>
    <row r="6763" spans="26:26" x14ac:dyDescent="0.25">
      <c r="Z6763">
        <v>399999.98135518515</v>
      </c>
    </row>
    <row r="6764" spans="26:26" x14ac:dyDescent="0.25">
      <c r="Z6764">
        <v>399999.98140168097</v>
      </c>
    </row>
    <row r="6765" spans="26:26" x14ac:dyDescent="0.25">
      <c r="Z6765">
        <v>399999.98144806083</v>
      </c>
    </row>
    <row r="6766" spans="26:26" x14ac:dyDescent="0.25">
      <c r="Z6766">
        <v>399999.98149432498</v>
      </c>
    </row>
    <row r="6767" spans="26:26" x14ac:dyDescent="0.25">
      <c r="Z6767">
        <v>399999.98154047382</v>
      </c>
    </row>
    <row r="6768" spans="26:26" x14ac:dyDescent="0.25">
      <c r="Z6768">
        <v>399999.98158650752</v>
      </c>
    </row>
    <row r="6769" spans="26:26" x14ac:dyDescent="0.25">
      <c r="Z6769">
        <v>399999.9816324265</v>
      </c>
    </row>
    <row r="6770" spans="26:26" x14ac:dyDescent="0.25">
      <c r="Z6770">
        <v>399999.98167823092</v>
      </c>
    </row>
    <row r="6771" spans="26:26" x14ac:dyDescent="0.25">
      <c r="Z6771">
        <v>399999.98172392108</v>
      </c>
    </row>
    <row r="6772" spans="26:26" x14ac:dyDescent="0.25">
      <c r="Z6772">
        <v>399999.98176949733</v>
      </c>
    </row>
    <row r="6773" spans="26:26" x14ac:dyDescent="0.25">
      <c r="Z6773">
        <v>399999.9818149599</v>
      </c>
    </row>
    <row r="6774" spans="26:26" x14ac:dyDescent="0.25">
      <c r="Z6774">
        <v>399999.98186030914</v>
      </c>
    </row>
    <row r="6775" spans="26:26" x14ac:dyDescent="0.25">
      <c r="Z6775">
        <v>399999.98190554528</v>
      </c>
    </row>
    <row r="6776" spans="26:26" x14ac:dyDescent="0.25">
      <c r="Z6776">
        <v>399999.98195066862</v>
      </c>
    </row>
    <row r="6777" spans="26:26" x14ac:dyDescent="0.25">
      <c r="Z6777">
        <v>399999.98199567944</v>
      </c>
    </row>
    <row r="6778" spans="26:26" x14ac:dyDescent="0.25">
      <c r="Z6778">
        <v>399999.98204057803</v>
      </c>
    </row>
    <row r="6779" spans="26:26" x14ac:dyDescent="0.25">
      <c r="Z6779">
        <v>399999.98208536458</v>
      </c>
    </row>
    <row r="6780" spans="26:26" x14ac:dyDescent="0.25">
      <c r="Z6780">
        <v>399999.98213003948</v>
      </c>
    </row>
    <row r="6781" spans="26:26" x14ac:dyDescent="0.25">
      <c r="Z6781">
        <v>399999.98217460298</v>
      </c>
    </row>
    <row r="6782" spans="26:26" x14ac:dyDescent="0.25">
      <c r="Z6782">
        <v>399999.98221905535</v>
      </c>
    </row>
    <row r="6783" spans="26:26" x14ac:dyDescent="0.25">
      <c r="Z6783">
        <v>399999.98226339684</v>
      </c>
    </row>
    <row r="6784" spans="26:26" x14ac:dyDescent="0.25">
      <c r="Z6784">
        <v>399999.98230762774</v>
      </c>
    </row>
    <row r="6785" spans="26:26" x14ac:dyDescent="0.25">
      <c r="Z6785">
        <v>399999.98235174845</v>
      </c>
    </row>
    <row r="6786" spans="26:26" x14ac:dyDescent="0.25">
      <c r="Z6786">
        <v>399999.98239575897</v>
      </c>
    </row>
    <row r="6787" spans="26:26" x14ac:dyDescent="0.25">
      <c r="Z6787">
        <v>399999.98243965989</v>
      </c>
    </row>
    <row r="6788" spans="26:26" x14ac:dyDescent="0.25">
      <c r="Z6788">
        <v>399999.98248345125</v>
      </c>
    </row>
    <row r="6789" spans="26:26" x14ac:dyDescent="0.25">
      <c r="Z6789">
        <v>399999.98252713343</v>
      </c>
    </row>
    <row r="6790" spans="26:26" x14ac:dyDescent="0.25">
      <c r="Z6790">
        <v>399999.98257070663</v>
      </c>
    </row>
    <row r="6791" spans="26:26" x14ac:dyDescent="0.25">
      <c r="Z6791">
        <v>399999.98261417123</v>
      </c>
    </row>
    <row r="6792" spans="26:26" x14ac:dyDescent="0.25">
      <c r="Z6792">
        <v>399999.98265752738</v>
      </c>
    </row>
    <row r="6793" spans="26:26" x14ac:dyDescent="0.25">
      <c r="Z6793">
        <v>399999.98270077544</v>
      </c>
    </row>
    <row r="6794" spans="26:26" x14ac:dyDescent="0.25">
      <c r="Z6794">
        <v>399999.98274391564</v>
      </c>
    </row>
    <row r="6795" spans="26:26" x14ac:dyDescent="0.25">
      <c r="Z6795">
        <v>399999.98278694827</v>
      </c>
    </row>
    <row r="6796" spans="26:26" x14ac:dyDescent="0.25">
      <c r="Z6796">
        <v>399999.98282987362</v>
      </c>
    </row>
    <row r="6797" spans="26:26" x14ac:dyDescent="0.25">
      <c r="Z6797">
        <v>399999.98287269188</v>
      </c>
    </row>
    <row r="6798" spans="26:26" x14ac:dyDescent="0.25">
      <c r="Z6798">
        <v>399999.98291540338</v>
      </c>
    </row>
    <row r="6799" spans="26:26" x14ac:dyDescent="0.25">
      <c r="Z6799">
        <v>399999.98295800836</v>
      </c>
    </row>
    <row r="6800" spans="26:26" x14ac:dyDescent="0.25">
      <c r="Z6800">
        <v>399999.98300050705</v>
      </c>
    </row>
    <row r="6801" spans="26:26" x14ac:dyDescent="0.25">
      <c r="Z6801">
        <v>399999.98304289981</v>
      </c>
    </row>
    <row r="6802" spans="26:26" x14ac:dyDescent="0.25">
      <c r="Z6802">
        <v>399999.98308518686</v>
      </c>
    </row>
    <row r="6803" spans="26:26" x14ac:dyDescent="0.25">
      <c r="Z6803">
        <v>399999.98312736844</v>
      </c>
    </row>
    <row r="6804" spans="26:26" x14ac:dyDescent="0.25">
      <c r="Z6804">
        <v>399999.98316944484</v>
      </c>
    </row>
    <row r="6805" spans="26:26" x14ac:dyDescent="0.25">
      <c r="Z6805">
        <v>399999.98321141629</v>
      </c>
    </row>
    <row r="6806" spans="26:26" x14ac:dyDescent="0.25">
      <c r="Z6806">
        <v>399999.98325328308</v>
      </c>
    </row>
    <row r="6807" spans="26:26" x14ac:dyDescent="0.25">
      <c r="Z6807">
        <v>399999.98329504544</v>
      </c>
    </row>
    <row r="6808" spans="26:26" x14ac:dyDescent="0.25">
      <c r="Z6808">
        <v>399999.98333670368</v>
      </c>
    </row>
    <row r="6809" spans="26:26" x14ac:dyDescent="0.25">
      <c r="Z6809">
        <v>399999.98337825807</v>
      </c>
    </row>
    <row r="6810" spans="26:26" x14ac:dyDescent="0.25">
      <c r="Z6810">
        <v>399999.98341970879</v>
      </c>
    </row>
    <row r="6811" spans="26:26" x14ac:dyDescent="0.25">
      <c r="Z6811">
        <v>399999.98346105614</v>
      </c>
    </row>
    <row r="6812" spans="26:26" x14ac:dyDescent="0.25">
      <c r="Z6812">
        <v>399999.9835023004</v>
      </c>
    </row>
    <row r="6813" spans="26:26" x14ac:dyDescent="0.25">
      <c r="Z6813">
        <v>399999.98354344181</v>
      </c>
    </row>
    <row r="6814" spans="26:26" x14ac:dyDescent="0.25">
      <c r="Z6814">
        <v>399999.98358448059</v>
      </c>
    </row>
    <row r="6815" spans="26:26" x14ac:dyDescent="0.25">
      <c r="Z6815">
        <v>399999.98362541705</v>
      </c>
    </row>
    <row r="6816" spans="26:26" x14ac:dyDescent="0.25">
      <c r="Z6816">
        <v>399999.98366625141</v>
      </c>
    </row>
    <row r="6817" spans="26:26" x14ac:dyDescent="0.25">
      <c r="Z6817">
        <v>399999.98370698391</v>
      </c>
    </row>
    <row r="6818" spans="26:26" x14ac:dyDescent="0.25">
      <c r="Z6818">
        <v>399999.9837476149</v>
      </c>
    </row>
    <row r="6819" spans="26:26" x14ac:dyDescent="0.25">
      <c r="Z6819">
        <v>399999.98378814454</v>
      </c>
    </row>
    <row r="6820" spans="26:26" x14ac:dyDescent="0.25">
      <c r="Z6820">
        <v>399999.98382857308</v>
      </c>
    </row>
    <row r="6821" spans="26:26" x14ac:dyDescent="0.25">
      <c r="Z6821">
        <v>399999.98386890086</v>
      </c>
    </row>
    <row r="6822" spans="26:26" x14ac:dyDescent="0.25">
      <c r="Z6822">
        <v>399999.98390912806</v>
      </c>
    </row>
    <row r="6823" spans="26:26" x14ac:dyDescent="0.25">
      <c r="Z6823">
        <v>399999.98394925491</v>
      </c>
    </row>
    <row r="6824" spans="26:26" x14ac:dyDescent="0.25">
      <c r="Z6824">
        <v>399999.98398928175</v>
      </c>
    </row>
    <row r="6825" spans="26:26" x14ac:dyDescent="0.25">
      <c r="Z6825">
        <v>399999.98402920866</v>
      </c>
    </row>
    <row r="6826" spans="26:26" x14ac:dyDescent="0.25">
      <c r="Z6826">
        <v>399999.98406903609</v>
      </c>
    </row>
    <row r="6827" spans="26:26" x14ac:dyDescent="0.25">
      <c r="Z6827">
        <v>399999.98410876421</v>
      </c>
    </row>
    <row r="6828" spans="26:26" x14ac:dyDescent="0.25">
      <c r="Z6828">
        <v>399999.98414839321</v>
      </c>
    </row>
    <row r="6829" spans="26:26" x14ac:dyDescent="0.25">
      <c r="Z6829">
        <v>399999.98418792343</v>
      </c>
    </row>
    <row r="6830" spans="26:26" x14ac:dyDescent="0.25">
      <c r="Z6830">
        <v>399999.98422735505</v>
      </c>
    </row>
    <row r="6831" spans="26:26" x14ac:dyDescent="0.25">
      <c r="Z6831">
        <v>399999.98426668823</v>
      </c>
    </row>
    <row r="6832" spans="26:26" x14ac:dyDescent="0.25">
      <c r="Z6832">
        <v>399999.98430592346</v>
      </c>
    </row>
    <row r="6833" spans="26:26" x14ac:dyDescent="0.25">
      <c r="Z6833">
        <v>399999.98434506083</v>
      </c>
    </row>
    <row r="6834" spans="26:26" x14ac:dyDescent="0.25">
      <c r="Z6834">
        <v>399999.98438410053</v>
      </c>
    </row>
    <row r="6835" spans="26:26" x14ac:dyDescent="0.25">
      <c r="Z6835">
        <v>399999.98442304297</v>
      </c>
    </row>
    <row r="6836" spans="26:26" x14ac:dyDescent="0.25">
      <c r="Z6836">
        <v>399999.98446188826</v>
      </c>
    </row>
    <row r="6837" spans="26:26" x14ac:dyDescent="0.25">
      <c r="Z6837">
        <v>399999.98450063664</v>
      </c>
    </row>
    <row r="6838" spans="26:26" x14ac:dyDescent="0.25">
      <c r="Z6838">
        <v>399999.98453928845</v>
      </c>
    </row>
    <row r="6839" spans="26:26" x14ac:dyDescent="0.25">
      <c r="Z6839">
        <v>399999.9845778438</v>
      </c>
    </row>
    <row r="6840" spans="26:26" x14ac:dyDescent="0.25">
      <c r="Z6840">
        <v>399999.98461630306</v>
      </c>
    </row>
    <row r="6841" spans="26:26" x14ac:dyDescent="0.25">
      <c r="Z6841">
        <v>399999.98465466639</v>
      </c>
    </row>
    <row r="6842" spans="26:26" x14ac:dyDescent="0.25">
      <c r="Z6842">
        <v>399999.98469293409</v>
      </c>
    </row>
    <row r="6843" spans="26:26" x14ac:dyDescent="0.25">
      <c r="Z6843">
        <v>399999.98473110632</v>
      </c>
    </row>
    <row r="6844" spans="26:26" x14ac:dyDescent="0.25">
      <c r="Z6844">
        <v>399999.98476918333</v>
      </c>
    </row>
    <row r="6845" spans="26:26" x14ac:dyDescent="0.25">
      <c r="Z6845">
        <v>399999.98480716546</v>
      </c>
    </row>
    <row r="6846" spans="26:26" x14ac:dyDescent="0.25">
      <c r="Z6846">
        <v>399999.98484505282</v>
      </c>
    </row>
    <row r="6847" spans="26:26" x14ac:dyDescent="0.25">
      <c r="Z6847">
        <v>399999.98488284572</v>
      </c>
    </row>
    <row r="6848" spans="26:26" x14ac:dyDescent="0.25">
      <c r="Z6848">
        <v>399999.98492054432</v>
      </c>
    </row>
    <row r="6849" spans="26:26" x14ac:dyDescent="0.25">
      <c r="Z6849">
        <v>399999.98495814891</v>
      </c>
    </row>
    <row r="6850" spans="26:26" x14ac:dyDescent="0.25">
      <c r="Z6850">
        <v>399999.98499565979</v>
      </c>
    </row>
    <row r="6851" spans="26:26" x14ac:dyDescent="0.25">
      <c r="Z6851">
        <v>399999.98503307713</v>
      </c>
    </row>
    <row r="6852" spans="26:26" x14ac:dyDescent="0.25">
      <c r="Z6852">
        <v>399999.9850704011</v>
      </c>
    </row>
    <row r="6853" spans="26:26" x14ac:dyDescent="0.25">
      <c r="Z6853">
        <v>399999.985107632</v>
      </c>
    </row>
    <row r="6854" spans="26:26" x14ac:dyDescent="0.25">
      <c r="Z6854">
        <v>399999.98514477012</v>
      </c>
    </row>
    <row r="6855" spans="26:26" x14ac:dyDescent="0.25">
      <c r="Z6855">
        <v>399999.98518181557</v>
      </c>
    </row>
    <row r="6856" spans="26:26" x14ac:dyDescent="0.25">
      <c r="Z6856">
        <v>399999.98521876865</v>
      </c>
    </row>
    <row r="6857" spans="26:26" x14ac:dyDescent="0.25">
      <c r="Z6857">
        <v>399999.98525562952</v>
      </c>
    </row>
    <row r="6858" spans="26:26" x14ac:dyDescent="0.25">
      <c r="Z6858">
        <v>399999.9852923986</v>
      </c>
    </row>
    <row r="6859" spans="26:26" x14ac:dyDescent="0.25">
      <c r="Z6859">
        <v>399999.98532907589</v>
      </c>
    </row>
    <row r="6860" spans="26:26" x14ac:dyDescent="0.25">
      <c r="Z6860">
        <v>399999.98536566173</v>
      </c>
    </row>
    <row r="6861" spans="26:26" x14ac:dyDescent="0.25">
      <c r="Z6861">
        <v>399999.98540215631</v>
      </c>
    </row>
    <row r="6862" spans="26:26" x14ac:dyDescent="0.25">
      <c r="Z6862">
        <v>399999.98543855996</v>
      </c>
    </row>
    <row r="6863" spans="26:26" x14ac:dyDescent="0.25">
      <c r="Z6863">
        <v>399999.98547487275</v>
      </c>
    </row>
    <row r="6864" spans="26:26" x14ac:dyDescent="0.25">
      <c r="Z6864">
        <v>399999.98551109503</v>
      </c>
    </row>
    <row r="6865" spans="26:26" x14ac:dyDescent="0.25">
      <c r="Z6865">
        <v>399999.98554722697</v>
      </c>
    </row>
    <row r="6866" spans="26:26" x14ac:dyDescent="0.25">
      <c r="Z6866">
        <v>399999.9855832688</v>
      </c>
    </row>
    <row r="6867" spans="26:26" x14ac:dyDescent="0.25">
      <c r="Z6867">
        <v>399999.98561922071</v>
      </c>
    </row>
    <row r="6868" spans="26:26" x14ac:dyDescent="0.25">
      <c r="Z6868">
        <v>399999.98565508297</v>
      </c>
    </row>
    <row r="6869" spans="26:26" x14ac:dyDescent="0.25">
      <c r="Z6869">
        <v>399999.98569085589</v>
      </c>
    </row>
    <row r="6870" spans="26:26" x14ac:dyDescent="0.25">
      <c r="Z6870">
        <v>399999.98572653951</v>
      </c>
    </row>
    <row r="6871" spans="26:26" x14ac:dyDescent="0.25">
      <c r="Z6871">
        <v>399999.98576213419</v>
      </c>
    </row>
    <row r="6872" spans="26:26" x14ac:dyDescent="0.25">
      <c r="Z6872">
        <v>399999.98579764011</v>
      </c>
    </row>
    <row r="6873" spans="26:26" x14ac:dyDescent="0.25">
      <c r="Z6873">
        <v>399999.98583305744</v>
      </c>
    </row>
    <row r="6874" spans="26:26" x14ac:dyDescent="0.25">
      <c r="Z6874">
        <v>399999.98586838646</v>
      </c>
    </row>
    <row r="6875" spans="26:26" x14ac:dyDescent="0.25">
      <c r="Z6875">
        <v>399999.98590362741</v>
      </c>
    </row>
    <row r="6876" spans="26:26" x14ac:dyDescent="0.25">
      <c r="Z6876">
        <v>399999.98593878048</v>
      </c>
    </row>
    <row r="6877" spans="26:26" x14ac:dyDescent="0.25">
      <c r="Z6877">
        <v>399999.98597384582</v>
      </c>
    </row>
    <row r="6878" spans="26:26" x14ac:dyDescent="0.25">
      <c r="Z6878">
        <v>399999.98600882379</v>
      </c>
    </row>
    <row r="6879" spans="26:26" x14ac:dyDescent="0.25">
      <c r="Z6879">
        <v>399999.98604371445</v>
      </c>
    </row>
    <row r="6880" spans="26:26" x14ac:dyDescent="0.25">
      <c r="Z6880">
        <v>399999.98607851821</v>
      </c>
    </row>
    <row r="6881" spans="26:26" x14ac:dyDescent="0.25">
      <c r="Z6881">
        <v>399999.98611323518</v>
      </c>
    </row>
    <row r="6882" spans="26:26" x14ac:dyDescent="0.25">
      <c r="Z6882">
        <v>399999.98614786542</v>
      </c>
    </row>
    <row r="6883" spans="26:26" x14ac:dyDescent="0.25">
      <c r="Z6883">
        <v>399999.98618240946</v>
      </c>
    </row>
    <row r="6884" spans="26:26" x14ac:dyDescent="0.25">
      <c r="Z6884">
        <v>399999.98621686728</v>
      </c>
    </row>
    <row r="6885" spans="26:26" x14ac:dyDescent="0.25">
      <c r="Z6885">
        <v>399999.98625123914</v>
      </c>
    </row>
    <row r="6886" spans="26:26" x14ac:dyDescent="0.25">
      <c r="Z6886">
        <v>399999.98628552537</v>
      </c>
    </row>
    <row r="6887" spans="26:26" x14ac:dyDescent="0.25">
      <c r="Z6887">
        <v>399999.98631972604</v>
      </c>
    </row>
    <row r="6888" spans="26:26" x14ac:dyDescent="0.25">
      <c r="Z6888">
        <v>399999.98635384144</v>
      </c>
    </row>
    <row r="6889" spans="26:26" x14ac:dyDescent="0.25">
      <c r="Z6889">
        <v>399999.98638787179</v>
      </c>
    </row>
    <row r="6890" spans="26:26" x14ac:dyDescent="0.25">
      <c r="Z6890">
        <v>399999.98642181722</v>
      </c>
    </row>
    <row r="6891" spans="26:26" x14ac:dyDescent="0.25">
      <c r="Z6891">
        <v>399999.98645567801</v>
      </c>
    </row>
    <row r="6892" spans="26:26" x14ac:dyDescent="0.25">
      <c r="Z6892">
        <v>399999.9864894544</v>
      </c>
    </row>
    <row r="6893" spans="26:26" x14ac:dyDescent="0.25">
      <c r="Z6893">
        <v>399999.98652314651</v>
      </c>
    </row>
    <row r="6894" spans="26:26" x14ac:dyDescent="0.25">
      <c r="Z6894">
        <v>399999.98655675462</v>
      </c>
    </row>
    <row r="6895" spans="26:26" x14ac:dyDescent="0.25">
      <c r="Z6895">
        <v>399999.98659027892</v>
      </c>
    </row>
    <row r="6896" spans="26:26" x14ac:dyDescent="0.25">
      <c r="Z6896">
        <v>399999.98662371963</v>
      </c>
    </row>
    <row r="6897" spans="26:26" x14ac:dyDescent="0.25">
      <c r="Z6897">
        <v>399999.98665707698</v>
      </c>
    </row>
    <row r="6898" spans="26:26" x14ac:dyDescent="0.25">
      <c r="Z6898">
        <v>399999.9866903511</v>
      </c>
    </row>
    <row r="6899" spans="26:26" x14ac:dyDescent="0.25">
      <c r="Z6899">
        <v>399999.98672354216</v>
      </c>
    </row>
    <row r="6900" spans="26:26" x14ac:dyDescent="0.25">
      <c r="Z6900">
        <v>399999.98675665061</v>
      </c>
    </row>
    <row r="6901" spans="26:26" x14ac:dyDescent="0.25">
      <c r="Z6901">
        <v>399999.98678967642</v>
      </c>
    </row>
    <row r="6902" spans="26:26" x14ac:dyDescent="0.25">
      <c r="Z6902">
        <v>399999.98682261986</v>
      </c>
    </row>
    <row r="6903" spans="26:26" x14ac:dyDescent="0.25">
      <c r="Z6903">
        <v>399999.98685548117</v>
      </c>
    </row>
    <row r="6904" spans="26:26" x14ac:dyDescent="0.25">
      <c r="Z6904">
        <v>399999.98688826046</v>
      </c>
    </row>
    <row r="6905" spans="26:26" x14ac:dyDescent="0.25">
      <c r="Z6905">
        <v>399999.98692095809</v>
      </c>
    </row>
    <row r="6906" spans="26:26" x14ac:dyDescent="0.25">
      <c r="Z6906">
        <v>399999.98695357417</v>
      </c>
    </row>
    <row r="6907" spans="26:26" x14ac:dyDescent="0.25">
      <c r="Z6907">
        <v>399999.98698610888</v>
      </c>
    </row>
    <row r="6908" spans="26:26" x14ac:dyDescent="0.25">
      <c r="Z6908">
        <v>399999.98701856245</v>
      </c>
    </row>
    <row r="6909" spans="26:26" x14ac:dyDescent="0.25">
      <c r="Z6909">
        <v>399999.98705093516</v>
      </c>
    </row>
    <row r="6910" spans="26:26" x14ac:dyDescent="0.25">
      <c r="Z6910">
        <v>399999.98708322702</v>
      </c>
    </row>
    <row r="6911" spans="26:26" x14ac:dyDescent="0.25">
      <c r="Z6911">
        <v>399999.9871154385</v>
      </c>
    </row>
    <row r="6912" spans="26:26" x14ac:dyDescent="0.25">
      <c r="Z6912">
        <v>399999.98714756954</v>
      </c>
    </row>
    <row r="6913" spans="26:26" x14ac:dyDescent="0.25">
      <c r="Z6913">
        <v>399999.98717962048</v>
      </c>
    </row>
    <row r="6914" spans="26:26" x14ac:dyDescent="0.25">
      <c r="Z6914">
        <v>399999.98721159151</v>
      </c>
    </row>
    <row r="6915" spans="26:26" x14ac:dyDescent="0.25">
      <c r="Z6915">
        <v>399999.98724348284</v>
      </c>
    </row>
    <row r="6916" spans="26:26" x14ac:dyDescent="0.25">
      <c r="Z6916">
        <v>399999.98727529461</v>
      </c>
    </row>
    <row r="6917" spans="26:26" x14ac:dyDescent="0.25">
      <c r="Z6917">
        <v>399999.98730702698</v>
      </c>
    </row>
    <row r="6918" spans="26:26" x14ac:dyDescent="0.25">
      <c r="Z6918">
        <v>399999.98733868031</v>
      </c>
    </row>
    <row r="6919" spans="26:26" x14ac:dyDescent="0.25">
      <c r="Z6919">
        <v>399999.98737025465</v>
      </c>
    </row>
    <row r="6920" spans="26:26" x14ac:dyDescent="0.25">
      <c r="Z6920">
        <v>399999.98740175035</v>
      </c>
    </row>
    <row r="6921" spans="26:26" x14ac:dyDescent="0.25">
      <c r="Z6921">
        <v>399999.98743316741</v>
      </c>
    </row>
    <row r="6922" spans="26:26" x14ac:dyDescent="0.25">
      <c r="Z6922">
        <v>399999.98746450612</v>
      </c>
    </row>
    <row r="6923" spans="26:26" x14ac:dyDescent="0.25">
      <c r="Z6923">
        <v>399999.98749576672</v>
      </c>
    </row>
    <row r="6924" spans="26:26" x14ac:dyDescent="0.25">
      <c r="Z6924">
        <v>399999.98752694932</v>
      </c>
    </row>
    <row r="6925" spans="26:26" x14ac:dyDescent="0.25">
      <c r="Z6925">
        <v>399999.98755805421</v>
      </c>
    </row>
    <row r="6926" spans="26:26" x14ac:dyDescent="0.25">
      <c r="Z6926">
        <v>399999.98758908152</v>
      </c>
    </row>
    <row r="6927" spans="26:26" x14ac:dyDescent="0.25">
      <c r="Z6927">
        <v>399999.98762003134</v>
      </c>
    </row>
    <row r="6928" spans="26:26" x14ac:dyDescent="0.25">
      <c r="Z6928">
        <v>399999.98765090416</v>
      </c>
    </row>
    <row r="6929" spans="26:26" x14ac:dyDescent="0.25">
      <c r="Z6929">
        <v>399999.98768169986</v>
      </c>
    </row>
    <row r="6930" spans="26:26" x14ac:dyDescent="0.25">
      <c r="Z6930">
        <v>399999.98771241884</v>
      </c>
    </row>
    <row r="6931" spans="26:26" x14ac:dyDescent="0.25">
      <c r="Z6931">
        <v>399999.98774306115</v>
      </c>
    </row>
    <row r="6932" spans="26:26" x14ac:dyDescent="0.25">
      <c r="Z6932">
        <v>399999.98777362716</v>
      </c>
    </row>
    <row r="6933" spans="26:26" x14ac:dyDescent="0.25">
      <c r="Z6933">
        <v>399999.98780411686</v>
      </c>
    </row>
    <row r="6934" spans="26:26" x14ac:dyDescent="0.25">
      <c r="Z6934">
        <v>399999.98783453053</v>
      </c>
    </row>
    <row r="6935" spans="26:26" x14ac:dyDescent="0.25">
      <c r="Z6935">
        <v>399999.98786486837</v>
      </c>
    </row>
    <row r="6936" spans="26:26" x14ac:dyDescent="0.25">
      <c r="Z6936">
        <v>399999.98789513053</v>
      </c>
    </row>
    <row r="6937" spans="26:26" x14ac:dyDescent="0.25">
      <c r="Z6937">
        <v>399999.98792531725</v>
      </c>
    </row>
    <row r="6938" spans="26:26" x14ac:dyDescent="0.25">
      <c r="Z6938">
        <v>399999.98795542866</v>
      </c>
    </row>
    <row r="6939" spans="26:26" x14ac:dyDescent="0.25">
      <c r="Z6939">
        <v>399999.98798546498</v>
      </c>
    </row>
    <row r="6940" spans="26:26" x14ac:dyDescent="0.25">
      <c r="Z6940">
        <v>399999.98801542644</v>
      </c>
    </row>
    <row r="6941" spans="26:26" x14ac:dyDescent="0.25">
      <c r="Z6941">
        <v>399999.98804531316</v>
      </c>
    </row>
    <row r="6942" spans="26:26" x14ac:dyDescent="0.25">
      <c r="Z6942">
        <v>399999.98807512526</v>
      </c>
    </row>
    <row r="6943" spans="26:26" x14ac:dyDescent="0.25">
      <c r="Z6943">
        <v>399999.98810486315</v>
      </c>
    </row>
    <row r="6944" spans="26:26" x14ac:dyDescent="0.25">
      <c r="Z6944">
        <v>399999.98813452682</v>
      </c>
    </row>
    <row r="6945" spans="26:26" x14ac:dyDescent="0.25">
      <c r="Z6945">
        <v>399999.98816411657</v>
      </c>
    </row>
    <row r="6946" spans="26:26" x14ac:dyDescent="0.25">
      <c r="Z6946">
        <v>399999.98819363245</v>
      </c>
    </row>
    <row r="6947" spans="26:26" x14ac:dyDescent="0.25">
      <c r="Z6947">
        <v>399999.98822307476</v>
      </c>
    </row>
    <row r="6948" spans="26:26" x14ac:dyDescent="0.25">
      <c r="Z6948">
        <v>399999.98825244367</v>
      </c>
    </row>
    <row r="6949" spans="26:26" x14ac:dyDescent="0.25">
      <c r="Z6949">
        <v>399999.98828173935</v>
      </c>
    </row>
    <row r="6950" spans="26:26" x14ac:dyDescent="0.25">
      <c r="Z6950">
        <v>399999.98831096193</v>
      </c>
    </row>
    <row r="6951" spans="26:26" x14ac:dyDescent="0.25">
      <c r="Z6951">
        <v>399999.98834011168</v>
      </c>
    </row>
    <row r="6952" spans="26:26" x14ac:dyDescent="0.25">
      <c r="Z6952">
        <v>399999.98836918868</v>
      </c>
    </row>
    <row r="6953" spans="26:26" x14ac:dyDescent="0.25">
      <c r="Z6953">
        <v>399999.98839819315</v>
      </c>
    </row>
    <row r="6954" spans="26:26" x14ac:dyDescent="0.25">
      <c r="Z6954">
        <v>399999.98842712538</v>
      </c>
    </row>
    <row r="6955" spans="26:26" x14ac:dyDescent="0.25">
      <c r="Z6955">
        <v>399999.98845598544</v>
      </c>
    </row>
    <row r="6956" spans="26:26" x14ac:dyDescent="0.25">
      <c r="Z6956">
        <v>399999.98848477349</v>
      </c>
    </row>
    <row r="6957" spans="26:26" x14ac:dyDescent="0.25">
      <c r="Z6957">
        <v>399999.98851348978</v>
      </c>
    </row>
    <row r="6958" spans="26:26" x14ac:dyDescent="0.25">
      <c r="Z6958">
        <v>399999.98854213441</v>
      </c>
    </row>
    <row r="6959" spans="26:26" x14ac:dyDescent="0.25">
      <c r="Z6959">
        <v>399999.98857070762</v>
      </c>
    </row>
    <row r="6960" spans="26:26" x14ac:dyDescent="0.25">
      <c r="Z6960">
        <v>399999.98859920964</v>
      </c>
    </row>
    <row r="6961" spans="26:26" x14ac:dyDescent="0.25">
      <c r="Z6961">
        <v>399999.98862764053</v>
      </c>
    </row>
    <row r="6962" spans="26:26" x14ac:dyDescent="0.25">
      <c r="Z6962">
        <v>399999.98865600053</v>
      </c>
    </row>
    <row r="6963" spans="26:26" x14ac:dyDescent="0.25">
      <c r="Z6963">
        <v>399999.9886842898</v>
      </c>
    </row>
    <row r="6964" spans="26:26" x14ac:dyDescent="0.25">
      <c r="Z6964">
        <v>399999.98871250852</v>
      </c>
    </row>
    <row r="6965" spans="26:26" x14ac:dyDescent="0.25">
      <c r="Z6965">
        <v>399999.98874065687</v>
      </c>
    </row>
    <row r="6966" spans="26:26" x14ac:dyDescent="0.25">
      <c r="Z6966">
        <v>399999.98876873503</v>
      </c>
    </row>
    <row r="6967" spans="26:26" x14ac:dyDescent="0.25">
      <c r="Z6967">
        <v>399999.98879674316</v>
      </c>
    </row>
    <row r="6968" spans="26:26" x14ac:dyDescent="0.25">
      <c r="Z6968">
        <v>399999.9888246815</v>
      </c>
    </row>
    <row r="6969" spans="26:26" x14ac:dyDescent="0.25">
      <c r="Z6969">
        <v>399999.9888525501</v>
      </c>
    </row>
    <row r="6970" spans="26:26" x14ac:dyDescent="0.25">
      <c r="Z6970">
        <v>399999.98888034926</v>
      </c>
    </row>
    <row r="6971" spans="26:26" x14ac:dyDescent="0.25">
      <c r="Z6971">
        <v>399999.98890807905</v>
      </c>
    </row>
    <row r="6972" spans="26:26" x14ac:dyDescent="0.25">
      <c r="Z6972">
        <v>399999.98893573968</v>
      </c>
    </row>
    <row r="6973" spans="26:26" x14ac:dyDescent="0.25">
      <c r="Z6973">
        <v>399999.98896333133</v>
      </c>
    </row>
    <row r="6974" spans="26:26" x14ac:dyDescent="0.25">
      <c r="Z6974">
        <v>399999.98899085418</v>
      </c>
    </row>
    <row r="6975" spans="26:26" x14ac:dyDescent="0.25">
      <c r="Z6975">
        <v>399999.98901830846</v>
      </c>
    </row>
    <row r="6976" spans="26:26" x14ac:dyDescent="0.25">
      <c r="Z6976">
        <v>399999.98904569424</v>
      </c>
    </row>
    <row r="6977" spans="26:26" x14ac:dyDescent="0.25">
      <c r="Z6977">
        <v>399999.98907301167</v>
      </c>
    </row>
    <row r="6978" spans="26:26" x14ac:dyDescent="0.25">
      <c r="Z6978">
        <v>399999.98910026107</v>
      </c>
    </row>
    <row r="6979" spans="26:26" x14ac:dyDescent="0.25">
      <c r="Z6979">
        <v>399999.98912744242</v>
      </c>
    </row>
    <row r="6980" spans="26:26" x14ac:dyDescent="0.25">
      <c r="Z6980">
        <v>399999.98915455601</v>
      </c>
    </row>
    <row r="6981" spans="26:26" x14ac:dyDescent="0.25">
      <c r="Z6981">
        <v>399999.98918160202</v>
      </c>
    </row>
    <row r="6982" spans="26:26" x14ac:dyDescent="0.25">
      <c r="Z6982">
        <v>399999.98920858058</v>
      </c>
    </row>
    <row r="6983" spans="26:26" x14ac:dyDescent="0.25">
      <c r="Z6983">
        <v>399999.98923549184</v>
      </c>
    </row>
    <row r="6984" spans="26:26" x14ac:dyDescent="0.25">
      <c r="Z6984">
        <v>399999.98926233599</v>
      </c>
    </row>
    <row r="6985" spans="26:26" x14ac:dyDescent="0.25">
      <c r="Z6985">
        <v>399999.9892891132</v>
      </c>
    </row>
    <row r="6986" spans="26:26" x14ac:dyDescent="0.25">
      <c r="Z6986">
        <v>399999.98931582371</v>
      </c>
    </row>
    <row r="6987" spans="26:26" x14ac:dyDescent="0.25">
      <c r="Z6987">
        <v>399999.98934246751</v>
      </c>
    </row>
    <row r="6988" spans="26:26" x14ac:dyDescent="0.25">
      <c r="Z6988">
        <v>399999.9893690449</v>
      </c>
    </row>
    <row r="6989" spans="26:26" x14ac:dyDescent="0.25">
      <c r="Z6989">
        <v>399999.98939555604</v>
      </c>
    </row>
    <row r="6990" spans="26:26" x14ac:dyDescent="0.25">
      <c r="Z6990">
        <v>399999.989422001</v>
      </c>
    </row>
    <row r="6991" spans="26:26" x14ac:dyDescent="0.25">
      <c r="Z6991">
        <v>399999.98944838007</v>
      </c>
    </row>
    <row r="6992" spans="26:26" x14ac:dyDescent="0.25">
      <c r="Z6992">
        <v>399999.98947469331</v>
      </c>
    </row>
    <row r="6993" spans="26:26" x14ac:dyDescent="0.25">
      <c r="Z6993">
        <v>399999.98950094095</v>
      </c>
    </row>
    <row r="6994" spans="26:26" x14ac:dyDescent="0.25">
      <c r="Z6994">
        <v>399999.98952712317</v>
      </c>
    </row>
    <row r="6995" spans="26:26" x14ac:dyDescent="0.25">
      <c r="Z6995">
        <v>399999.98955324001</v>
      </c>
    </row>
    <row r="6996" spans="26:26" x14ac:dyDescent="0.25">
      <c r="Z6996">
        <v>399999.98957929184</v>
      </c>
    </row>
    <row r="6997" spans="26:26" x14ac:dyDescent="0.25">
      <c r="Z6997">
        <v>399999.98960527865</v>
      </c>
    </row>
    <row r="6998" spans="26:26" x14ac:dyDescent="0.25">
      <c r="Z6998">
        <v>399999.98963120062</v>
      </c>
    </row>
    <row r="6999" spans="26:26" x14ac:dyDescent="0.25">
      <c r="Z6999">
        <v>399999.98965705797</v>
      </c>
    </row>
    <row r="7000" spans="26:26" x14ac:dyDescent="0.25">
      <c r="Z7000">
        <v>399999.98968285084</v>
      </c>
    </row>
    <row r="7001" spans="26:26" x14ac:dyDescent="0.25">
      <c r="Z7001">
        <v>399999.98970857938</v>
      </c>
    </row>
    <row r="7002" spans="26:26" x14ac:dyDescent="0.25">
      <c r="Z7002">
        <v>399999.98973424378</v>
      </c>
    </row>
    <row r="7003" spans="26:26" x14ac:dyDescent="0.25">
      <c r="Z7003">
        <v>399999.9897598442</v>
      </c>
    </row>
    <row r="7004" spans="26:26" x14ac:dyDescent="0.25">
      <c r="Z7004">
        <v>399999.98978538072</v>
      </c>
    </row>
    <row r="7005" spans="26:26" x14ac:dyDescent="0.25">
      <c r="Z7005">
        <v>399999.98981085361</v>
      </c>
    </row>
    <row r="7006" spans="26:26" x14ac:dyDescent="0.25">
      <c r="Z7006">
        <v>399999.98983626295</v>
      </c>
    </row>
    <row r="7007" spans="26:26" x14ac:dyDescent="0.25">
      <c r="Z7007">
        <v>399999.98986160895</v>
      </c>
    </row>
    <row r="7008" spans="26:26" x14ac:dyDescent="0.25">
      <c r="Z7008">
        <v>399999.98988689168</v>
      </c>
    </row>
    <row r="7009" spans="26:26" x14ac:dyDescent="0.25">
      <c r="Z7009">
        <v>399999.98991211143</v>
      </c>
    </row>
    <row r="7010" spans="26:26" x14ac:dyDescent="0.25">
      <c r="Z7010">
        <v>399999.9899372682</v>
      </c>
    </row>
    <row r="7011" spans="26:26" x14ac:dyDescent="0.25">
      <c r="Z7011">
        <v>399999.98996236234</v>
      </c>
    </row>
    <row r="7012" spans="26:26" x14ac:dyDescent="0.25">
      <c r="Z7012">
        <v>399999.9899873939</v>
      </c>
    </row>
    <row r="7013" spans="26:26" x14ac:dyDescent="0.25">
      <c r="Z7013">
        <v>399999.99001236295</v>
      </c>
    </row>
    <row r="7014" spans="26:26" x14ac:dyDescent="0.25">
      <c r="Z7014">
        <v>399999.99003726977</v>
      </c>
    </row>
    <row r="7015" spans="26:26" x14ac:dyDescent="0.25">
      <c r="Z7015">
        <v>399999.99006211449</v>
      </c>
    </row>
    <row r="7016" spans="26:26" x14ac:dyDescent="0.25">
      <c r="Z7016">
        <v>399999.99008689722</v>
      </c>
    </row>
    <row r="7017" spans="26:26" x14ac:dyDescent="0.25">
      <c r="Z7017">
        <v>399999.99011161819</v>
      </c>
    </row>
    <row r="7018" spans="26:26" x14ac:dyDescent="0.25">
      <c r="Z7018">
        <v>399999.99013627745</v>
      </c>
    </row>
    <row r="7019" spans="26:26" x14ac:dyDescent="0.25">
      <c r="Z7019">
        <v>399999.99016087531</v>
      </c>
    </row>
    <row r="7020" spans="26:26" x14ac:dyDescent="0.25">
      <c r="Z7020">
        <v>399999.99018541176</v>
      </c>
    </row>
    <row r="7021" spans="26:26" x14ac:dyDescent="0.25">
      <c r="Z7021">
        <v>399999.99020988704</v>
      </c>
    </row>
    <row r="7022" spans="26:26" x14ac:dyDescent="0.25">
      <c r="Z7022">
        <v>399999.99023430131</v>
      </c>
    </row>
    <row r="7023" spans="26:26" x14ac:dyDescent="0.25">
      <c r="Z7023">
        <v>399999.9902586547</v>
      </c>
    </row>
    <row r="7024" spans="26:26" x14ac:dyDescent="0.25">
      <c r="Z7024">
        <v>399999.99028294731</v>
      </c>
    </row>
    <row r="7025" spans="26:26" x14ac:dyDescent="0.25">
      <c r="Z7025">
        <v>399999.99030717934</v>
      </c>
    </row>
    <row r="7026" spans="26:26" x14ac:dyDescent="0.25">
      <c r="Z7026">
        <v>399999.990331351</v>
      </c>
    </row>
    <row r="7027" spans="26:26" x14ac:dyDescent="0.25">
      <c r="Z7027">
        <v>399999.99035546236</v>
      </c>
    </row>
    <row r="7028" spans="26:26" x14ac:dyDescent="0.25">
      <c r="Z7028">
        <v>399999.99037951353</v>
      </c>
    </row>
    <row r="7029" spans="26:26" x14ac:dyDescent="0.25">
      <c r="Z7029">
        <v>399999.99040350481</v>
      </c>
    </row>
    <row r="7030" spans="26:26" x14ac:dyDescent="0.25">
      <c r="Z7030">
        <v>399999.99042743619</v>
      </c>
    </row>
    <row r="7031" spans="26:26" x14ac:dyDescent="0.25">
      <c r="Z7031">
        <v>399999.99045130791</v>
      </c>
    </row>
    <row r="7032" spans="26:26" x14ac:dyDescent="0.25">
      <c r="Z7032">
        <v>399999.99047512014</v>
      </c>
    </row>
    <row r="7033" spans="26:26" x14ac:dyDescent="0.25">
      <c r="Z7033">
        <v>399999.99049887294</v>
      </c>
    </row>
    <row r="7034" spans="26:26" x14ac:dyDescent="0.25">
      <c r="Z7034">
        <v>399999.99052256654</v>
      </c>
    </row>
    <row r="7035" spans="26:26" x14ac:dyDescent="0.25">
      <c r="Z7035">
        <v>399999.99054620101</v>
      </c>
    </row>
    <row r="7036" spans="26:26" x14ac:dyDescent="0.25">
      <c r="Z7036">
        <v>399999.99056977656</v>
      </c>
    </row>
    <row r="7037" spans="26:26" x14ac:dyDescent="0.25">
      <c r="Z7037">
        <v>399999.99059329333</v>
      </c>
    </row>
    <row r="7038" spans="26:26" x14ac:dyDescent="0.25">
      <c r="Z7038">
        <v>399999.99061675149</v>
      </c>
    </row>
    <row r="7039" spans="26:26" x14ac:dyDescent="0.25">
      <c r="Z7039">
        <v>399999.99064015108</v>
      </c>
    </row>
    <row r="7040" spans="26:26" x14ac:dyDescent="0.25">
      <c r="Z7040">
        <v>399999.9906634923</v>
      </c>
    </row>
    <row r="7041" spans="26:26" x14ac:dyDescent="0.25">
      <c r="Z7041">
        <v>399999.99068677536</v>
      </c>
    </row>
    <row r="7042" spans="26:26" x14ac:dyDescent="0.25">
      <c r="Z7042">
        <v>399999.99071000045</v>
      </c>
    </row>
    <row r="7043" spans="26:26" x14ac:dyDescent="0.25">
      <c r="Z7043">
        <v>399999.99073316751</v>
      </c>
    </row>
    <row r="7044" spans="26:26" x14ac:dyDescent="0.25">
      <c r="Z7044">
        <v>399999.99075627682</v>
      </c>
    </row>
    <row r="7045" spans="26:26" x14ac:dyDescent="0.25">
      <c r="Z7045">
        <v>399999.99077932845</v>
      </c>
    </row>
    <row r="7046" spans="26:26" x14ac:dyDescent="0.25">
      <c r="Z7046">
        <v>399999.99080232269</v>
      </c>
    </row>
    <row r="7047" spans="26:26" x14ac:dyDescent="0.25">
      <c r="Z7047">
        <v>399999.99082525948</v>
      </c>
    </row>
    <row r="7048" spans="26:26" x14ac:dyDescent="0.25">
      <c r="Z7048">
        <v>399999.99084813916</v>
      </c>
    </row>
    <row r="7049" spans="26:26" x14ac:dyDescent="0.25">
      <c r="Z7049">
        <v>399999.99087096174</v>
      </c>
    </row>
    <row r="7050" spans="26:26" x14ac:dyDescent="0.25">
      <c r="Z7050">
        <v>399999.99089372746</v>
      </c>
    </row>
    <row r="7051" spans="26:26" x14ac:dyDescent="0.25">
      <c r="Z7051">
        <v>399999.99091643636</v>
      </c>
    </row>
    <row r="7052" spans="26:26" x14ac:dyDescent="0.25">
      <c r="Z7052">
        <v>399999.99093908863</v>
      </c>
    </row>
    <row r="7053" spans="26:26" x14ac:dyDescent="0.25">
      <c r="Z7053">
        <v>399999.99096168444</v>
      </c>
    </row>
    <row r="7054" spans="26:26" x14ac:dyDescent="0.25">
      <c r="Z7054">
        <v>399999.99098422384</v>
      </c>
    </row>
    <row r="7055" spans="26:26" x14ac:dyDescent="0.25">
      <c r="Z7055">
        <v>399999.99100670713</v>
      </c>
    </row>
    <row r="7056" spans="26:26" x14ac:dyDescent="0.25">
      <c r="Z7056">
        <v>399999.99102913425</v>
      </c>
    </row>
    <row r="7057" spans="26:26" x14ac:dyDescent="0.25">
      <c r="Z7057">
        <v>399999.99105150549</v>
      </c>
    </row>
    <row r="7058" spans="26:26" x14ac:dyDescent="0.25">
      <c r="Z7058">
        <v>399999.99107382097</v>
      </c>
    </row>
    <row r="7059" spans="26:26" x14ac:dyDescent="0.25">
      <c r="Z7059">
        <v>399999.99109608075</v>
      </c>
    </row>
    <row r="7060" spans="26:26" x14ac:dyDescent="0.25">
      <c r="Z7060">
        <v>399999.99111828499</v>
      </c>
    </row>
    <row r="7061" spans="26:26" x14ac:dyDescent="0.25">
      <c r="Z7061">
        <v>399999.99114043399</v>
      </c>
    </row>
    <row r="7062" spans="26:26" x14ac:dyDescent="0.25">
      <c r="Z7062">
        <v>399999.99116252764</v>
      </c>
    </row>
    <row r="7063" spans="26:26" x14ac:dyDescent="0.25">
      <c r="Z7063">
        <v>399999.99118456623</v>
      </c>
    </row>
    <row r="7064" spans="26:26" x14ac:dyDescent="0.25">
      <c r="Z7064">
        <v>399999.99120654981</v>
      </c>
    </row>
    <row r="7065" spans="26:26" x14ac:dyDescent="0.25">
      <c r="Z7065">
        <v>399999.99122847867</v>
      </c>
    </row>
    <row r="7066" spans="26:26" x14ac:dyDescent="0.25">
      <c r="Z7066">
        <v>399999.99125035276</v>
      </c>
    </row>
    <row r="7067" spans="26:26" x14ac:dyDescent="0.25">
      <c r="Z7067">
        <v>399999.99127217231</v>
      </c>
    </row>
    <row r="7068" spans="26:26" x14ac:dyDescent="0.25">
      <c r="Z7068">
        <v>399999.99129393749</v>
      </c>
    </row>
    <row r="7069" spans="26:26" x14ac:dyDescent="0.25">
      <c r="Z7069">
        <v>399999.99131564837</v>
      </c>
    </row>
    <row r="7070" spans="26:26" x14ac:dyDescent="0.25">
      <c r="Z7070">
        <v>399999.99133730511</v>
      </c>
    </row>
    <row r="7071" spans="26:26" x14ac:dyDescent="0.25">
      <c r="Z7071">
        <v>399999.99135890784</v>
      </c>
    </row>
    <row r="7072" spans="26:26" x14ac:dyDescent="0.25">
      <c r="Z7072">
        <v>399999.99138045666</v>
      </c>
    </row>
    <row r="7073" spans="26:26" x14ac:dyDescent="0.25">
      <c r="Z7073">
        <v>399999.99140195182</v>
      </c>
    </row>
    <row r="7074" spans="26:26" x14ac:dyDescent="0.25">
      <c r="Z7074">
        <v>399999.99142339331</v>
      </c>
    </row>
    <row r="7075" spans="26:26" x14ac:dyDescent="0.25">
      <c r="Z7075">
        <v>399999.99144478136</v>
      </c>
    </row>
    <row r="7076" spans="26:26" x14ac:dyDescent="0.25">
      <c r="Z7076">
        <v>399999.99146611604</v>
      </c>
    </row>
    <row r="7077" spans="26:26" x14ac:dyDescent="0.25">
      <c r="Z7077">
        <v>399999.99148739764</v>
      </c>
    </row>
    <row r="7078" spans="26:26" x14ac:dyDescent="0.25">
      <c r="Z7078">
        <v>399999.99150862603</v>
      </c>
    </row>
    <row r="7079" spans="26:26" x14ac:dyDescent="0.25">
      <c r="Z7079">
        <v>399999.99152980151</v>
      </c>
    </row>
    <row r="7080" spans="26:26" x14ac:dyDescent="0.25">
      <c r="Z7080">
        <v>399999.9915509242</v>
      </c>
    </row>
    <row r="7081" spans="26:26" x14ac:dyDescent="0.25">
      <c r="Z7081">
        <v>399999.99157199421</v>
      </c>
    </row>
    <row r="7082" spans="26:26" x14ac:dyDescent="0.25">
      <c r="Z7082">
        <v>399999.99159301165</v>
      </c>
    </row>
    <row r="7083" spans="26:26" x14ac:dyDescent="0.25">
      <c r="Z7083">
        <v>399999.99161397677</v>
      </c>
    </row>
    <row r="7084" spans="26:26" x14ac:dyDescent="0.25">
      <c r="Z7084">
        <v>399999.99163488951</v>
      </c>
    </row>
    <row r="7085" spans="26:26" x14ac:dyDescent="0.25">
      <c r="Z7085">
        <v>399999.9916557502</v>
      </c>
    </row>
    <row r="7086" spans="26:26" x14ac:dyDescent="0.25">
      <c r="Z7086">
        <v>399999.9916765588</v>
      </c>
    </row>
    <row r="7087" spans="26:26" x14ac:dyDescent="0.25">
      <c r="Z7087">
        <v>399999.99169731548</v>
      </c>
    </row>
    <row r="7088" spans="26:26" x14ac:dyDescent="0.25">
      <c r="Z7088">
        <v>399999.99171802046</v>
      </c>
    </row>
    <row r="7089" spans="26:26" x14ac:dyDescent="0.25">
      <c r="Z7089">
        <v>399999.99173867377</v>
      </c>
    </row>
    <row r="7090" spans="26:26" x14ac:dyDescent="0.25">
      <c r="Z7090">
        <v>399999.99175927555</v>
      </c>
    </row>
    <row r="7091" spans="26:26" x14ac:dyDescent="0.25">
      <c r="Z7091">
        <v>399999.991779826</v>
      </c>
    </row>
    <row r="7092" spans="26:26" x14ac:dyDescent="0.25">
      <c r="Z7092">
        <v>399999.99180032517</v>
      </c>
    </row>
    <row r="7093" spans="26:26" x14ac:dyDescent="0.25">
      <c r="Z7093">
        <v>399999.99182077323</v>
      </c>
    </row>
    <row r="7094" spans="26:26" x14ac:dyDescent="0.25">
      <c r="Z7094">
        <v>399999.9918411703</v>
      </c>
    </row>
    <row r="7095" spans="26:26" x14ac:dyDescent="0.25">
      <c r="Z7095">
        <v>399999.99186151649</v>
      </c>
    </row>
    <row r="7096" spans="26:26" x14ac:dyDescent="0.25">
      <c r="Z7096">
        <v>399999.99188181199</v>
      </c>
    </row>
    <row r="7097" spans="26:26" x14ac:dyDescent="0.25">
      <c r="Z7097">
        <v>399999.99190205685</v>
      </c>
    </row>
    <row r="7098" spans="26:26" x14ac:dyDescent="0.25">
      <c r="Z7098">
        <v>399999.99192225124</v>
      </c>
    </row>
    <row r="7099" spans="26:26" x14ac:dyDescent="0.25">
      <c r="Z7099">
        <v>399999.99194239522</v>
      </c>
    </row>
    <row r="7100" spans="26:26" x14ac:dyDescent="0.25">
      <c r="Z7100">
        <v>399999.99196248903</v>
      </c>
    </row>
    <row r="7101" spans="26:26" x14ac:dyDescent="0.25">
      <c r="Z7101">
        <v>399999.99198253267</v>
      </c>
    </row>
    <row r="7102" spans="26:26" x14ac:dyDescent="0.25">
      <c r="Z7102">
        <v>399999.99200252636</v>
      </c>
    </row>
    <row r="7103" spans="26:26" x14ac:dyDescent="0.25">
      <c r="Z7103">
        <v>399999.99202247022</v>
      </c>
    </row>
    <row r="7104" spans="26:26" x14ac:dyDescent="0.25">
      <c r="Z7104">
        <v>399999.99204236426</v>
      </c>
    </row>
    <row r="7105" spans="26:26" x14ac:dyDescent="0.25">
      <c r="Z7105">
        <v>399999.99206220877</v>
      </c>
    </row>
    <row r="7106" spans="26:26" x14ac:dyDescent="0.25">
      <c r="Z7106">
        <v>399999.99208200374</v>
      </c>
    </row>
    <row r="7107" spans="26:26" x14ac:dyDescent="0.25">
      <c r="Z7107">
        <v>399999.99210174935</v>
      </c>
    </row>
    <row r="7108" spans="26:26" x14ac:dyDescent="0.25">
      <c r="Z7108">
        <v>399999.99212144577</v>
      </c>
    </row>
    <row r="7109" spans="26:26" x14ac:dyDescent="0.25">
      <c r="Z7109">
        <v>399999.99214109307</v>
      </c>
    </row>
    <row r="7110" spans="26:26" x14ac:dyDescent="0.25">
      <c r="Z7110">
        <v>399999.99216069124</v>
      </c>
    </row>
    <row r="7111" spans="26:26" x14ac:dyDescent="0.25">
      <c r="Z7111">
        <v>399999.99218024069</v>
      </c>
    </row>
    <row r="7112" spans="26:26" x14ac:dyDescent="0.25">
      <c r="Z7112">
        <v>399999.9921997413</v>
      </c>
    </row>
    <row r="7113" spans="26:26" x14ac:dyDescent="0.25">
      <c r="Z7113">
        <v>399999.99221919337</v>
      </c>
    </row>
    <row r="7114" spans="26:26" x14ac:dyDescent="0.25">
      <c r="Z7114">
        <v>399999.99223859684</v>
      </c>
    </row>
    <row r="7115" spans="26:26" x14ac:dyDescent="0.25">
      <c r="Z7115">
        <v>399999.99225795193</v>
      </c>
    </row>
    <row r="7116" spans="26:26" x14ac:dyDescent="0.25">
      <c r="Z7116">
        <v>399999.99227725883</v>
      </c>
    </row>
    <row r="7117" spans="26:26" x14ac:dyDescent="0.25">
      <c r="Z7117">
        <v>399999.99229651759</v>
      </c>
    </row>
    <row r="7118" spans="26:26" x14ac:dyDescent="0.25">
      <c r="Z7118">
        <v>399999.99231572822</v>
      </c>
    </row>
    <row r="7119" spans="26:26" x14ac:dyDescent="0.25">
      <c r="Z7119">
        <v>399999.99233489099</v>
      </c>
    </row>
    <row r="7120" spans="26:26" x14ac:dyDescent="0.25">
      <c r="Z7120">
        <v>399999.99235400598</v>
      </c>
    </row>
    <row r="7121" spans="26:26" x14ac:dyDescent="0.25">
      <c r="Z7121">
        <v>399999.9923730733</v>
      </c>
    </row>
    <row r="7122" spans="26:26" x14ac:dyDescent="0.25">
      <c r="Z7122">
        <v>399999.99239209306</v>
      </c>
    </row>
    <row r="7123" spans="26:26" x14ac:dyDescent="0.25">
      <c r="Z7123">
        <v>399999.99241106538</v>
      </c>
    </row>
    <row r="7124" spans="26:26" x14ac:dyDescent="0.25">
      <c r="Z7124">
        <v>399999.99242999044</v>
      </c>
    </row>
    <row r="7125" spans="26:26" x14ac:dyDescent="0.25">
      <c r="Z7125">
        <v>399999.99244886823</v>
      </c>
    </row>
    <row r="7126" spans="26:26" x14ac:dyDescent="0.25">
      <c r="Z7126">
        <v>399999.99246769905</v>
      </c>
    </row>
    <row r="7127" spans="26:26" x14ac:dyDescent="0.25">
      <c r="Z7127">
        <v>399999.99248648284</v>
      </c>
    </row>
    <row r="7128" spans="26:26" x14ac:dyDescent="0.25">
      <c r="Z7128">
        <v>399999.99250521977</v>
      </c>
    </row>
    <row r="7129" spans="26:26" x14ac:dyDescent="0.25">
      <c r="Z7129">
        <v>399999.99252390995</v>
      </c>
    </row>
    <row r="7130" spans="26:26" x14ac:dyDescent="0.25">
      <c r="Z7130">
        <v>399999.99254255363</v>
      </c>
    </row>
    <row r="7131" spans="26:26" x14ac:dyDescent="0.25">
      <c r="Z7131">
        <v>399999.99256115075</v>
      </c>
    </row>
    <row r="7132" spans="26:26" x14ac:dyDescent="0.25">
      <c r="Z7132">
        <v>399999.99257970147</v>
      </c>
    </row>
    <row r="7133" spans="26:26" x14ac:dyDescent="0.25">
      <c r="Z7133">
        <v>399999.99259820598</v>
      </c>
    </row>
    <row r="7134" spans="26:26" x14ac:dyDescent="0.25">
      <c r="Z7134">
        <v>399999.99261666427</v>
      </c>
    </row>
    <row r="7135" spans="26:26" x14ac:dyDescent="0.25">
      <c r="Z7135">
        <v>399999.99263507663</v>
      </c>
    </row>
    <row r="7136" spans="26:26" x14ac:dyDescent="0.25">
      <c r="Z7136">
        <v>399999.99265344301</v>
      </c>
    </row>
    <row r="7137" spans="26:26" x14ac:dyDescent="0.25">
      <c r="Z7137">
        <v>399999.99267176358</v>
      </c>
    </row>
    <row r="7138" spans="26:26" x14ac:dyDescent="0.25">
      <c r="Z7138">
        <v>399999.99269003846</v>
      </c>
    </row>
    <row r="7139" spans="26:26" x14ac:dyDescent="0.25">
      <c r="Z7139">
        <v>399999.99270826776</v>
      </c>
    </row>
    <row r="7140" spans="26:26" x14ac:dyDescent="0.25">
      <c r="Z7140">
        <v>399999.99272645166</v>
      </c>
    </row>
    <row r="7141" spans="26:26" x14ac:dyDescent="0.25">
      <c r="Z7141">
        <v>399999.99274459021</v>
      </c>
    </row>
    <row r="7142" spans="26:26" x14ac:dyDescent="0.25">
      <c r="Z7142">
        <v>399999.99276268354</v>
      </c>
    </row>
    <row r="7143" spans="26:26" x14ac:dyDescent="0.25">
      <c r="Z7143">
        <v>399999.99278073164</v>
      </c>
    </row>
    <row r="7144" spans="26:26" x14ac:dyDescent="0.25">
      <c r="Z7144">
        <v>399999.99279873486</v>
      </c>
    </row>
    <row r="7145" spans="26:26" x14ac:dyDescent="0.25">
      <c r="Z7145">
        <v>399999.99281669309</v>
      </c>
    </row>
    <row r="7146" spans="26:26" x14ac:dyDescent="0.25">
      <c r="Z7146">
        <v>399999.99283460662</v>
      </c>
    </row>
    <row r="7147" spans="26:26" x14ac:dyDescent="0.25">
      <c r="Z7147">
        <v>399999.99285247538</v>
      </c>
    </row>
    <row r="7148" spans="26:26" x14ac:dyDescent="0.25">
      <c r="Z7148">
        <v>399999.99287029961</v>
      </c>
    </row>
    <row r="7149" spans="26:26" x14ac:dyDescent="0.25">
      <c r="Z7149">
        <v>399999.99288807943</v>
      </c>
    </row>
    <row r="7150" spans="26:26" x14ac:dyDescent="0.25">
      <c r="Z7150">
        <v>399999.99290581496</v>
      </c>
    </row>
    <row r="7151" spans="26:26" x14ac:dyDescent="0.25">
      <c r="Z7151">
        <v>399999.99292350619</v>
      </c>
    </row>
    <row r="7152" spans="26:26" x14ac:dyDescent="0.25">
      <c r="Z7152">
        <v>399999.99294115329</v>
      </c>
    </row>
    <row r="7153" spans="26:26" x14ac:dyDescent="0.25">
      <c r="Z7153">
        <v>399999.99295875634</v>
      </c>
    </row>
    <row r="7154" spans="26:26" x14ac:dyDescent="0.25">
      <c r="Z7154">
        <v>399999.99297631561</v>
      </c>
    </row>
    <row r="7155" spans="26:26" x14ac:dyDescent="0.25">
      <c r="Z7155">
        <v>399999.99299383099</v>
      </c>
    </row>
    <row r="7156" spans="26:26" x14ac:dyDescent="0.25">
      <c r="Z7156">
        <v>399999.99301130278</v>
      </c>
    </row>
    <row r="7157" spans="26:26" x14ac:dyDescent="0.25">
      <c r="Z7157">
        <v>399999.99302873091</v>
      </c>
    </row>
    <row r="7158" spans="26:26" x14ac:dyDescent="0.25">
      <c r="Z7158">
        <v>399999.99304611562</v>
      </c>
    </row>
    <row r="7159" spans="26:26" x14ac:dyDescent="0.25">
      <c r="Z7159">
        <v>399999.99306345702</v>
      </c>
    </row>
    <row r="7160" spans="26:26" x14ac:dyDescent="0.25">
      <c r="Z7160">
        <v>399999.99308075506</v>
      </c>
    </row>
    <row r="7161" spans="26:26" x14ac:dyDescent="0.25">
      <c r="Z7161">
        <v>399999.99309801008</v>
      </c>
    </row>
    <row r="7162" spans="26:26" x14ac:dyDescent="0.25">
      <c r="Z7162">
        <v>399999.99311522202</v>
      </c>
    </row>
    <row r="7163" spans="26:26" x14ac:dyDescent="0.25">
      <c r="Z7163">
        <v>399999.99313239107</v>
      </c>
    </row>
    <row r="7164" spans="26:26" x14ac:dyDescent="0.25">
      <c r="Z7164">
        <v>399999.99314951722</v>
      </c>
    </row>
    <row r="7165" spans="26:26" x14ac:dyDescent="0.25">
      <c r="Z7165">
        <v>399999.99316660076</v>
      </c>
    </row>
    <row r="7166" spans="26:26" x14ac:dyDescent="0.25">
      <c r="Z7166">
        <v>399999.99318364164</v>
      </c>
    </row>
    <row r="7167" spans="26:26" x14ac:dyDescent="0.25">
      <c r="Z7167">
        <v>399999.99320064002</v>
      </c>
    </row>
    <row r="7168" spans="26:26" x14ac:dyDescent="0.25">
      <c r="Z7168">
        <v>399999.99321759603</v>
      </c>
    </row>
    <row r="7169" spans="26:26" x14ac:dyDescent="0.25">
      <c r="Z7169">
        <v>399999.99323450978</v>
      </c>
    </row>
    <row r="7170" spans="26:26" x14ac:dyDescent="0.25">
      <c r="Z7170">
        <v>399999.99325138133</v>
      </c>
    </row>
    <row r="7171" spans="26:26" x14ac:dyDescent="0.25">
      <c r="Z7171">
        <v>399999.99326821085</v>
      </c>
    </row>
    <row r="7172" spans="26:26" x14ac:dyDescent="0.25">
      <c r="Z7172">
        <v>399999.99328499835</v>
      </c>
    </row>
    <row r="7173" spans="26:26" x14ac:dyDescent="0.25">
      <c r="Z7173">
        <v>399999.99330174393</v>
      </c>
    </row>
    <row r="7174" spans="26:26" x14ac:dyDescent="0.25">
      <c r="Z7174">
        <v>399999.99331844784</v>
      </c>
    </row>
    <row r="7175" spans="26:26" x14ac:dyDescent="0.25">
      <c r="Z7175">
        <v>399999.99333511008</v>
      </c>
    </row>
    <row r="7176" spans="26:26" x14ac:dyDescent="0.25">
      <c r="Z7176">
        <v>399999.99335173075</v>
      </c>
    </row>
    <row r="7177" spans="26:26" x14ac:dyDescent="0.25">
      <c r="Z7177">
        <v>399999.99336830998</v>
      </c>
    </row>
    <row r="7178" spans="26:26" x14ac:dyDescent="0.25">
      <c r="Z7178">
        <v>399999.99338484782</v>
      </c>
    </row>
    <row r="7179" spans="26:26" x14ac:dyDescent="0.25">
      <c r="Z7179">
        <v>399999.99340134446</v>
      </c>
    </row>
    <row r="7180" spans="26:26" x14ac:dyDescent="0.25">
      <c r="Z7180">
        <v>399999.9934178</v>
      </c>
    </row>
    <row r="7181" spans="26:26" x14ac:dyDescent="0.25">
      <c r="Z7181">
        <v>399999.99343421444</v>
      </c>
    </row>
    <row r="7182" spans="26:26" x14ac:dyDescent="0.25">
      <c r="Z7182">
        <v>399999.99345058796</v>
      </c>
    </row>
    <row r="7183" spans="26:26" x14ac:dyDescent="0.25">
      <c r="Z7183">
        <v>399999.99346692063</v>
      </c>
    </row>
    <row r="7184" spans="26:26" x14ac:dyDescent="0.25">
      <c r="Z7184">
        <v>399999.9934832126</v>
      </c>
    </row>
    <row r="7185" spans="26:26" x14ac:dyDescent="0.25">
      <c r="Z7185">
        <v>399999.99349946395</v>
      </c>
    </row>
    <row r="7186" spans="26:26" x14ac:dyDescent="0.25">
      <c r="Z7186">
        <v>399999.99351567478</v>
      </c>
    </row>
    <row r="7187" spans="26:26" x14ac:dyDescent="0.25">
      <c r="Z7187">
        <v>399999.99353184516</v>
      </c>
    </row>
    <row r="7188" spans="26:26" x14ac:dyDescent="0.25">
      <c r="Z7188">
        <v>399999.9935479752</v>
      </c>
    </row>
    <row r="7189" spans="26:26" x14ac:dyDescent="0.25">
      <c r="Z7189">
        <v>399999.99356406508</v>
      </c>
    </row>
    <row r="7190" spans="26:26" x14ac:dyDescent="0.25">
      <c r="Z7190">
        <v>399999.99358011479</v>
      </c>
    </row>
    <row r="7191" spans="26:26" x14ac:dyDescent="0.25">
      <c r="Z7191">
        <v>399999.99359612446</v>
      </c>
    </row>
    <row r="7192" spans="26:26" x14ac:dyDescent="0.25">
      <c r="Z7192">
        <v>399999.99361209426</v>
      </c>
    </row>
    <row r="7193" spans="26:26" x14ac:dyDescent="0.25">
      <c r="Z7193">
        <v>399999.99362802418</v>
      </c>
    </row>
    <row r="7194" spans="26:26" x14ac:dyDescent="0.25">
      <c r="Z7194">
        <v>399999.99364391435</v>
      </c>
    </row>
    <row r="7195" spans="26:26" x14ac:dyDescent="0.25">
      <c r="Z7195">
        <v>399999.99365976499</v>
      </c>
    </row>
    <row r="7196" spans="26:26" x14ac:dyDescent="0.25">
      <c r="Z7196">
        <v>399999.993675576</v>
      </c>
    </row>
    <row r="7197" spans="26:26" x14ac:dyDescent="0.25">
      <c r="Z7197">
        <v>399999.99369134771</v>
      </c>
    </row>
    <row r="7198" spans="26:26" x14ac:dyDescent="0.25">
      <c r="Z7198">
        <v>399999.99370708002</v>
      </c>
    </row>
    <row r="7199" spans="26:26" x14ac:dyDescent="0.25">
      <c r="Z7199">
        <v>399999.99372277304</v>
      </c>
    </row>
    <row r="7200" spans="26:26" x14ac:dyDescent="0.25">
      <c r="Z7200">
        <v>399999.99373842694</v>
      </c>
    </row>
    <row r="7201" spans="26:26" x14ac:dyDescent="0.25">
      <c r="Z7201">
        <v>399999.99375404185</v>
      </c>
    </row>
    <row r="7202" spans="26:26" x14ac:dyDescent="0.25">
      <c r="Z7202">
        <v>399999.99376961781</v>
      </c>
    </row>
    <row r="7203" spans="26:26" x14ac:dyDescent="0.25">
      <c r="Z7203">
        <v>399999.99378515489</v>
      </c>
    </row>
    <row r="7204" spans="26:26" x14ac:dyDescent="0.25">
      <c r="Z7204">
        <v>399999.99380065332</v>
      </c>
    </row>
    <row r="7205" spans="26:26" x14ac:dyDescent="0.25">
      <c r="Z7205">
        <v>399999.99381611304</v>
      </c>
    </row>
    <row r="7206" spans="26:26" x14ac:dyDescent="0.25">
      <c r="Z7206">
        <v>399999.99383153417</v>
      </c>
    </row>
    <row r="7207" spans="26:26" x14ac:dyDescent="0.25">
      <c r="Z7207">
        <v>399999.99384691688</v>
      </c>
    </row>
    <row r="7208" spans="26:26" x14ac:dyDescent="0.25">
      <c r="Z7208">
        <v>399999.99386226124</v>
      </c>
    </row>
    <row r="7209" spans="26:26" x14ac:dyDescent="0.25">
      <c r="Z7209">
        <v>399999.99387756729</v>
      </c>
    </row>
    <row r="7210" spans="26:26" x14ac:dyDescent="0.25">
      <c r="Z7210">
        <v>399999.99389283522</v>
      </c>
    </row>
    <row r="7211" spans="26:26" x14ac:dyDescent="0.25">
      <c r="Z7211">
        <v>399999.99390806508</v>
      </c>
    </row>
    <row r="7212" spans="26:26" x14ac:dyDescent="0.25">
      <c r="Z7212">
        <v>399999.99392325693</v>
      </c>
    </row>
    <row r="7213" spans="26:26" x14ac:dyDescent="0.25">
      <c r="Z7213">
        <v>399999.99393841089</v>
      </c>
    </row>
    <row r="7214" spans="26:26" x14ac:dyDescent="0.25">
      <c r="Z7214">
        <v>399999.99395352707</v>
      </c>
    </row>
    <row r="7215" spans="26:26" x14ac:dyDescent="0.25">
      <c r="Z7215">
        <v>399999.99396860553</v>
      </c>
    </row>
    <row r="7216" spans="26:26" x14ac:dyDescent="0.25">
      <c r="Z7216">
        <v>399999.99398364645</v>
      </c>
    </row>
    <row r="7217" spans="26:26" x14ac:dyDescent="0.25">
      <c r="Z7217">
        <v>399999.99399864982</v>
      </c>
    </row>
    <row r="7218" spans="26:26" x14ac:dyDescent="0.25">
      <c r="Z7218">
        <v>399999.99401361583</v>
      </c>
    </row>
    <row r="7219" spans="26:26" x14ac:dyDescent="0.25">
      <c r="Z7219">
        <v>399999.99402854446</v>
      </c>
    </row>
    <row r="7220" spans="26:26" x14ac:dyDescent="0.25">
      <c r="Z7220">
        <v>399999.99404343584</v>
      </c>
    </row>
    <row r="7221" spans="26:26" x14ac:dyDescent="0.25">
      <c r="Z7221">
        <v>399999.99405829009</v>
      </c>
    </row>
    <row r="7222" spans="26:26" x14ac:dyDescent="0.25">
      <c r="Z7222">
        <v>399999.99407310731</v>
      </c>
    </row>
    <row r="7223" spans="26:26" x14ac:dyDescent="0.25">
      <c r="Z7223">
        <v>399999.99408788764</v>
      </c>
    </row>
    <row r="7224" spans="26:26" x14ac:dyDescent="0.25">
      <c r="Z7224">
        <v>399999.99410263106</v>
      </c>
    </row>
    <row r="7225" spans="26:26" x14ac:dyDescent="0.25">
      <c r="Z7225">
        <v>399999.99411733769</v>
      </c>
    </row>
    <row r="7226" spans="26:26" x14ac:dyDescent="0.25">
      <c r="Z7226">
        <v>399999.99413200765</v>
      </c>
    </row>
    <row r="7227" spans="26:26" x14ac:dyDescent="0.25">
      <c r="Z7227">
        <v>399999.99414664105</v>
      </c>
    </row>
    <row r="7228" spans="26:26" x14ac:dyDescent="0.25">
      <c r="Z7228">
        <v>399999.99416123802</v>
      </c>
    </row>
    <row r="7229" spans="26:26" x14ac:dyDescent="0.25">
      <c r="Z7229">
        <v>399999.99417579849</v>
      </c>
    </row>
    <row r="7230" spans="26:26" x14ac:dyDescent="0.25">
      <c r="Z7230">
        <v>399999.9941903227</v>
      </c>
    </row>
    <row r="7231" spans="26:26" x14ac:dyDescent="0.25">
      <c r="Z7231">
        <v>399999.99420481065</v>
      </c>
    </row>
    <row r="7232" spans="26:26" x14ac:dyDescent="0.25">
      <c r="Z7232">
        <v>399999.9942192625</v>
      </c>
    </row>
    <row r="7233" spans="26:26" x14ac:dyDescent="0.25">
      <c r="Z7233">
        <v>399999.99423367833</v>
      </c>
    </row>
    <row r="7234" spans="26:26" x14ac:dyDescent="0.25">
      <c r="Z7234">
        <v>399999.99424805812</v>
      </c>
    </row>
    <row r="7235" spans="26:26" x14ac:dyDescent="0.25">
      <c r="Z7235">
        <v>399999.99426240212</v>
      </c>
    </row>
    <row r="7236" spans="26:26" x14ac:dyDescent="0.25">
      <c r="Z7236">
        <v>399999.99427671038</v>
      </c>
    </row>
    <row r="7237" spans="26:26" x14ac:dyDescent="0.25">
      <c r="Z7237">
        <v>399999.9942909829</v>
      </c>
    </row>
    <row r="7238" spans="26:26" x14ac:dyDescent="0.25">
      <c r="Z7238">
        <v>399999.99430521991</v>
      </c>
    </row>
    <row r="7239" spans="26:26" x14ac:dyDescent="0.25">
      <c r="Z7239">
        <v>399999.9943194213</v>
      </c>
    </row>
    <row r="7240" spans="26:26" x14ac:dyDescent="0.25">
      <c r="Z7240">
        <v>399999.99433358741</v>
      </c>
    </row>
    <row r="7241" spans="26:26" x14ac:dyDescent="0.25">
      <c r="Z7241">
        <v>399999.99434771808</v>
      </c>
    </row>
    <row r="7242" spans="26:26" x14ac:dyDescent="0.25">
      <c r="Z7242">
        <v>399999.99436181353</v>
      </c>
    </row>
    <row r="7243" spans="26:26" x14ac:dyDescent="0.25">
      <c r="Z7243">
        <v>399999.99437587382</v>
      </c>
    </row>
    <row r="7244" spans="26:26" x14ac:dyDescent="0.25">
      <c r="Z7244">
        <v>399999.99438989908</v>
      </c>
    </row>
    <row r="7245" spans="26:26" x14ac:dyDescent="0.25">
      <c r="Z7245">
        <v>399999.99440388934</v>
      </c>
    </row>
    <row r="7246" spans="26:26" x14ac:dyDescent="0.25">
      <c r="Z7246">
        <v>399999.99441784475</v>
      </c>
    </row>
    <row r="7247" spans="26:26" x14ac:dyDescent="0.25">
      <c r="Z7247">
        <v>399999.99443176534</v>
      </c>
    </row>
    <row r="7248" spans="26:26" x14ac:dyDescent="0.25">
      <c r="Z7248">
        <v>399999.99444565119</v>
      </c>
    </row>
    <row r="7249" spans="26:26" x14ac:dyDescent="0.25">
      <c r="Z7249">
        <v>399999.99445950246</v>
      </c>
    </row>
    <row r="7250" spans="26:26" x14ac:dyDescent="0.25">
      <c r="Z7250">
        <v>399999.99447331915</v>
      </c>
    </row>
    <row r="7251" spans="26:26" x14ac:dyDescent="0.25">
      <c r="Z7251">
        <v>399999.99448710139</v>
      </c>
    </row>
    <row r="7252" spans="26:26" x14ac:dyDescent="0.25">
      <c r="Z7252">
        <v>399999.99450084922</v>
      </c>
    </row>
    <row r="7253" spans="26:26" x14ac:dyDescent="0.25">
      <c r="Z7253">
        <v>399999.99451456289</v>
      </c>
    </row>
    <row r="7254" spans="26:26" x14ac:dyDescent="0.25">
      <c r="Z7254">
        <v>399999.99452824227</v>
      </c>
    </row>
    <row r="7255" spans="26:26" x14ac:dyDescent="0.25">
      <c r="Z7255">
        <v>399999.99454188754</v>
      </c>
    </row>
    <row r="7256" spans="26:26" x14ac:dyDescent="0.25">
      <c r="Z7256">
        <v>399999.99455549876</v>
      </c>
    </row>
    <row r="7257" spans="26:26" x14ac:dyDescent="0.25">
      <c r="Z7257">
        <v>399999.99456907611</v>
      </c>
    </row>
    <row r="7258" spans="26:26" x14ac:dyDescent="0.25">
      <c r="Z7258">
        <v>399999.99458261952</v>
      </c>
    </row>
    <row r="7259" spans="26:26" x14ac:dyDescent="0.25">
      <c r="Z7259">
        <v>399999.99459612923</v>
      </c>
    </row>
    <row r="7260" spans="26:26" x14ac:dyDescent="0.25">
      <c r="Z7260">
        <v>399999.99460960523</v>
      </c>
    </row>
    <row r="7261" spans="26:26" x14ac:dyDescent="0.25">
      <c r="Z7261">
        <v>399999.99462304759</v>
      </c>
    </row>
    <row r="7262" spans="26:26" x14ac:dyDescent="0.25">
      <c r="Z7262">
        <v>399999.99463645648</v>
      </c>
    </row>
    <row r="7263" spans="26:26" x14ac:dyDescent="0.25">
      <c r="Z7263">
        <v>399999.9946498319</v>
      </c>
    </row>
    <row r="7264" spans="26:26" x14ac:dyDescent="0.25">
      <c r="Z7264">
        <v>399999.99466317391</v>
      </c>
    </row>
    <row r="7265" spans="26:26" x14ac:dyDescent="0.25">
      <c r="Z7265">
        <v>399999.99467648269</v>
      </c>
    </row>
    <row r="7266" spans="26:26" x14ac:dyDescent="0.25">
      <c r="Z7266">
        <v>399999.99468975834</v>
      </c>
    </row>
    <row r="7267" spans="26:26" x14ac:dyDescent="0.25">
      <c r="Z7267">
        <v>399999.99470300088</v>
      </c>
    </row>
    <row r="7268" spans="26:26" x14ac:dyDescent="0.25">
      <c r="Z7268">
        <v>399999.99471621029</v>
      </c>
    </row>
    <row r="7269" spans="26:26" x14ac:dyDescent="0.25">
      <c r="Z7269">
        <v>399999.99472938682</v>
      </c>
    </row>
    <row r="7270" spans="26:26" x14ac:dyDescent="0.25">
      <c r="Z7270">
        <v>399999.99474253051</v>
      </c>
    </row>
    <row r="7271" spans="26:26" x14ac:dyDescent="0.25">
      <c r="Z7271">
        <v>399999.99475564138</v>
      </c>
    </row>
    <row r="7272" spans="26:26" x14ac:dyDescent="0.25">
      <c r="Z7272">
        <v>399999.9947687196</v>
      </c>
    </row>
    <row r="7273" spans="26:26" x14ac:dyDescent="0.25">
      <c r="Z7273">
        <v>399999.99478176521</v>
      </c>
    </row>
    <row r="7274" spans="26:26" x14ac:dyDescent="0.25">
      <c r="Z7274">
        <v>399999.99479477829</v>
      </c>
    </row>
    <row r="7275" spans="26:26" x14ac:dyDescent="0.25">
      <c r="Z7275">
        <v>399999.99480775883</v>
      </c>
    </row>
    <row r="7276" spans="26:26" x14ac:dyDescent="0.25">
      <c r="Z7276">
        <v>399999.99482070713</v>
      </c>
    </row>
    <row r="7277" spans="26:26" x14ac:dyDescent="0.25">
      <c r="Z7277">
        <v>399999.994833623</v>
      </c>
    </row>
    <row r="7278" spans="26:26" x14ac:dyDescent="0.25">
      <c r="Z7278">
        <v>399999.99484650674</v>
      </c>
    </row>
    <row r="7279" spans="26:26" x14ac:dyDescent="0.25">
      <c r="Z7279">
        <v>399999.99485935841</v>
      </c>
    </row>
    <row r="7280" spans="26:26" x14ac:dyDescent="0.25">
      <c r="Z7280">
        <v>399999.99487217789</v>
      </c>
    </row>
    <row r="7281" spans="26:26" x14ac:dyDescent="0.25">
      <c r="Z7281">
        <v>399999.99488496548</v>
      </c>
    </row>
    <row r="7282" spans="26:26" x14ac:dyDescent="0.25">
      <c r="Z7282">
        <v>399999.99489772122</v>
      </c>
    </row>
    <row r="7283" spans="26:26" x14ac:dyDescent="0.25">
      <c r="Z7283">
        <v>399999.99491044506</v>
      </c>
    </row>
    <row r="7284" spans="26:26" x14ac:dyDescent="0.25">
      <c r="Z7284">
        <v>399999.99492313724</v>
      </c>
    </row>
    <row r="7285" spans="26:26" x14ac:dyDescent="0.25">
      <c r="Z7285">
        <v>399999.99493579782</v>
      </c>
    </row>
    <row r="7286" spans="26:26" x14ac:dyDescent="0.25">
      <c r="Z7286">
        <v>399999.99494842673</v>
      </c>
    </row>
    <row r="7287" spans="26:26" x14ac:dyDescent="0.25">
      <c r="Z7287">
        <v>399999.99496102415</v>
      </c>
    </row>
    <row r="7288" spans="26:26" x14ac:dyDescent="0.25">
      <c r="Z7288">
        <v>399999.99497359019</v>
      </c>
    </row>
    <row r="7289" spans="26:26" x14ac:dyDescent="0.25">
      <c r="Z7289">
        <v>399999.99498612486</v>
      </c>
    </row>
    <row r="7290" spans="26:26" x14ac:dyDescent="0.25">
      <c r="Z7290">
        <v>399999.99499862827</v>
      </c>
    </row>
    <row r="7291" spans="26:26" x14ac:dyDescent="0.25">
      <c r="Z7291">
        <v>399999.99501110049</v>
      </c>
    </row>
    <row r="7292" spans="26:26" x14ac:dyDescent="0.25">
      <c r="Z7292">
        <v>399999.99502354168</v>
      </c>
    </row>
    <row r="7293" spans="26:26" x14ac:dyDescent="0.25">
      <c r="Z7293">
        <v>399999.99503595178</v>
      </c>
    </row>
    <row r="7294" spans="26:26" x14ac:dyDescent="0.25">
      <c r="Z7294">
        <v>399999.99504833092</v>
      </c>
    </row>
    <row r="7295" spans="26:26" x14ac:dyDescent="0.25">
      <c r="Z7295">
        <v>399999.99506067921</v>
      </c>
    </row>
    <row r="7296" spans="26:26" x14ac:dyDescent="0.25">
      <c r="Z7296">
        <v>399999.99507299683</v>
      </c>
    </row>
    <row r="7297" spans="26:26" x14ac:dyDescent="0.25">
      <c r="Z7297">
        <v>399999.99508528359</v>
      </c>
    </row>
    <row r="7298" spans="26:26" x14ac:dyDescent="0.25">
      <c r="Z7298">
        <v>399999.99509753974</v>
      </c>
    </row>
    <row r="7299" spans="26:26" x14ac:dyDescent="0.25">
      <c r="Z7299">
        <v>399999.99510976532</v>
      </c>
    </row>
    <row r="7300" spans="26:26" x14ac:dyDescent="0.25">
      <c r="Z7300">
        <v>399999.99512196041</v>
      </c>
    </row>
    <row r="7301" spans="26:26" x14ac:dyDescent="0.25">
      <c r="Z7301">
        <v>399999.99513412506</v>
      </c>
    </row>
    <row r="7302" spans="26:26" x14ac:dyDescent="0.25">
      <c r="Z7302">
        <v>399999.99514625943</v>
      </c>
    </row>
    <row r="7303" spans="26:26" x14ac:dyDescent="0.25">
      <c r="Z7303">
        <v>399999.99515836354</v>
      </c>
    </row>
    <row r="7304" spans="26:26" x14ac:dyDescent="0.25">
      <c r="Z7304">
        <v>399999.99517043744</v>
      </c>
    </row>
    <row r="7305" spans="26:26" x14ac:dyDescent="0.25">
      <c r="Z7305">
        <v>399999.99518248125</v>
      </c>
    </row>
    <row r="7306" spans="26:26" x14ac:dyDescent="0.25">
      <c r="Z7306">
        <v>399999.99519449496</v>
      </c>
    </row>
    <row r="7307" spans="26:26" x14ac:dyDescent="0.25">
      <c r="Z7307">
        <v>399999.99520647881</v>
      </c>
    </row>
    <row r="7308" spans="26:26" x14ac:dyDescent="0.25">
      <c r="Z7308">
        <v>399999.99521843274</v>
      </c>
    </row>
    <row r="7309" spans="26:26" x14ac:dyDescent="0.25">
      <c r="Z7309">
        <v>399999.99523035687</v>
      </c>
    </row>
    <row r="7310" spans="26:26" x14ac:dyDescent="0.25">
      <c r="Z7310">
        <v>399999.9952422512</v>
      </c>
    </row>
    <row r="7311" spans="26:26" x14ac:dyDescent="0.25">
      <c r="Z7311">
        <v>399999.9952541159</v>
      </c>
    </row>
    <row r="7312" spans="26:26" x14ac:dyDescent="0.25">
      <c r="Z7312">
        <v>399999.99526595103</v>
      </c>
    </row>
    <row r="7313" spans="26:26" x14ac:dyDescent="0.25">
      <c r="Z7313">
        <v>399999.99527775665</v>
      </c>
    </row>
    <row r="7314" spans="26:26" x14ac:dyDescent="0.25">
      <c r="Z7314">
        <v>399999.99528953282</v>
      </c>
    </row>
    <row r="7315" spans="26:26" x14ac:dyDescent="0.25">
      <c r="Z7315">
        <v>399999.99530127959</v>
      </c>
    </row>
    <row r="7316" spans="26:26" x14ac:dyDescent="0.25">
      <c r="Z7316">
        <v>399999.99531299714</v>
      </c>
    </row>
    <row r="7317" spans="26:26" x14ac:dyDescent="0.25">
      <c r="Z7317">
        <v>399999.99532468541</v>
      </c>
    </row>
    <row r="7318" spans="26:26" x14ac:dyDescent="0.25">
      <c r="Z7318">
        <v>399999.99533634452</v>
      </c>
    </row>
    <row r="7319" spans="26:26" x14ac:dyDescent="0.25">
      <c r="Z7319">
        <v>399999.99534797459</v>
      </c>
    </row>
    <row r="7320" spans="26:26" x14ac:dyDescent="0.25">
      <c r="Z7320">
        <v>399999.99535957567</v>
      </c>
    </row>
    <row r="7321" spans="26:26" x14ac:dyDescent="0.25">
      <c r="Z7321">
        <v>399999.99537114782</v>
      </c>
    </row>
    <row r="7322" spans="26:26" x14ac:dyDescent="0.25">
      <c r="Z7322">
        <v>399999.99538269109</v>
      </c>
    </row>
    <row r="7323" spans="26:26" x14ac:dyDescent="0.25">
      <c r="Z7323">
        <v>399999.99539420556</v>
      </c>
    </row>
    <row r="7324" spans="26:26" x14ac:dyDescent="0.25">
      <c r="Z7324">
        <v>399999.99540569133</v>
      </c>
    </row>
    <row r="7325" spans="26:26" x14ac:dyDescent="0.25">
      <c r="Z7325">
        <v>399999.99541714846</v>
      </c>
    </row>
    <row r="7326" spans="26:26" x14ac:dyDescent="0.25">
      <c r="Z7326">
        <v>399999.99542857701</v>
      </c>
    </row>
    <row r="7327" spans="26:26" x14ac:dyDescent="0.25">
      <c r="Z7327">
        <v>399999.99543997704</v>
      </c>
    </row>
    <row r="7328" spans="26:26" x14ac:dyDescent="0.25">
      <c r="Z7328">
        <v>399999.99545134872</v>
      </c>
    </row>
    <row r="7329" spans="26:26" x14ac:dyDescent="0.25">
      <c r="Z7329">
        <v>399999.99546269194</v>
      </c>
    </row>
    <row r="7330" spans="26:26" x14ac:dyDescent="0.25">
      <c r="Z7330">
        <v>399999.99547400692</v>
      </c>
    </row>
    <row r="7331" spans="26:26" x14ac:dyDescent="0.25">
      <c r="Z7331">
        <v>399999.99548529374</v>
      </c>
    </row>
    <row r="7332" spans="26:26" x14ac:dyDescent="0.25">
      <c r="Z7332">
        <v>399999.99549655232</v>
      </c>
    </row>
    <row r="7333" spans="26:26" x14ac:dyDescent="0.25">
      <c r="Z7333">
        <v>399999.99550778291</v>
      </c>
    </row>
    <row r="7334" spans="26:26" x14ac:dyDescent="0.25">
      <c r="Z7334">
        <v>399999.99551898538</v>
      </c>
    </row>
    <row r="7335" spans="26:26" x14ac:dyDescent="0.25">
      <c r="Z7335">
        <v>399999.99553016003</v>
      </c>
    </row>
    <row r="7336" spans="26:26" x14ac:dyDescent="0.25">
      <c r="Z7336">
        <v>399999.99554130674</v>
      </c>
    </row>
    <row r="7337" spans="26:26" x14ac:dyDescent="0.25">
      <c r="Z7337">
        <v>399999.99555242568</v>
      </c>
    </row>
    <row r="7338" spans="26:26" x14ac:dyDescent="0.25">
      <c r="Z7338">
        <v>399999.99556351692</v>
      </c>
    </row>
    <row r="7339" spans="26:26" x14ac:dyDescent="0.25">
      <c r="Z7339">
        <v>399999.99557458045</v>
      </c>
    </row>
    <row r="7340" spans="26:26" x14ac:dyDescent="0.25">
      <c r="Z7340">
        <v>399999.99558561639</v>
      </c>
    </row>
    <row r="7341" spans="26:26" x14ac:dyDescent="0.25">
      <c r="Z7341">
        <v>399999.99559662479</v>
      </c>
    </row>
    <row r="7342" spans="26:26" x14ac:dyDescent="0.25">
      <c r="Z7342">
        <v>399999.99560760579</v>
      </c>
    </row>
    <row r="7343" spans="26:26" x14ac:dyDescent="0.25">
      <c r="Z7343">
        <v>399999.99561855942</v>
      </c>
    </row>
    <row r="7344" spans="26:26" x14ac:dyDescent="0.25">
      <c r="Z7344">
        <v>399999.99562948575</v>
      </c>
    </row>
    <row r="7345" spans="26:26" x14ac:dyDescent="0.25">
      <c r="Z7345">
        <v>399999.99564038473</v>
      </c>
    </row>
    <row r="7346" spans="26:26" x14ac:dyDescent="0.25">
      <c r="Z7346">
        <v>399999.99565125664</v>
      </c>
    </row>
    <row r="7347" spans="26:26" x14ac:dyDescent="0.25">
      <c r="Z7347">
        <v>399999.99566210137</v>
      </c>
    </row>
    <row r="7348" spans="26:26" x14ac:dyDescent="0.25">
      <c r="Z7348">
        <v>399999.99567291903</v>
      </c>
    </row>
    <row r="7349" spans="26:26" x14ac:dyDescent="0.25">
      <c r="Z7349">
        <v>399999.99568370974</v>
      </c>
    </row>
    <row r="7350" spans="26:26" x14ac:dyDescent="0.25">
      <c r="Z7350">
        <v>399999.99569447362</v>
      </c>
    </row>
    <row r="7351" spans="26:26" x14ac:dyDescent="0.25">
      <c r="Z7351">
        <v>399999.9957052106</v>
      </c>
    </row>
    <row r="7352" spans="26:26" x14ac:dyDescent="0.25">
      <c r="Z7352">
        <v>399999.99571592081</v>
      </c>
    </row>
    <row r="7353" spans="26:26" x14ac:dyDescent="0.25">
      <c r="Z7353">
        <v>399999.99572660425</v>
      </c>
    </row>
    <row r="7354" spans="26:26" x14ac:dyDescent="0.25">
      <c r="Z7354">
        <v>399999.99573726114</v>
      </c>
    </row>
    <row r="7355" spans="26:26" x14ac:dyDescent="0.25">
      <c r="Z7355">
        <v>399999.99574789137</v>
      </c>
    </row>
    <row r="7356" spans="26:26" x14ac:dyDescent="0.25">
      <c r="Z7356">
        <v>399999.99575849512</v>
      </c>
    </row>
    <row r="7357" spans="26:26" x14ac:dyDescent="0.25">
      <c r="Z7357">
        <v>399999.9957690725</v>
      </c>
    </row>
    <row r="7358" spans="26:26" x14ac:dyDescent="0.25">
      <c r="Z7358">
        <v>399999.99577962345</v>
      </c>
    </row>
    <row r="7359" spans="26:26" x14ac:dyDescent="0.25">
      <c r="Z7359">
        <v>399999.99579014804</v>
      </c>
    </row>
    <row r="7360" spans="26:26" x14ac:dyDescent="0.25">
      <c r="Z7360">
        <v>399999.99580064643</v>
      </c>
    </row>
    <row r="7361" spans="26:26" x14ac:dyDescent="0.25">
      <c r="Z7361">
        <v>399999.99581111857</v>
      </c>
    </row>
    <row r="7362" spans="26:26" x14ac:dyDescent="0.25">
      <c r="Z7362">
        <v>399999.99582156469</v>
      </c>
    </row>
    <row r="7363" spans="26:26" x14ac:dyDescent="0.25">
      <c r="Z7363">
        <v>399999.99583198474</v>
      </c>
    </row>
    <row r="7364" spans="26:26" x14ac:dyDescent="0.25">
      <c r="Z7364">
        <v>399999.99584237882</v>
      </c>
    </row>
    <row r="7365" spans="26:26" x14ac:dyDescent="0.25">
      <c r="Z7365">
        <v>399999.99585274688</v>
      </c>
    </row>
    <row r="7366" spans="26:26" x14ac:dyDescent="0.25">
      <c r="Z7366">
        <v>399999.99586308922</v>
      </c>
    </row>
    <row r="7367" spans="26:26" x14ac:dyDescent="0.25">
      <c r="Z7367">
        <v>399999.99587340566</v>
      </c>
    </row>
    <row r="7368" spans="26:26" x14ac:dyDescent="0.25">
      <c r="Z7368">
        <v>399999.99588369642</v>
      </c>
    </row>
    <row r="7369" spans="26:26" x14ac:dyDescent="0.25">
      <c r="Z7369">
        <v>399999.99589396158</v>
      </c>
    </row>
    <row r="7370" spans="26:26" x14ac:dyDescent="0.25">
      <c r="Z7370">
        <v>399999.99590420106</v>
      </c>
    </row>
    <row r="7371" spans="26:26" x14ac:dyDescent="0.25">
      <c r="Z7371">
        <v>399999.99591441499</v>
      </c>
    </row>
    <row r="7372" spans="26:26" x14ac:dyDescent="0.25">
      <c r="Z7372">
        <v>399999.99592460349</v>
      </c>
    </row>
    <row r="7373" spans="26:26" x14ac:dyDescent="0.25">
      <c r="Z7373">
        <v>399999.9959347666</v>
      </c>
    </row>
    <row r="7374" spans="26:26" x14ac:dyDescent="0.25">
      <c r="Z7374">
        <v>399999.99594490434</v>
      </c>
    </row>
    <row r="7375" spans="26:26" x14ac:dyDescent="0.25">
      <c r="Z7375">
        <v>399999.99595501681</v>
      </c>
    </row>
    <row r="7376" spans="26:26" x14ac:dyDescent="0.25">
      <c r="Z7376">
        <v>399999.99596510403</v>
      </c>
    </row>
    <row r="7377" spans="26:26" x14ac:dyDescent="0.25">
      <c r="Z7377">
        <v>399999.99597516609</v>
      </c>
    </row>
    <row r="7378" spans="26:26" x14ac:dyDescent="0.25">
      <c r="Z7378">
        <v>399999.99598520313</v>
      </c>
    </row>
    <row r="7379" spans="26:26" x14ac:dyDescent="0.25">
      <c r="Z7379">
        <v>399999.99599521508</v>
      </c>
    </row>
    <row r="7380" spans="26:26" x14ac:dyDescent="0.25">
      <c r="Z7380">
        <v>399999.99600520206</v>
      </c>
    </row>
    <row r="7381" spans="26:26" x14ac:dyDescent="0.25">
      <c r="Z7381">
        <v>399999.99601516413</v>
      </c>
    </row>
    <row r="7382" spans="26:26" x14ac:dyDescent="0.25">
      <c r="Z7382">
        <v>399999.9960251014</v>
      </c>
    </row>
    <row r="7383" spans="26:26" x14ac:dyDescent="0.25">
      <c r="Z7383">
        <v>399999.99603501387</v>
      </c>
    </row>
    <row r="7384" spans="26:26" x14ac:dyDescent="0.25">
      <c r="Z7384">
        <v>399999.99604490161</v>
      </c>
    </row>
    <row r="7385" spans="26:26" x14ac:dyDescent="0.25">
      <c r="Z7385">
        <v>399999.99605476466</v>
      </c>
    </row>
    <row r="7386" spans="26:26" x14ac:dyDescent="0.25">
      <c r="Z7386">
        <v>399999.99606460321</v>
      </c>
    </row>
    <row r="7387" spans="26:26" x14ac:dyDescent="0.25">
      <c r="Z7387">
        <v>399999.9960744172</v>
      </c>
    </row>
    <row r="7388" spans="26:26" x14ac:dyDescent="0.25">
      <c r="Z7388">
        <v>399999.99608420662</v>
      </c>
    </row>
    <row r="7389" spans="26:26" x14ac:dyDescent="0.25">
      <c r="Z7389">
        <v>399999.99609397165</v>
      </c>
    </row>
    <row r="7390" spans="26:26" x14ac:dyDescent="0.25">
      <c r="Z7390">
        <v>399999.99610371236</v>
      </c>
    </row>
    <row r="7391" spans="26:26" x14ac:dyDescent="0.25">
      <c r="Z7391">
        <v>399999.99611342879</v>
      </c>
    </row>
    <row r="7392" spans="26:26" x14ac:dyDescent="0.25">
      <c r="Z7392">
        <v>399999.996123121</v>
      </c>
    </row>
    <row r="7393" spans="26:26" x14ac:dyDescent="0.25">
      <c r="Z7393">
        <v>399999.99613278906</v>
      </c>
    </row>
    <row r="7394" spans="26:26" x14ac:dyDescent="0.25">
      <c r="Z7394">
        <v>399999.99614243297</v>
      </c>
    </row>
    <row r="7395" spans="26:26" x14ac:dyDescent="0.25">
      <c r="Z7395">
        <v>399999.99615205283</v>
      </c>
    </row>
    <row r="7396" spans="26:26" x14ac:dyDescent="0.25">
      <c r="Z7396">
        <v>399999.99616164871</v>
      </c>
    </row>
    <row r="7397" spans="26:26" x14ac:dyDescent="0.25">
      <c r="Z7397">
        <v>399999.99617122067</v>
      </c>
    </row>
    <row r="7398" spans="26:26" x14ac:dyDescent="0.25">
      <c r="Z7398">
        <v>399999.99618076877</v>
      </c>
    </row>
    <row r="7399" spans="26:26" x14ac:dyDescent="0.25">
      <c r="Z7399">
        <v>399999.99619029299</v>
      </c>
    </row>
    <row r="7400" spans="26:26" x14ac:dyDescent="0.25">
      <c r="Z7400">
        <v>399999.99619979353</v>
      </c>
    </row>
    <row r="7401" spans="26:26" x14ac:dyDescent="0.25">
      <c r="Z7401">
        <v>399999.99620927038</v>
      </c>
    </row>
    <row r="7402" spans="26:26" x14ac:dyDescent="0.25">
      <c r="Z7402">
        <v>399999.99621872354</v>
      </c>
    </row>
    <row r="7403" spans="26:26" x14ac:dyDescent="0.25">
      <c r="Z7403">
        <v>399999.99622815318</v>
      </c>
    </row>
    <row r="7404" spans="26:26" x14ac:dyDescent="0.25">
      <c r="Z7404">
        <v>399999.9962375593</v>
      </c>
    </row>
    <row r="7405" spans="26:26" x14ac:dyDescent="0.25">
      <c r="Z7405">
        <v>399999.99624694191</v>
      </c>
    </row>
    <row r="7406" spans="26:26" x14ac:dyDescent="0.25">
      <c r="Z7406">
        <v>399999.99625630118</v>
      </c>
    </row>
    <row r="7407" spans="26:26" x14ac:dyDescent="0.25">
      <c r="Z7407">
        <v>399999.99626563705</v>
      </c>
    </row>
    <row r="7408" spans="26:26" x14ac:dyDescent="0.25">
      <c r="Z7408">
        <v>399999.99627494969</v>
      </c>
    </row>
    <row r="7409" spans="26:26" x14ac:dyDescent="0.25">
      <c r="Z7409">
        <v>399999.99628423911</v>
      </c>
    </row>
    <row r="7410" spans="26:26" x14ac:dyDescent="0.25">
      <c r="Z7410">
        <v>399999.9962935053</v>
      </c>
    </row>
    <row r="7411" spans="26:26" x14ac:dyDescent="0.25">
      <c r="Z7411">
        <v>399999.99630274845</v>
      </c>
    </row>
    <row r="7412" spans="26:26" x14ac:dyDescent="0.25">
      <c r="Z7412">
        <v>399999.99631196854</v>
      </c>
    </row>
    <row r="7413" spans="26:26" x14ac:dyDescent="0.25">
      <c r="Z7413">
        <v>399999.99632116564</v>
      </c>
    </row>
    <row r="7414" spans="26:26" x14ac:dyDescent="0.25">
      <c r="Z7414">
        <v>399999.99633033975</v>
      </c>
    </row>
    <row r="7415" spans="26:26" x14ac:dyDescent="0.25">
      <c r="Z7415">
        <v>399999.99633949104</v>
      </c>
    </row>
    <row r="7416" spans="26:26" x14ac:dyDescent="0.25">
      <c r="Z7416">
        <v>399999.99634861952</v>
      </c>
    </row>
    <row r="7417" spans="26:26" x14ac:dyDescent="0.25">
      <c r="Z7417">
        <v>399999.99635772518</v>
      </c>
    </row>
    <row r="7418" spans="26:26" x14ac:dyDescent="0.25">
      <c r="Z7418">
        <v>399999.99636680819</v>
      </c>
    </row>
    <row r="7419" spans="26:26" x14ac:dyDescent="0.25">
      <c r="Z7419">
        <v>399999.9963758685</v>
      </c>
    </row>
    <row r="7420" spans="26:26" x14ac:dyDescent="0.25">
      <c r="Z7420">
        <v>399999.99638490623</v>
      </c>
    </row>
    <row r="7421" spans="26:26" x14ac:dyDescent="0.25">
      <c r="Z7421">
        <v>399999.99639392144</v>
      </c>
    </row>
    <row r="7422" spans="26:26" x14ac:dyDescent="0.25">
      <c r="Z7422">
        <v>399999.99640291417</v>
      </c>
    </row>
    <row r="7423" spans="26:26" x14ac:dyDescent="0.25">
      <c r="Z7423">
        <v>399999.99641188444</v>
      </c>
    </row>
    <row r="7424" spans="26:26" x14ac:dyDescent="0.25">
      <c r="Z7424">
        <v>399999.99642083235</v>
      </c>
    </row>
    <row r="7425" spans="26:26" x14ac:dyDescent="0.25">
      <c r="Z7425">
        <v>399999.99642975791</v>
      </c>
    </row>
    <row r="7426" spans="26:26" x14ac:dyDescent="0.25">
      <c r="Z7426">
        <v>399999.9964386613</v>
      </c>
    </row>
    <row r="7427" spans="26:26" x14ac:dyDescent="0.25">
      <c r="Z7427">
        <v>399999.99644754245</v>
      </c>
    </row>
    <row r="7428" spans="26:26" x14ac:dyDescent="0.25">
      <c r="Z7428">
        <v>399999.99645640142</v>
      </c>
    </row>
    <row r="7429" spans="26:26" x14ac:dyDescent="0.25">
      <c r="Z7429">
        <v>399999.99646523839</v>
      </c>
    </row>
    <row r="7430" spans="26:26" x14ac:dyDescent="0.25">
      <c r="Z7430">
        <v>399999.99647405319</v>
      </c>
    </row>
    <row r="7431" spans="26:26" x14ac:dyDescent="0.25">
      <c r="Z7431">
        <v>399999.99648284609</v>
      </c>
    </row>
    <row r="7432" spans="26:26" x14ac:dyDescent="0.25">
      <c r="Z7432">
        <v>399999.99649161706</v>
      </c>
    </row>
    <row r="7433" spans="26:26" x14ac:dyDescent="0.25">
      <c r="Z7433">
        <v>399999.99650036613</v>
      </c>
    </row>
    <row r="7434" spans="26:26" x14ac:dyDescent="0.25">
      <c r="Z7434">
        <v>399999.99650909338</v>
      </c>
    </row>
    <row r="7435" spans="26:26" x14ac:dyDescent="0.25">
      <c r="Z7435">
        <v>399999.99651779886</v>
      </c>
    </row>
    <row r="7436" spans="26:26" x14ac:dyDescent="0.25">
      <c r="Z7436">
        <v>399999.99652648269</v>
      </c>
    </row>
    <row r="7437" spans="26:26" x14ac:dyDescent="0.25">
      <c r="Z7437">
        <v>399999.9965351448</v>
      </c>
    </row>
    <row r="7438" spans="26:26" x14ac:dyDescent="0.25">
      <c r="Z7438">
        <v>399999.99654378538</v>
      </c>
    </row>
    <row r="7439" spans="26:26" x14ac:dyDescent="0.25">
      <c r="Z7439">
        <v>399999.99655240437</v>
      </c>
    </row>
    <row r="7440" spans="26:26" x14ac:dyDescent="0.25">
      <c r="Z7440">
        <v>399999.99656100187</v>
      </c>
    </row>
    <row r="7441" spans="26:26" x14ac:dyDescent="0.25">
      <c r="Z7441">
        <v>399999.99656957795</v>
      </c>
    </row>
    <row r="7442" spans="26:26" x14ac:dyDescent="0.25">
      <c r="Z7442">
        <v>399999.99657813256</v>
      </c>
    </row>
    <row r="7443" spans="26:26" x14ac:dyDescent="0.25">
      <c r="Z7443">
        <v>399999.99658666592</v>
      </c>
    </row>
    <row r="7444" spans="26:26" x14ac:dyDescent="0.25">
      <c r="Z7444">
        <v>399999.99659517797</v>
      </c>
    </row>
    <row r="7445" spans="26:26" x14ac:dyDescent="0.25">
      <c r="Z7445">
        <v>399999.99660366884</v>
      </c>
    </row>
    <row r="7446" spans="26:26" x14ac:dyDescent="0.25">
      <c r="Z7446">
        <v>399999.99661213846</v>
      </c>
    </row>
    <row r="7447" spans="26:26" x14ac:dyDescent="0.25">
      <c r="Z7447">
        <v>399999.99662058696</v>
      </c>
    </row>
    <row r="7448" spans="26:26" x14ac:dyDescent="0.25">
      <c r="Z7448">
        <v>399999.99662901444</v>
      </c>
    </row>
    <row r="7449" spans="26:26" x14ac:dyDescent="0.25">
      <c r="Z7449">
        <v>399999.9966374209</v>
      </c>
    </row>
    <row r="7450" spans="26:26" x14ac:dyDescent="0.25">
      <c r="Z7450">
        <v>399999.99664580642</v>
      </c>
    </row>
    <row r="7451" spans="26:26" x14ac:dyDescent="0.25">
      <c r="Z7451">
        <v>399999.99665417091</v>
      </c>
    </row>
    <row r="7452" spans="26:26" x14ac:dyDescent="0.25">
      <c r="Z7452">
        <v>399999.99666251469</v>
      </c>
    </row>
    <row r="7453" spans="26:26" x14ac:dyDescent="0.25">
      <c r="Z7453">
        <v>399999.99667083757</v>
      </c>
    </row>
    <row r="7454" spans="26:26" x14ac:dyDescent="0.25">
      <c r="Z7454">
        <v>399999.99667913973</v>
      </c>
    </row>
    <row r="7455" spans="26:26" x14ac:dyDescent="0.25">
      <c r="Z7455">
        <v>399999.99668742117</v>
      </c>
    </row>
    <row r="7456" spans="26:26" x14ac:dyDescent="0.25">
      <c r="Z7456">
        <v>399999.99669568194</v>
      </c>
    </row>
    <row r="7457" spans="26:26" x14ac:dyDescent="0.25">
      <c r="Z7457">
        <v>399999.99670392217</v>
      </c>
    </row>
    <row r="7458" spans="26:26" x14ac:dyDescent="0.25">
      <c r="Z7458">
        <v>399999.99671214179</v>
      </c>
    </row>
    <row r="7459" spans="26:26" x14ac:dyDescent="0.25">
      <c r="Z7459">
        <v>399999.99672034098</v>
      </c>
    </row>
    <row r="7460" spans="26:26" x14ac:dyDescent="0.25">
      <c r="Z7460">
        <v>399999.99672851968</v>
      </c>
    </row>
    <row r="7461" spans="26:26" x14ac:dyDescent="0.25">
      <c r="Z7461">
        <v>399999.996736678</v>
      </c>
    </row>
    <row r="7462" spans="26:26" x14ac:dyDescent="0.25">
      <c r="Z7462">
        <v>399999.9967448159</v>
      </c>
    </row>
    <row r="7463" spans="26:26" x14ac:dyDescent="0.25">
      <c r="Z7463">
        <v>399999.9967529336</v>
      </c>
    </row>
    <row r="7464" spans="26:26" x14ac:dyDescent="0.25">
      <c r="Z7464">
        <v>399999.99676103104</v>
      </c>
    </row>
    <row r="7465" spans="26:26" x14ac:dyDescent="0.25">
      <c r="Z7465">
        <v>399999.99676910823</v>
      </c>
    </row>
    <row r="7466" spans="26:26" x14ac:dyDescent="0.25">
      <c r="Z7466">
        <v>399999.99677716533</v>
      </c>
    </row>
    <row r="7467" spans="26:26" x14ac:dyDescent="0.25">
      <c r="Z7467">
        <v>399999.99678520235</v>
      </c>
    </row>
    <row r="7468" spans="26:26" x14ac:dyDescent="0.25">
      <c r="Z7468">
        <v>399999.99679321924</v>
      </c>
    </row>
    <row r="7469" spans="26:26" x14ac:dyDescent="0.25">
      <c r="Z7469">
        <v>399999.99680121621</v>
      </c>
    </row>
    <row r="7470" spans="26:26" x14ac:dyDescent="0.25">
      <c r="Z7470">
        <v>399999.99680919328</v>
      </c>
    </row>
    <row r="7471" spans="26:26" x14ac:dyDescent="0.25">
      <c r="Z7471">
        <v>399999.99681715033</v>
      </c>
    </row>
    <row r="7472" spans="26:26" x14ac:dyDescent="0.25">
      <c r="Z7472">
        <v>399999.99682508764</v>
      </c>
    </row>
    <row r="7473" spans="26:26" x14ac:dyDescent="0.25">
      <c r="Z7473">
        <v>399999.99683300516</v>
      </c>
    </row>
    <row r="7474" spans="26:26" x14ac:dyDescent="0.25">
      <c r="Z7474">
        <v>399999.9968409029</v>
      </c>
    </row>
    <row r="7475" spans="26:26" x14ac:dyDescent="0.25">
      <c r="Z7475">
        <v>399999.99684878095</v>
      </c>
    </row>
    <row r="7476" spans="26:26" x14ac:dyDescent="0.25">
      <c r="Z7476">
        <v>399999.99685663939</v>
      </c>
    </row>
    <row r="7477" spans="26:26" x14ac:dyDescent="0.25">
      <c r="Z7477">
        <v>399999.99686447816</v>
      </c>
    </row>
    <row r="7478" spans="26:26" x14ac:dyDescent="0.25">
      <c r="Z7478">
        <v>399999.99687229743</v>
      </c>
    </row>
    <row r="7479" spans="26:26" x14ac:dyDescent="0.25">
      <c r="Z7479">
        <v>399999.99688009714</v>
      </c>
    </row>
    <row r="7480" spans="26:26" x14ac:dyDescent="0.25">
      <c r="Z7480">
        <v>399999.99688787747</v>
      </c>
    </row>
    <row r="7481" spans="26:26" x14ac:dyDescent="0.25">
      <c r="Z7481">
        <v>399999.99689563835</v>
      </c>
    </row>
    <row r="7482" spans="26:26" x14ac:dyDescent="0.25">
      <c r="Z7482">
        <v>399999.99690337991</v>
      </c>
    </row>
    <row r="7483" spans="26:26" x14ac:dyDescent="0.25">
      <c r="Z7483">
        <v>399999.99691110215</v>
      </c>
    </row>
    <row r="7484" spans="26:26" x14ac:dyDescent="0.25">
      <c r="Z7484">
        <v>399999.99691880518</v>
      </c>
    </row>
    <row r="7485" spans="26:26" x14ac:dyDescent="0.25">
      <c r="Z7485">
        <v>399999.99692648888</v>
      </c>
    </row>
    <row r="7486" spans="26:26" x14ac:dyDescent="0.25">
      <c r="Z7486">
        <v>399999.99693415349</v>
      </c>
    </row>
    <row r="7487" spans="26:26" x14ac:dyDescent="0.25">
      <c r="Z7487">
        <v>399999.99694179907</v>
      </c>
    </row>
    <row r="7488" spans="26:26" x14ac:dyDescent="0.25">
      <c r="Z7488">
        <v>399999.99694942549</v>
      </c>
    </row>
    <row r="7489" spans="26:26" x14ac:dyDescent="0.25">
      <c r="Z7489">
        <v>399999.99695703288</v>
      </c>
    </row>
    <row r="7490" spans="26:26" x14ac:dyDescent="0.25">
      <c r="Z7490">
        <v>399999.9969646213</v>
      </c>
    </row>
    <row r="7491" spans="26:26" x14ac:dyDescent="0.25">
      <c r="Z7491">
        <v>399999.99697219086</v>
      </c>
    </row>
    <row r="7492" spans="26:26" x14ac:dyDescent="0.25">
      <c r="Z7492">
        <v>399999.9969797415</v>
      </c>
    </row>
    <row r="7493" spans="26:26" x14ac:dyDescent="0.25">
      <c r="Z7493">
        <v>399999.99698727333</v>
      </c>
    </row>
    <row r="7494" spans="26:26" x14ac:dyDescent="0.25">
      <c r="Z7494">
        <v>399999.99699478637</v>
      </c>
    </row>
    <row r="7495" spans="26:26" x14ac:dyDescent="0.25">
      <c r="Z7495">
        <v>399999.99700228067</v>
      </c>
    </row>
    <row r="7496" spans="26:26" x14ac:dyDescent="0.25">
      <c r="Z7496">
        <v>399999.99700975628</v>
      </c>
    </row>
    <row r="7497" spans="26:26" x14ac:dyDescent="0.25">
      <c r="Z7497">
        <v>399999.9970172132</v>
      </c>
    </row>
    <row r="7498" spans="26:26" x14ac:dyDescent="0.25">
      <c r="Z7498">
        <v>399999.99702465162</v>
      </c>
    </row>
    <row r="7499" spans="26:26" x14ac:dyDescent="0.25">
      <c r="Z7499">
        <v>399999.99703207146</v>
      </c>
    </row>
    <row r="7500" spans="26:26" x14ac:dyDescent="0.25">
      <c r="Z7500">
        <v>399999.99703947274</v>
      </c>
    </row>
    <row r="7501" spans="26:26" x14ac:dyDescent="0.25">
      <c r="Z7501">
        <v>399999.99704685557</v>
      </c>
    </row>
    <row r="7502" spans="26:26" x14ac:dyDescent="0.25">
      <c r="Z7502">
        <v>399999.99705422006</v>
      </c>
    </row>
    <row r="7503" spans="26:26" x14ac:dyDescent="0.25">
      <c r="Z7503">
        <v>399999.9970615661</v>
      </c>
    </row>
    <row r="7504" spans="26:26" x14ac:dyDescent="0.25">
      <c r="Z7504">
        <v>399999.99706889392</v>
      </c>
    </row>
    <row r="7505" spans="26:26" x14ac:dyDescent="0.25">
      <c r="Z7505">
        <v>399999.99707620341</v>
      </c>
    </row>
    <row r="7506" spans="26:26" x14ac:dyDescent="0.25">
      <c r="Z7506">
        <v>399999.99708349461</v>
      </c>
    </row>
    <row r="7507" spans="26:26" x14ac:dyDescent="0.25">
      <c r="Z7507">
        <v>399999.99709076778</v>
      </c>
    </row>
    <row r="7508" spans="26:26" x14ac:dyDescent="0.25">
      <c r="Z7508">
        <v>399999.99709802266</v>
      </c>
    </row>
    <row r="7509" spans="26:26" x14ac:dyDescent="0.25">
      <c r="Z7509">
        <v>399999.99710525951</v>
      </c>
    </row>
    <row r="7510" spans="26:26" x14ac:dyDescent="0.25">
      <c r="Z7510">
        <v>399999.99711247836</v>
      </c>
    </row>
    <row r="7511" spans="26:26" x14ac:dyDescent="0.25">
      <c r="Z7511">
        <v>399999.99711967912</v>
      </c>
    </row>
    <row r="7512" spans="26:26" x14ac:dyDescent="0.25">
      <c r="Z7512">
        <v>399999.997126862</v>
      </c>
    </row>
    <row r="7513" spans="26:26" x14ac:dyDescent="0.25">
      <c r="Z7513">
        <v>399999.99713402695</v>
      </c>
    </row>
    <row r="7514" spans="26:26" x14ac:dyDescent="0.25">
      <c r="Z7514">
        <v>399999.99714117398</v>
      </c>
    </row>
    <row r="7515" spans="26:26" x14ac:dyDescent="0.25">
      <c r="Z7515">
        <v>399999.99714830326</v>
      </c>
    </row>
    <row r="7516" spans="26:26" x14ac:dyDescent="0.25">
      <c r="Z7516">
        <v>399999.99715541466</v>
      </c>
    </row>
    <row r="7517" spans="26:26" x14ac:dyDescent="0.25">
      <c r="Z7517">
        <v>399999.99716250837</v>
      </c>
    </row>
    <row r="7518" spans="26:26" x14ac:dyDescent="0.25">
      <c r="Z7518">
        <v>399999.99716958444</v>
      </c>
    </row>
    <row r="7519" spans="26:26" x14ac:dyDescent="0.25">
      <c r="Z7519">
        <v>399999.99717664288</v>
      </c>
    </row>
    <row r="7520" spans="26:26" x14ac:dyDescent="0.25">
      <c r="Z7520">
        <v>399999.99718368368</v>
      </c>
    </row>
    <row r="7521" spans="26:26" x14ac:dyDescent="0.25">
      <c r="Z7521">
        <v>399999.9971907069</v>
      </c>
    </row>
    <row r="7522" spans="26:26" x14ac:dyDescent="0.25">
      <c r="Z7522">
        <v>399999.9971977126</v>
      </c>
    </row>
    <row r="7523" spans="26:26" x14ac:dyDescent="0.25">
      <c r="Z7523">
        <v>399999.99720470083</v>
      </c>
    </row>
    <row r="7524" spans="26:26" x14ac:dyDescent="0.25">
      <c r="Z7524">
        <v>399999.99721167167</v>
      </c>
    </row>
    <row r="7525" spans="26:26" x14ac:dyDescent="0.25">
      <c r="Z7525">
        <v>399999.9972186251</v>
      </c>
    </row>
    <row r="7526" spans="26:26" x14ac:dyDescent="0.25">
      <c r="Z7526">
        <v>399999.99722556118</v>
      </c>
    </row>
    <row r="7527" spans="26:26" x14ac:dyDescent="0.25">
      <c r="Z7527">
        <v>399999.99723248003</v>
      </c>
    </row>
    <row r="7528" spans="26:26" x14ac:dyDescent="0.25">
      <c r="Z7528">
        <v>399999.99723938154</v>
      </c>
    </row>
    <row r="7529" spans="26:26" x14ac:dyDescent="0.25">
      <c r="Z7529">
        <v>399999.99724626588</v>
      </c>
    </row>
    <row r="7530" spans="26:26" x14ac:dyDescent="0.25">
      <c r="Z7530">
        <v>399999.99725313304</v>
      </c>
    </row>
    <row r="7531" spans="26:26" x14ac:dyDescent="0.25">
      <c r="Z7531">
        <v>399999.99725998309</v>
      </c>
    </row>
    <row r="7532" spans="26:26" x14ac:dyDescent="0.25">
      <c r="Z7532">
        <v>399999.99726681603</v>
      </c>
    </row>
    <row r="7533" spans="26:26" x14ac:dyDescent="0.25">
      <c r="Z7533">
        <v>399999.99727363198</v>
      </c>
    </row>
    <row r="7534" spans="26:26" x14ac:dyDescent="0.25">
      <c r="Z7534">
        <v>399999.99728043086</v>
      </c>
    </row>
    <row r="7535" spans="26:26" x14ac:dyDescent="0.25">
      <c r="Z7535">
        <v>399999.99728721287</v>
      </c>
    </row>
    <row r="7536" spans="26:26" x14ac:dyDescent="0.25">
      <c r="Z7536">
        <v>399999.99729397788</v>
      </c>
    </row>
    <row r="7537" spans="26:26" x14ac:dyDescent="0.25">
      <c r="Z7537">
        <v>399999.99730072607</v>
      </c>
    </row>
    <row r="7538" spans="26:26" x14ac:dyDescent="0.25">
      <c r="Z7538">
        <v>399999.99730745744</v>
      </c>
    </row>
    <row r="7539" spans="26:26" x14ac:dyDescent="0.25">
      <c r="Z7539">
        <v>399999.99731417204</v>
      </c>
    </row>
    <row r="7540" spans="26:26" x14ac:dyDescent="0.25">
      <c r="Z7540">
        <v>399999.99732086982</v>
      </c>
    </row>
    <row r="7541" spans="26:26" x14ac:dyDescent="0.25">
      <c r="Z7541">
        <v>399999.99732755101</v>
      </c>
    </row>
    <row r="7542" spans="26:26" x14ac:dyDescent="0.25">
      <c r="Z7542">
        <v>399999.99733421538</v>
      </c>
    </row>
    <row r="7543" spans="26:26" x14ac:dyDescent="0.25">
      <c r="Z7543">
        <v>399999.99734086328</v>
      </c>
    </row>
    <row r="7544" spans="26:26" x14ac:dyDescent="0.25">
      <c r="Z7544">
        <v>399999.99734749453</v>
      </c>
    </row>
    <row r="7545" spans="26:26" x14ac:dyDescent="0.25">
      <c r="Z7545">
        <v>399999.99735410931</v>
      </c>
    </row>
    <row r="7546" spans="26:26" x14ac:dyDescent="0.25">
      <c r="Z7546">
        <v>399999.99736070755</v>
      </c>
    </row>
    <row r="7547" spans="26:26" x14ac:dyDescent="0.25">
      <c r="Z7547">
        <v>399999.99736728927</v>
      </c>
    </row>
    <row r="7548" spans="26:26" x14ac:dyDescent="0.25">
      <c r="Z7548">
        <v>399999.99737385463</v>
      </c>
    </row>
    <row r="7549" spans="26:26" x14ac:dyDescent="0.25">
      <c r="Z7549">
        <v>399999.99738040363</v>
      </c>
    </row>
    <row r="7550" spans="26:26" x14ac:dyDescent="0.25">
      <c r="Z7550">
        <v>399999.99738693627</v>
      </c>
    </row>
    <row r="7551" spans="26:26" x14ac:dyDescent="0.25">
      <c r="Z7551">
        <v>399999.99739345268</v>
      </c>
    </row>
    <row r="7552" spans="26:26" x14ac:dyDescent="0.25">
      <c r="Z7552">
        <v>399999.99739995279</v>
      </c>
    </row>
    <row r="7553" spans="26:26" x14ac:dyDescent="0.25">
      <c r="Z7553">
        <v>399999.99740643665</v>
      </c>
    </row>
    <row r="7554" spans="26:26" x14ac:dyDescent="0.25">
      <c r="Z7554">
        <v>399999.99741290446</v>
      </c>
    </row>
    <row r="7555" spans="26:26" x14ac:dyDescent="0.25">
      <c r="Z7555">
        <v>399999.99741935602</v>
      </c>
    </row>
    <row r="7556" spans="26:26" x14ac:dyDescent="0.25">
      <c r="Z7556">
        <v>399999.99742579157</v>
      </c>
    </row>
    <row r="7557" spans="26:26" x14ac:dyDescent="0.25">
      <c r="Z7557">
        <v>399999.99743221106</v>
      </c>
    </row>
    <row r="7558" spans="26:26" x14ac:dyDescent="0.25">
      <c r="Z7558">
        <v>399999.99743861449</v>
      </c>
    </row>
    <row r="7559" spans="26:26" x14ac:dyDescent="0.25">
      <c r="Z7559">
        <v>399999.99744500202</v>
      </c>
    </row>
    <row r="7560" spans="26:26" x14ac:dyDescent="0.25">
      <c r="Z7560">
        <v>399999.99745137355</v>
      </c>
    </row>
    <row r="7561" spans="26:26" x14ac:dyDescent="0.25">
      <c r="Z7561">
        <v>399999.99745772925</v>
      </c>
    </row>
    <row r="7562" spans="26:26" x14ac:dyDescent="0.25">
      <c r="Z7562">
        <v>399999.99746406905</v>
      </c>
    </row>
    <row r="7563" spans="26:26" x14ac:dyDescent="0.25">
      <c r="Z7563">
        <v>399999.99747039302</v>
      </c>
    </row>
    <row r="7564" spans="26:26" x14ac:dyDescent="0.25">
      <c r="Z7564">
        <v>399999.99747670128</v>
      </c>
    </row>
    <row r="7565" spans="26:26" x14ac:dyDescent="0.25">
      <c r="Z7565">
        <v>399999.99748299381</v>
      </c>
    </row>
    <row r="7566" spans="26:26" x14ac:dyDescent="0.25">
      <c r="Z7566">
        <v>399999.99748927064</v>
      </c>
    </row>
    <row r="7567" spans="26:26" x14ac:dyDescent="0.25">
      <c r="Z7567">
        <v>399999.99749553186</v>
      </c>
    </row>
    <row r="7568" spans="26:26" x14ac:dyDescent="0.25">
      <c r="Z7568">
        <v>399999.99750177737</v>
      </c>
    </row>
    <row r="7569" spans="26:26" x14ac:dyDescent="0.25">
      <c r="Z7569">
        <v>399999.99750800739</v>
      </c>
    </row>
    <row r="7570" spans="26:26" x14ac:dyDescent="0.25">
      <c r="Z7570">
        <v>399999.99751422182</v>
      </c>
    </row>
    <row r="7571" spans="26:26" x14ac:dyDescent="0.25">
      <c r="Z7571">
        <v>399999.99752042076</v>
      </c>
    </row>
    <row r="7572" spans="26:26" x14ac:dyDescent="0.25">
      <c r="Z7572">
        <v>399999.99752660422</v>
      </c>
    </row>
    <row r="7573" spans="26:26" x14ac:dyDescent="0.25">
      <c r="Z7573">
        <v>399999.99753277231</v>
      </c>
    </row>
    <row r="7574" spans="26:26" x14ac:dyDescent="0.25">
      <c r="Z7574">
        <v>399999.99753892503</v>
      </c>
    </row>
    <row r="7575" spans="26:26" x14ac:dyDescent="0.25">
      <c r="Z7575">
        <v>399999.99754506239</v>
      </c>
    </row>
    <row r="7576" spans="26:26" x14ac:dyDescent="0.25">
      <c r="Z7576">
        <v>399999.99755118444</v>
      </c>
    </row>
    <row r="7577" spans="26:26" x14ac:dyDescent="0.25">
      <c r="Z7577">
        <v>399999.99755729118</v>
      </c>
    </row>
    <row r="7578" spans="26:26" x14ac:dyDescent="0.25">
      <c r="Z7578">
        <v>399999.99756338267</v>
      </c>
    </row>
    <row r="7579" spans="26:26" x14ac:dyDescent="0.25">
      <c r="Z7579">
        <v>399999.99756945908</v>
      </c>
    </row>
    <row r="7580" spans="26:26" x14ac:dyDescent="0.25">
      <c r="Z7580">
        <v>399999.99757552025</v>
      </c>
    </row>
    <row r="7581" spans="26:26" x14ac:dyDescent="0.25">
      <c r="Z7581">
        <v>399999.99758156633</v>
      </c>
    </row>
    <row r="7582" spans="26:26" x14ac:dyDescent="0.25">
      <c r="Z7582">
        <v>399999.99758759735</v>
      </c>
    </row>
    <row r="7583" spans="26:26" x14ac:dyDescent="0.25">
      <c r="Z7583">
        <v>399999.99759361328</v>
      </c>
    </row>
    <row r="7584" spans="26:26" x14ac:dyDescent="0.25">
      <c r="Z7584">
        <v>399999.99759961426</v>
      </c>
    </row>
    <row r="7585" spans="26:26" x14ac:dyDescent="0.25">
      <c r="Z7585">
        <v>399999.99760560028</v>
      </c>
    </row>
    <row r="7586" spans="26:26" x14ac:dyDescent="0.25">
      <c r="Z7586">
        <v>399999.99761157134</v>
      </c>
    </row>
    <row r="7587" spans="26:26" x14ac:dyDescent="0.25">
      <c r="Z7587">
        <v>399999.99761752749</v>
      </c>
    </row>
    <row r="7588" spans="26:26" x14ac:dyDescent="0.25">
      <c r="Z7588">
        <v>399999.99762346881</v>
      </c>
    </row>
    <row r="7589" spans="26:26" x14ac:dyDescent="0.25">
      <c r="Z7589">
        <v>399999.9976293954</v>
      </c>
    </row>
    <row r="7590" spans="26:26" x14ac:dyDescent="0.25">
      <c r="Z7590">
        <v>399999.99763530714</v>
      </c>
    </row>
    <row r="7591" spans="26:26" x14ac:dyDescent="0.25">
      <c r="Z7591">
        <v>399999.99764120404</v>
      </c>
    </row>
    <row r="7592" spans="26:26" x14ac:dyDescent="0.25">
      <c r="Z7592">
        <v>399999.99764708639</v>
      </c>
    </row>
    <row r="7593" spans="26:26" x14ac:dyDescent="0.25">
      <c r="Z7593">
        <v>399999.99765295396</v>
      </c>
    </row>
    <row r="7594" spans="26:26" x14ac:dyDescent="0.25">
      <c r="Z7594">
        <v>399999.99765880697</v>
      </c>
    </row>
    <row r="7595" spans="26:26" x14ac:dyDescent="0.25">
      <c r="Z7595">
        <v>399999.99766464537</v>
      </c>
    </row>
    <row r="7596" spans="26:26" x14ac:dyDescent="0.25">
      <c r="Z7596">
        <v>399999.99767046917</v>
      </c>
    </row>
    <row r="7597" spans="26:26" x14ac:dyDescent="0.25">
      <c r="Z7597">
        <v>399999.99767627852</v>
      </c>
    </row>
    <row r="7598" spans="26:26" x14ac:dyDescent="0.25">
      <c r="Z7598">
        <v>399999.99768207333</v>
      </c>
    </row>
    <row r="7599" spans="26:26" x14ac:dyDescent="0.25">
      <c r="Z7599">
        <v>399999.99768785364</v>
      </c>
    </row>
    <row r="7600" spans="26:26" x14ac:dyDescent="0.25">
      <c r="Z7600">
        <v>399999.99769361963</v>
      </c>
    </row>
    <row r="7601" spans="26:26" x14ac:dyDescent="0.25">
      <c r="Z7601">
        <v>399999.99769937119</v>
      </c>
    </row>
    <row r="7602" spans="26:26" x14ac:dyDescent="0.25">
      <c r="Z7602">
        <v>399999.99770510843</v>
      </c>
    </row>
    <row r="7603" spans="26:26" x14ac:dyDescent="0.25">
      <c r="Z7603">
        <v>399999.99771083135</v>
      </c>
    </row>
    <row r="7604" spans="26:26" x14ac:dyDescent="0.25">
      <c r="Z7604">
        <v>399999.99771654001</v>
      </c>
    </row>
    <row r="7605" spans="26:26" x14ac:dyDescent="0.25">
      <c r="Z7605">
        <v>399999.9977222344</v>
      </c>
    </row>
    <row r="7606" spans="26:26" x14ac:dyDescent="0.25">
      <c r="Z7606">
        <v>399999.9977279146</v>
      </c>
    </row>
    <row r="7607" spans="26:26" x14ac:dyDescent="0.25">
      <c r="Z7607">
        <v>399999.99773358065</v>
      </c>
    </row>
    <row r="7608" spans="26:26" x14ac:dyDescent="0.25">
      <c r="Z7608">
        <v>399999.99773923261</v>
      </c>
    </row>
    <row r="7609" spans="26:26" x14ac:dyDescent="0.25">
      <c r="Z7609">
        <v>399999.99774487043</v>
      </c>
    </row>
    <row r="7610" spans="26:26" x14ac:dyDescent="0.25">
      <c r="Z7610">
        <v>399999.99775049416</v>
      </c>
    </row>
    <row r="7611" spans="26:26" x14ac:dyDescent="0.25">
      <c r="Z7611">
        <v>399999.99775610387</v>
      </c>
    </row>
    <row r="7612" spans="26:26" x14ac:dyDescent="0.25">
      <c r="Z7612">
        <v>399999.99776169966</v>
      </c>
    </row>
    <row r="7613" spans="26:26" x14ac:dyDescent="0.25">
      <c r="Z7613">
        <v>399999.99776728143</v>
      </c>
    </row>
    <row r="7614" spans="26:26" x14ac:dyDescent="0.25">
      <c r="Z7614">
        <v>399999.99777284934</v>
      </c>
    </row>
    <row r="7615" spans="26:26" x14ac:dyDescent="0.25">
      <c r="Z7615">
        <v>399999.99777840334</v>
      </c>
    </row>
    <row r="7616" spans="26:26" x14ac:dyDescent="0.25">
      <c r="Z7616">
        <v>399999.99778394343</v>
      </c>
    </row>
    <row r="7617" spans="26:26" x14ac:dyDescent="0.25">
      <c r="Z7617">
        <v>399999.99778946978</v>
      </c>
    </row>
    <row r="7618" spans="26:26" x14ac:dyDescent="0.25">
      <c r="Z7618">
        <v>399999.99779498234</v>
      </c>
    </row>
    <row r="7619" spans="26:26" x14ac:dyDescent="0.25">
      <c r="Z7619">
        <v>399999.99780048116</v>
      </c>
    </row>
    <row r="7620" spans="26:26" x14ac:dyDescent="0.25">
      <c r="Z7620">
        <v>399999.99780596624</v>
      </c>
    </row>
    <row r="7621" spans="26:26" x14ac:dyDescent="0.25">
      <c r="Z7621">
        <v>399999.99781143764</v>
      </c>
    </row>
    <row r="7622" spans="26:26" x14ac:dyDescent="0.25">
      <c r="Z7622">
        <v>399999.99781689537</v>
      </c>
    </row>
    <row r="7623" spans="26:26" x14ac:dyDescent="0.25">
      <c r="Z7623">
        <v>399999.99782233953</v>
      </c>
    </row>
    <row r="7624" spans="26:26" x14ac:dyDescent="0.25">
      <c r="Z7624">
        <v>399999.99782777013</v>
      </c>
    </row>
    <row r="7625" spans="26:26" x14ac:dyDescent="0.25">
      <c r="Z7625">
        <v>399999.99783318711</v>
      </c>
    </row>
    <row r="7626" spans="26:26" x14ac:dyDescent="0.25">
      <c r="Z7626">
        <v>399999.99783859064</v>
      </c>
    </row>
    <row r="7627" spans="26:26" x14ac:dyDescent="0.25">
      <c r="Z7627">
        <v>399999.99784398073</v>
      </c>
    </row>
    <row r="7628" spans="26:26" x14ac:dyDescent="0.25">
      <c r="Z7628">
        <v>399999.99784935731</v>
      </c>
    </row>
    <row r="7629" spans="26:26" x14ac:dyDescent="0.25">
      <c r="Z7629">
        <v>399999.99785472057</v>
      </c>
    </row>
    <row r="7630" spans="26:26" x14ac:dyDescent="0.25">
      <c r="Z7630">
        <v>399999.99786007032</v>
      </c>
    </row>
    <row r="7631" spans="26:26" x14ac:dyDescent="0.25">
      <c r="Z7631">
        <v>399999.99786540685</v>
      </c>
    </row>
    <row r="7632" spans="26:26" x14ac:dyDescent="0.25">
      <c r="Z7632">
        <v>399999.99787072995</v>
      </c>
    </row>
    <row r="7633" spans="26:26" x14ac:dyDescent="0.25">
      <c r="Z7633">
        <v>399999.99787603994</v>
      </c>
    </row>
    <row r="7634" spans="26:26" x14ac:dyDescent="0.25">
      <c r="Z7634">
        <v>399999.9978813366</v>
      </c>
    </row>
    <row r="7635" spans="26:26" x14ac:dyDescent="0.25">
      <c r="Z7635">
        <v>399999.99788662</v>
      </c>
    </row>
    <row r="7636" spans="26:26" x14ac:dyDescent="0.25">
      <c r="Z7636">
        <v>399999.99789189029</v>
      </c>
    </row>
    <row r="7637" spans="26:26" x14ac:dyDescent="0.25">
      <c r="Z7637">
        <v>399999.99789714743</v>
      </c>
    </row>
    <row r="7638" spans="26:26" x14ac:dyDescent="0.25">
      <c r="Z7638">
        <v>399999.99790239148</v>
      </c>
    </row>
    <row r="7639" spans="26:26" x14ac:dyDescent="0.25">
      <c r="Z7639">
        <v>399999.99790762237</v>
      </c>
    </row>
    <row r="7640" spans="26:26" x14ac:dyDescent="0.25">
      <c r="Z7640">
        <v>399999.99791284028</v>
      </c>
    </row>
    <row r="7641" spans="26:26" x14ac:dyDescent="0.25">
      <c r="Z7641">
        <v>399999.99791804515</v>
      </c>
    </row>
    <row r="7642" spans="26:26" x14ac:dyDescent="0.25">
      <c r="Z7642">
        <v>399999.9979232371</v>
      </c>
    </row>
    <row r="7643" spans="26:26" x14ac:dyDescent="0.25">
      <c r="Z7643">
        <v>399999.99792841601</v>
      </c>
    </row>
    <row r="7644" spans="26:26" x14ac:dyDescent="0.25">
      <c r="Z7644">
        <v>399999.99793358205</v>
      </c>
    </row>
    <row r="7645" spans="26:26" x14ac:dyDescent="0.25">
      <c r="Z7645">
        <v>399999.99793873524</v>
      </c>
    </row>
    <row r="7646" spans="26:26" x14ac:dyDescent="0.25">
      <c r="Z7646">
        <v>399999.99794387555</v>
      </c>
    </row>
    <row r="7647" spans="26:26" x14ac:dyDescent="0.25">
      <c r="Z7647">
        <v>399999.99794900307</v>
      </c>
    </row>
    <row r="7648" spans="26:26" x14ac:dyDescent="0.25">
      <c r="Z7648">
        <v>399999.99795411777</v>
      </c>
    </row>
    <row r="7649" spans="26:26" x14ac:dyDescent="0.25">
      <c r="Z7649">
        <v>399999.99795921973</v>
      </c>
    </row>
    <row r="7650" spans="26:26" x14ac:dyDescent="0.25">
      <c r="Z7650">
        <v>399999.99796430895</v>
      </c>
    </row>
    <row r="7651" spans="26:26" x14ac:dyDescent="0.25">
      <c r="Z7651">
        <v>399999.99796938547</v>
      </c>
    </row>
    <row r="7652" spans="26:26" x14ac:dyDescent="0.25">
      <c r="Z7652">
        <v>399999.99797444936</v>
      </c>
    </row>
    <row r="7653" spans="26:26" x14ac:dyDescent="0.25">
      <c r="Z7653">
        <v>399999.99797950056</v>
      </c>
    </row>
    <row r="7654" spans="26:26" x14ac:dyDescent="0.25">
      <c r="Z7654">
        <v>399999.99798453925</v>
      </c>
    </row>
    <row r="7655" spans="26:26" x14ac:dyDescent="0.25">
      <c r="Z7655">
        <v>399999.99798956531</v>
      </c>
    </row>
    <row r="7656" spans="26:26" x14ac:dyDescent="0.25">
      <c r="Z7656">
        <v>399999.99799457885</v>
      </c>
    </row>
    <row r="7657" spans="26:26" x14ac:dyDescent="0.25">
      <c r="Z7657">
        <v>399999.99799957994</v>
      </c>
    </row>
    <row r="7658" spans="26:26" x14ac:dyDescent="0.25">
      <c r="Z7658">
        <v>399999.99800456851</v>
      </c>
    </row>
    <row r="7659" spans="26:26" x14ac:dyDescent="0.25">
      <c r="Z7659">
        <v>399999.99800954462</v>
      </c>
    </row>
    <row r="7660" spans="26:26" x14ac:dyDescent="0.25">
      <c r="Z7660">
        <v>399999.9980145084</v>
      </c>
    </row>
    <row r="7661" spans="26:26" x14ac:dyDescent="0.25">
      <c r="Z7661">
        <v>399999.99801945972</v>
      </c>
    </row>
    <row r="7662" spans="26:26" x14ac:dyDescent="0.25">
      <c r="Z7662">
        <v>399999.99802439875</v>
      </c>
    </row>
    <row r="7663" spans="26:26" x14ac:dyDescent="0.25">
      <c r="Z7663">
        <v>399999.99802932545</v>
      </c>
    </row>
    <row r="7664" spans="26:26" x14ac:dyDescent="0.25">
      <c r="Z7664">
        <v>399999.99803423986</v>
      </c>
    </row>
    <row r="7665" spans="26:26" x14ac:dyDescent="0.25">
      <c r="Z7665">
        <v>399999.99803914194</v>
      </c>
    </row>
    <row r="7666" spans="26:26" x14ac:dyDescent="0.25">
      <c r="Z7666">
        <v>399999.99804403191</v>
      </c>
    </row>
    <row r="7667" spans="26:26" x14ac:dyDescent="0.25">
      <c r="Z7667">
        <v>399999.99804890965</v>
      </c>
    </row>
    <row r="7668" spans="26:26" x14ac:dyDescent="0.25">
      <c r="Z7668">
        <v>399999.99805377517</v>
      </c>
    </row>
    <row r="7669" spans="26:26" x14ac:dyDescent="0.25">
      <c r="Z7669">
        <v>399999.99805862864</v>
      </c>
    </row>
    <row r="7670" spans="26:26" x14ac:dyDescent="0.25">
      <c r="Z7670">
        <v>399999.99806346995</v>
      </c>
    </row>
    <row r="7671" spans="26:26" x14ac:dyDescent="0.25">
      <c r="Z7671">
        <v>399999.9980682992</v>
      </c>
    </row>
    <row r="7672" spans="26:26" x14ac:dyDescent="0.25">
      <c r="Z7672">
        <v>399999.99807311641</v>
      </c>
    </row>
    <row r="7673" spans="26:26" x14ac:dyDescent="0.25">
      <c r="Z7673">
        <v>399999.99807792157</v>
      </c>
    </row>
    <row r="7674" spans="26:26" x14ac:dyDescent="0.25">
      <c r="Z7674">
        <v>399999.9980827148</v>
      </c>
    </row>
    <row r="7675" spans="26:26" x14ac:dyDescent="0.25">
      <c r="Z7675">
        <v>399999.99808749609</v>
      </c>
    </row>
    <row r="7676" spans="26:26" x14ac:dyDescent="0.25">
      <c r="Z7676">
        <v>399999.99809226539</v>
      </c>
    </row>
    <row r="7677" spans="26:26" x14ac:dyDescent="0.25">
      <c r="Z7677">
        <v>399999.99809702282</v>
      </c>
    </row>
    <row r="7678" spans="26:26" x14ac:dyDescent="0.25">
      <c r="Z7678">
        <v>399999.99810176843</v>
      </c>
    </row>
    <row r="7679" spans="26:26" x14ac:dyDescent="0.25">
      <c r="Z7679">
        <v>399999.99810650217</v>
      </c>
    </row>
    <row r="7680" spans="26:26" x14ac:dyDescent="0.25">
      <c r="Z7680">
        <v>399999.99811122409</v>
      </c>
    </row>
    <row r="7681" spans="26:26" x14ac:dyDescent="0.25">
      <c r="Z7681">
        <v>399999.99811593432</v>
      </c>
    </row>
    <row r="7682" spans="26:26" x14ac:dyDescent="0.25">
      <c r="Z7682">
        <v>399999.99812063266</v>
      </c>
    </row>
    <row r="7683" spans="26:26" x14ac:dyDescent="0.25">
      <c r="Z7683">
        <v>399999.99812531943</v>
      </c>
    </row>
    <row r="7684" spans="26:26" x14ac:dyDescent="0.25">
      <c r="Z7684">
        <v>399999.99812999443</v>
      </c>
    </row>
    <row r="7685" spans="26:26" x14ac:dyDescent="0.25">
      <c r="Z7685">
        <v>399999.99813465774</v>
      </c>
    </row>
    <row r="7686" spans="26:26" x14ac:dyDescent="0.25">
      <c r="Z7686">
        <v>399999.99813930946</v>
      </c>
    </row>
    <row r="7687" spans="26:26" x14ac:dyDescent="0.25">
      <c r="Z7687">
        <v>399999.99814394966</v>
      </c>
    </row>
    <row r="7688" spans="26:26" x14ac:dyDescent="0.25">
      <c r="Z7688">
        <v>399999.99814857816</v>
      </c>
    </row>
    <row r="7689" spans="26:26" x14ac:dyDescent="0.25">
      <c r="Z7689">
        <v>399999.99815319519</v>
      </c>
    </row>
    <row r="7690" spans="26:26" x14ac:dyDescent="0.25">
      <c r="Z7690">
        <v>399999.99815780064</v>
      </c>
    </row>
    <row r="7691" spans="26:26" x14ac:dyDescent="0.25">
      <c r="Z7691">
        <v>399999.99816239468</v>
      </c>
    </row>
    <row r="7692" spans="26:26" x14ac:dyDescent="0.25">
      <c r="Z7692">
        <v>399999.9981669772</v>
      </c>
    </row>
    <row r="7693" spans="26:26" x14ac:dyDescent="0.25">
      <c r="Z7693">
        <v>399999.99817154836</v>
      </c>
    </row>
    <row r="7694" spans="26:26" x14ac:dyDescent="0.25">
      <c r="Z7694">
        <v>399999.99817610811</v>
      </c>
    </row>
    <row r="7695" spans="26:26" x14ac:dyDescent="0.25">
      <c r="Z7695">
        <v>399999.99818065646</v>
      </c>
    </row>
    <row r="7696" spans="26:26" x14ac:dyDescent="0.25">
      <c r="Z7696">
        <v>399999.99818519346</v>
      </c>
    </row>
    <row r="7697" spans="26:26" x14ac:dyDescent="0.25">
      <c r="Z7697">
        <v>399999.99818971916</v>
      </c>
    </row>
    <row r="7698" spans="26:26" x14ac:dyDescent="0.25">
      <c r="Z7698">
        <v>399999.99819423357</v>
      </c>
    </row>
    <row r="7699" spans="26:26" x14ac:dyDescent="0.25">
      <c r="Z7699">
        <v>399999.99819873675</v>
      </c>
    </row>
    <row r="7700" spans="26:26" x14ac:dyDescent="0.25">
      <c r="Z7700">
        <v>399999.99820322869</v>
      </c>
    </row>
    <row r="7701" spans="26:26" x14ac:dyDescent="0.25">
      <c r="Z7701">
        <v>399999.9982077094</v>
      </c>
    </row>
    <row r="7702" spans="26:26" x14ac:dyDescent="0.25">
      <c r="Z7702">
        <v>399999.99821217894</v>
      </c>
    </row>
    <row r="7703" spans="26:26" x14ac:dyDescent="0.25">
      <c r="Z7703">
        <v>399999.99821663735</v>
      </c>
    </row>
    <row r="7704" spans="26:26" x14ac:dyDescent="0.25">
      <c r="Z7704">
        <v>399999.99822108465</v>
      </c>
    </row>
    <row r="7705" spans="26:26" x14ac:dyDescent="0.25">
      <c r="Z7705">
        <v>399999.99822552083</v>
      </c>
    </row>
    <row r="7706" spans="26:26" x14ac:dyDescent="0.25">
      <c r="Z7706">
        <v>399999.99822994601</v>
      </c>
    </row>
    <row r="7707" spans="26:26" x14ac:dyDescent="0.25">
      <c r="Z7707">
        <v>399999.99823436007</v>
      </c>
    </row>
    <row r="7708" spans="26:26" x14ac:dyDescent="0.25">
      <c r="Z7708">
        <v>399999.99823876319</v>
      </c>
    </row>
    <row r="7709" spans="26:26" x14ac:dyDescent="0.25">
      <c r="Z7709">
        <v>399999.99824315525</v>
      </c>
    </row>
    <row r="7710" spans="26:26" x14ac:dyDescent="0.25">
      <c r="Z7710">
        <v>399999.99824753642</v>
      </c>
    </row>
    <row r="7711" spans="26:26" x14ac:dyDescent="0.25">
      <c r="Z7711">
        <v>399999.99825190665</v>
      </c>
    </row>
    <row r="7712" spans="26:26" x14ac:dyDescent="0.25">
      <c r="Z7712">
        <v>399999.99825626606</v>
      </c>
    </row>
    <row r="7713" spans="26:26" x14ac:dyDescent="0.25">
      <c r="Z7713">
        <v>399999.99826061446</v>
      </c>
    </row>
    <row r="7714" spans="26:26" x14ac:dyDescent="0.25">
      <c r="Z7714">
        <v>399999.99826495216</v>
      </c>
    </row>
    <row r="7715" spans="26:26" x14ac:dyDescent="0.25">
      <c r="Z7715">
        <v>399999.99826927891</v>
      </c>
    </row>
    <row r="7716" spans="26:26" x14ac:dyDescent="0.25">
      <c r="Z7716">
        <v>399999.99827359495</v>
      </c>
    </row>
    <row r="7717" spans="26:26" x14ac:dyDescent="0.25">
      <c r="Z7717">
        <v>399999.99827790016</v>
      </c>
    </row>
    <row r="7718" spans="26:26" x14ac:dyDescent="0.25">
      <c r="Z7718">
        <v>399999.99828219472</v>
      </c>
    </row>
    <row r="7719" spans="26:26" x14ac:dyDescent="0.25">
      <c r="Z7719">
        <v>399999.99828647851</v>
      </c>
    </row>
    <row r="7720" spans="26:26" x14ac:dyDescent="0.25">
      <c r="Z7720">
        <v>399999.9982907516</v>
      </c>
    </row>
    <row r="7721" spans="26:26" x14ac:dyDescent="0.25">
      <c r="Z7721">
        <v>399999.99829501408</v>
      </c>
    </row>
    <row r="7722" spans="26:26" x14ac:dyDescent="0.25">
      <c r="Z7722">
        <v>399999.99829926592</v>
      </c>
    </row>
    <row r="7723" spans="26:26" x14ac:dyDescent="0.25">
      <c r="Z7723">
        <v>399999.99830350716</v>
      </c>
    </row>
    <row r="7724" spans="26:26" x14ac:dyDescent="0.25">
      <c r="Z7724">
        <v>399999.99830773781</v>
      </c>
    </row>
    <row r="7725" spans="26:26" x14ac:dyDescent="0.25">
      <c r="Z7725">
        <v>399999.99831195793</v>
      </c>
    </row>
    <row r="7726" spans="26:26" x14ac:dyDescent="0.25">
      <c r="Z7726">
        <v>399999.9983161675</v>
      </c>
    </row>
    <row r="7727" spans="26:26" x14ac:dyDescent="0.25">
      <c r="Z7727">
        <v>399999.99832036661</v>
      </c>
    </row>
    <row r="7728" spans="26:26" x14ac:dyDescent="0.25">
      <c r="Z7728">
        <v>399999.99832455517</v>
      </c>
    </row>
    <row r="7729" spans="26:26" x14ac:dyDescent="0.25">
      <c r="Z7729">
        <v>399999.99832873337</v>
      </c>
    </row>
    <row r="7730" spans="26:26" x14ac:dyDescent="0.25">
      <c r="Z7730">
        <v>399999.99833290104</v>
      </c>
    </row>
    <row r="7731" spans="26:26" x14ac:dyDescent="0.25">
      <c r="Z7731">
        <v>399999.99833705841</v>
      </c>
    </row>
    <row r="7732" spans="26:26" x14ac:dyDescent="0.25">
      <c r="Z7732">
        <v>399999.99834120541</v>
      </c>
    </row>
    <row r="7733" spans="26:26" x14ac:dyDescent="0.25">
      <c r="Z7733">
        <v>399999.99834534212</v>
      </c>
    </row>
    <row r="7734" spans="26:26" x14ac:dyDescent="0.25">
      <c r="Z7734">
        <v>399999.9983494684</v>
      </c>
    </row>
    <row r="7735" spans="26:26" x14ac:dyDescent="0.25">
      <c r="Z7735">
        <v>399999.99835358444</v>
      </c>
    </row>
    <row r="7736" spans="26:26" x14ac:dyDescent="0.25">
      <c r="Z7736">
        <v>399999.99835769023</v>
      </c>
    </row>
    <row r="7737" spans="26:26" x14ac:dyDescent="0.25">
      <c r="Z7737">
        <v>399999.99836178578</v>
      </c>
    </row>
    <row r="7738" spans="26:26" x14ac:dyDescent="0.25">
      <c r="Z7738">
        <v>399999.99836587108</v>
      </c>
    </row>
    <row r="7739" spans="26:26" x14ac:dyDescent="0.25">
      <c r="Z7739">
        <v>399999.9983699462</v>
      </c>
    </row>
    <row r="7740" spans="26:26" x14ac:dyDescent="0.25">
      <c r="Z7740">
        <v>399999.99837401119</v>
      </c>
    </row>
    <row r="7741" spans="26:26" x14ac:dyDescent="0.25">
      <c r="Z7741">
        <v>399999.99837806606</v>
      </c>
    </row>
    <row r="7742" spans="26:26" x14ac:dyDescent="0.25">
      <c r="Z7742">
        <v>399999.99838211073</v>
      </c>
    </row>
    <row r="7743" spans="26:26" x14ac:dyDescent="0.25">
      <c r="Z7743">
        <v>399999.99838614539</v>
      </c>
    </row>
    <row r="7744" spans="26:26" x14ac:dyDescent="0.25">
      <c r="Z7744">
        <v>399999.99839016993</v>
      </c>
    </row>
    <row r="7745" spans="26:26" x14ac:dyDescent="0.25">
      <c r="Z7745">
        <v>399999.99839418451</v>
      </c>
    </row>
    <row r="7746" spans="26:26" x14ac:dyDescent="0.25">
      <c r="Z7746">
        <v>399999.99839818903</v>
      </c>
    </row>
    <row r="7747" spans="26:26" x14ac:dyDescent="0.25">
      <c r="Z7747">
        <v>399999.99840218358</v>
      </c>
    </row>
    <row r="7748" spans="26:26" x14ac:dyDescent="0.25">
      <c r="Z7748">
        <v>399999.99840616813</v>
      </c>
    </row>
    <row r="7749" spans="26:26" x14ac:dyDescent="0.25">
      <c r="Z7749">
        <v>399999.99841014278</v>
      </c>
    </row>
    <row r="7750" spans="26:26" x14ac:dyDescent="0.25">
      <c r="Z7750">
        <v>399999.99841410748</v>
      </c>
    </row>
    <row r="7751" spans="26:26" x14ac:dyDescent="0.25">
      <c r="Z7751">
        <v>399999.99841806234</v>
      </c>
    </row>
    <row r="7752" spans="26:26" x14ac:dyDescent="0.25">
      <c r="Z7752">
        <v>399999.99842200731</v>
      </c>
    </row>
    <row r="7753" spans="26:26" x14ac:dyDescent="0.25">
      <c r="Z7753">
        <v>399999.9984259425</v>
      </c>
    </row>
    <row r="7754" spans="26:26" x14ac:dyDescent="0.25">
      <c r="Z7754">
        <v>399999.99842986785</v>
      </c>
    </row>
    <row r="7755" spans="26:26" x14ac:dyDescent="0.25">
      <c r="Z7755">
        <v>399999.99843378336</v>
      </c>
    </row>
    <row r="7756" spans="26:26" x14ac:dyDescent="0.25">
      <c r="Z7756">
        <v>399999.99843768915</v>
      </c>
    </row>
    <row r="7757" spans="26:26" x14ac:dyDescent="0.25">
      <c r="Z7757">
        <v>399999.99844158516</v>
      </c>
    </row>
    <row r="7758" spans="26:26" x14ac:dyDescent="0.25">
      <c r="Z7758">
        <v>399999.99844547152</v>
      </c>
    </row>
    <row r="7759" spans="26:26" x14ac:dyDescent="0.25">
      <c r="Z7759">
        <v>399999.99844934815</v>
      </c>
    </row>
    <row r="7760" spans="26:26" x14ac:dyDescent="0.25">
      <c r="Z7760">
        <v>399999.99845321506</v>
      </c>
    </row>
    <row r="7761" spans="26:26" x14ac:dyDescent="0.25">
      <c r="Z7761">
        <v>399999.99845707236</v>
      </c>
    </row>
    <row r="7762" spans="26:26" x14ac:dyDescent="0.25">
      <c r="Z7762">
        <v>399999.99846092006</v>
      </c>
    </row>
    <row r="7763" spans="26:26" x14ac:dyDescent="0.25">
      <c r="Z7763">
        <v>399999.99846475822</v>
      </c>
    </row>
    <row r="7764" spans="26:26" x14ac:dyDescent="0.25">
      <c r="Z7764">
        <v>399999.99846858671</v>
      </c>
    </row>
    <row r="7765" spans="26:26" x14ac:dyDescent="0.25">
      <c r="Z7765">
        <v>399999.99847240571</v>
      </c>
    </row>
    <row r="7766" spans="26:26" x14ac:dyDescent="0.25">
      <c r="Z7766">
        <v>399999.99847621517</v>
      </c>
    </row>
    <row r="7767" spans="26:26" x14ac:dyDescent="0.25">
      <c r="Z7767">
        <v>399999.99848001514</v>
      </c>
    </row>
    <row r="7768" spans="26:26" x14ac:dyDescent="0.25">
      <c r="Z7768">
        <v>399999.99848380563</v>
      </c>
    </row>
    <row r="7769" spans="26:26" x14ac:dyDescent="0.25">
      <c r="Z7769">
        <v>399999.99848758668</v>
      </c>
    </row>
    <row r="7770" spans="26:26" x14ac:dyDescent="0.25">
      <c r="Z7770">
        <v>399999.9984913583</v>
      </c>
    </row>
    <row r="7771" spans="26:26" x14ac:dyDescent="0.25">
      <c r="Z7771">
        <v>399999.9984951205</v>
      </c>
    </row>
    <row r="7772" spans="26:26" x14ac:dyDescent="0.25">
      <c r="Z7772">
        <v>399999.99849887332</v>
      </c>
    </row>
    <row r="7773" spans="26:26" x14ac:dyDescent="0.25">
      <c r="Z7773">
        <v>399999.99850261671</v>
      </c>
    </row>
    <row r="7774" spans="26:26" x14ac:dyDescent="0.25">
      <c r="Z7774">
        <v>399999.99850635091</v>
      </c>
    </row>
    <row r="7775" spans="26:26" x14ac:dyDescent="0.25">
      <c r="Z7775">
        <v>399999.99851007567</v>
      </c>
    </row>
    <row r="7776" spans="26:26" x14ac:dyDescent="0.25">
      <c r="Z7776">
        <v>399999.99851379119</v>
      </c>
    </row>
    <row r="7777" spans="26:26" x14ac:dyDescent="0.25">
      <c r="Z7777">
        <v>399999.9985174975</v>
      </c>
    </row>
    <row r="7778" spans="26:26" x14ac:dyDescent="0.25">
      <c r="Z7778">
        <v>399999.9985211945</v>
      </c>
    </row>
    <row r="7779" spans="26:26" x14ac:dyDescent="0.25">
      <c r="Z7779">
        <v>399999.99852488225</v>
      </c>
    </row>
    <row r="7780" spans="26:26" x14ac:dyDescent="0.25">
      <c r="Z7780">
        <v>399999.99852856086</v>
      </c>
    </row>
    <row r="7781" spans="26:26" x14ac:dyDescent="0.25">
      <c r="Z7781">
        <v>399999.99853223027</v>
      </c>
    </row>
    <row r="7782" spans="26:26" x14ac:dyDescent="0.25">
      <c r="Z7782">
        <v>399999.9985358906</v>
      </c>
    </row>
    <row r="7783" spans="26:26" x14ac:dyDescent="0.25">
      <c r="Z7783">
        <v>399999.99853954173</v>
      </c>
    </row>
    <row r="7784" spans="26:26" x14ac:dyDescent="0.25">
      <c r="Z7784">
        <v>399999.99854318373</v>
      </c>
    </row>
    <row r="7785" spans="26:26" x14ac:dyDescent="0.25">
      <c r="Z7785">
        <v>399999.9985468167</v>
      </c>
    </row>
    <row r="7786" spans="26:26" x14ac:dyDescent="0.25">
      <c r="Z7786">
        <v>399999.99855044059</v>
      </c>
    </row>
    <row r="7787" spans="26:26" x14ac:dyDescent="0.25">
      <c r="Z7787">
        <v>399999.99855405546</v>
      </c>
    </row>
    <row r="7788" spans="26:26" x14ac:dyDescent="0.25">
      <c r="Z7788">
        <v>399999.99855766131</v>
      </c>
    </row>
    <row r="7789" spans="26:26" x14ac:dyDescent="0.25">
      <c r="Z7789">
        <v>399999.99856125814</v>
      </c>
    </row>
    <row r="7790" spans="26:26" x14ac:dyDescent="0.25">
      <c r="Z7790">
        <v>399999.99856484606</v>
      </c>
    </row>
    <row r="7791" spans="26:26" x14ac:dyDescent="0.25">
      <c r="Z7791">
        <v>399999.99856842501</v>
      </c>
    </row>
    <row r="7792" spans="26:26" x14ac:dyDescent="0.25">
      <c r="Z7792">
        <v>399999.99857199501</v>
      </c>
    </row>
    <row r="7793" spans="26:26" x14ac:dyDescent="0.25">
      <c r="Z7793">
        <v>399999.99857555609</v>
      </c>
    </row>
    <row r="7794" spans="26:26" x14ac:dyDescent="0.25">
      <c r="Z7794">
        <v>399999.99857910833</v>
      </c>
    </row>
    <row r="7795" spans="26:26" x14ac:dyDescent="0.25">
      <c r="Z7795">
        <v>399999.99858265172</v>
      </c>
    </row>
    <row r="7796" spans="26:26" x14ac:dyDescent="0.25">
      <c r="Z7796">
        <v>399999.99858618627</v>
      </c>
    </row>
    <row r="7797" spans="26:26" x14ac:dyDescent="0.25">
      <c r="Z7797">
        <v>399999.99858971196</v>
      </c>
    </row>
    <row r="7798" spans="26:26" x14ac:dyDescent="0.25">
      <c r="Z7798">
        <v>399999.99859322887</v>
      </c>
    </row>
    <row r="7799" spans="26:26" x14ac:dyDescent="0.25">
      <c r="Z7799">
        <v>399999.99859673704</v>
      </c>
    </row>
    <row r="7800" spans="26:26" x14ac:dyDescent="0.25">
      <c r="Z7800">
        <v>399999.99860023643</v>
      </c>
    </row>
    <row r="7801" spans="26:26" x14ac:dyDescent="0.25">
      <c r="Z7801">
        <v>399999.99860372714</v>
      </c>
    </row>
    <row r="7802" spans="26:26" x14ac:dyDescent="0.25">
      <c r="Z7802">
        <v>399999.99860720913</v>
      </c>
    </row>
    <row r="7803" spans="26:26" x14ac:dyDescent="0.25">
      <c r="Z7803">
        <v>399999.99861068238</v>
      </c>
    </row>
    <row r="7804" spans="26:26" x14ac:dyDescent="0.25">
      <c r="Z7804">
        <v>399999.99861414701</v>
      </c>
    </row>
    <row r="7805" spans="26:26" x14ac:dyDescent="0.25">
      <c r="Z7805">
        <v>399999.99861760304</v>
      </c>
    </row>
    <row r="7806" spans="26:26" x14ac:dyDescent="0.25">
      <c r="Z7806">
        <v>399999.99862105038</v>
      </c>
    </row>
    <row r="7807" spans="26:26" x14ac:dyDescent="0.25">
      <c r="Z7807">
        <v>399999.99862448918</v>
      </c>
    </row>
    <row r="7808" spans="26:26" x14ac:dyDescent="0.25">
      <c r="Z7808">
        <v>399999.99862791941</v>
      </c>
    </row>
    <row r="7809" spans="26:26" x14ac:dyDescent="0.25">
      <c r="Z7809">
        <v>399999.99863134103</v>
      </c>
    </row>
    <row r="7810" spans="26:26" x14ac:dyDescent="0.25">
      <c r="Z7810">
        <v>399999.99863475416</v>
      </c>
    </row>
    <row r="7811" spans="26:26" x14ac:dyDescent="0.25">
      <c r="Z7811">
        <v>399999.99863815878</v>
      </c>
    </row>
    <row r="7812" spans="26:26" x14ac:dyDescent="0.25">
      <c r="Z7812">
        <v>399999.99864155485</v>
      </c>
    </row>
    <row r="7813" spans="26:26" x14ac:dyDescent="0.25">
      <c r="Z7813">
        <v>399999.99864494253</v>
      </c>
    </row>
    <row r="7814" spans="26:26" x14ac:dyDescent="0.25">
      <c r="Z7814">
        <v>399999.99864832172</v>
      </c>
    </row>
    <row r="7815" spans="26:26" x14ac:dyDescent="0.25">
      <c r="Z7815">
        <v>399999.99865169247</v>
      </c>
    </row>
    <row r="7816" spans="26:26" x14ac:dyDescent="0.25">
      <c r="Z7816">
        <v>399999.99865505489</v>
      </c>
    </row>
    <row r="7817" spans="26:26" x14ac:dyDescent="0.25">
      <c r="Z7817">
        <v>399999.99865840882</v>
      </c>
    </row>
    <row r="7818" spans="26:26" x14ac:dyDescent="0.25">
      <c r="Z7818">
        <v>399999.99866175442</v>
      </c>
    </row>
    <row r="7819" spans="26:26" x14ac:dyDescent="0.25">
      <c r="Z7819">
        <v>399999.99866509176</v>
      </c>
    </row>
    <row r="7820" spans="26:26" x14ac:dyDescent="0.25">
      <c r="Z7820">
        <v>399999.99866842065</v>
      </c>
    </row>
    <row r="7821" spans="26:26" x14ac:dyDescent="0.25">
      <c r="Z7821">
        <v>399999.99867174128</v>
      </c>
    </row>
    <row r="7822" spans="26:26" x14ac:dyDescent="0.25">
      <c r="Z7822">
        <v>399999.99867505365</v>
      </c>
    </row>
    <row r="7823" spans="26:26" x14ac:dyDescent="0.25">
      <c r="Z7823">
        <v>399999.99867835775</v>
      </c>
    </row>
    <row r="7824" spans="26:26" x14ac:dyDescent="0.25">
      <c r="Z7824">
        <v>399999.99868165364</v>
      </c>
    </row>
    <row r="7825" spans="26:26" x14ac:dyDescent="0.25">
      <c r="Z7825">
        <v>399999.99868494127</v>
      </c>
    </row>
    <row r="7826" spans="26:26" x14ac:dyDescent="0.25">
      <c r="Z7826">
        <v>399999.99868822074</v>
      </c>
    </row>
    <row r="7827" spans="26:26" x14ac:dyDescent="0.25">
      <c r="Z7827">
        <v>399999.99869149196</v>
      </c>
    </row>
    <row r="7828" spans="26:26" x14ac:dyDescent="0.25">
      <c r="Z7828">
        <v>399999.99869475508</v>
      </c>
    </row>
    <row r="7829" spans="26:26" x14ac:dyDescent="0.25">
      <c r="Z7829">
        <v>399999.99869801005</v>
      </c>
    </row>
    <row r="7830" spans="26:26" x14ac:dyDescent="0.25">
      <c r="Z7830">
        <v>399999.99870125693</v>
      </c>
    </row>
    <row r="7831" spans="26:26" x14ac:dyDescent="0.25">
      <c r="Z7831">
        <v>399999.99870449572</v>
      </c>
    </row>
    <row r="7832" spans="26:26" x14ac:dyDescent="0.25">
      <c r="Z7832">
        <v>399999.99870772636</v>
      </c>
    </row>
    <row r="7833" spans="26:26" x14ac:dyDescent="0.25">
      <c r="Z7833">
        <v>399999.99871094903</v>
      </c>
    </row>
    <row r="7834" spans="26:26" x14ac:dyDescent="0.25">
      <c r="Z7834">
        <v>399999.99871416361</v>
      </c>
    </row>
    <row r="7835" spans="26:26" x14ac:dyDescent="0.25">
      <c r="Z7835">
        <v>399999.99871737015</v>
      </c>
    </row>
    <row r="7836" spans="26:26" x14ac:dyDescent="0.25">
      <c r="Z7836">
        <v>399999.99872056878</v>
      </c>
    </row>
    <row r="7837" spans="26:26" x14ac:dyDescent="0.25">
      <c r="Z7837">
        <v>399999.99872375937</v>
      </c>
    </row>
    <row r="7838" spans="26:26" x14ac:dyDescent="0.25">
      <c r="Z7838">
        <v>399999.99872694199</v>
      </c>
    </row>
    <row r="7839" spans="26:26" x14ac:dyDescent="0.25">
      <c r="Z7839">
        <v>399999.99873011676</v>
      </c>
    </row>
    <row r="7840" spans="26:26" x14ac:dyDescent="0.25">
      <c r="Z7840">
        <v>399999.99873328349</v>
      </c>
    </row>
    <row r="7841" spans="26:26" x14ac:dyDescent="0.25">
      <c r="Z7841">
        <v>399999.99873644236</v>
      </c>
    </row>
    <row r="7842" spans="26:26" x14ac:dyDescent="0.25">
      <c r="Z7842">
        <v>399999.99873959343</v>
      </c>
    </row>
    <row r="7843" spans="26:26" x14ac:dyDescent="0.25">
      <c r="Z7843">
        <v>399999.99874273658</v>
      </c>
    </row>
    <row r="7844" spans="26:26" x14ac:dyDescent="0.25">
      <c r="Z7844">
        <v>399999.99874587194</v>
      </c>
    </row>
    <row r="7845" spans="26:26" x14ac:dyDescent="0.25">
      <c r="Z7845">
        <v>399999.99874899938</v>
      </c>
    </row>
    <row r="7846" spans="26:26" x14ac:dyDescent="0.25">
      <c r="Z7846">
        <v>399999.99875211908</v>
      </c>
    </row>
    <row r="7847" spans="26:26" x14ac:dyDescent="0.25">
      <c r="Z7847">
        <v>399999.99875523103</v>
      </c>
    </row>
    <row r="7848" spans="26:26" x14ac:dyDescent="0.25">
      <c r="Z7848">
        <v>399999.99875833519</v>
      </c>
    </row>
    <row r="7849" spans="26:26" x14ac:dyDescent="0.25">
      <c r="Z7849">
        <v>399999.99876143161</v>
      </c>
    </row>
    <row r="7850" spans="26:26" x14ac:dyDescent="0.25">
      <c r="Z7850">
        <v>399999.99876452034</v>
      </c>
    </row>
    <row r="7851" spans="26:26" x14ac:dyDescent="0.25">
      <c r="Z7851">
        <v>399999.99876760133</v>
      </c>
    </row>
    <row r="7852" spans="26:26" x14ac:dyDescent="0.25">
      <c r="Z7852">
        <v>399999.99877067463</v>
      </c>
    </row>
    <row r="7853" spans="26:26" x14ac:dyDescent="0.25">
      <c r="Z7853">
        <v>399999.99877374031</v>
      </c>
    </row>
    <row r="7854" spans="26:26" x14ac:dyDescent="0.25">
      <c r="Z7854">
        <v>399999.99877679831</v>
      </c>
    </row>
    <row r="7855" spans="26:26" x14ac:dyDescent="0.25">
      <c r="Z7855">
        <v>399999.99877984863</v>
      </c>
    </row>
    <row r="7856" spans="26:26" x14ac:dyDescent="0.25">
      <c r="Z7856">
        <v>399999.99878289137</v>
      </c>
    </row>
    <row r="7857" spans="26:26" x14ac:dyDescent="0.25">
      <c r="Z7857">
        <v>399999.99878592661</v>
      </c>
    </row>
    <row r="7858" spans="26:26" x14ac:dyDescent="0.25">
      <c r="Z7858">
        <v>399999.99878895417</v>
      </c>
    </row>
    <row r="7859" spans="26:26" x14ac:dyDescent="0.25">
      <c r="Z7859">
        <v>399999.99879197427</v>
      </c>
    </row>
    <row r="7860" spans="26:26" x14ac:dyDescent="0.25">
      <c r="Z7860">
        <v>399999.99879498675</v>
      </c>
    </row>
    <row r="7861" spans="26:26" x14ac:dyDescent="0.25">
      <c r="Z7861">
        <v>399999.9987979919</v>
      </c>
    </row>
    <row r="7862" spans="26:26" x14ac:dyDescent="0.25">
      <c r="Z7862">
        <v>399999.99880098942</v>
      </c>
    </row>
    <row r="7863" spans="26:26" x14ac:dyDescent="0.25">
      <c r="Z7863">
        <v>399999.99880397943</v>
      </c>
    </row>
    <row r="7864" spans="26:26" x14ac:dyDescent="0.25">
      <c r="Z7864">
        <v>399999.99880696199</v>
      </c>
    </row>
    <row r="7865" spans="26:26" x14ac:dyDescent="0.25">
      <c r="Z7865">
        <v>399999.99880993715</v>
      </c>
    </row>
    <row r="7866" spans="26:26" x14ac:dyDescent="0.25">
      <c r="Z7866">
        <v>399999.99881290493</v>
      </c>
    </row>
    <row r="7867" spans="26:26" x14ac:dyDescent="0.25">
      <c r="Z7867">
        <v>399999.99881586526</v>
      </c>
    </row>
    <row r="7868" spans="26:26" x14ac:dyDescent="0.25">
      <c r="Z7868">
        <v>399999.99881881819</v>
      </c>
    </row>
    <row r="7869" spans="26:26" x14ac:dyDescent="0.25">
      <c r="Z7869">
        <v>399999.99882176379</v>
      </c>
    </row>
    <row r="7870" spans="26:26" x14ac:dyDescent="0.25">
      <c r="Z7870">
        <v>399999.99882470205</v>
      </c>
    </row>
    <row r="7871" spans="26:26" x14ac:dyDescent="0.25">
      <c r="Z7871">
        <v>399999.99882763292</v>
      </c>
    </row>
    <row r="7872" spans="26:26" x14ac:dyDescent="0.25">
      <c r="Z7872">
        <v>399999.99883055658</v>
      </c>
    </row>
    <row r="7873" spans="26:26" x14ac:dyDescent="0.25">
      <c r="Z7873">
        <v>399999.99883347284</v>
      </c>
    </row>
    <row r="7874" spans="26:26" x14ac:dyDescent="0.25">
      <c r="Z7874">
        <v>399999.99883638194</v>
      </c>
    </row>
    <row r="7875" spans="26:26" x14ac:dyDescent="0.25">
      <c r="Z7875">
        <v>399999.99883928371</v>
      </c>
    </row>
    <row r="7876" spans="26:26" x14ac:dyDescent="0.25">
      <c r="Z7876">
        <v>399999.9988421782</v>
      </c>
    </row>
    <row r="7877" spans="26:26" x14ac:dyDescent="0.25">
      <c r="Z7877">
        <v>399999.99884506559</v>
      </c>
    </row>
    <row r="7878" spans="26:26" x14ac:dyDescent="0.25">
      <c r="Z7878">
        <v>399999.99884794571</v>
      </c>
    </row>
    <row r="7879" spans="26:26" x14ac:dyDescent="0.25">
      <c r="Z7879">
        <v>399999.99885081867</v>
      </c>
    </row>
    <row r="7880" spans="26:26" x14ac:dyDescent="0.25">
      <c r="Z7880">
        <v>399999.99885368446</v>
      </c>
    </row>
    <row r="7881" spans="26:26" x14ac:dyDescent="0.25">
      <c r="Z7881">
        <v>399999.9988565431</v>
      </c>
    </row>
    <row r="7882" spans="26:26" x14ac:dyDescent="0.25">
      <c r="Z7882">
        <v>399999.99885939463</v>
      </c>
    </row>
    <row r="7883" spans="26:26" x14ac:dyDescent="0.25">
      <c r="Z7883">
        <v>399999.99886223901</v>
      </c>
    </row>
    <row r="7884" spans="26:26" x14ac:dyDescent="0.25">
      <c r="Z7884">
        <v>399999.99886507634</v>
      </c>
    </row>
    <row r="7885" spans="26:26" x14ac:dyDescent="0.25">
      <c r="Z7885">
        <v>399999.99886790657</v>
      </c>
    </row>
    <row r="7886" spans="26:26" x14ac:dyDescent="0.25">
      <c r="Z7886">
        <v>399999.99887072976</v>
      </c>
    </row>
    <row r="7887" spans="26:26" x14ac:dyDescent="0.25">
      <c r="Z7887">
        <v>399999.9988735459</v>
      </c>
    </row>
    <row r="7888" spans="26:26" x14ac:dyDescent="0.25">
      <c r="Z7888">
        <v>399999.99887635501</v>
      </c>
    </row>
    <row r="7889" spans="26:26" x14ac:dyDescent="0.25">
      <c r="Z7889">
        <v>399999.99887915706</v>
      </c>
    </row>
    <row r="7890" spans="26:26" x14ac:dyDescent="0.25">
      <c r="Z7890">
        <v>399999.9988819522</v>
      </c>
    </row>
    <row r="7891" spans="26:26" x14ac:dyDescent="0.25">
      <c r="Z7891">
        <v>399999.9988847404</v>
      </c>
    </row>
    <row r="7892" spans="26:26" x14ac:dyDescent="0.25">
      <c r="Z7892">
        <v>399999.99888752156</v>
      </c>
    </row>
    <row r="7893" spans="26:26" x14ac:dyDescent="0.25">
      <c r="Z7893">
        <v>399999.99889029586</v>
      </c>
    </row>
    <row r="7894" spans="26:26" x14ac:dyDescent="0.25">
      <c r="Z7894">
        <v>399999.99889306317</v>
      </c>
    </row>
    <row r="7895" spans="26:26" x14ac:dyDescent="0.25">
      <c r="Z7895">
        <v>399999.99889582361</v>
      </c>
    </row>
    <row r="7896" spans="26:26" x14ac:dyDescent="0.25">
      <c r="Z7896">
        <v>399999.99889857718</v>
      </c>
    </row>
    <row r="7897" spans="26:26" x14ac:dyDescent="0.25">
      <c r="Z7897">
        <v>399999.99890132382</v>
      </c>
    </row>
    <row r="7898" spans="26:26" x14ac:dyDescent="0.25">
      <c r="Z7898">
        <v>399999.99890406372</v>
      </c>
    </row>
    <row r="7899" spans="26:26" x14ac:dyDescent="0.25">
      <c r="Z7899">
        <v>399999.99890679674</v>
      </c>
    </row>
    <row r="7900" spans="26:26" x14ac:dyDescent="0.25">
      <c r="Z7900">
        <v>399999.9989095229</v>
      </c>
    </row>
    <row r="7901" spans="26:26" x14ac:dyDescent="0.25">
      <c r="Z7901">
        <v>399999.9989122423</v>
      </c>
    </row>
    <row r="7902" spans="26:26" x14ac:dyDescent="0.25">
      <c r="Z7902">
        <v>399999.99891495489</v>
      </c>
    </row>
    <row r="7903" spans="26:26" x14ac:dyDescent="0.25">
      <c r="Z7903">
        <v>399999.99891766073</v>
      </c>
    </row>
    <row r="7904" spans="26:26" x14ac:dyDescent="0.25">
      <c r="Z7904">
        <v>399999.99892035982</v>
      </c>
    </row>
    <row r="7905" spans="26:26" x14ac:dyDescent="0.25">
      <c r="Z7905">
        <v>399999.99892305222</v>
      </c>
    </row>
    <row r="7906" spans="26:26" x14ac:dyDescent="0.25">
      <c r="Z7906">
        <v>399999.99892573792</v>
      </c>
    </row>
    <row r="7907" spans="26:26" x14ac:dyDescent="0.25">
      <c r="Z7907">
        <v>399999.99892841687</v>
      </c>
    </row>
    <row r="7908" spans="26:26" x14ac:dyDescent="0.25">
      <c r="Z7908">
        <v>399999.99893108913</v>
      </c>
    </row>
    <row r="7909" spans="26:26" x14ac:dyDescent="0.25">
      <c r="Z7909">
        <v>399999.99893375474</v>
      </c>
    </row>
    <row r="7910" spans="26:26" x14ac:dyDescent="0.25">
      <c r="Z7910">
        <v>399999.99893641367</v>
      </c>
    </row>
    <row r="7911" spans="26:26" x14ac:dyDescent="0.25">
      <c r="Z7911">
        <v>399999.99893906602</v>
      </c>
    </row>
    <row r="7912" spans="26:26" x14ac:dyDescent="0.25">
      <c r="Z7912">
        <v>399999.99894171173</v>
      </c>
    </row>
    <row r="7913" spans="26:26" x14ac:dyDescent="0.25">
      <c r="Z7913">
        <v>399999.99894435087</v>
      </c>
    </row>
    <row r="7914" spans="26:26" x14ac:dyDescent="0.25">
      <c r="Z7914">
        <v>399999.99894698343</v>
      </c>
    </row>
    <row r="7915" spans="26:26" x14ac:dyDescent="0.25">
      <c r="Z7915">
        <v>399999.99894960935</v>
      </c>
    </row>
    <row r="7916" spans="26:26" x14ac:dyDescent="0.25">
      <c r="Z7916">
        <v>399999.99895222887</v>
      </c>
    </row>
    <row r="7917" spans="26:26" x14ac:dyDescent="0.25">
      <c r="Z7917">
        <v>399999.99895484175</v>
      </c>
    </row>
    <row r="7918" spans="26:26" x14ac:dyDescent="0.25">
      <c r="Z7918">
        <v>399999.99895744806</v>
      </c>
    </row>
    <row r="7919" spans="26:26" x14ac:dyDescent="0.25">
      <c r="Z7919">
        <v>399999.99896004796</v>
      </c>
    </row>
    <row r="7920" spans="26:26" x14ac:dyDescent="0.25">
      <c r="Z7920">
        <v>399999.9989626414</v>
      </c>
    </row>
    <row r="7921" spans="26:26" x14ac:dyDescent="0.25">
      <c r="Z7921">
        <v>399999.99896522833</v>
      </c>
    </row>
    <row r="7922" spans="26:26" x14ac:dyDescent="0.25">
      <c r="Z7922">
        <v>399999.99896780879</v>
      </c>
    </row>
    <row r="7923" spans="26:26" x14ac:dyDescent="0.25">
      <c r="Z7923">
        <v>399999.99897038285</v>
      </c>
    </row>
    <row r="7924" spans="26:26" x14ac:dyDescent="0.25">
      <c r="Z7924">
        <v>399999.99897295045</v>
      </c>
    </row>
    <row r="7925" spans="26:26" x14ac:dyDescent="0.25">
      <c r="Z7925">
        <v>399999.9989755117</v>
      </c>
    </row>
    <row r="7926" spans="26:26" x14ac:dyDescent="0.25">
      <c r="Z7926">
        <v>399999.99897806649</v>
      </c>
    </row>
    <row r="7927" spans="26:26" x14ac:dyDescent="0.25">
      <c r="Z7927">
        <v>399999.99898061494</v>
      </c>
    </row>
    <row r="7928" spans="26:26" x14ac:dyDescent="0.25">
      <c r="Z7928">
        <v>399999.9989831571</v>
      </c>
    </row>
    <row r="7929" spans="26:26" x14ac:dyDescent="0.25">
      <c r="Z7929">
        <v>399999.9989856928</v>
      </c>
    </row>
    <row r="7930" spans="26:26" x14ac:dyDescent="0.25">
      <c r="Z7930">
        <v>399999.99898822221</v>
      </c>
    </row>
    <row r="7931" spans="26:26" x14ac:dyDescent="0.25">
      <c r="Z7931">
        <v>399999.9989907454</v>
      </c>
    </row>
    <row r="7932" spans="26:26" x14ac:dyDescent="0.25">
      <c r="Z7932">
        <v>399999.9989932623</v>
      </c>
    </row>
    <row r="7933" spans="26:26" x14ac:dyDescent="0.25">
      <c r="Z7933">
        <v>399999.99899577285</v>
      </c>
    </row>
    <row r="7934" spans="26:26" x14ac:dyDescent="0.25">
      <c r="Z7934">
        <v>399999.99899827718</v>
      </c>
    </row>
    <row r="7935" spans="26:26" x14ac:dyDescent="0.25">
      <c r="Z7935">
        <v>399999.99900077516</v>
      </c>
    </row>
    <row r="7936" spans="26:26" x14ac:dyDescent="0.25">
      <c r="Z7936">
        <v>399999.99900326703</v>
      </c>
    </row>
    <row r="7937" spans="26:26" x14ac:dyDescent="0.25">
      <c r="Z7937">
        <v>399999.99900575267</v>
      </c>
    </row>
    <row r="7938" spans="26:26" x14ac:dyDescent="0.25">
      <c r="Z7938">
        <v>399999.99900823209</v>
      </c>
    </row>
    <row r="7939" spans="26:26" x14ac:dyDescent="0.25">
      <c r="Z7939">
        <v>399999.99901070533</v>
      </c>
    </row>
    <row r="7940" spans="26:26" x14ac:dyDescent="0.25">
      <c r="Z7940">
        <v>399999.9990131724</v>
      </c>
    </row>
    <row r="7941" spans="26:26" x14ac:dyDescent="0.25">
      <c r="Z7941">
        <v>399999.99901563331</v>
      </c>
    </row>
    <row r="7942" spans="26:26" x14ac:dyDescent="0.25">
      <c r="Z7942">
        <v>399999.99901808804</v>
      </c>
    </row>
    <row r="7943" spans="26:26" x14ac:dyDescent="0.25">
      <c r="Z7943">
        <v>399999.99902053672</v>
      </c>
    </row>
    <row r="7944" spans="26:26" x14ac:dyDescent="0.25">
      <c r="Z7944">
        <v>399999.99902297929</v>
      </c>
    </row>
    <row r="7945" spans="26:26" x14ac:dyDescent="0.25">
      <c r="Z7945">
        <v>399999.99902541575</v>
      </c>
    </row>
    <row r="7946" spans="26:26" x14ac:dyDescent="0.25">
      <c r="Z7946">
        <v>399999.99902784609</v>
      </c>
    </row>
    <row r="7947" spans="26:26" x14ac:dyDescent="0.25">
      <c r="Z7947">
        <v>399999.99903027044</v>
      </c>
    </row>
    <row r="7948" spans="26:26" x14ac:dyDescent="0.25">
      <c r="Z7948">
        <v>399999.99903268873</v>
      </c>
    </row>
    <row r="7949" spans="26:26" x14ac:dyDescent="0.25">
      <c r="Z7949">
        <v>399999.99903510098</v>
      </c>
    </row>
    <row r="7950" spans="26:26" x14ac:dyDescent="0.25">
      <c r="Z7950">
        <v>399999.99903750722</v>
      </c>
    </row>
    <row r="7951" spans="26:26" x14ac:dyDescent="0.25">
      <c r="Z7951">
        <v>399999.99903990747</v>
      </c>
    </row>
    <row r="7952" spans="26:26" x14ac:dyDescent="0.25">
      <c r="Z7952">
        <v>399999.99904230167</v>
      </c>
    </row>
    <row r="7953" spans="26:26" x14ac:dyDescent="0.25">
      <c r="Z7953">
        <v>399999.99904468999</v>
      </c>
    </row>
    <row r="7954" spans="26:26" x14ac:dyDescent="0.25">
      <c r="Z7954">
        <v>399999.99904707226</v>
      </c>
    </row>
    <row r="7955" spans="26:26" x14ac:dyDescent="0.25">
      <c r="Z7955">
        <v>399999.99904944864</v>
      </c>
    </row>
    <row r="7956" spans="26:26" x14ac:dyDescent="0.25">
      <c r="Z7956">
        <v>399999.99905181909</v>
      </c>
    </row>
    <row r="7957" spans="26:26" x14ac:dyDescent="0.25">
      <c r="Z7957">
        <v>399999.9990541836</v>
      </c>
    </row>
    <row r="7958" spans="26:26" x14ac:dyDescent="0.25">
      <c r="Z7958">
        <v>399999.99905654229</v>
      </c>
    </row>
    <row r="7959" spans="26:26" x14ac:dyDescent="0.25">
      <c r="Z7959">
        <v>399999.99905889505</v>
      </c>
    </row>
    <row r="7960" spans="26:26" x14ac:dyDescent="0.25">
      <c r="Z7960">
        <v>399999.99906124192</v>
      </c>
    </row>
    <row r="7961" spans="26:26" x14ac:dyDescent="0.25">
      <c r="Z7961">
        <v>399999.99906358303</v>
      </c>
    </row>
    <row r="7962" spans="26:26" x14ac:dyDescent="0.25">
      <c r="Z7962">
        <v>399999.99906591821</v>
      </c>
    </row>
    <row r="7963" spans="26:26" x14ac:dyDescent="0.25">
      <c r="Z7963">
        <v>399999.99906824756</v>
      </c>
    </row>
    <row r="7964" spans="26:26" x14ac:dyDescent="0.25">
      <c r="Z7964">
        <v>399999.99907057115</v>
      </c>
    </row>
    <row r="7965" spans="26:26" x14ac:dyDescent="0.25">
      <c r="Z7965">
        <v>399999.99907288892</v>
      </c>
    </row>
    <row r="7966" spans="26:26" x14ac:dyDescent="0.25">
      <c r="Z7966">
        <v>399999.99907520093</v>
      </c>
    </row>
    <row r="7967" spans="26:26" x14ac:dyDescent="0.25">
      <c r="Z7967">
        <v>399999.99907750718</v>
      </c>
    </row>
    <row r="7968" spans="26:26" x14ac:dyDescent="0.25">
      <c r="Z7968">
        <v>399999.9990798076</v>
      </c>
    </row>
    <row r="7969" spans="26:26" x14ac:dyDescent="0.25">
      <c r="Z7969">
        <v>399999.99908210238</v>
      </c>
    </row>
    <row r="7970" spans="26:26" x14ac:dyDescent="0.25">
      <c r="Z7970">
        <v>399999.99908439146</v>
      </c>
    </row>
    <row r="7971" spans="26:26" x14ac:dyDescent="0.25">
      <c r="Z7971">
        <v>399999.99908667471</v>
      </c>
    </row>
    <row r="7972" spans="26:26" x14ac:dyDescent="0.25">
      <c r="Z7972">
        <v>399999.99908895238</v>
      </c>
    </row>
    <row r="7973" spans="26:26" x14ac:dyDescent="0.25">
      <c r="Z7973">
        <v>399999.99909122428</v>
      </c>
    </row>
    <row r="7974" spans="26:26" x14ac:dyDescent="0.25">
      <c r="Z7974">
        <v>399999.99909349054</v>
      </c>
    </row>
    <row r="7975" spans="26:26" x14ac:dyDescent="0.25">
      <c r="Z7975">
        <v>399999.99909575115</v>
      </c>
    </row>
    <row r="7976" spans="26:26" x14ac:dyDescent="0.25">
      <c r="Z7976">
        <v>399999.99909800617</v>
      </c>
    </row>
    <row r="7977" spans="26:26" x14ac:dyDescent="0.25">
      <c r="Z7977">
        <v>399999.99910025555</v>
      </c>
    </row>
    <row r="7978" spans="26:26" x14ac:dyDescent="0.25">
      <c r="Z7978">
        <v>399999.99910249928</v>
      </c>
    </row>
    <row r="7979" spans="26:26" x14ac:dyDescent="0.25">
      <c r="Z7979">
        <v>399999.99910473742</v>
      </c>
    </row>
    <row r="7980" spans="26:26" x14ac:dyDescent="0.25">
      <c r="Z7980">
        <v>399999.99910696998</v>
      </c>
    </row>
    <row r="7981" spans="26:26" x14ac:dyDescent="0.25">
      <c r="Z7981">
        <v>399999.999109197</v>
      </c>
    </row>
    <row r="7982" spans="26:26" x14ac:dyDescent="0.25">
      <c r="Z7982">
        <v>399999.9991114185</v>
      </c>
    </row>
    <row r="7983" spans="26:26" x14ac:dyDescent="0.25">
      <c r="Z7983">
        <v>399999.9991136344</v>
      </c>
    </row>
    <row r="7984" spans="26:26" x14ac:dyDescent="0.25">
      <c r="Z7984">
        <v>399999.99911584478</v>
      </c>
    </row>
    <row r="7985" spans="26:26" x14ac:dyDescent="0.25">
      <c r="Z7985">
        <v>399999.99911804963</v>
      </c>
    </row>
    <row r="7986" spans="26:26" x14ac:dyDescent="0.25">
      <c r="Z7986">
        <v>399999.99912024901</v>
      </c>
    </row>
    <row r="7987" spans="26:26" x14ac:dyDescent="0.25">
      <c r="Z7987">
        <v>399999.99912244285</v>
      </c>
    </row>
    <row r="7988" spans="26:26" x14ac:dyDescent="0.25">
      <c r="Z7988">
        <v>399999.99912463129</v>
      </c>
    </row>
    <row r="7989" spans="26:26" x14ac:dyDescent="0.25">
      <c r="Z7989">
        <v>399999.99912681425</v>
      </c>
    </row>
    <row r="7990" spans="26:26" x14ac:dyDescent="0.25">
      <c r="Z7990">
        <v>399999.99912899185</v>
      </c>
    </row>
    <row r="7991" spans="26:26" x14ac:dyDescent="0.25">
      <c r="Z7991">
        <v>399999.99913116393</v>
      </c>
    </row>
    <row r="7992" spans="26:26" x14ac:dyDescent="0.25">
      <c r="Z7992">
        <v>399999.9991333306</v>
      </c>
    </row>
    <row r="7993" spans="26:26" x14ac:dyDescent="0.25">
      <c r="Z7993">
        <v>399999.99913549185</v>
      </c>
    </row>
    <row r="7994" spans="26:26" x14ac:dyDescent="0.25">
      <c r="Z7994">
        <v>399999.99913764774</v>
      </c>
    </row>
    <row r="7995" spans="26:26" x14ac:dyDescent="0.25">
      <c r="Z7995">
        <v>399999.99913979828</v>
      </c>
    </row>
    <row r="7996" spans="26:26" x14ac:dyDescent="0.25">
      <c r="Z7996">
        <v>399999.99914194341</v>
      </c>
    </row>
    <row r="7997" spans="26:26" x14ac:dyDescent="0.25">
      <c r="Z7997">
        <v>399999.99914408318</v>
      </c>
    </row>
    <row r="7998" spans="26:26" x14ac:dyDescent="0.25">
      <c r="Z7998">
        <v>399999.9991462176</v>
      </c>
    </row>
    <row r="7999" spans="26:26" x14ac:dyDescent="0.25">
      <c r="Z7999">
        <v>399999.99914834672</v>
      </c>
    </row>
    <row r="8000" spans="26:26" x14ac:dyDescent="0.25">
      <c r="Z8000">
        <v>399999.99915047054</v>
      </c>
    </row>
    <row r="8001" spans="26:26" x14ac:dyDescent="0.25">
      <c r="Z8001">
        <v>399999.99915258907</v>
      </c>
    </row>
    <row r="8002" spans="26:26" x14ac:dyDescent="0.25">
      <c r="Z8002">
        <v>399999.99915470235</v>
      </c>
    </row>
    <row r="8003" spans="26:26" x14ac:dyDescent="0.25">
      <c r="Z8003">
        <v>399999.99915681034</v>
      </c>
    </row>
    <row r="8004" spans="26:26" x14ac:dyDescent="0.25">
      <c r="Z8004">
        <v>399999.9991589131</v>
      </c>
    </row>
    <row r="8005" spans="26:26" x14ac:dyDescent="0.25">
      <c r="Z8005">
        <v>399999.99916101055</v>
      </c>
    </row>
    <row r="8006" spans="26:26" x14ac:dyDescent="0.25">
      <c r="Z8006">
        <v>399999.99916310277</v>
      </c>
    </row>
    <row r="8007" spans="26:26" x14ac:dyDescent="0.25">
      <c r="Z8007">
        <v>399999.99916518974</v>
      </c>
    </row>
    <row r="8008" spans="26:26" x14ac:dyDescent="0.25">
      <c r="Z8008">
        <v>399999.9991672716</v>
      </c>
    </row>
    <row r="8009" spans="26:26" x14ac:dyDescent="0.25">
      <c r="Z8009">
        <v>399999.99916934822</v>
      </c>
    </row>
    <row r="8010" spans="26:26" x14ac:dyDescent="0.25">
      <c r="Z8010">
        <v>399999.99917141965</v>
      </c>
    </row>
    <row r="8011" spans="26:26" x14ac:dyDescent="0.25">
      <c r="Z8011">
        <v>399999.99917348602</v>
      </c>
    </row>
    <row r="8012" spans="26:26" x14ac:dyDescent="0.25">
      <c r="Z8012">
        <v>399999.99917554716</v>
      </c>
    </row>
    <row r="8013" spans="26:26" x14ac:dyDescent="0.25">
      <c r="Z8013">
        <v>399999.99917760311</v>
      </c>
    </row>
    <row r="8014" spans="26:26" x14ac:dyDescent="0.25">
      <c r="Z8014">
        <v>399999.99917965394</v>
      </c>
    </row>
    <row r="8015" spans="26:26" x14ac:dyDescent="0.25">
      <c r="Z8015">
        <v>399999.99918169971</v>
      </c>
    </row>
    <row r="8016" spans="26:26" x14ac:dyDescent="0.25">
      <c r="Z8016">
        <v>399999.99918374035</v>
      </c>
    </row>
    <row r="8017" spans="26:26" x14ac:dyDescent="0.25">
      <c r="Z8017">
        <v>399999.99918577593</v>
      </c>
    </row>
    <row r="8018" spans="26:26" x14ac:dyDescent="0.25">
      <c r="Z8018">
        <v>399999.99918780639</v>
      </c>
    </row>
    <row r="8019" spans="26:26" x14ac:dyDescent="0.25">
      <c r="Z8019">
        <v>399999.99918983184</v>
      </c>
    </row>
    <row r="8020" spans="26:26" x14ac:dyDescent="0.25">
      <c r="Z8020">
        <v>399999.99919185223</v>
      </c>
    </row>
    <row r="8021" spans="26:26" x14ac:dyDescent="0.25">
      <c r="Z8021">
        <v>399999.99919386755</v>
      </c>
    </row>
    <row r="8022" spans="26:26" x14ac:dyDescent="0.25">
      <c r="Z8022">
        <v>399999.99919587787</v>
      </c>
    </row>
    <row r="8023" spans="26:26" x14ac:dyDescent="0.25">
      <c r="Z8023">
        <v>399999.99919788312</v>
      </c>
    </row>
    <row r="8024" spans="26:26" x14ac:dyDescent="0.25">
      <c r="Z8024">
        <v>399999.99919988343</v>
      </c>
    </row>
    <row r="8025" spans="26:26" x14ac:dyDescent="0.25">
      <c r="Z8025">
        <v>399999.99920187873</v>
      </c>
    </row>
    <row r="8026" spans="26:26" x14ac:dyDescent="0.25">
      <c r="Z8026">
        <v>399999.99920386908</v>
      </c>
    </row>
    <row r="8027" spans="26:26" x14ac:dyDescent="0.25">
      <c r="Z8027">
        <v>399999.99920585443</v>
      </c>
    </row>
    <row r="8028" spans="26:26" x14ac:dyDescent="0.25">
      <c r="Z8028">
        <v>399999.99920783483</v>
      </c>
    </row>
    <row r="8029" spans="26:26" x14ac:dyDescent="0.25">
      <c r="Z8029">
        <v>399999.99920981028</v>
      </c>
    </row>
    <row r="8030" spans="26:26" x14ac:dyDescent="0.25">
      <c r="Z8030">
        <v>399999.99921178084</v>
      </c>
    </row>
    <row r="8031" spans="26:26" x14ac:dyDescent="0.25">
      <c r="Z8031">
        <v>399999.99921374652</v>
      </c>
    </row>
    <row r="8032" spans="26:26" x14ac:dyDescent="0.25">
      <c r="Z8032">
        <v>399999.99921570724</v>
      </c>
    </row>
    <row r="8033" spans="26:26" x14ac:dyDescent="0.25">
      <c r="Z8033">
        <v>399999.99921766308</v>
      </c>
    </row>
    <row r="8034" spans="26:26" x14ac:dyDescent="0.25">
      <c r="Z8034">
        <v>399999.99921961402</v>
      </c>
    </row>
    <row r="8035" spans="26:26" x14ac:dyDescent="0.25">
      <c r="Z8035">
        <v>399999.99922156014</v>
      </c>
    </row>
    <row r="8036" spans="26:26" x14ac:dyDescent="0.25">
      <c r="Z8036">
        <v>399999.99922350136</v>
      </c>
    </row>
    <row r="8037" spans="26:26" x14ac:dyDescent="0.25">
      <c r="Z8037">
        <v>399999.99922543776</v>
      </c>
    </row>
    <row r="8038" spans="26:26" x14ac:dyDescent="0.25">
      <c r="Z8038">
        <v>399999.99922736938</v>
      </c>
    </row>
    <row r="8039" spans="26:26" x14ac:dyDescent="0.25">
      <c r="Z8039">
        <v>399999.99922929611</v>
      </c>
    </row>
    <row r="8040" spans="26:26" x14ac:dyDescent="0.25">
      <c r="Z8040">
        <v>399999.99923121807</v>
      </c>
    </row>
    <row r="8041" spans="26:26" x14ac:dyDescent="0.25">
      <c r="Z8041">
        <v>399999.99923313526</v>
      </c>
    </row>
    <row r="8042" spans="26:26" x14ac:dyDescent="0.25">
      <c r="Z8042">
        <v>399999.99923504767</v>
      </c>
    </row>
    <row r="8043" spans="26:26" x14ac:dyDescent="0.25">
      <c r="Z8043">
        <v>399999.99923695519</v>
      </c>
    </row>
    <row r="8044" spans="26:26" x14ac:dyDescent="0.25">
      <c r="Z8044">
        <v>399999.99923885806</v>
      </c>
    </row>
    <row r="8045" spans="26:26" x14ac:dyDescent="0.25">
      <c r="Z8045">
        <v>399999.99924075615</v>
      </c>
    </row>
    <row r="8046" spans="26:26" x14ac:dyDescent="0.25">
      <c r="Z8046">
        <v>399999.99924264959</v>
      </c>
    </row>
    <row r="8047" spans="26:26" x14ac:dyDescent="0.25">
      <c r="Z8047">
        <v>399999.99924453819</v>
      </c>
    </row>
    <row r="8048" spans="26:26" x14ac:dyDescent="0.25">
      <c r="Z8048">
        <v>399999.99924642214</v>
      </c>
    </row>
    <row r="8049" spans="26:26" x14ac:dyDescent="0.25">
      <c r="Z8049">
        <v>399999.99924830144</v>
      </c>
    </row>
    <row r="8050" spans="26:26" x14ac:dyDescent="0.25">
      <c r="Z8050">
        <v>399999.99925017596</v>
      </c>
    </row>
    <row r="8051" spans="26:26" x14ac:dyDescent="0.25">
      <c r="Z8051">
        <v>399999.99925204582</v>
      </c>
    </row>
    <row r="8052" spans="26:26" x14ac:dyDescent="0.25">
      <c r="Z8052">
        <v>399999.99925391108</v>
      </c>
    </row>
    <row r="8053" spans="26:26" x14ac:dyDescent="0.25">
      <c r="Z8053">
        <v>399999.99925577163</v>
      </c>
    </row>
    <row r="8054" spans="26:26" x14ac:dyDescent="0.25">
      <c r="Z8054">
        <v>399999.99925762758</v>
      </c>
    </row>
    <row r="8055" spans="26:26" x14ac:dyDescent="0.25">
      <c r="Z8055">
        <v>399999.99925947888</v>
      </c>
    </row>
    <row r="8056" spans="26:26" x14ac:dyDescent="0.25">
      <c r="Z8056">
        <v>399999.99926132557</v>
      </c>
    </row>
    <row r="8057" spans="26:26" x14ac:dyDescent="0.25">
      <c r="Z8057">
        <v>399999.99926316767</v>
      </c>
    </row>
    <row r="8058" spans="26:26" x14ac:dyDescent="0.25">
      <c r="Z8058">
        <v>399999.99926500511</v>
      </c>
    </row>
    <row r="8059" spans="26:26" x14ac:dyDescent="0.25">
      <c r="Z8059">
        <v>399999.99926683801</v>
      </c>
    </row>
    <row r="8060" spans="26:26" x14ac:dyDescent="0.25">
      <c r="Z8060">
        <v>399999.99926866638</v>
      </c>
    </row>
    <row r="8061" spans="26:26" x14ac:dyDescent="0.25">
      <c r="Z8061">
        <v>399999.99927049014</v>
      </c>
    </row>
    <row r="8062" spans="26:26" x14ac:dyDescent="0.25">
      <c r="Z8062">
        <v>399999.99927230936</v>
      </c>
    </row>
    <row r="8063" spans="26:26" x14ac:dyDescent="0.25">
      <c r="Z8063">
        <v>399999.99927412404</v>
      </c>
    </row>
    <row r="8064" spans="26:26" x14ac:dyDescent="0.25">
      <c r="Z8064">
        <v>399999.99927593418</v>
      </c>
    </row>
    <row r="8065" spans="26:26" x14ac:dyDescent="0.25">
      <c r="Z8065">
        <v>399999.99927773984</v>
      </c>
    </row>
    <row r="8066" spans="26:26" x14ac:dyDescent="0.25">
      <c r="Z8066">
        <v>399999.99927954096</v>
      </c>
    </row>
    <row r="8067" spans="26:26" x14ac:dyDescent="0.25">
      <c r="Z8067">
        <v>399999.99928133766</v>
      </c>
    </row>
    <row r="8068" spans="26:26" x14ac:dyDescent="0.25">
      <c r="Z8068">
        <v>399999.99928312987</v>
      </c>
    </row>
    <row r="8069" spans="26:26" x14ac:dyDescent="0.25">
      <c r="Z8069">
        <v>399999.99928491755</v>
      </c>
    </row>
    <row r="8070" spans="26:26" x14ac:dyDescent="0.25">
      <c r="Z8070">
        <v>399999.9992867008</v>
      </c>
    </row>
    <row r="8071" spans="26:26" x14ac:dyDescent="0.25">
      <c r="Z8071">
        <v>399999.99928847962</v>
      </c>
    </row>
    <row r="8072" spans="26:26" x14ac:dyDescent="0.25">
      <c r="Z8072">
        <v>399999.99929025403</v>
      </c>
    </row>
    <row r="8073" spans="26:26" x14ac:dyDescent="0.25">
      <c r="Z8073">
        <v>399999.99929202389</v>
      </c>
    </row>
    <row r="8074" spans="26:26" x14ac:dyDescent="0.25">
      <c r="Z8074">
        <v>399999.99929378944</v>
      </c>
    </row>
    <row r="8075" spans="26:26" x14ac:dyDescent="0.25">
      <c r="Z8075">
        <v>399999.99929555057</v>
      </c>
    </row>
    <row r="8076" spans="26:26" x14ac:dyDescent="0.25">
      <c r="Z8076">
        <v>399999.99929730728</v>
      </c>
    </row>
    <row r="8077" spans="26:26" x14ac:dyDescent="0.25">
      <c r="Z8077">
        <v>399999.99929905968</v>
      </c>
    </row>
    <row r="8078" spans="26:26" x14ac:dyDescent="0.25">
      <c r="Z8078">
        <v>399999.99930080766</v>
      </c>
    </row>
    <row r="8079" spans="26:26" x14ac:dyDescent="0.25">
      <c r="Z8079">
        <v>399999.99930255127</v>
      </c>
    </row>
    <row r="8080" spans="26:26" x14ac:dyDescent="0.25">
      <c r="Z8080">
        <v>399999.99930429057</v>
      </c>
    </row>
    <row r="8081" spans="26:26" x14ac:dyDescent="0.25">
      <c r="Z8081">
        <v>399999.99930602545</v>
      </c>
    </row>
    <row r="8082" spans="26:26" x14ac:dyDescent="0.25">
      <c r="Z8082">
        <v>399999.99930775608</v>
      </c>
    </row>
    <row r="8083" spans="26:26" x14ac:dyDescent="0.25">
      <c r="Z8083">
        <v>399999.99930948234</v>
      </c>
    </row>
    <row r="8084" spans="26:26" x14ac:dyDescent="0.25">
      <c r="Z8084">
        <v>399999.99931120436</v>
      </c>
    </row>
    <row r="8085" spans="26:26" x14ac:dyDescent="0.25">
      <c r="Z8085">
        <v>399999.99931292201</v>
      </c>
    </row>
    <row r="8086" spans="26:26" x14ac:dyDescent="0.25">
      <c r="Z8086">
        <v>399999.99931463547</v>
      </c>
    </row>
    <row r="8087" spans="26:26" x14ac:dyDescent="0.25">
      <c r="Z8087">
        <v>399999.99931634462</v>
      </c>
    </row>
    <row r="8088" spans="26:26" x14ac:dyDescent="0.25">
      <c r="Z8088">
        <v>399999.99931804952</v>
      </c>
    </row>
    <row r="8089" spans="26:26" x14ac:dyDescent="0.25">
      <c r="Z8089">
        <v>399999.99931975006</v>
      </c>
    </row>
    <row r="8090" spans="26:26" x14ac:dyDescent="0.25">
      <c r="Z8090">
        <v>399999.99932144646</v>
      </c>
    </row>
    <row r="8091" spans="26:26" x14ac:dyDescent="0.25">
      <c r="Z8091">
        <v>399999.99932313862</v>
      </c>
    </row>
    <row r="8092" spans="26:26" x14ac:dyDescent="0.25">
      <c r="Z8092">
        <v>399999.99932482652</v>
      </c>
    </row>
    <row r="8093" spans="26:26" x14ac:dyDescent="0.25">
      <c r="Z8093">
        <v>399999.9993265103</v>
      </c>
    </row>
    <row r="8094" spans="26:26" x14ac:dyDescent="0.25">
      <c r="Z8094">
        <v>399999.99932818982</v>
      </c>
    </row>
    <row r="8095" spans="26:26" x14ac:dyDescent="0.25">
      <c r="Z8095">
        <v>399999.99932986515</v>
      </c>
    </row>
    <row r="8096" spans="26:26" x14ac:dyDescent="0.25">
      <c r="Z8096">
        <v>399999.9993315363</v>
      </c>
    </row>
    <row r="8097" spans="26:26" x14ac:dyDescent="0.25">
      <c r="Z8097">
        <v>399999.9993332033</v>
      </c>
    </row>
    <row r="8098" spans="26:26" x14ac:dyDescent="0.25">
      <c r="Z8098">
        <v>399999.99933486612</v>
      </c>
    </row>
    <row r="8099" spans="26:26" x14ac:dyDescent="0.25">
      <c r="Z8099">
        <v>399999.99933652481</v>
      </c>
    </row>
    <row r="8100" spans="26:26" x14ac:dyDescent="0.25">
      <c r="Z8100">
        <v>399999.99933817936</v>
      </c>
    </row>
    <row r="8101" spans="26:26" x14ac:dyDescent="0.25">
      <c r="Z8101">
        <v>399999.99933982978</v>
      </c>
    </row>
    <row r="8102" spans="26:26" x14ac:dyDescent="0.25">
      <c r="Z8102">
        <v>399999.99934147613</v>
      </c>
    </row>
    <row r="8103" spans="26:26" x14ac:dyDescent="0.25">
      <c r="Z8103">
        <v>399999.99934311834</v>
      </c>
    </row>
    <row r="8104" spans="26:26" x14ac:dyDescent="0.25">
      <c r="Z8104">
        <v>399999.99934475642</v>
      </c>
    </row>
    <row r="8105" spans="26:26" x14ac:dyDescent="0.25">
      <c r="Z8105">
        <v>399999.99934639048</v>
      </c>
    </row>
    <row r="8106" spans="26:26" x14ac:dyDescent="0.25">
      <c r="Z8106">
        <v>399999.99934802041</v>
      </c>
    </row>
    <row r="8107" spans="26:26" x14ac:dyDescent="0.25">
      <c r="Z8107">
        <v>399999.99934964627</v>
      </c>
    </row>
    <row r="8108" spans="26:26" x14ac:dyDescent="0.25">
      <c r="Z8108">
        <v>399999.99935126811</v>
      </c>
    </row>
    <row r="8109" spans="26:26" x14ac:dyDescent="0.25">
      <c r="Z8109">
        <v>399999.99935288593</v>
      </c>
    </row>
    <row r="8110" spans="26:26" x14ac:dyDescent="0.25">
      <c r="Z8110">
        <v>399999.99935449968</v>
      </c>
    </row>
    <row r="8111" spans="26:26" x14ac:dyDescent="0.25">
      <c r="Z8111">
        <v>399999.99935610936</v>
      </c>
    </row>
    <row r="8112" spans="26:26" x14ac:dyDescent="0.25">
      <c r="Z8112">
        <v>399999.99935771513</v>
      </c>
    </row>
    <row r="8113" spans="26:26" x14ac:dyDescent="0.25">
      <c r="Z8113">
        <v>399999.99935931683</v>
      </c>
    </row>
    <row r="8114" spans="26:26" x14ac:dyDescent="0.25">
      <c r="Z8114">
        <v>399999.99936091446</v>
      </c>
    </row>
    <row r="8115" spans="26:26" x14ac:dyDescent="0.25">
      <c r="Z8115">
        <v>399999.99936250824</v>
      </c>
    </row>
    <row r="8116" spans="26:26" x14ac:dyDescent="0.25">
      <c r="Z8116">
        <v>399999.99936409801</v>
      </c>
    </row>
    <row r="8117" spans="26:26" x14ac:dyDescent="0.25">
      <c r="Z8117">
        <v>399999.99936568376</v>
      </c>
    </row>
    <row r="8118" spans="26:26" x14ac:dyDescent="0.25">
      <c r="Z8118">
        <v>399999.99936726561</v>
      </c>
    </row>
    <row r="8119" spans="26:26" x14ac:dyDescent="0.25">
      <c r="Z8119">
        <v>399999.99936884356</v>
      </c>
    </row>
    <row r="8120" spans="26:26" x14ac:dyDescent="0.25">
      <c r="Z8120">
        <v>399999.9993704175</v>
      </c>
    </row>
    <row r="8121" spans="26:26" x14ac:dyDescent="0.25">
      <c r="Z8121">
        <v>399999.99937198748</v>
      </c>
    </row>
    <row r="8122" spans="26:26" x14ac:dyDescent="0.25">
      <c r="Z8122">
        <v>399999.99937355361</v>
      </c>
    </row>
    <row r="8123" spans="26:26" x14ac:dyDescent="0.25">
      <c r="Z8123">
        <v>399999.99937511585</v>
      </c>
    </row>
    <row r="8124" spans="26:26" x14ac:dyDescent="0.25">
      <c r="Z8124">
        <v>399999.99937667418</v>
      </c>
    </row>
    <row r="8125" spans="26:26" x14ac:dyDescent="0.25">
      <c r="Z8125">
        <v>399999.99937822856</v>
      </c>
    </row>
    <row r="8126" spans="26:26" x14ac:dyDescent="0.25">
      <c r="Z8126">
        <v>399999.99937977915</v>
      </c>
    </row>
    <row r="8127" spans="26:26" x14ac:dyDescent="0.25">
      <c r="Z8127">
        <v>399999.99938132579</v>
      </c>
    </row>
    <row r="8128" spans="26:26" x14ac:dyDescent="0.25">
      <c r="Z8128">
        <v>399999.99938286864</v>
      </c>
    </row>
    <row r="8129" spans="26:26" x14ac:dyDescent="0.25">
      <c r="Z8129">
        <v>399999.99938440759</v>
      </c>
    </row>
    <row r="8130" spans="26:26" x14ac:dyDescent="0.25">
      <c r="Z8130">
        <v>399999.9993859427</v>
      </c>
    </row>
    <row r="8131" spans="26:26" x14ac:dyDescent="0.25">
      <c r="Z8131">
        <v>399999.99938747409</v>
      </c>
    </row>
    <row r="8132" spans="26:26" x14ac:dyDescent="0.25">
      <c r="Z8132">
        <v>399999.99938900158</v>
      </c>
    </row>
    <row r="8133" spans="26:26" x14ac:dyDescent="0.25">
      <c r="Z8133">
        <v>399999.99939052528</v>
      </c>
    </row>
    <row r="8134" spans="26:26" x14ac:dyDescent="0.25">
      <c r="Z8134">
        <v>399999.99939204514</v>
      </c>
    </row>
    <row r="8135" spans="26:26" x14ac:dyDescent="0.25">
      <c r="Z8135">
        <v>399999.99939356127</v>
      </c>
    </row>
    <row r="8136" spans="26:26" x14ac:dyDescent="0.25">
      <c r="Z8136">
        <v>399999.99939507357</v>
      </c>
    </row>
    <row r="8137" spans="26:26" x14ac:dyDescent="0.25">
      <c r="Z8137">
        <v>399999.99939658208</v>
      </c>
    </row>
    <row r="8138" spans="26:26" x14ac:dyDescent="0.25">
      <c r="Z8138">
        <v>399999.99939808692</v>
      </c>
    </row>
    <row r="8139" spans="26:26" x14ac:dyDescent="0.25">
      <c r="Z8139">
        <v>399999.99939958792</v>
      </c>
    </row>
    <row r="8140" spans="26:26" x14ac:dyDescent="0.25">
      <c r="Z8140">
        <v>399999.99940108525</v>
      </c>
    </row>
    <row r="8141" spans="26:26" x14ac:dyDescent="0.25">
      <c r="Z8141">
        <v>399999.99940257875</v>
      </c>
    </row>
    <row r="8142" spans="26:26" x14ac:dyDescent="0.25">
      <c r="Z8142">
        <v>399999.99940406857</v>
      </c>
    </row>
    <row r="8143" spans="26:26" x14ac:dyDescent="0.25">
      <c r="Z8143">
        <v>399999.99940555473</v>
      </c>
    </row>
    <row r="8144" spans="26:26" x14ac:dyDescent="0.25">
      <c r="Z8144">
        <v>399999.9994070371</v>
      </c>
    </row>
    <row r="8145" spans="26:26" x14ac:dyDescent="0.25">
      <c r="Z8145">
        <v>399999.99940851581</v>
      </c>
    </row>
    <row r="8146" spans="26:26" x14ac:dyDescent="0.25">
      <c r="Z8146">
        <v>399999.99940999085</v>
      </c>
    </row>
    <row r="8147" spans="26:26" x14ac:dyDescent="0.25">
      <c r="Z8147">
        <v>399999.99941146222</v>
      </c>
    </row>
    <row r="8148" spans="26:26" x14ac:dyDescent="0.25">
      <c r="Z8148">
        <v>399999.99941292987</v>
      </c>
    </row>
    <row r="8149" spans="26:26" x14ac:dyDescent="0.25">
      <c r="Z8149">
        <v>399999.99941439391</v>
      </c>
    </row>
    <row r="8150" spans="26:26" x14ac:dyDescent="0.25">
      <c r="Z8150">
        <v>399999.99941585422</v>
      </c>
    </row>
    <row r="8151" spans="26:26" x14ac:dyDescent="0.25">
      <c r="Z8151">
        <v>399999.99941731099</v>
      </c>
    </row>
    <row r="8152" spans="26:26" x14ac:dyDescent="0.25">
      <c r="Z8152">
        <v>399999.99941876403</v>
      </c>
    </row>
    <row r="8153" spans="26:26" x14ac:dyDescent="0.25">
      <c r="Z8153">
        <v>399999.99942021351</v>
      </c>
    </row>
    <row r="8154" spans="26:26" x14ac:dyDescent="0.25">
      <c r="Z8154">
        <v>399999.99942165933</v>
      </c>
    </row>
    <row r="8155" spans="26:26" x14ac:dyDescent="0.25">
      <c r="Z8155">
        <v>399999.9994231016</v>
      </c>
    </row>
    <row r="8156" spans="26:26" x14ac:dyDescent="0.25">
      <c r="Z8156">
        <v>399999.99942454026</v>
      </c>
    </row>
    <row r="8157" spans="26:26" x14ac:dyDescent="0.25">
      <c r="Z8157">
        <v>399999.99942597531</v>
      </c>
    </row>
    <row r="8158" spans="26:26" x14ac:dyDescent="0.25">
      <c r="Z8158">
        <v>399999.99942740682</v>
      </c>
    </row>
    <row r="8159" spans="26:26" x14ac:dyDescent="0.25">
      <c r="Z8159">
        <v>399999.99942883471</v>
      </c>
    </row>
    <row r="8160" spans="26:26" x14ac:dyDescent="0.25">
      <c r="Z8160">
        <v>399999.99943025911</v>
      </c>
    </row>
    <row r="8161" spans="26:26" x14ac:dyDescent="0.25">
      <c r="Z8161">
        <v>399999.9994316799</v>
      </c>
    </row>
    <row r="8162" spans="26:26" x14ac:dyDescent="0.25">
      <c r="Z8162">
        <v>399999.99943309714</v>
      </c>
    </row>
    <row r="8163" spans="26:26" x14ac:dyDescent="0.25">
      <c r="Z8163">
        <v>399999.99943451089</v>
      </c>
    </row>
    <row r="8164" spans="26:26" x14ac:dyDescent="0.25">
      <c r="Z8164">
        <v>399999.99943592108</v>
      </c>
    </row>
    <row r="8165" spans="26:26" x14ac:dyDescent="0.25">
      <c r="Z8165">
        <v>399999.99943732773</v>
      </c>
    </row>
    <row r="8166" spans="26:26" x14ac:dyDescent="0.25">
      <c r="Z8166">
        <v>399999.99943873088</v>
      </c>
    </row>
    <row r="8167" spans="26:26" x14ac:dyDescent="0.25">
      <c r="Z8167">
        <v>399999.9994401306</v>
      </c>
    </row>
    <row r="8168" spans="26:26" x14ac:dyDescent="0.25">
      <c r="Z8168">
        <v>399999.99944152677</v>
      </c>
    </row>
    <row r="8169" spans="26:26" x14ac:dyDescent="0.25">
      <c r="Z8169">
        <v>399999.99944291951</v>
      </c>
    </row>
    <row r="8170" spans="26:26" x14ac:dyDescent="0.25">
      <c r="Z8170">
        <v>399999.99944430869</v>
      </c>
    </row>
    <row r="8171" spans="26:26" x14ac:dyDescent="0.25">
      <c r="Z8171">
        <v>399999.99944569444</v>
      </c>
    </row>
    <row r="8172" spans="26:26" x14ac:dyDescent="0.25">
      <c r="Z8172">
        <v>399999.99944707676</v>
      </c>
    </row>
    <row r="8173" spans="26:26" x14ac:dyDescent="0.25">
      <c r="Z8173">
        <v>399999.99944845564</v>
      </c>
    </row>
    <row r="8174" spans="26:26" x14ac:dyDescent="0.25">
      <c r="Z8174">
        <v>399999.99944983103</v>
      </c>
    </row>
    <row r="8175" spans="26:26" x14ac:dyDescent="0.25">
      <c r="Z8175">
        <v>399999.99945120304</v>
      </c>
    </row>
    <row r="8176" spans="26:26" x14ac:dyDescent="0.25">
      <c r="Z8176">
        <v>399999.99945257162</v>
      </c>
    </row>
    <row r="8177" spans="26:26" x14ac:dyDescent="0.25">
      <c r="Z8177">
        <v>399999.99945393676</v>
      </c>
    </row>
    <row r="8178" spans="26:26" x14ac:dyDescent="0.25">
      <c r="Z8178">
        <v>399999.99945529853</v>
      </c>
    </row>
    <row r="8179" spans="26:26" x14ac:dyDescent="0.25">
      <c r="Z8179">
        <v>399999.99945665692</v>
      </c>
    </row>
    <row r="8180" spans="26:26" x14ac:dyDescent="0.25">
      <c r="Z8180">
        <v>399999.99945801188</v>
      </c>
    </row>
    <row r="8181" spans="26:26" x14ac:dyDescent="0.25">
      <c r="Z8181">
        <v>399999.9994593634</v>
      </c>
    </row>
    <row r="8182" spans="26:26" x14ac:dyDescent="0.25">
      <c r="Z8182">
        <v>399999.99946071167</v>
      </c>
    </row>
    <row r="8183" spans="26:26" x14ac:dyDescent="0.25">
      <c r="Z8183">
        <v>399999.9994620565</v>
      </c>
    </row>
    <row r="8184" spans="26:26" x14ac:dyDescent="0.25">
      <c r="Z8184">
        <v>399999.99946339801</v>
      </c>
    </row>
    <row r="8185" spans="26:26" x14ac:dyDescent="0.25">
      <c r="Z8185">
        <v>399999.9994647362</v>
      </c>
    </row>
    <row r="8186" spans="26:26" x14ac:dyDescent="0.25">
      <c r="Z8186">
        <v>399999.99946607096</v>
      </c>
    </row>
    <row r="8187" spans="26:26" x14ac:dyDescent="0.25">
      <c r="Z8187">
        <v>399999.99946740252</v>
      </c>
    </row>
    <row r="8188" spans="26:26" x14ac:dyDescent="0.25">
      <c r="Z8188">
        <v>399999.9994687307</v>
      </c>
    </row>
    <row r="8189" spans="26:26" x14ac:dyDescent="0.25">
      <c r="Z8189">
        <v>399999.99947005551</v>
      </c>
    </row>
    <row r="8190" spans="26:26" x14ac:dyDescent="0.25">
      <c r="Z8190">
        <v>399999.99947137712</v>
      </c>
    </row>
    <row r="8191" spans="26:26" x14ac:dyDescent="0.25">
      <c r="Z8191">
        <v>399999.99947269534</v>
      </c>
    </row>
    <row r="8192" spans="26:26" x14ac:dyDescent="0.25">
      <c r="Z8192">
        <v>399999.99947401031</v>
      </c>
    </row>
    <row r="8193" spans="26:26" x14ac:dyDescent="0.25">
      <c r="Z8193">
        <v>399999.99947532202</v>
      </c>
    </row>
    <row r="8194" spans="26:26" x14ac:dyDescent="0.25">
      <c r="Z8194">
        <v>399999.99947663047</v>
      </c>
    </row>
    <row r="8195" spans="26:26" x14ac:dyDescent="0.25">
      <c r="Z8195">
        <v>399999.99947793561</v>
      </c>
    </row>
    <row r="8196" spans="26:26" x14ac:dyDescent="0.25">
      <c r="Z8196">
        <v>399999.99947923754</v>
      </c>
    </row>
    <row r="8197" spans="26:26" x14ac:dyDescent="0.25">
      <c r="Z8197">
        <v>399999.99948053621</v>
      </c>
    </row>
    <row r="8198" spans="26:26" x14ac:dyDescent="0.25">
      <c r="Z8198">
        <v>399999.99948183156</v>
      </c>
    </row>
    <row r="8199" spans="26:26" x14ac:dyDescent="0.25">
      <c r="Z8199">
        <v>399999.99948312377</v>
      </c>
    </row>
    <row r="8200" spans="26:26" x14ac:dyDescent="0.25">
      <c r="Z8200">
        <v>399999.99948441278</v>
      </c>
    </row>
    <row r="8201" spans="26:26" x14ac:dyDescent="0.25">
      <c r="Z8201">
        <v>399999.99948569853</v>
      </c>
    </row>
    <row r="8202" spans="26:26" x14ac:dyDescent="0.25">
      <c r="Z8202">
        <v>399999.99948698108</v>
      </c>
    </row>
    <row r="8203" spans="26:26" x14ac:dyDescent="0.25">
      <c r="Z8203">
        <v>399999.99948826042</v>
      </c>
    </row>
    <row r="8204" spans="26:26" x14ac:dyDescent="0.25">
      <c r="Z8204">
        <v>399999.99948953657</v>
      </c>
    </row>
    <row r="8205" spans="26:26" x14ac:dyDescent="0.25">
      <c r="Z8205">
        <v>399999.99949080951</v>
      </c>
    </row>
    <row r="8206" spans="26:26" x14ac:dyDescent="0.25">
      <c r="Z8206">
        <v>399999.99949207937</v>
      </c>
    </row>
    <row r="8207" spans="26:26" x14ac:dyDescent="0.25">
      <c r="Z8207">
        <v>399999.99949334603</v>
      </c>
    </row>
    <row r="8208" spans="26:26" x14ac:dyDescent="0.25">
      <c r="Z8208">
        <v>399999.99949460948</v>
      </c>
    </row>
    <row r="8209" spans="26:26" x14ac:dyDescent="0.25">
      <c r="Z8209">
        <v>399999.99949586979</v>
      </c>
    </row>
    <row r="8210" spans="26:26" x14ac:dyDescent="0.25">
      <c r="Z8210">
        <v>399999.99949712696</v>
      </c>
    </row>
    <row r="8211" spans="26:26" x14ac:dyDescent="0.25">
      <c r="Z8211">
        <v>399999.99949838099</v>
      </c>
    </row>
    <row r="8212" spans="26:26" x14ac:dyDescent="0.25">
      <c r="Z8212">
        <v>399999.99949963193</v>
      </c>
    </row>
    <row r="8213" spans="26:26" x14ac:dyDescent="0.25">
      <c r="Z8213">
        <v>399999.99950087973</v>
      </c>
    </row>
    <row r="8214" spans="26:26" x14ac:dyDescent="0.25">
      <c r="Z8214">
        <v>399999.99950212444</v>
      </c>
    </row>
    <row r="8215" spans="26:26" x14ac:dyDescent="0.25">
      <c r="Z8215">
        <v>399999.99950336601</v>
      </c>
    </row>
    <row r="8216" spans="26:26" x14ac:dyDescent="0.25">
      <c r="Z8216">
        <v>399999.99950460449</v>
      </c>
    </row>
    <row r="8217" spans="26:26" x14ac:dyDescent="0.25">
      <c r="Z8217">
        <v>399999.99950583989</v>
      </c>
    </row>
    <row r="8218" spans="26:26" x14ac:dyDescent="0.25">
      <c r="Z8218">
        <v>399999.99950707221</v>
      </c>
    </row>
    <row r="8219" spans="26:26" x14ac:dyDescent="0.25">
      <c r="Z8219">
        <v>399999.99950830144</v>
      </c>
    </row>
    <row r="8220" spans="26:26" x14ac:dyDescent="0.25">
      <c r="Z8220">
        <v>399999.99950952758</v>
      </c>
    </row>
    <row r="8221" spans="26:26" x14ac:dyDescent="0.25">
      <c r="Z8221">
        <v>399999.99951075076</v>
      </c>
    </row>
    <row r="8222" spans="26:26" x14ac:dyDescent="0.25">
      <c r="Z8222">
        <v>399999.99951197085</v>
      </c>
    </row>
    <row r="8223" spans="26:26" x14ac:dyDescent="0.25">
      <c r="Z8223">
        <v>399999.99951318785</v>
      </c>
    </row>
    <row r="8224" spans="26:26" x14ac:dyDescent="0.25">
      <c r="Z8224">
        <v>399999.99951440183</v>
      </c>
    </row>
    <row r="8225" spans="26:26" x14ac:dyDescent="0.25">
      <c r="Z8225">
        <v>399999.99951561284</v>
      </c>
    </row>
    <row r="8226" spans="26:26" x14ac:dyDescent="0.25">
      <c r="Z8226">
        <v>399999.99951682077</v>
      </c>
    </row>
    <row r="8227" spans="26:26" x14ac:dyDescent="0.25">
      <c r="Z8227">
        <v>399999.99951802567</v>
      </c>
    </row>
    <row r="8228" spans="26:26" x14ac:dyDescent="0.25">
      <c r="Z8228">
        <v>399999.99951922765</v>
      </c>
    </row>
    <row r="8229" spans="26:26" x14ac:dyDescent="0.25">
      <c r="Z8229">
        <v>399999.99952042656</v>
      </c>
    </row>
    <row r="8230" spans="26:26" x14ac:dyDescent="0.25">
      <c r="Z8230">
        <v>399999.99952162249</v>
      </c>
    </row>
    <row r="8231" spans="26:26" x14ac:dyDescent="0.25">
      <c r="Z8231">
        <v>399999.99952281552</v>
      </c>
    </row>
    <row r="8232" spans="26:26" x14ac:dyDescent="0.25">
      <c r="Z8232">
        <v>399999.99952400546</v>
      </c>
    </row>
    <row r="8233" spans="26:26" x14ac:dyDescent="0.25">
      <c r="Z8233">
        <v>399999.99952519248</v>
      </c>
    </row>
    <row r="8234" spans="26:26" x14ac:dyDescent="0.25">
      <c r="Z8234">
        <v>399999.99952637654</v>
      </c>
    </row>
    <row r="8235" spans="26:26" x14ac:dyDescent="0.25">
      <c r="Z8235">
        <v>399999.99952755764</v>
      </c>
    </row>
    <row r="8236" spans="26:26" x14ac:dyDescent="0.25">
      <c r="Z8236">
        <v>399999.99952873582</v>
      </c>
    </row>
    <row r="8237" spans="26:26" x14ac:dyDescent="0.25">
      <c r="Z8237">
        <v>399999.99952991103</v>
      </c>
    </row>
    <row r="8238" spans="26:26" x14ac:dyDescent="0.25">
      <c r="Z8238">
        <v>399999.99953108333</v>
      </c>
    </row>
    <row r="8239" spans="26:26" x14ac:dyDescent="0.25">
      <c r="Z8239">
        <v>399999.99953225267</v>
      </c>
    </row>
    <row r="8240" spans="26:26" x14ac:dyDescent="0.25">
      <c r="Z8240">
        <v>399999.99953341909</v>
      </c>
    </row>
    <row r="8241" spans="26:26" x14ac:dyDescent="0.25">
      <c r="Z8241">
        <v>399999.99953458266</v>
      </c>
    </row>
    <row r="8242" spans="26:26" x14ac:dyDescent="0.25">
      <c r="Z8242">
        <v>399999.99953574332</v>
      </c>
    </row>
    <row r="8243" spans="26:26" x14ac:dyDescent="0.25">
      <c r="Z8243">
        <v>399999.99953690113</v>
      </c>
    </row>
    <row r="8244" spans="26:26" x14ac:dyDescent="0.25">
      <c r="Z8244">
        <v>399999.99953805597</v>
      </c>
    </row>
    <row r="8245" spans="26:26" x14ac:dyDescent="0.25">
      <c r="Z8245">
        <v>399999.9995392079</v>
      </c>
    </row>
    <row r="8246" spans="26:26" x14ac:dyDescent="0.25">
      <c r="Z8246">
        <v>399999.99954035704</v>
      </c>
    </row>
    <row r="8247" spans="26:26" x14ac:dyDescent="0.25">
      <c r="Z8247">
        <v>399999.99954150332</v>
      </c>
    </row>
    <row r="8248" spans="26:26" x14ac:dyDescent="0.25">
      <c r="Z8248">
        <v>399999.99954264663</v>
      </c>
    </row>
    <row r="8249" spans="26:26" x14ac:dyDescent="0.25">
      <c r="Z8249">
        <v>399999.99954378715</v>
      </c>
    </row>
    <row r="8250" spans="26:26" x14ac:dyDescent="0.25">
      <c r="Z8250">
        <v>399999.99954492488</v>
      </c>
    </row>
    <row r="8251" spans="26:26" x14ac:dyDescent="0.25">
      <c r="Z8251">
        <v>399999.9995460597</v>
      </c>
    </row>
    <row r="8252" spans="26:26" x14ac:dyDescent="0.25">
      <c r="Z8252">
        <v>399999.99954719178</v>
      </c>
    </row>
    <row r="8253" spans="26:26" x14ac:dyDescent="0.25">
      <c r="Z8253">
        <v>399999.99954832095</v>
      </c>
    </row>
    <row r="8254" spans="26:26" x14ac:dyDescent="0.25">
      <c r="Z8254">
        <v>399999.99954944733</v>
      </c>
    </row>
    <row r="8255" spans="26:26" x14ac:dyDescent="0.25">
      <c r="Z8255">
        <v>399999.99955057085</v>
      </c>
    </row>
    <row r="8256" spans="26:26" x14ac:dyDescent="0.25">
      <c r="Z8256">
        <v>399999.9995516917</v>
      </c>
    </row>
    <row r="8257" spans="26:26" x14ac:dyDescent="0.25">
      <c r="Z8257">
        <v>399999.99955280969</v>
      </c>
    </row>
    <row r="8258" spans="26:26" x14ac:dyDescent="0.25">
      <c r="Z8258">
        <v>399999.99955392483</v>
      </c>
    </row>
    <row r="8259" spans="26:26" x14ac:dyDescent="0.25">
      <c r="Z8259">
        <v>399999.99955503724</v>
      </c>
    </row>
    <row r="8260" spans="26:26" x14ac:dyDescent="0.25">
      <c r="Z8260">
        <v>399999.99955614685</v>
      </c>
    </row>
    <row r="8261" spans="26:26" x14ac:dyDescent="0.25">
      <c r="Z8261">
        <v>399999.99955725373</v>
      </c>
    </row>
    <row r="8262" spans="26:26" x14ac:dyDescent="0.25">
      <c r="Z8262">
        <v>399999.99955835787</v>
      </c>
    </row>
    <row r="8263" spans="26:26" x14ac:dyDescent="0.25">
      <c r="Z8263">
        <v>399999.99955945916</v>
      </c>
    </row>
    <row r="8264" spans="26:26" x14ac:dyDescent="0.25">
      <c r="Z8264">
        <v>399999.99956055777</v>
      </c>
    </row>
    <row r="8265" spans="26:26" x14ac:dyDescent="0.25">
      <c r="Z8265">
        <v>399999.99956165365</v>
      </c>
    </row>
    <row r="8266" spans="26:26" x14ac:dyDescent="0.25">
      <c r="Z8266">
        <v>399999.99956274679</v>
      </c>
    </row>
    <row r="8267" spans="26:26" x14ac:dyDescent="0.25">
      <c r="Z8267">
        <v>399999.99956383719</v>
      </c>
    </row>
    <row r="8268" spans="26:26" x14ac:dyDescent="0.25">
      <c r="Z8268">
        <v>399999.99956492492</v>
      </c>
    </row>
    <row r="8269" spans="26:26" x14ac:dyDescent="0.25">
      <c r="Z8269">
        <v>399999.99956600985</v>
      </c>
    </row>
    <row r="8270" spans="26:26" x14ac:dyDescent="0.25">
      <c r="Z8270">
        <v>399999.99956709216</v>
      </c>
    </row>
    <row r="8271" spans="26:26" x14ac:dyDescent="0.25">
      <c r="Z8271">
        <v>399999.99956817168</v>
      </c>
    </row>
    <row r="8272" spans="26:26" x14ac:dyDescent="0.25">
      <c r="Z8272">
        <v>399999.99956924864</v>
      </c>
    </row>
    <row r="8273" spans="26:26" x14ac:dyDescent="0.25">
      <c r="Z8273">
        <v>399999.99957032275</v>
      </c>
    </row>
    <row r="8274" spans="26:26" x14ac:dyDescent="0.25">
      <c r="Z8274">
        <v>399999.99957139429</v>
      </c>
    </row>
    <row r="8275" spans="26:26" x14ac:dyDescent="0.25">
      <c r="Z8275">
        <v>399999.99957246316</v>
      </c>
    </row>
    <row r="8276" spans="26:26" x14ac:dyDescent="0.25">
      <c r="Z8276">
        <v>399999.99957352935</v>
      </c>
    </row>
    <row r="8277" spans="26:26" x14ac:dyDescent="0.25">
      <c r="Z8277">
        <v>399999.9995745928</v>
      </c>
    </row>
    <row r="8278" spans="26:26" x14ac:dyDescent="0.25">
      <c r="Z8278">
        <v>399999.9995756537</v>
      </c>
    </row>
    <row r="8279" spans="26:26" x14ac:dyDescent="0.25">
      <c r="Z8279">
        <v>399999.99957671191</v>
      </c>
    </row>
    <row r="8280" spans="26:26" x14ac:dyDescent="0.25">
      <c r="Z8280">
        <v>399999.99957776751</v>
      </c>
    </row>
    <row r="8281" spans="26:26" x14ac:dyDescent="0.25">
      <c r="Z8281">
        <v>399999.99957882043</v>
      </c>
    </row>
    <row r="8282" spans="26:26" x14ac:dyDescent="0.25">
      <c r="Z8282">
        <v>399999.99957987078</v>
      </c>
    </row>
    <row r="8283" spans="26:26" x14ac:dyDescent="0.25">
      <c r="Z8283">
        <v>399999.99958091846</v>
      </c>
    </row>
    <row r="8284" spans="26:26" x14ac:dyDescent="0.25">
      <c r="Z8284">
        <v>399999.99958196352</v>
      </c>
    </row>
    <row r="8285" spans="26:26" x14ac:dyDescent="0.25">
      <c r="Z8285">
        <v>399999.99958300602</v>
      </c>
    </row>
    <row r="8286" spans="26:26" x14ac:dyDescent="0.25">
      <c r="Z8286">
        <v>399999.9995840459</v>
      </c>
    </row>
    <row r="8287" spans="26:26" x14ac:dyDescent="0.25">
      <c r="Z8287">
        <v>399999.99958508322</v>
      </c>
    </row>
    <row r="8288" spans="26:26" x14ac:dyDescent="0.25">
      <c r="Z8288">
        <v>399999.99958611798</v>
      </c>
    </row>
    <row r="8289" spans="26:26" x14ac:dyDescent="0.25">
      <c r="Z8289">
        <v>399999.99958715006</v>
      </c>
    </row>
    <row r="8290" spans="26:26" x14ac:dyDescent="0.25">
      <c r="Z8290">
        <v>399999.99958817963</v>
      </c>
    </row>
    <row r="8291" spans="26:26" x14ac:dyDescent="0.25">
      <c r="Z8291">
        <v>399999.99958920659</v>
      </c>
    </row>
    <row r="8292" spans="26:26" x14ac:dyDescent="0.25">
      <c r="Z8292">
        <v>399999.99959023105</v>
      </c>
    </row>
    <row r="8293" spans="26:26" x14ac:dyDescent="0.25">
      <c r="Z8293">
        <v>399999.99959125288</v>
      </c>
    </row>
    <row r="8294" spans="26:26" x14ac:dyDescent="0.25">
      <c r="Z8294">
        <v>399999.99959227222</v>
      </c>
    </row>
    <row r="8295" spans="26:26" x14ac:dyDescent="0.25">
      <c r="Z8295">
        <v>399999.99959328899</v>
      </c>
    </row>
    <row r="8296" spans="26:26" x14ac:dyDescent="0.25">
      <c r="Z8296">
        <v>399999.99959430326</v>
      </c>
    </row>
    <row r="8297" spans="26:26" x14ac:dyDescent="0.25">
      <c r="Z8297">
        <v>399999.99959531496</v>
      </c>
    </row>
    <row r="8298" spans="26:26" x14ac:dyDescent="0.25">
      <c r="Z8298">
        <v>399999.99959632411</v>
      </c>
    </row>
    <row r="8299" spans="26:26" x14ac:dyDescent="0.25">
      <c r="Z8299">
        <v>399999.99959733081</v>
      </c>
    </row>
    <row r="8300" spans="26:26" x14ac:dyDescent="0.25">
      <c r="Z8300">
        <v>399999.99959833495</v>
      </c>
    </row>
    <row r="8301" spans="26:26" x14ac:dyDescent="0.25">
      <c r="Z8301">
        <v>399999.99959933659</v>
      </c>
    </row>
    <row r="8302" spans="26:26" x14ac:dyDescent="0.25">
      <c r="Z8302">
        <v>399999.99960033578</v>
      </c>
    </row>
    <row r="8303" spans="26:26" x14ac:dyDescent="0.25">
      <c r="Z8303">
        <v>399999.99960133247</v>
      </c>
    </row>
    <row r="8304" spans="26:26" x14ac:dyDescent="0.25">
      <c r="Z8304">
        <v>399999.9996023266</v>
      </c>
    </row>
    <row r="8305" spans="26:26" x14ac:dyDescent="0.25">
      <c r="Z8305">
        <v>399999.99960331834</v>
      </c>
    </row>
    <row r="8306" spans="26:26" x14ac:dyDescent="0.25">
      <c r="Z8306">
        <v>399999.99960430758</v>
      </c>
    </row>
    <row r="8307" spans="26:26" x14ac:dyDescent="0.25">
      <c r="Z8307">
        <v>399999.99960529432</v>
      </c>
    </row>
    <row r="8308" spans="26:26" x14ac:dyDescent="0.25">
      <c r="Z8308">
        <v>399999.99960627867</v>
      </c>
    </row>
    <row r="8309" spans="26:26" x14ac:dyDescent="0.25">
      <c r="Z8309">
        <v>399999.99960726046</v>
      </c>
    </row>
    <row r="8310" spans="26:26" x14ac:dyDescent="0.25">
      <c r="Z8310">
        <v>399999.99960823986</v>
      </c>
    </row>
    <row r="8311" spans="26:26" x14ac:dyDescent="0.25">
      <c r="Z8311">
        <v>399999.99960921687</v>
      </c>
    </row>
    <row r="8312" spans="26:26" x14ac:dyDescent="0.25">
      <c r="Z8312">
        <v>399999.99961019139</v>
      </c>
    </row>
    <row r="8313" spans="26:26" x14ac:dyDescent="0.25">
      <c r="Z8313">
        <v>399999.99961116345</v>
      </c>
    </row>
    <row r="8314" spans="26:26" x14ac:dyDescent="0.25">
      <c r="Z8314">
        <v>399999.99961213314</v>
      </c>
    </row>
    <row r="8315" spans="26:26" x14ac:dyDescent="0.25">
      <c r="Z8315">
        <v>399999.99961310037</v>
      </c>
    </row>
    <row r="8316" spans="26:26" x14ac:dyDescent="0.25">
      <c r="Z8316">
        <v>399999.99961406516</v>
      </c>
    </row>
    <row r="8317" spans="26:26" x14ac:dyDescent="0.25">
      <c r="Z8317">
        <v>399999.99961502763</v>
      </c>
    </row>
    <row r="8318" spans="26:26" x14ac:dyDescent="0.25">
      <c r="Z8318">
        <v>399999.99961598765</v>
      </c>
    </row>
    <row r="8319" spans="26:26" x14ac:dyDescent="0.25">
      <c r="Z8319">
        <v>399999.99961694528</v>
      </c>
    </row>
    <row r="8320" spans="26:26" x14ac:dyDescent="0.25">
      <c r="Z8320">
        <v>399999.99961790052</v>
      </c>
    </row>
    <row r="8321" spans="26:26" x14ac:dyDescent="0.25">
      <c r="Z8321">
        <v>399999.99961885338</v>
      </c>
    </row>
    <row r="8322" spans="26:26" x14ac:dyDescent="0.25">
      <c r="Z8322">
        <v>399999.99961980386</v>
      </c>
    </row>
    <row r="8323" spans="26:26" x14ac:dyDescent="0.25">
      <c r="Z8323">
        <v>399999.999620752</v>
      </c>
    </row>
    <row r="8324" spans="26:26" x14ac:dyDescent="0.25">
      <c r="Z8324">
        <v>399999.99962169782</v>
      </c>
    </row>
    <row r="8325" spans="26:26" x14ac:dyDescent="0.25">
      <c r="Z8325">
        <v>399999.99962264119</v>
      </c>
    </row>
    <row r="8326" spans="26:26" x14ac:dyDescent="0.25">
      <c r="Z8326">
        <v>399999.99962358217</v>
      </c>
    </row>
    <row r="8327" spans="26:26" x14ac:dyDescent="0.25">
      <c r="Z8327">
        <v>399999.99962452095</v>
      </c>
    </row>
    <row r="8328" spans="26:26" x14ac:dyDescent="0.25">
      <c r="Z8328">
        <v>399999.99962545728</v>
      </c>
    </row>
    <row r="8329" spans="26:26" x14ac:dyDescent="0.25">
      <c r="Z8329">
        <v>399999.99962639128</v>
      </c>
    </row>
    <row r="8330" spans="26:26" x14ac:dyDescent="0.25">
      <c r="Z8330">
        <v>399999.99962732301</v>
      </c>
    </row>
    <row r="8331" spans="26:26" x14ac:dyDescent="0.25">
      <c r="Z8331">
        <v>399999.99962825241</v>
      </c>
    </row>
    <row r="8332" spans="26:26" x14ac:dyDescent="0.25">
      <c r="Z8332">
        <v>399999.99962917942</v>
      </c>
    </row>
    <row r="8333" spans="26:26" x14ac:dyDescent="0.25">
      <c r="Z8333">
        <v>399999.99963010411</v>
      </c>
    </row>
    <row r="8334" spans="26:26" x14ac:dyDescent="0.25">
      <c r="Z8334">
        <v>399999.99963102659</v>
      </c>
    </row>
    <row r="8335" spans="26:26" x14ac:dyDescent="0.25">
      <c r="Z8335">
        <v>399999.99963194673</v>
      </c>
    </row>
    <row r="8336" spans="26:26" x14ac:dyDescent="0.25">
      <c r="Z8336">
        <v>399999.99963286455</v>
      </c>
    </row>
    <row r="8337" spans="26:26" x14ac:dyDescent="0.25">
      <c r="Z8337">
        <v>399999.9996337801</v>
      </c>
    </row>
    <row r="8338" spans="26:26" x14ac:dyDescent="0.25">
      <c r="Z8338">
        <v>399999.99963469338</v>
      </c>
    </row>
    <row r="8339" spans="26:26" x14ac:dyDescent="0.25">
      <c r="Z8339">
        <v>399999.99963560433</v>
      </c>
    </row>
    <row r="8340" spans="26:26" x14ac:dyDescent="0.25">
      <c r="Z8340">
        <v>399999.99963651306</v>
      </c>
    </row>
    <row r="8341" spans="26:26" x14ac:dyDescent="0.25">
      <c r="Z8341">
        <v>399999.99963741953</v>
      </c>
    </row>
    <row r="8342" spans="26:26" x14ac:dyDescent="0.25">
      <c r="Z8342">
        <v>399999.99963832367</v>
      </c>
    </row>
    <row r="8343" spans="26:26" x14ac:dyDescent="0.25">
      <c r="Z8343">
        <v>399999.99963922566</v>
      </c>
    </row>
    <row r="8344" spans="26:26" x14ac:dyDescent="0.25">
      <c r="Z8344">
        <v>399999.99964012532</v>
      </c>
    </row>
    <row r="8345" spans="26:26" x14ac:dyDescent="0.25">
      <c r="Z8345">
        <v>399999.99964102282</v>
      </c>
    </row>
    <row r="8346" spans="26:26" x14ac:dyDescent="0.25">
      <c r="Z8346">
        <v>399999.999641918</v>
      </c>
    </row>
    <row r="8347" spans="26:26" x14ac:dyDescent="0.25">
      <c r="Z8347">
        <v>399999.99964281096</v>
      </c>
    </row>
    <row r="8348" spans="26:26" x14ac:dyDescent="0.25">
      <c r="Z8348">
        <v>399999.99964370171</v>
      </c>
    </row>
    <row r="8349" spans="26:26" x14ac:dyDescent="0.25">
      <c r="Z8349">
        <v>399999.99964459025</v>
      </c>
    </row>
    <row r="8350" spans="26:26" x14ac:dyDescent="0.25">
      <c r="Z8350">
        <v>399999.99964547652</v>
      </c>
    </row>
    <row r="8351" spans="26:26" x14ac:dyDescent="0.25">
      <c r="Z8351">
        <v>399999.99964636069</v>
      </c>
    </row>
    <row r="8352" spans="26:26" x14ac:dyDescent="0.25">
      <c r="Z8352">
        <v>399999.99964724254</v>
      </c>
    </row>
    <row r="8353" spans="26:26" x14ac:dyDescent="0.25">
      <c r="Z8353">
        <v>399999.99964812223</v>
      </c>
    </row>
    <row r="8354" spans="26:26" x14ac:dyDescent="0.25">
      <c r="Z8354">
        <v>399999.99964899977</v>
      </c>
    </row>
    <row r="8355" spans="26:26" x14ac:dyDescent="0.25">
      <c r="Z8355">
        <v>399999.99964987504</v>
      </c>
    </row>
    <row r="8356" spans="26:26" x14ac:dyDescent="0.25">
      <c r="Z8356">
        <v>399999.99965074816</v>
      </c>
    </row>
    <row r="8357" spans="26:26" x14ac:dyDescent="0.25">
      <c r="Z8357">
        <v>399999.99965161912</v>
      </c>
    </row>
    <row r="8358" spans="26:26" x14ac:dyDescent="0.25">
      <c r="Z8358">
        <v>399999.99965248787</v>
      </c>
    </row>
    <row r="8359" spans="26:26" x14ac:dyDescent="0.25">
      <c r="Z8359">
        <v>399999.99965335452</v>
      </c>
    </row>
    <row r="8360" spans="26:26" x14ac:dyDescent="0.25">
      <c r="Z8360">
        <v>399999.99965421896</v>
      </c>
    </row>
    <row r="8361" spans="26:26" x14ac:dyDescent="0.25">
      <c r="Z8361">
        <v>399999.99965508125</v>
      </c>
    </row>
    <row r="8362" spans="26:26" x14ac:dyDescent="0.25">
      <c r="Z8362">
        <v>399999.99965594144</v>
      </c>
    </row>
    <row r="8363" spans="26:26" x14ac:dyDescent="0.25">
      <c r="Z8363">
        <v>399999.99965679937</v>
      </c>
    </row>
    <row r="8364" spans="26:26" x14ac:dyDescent="0.25">
      <c r="Z8364">
        <v>399999.99965765525</v>
      </c>
    </row>
    <row r="8365" spans="26:26" x14ac:dyDescent="0.25">
      <c r="Z8365">
        <v>399999.99965850904</v>
      </c>
    </row>
    <row r="8366" spans="26:26" x14ac:dyDescent="0.25">
      <c r="Z8366">
        <v>399999.99965936062</v>
      </c>
    </row>
    <row r="8367" spans="26:26" x14ac:dyDescent="0.25">
      <c r="Z8367">
        <v>399999.99966021004</v>
      </c>
    </row>
    <row r="8368" spans="26:26" x14ac:dyDescent="0.25">
      <c r="Z8368">
        <v>399999.99966105743</v>
      </c>
    </row>
    <row r="8369" spans="26:26" x14ac:dyDescent="0.25">
      <c r="Z8369">
        <v>399999.99966190266</v>
      </c>
    </row>
    <row r="8370" spans="26:26" x14ac:dyDescent="0.25">
      <c r="Z8370">
        <v>399999.9996627458</v>
      </c>
    </row>
    <row r="8371" spans="26:26" x14ac:dyDescent="0.25">
      <c r="Z8371">
        <v>399999.99966358679</v>
      </c>
    </row>
    <row r="8372" spans="26:26" x14ac:dyDescent="0.25">
      <c r="Z8372">
        <v>399999.99966442585</v>
      </c>
    </row>
    <row r="8373" spans="26:26" x14ac:dyDescent="0.25">
      <c r="Z8373">
        <v>399999.99966526264</v>
      </c>
    </row>
    <row r="8374" spans="26:26" x14ac:dyDescent="0.25">
      <c r="Z8374">
        <v>399999.9996660974</v>
      </c>
    </row>
    <row r="8375" spans="26:26" x14ac:dyDescent="0.25">
      <c r="Z8375">
        <v>399999.99966693006</v>
      </c>
    </row>
    <row r="8376" spans="26:26" x14ac:dyDescent="0.25">
      <c r="Z8376">
        <v>399999.99966776063</v>
      </c>
    </row>
    <row r="8377" spans="26:26" x14ac:dyDescent="0.25">
      <c r="Z8377">
        <v>399999.99966858915</v>
      </c>
    </row>
    <row r="8378" spans="26:26" x14ac:dyDescent="0.25">
      <c r="Z8378">
        <v>399999.99966941564</v>
      </c>
    </row>
    <row r="8379" spans="26:26" x14ac:dyDescent="0.25">
      <c r="Z8379">
        <v>399999.99967024004</v>
      </c>
    </row>
    <row r="8380" spans="26:26" x14ac:dyDescent="0.25">
      <c r="Z8380">
        <v>399999.9996710624</v>
      </c>
    </row>
    <row r="8381" spans="26:26" x14ac:dyDescent="0.25">
      <c r="Z8381">
        <v>399999.99967188266</v>
      </c>
    </row>
    <row r="8382" spans="26:26" x14ac:dyDescent="0.25">
      <c r="Z8382">
        <v>399999.99967270088</v>
      </c>
    </row>
    <row r="8383" spans="26:26" x14ac:dyDescent="0.25">
      <c r="Z8383">
        <v>399999.99967351713</v>
      </c>
    </row>
    <row r="8384" spans="26:26" x14ac:dyDescent="0.25">
      <c r="Z8384">
        <v>399999.99967433134</v>
      </c>
    </row>
    <row r="8385" spans="26:26" x14ac:dyDescent="0.25">
      <c r="Z8385">
        <v>399999.99967514345</v>
      </c>
    </row>
    <row r="8386" spans="26:26" x14ac:dyDescent="0.25">
      <c r="Z8386">
        <v>399999.99967595359</v>
      </c>
    </row>
    <row r="8387" spans="26:26" x14ac:dyDescent="0.25">
      <c r="Z8387">
        <v>399999.99967676168</v>
      </c>
    </row>
    <row r="8388" spans="26:26" x14ac:dyDescent="0.25">
      <c r="Z8388">
        <v>399999.99967756774</v>
      </c>
    </row>
    <row r="8389" spans="26:26" x14ac:dyDescent="0.25">
      <c r="Z8389">
        <v>399999.99967837177</v>
      </c>
    </row>
    <row r="8390" spans="26:26" x14ac:dyDescent="0.25">
      <c r="Z8390">
        <v>399999.99967917387</v>
      </c>
    </row>
    <row r="8391" spans="26:26" x14ac:dyDescent="0.25">
      <c r="Z8391">
        <v>399999.99967997393</v>
      </c>
    </row>
    <row r="8392" spans="26:26" x14ac:dyDescent="0.25">
      <c r="Z8392">
        <v>399999.99968077202</v>
      </c>
    </row>
    <row r="8393" spans="26:26" x14ac:dyDescent="0.25">
      <c r="Z8393">
        <v>399999.99968156806</v>
      </c>
    </row>
    <row r="8394" spans="26:26" x14ac:dyDescent="0.25">
      <c r="Z8394">
        <v>399999.99968236213</v>
      </c>
    </row>
    <row r="8395" spans="26:26" x14ac:dyDescent="0.25">
      <c r="Z8395">
        <v>399999.99968315428</v>
      </c>
    </row>
    <row r="8396" spans="26:26" x14ac:dyDescent="0.25">
      <c r="Z8396">
        <v>399999.99968394445</v>
      </c>
    </row>
    <row r="8397" spans="26:26" x14ac:dyDescent="0.25">
      <c r="Z8397">
        <v>399999.99968473264</v>
      </c>
    </row>
    <row r="8398" spans="26:26" x14ac:dyDescent="0.25">
      <c r="Z8398">
        <v>399999.99968551879</v>
      </c>
    </row>
    <row r="8399" spans="26:26" x14ac:dyDescent="0.25">
      <c r="Z8399">
        <v>399999.99968630302</v>
      </c>
    </row>
    <row r="8400" spans="26:26" x14ac:dyDescent="0.25">
      <c r="Z8400">
        <v>399999.99968708534</v>
      </c>
    </row>
    <row r="8401" spans="26:26" x14ac:dyDescent="0.25">
      <c r="Z8401">
        <v>399999.99968786567</v>
      </c>
    </row>
    <row r="8402" spans="26:26" x14ac:dyDescent="0.25">
      <c r="Z8402">
        <v>399999.99968864408</v>
      </c>
    </row>
    <row r="8403" spans="26:26" x14ac:dyDescent="0.25">
      <c r="Z8403">
        <v>399999.99968942051</v>
      </c>
    </row>
    <row r="8404" spans="26:26" x14ac:dyDescent="0.25">
      <c r="Z8404">
        <v>399999.99969019496</v>
      </c>
    </row>
    <row r="8405" spans="26:26" x14ac:dyDescent="0.25">
      <c r="Z8405">
        <v>399999.99969096761</v>
      </c>
    </row>
    <row r="8406" spans="26:26" x14ac:dyDescent="0.25">
      <c r="Z8406">
        <v>399999.99969173828</v>
      </c>
    </row>
    <row r="8407" spans="26:26" x14ac:dyDescent="0.25">
      <c r="Z8407">
        <v>399999.99969250697</v>
      </c>
    </row>
    <row r="8408" spans="26:26" x14ac:dyDescent="0.25">
      <c r="Z8408">
        <v>399999.9996932738</v>
      </c>
    </row>
    <row r="8409" spans="26:26" x14ac:dyDescent="0.25">
      <c r="Z8409">
        <v>399999.99969403871</v>
      </c>
    </row>
    <row r="8410" spans="26:26" x14ac:dyDescent="0.25">
      <c r="Z8410">
        <v>399999.99969480169</v>
      </c>
    </row>
    <row r="8411" spans="26:26" x14ac:dyDescent="0.25">
      <c r="Z8411">
        <v>399999.99969556276</v>
      </c>
    </row>
    <row r="8412" spans="26:26" x14ac:dyDescent="0.25">
      <c r="Z8412">
        <v>399999.99969632196</v>
      </c>
    </row>
    <row r="8413" spans="26:26" x14ac:dyDescent="0.25">
      <c r="Z8413">
        <v>399999.9996970793</v>
      </c>
    </row>
    <row r="8414" spans="26:26" x14ac:dyDescent="0.25">
      <c r="Z8414">
        <v>399999.99969783472</v>
      </c>
    </row>
    <row r="8415" spans="26:26" x14ac:dyDescent="0.25">
      <c r="Z8415">
        <v>399999.99969858828</v>
      </c>
    </row>
    <row r="8416" spans="26:26" x14ac:dyDescent="0.25">
      <c r="Z8416">
        <v>399999.99969933985</v>
      </c>
    </row>
    <row r="8417" spans="26:26" x14ac:dyDescent="0.25">
      <c r="Z8417">
        <v>399999.99970008968</v>
      </c>
    </row>
    <row r="8418" spans="26:26" x14ac:dyDescent="0.25">
      <c r="Z8418">
        <v>399999.99970083759</v>
      </c>
    </row>
    <row r="8419" spans="26:26" x14ac:dyDescent="0.25">
      <c r="Z8419">
        <v>399999.99970158364</v>
      </c>
    </row>
    <row r="8420" spans="26:26" x14ac:dyDescent="0.25">
      <c r="Z8420">
        <v>399999.99970232777</v>
      </c>
    </row>
    <row r="8421" spans="26:26" x14ac:dyDescent="0.25">
      <c r="Z8421">
        <v>399999.99970307009</v>
      </c>
    </row>
    <row r="8422" spans="26:26" x14ac:dyDescent="0.25">
      <c r="Z8422">
        <v>399999.99970381061</v>
      </c>
    </row>
    <row r="8423" spans="26:26" x14ac:dyDescent="0.25">
      <c r="Z8423">
        <v>399999.99970454921</v>
      </c>
    </row>
    <row r="8424" spans="26:26" x14ac:dyDescent="0.25">
      <c r="Z8424">
        <v>399999.999705286</v>
      </c>
    </row>
    <row r="8425" spans="26:26" x14ac:dyDescent="0.25">
      <c r="Z8425">
        <v>399999.99970602099</v>
      </c>
    </row>
    <row r="8426" spans="26:26" x14ac:dyDescent="0.25">
      <c r="Z8426">
        <v>399999.99970675405</v>
      </c>
    </row>
    <row r="8427" spans="26:26" x14ac:dyDescent="0.25">
      <c r="Z8427">
        <v>399999.99970748537</v>
      </c>
    </row>
    <row r="8428" spans="26:26" x14ac:dyDescent="0.25">
      <c r="Z8428">
        <v>399999.99970821483</v>
      </c>
    </row>
    <row r="8429" spans="26:26" x14ac:dyDescent="0.25">
      <c r="Z8429">
        <v>399999.99970894243</v>
      </c>
    </row>
    <row r="8430" spans="26:26" x14ac:dyDescent="0.25">
      <c r="Z8430">
        <v>399999.99970966828</v>
      </c>
    </row>
    <row r="8431" spans="26:26" x14ac:dyDescent="0.25">
      <c r="Z8431">
        <v>399999.99971039232</v>
      </c>
    </row>
    <row r="8432" spans="26:26" x14ac:dyDescent="0.25">
      <c r="Z8432">
        <v>399999.99971111456</v>
      </c>
    </row>
    <row r="8433" spans="26:26" x14ac:dyDescent="0.25">
      <c r="Z8433">
        <v>399999.99971183494</v>
      </c>
    </row>
    <row r="8434" spans="26:26" x14ac:dyDescent="0.25">
      <c r="Z8434">
        <v>399999.99971255357</v>
      </c>
    </row>
    <row r="8435" spans="26:26" x14ac:dyDescent="0.25">
      <c r="Z8435">
        <v>399999.9997132704</v>
      </c>
    </row>
    <row r="8436" spans="26:26" x14ac:dyDescent="0.25">
      <c r="Z8436">
        <v>399999.99971398542</v>
      </c>
    </row>
    <row r="8437" spans="26:26" x14ac:dyDescent="0.25">
      <c r="Z8437">
        <v>399999.99971469864</v>
      </c>
    </row>
    <row r="8438" spans="26:26" x14ac:dyDescent="0.25">
      <c r="Z8438">
        <v>399999.99971541011</v>
      </c>
    </row>
    <row r="8439" spans="26:26" x14ac:dyDescent="0.25">
      <c r="Z8439">
        <v>399999.99971611984</v>
      </c>
    </row>
    <row r="8440" spans="26:26" x14ac:dyDescent="0.25">
      <c r="Z8440">
        <v>399999.99971682776</v>
      </c>
    </row>
    <row r="8441" spans="26:26" x14ac:dyDescent="0.25">
      <c r="Z8441">
        <v>399999.99971753394</v>
      </c>
    </row>
    <row r="8442" spans="26:26" x14ac:dyDescent="0.25">
      <c r="Z8442">
        <v>399999.99971823837</v>
      </c>
    </row>
    <row r="8443" spans="26:26" x14ac:dyDescent="0.25">
      <c r="Z8443">
        <v>399999.99971894099</v>
      </c>
    </row>
    <row r="8444" spans="26:26" x14ac:dyDescent="0.25">
      <c r="Z8444">
        <v>399999.99971964187</v>
      </c>
    </row>
    <row r="8445" spans="26:26" x14ac:dyDescent="0.25">
      <c r="Z8445">
        <v>399999.999720341</v>
      </c>
    </row>
    <row r="8446" spans="26:26" x14ac:dyDescent="0.25">
      <c r="Z8446">
        <v>399999.99972103839</v>
      </c>
    </row>
    <row r="8447" spans="26:26" x14ac:dyDescent="0.25">
      <c r="Z8447">
        <v>399999.99972173409</v>
      </c>
    </row>
    <row r="8448" spans="26:26" x14ac:dyDescent="0.25">
      <c r="Z8448">
        <v>399999.99972242804</v>
      </c>
    </row>
    <row r="8449" spans="26:26" x14ac:dyDescent="0.25">
      <c r="Z8449">
        <v>399999.99972312024</v>
      </c>
    </row>
    <row r="8450" spans="26:26" x14ac:dyDescent="0.25">
      <c r="Z8450">
        <v>399999.9997238107</v>
      </c>
    </row>
    <row r="8451" spans="26:26" x14ac:dyDescent="0.25">
      <c r="Z8451">
        <v>399999.99972449947</v>
      </c>
    </row>
    <row r="8452" spans="26:26" x14ac:dyDescent="0.25">
      <c r="Z8452">
        <v>399999.9997251865</v>
      </c>
    </row>
    <row r="8453" spans="26:26" x14ac:dyDescent="0.25">
      <c r="Z8453">
        <v>399999.99972587178</v>
      </c>
    </row>
    <row r="8454" spans="26:26" x14ac:dyDescent="0.25">
      <c r="Z8454">
        <v>399999.99972655543</v>
      </c>
    </row>
    <row r="8455" spans="26:26" x14ac:dyDescent="0.25">
      <c r="Z8455">
        <v>399999.99972723733</v>
      </c>
    </row>
    <row r="8456" spans="26:26" x14ac:dyDescent="0.25">
      <c r="Z8456">
        <v>399999.99972791754</v>
      </c>
    </row>
    <row r="8457" spans="26:26" x14ac:dyDescent="0.25">
      <c r="Z8457">
        <v>399999.99972859601</v>
      </c>
    </row>
    <row r="8458" spans="26:26" x14ac:dyDescent="0.25">
      <c r="Z8458">
        <v>399999.99972927285</v>
      </c>
    </row>
    <row r="8459" spans="26:26" x14ac:dyDescent="0.25">
      <c r="Z8459">
        <v>399999.99972994794</v>
      </c>
    </row>
    <row r="8460" spans="26:26" x14ac:dyDescent="0.25">
      <c r="Z8460">
        <v>399999.99973062146</v>
      </c>
    </row>
    <row r="8461" spans="26:26" x14ac:dyDescent="0.25">
      <c r="Z8461">
        <v>399999.99973129318</v>
      </c>
    </row>
    <row r="8462" spans="26:26" x14ac:dyDescent="0.25">
      <c r="Z8462">
        <v>399999.99973196333</v>
      </c>
    </row>
    <row r="8463" spans="26:26" x14ac:dyDescent="0.25">
      <c r="Z8463">
        <v>399999.99973263172</v>
      </c>
    </row>
    <row r="8464" spans="26:26" x14ac:dyDescent="0.25">
      <c r="Z8464">
        <v>399999.99973329849</v>
      </c>
    </row>
    <row r="8465" spans="26:26" x14ac:dyDescent="0.25">
      <c r="Z8465">
        <v>399999.99973396357</v>
      </c>
    </row>
    <row r="8466" spans="26:26" x14ac:dyDescent="0.25">
      <c r="Z8466">
        <v>399999.99973462697</v>
      </c>
    </row>
    <row r="8467" spans="26:26" x14ac:dyDescent="0.25">
      <c r="Z8467">
        <v>399999.99973528873</v>
      </c>
    </row>
    <row r="8468" spans="26:26" x14ac:dyDescent="0.25">
      <c r="Z8468">
        <v>399999.99973594892</v>
      </c>
    </row>
    <row r="8469" spans="26:26" x14ac:dyDescent="0.25">
      <c r="Z8469">
        <v>399999.99973660742</v>
      </c>
    </row>
    <row r="8470" spans="26:26" x14ac:dyDescent="0.25">
      <c r="Z8470">
        <v>399999.99973726418</v>
      </c>
    </row>
    <row r="8471" spans="26:26" x14ac:dyDescent="0.25">
      <c r="Z8471">
        <v>399999.99973791942</v>
      </c>
    </row>
    <row r="8472" spans="26:26" x14ac:dyDescent="0.25">
      <c r="Z8472">
        <v>399999.99973857298</v>
      </c>
    </row>
    <row r="8473" spans="26:26" x14ac:dyDescent="0.25">
      <c r="Z8473">
        <v>399999.99973922496</v>
      </c>
    </row>
    <row r="8474" spans="26:26" x14ac:dyDescent="0.25">
      <c r="Z8474">
        <v>399999.9997398752</v>
      </c>
    </row>
    <row r="8475" spans="26:26" x14ac:dyDescent="0.25">
      <c r="Z8475">
        <v>399999.99974052393</v>
      </c>
    </row>
    <row r="8476" spans="26:26" x14ac:dyDescent="0.25">
      <c r="Z8476">
        <v>399999.99974117096</v>
      </c>
    </row>
    <row r="8477" spans="26:26" x14ac:dyDescent="0.25">
      <c r="Z8477">
        <v>399999.99974181643</v>
      </c>
    </row>
    <row r="8478" spans="26:26" x14ac:dyDescent="0.25">
      <c r="Z8478">
        <v>399999.99974246032</v>
      </c>
    </row>
    <row r="8479" spans="26:26" x14ac:dyDescent="0.25">
      <c r="Z8479">
        <v>399999.99974310258</v>
      </c>
    </row>
    <row r="8480" spans="26:26" x14ac:dyDescent="0.25">
      <c r="Z8480">
        <v>399999.99974374322</v>
      </c>
    </row>
    <row r="8481" spans="26:26" x14ac:dyDescent="0.25">
      <c r="Z8481">
        <v>399999.99974438222</v>
      </c>
    </row>
    <row r="8482" spans="26:26" x14ac:dyDescent="0.25">
      <c r="Z8482">
        <v>399999.99974501971</v>
      </c>
    </row>
    <row r="8483" spans="26:26" x14ac:dyDescent="0.25">
      <c r="Z8483">
        <v>399999.99974565551</v>
      </c>
    </row>
    <row r="8484" spans="26:26" x14ac:dyDescent="0.25">
      <c r="Z8484">
        <v>399999.9997462898</v>
      </c>
    </row>
    <row r="8485" spans="26:26" x14ac:dyDescent="0.25">
      <c r="Z8485">
        <v>399999.99974692252</v>
      </c>
    </row>
    <row r="8486" spans="26:26" x14ac:dyDescent="0.25">
      <c r="Z8486">
        <v>399999.99974755367</v>
      </c>
    </row>
    <row r="8487" spans="26:26" x14ac:dyDescent="0.25">
      <c r="Z8487">
        <v>399999.99974818312</v>
      </c>
    </row>
    <row r="8488" spans="26:26" x14ac:dyDescent="0.25">
      <c r="Z8488">
        <v>399999.99974881113</v>
      </c>
    </row>
    <row r="8489" spans="26:26" x14ac:dyDescent="0.25">
      <c r="Z8489">
        <v>399999.99974943756</v>
      </c>
    </row>
    <row r="8490" spans="26:26" x14ac:dyDescent="0.25">
      <c r="Z8490">
        <v>399999.99975006242</v>
      </c>
    </row>
    <row r="8491" spans="26:26" x14ac:dyDescent="0.25">
      <c r="Z8491">
        <v>399999.9997506857</v>
      </c>
    </row>
    <row r="8492" spans="26:26" x14ac:dyDescent="0.25">
      <c r="Z8492">
        <v>399999.99975130742</v>
      </c>
    </row>
    <row r="8493" spans="26:26" x14ac:dyDescent="0.25">
      <c r="Z8493">
        <v>399999.99975192756</v>
      </c>
    </row>
    <row r="8494" spans="26:26" x14ac:dyDescent="0.25">
      <c r="Z8494">
        <v>399999.99975254625</v>
      </c>
    </row>
    <row r="8495" spans="26:26" x14ac:dyDescent="0.25">
      <c r="Z8495">
        <v>399999.99975316331</v>
      </c>
    </row>
    <row r="8496" spans="26:26" x14ac:dyDescent="0.25">
      <c r="Z8496">
        <v>399999.99975377886</v>
      </c>
    </row>
    <row r="8497" spans="26:26" x14ac:dyDescent="0.25">
      <c r="Z8497">
        <v>399999.99975439289</v>
      </c>
    </row>
    <row r="8498" spans="26:26" x14ac:dyDescent="0.25">
      <c r="Z8498">
        <v>399999.99975500541</v>
      </c>
    </row>
    <row r="8499" spans="26:26" x14ac:dyDescent="0.25">
      <c r="Z8499">
        <v>399999.9997556163</v>
      </c>
    </row>
    <row r="8500" spans="26:26" x14ac:dyDescent="0.25">
      <c r="Z8500">
        <v>399999.99975622579</v>
      </c>
    </row>
    <row r="8501" spans="26:26" x14ac:dyDescent="0.25">
      <c r="Z8501">
        <v>399999.99975683371</v>
      </c>
    </row>
    <row r="8502" spans="26:26" x14ac:dyDescent="0.25">
      <c r="Z8502">
        <v>399999.99975744012</v>
      </c>
    </row>
    <row r="8503" spans="26:26" x14ac:dyDescent="0.25">
      <c r="Z8503">
        <v>399999.99975804496</v>
      </c>
    </row>
    <row r="8504" spans="26:26" x14ac:dyDescent="0.25">
      <c r="Z8504">
        <v>399999.99975864834</v>
      </c>
    </row>
    <row r="8505" spans="26:26" x14ac:dyDescent="0.25">
      <c r="Z8505">
        <v>399999.9997592502</v>
      </c>
    </row>
    <row r="8506" spans="26:26" x14ac:dyDescent="0.25">
      <c r="Z8506">
        <v>399999.99975985062</v>
      </c>
    </row>
    <row r="8507" spans="26:26" x14ac:dyDescent="0.25">
      <c r="Z8507">
        <v>399999.99976044951</v>
      </c>
    </row>
    <row r="8508" spans="26:26" x14ac:dyDescent="0.25">
      <c r="Z8508">
        <v>399999.99976104684</v>
      </c>
    </row>
    <row r="8509" spans="26:26" x14ac:dyDescent="0.25">
      <c r="Z8509">
        <v>399999.99976164277</v>
      </c>
    </row>
    <row r="8510" spans="26:26" x14ac:dyDescent="0.25">
      <c r="Z8510">
        <v>399999.99976223713</v>
      </c>
    </row>
    <row r="8511" spans="26:26" x14ac:dyDescent="0.25">
      <c r="Z8511">
        <v>399999.99976283009</v>
      </c>
    </row>
    <row r="8512" spans="26:26" x14ac:dyDescent="0.25">
      <c r="Z8512">
        <v>399999.99976342154</v>
      </c>
    </row>
    <row r="8513" spans="26:26" x14ac:dyDescent="0.25">
      <c r="Z8513">
        <v>399999.99976401153</v>
      </c>
    </row>
    <row r="8514" spans="26:26" x14ac:dyDescent="0.25">
      <c r="Z8514">
        <v>399999.99976460001</v>
      </c>
    </row>
    <row r="8515" spans="26:26" x14ac:dyDescent="0.25">
      <c r="Z8515">
        <v>399999.99976518704</v>
      </c>
    </row>
    <row r="8516" spans="26:26" x14ac:dyDescent="0.25">
      <c r="Z8516">
        <v>399999.99976577261</v>
      </c>
    </row>
    <row r="8517" spans="26:26" x14ac:dyDescent="0.25">
      <c r="Z8517">
        <v>399999.99976635672</v>
      </c>
    </row>
    <row r="8518" spans="26:26" x14ac:dyDescent="0.25">
      <c r="Z8518">
        <v>399999.99976693932</v>
      </c>
    </row>
    <row r="8519" spans="26:26" x14ac:dyDescent="0.25">
      <c r="Z8519">
        <v>399999.99976752058</v>
      </c>
    </row>
    <row r="8520" spans="26:26" x14ac:dyDescent="0.25">
      <c r="Z8520">
        <v>399999.99976810033</v>
      </c>
    </row>
    <row r="8521" spans="26:26" x14ac:dyDescent="0.25">
      <c r="Z8521">
        <v>399999.99976867862</v>
      </c>
    </row>
    <row r="8522" spans="26:26" x14ac:dyDescent="0.25">
      <c r="Z8522">
        <v>399999.99976925546</v>
      </c>
    </row>
    <row r="8523" spans="26:26" x14ac:dyDescent="0.25">
      <c r="Z8523">
        <v>399999.9997698309</v>
      </c>
    </row>
    <row r="8524" spans="26:26" x14ac:dyDescent="0.25">
      <c r="Z8524">
        <v>399999.99977040489</v>
      </c>
    </row>
    <row r="8525" spans="26:26" x14ac:dyDescent="0.25">
      <c r="Z8525">
        <v>399999.99977097748</v>
      </c>
    </row>
    <row r="8526" spans="26:26" x14ac:dyDescent="0.25">
      <c r="Z8526">
        <v>399999.99977154855</v>
      </c>
    </row>
    <row r="8527" spans="26:26" x14ac:dyDescent="0.25">
      <c r="Z8527">
        <v>399999.99977211829</v>
      </c>
    </row>
    <row r="8528" spans="26:26" x14ac:dyDescent="0.25">
      <c r="Z8528">
        <v>399999.99977268657</v>
      </c>
    </row>
    <row r="8529" spans="26:26" x14ac:dyDescent="0.25">
      <c r="Z8529">
        <v>399999.9997732534</v>
      </c>
    </row>
    <row r="8530" spans="26:26" x14ac:dyDescent="0.25">
      <c r="Z8530">
        <v>399999.99977381888</v>
      </c>
    </row>
    <row r="8531" spans="26:26" x14ac:dyDescent="0.25">
      <c r="Z8531">
        <v>399999.99977438292</v>
      </c>
    </row>
    <row r="8532" spans="26:26" x14ac:dyDescent="0.25">
      <c r="Z8532">
        <v>399999.99977494555</v>
      </c>
    </row>
    <row r="8533" spans="26:26" x14ac:dyDescent="0.25">
      <c r="Z8533">
        <v>399999.99977550685</v>
      </c>
    </row>
    <row r="8534" spans="26:26" x14ac:dyDescent="0.25">
      <c r="Z8534">
        <v>399999.99977606663</v>
      </c>
    </row>
    <row r="8535" spans="26:26" x14ac:dyDescent="0.25">
      <c r="Z8535">
        <v>399999.99977662507</v>
      </c>
    </row>
    <row r="8536" spans="26:26" x14ac:dyDescent="0.25">
      <c r="Z8536">
        <v>399999.99977718212</v>
      </c>
    </row>
    <row r="8537" spans="26:26" x14ac:dyDescent="0.25">
      <c r="Z8537">
        <v>399999.99977773777</v>
      </c>
    </row>
    <row r="8538" spans="26:26" x14ac:dyDescent="0.25">
      <c r="Z8538">
        <v>399999.99977829208</v>
      </c>
    </row>
    <row r="8539" spans="26:26" x14ac:dyDescent="0.25">
      <c r="Z8539">
        <v>399999.99977884494</v>
      </c>
    </row>
    <row r="8540" spans="26:26" x14ac:dyDescent="0.25">
      <c r="Z8540">
        <v>399999.9997793964</v>
      </c>
    </row>
    <row r="8541" spans="26:26" x14ac:dyDescent="0.25">
      <c r="Z8541">
        <v>399999.99977994658</v>
      </c>
    </row>
    <row r="8542" spans="26:26" x14ac:dyDescent="0.25">
      <c r="Z8542">
        <v>399999.9997804953</v>
      </c>
    </row>
    <row r="8543" spans="26:26" x14ac:dyDescent="0.25">
      <c r="Z8543">
        <v>399999.99978104274</v>
      </c>
    </row>
    <row r="8544" spans="26:26" x14ac:dyDescent="0.25">
      <c r="Z8544">
        <v>399999.99978158873</v>
      </c>
    </row>
    <row r="8545" spans="26:26" x14ac:dyDescent="0.25">
      <c r="Z8545">
        <v>399999.99978213338</v>
      </c>
    </row>
    <row r="8546" spans="26:26" x14ac:dyDescent="0.25">
      <c r="Z8546">
        <v>399999.99978267675</v>
      </c>
    </row>
    <row r="8547" spans="26:26" x14ac:dyDescent="0.25">
      <c r="Z8547">
        <v>399999.99978321872</v>
      </c>
    </row>
    <row r="8548" spans="26:26" x14ac:dyDescent="0.25">
      <c r="Z8548">
        <v>399999.99978375924</v>
      </c>
    </row>
    <row r="8549" spans="26:26" x14ac:dyDescent="0.25">
      <c r="Z8549">
        <v>399999.99978429853</v>
      </c>
    </row>
    <row r="8550" spans="26:26" x14ac:dyDescent="0.25">
      <c r="Z8550">
        <v>399999.99978483649</v>
      </c>
    </row>
    <row r="8551" spans="26:26" x14ac:dyDescent="0.25">
      <c r="Z8551">
        <v>399999.99978537305</v>
      </c>
    </row>
    <row r="8552" spans="26:26" x14ac:dyDescent="0.25">
      <c r="Z8552">
        <v>399999.99978590821</v>
      </c>
    </row>
    <row r="8553" spans="26:26" x14ac:dyDescent="0.25">
      <c r="Z8553">
        <v>399999.99978644209</v>
      </c>
    </row>
    <row r="8554" spans="26:26" x14ac:dyDescent="0.25">
      <c r="Z8554">
        <v>399999.99978697469</v>
      </c>
    </row>
    <row r="8555" spans="26:26" x14ac:dyDescent="0.25">
      <c r="Z8555">
        <v>399999.99978750595</v>
      </c>
    </row>
    <row r="8556" spans="26:26" x14ac:dyDescent="0.25">
      <c r="Z8556">
        <v>399999.99978803581</v>
      </c>
    </row>
    <row r="8557" spans="26:26" x14ac:dyDescent="0.25">
      <c r="Z8557">
        <v>399999.9997885644</v>
      </c>
    </row>
    <row r="8558" spans="26:26" x14ac:dyDescent="0.25">
      <c r="Z8558">
        <v>399999.9997890917</v>
      </c>
    </row>
    <row r="8559" spans="26:26" x14ac:dyDescent="0.25">
      <c r="Z8559">
        <v>399999.99978961766</v>
      </c>
    </row>
    <row r="8560" spans="26:26" x14ac:dyDescent="0.25">
      <c r="Z8560">
        <v>399999.99979014235</v>
      </c>
    </row>
    <row r="8561" spans="26:26" x14ac:dyDescent="0.25">
      <c r="Z8561">
        <v>399999.99979066558</v>
      </c>
    </row>
    <row r="8562" spans="26:26" x14ac:dyDescent="0.25">
      <c r="Z8562">
        <v>399999.99979118764</v>
      </c>
    </row>
    <row r="8563" spans="26:26" x14ac:dyDescent="0.25">
      <c r="Z8563">
        <v>399999.99979170837</v>
      </c>
    </row>
    <row r="8564" spans="26:26" x14ac:dyDescent="0.25">
      <c r="Z8564">
        <v>399999.99979222781</v>
      </c>
    </row>
    <row r="8565" spans="26:26" x14ac:dyDescent="0.25">
      <c r="Z8565">
        <v>399999.99979274598</v>
      </c>
    </row>
    <row r="8566" spans="26:26" x14ac:dyDescent="0.25">
      <c r="Z8566">
        <v>399999.9997932628</v>
      </c>
    </row>
    <row r="8567" spans="26:26" x14ac:dyDescent="0.25">
      <c r="Z8567">
        <v>399999.99979377841</v>
      </c>
    </row>
    <row r="8568" spans="26:26" x14ac:dyDescent="0.25">
      <c r="Z8568">
        <v>399999.99979429261</v>
      </c>
    </row>
    <row r="8569" spans="26:26" x14ac:dyDescent="0.25">
      <c r="Z8569">
        <v>399999.9997948056</v>
      </c>
    </row>
    <row r="8570" spans="26:26" x14ac:dyDescent="0.25">
      <c r="Z8570">
        <v>399999.9997953173</v>
      </c>
    </row>
    <row r="8571" spans="26:26" x14ac:dyDescent="0.25">
      <c r="Z8571">
        <v>399999.99979582778</v>
      </c>
    </row>
    <row r="8572" spans="26:26" x14ac:dyDescent="0.25">
      <c r="Z8572">
        <v>399999.99979633687</v>
      </c>
    </row>
    <row r="8573" spans="26:26" x14ac:dyDescent="0.25">
      <c r="Z8573">
        <v>399999.99979684479</v>
      </c>
    </row>
    <row r="8574" spans="26:26" x14ac:dyDescent="0.25">
      <c r="Z8574">
        <v>399999.99979735143</v>
      </c>
    </row>
    <row r="8575" spans="26:26" x14ac:dyDescent="0.25">
      <c r="Z8575">
        <v>399999.99979785673</v>
      </c>
    </row>
    <row r="8576" spans="26:26" x14ac:dyDescent="0.25">
      <c r="Z8576">
        <v>399999.99979836086</v>
      </c>
    </row>
    <row r="8577" spans="26:26" x14ac:dyDescent="0.25">
      <c r="Z8577">
        <v>399999.99979886372</v>
      </c>
    </row>
    <row r="8578" spans="26:26" x14ac:dyDescent="0.25">
      <c r="Z8578">
        <v>399999.99979936529</v>
      </c>
    </row>
    <row r="8579" spans="26:26" x14ac:dyDescent="0.25">
      <c r="Z8579">
        <v>399999.99979986565</v>
      </c>
    </row>
    <row r="8580" spans="26:26" x14ac:dyDescent="0.25">
      <c r="Z8580">
        <v>399999.99980036472</v>
      </c>
    </row>
    <row r="8581" spans="26:26" x14ac:dyDescent="0.25">
      <c r="Z8581">
        <v>399999.99980086257</v>
      </c>
    </row>
    <row r="8582" spans="26:26" x14ac:dyDescent="0.25">
      <c r="Z8582">
        <v>399999.99980135914</v>
      </c>
    </row>
    <row r="8583" spans="26:26" x14ac:dyDescent="0.25">
      <c r="Z8583">
        <v>399999.99980185454</v>
      </c>
    </row>
    <row r="8584" spans="26:26" x14ac:dyDescent="0.25">
      <c r="Z8584">
        <v>399999.99980234867</v>
      </c>
    </row>
    <row r="8585" spans="26:26" x14ac:dyDescent="0.25">
      <c r="Z8585">
        <v>399999.99980284157</v>
      </c>
    </row>
    <row r="8586" spans="26:26" x14ac:dyDescent="0.25">
      <c r="Z8586">
        <v>399999.99980333319</v>
      </c>
    </row>
    <row r="8587" spans="26:26" x14ac:dyDescent="0.25">
      <c r="Z8587">
        <v>399999.99980382365</v>
      </c>
    </row>
    <row r="8588" spans="26:26" x14ac:dyDescent="0.25">
      <c r="Z8588">
        <v>399999.99980431289</v>
      </c>
    </row>
    <row r="8589" spans="26:26" x14ac:dyDescent="0.25">
      <c r="Z8589">
        <v>399999.9998048009</v>
      </c>
    </row>
    <row r="8590" spans="26:26" x14ac:dyDescent="0.25">
      <c r="Z8590">
        <v>399999.99980528763</v>
      </c>
    </row>
    <row r="8591" spans="26:26" x14ac:dyDescent="0.25">
      <c r="Z8591">
        <v>399999.9998057732</v>
      </c>
    </row>
    <row r="8592" spans="26:26" x14ac:dyDescent="0.25">
      <c r="Z8592">
        <v>399999.99980625761</v>
      </c>
    </row>
    <row r="8593" spans="26:26" x14ac:dyDescent="0.25">
      <c r="Z8593">
        <v>399999.99980674073</v>
      </c>
    </row>
    <row r="8594" spans="26:26" x14ac:dyDescent="0.25">
      <c r="Z8594">
        <v>399999.99980722269</v>
      </c>
    </row>
    <row r="8595" spans="26:26" x14ac:dyDescent="0.25">
      <c r="Z8595">
        <v>399999.99980770343</v>
      </c>
    </row>
    <row r="8596" spans="26:26" x14ac:dyDescent="0.25">
      <c r="Z8596">
        <v>399999.99980818294</v>
      </c>
    </row>
    <row r="8597" spans="26:26" x14ac:dyDescent="0.25">
      <c r="Z8597">
        <v>399999.99980866129</v>
      </c>
    </row>
    <row r="8598" spans="26:26" x14ac:dyDescent="0.25">
      <c r="Z8598">
        <v>399999.99980913842</v>
      </c>
    </row>
    <row r="8599" spans="26:26" x14ac:dyDescent="0.25">
      <c r="Z8599">
        <v>399999.99980961444</v>
      </c>
    </row>
    <row r="8600" spans="26:26" x14ac:dyDescent="0.25">
      <c r="Z8600">
        <v>399999.99981008918</v>
      </c>
    </row>
    <row r="8601" spans="26:26" x14ac:dyDescent="0.25">
      <c r="Z8601">
        <v>399999.99981056282</v>
      </c>
    </row>
    <row r="8602" spans="26:26" x14ac:dyDescent="0.25">
      <c r="Z8602">
        <v>399999.99981103517</v>
      </c>
    </row>
    <row r="8603" spans="26:26" x14ac:dyDescent="0.25">
      <c r="Z8603">
        <v>399999.99981150642</v>
      </c>
    </row>
    <row r="8604" spans="26:26" x14ac:dyDescent="0.25">
      <c r="Z8604">
        <v>399999.99981197645</v>
      </c>
    </row>
    <row r="8605" spans="26:26" x14ac:dyDescent="0.25">
      <c r="Z8605">
        <v>399999.99981244543</v>
      </c>
    </row>
    <row r="8606" spans="26:26" x14ac:dyDescent="0.25">
      <c r="Z8606">
        <v>399999.99981291313</v>
      </c>
    </row>
    <row r="8607" spans="26:26" x14ac:dyDescent="0.25">
      <c r="Z8607">
        <v>399999.99981337966</v>
      </c>
    </row>
    <row r="8608" spans="26:26" x14ac:dyDescent="0.25">
      <c r="Z8608">
        <v>399999.99981384503</v>
      </c>
    </row>
    <row r="8609" spans="26:26" x14ac:dyDescent="0.25">
      <c r="Z8609">
        <v>399999.9998143093</v>
      </c>
    </row>
    <row r="8610" spans="26:26" x14ac:dyDescent="0.25">
      <c r="Z8610">
        <v>399999.99981477234</v>
      </c>
    </row>
    <row r="8611" spans="26:26" x14ac:dyDescent="0.25">
      <c r="Z8611">
        <v>399999.99981523422</v>
      </c>
    </row>
    <row r="8612" spans="26:26" x14ac:dyDescent="0.25">
      <c r="Z8612">
        <v>399999.99981569505</v>
      </c>
    </row>
    <row r="8613" spans="26:26" x14ac:dyDescent="0.25">
      <c r="Z8613">
        <v>399999.9998161546</v>
      </c>
    </row>
    <row r="8614" spans="26:26" x14ac:dyDescent="0.25">
      <c r="Z8614">
        <v>399999.9998166131</v>
      </c>
    </row>
    <row r="8615" spans="26:26" x14ac:dyDescent="0.25">
      <c r="Z8615">
        <v>399999.99981707043</v>
      </c>
    </row>
    <row r="8616" spans="26:26" x14ac:dyDescent="0.25">
      <c r="Z8616">
        <v>399999.99981752661</v>
      </c>
    </row>
    <row r="8617" spans="26:26" x14ac:dyDescent="0.25">
      <c r="Z8617">
        <v>399999.99981798162</v>
      </c>
    </row>
    <row r="8618" spans="26:26" x14ac:dyDescent="0.25">
      <c r="Z8618">
        <v>399999.99981843552</v>
      </c>
    </row>
    <row r="8619" spans="26:26" x14ac:dyDescent="0.25">
      <c r="Z8619">
        <v>399999.99981888832</v>
      </c>
    </row>
    <row r="8620" spans="26:26" x14ac:dyDescent="0.25">
      <c r="Z8620">
        <v>399999.99981933995</v>
      </c>
    </row>
    <row r="8621" spans="26:26" x14ac:dyDescent="0.25">
      <c r="Z8621">
        <v>399999.99981979048</v>
      </c>
    </row>
    <row r="8622" spans="26:26" x14ac:dyDescent="0.25">
      <c r="Z8622">
        <v>399999.9998202399</v>
      </c>
    </row>
    <row r="8623" spans="26:26" x14ac:dyDescent="0.25">
      <c r="Z8623">
        <v>399999.99982068822</v>
      </c>
    </row>
    <row r="8624" spans="26:26" x14ac:dyDescent="0.25">
      <c r="Z8624">
        <v>399999.99982113537</v>
      </c>
    </row>
    <row r="8625" spans="26:26" x14ac:dyDescent="0.25">
      <c r="Z8625">
        <v>399999.99982158135</v>
      </c>
    </row>
    <row r="8626" spans="26:26" x14ac:dyDescent="0.25">
      <c r="Z8626">
        <v>399999.99982202629</v>
      </c>
    </row>
    <row r="8627" spans="26:26" x14ac:dyDescent="0.25">
      <c r="Z8627">
        <v>399999.99982247018</v>
      </c>
    </row>
    <row r="8628" spans="26:26" x14ac:dyDescent="0.25">
      <c r="Z8628">
        <v>399999.99982291285</v>
      </c>
    </row>
    <row r="8629" spans="26:26" x14ac:dyDescent="0.25">
      <c r="Z8629">
        <v>399999.99982335448</v>
      </c>
    </row>
    <row r="8630" spans="26:26" x14ac:dyDescent="0.25">
      <c r="Z8630">
        <v>399999.99982379499</v>
      </c>
    </row>
    <row r="8631" spans="26:26" x14ac:dyDescent="0.25">
      <c r="Z8631">
        <v>399999.9998242344</v>
      </c>
    </row>
    <row r="8632" spans="26:26" x14ac:dyDescent="0.25">
      <c r="Z8632">
        <v>399999.99982467276</v>
      </c>
    </row>
    <row r="8633" spans="26:26" x14ac:dyDescent="0.25">
      <c r="Z8633">
        <v>399999.99982510996</v>
      </c>
    </row>
    <row r="8634" spans="26:26" x14ac:dyDescent="0.25">
      <c r="Z8634">
        <v>399999.99982554611</v>
      </c>
    </row>
    <row r="8635" spans="26:26" x14ac:dyDescent="0.25">
      <c r="Z8635">
        <v>399999.99982598115</v>
      </c>
    </row>
    <row r="8636" spans="26:26" x14ac:dyDescent="0.25">
      <c r="Z8636">
        <v>399999.99982641509</v>
      </c>
    </row>
    <row r="8637" spans="26:26" x14ac:dyDescent="0.25">
      <c r="Z8637">
        <v>399999.99982684798</v>
      </c>
    </row>
    <row r="8638" spans="26:26" x14ac:dyDescent="0.25">
      <c r="Z8638">
        <v>399999.99982727983</v>
      </c>
    </row>
    <row r="8639" spans="26:26" x14ac:dyDescent="0.25">
      <c r="Z8639">
        <v>399999.9998277105</v>
      </c>
    </row>
    <row r="8640" spans="26:26" x14ac:dyDescent="0.25">
      <c r="Z8640">
        <v>399999.99982814019</v>
      </c>
    </row>
    <row r="8641" spans="26:26" x14ac:dyDescent="0.25">
      <c r="Z8641">
        <v>399999.99982856872</v>
      </c>
    </row>
    <row r="8642" spans="26:26" x14ac:dyDescent="0.25">
      <c r="Z8642">
        <v>399999.99982899625</v>
      </c>
    </row>
    <row r="8643" spans="26:26" x14ac:dyDescent="0.25">
      <c r="Z8643">
        <v>399999.99982942274</v>
      </c>
    </row>
    <row r="8644" spans="26:26" x14ac:dyDescent="0.25">
      <c r="Z8644">
        <v>399999.99982984806</v>
      </c>
    </row>
    <row r="8645" spans="26:26" x14ac:dyDescent="0.25">
      <c r="Z8645">
        <v>399999.99983027234</v>
      </c>
    </row>
    <row r="8646" spans="26:26" x14ac:dyDescent="0.25">
      <c r="Z8646">
        <v>399999.99983069563</v>
      </c>
    </row>
    <row r="8647" spans="26:26" x14ac:dyDescent="0.25">
      <c r="Z8647">
        <v>399999.99983111781</v>
      </c>
    </row>
    <row r="8648" spans="26:26" x14ac:dyDescent="0.25">
      <c r="Z8648">
        <v>399999.999831539</v>
      </c>
    </row>
    <row r="8649" spans="26:26" x14ac:dyDescent="0.25">
      <c r="Z8649">
        <v>399999.99983195914</v>
      </c>
    </row>
    <row r="8650" spans="26:26" x14ac:dyDescent="0.25">
      <c r="Z8650">
        <v>399999.99983237818</v>
      </c>
    </row>
    <row r="8651" spans="26:26" x14ac:dyDescent="0.25">
      <c r="Z8651">
        <v>399999.99983279617</v>
      </c>
    </row>
    <row r="8652" spans="26:26" x14ac:dyDescent="0.25">
      <c r="Z8652">
        <v>399999.99983321311</v>
      </c>
    </row>
    <row r="8653" spans="26:26" x14ac:dyDescent="0.25">
      <c r="Z8653">
        <v>399999.99983362906</v>
      </c>
    </row>
    <row r="8654" spans="26:26" x14ac:dyDescent="0.25">
      <c r="Z8654">
        <v>399999.99983404396</v>
      </c>
    </row>
    <row r="8655" spans="26:26" x14ac:dyDescent="0.25">
      <c r="Z8655">
        <v>399999.99983445782</v>
      </c>
    </row>
    <row r="8656" spans="26:26" x14ac:dyDescent="0.25">
      <c r="Z8656">
        <v>399999.99983487063</v>
      </c>
    </row>
    <row r="8657" spans="26:26" x14ac:dyDescent="0.25">
      <c r="Z8657">
        <v>399999.99983528239</v>
      </c>
    </row>
    <row r="8658" spans="26:26" x14ac:dyDescent="0.25">
      <c r="Z8658">
        <v>399999.99983569316</v>
      </c>
    </row>
    <row r="8659" spans="26:26" x14ac:dyDescent="0.25">
      <c r="Z8659">
        <v>399999.99983610288</v>
      </c>
    </row>
    <row r="8660" spans="26:26" x14ac:dyDescent="0.25">
      <c r="Z8660">
        <v>399999.99983651168</v>
      </c>
    </row>
    <row r="8661" spans="26:26" x14ac:dyDescent="0.25">
      <c r="Z8661">
        <v>399999.99983691936</v>
      </c>
    </row>
    <row r="8662" spans="26:26" x14ac:dyDescent="0.25">
      <c r="Z8662">
        <v>399999.99983732606</v>
      </c>
    </row>
    <row r="8663" spans="26:26" x14ac:dyDescent="0.25">
      <c r="Z8663">
        <v>399999.99983773171</v>
      </c>
    </row>
    <row r="8664" spans="26:26" x14ac:dyDescent="0.25">
      <c r="Z8664">
        <v>399999.99983813637</v>
      </c>
    </row>
    <row r="8665" spans="26:26" x14ac:dyDescent="0.25">
      <c r="Z8665">
        <v>399999.99983854004</v>
      </c>
    </row>
    <row r="8666" spans="26:26" x14ac:dyDescent="0.25">
      <c r="Z8666">
        <v>399999.99983894266</v>
      </c>
    </row>
    <row r="8667" spans="26:26" x14ac:dyDescent="0.25">
      <c r="Z8667">
        <v>399999.99983934435</v>
      </c>
    </row>
    <row r="8668" spans="26:26" x14ac:dyDescent="0.25">
      <c r="Z8668">
        <v>399999.99983974494</v>
      </c>
    </row>
    <row r="8669" spans="26:26" x14ac:dyDescent="0.25">
      <c r="Z8669">
        <v>399999.99984014459</v>
      </c>
    </row>
    <row r="8670" spans="26:26" x14ac:dyDescent="0.25">
      <c r="Z8670">
        <v>399999.99984054326</v>
      </c>
    </row>
    <row r="8671" spans="26:26" x14ac:dyDescent="0.25">
      <c r="Z8671">
        <v>399999.99984094087</v>
      </c>
    </row>
    <row r="8672" spans="26:26" x14ac:dyDescent="0.25">
      <c r="Z8672">
        <v>399999.99984133756</v>
      </c>
    </row>
    <row r="8673" spans="26:26" x14ac:dyDescent="0.25">
      <c r="Z8673">
        <v>399999.99984173325</v>
      </c>
    </row>
    <row r="8674" spans="26:26" x14ac:dyDescent="0.25">
      <c r="Z8674">
        <v>399999.99984212784</v>
      </c>
    </row>
    <row r="8675" spans="26:26" x14ac:dyDescent="0.25">
      <c r="Z8675">
        <v>399999.99984252156</v>
      </c>
    </row>
    <row r="8676" spans="26:26" x14ac:dyDescent="0.25">
      <c r="Z8676">
        <v>399999.99984291423</v>
      </c>
    </row>
    <row r="8677" spans="26:26" x14ac:dyDescent="0.25">
      <c r="Z8677">
        <v>399999.99984330602</v>
      </c>
    </row>
    <row r="8678" spans="26:26" x14ac:dyDescent="0.25">
      <c r="Z8678">
        <v>399999.99984369677</v>
      </c>
    </row>
    <row r="8679" spans="26:26" x14ac:dyDescent="0.25">
      <c r="Z8679">
        <v>399999.99984408659</v>
      </c>
    </row>
    <row r="8680" spans="26:26" x14ac:dyDescent="0.25">
      <c r="Z8680">
        <v>399999.99984447542</v>
      </c>
    </row>
    <row r="8681" spans="26:26" x14ac:dyDescent="0.25">
      <c r="Z8681">
        <v>399999.9998448632</v>
      </c>
    </row>
    <row r="8682" spans="26:26" x14ac:dyDescent="0.25">
      <c r="Z8682">
        <v>399999.9998452501</v>
      </c>
    </row>
    <row r="8683" spans="26:26" x14ac:dyDescent="0.25">
      <c r="Z8683">
        <v>399999.99984563602</v>
      </c>
    </row>
    <row r="8684" spans="26:26" x14ac:dyDescent="0.25">
      <c r="Z8684">
        <v>399999.99984602095</v>
      </c>
    </row>
    <row r="8685" spans="26:26" x14ac:dyDescent="0.25">
      <c r="Z8685">
        <v>399999.99984640494</v>
      </c>
    </row>
    <row r="8686" spans="26:26" x14ac:dyDescent="0.25">
      <c r="Z8686">
        <v>399999.99984678795</v>
      </c>
    </row>
    <row r="8687" spans="26:26" x14ac:dyDescent="0.25">
      <c r="Z8687">
        <v>399999.99984717002</v>
      </c>
    </row>
    <row r="8688" spans="26:26" x14ac:dyDescent="0.25">
      <c r="Z8688">
        <v>399999.99984755117</v>
      </c>
    </row>
    <row r="8689" spans="26:26" x14ac:dyDescent="0.25">
      <c r="Z8689">
        <v>399999.99984793132</v>
      </c>
    </row>
    <row r="8690" spans="26:26" x14ac:dyDescent="0.25">
      <c r="Z8690">
        <v>399999.99984831054</v>
      </c>
    </row>
    <row r="8691" spans="26:26" x14ac:dyDescent="0.25">
      <c r="Z8691">
        <v>399999.99984868884</v>
      </c>
    </row>
    <row r="8692" spans="26:26" x14ac:dyDescent="0.25">
      <c r="Z8692">
        <v>399999.9998490662</v>
      </c>
    </row>
    <row r="8693" spans="26:26" x14ac:dyDescent="0.25">
      <c r="Z8693">
        <v>399999.99984944257</v>
      </c>
    </row>
    <row r="8694" spans="26:26" x14ac:dyDescent="0.25">
      <c r="Z8694">
        <v>399999.99984981806</v>
      </c>
    </row>
    <row r="8695" spans="26:26" x14ac:dyDescent="0.25">
      <c r="Z8695">
        <v>399999.99985019251</v>
      </c>
    </row>
    <row r="8696" spans="26:26" x14ac:dyDescent="0.25">
      <c r="Z8696">
        <v>399999.99985056609</v>
      </c>
    </row>
    <row r="8697" spans="26:26" x14ac:dyDescent="0.25">
      <c r="Z8697">
        <v>399999.9998509388</v>
      </c>
    </row>
    <row r="8698" spans="26:26" x14ac:dyDescent="0.25">
      <c r="Z8698">
        <v>399999.99985131045</v>
      </c>
    </row>
    <row r="8699" spans="26:26" x14ac:dyDescent="0.25">
      <c r="Z8699">
        <v>399999.99985168135</v>
      </c>
    </row>
    <row r="8700" spans="26:26" x14ac:dyDescent="0.25">
      <c r="Z8700">
        <v>399999.99985205114</v>
      </c>
    </row>
    <row r="8701" spans="26:26" x14ac:dyDescent="0.25">
      <c r="Z8701">
        <v>399999.99985242018</v>
      </c>
    </row>
    <row r="8702" spans="26:26" x14ac:dyDescent="0.25">
      <c r="Z8702">
        <v>399999.99985278811</v>
      </c>
    </row>
    <row r="8703" spans="26:26" x14ac:dyDescent="0.25">
      <c r="Z8703">
        <v>399999.99985315528</v>
      </c>
    </row>
    <row r="8704" spans="26:26" x14ac:dyDescent="0.25">
      <c r="Z8704">
        <v>399999.99985352147</v>
      </c>
    </row>
    <row r="8705" spans="26:26" x14ac:dyDescent="0.25">
      <c r="Z8705">
        <v>399999.99985388678</v>
      </c>
    </row>
    <row r="8706" spans="26:26" x14ac:dyDescent="0.25">
      <c r="Z8706">
        <v>399999.9998542511</v>
      </c>
    </row>
    <row r="8707" spans="26:26" x14ac:dyDescent="0.25">
      <c r="Z8707">
        <v>399999.99985461455</v>
      </c>
    </row>
    <row r="8708" spans="26:26" x14ac:dyDescent="0.25">
      <c r="Z8708">
        <v>399999.99985497713</v>
      </c>
    </row>
    <row r="8709" spans="26:26" x14ac:dyDescent="0.25">
      <c r="Z8709">
        <v>399999.99985533877</v>
      </c>
    </row>
    <row r="8710" spans="26:26" x14ac:dyDescent="0.25">
      <c r="Z8710">
        <v>399999.99985569954</v>
      </c>
    </row>
    <row r="8711" spans="26:26" x14ac:dyDescent="0.25">
      <c r="Z8711">
        <v>399999.99985605938</v>
      </c>
    </row>
    <row r="8712" spans="26:26" x14ac:dyDescent="0.25">
      <c r="Z8712">
        <v>399999.99985641835</v>
      </c>
    </row>
    <row r="8713" spans="26:26" x14ac:dyDescent="0.25">
      <c r="Z8713">
        <v>399999.99985677638</v>
      </c>
    </row>
    <row r="8714" spans="26:26" x14ac:dyDescent="0.25">
      <c r="Z8714">
        <v>399999.99985713355</v>
      </c>
    </row>
    <row r="8715" spans="26:26" x14ac:dyDescent="0.25">
      <c r="Z8715">
        <v>399999.99985748983</v>
      </c>
    </row>
    <row r="8716" spans="26:26" x14ac:dyDescent="0.25">
      <c r="Z8716">
        <v>399999.99985784519</v>
      </c>
    </row>
    <row r="8717" spans="26:26" x14ac:dyDescent="0.25">
      <c r="Z8717">
        <v>399999.99985819974</v>
      </c>
    </row>
    <row r="8718" spans="26:26" x14ac:dyDescent="0.25">
      <c r="Z8718">
        <v>399999.99985855335</v>
      </c>
    </row>
    <row r="8719" spans="26:26" x14ac:dyDescent="0.25">
      <c r="Z8719">
        <v>399999.99985890609</v>
      </c>
    </row>
    <row r="8720" spans="26:26" x14ac:dyDescent="0.25">
      <c r="Z8720">
        <v>399999.99985925795</v>
      </c>
    </row>
    <row r="8721" spans="26:26" x14ac:dyDescent="0.25">
      <c r="Z8721">
        <v>399999.99985960894</v>
      </c>
    </row>
    <row r="8722" spans="26:26" x14ac:dyDescent="0.25">
      <c r="Z8722">
        <v>399999.99985995906</v>
      </c>
    </row>
    <row r="8723" spans="26:26" x14ac:dyDescent="0.25">
      <c r="Z8723">
        <v>399999.99986030825</v>
      </c>
    </row>
    <row r="8724" spans="26:26" x14ac:dyDescent="0.25">
      <c r="Z8724">
        <v>399999.99986065662</v>
      </c>
    </row>
    <row r="8725" spans="26:26" x14ac:dyDescent="0.25">
      <c r="Z8725">
        <v>399999.99986100412</v>
      </c>
    </row>
    <row r="8726" spans="26:26" x14ac:dyDescent="0.25">
      <c r="Z8726">
        <v>399999.99986135069</v>
      </c>
    </row>
    <row r="8727" spans="26:26" x14ac:dyDescent="0.25">
      <c r="Z8727">
        <v>399999.9998616965</v>
      </c>
    </row>
    <row r="8728" spans="26:26" x14ac:dyDescent="0.25">
      <c r="Z8728">
        <v>399999.99986204138</v>
      </c>
    </row>
    <row r="8729" spans="26:26" x14ac:dyDescent="0.25">
      <c r="Z8729">
        <v>399999.99986238539</v>
      </c>
    </row>
    <row r="8730" spans="26:26" x14ac:dyDescent="0.25">
      <c r="Z8730">
        <v>399999.99986272858</v>
      </c>
    </row>
    <row r="8731" spans="26:26" x14ac:dyDescent="0.25">
      <c r="Z8731">
        <v>399999.9998630709</v>
      </c>
    </row>
    <row r="8732" spans="26:26" x14ac:dyDescent="0.25">
      <c r="Z8732">
        <v>399999.99986341235</v>
      </c>
    </row>
    <row r="8733" spans="26:26" x14ac:dyDescent="0.25">
      <c r="Z8733">
        <v>399999.99986375298</v>
      </c>
    </row>
    <row r="8734" spans="26:26" x14ac:dyDescent="0.25">
      <c r="Z8734">
        <v>399999.99986409274</v>
      </c>
    </row>
    <row r="8735" spans="26:26" x14ac:dyDescent="0.25">
      <c r="Z8735">
        <v>399999.99986443168</v>
      </c>
    </row>
    <row r="8736" spans="26:26" x14ac:dyDescent="0.25">
      <c r="Z8736">
        <v>399999.99986476975</v>
      </c>
    </row>
    <row r="8737" spans="26:26" x14ac:dyDescent="0.25">
      <c r="Z8737">
        <v>399999.99986510701</v>
      </c>
    </row>
    <row r="8738" spans="26:26" x14ac:dyDescent="0.25">
      <c r="Z8738">
        <v>399999.99986544339</v>
      </c>
    </row>
    <row r="8739" spans="26:26" x14ac:dyDescent="0.25">
      <c r="Z8739">
        <v>399999.99986577895</v>
      </c>
    </row>
    <row r="8740" spans="26:26" x14ac:dyDescent="0.25">
      <c r="Z8740">
        <v>399999.99986611371</v>
      </c>
    </row>
    <row r="8741" spans="26:26" x14ac:dyDescent="0.25">
      <c r="Z8741">
        <v>399999.99986644753</v>
      </c>
    </row>
    <row r="8742" spans="26:26" x14ac:dyDescent="0.25">
      <c r="Z8742">
        <v>399999.99986678059</v>
      </c>
    </row>
    <row r="8743" spans="26:26" x14ac:dyDescent="0.25">
      <c r="Z8743">
        <v>399999.99986711278</v>
      </c>
    </row>
    <row r="8744" spans="26:26" x14ac:dyDescent="0.25">
      <c r="Z8744">
        <v>399999.99986744416</v>
      </c>
    </row>
    <row r="8745" spans="26:26" x14ac:dyDescent="0.25">
      <c r="Z8745">
        <v>399999.99986777472</v>
      </c>
    </row>
    <row r="8746" spans="26:26" x14ac:dyDescent="0.25">
      <c r="Z8746">
        <v>399999.99986810447</v>
      </c>
    </row>
    <row r="8747" spans="26:26" x14ac:dyDescent="0.25">
      <c r="Z8747">
        <v>399999.9998684334</v>
      </c>
    </row>
    <row r="8748" spans="26:26" x14ac:dyDescent="0.25">
      <c r="Z8748">
        <v>399999.99986876152</v>
      </c>
    </row>
    <row r="8749" spans="26:26" x14ac:dyDescent="0.25">
      <c r="Z8749">
        <v>399999.99986908876</v>
      </c>
    </row>
    <row r="8750" spans="26:26" x14ac:dyDescent="0.25">
      <c r="Z8750">
        <v>399999.99986941525</v>
      </c>
    </row>
    <row r="8751" spans="26:26" x14ac:dyDescent="0.25">
      <c r="Z8751">
        <v>399999.99986974086</v>
      </c>
    </row>
    <row r="8752" spans="26:26" x14ac:dyDescent="0.25">
      <c r="Z8752">
        <v>399999.99987006577</v>
      </c>
    </row>
    <row r="8753" spans="26:26" x14ac:dyDescent="0.25">
      <c r="Z8753">
        <v>399999.99987038976</v>
      </c>
    </row>
    <row r="8754" spans="26:26" x14ac:dyDescent="0.25">
      <c r="Z8754">
        <v>399999.99987071293</v>
      </c>
    </row>
    <row r="8755" spans="26:26" x14ac:dyDescent="0.25">
      <c r="Z8755">
        <v>399999.9998710354</v>
      </c>
    </row>
    <row r="8756" spans="26:26" x14ac:dyDescent="0.25">
      <c r="Z8756">
        <v>399999.99987135699</v>
      </c>
    </row>
    <row r="8757" spans="26:26" x14ac:dyDescent="0.25">
      <c r="Z8757">
        <v>399999.99987167778</v>
      </c>
    </row>
    <row r="8758" spans="26:26" x14ac:dyDescent="0.25">
      <c r="Z8758">
        <v>399999.9998719978</v>
      </c>
    </row>
    <row r="8759" spans="26:26" x14ac:dyDescent="0.25">
      <c r="Z8759">
        <v>399999.99987231701</v>
      </c>
    </row>
    <row r="8760" spans="26:26" x14ac:dyDescent="0.25">
      <c r="Z8760">
        <v>399999.99987263547</v>
      </c>
    </row>
    <row r="8761" spans="26:26" x14ac:dyDescent="0.25">
      <c r="Z8761">
        <v>399999.99987295305</v>
      </c>
    </row>
    <row r="8762" spans="26:26" x14ac:dyDescent="0.25">
      <c r="Z8762">
        <v>399999.99987326987</v>
      </c>
    </row>
    <row r="8763" spans="26:26" x14ac:dyDescent="0.25">
      <c r="Z8763">
        <v>399999.99987358594</v>
      </c>
    </row>
    <row r="8764" spans="26:26" x14ac:dyDescent="0.25">
      <c r="Z8764">
        <v>399999.99987390114</v>
      </c>
    </row>
    <row r="8765" spans="26:26" x14ac:dyDescent="0.25">
      <c r="Z8765">
        <v>399999.99987421557</v>
      </c>
    </row>
    <row r="8766" spans="26:26" x14ac:dyDescent="0.25">
      <c r="Z8766">
        <v>399999.99987452931</v>
      </c>
    </row>
    <row r="8767" spans="26:26" x14ac:dyDescent="0.25">
      <c r="Z8767">
        <v>399999.99987484218</v>
      </c>
    </row>
    <row r="8768" spans="26:26" x14ac:dyDescent="0.25">
      <c r="Z8768">
        <v>399999.99987515429</v>
      </c>
    </row>
    <row r="8769" spans="26:26" x14ac:dyDescent="0.25">
      <c r="Z8769">
        <v>399999.99987546558</v>
      </c>
    </row>
    <row r="8770" spans="26:26" x14ac:dyDescent="0.25">
      <c r="Z8770">
        <v>399999.99987577618</v>
      </c>
    </row>
    <row r="8771" spans="26:26" x14ac:dyDescent="0.25">
      <c r="Z8771">
        <v>399999.99987608596</v>
      </c>
    </row>
    <row r="8772" spans="26:26" x14ac:dyDescent="0.25">
      <c r="Z8772">
        <v>399999.99987639498</v>
      </c>
    </row>
    <row r="8773" spans="26:26" x14ac:dyDescent="0.25">
      <c r="Z8773">
        <v>399999.99987670325</v>
      </c>
    </row>
    <row r="8774" spans="26:26" x14ac:dyDescent="0.25">
      <c r="Z8774">
        <v>399999.9998770107</v>
      </c>
    </row>
    <row r="8775" spans="26:26" x14ac:dyDescent="0.25">
      <c r="Z8775">
        <v>399999.99987731746</v>
      </c>
    </row>
    <row r="8776" spans="26:26" x14ac:dyDescent="0.25">
      <c r="Z8776">
        <v>399999.99987762334</v>
      </c>
    </row>
    <row r="8777" spans="26:26" x14ac:dyDescent="0.25">
      <c r="Z8777">
        <v>399999.99987792852</v>
      </c>
    </row>
    <row r="8778" spans="26:26" x14ac:dyDescent="0.25">
      <c r="Z8778">
        <v>399999.99987823295</v>
      </c>
    </row>
    <row r="8779" spans="26:26" x14ac:dyDescent="0.25">
      <c r="Z8779">
        <v>399999.99987853662</v>
      </c>
    </row>
    <row r="8780" spans="26:26" x14ac:dyDescent="0.25">
      <c r="Z8780">
        <v>399999.99987883947</v>
      </c>
    </row>
    <row r="8781" spans="26:26" x14ac:dyDescent="0.25">
      <c r="Z8781">
        <v>399999.99987914163</v>
      </c>
    </row>
    <row r="8782" spans="26:26" x14ac:dyDescent="0.25">
      <c r="Z8782">
        <v>399999.99987944309</v>
      </c>
    </row>
    <row r="8783" spans="26:26" x14ac:dyDescent="0.25">
      <c r="Z8783">
        <v>399999.99987974367</v>
      </c>
    </row>
    <row r="8784" spans="26:26" x14ac:dyDescent="0.25">
      <c r="Z8784">
        <v>399999.99988004362</v>
      </c>
    </row>
    <row r="8785" spans="26:26" x14ac:dyDescent="0.25">
      <c r="Z8785">
        <v>399999.99988034274</v>
      </c>
    </row>
    <row r="8786" spans="26:26" x14ac:dyDescent="0.25">
      <c r="Z8786">
        <v>399999.99988064112</v>
      </c>
    </row>
    <row r="8787" spans="26:26" x14ac:dyDescent="0.25">
      <c r="Z8787">
        <v>399999.99988093879</v>
      </c>
    </row>
    <row r="8788" spans="26:26" x14ac:dyDescent="0.25">
      <c r="Z8788">
        <v>399999.99988123565</v>
      </c>
    </row>
    <row r="8789" spans="26:26" x14ac:dyDescent="0.25">
      <c r="Z8789">
        <v>399999.99988153187</v>
      </c>
    </row>
    <row r="8790" spans="26:26" x14ac:dyDescent="0.25">
      <c r="Z8790">
        <v>399999.99988182727</v>
      </c>
    </row>
    <row r="8791" spans="26:26" x14ac:dyDescent="0.25">
      <c r="Z8791">
        <v>399999.99988212198</v>
      </c>
    </row>
    <row r="8792" spans="26:26" x14ac:dyDescent="0.25">
      <c r="Z8792">
        <v>399999.99988241593</v>
      </c>
    </row>
    <row r="8793" spans="26:26" x14ac:dyDescent="0.25">
      <c r="Z8793">
        <v>399999.99988270912</v>
      </c>
    </row>
    <row r="8794" spans="26:26" x14ac:dyDescent="0.25">
      <c r="Z8794">
        <v>399999.99988300167</v>
      </c>
    </row>
    <row r="8795" spans="26:26" x14ac:dyDescent="0.25">
      <c r="Z8795">
        <v>399999.99988329347</v>
      </c>
    </row>
    <row r="8796" spans="26:26" x14ac:dyDescent="0.25">
      <c r="Z8796">
        <v>399999.99988358445</v>
      </c>
    </row>
    <row r="8797" spans="26:26" x14ac:dyDescent="0.25">
      <c r="Z8797">
        <v>399999.99988387479</v>
      </c>
    </row>
    <row r="8798" spans="26:26" x14ac:dyDescent="0.25">
      <c r="Z8798">
        <v>399999.99988416437</v>
      </c>
    </row>
    <row r="8799" spans="26:26" x14ac:dyDescent="0.25">
      <c r="Z8799">
        <v>399999.99988445325</v>
      </c>
    </row>
    <row r="8800" spans="26:26" x14ac:dyDescent="0.25">
      <c r="Z8800">
        <v>399999.99988474144</v>
      </c>
    </row>
    <row r="8801" spans="26:26" x14ac:dyDescent="0.25">
      <c r="Z8801">
        <v>399999.99988502881</v>
      </c>
    </row>
    <row r="8802" spans="26:26" x14ac:dyDescent="0.25">
      <c r="Z8802">
        <v>399999.99988531554</v>
      </c>
    </row>
    <row r="8803" spans="26:26" x14ac:dyDescent="0.25">
      <c r="Z8803">
        <v>399999.99988560152</v>
      </c>
    </row>
    <row r="8804" spans="26:26" x14ac:dyDescent="0.25">
      <c r="Z8804">
        <v>399999.99988588679</v>
      </c>
    </row>
    <row r="8805" spans="26:26" x14ac:dyDescent="0.25">
      <c r="Z8805">
        <v>399999.99988617137</v>
      </c>
    </row>
    <row r="8806" spans="26:26" x14ac:dyDescent="0.25">
      <c r="Z8806">
        <v>399999.99988645519</v>
      </c>
    </row>
    <row r="8807" spans="26:26" x14ac:dyDescent="0.25">
      <c r="Z8807">
        <v>399999.99988673837</v>
      </c>
    </row>
    <row r="8808" spans="26:26" x14ac:dyDescent="0.25">
      <c r="Z8808">
        <v>399999.99988702085</v>
      </c>
    </row>
    <row r="8809" spans="26:26" x14ac:dyDescent="0.25">
      <c r="Z8809">
        <v>399999.99988730258</v>
      </c>
    </row>
    <row r="8810" spans="26:26" x14ac:dyDescent="0.25">
      <c r="Z8810">
        <v>399999.9998875836</v>
      </c>
    </row>
    <row r="8811" spans="26:26" x14ac:dyDescent="0.25">
      <c r="Z8811">
        <v>399999.99988786399</v>
      </c>
    </row>
    <row r="8812" spans="26:26" x14ac:dyDescent="0.25">
      <c r="Z8812">
        <v>399999.99988814362</v>
      </c>
    </row>
    <row r="8813" spans="26:26" x14ac:dyDescent="0.25">
      <c r="Z8813">
        <v>399999.99988842255</v>
      </c>
    </row>
    <row r="8814" spans="26:26" x14ac:dyDescent="0.25">
      <c r="Z8814">
        <v>399999.99988870078</v>
      </c>
    </row>
    <row r="8815" spans="26:26" x14ac:dyDescent="0.25">
      <c r="Z8815">
        <v>399999.99988897832</v>
      </c>
    </row>
    <row r="8816" spans="26:26" x14ac:dyDescent="0.25">
      <c r="Z8816">
        <v>399999.99988925521</v>
      </c>
    </row>
    <row r="8817" spans="26:26" x14ac:dyDescent="0.25">
      <c r="Z8817">
        <v>399999.99988953141</v>
      </c>
    </row>
    <row r="8818" spans="26:26" x14ac:dyDescent="0.25">
      <c r="Z8818">
        <v>399999.99988980684</v>
      </c>
    </row>
    <row r="8819" spans="26:26" x14ac:dyDescent="0.25">
      <c r="Z8819">
        <v>399999.99989008164</v>
      </c>
    </row>
    <row r="8820" spans="26:26" x14ac:dyDescent="0.25">
      <c r="Z8820">
        <v>399999.99989035574</v>
      </c>
    </row>
    <row r="8821" spans="26:26" x14ac:dyDescent="0.25">
      <c r="Z8821">
        <v>399999.9998906292</v>
      </c>
    </row>
    <row r="8822" spans="26:26" x14ac:dyDescent="0.25">
      <c r="Z8822">
        <v>399999.99989090191</v>
      </c>
    </row>
    <row r="8823" spans="26:26" x14ac:dyDescent="0.25">
      <c r="Z8823">
        <v>399999.99989117403</v>
      </c>
    </row>
    <row r="8824" spans="26:26" x14ac:dyDescent="0.25">
      <c r="Z8824">
        <v>399999.99989144539</v>
      </c>
    </row>
    <row r="8825" spans="26:26" x14ac:dyDescent="0.25">
      <c r="Z8825">
        <v>399999.99989171611</v>
      </c>
    </row>
    <row r="8826" spans="26:26" x14ac:dyDescent="0.25">
      <c r="Z8826">
        <v>399999.99989198614</v>
      </c>
    </row>
    <row r="8827" spans="26:26" x14ac:dyDescent="0.25">
      <c r="Z8827">
        <v>399999.99989225552</v>
      </c>
    </row>
    <row r="8828" spans="26:26" x14ac:dyDescent="0.25">
      <c r="Z8828">
        <v>399999.99989252421</v>
      </c>
    </row>
    <row r="8829" spans="26:26" x14ac:dyDescent="0.25">
      <c r="Z8829">
        <v>399999.9998927922</v>
      </c>
    </row>
    <row r="8830" spans="26:26" x14ac:dyDescent="0.25">
      <c r="Z8830">
        <v>399999.99989305949</v>
      </c>
    </row>
    <row r="8831" spans="26:26" x14ac:dyDescent="0.25">
      <c r="Z8831">
        <v>399999.99989332625</v>
      </c>
    </row>
    <row r="8832" spans="26:26" x14ac:dyDescent="0.25">
      <c r="Z8832">
        <v>399999.99989359226</v>
      </c>
    </row>
    <row r="8833" spans="26:26" x14ac:dyDescent="0.25">
      <c r="Z8833">
        <v>399999.99989385757</v>
      </c>
    </row>
    <row r="8834" spans="26:26" x14ac:dyDescent="0.25">
      <c r="Z8834">
        <v>399999.99989412236</v>
      </c>
    </row>
    <row r="8835" spans="26:26" x14ac:dyDescent="0.25">
      <c r="Z8835">
        <v>399999.99989438633</v>
      </c>
    </row>
    <row r="8836" spans="26:26" x14ac:dyDescent="0.25">
      <c r="Z8836">
        <v>399999.99989464972</v>
      </c>
    </row>
    <row r="8837" spans="26:26" x14ac:dyDescent="0.25">
      <c r="Z8837">
        <v>399999.99989491247</v>
      </c>
    </row>
    <row r="8838" spans="26:26" x14ac:dyDescent="0.25">
      <c r="Z8838">
        <v>399999.99989517452</v>
      </c>
    </row>
    <row r="8839" spans="26:26" x14ac:dyDescent="0.25">
      <c r="Z8839">
        <v>399999.99989543587</v>
      </c>
    </row>
    <row r="8840" spans="26:26" x14ac:dyDescent="0.25">
      <c r="Z8840">
        <v>399999.9998956967</v>
      </c>
    </row>
    <row r="8841" spans="26:26" x14ac:dyDescent="0.25">
      <c r="Z8841">
        <v>399999.99989595677</v>
      </c>
    </row>
    <row r="8842" spans="26:26" x14ac:dyDescent="0.25">
      <c r="Z8842">
        <v>399999.99989621621</v>
      </c>
    </row>
    <row r="8843" spans="26:26" x14ac:dyDescent="0.25">
      <c r="Z8843">
        <v>399999.99989647506</v>
      </c>
    </row>
    <row r="8844" spans="26:26" x14ac:dyDescent="0.25">
      <c r="Z8844">
        <v>399999.99989673321</v>
      </c>
    </row>
    <row r="8845" spans="26:26" x14ac:dyDescent="0.25">
      <c r="Z8845">
        <v>399999.99989699078</v>
      </c>
    </row>
    <row r="8846" spans="26:26" x14ac:dyDescent="0.25">
      <c r="Z8846">
        <v>399999.99989724759</v>
      </c>
    </row>
    <row r="8847" spans="26:26" x14ac:dyDescent="0.25">
      <c r="Z8847">
        <v>399999.99989750388</v>
      </c>
    </row>
    <row r="8848" spans="26:26" x14ac:dyDescent="0.25">
      <c r="Z8848">
        <v>399999.99989775947</v>
      </c>
    </row>
    <row r="8849" spans="26:26" x14ac:dyDescent="0.25">
      <c r="Z8849">
        <v>399999.99989801442</v>
      </c>
    </row>
    <row r="8850" spans="26:26" x14ac:dyDescent="0.25">
      <c r="Z8850">
        <v>399999.99989826872</v>
      </c>
    </row>
    <row r="8851" spans="26:26" x14ac:dyDescent="0.25">
      <c r="Z8851">
        <v>399999.99989852245</v>
      </c>
    </row>
    <row r="8852" spans="26:26" x14ac:dyDescent="0.25">
      <c r="Z8852">
        <v>399999.99989877548</v>
      </c>
    </row>
    <row r="8853" spans="26:26" x14ac:dyDescent="0.25">
      <c r="Z8853">
        <v>399999.99989902799</v>
      </c>
    </row>
    <row r="8854" spans="26:26" x14ac:dyDescent="0.25">
      <c r="Z8854">
        <v>399999.99989927979</v>
      </c>
    </row>
    <row r="8855" spans="26:26" x14ac:dyDescent="0.25">
      <c r="Z8855">
        <v>399999.99989953096</v>
      </c>
    </row>
    <row r="8856" spans="26:26" x14ac:dyDescent="0.25">
      <c r="Z8856">
        <v>399999.99989978143</v>
      </c>
    </row>
    <row r="8857" spans="26:26" x14ac:dyDescent="0.25">
      <c r="Z8857">
        <v>399999.99990003137</v>
      </c>
    </row>
    <row r="8858" spans="26:26" x14ac:dyDescent="0.25">
      <c r="Z8858">
        <v>399999.99990028067</v>
      </c>
    </row>
    <row r="8859" spans="26:26" x14ac:dyDescent="0.25">
      <c r="Z8859">
        <v>399999.99990052934</v>
      </c>
    </row>
    <row r="8860" spans="26:26" x14ac:dyDescent="0.25">
      <c r="Z8860">
        <v>399999.99990077742</v>
      </c>
    </row>
    <row r="8861" spans="26:26" x14ac:dyDescent="0.25">
      <c r="Z8861">
        <v>399999.99990102486</v>
      </c>
    </row>
    <row r="8862" spans="26:26" x14ac:dyDescent="0.25">
      <c r="Z8862">
        <v>399999.99990127166</v>
      </c>
    </row>
    <row r="8863" spans="26:26" x14ac:dyDescent="0.25">
      <c r="Z8863">
        <v>399999.99990151788</v>
      </c>
    </row>
    <row r="8864" spans="26:26" x14ac:dyDescent="0.25">
      <c r="Z8864">
        <v>399999.99990176345</v>
      </c>
    </row>
    <row r="8865" spans="26:26" x14ac:dyDescent="0.25">
      <c r="Z8865">
        <v>399999.99990200851</v>
      </c>
    </row>
    <row r="8866" spans="26:26" x14ac:dyDescent="0.25">
      <c r="Z8866">
        <v>399999.99990225281</v>
      </c>
    </row>
    <row r="8867" spans="26:26" x14ac:dyDescent="0.25">
      <c r="Z8867">
        <v>399999.99990249658</v>
      </c>
    </row>
    <row r="8868" spans="26:26" x14ac:dyDescent="0.25">
      <c r="Z8868">
        <v>399999.99990273977</v>
      </c>
    </row>
    <row r="8869" spans="26:26" x14ac:dyDescent="0.25">
      <c r="Z8869">
        <v>399999.99990298226</v>
      </c>
    </row>
    <row r="8870" spans="26:26" x14ac:dyDescent="0.25">
      <c r="Z8870">
        <v>399999.99990322423</v>
      </c>
    </row>
    <row r="8871" spans="26:26" x14ac:dyDescent="0.25">
      <c r="Z8871">
        <v>399999.99990346556</v>
      </c>
    </row>
    <row r="8872" spans="26:26" x14ac:dyDescent="0.25">
      <c r="Z8872">
        <v>399999.99990370631</v>
      </c>
    </row>
    <row r="8873" spans="26:26" x14ac:dyDescent="0.25">
      <c r="Z8873">
        <v>399999.99990394642</v>
      </c>
    </row>
    <row r="8874" spans="26:26" x14ac:dyDescent="0.25">
      <c r="Z8874">
        <v>399999.99990418594</v>
      </c>
    </row>
    <row r="8875" spans="26:26" x14ac:dyDescent="0.25">
      <c r="Z8875">
        <v>399999.99990442488</v>
      </c>
    </row>
    <row r="8876" spans="26:26" x14ac:dyDescent="0.25">
      <c r="Z8876">
        <v>399999.99990466319</v>
      </c>
    </row>
    <row r="8877" spans="26:26" x14ac:dyDescent="0.25">
      <c r="Z8877">
        <v>399999.99990490102</v>
      </c>
    </row>
    <row r="8878" spans="26:26" x14ac:dyDescent="0.25">
      <c r="Z8878">
        <v>399999.99990513816</v>
      </c>
    </row>
    <row r="8879" spans="26:26" x14ac:dyDescent="0.25">
      <c r="Z8879">
        <v>399999.99990537472</v>
      </c>
    </row>
    <row r="8880" spans="26:26" x14ac:dyDescent="0.25">
      <c r="Z8880">
        <v>399999.99990561063</v>
      </c>
    </row>
    <row r="8881" spans="26:26" x14ac:dyDescent="0.25">
      <c r="Z8881">
        <v>399999.99990584608</v>
      </c>
    </row>
    <row r="8882" spans="26:26" x14ac:dyDescent="0.25">
      <c r="Z8882">
        <v>399999.99990608083</v>
      </c>
    </row>
    <row r="8883" spans="26:26" x14ac:dyDescent="0.25">
      <c r="Z8883">
        <v>399999.99990631506</v>
      </c>
    </row>
    <row r="8884" spans="26:26" x14ac:dyDescent="0.25">
      <c r="Z8884">
        <v>399999.99990654871</v>
      </c>
    </row>
    <row r="8885" spans="26:26" x14ac:dyDescent="0.25">
      <c r="Z8885">
        <v>399999.99990678171</v>
      </c>
    </row>
    <row r="8886" spans="26:26" x14ac:dyDescent="0.25">
      <c r="Z8886">
        <v>399999.99990701419</v>
      </c>
    </row>
    <row r="8887" spans="26:26" x14ac:dyDescent="0.25">
      <c r="Z8887">
        <v>399999.99990724609</v>
      </c>
    </row>
    <row r="8888" spans="26:26" x14ac:dyDescent="0.25">
      <c r="Z8888">
        <v>399999.99990747735</v>
      </c>
    </row>
    <row r="8889" spans="26:26" x14ac:dyDescent="0.25">
      <c r="Z8889">
        <v>399999.99990770809</v>
      </c>
    </row>
    <row r="8890" spans="26:26" x14ac:dyDescent="0.25">
      <c r="Z8890">
        <v>399999.99990793824</v>
      </c>
    </row>
    <row r="8891" spans="26:26" x14ac:dyDescent="0.25">
      <c r="Z8891">
        <v>399999.99990816787</v>
      </c>
    </row>
    <row r="8892" spans="26:26" x14ac:dyDescent="0.25">
      <c r="Z8892">
        <v>399999.99990839686</v>
      </c>
    </row>
    <row r="8893" spans="26:26" x14ac:dyDescent="0.25">
      <c r="Z8893">
        <v>399999.99990862526</v>
      </c>
    </row>
    <row r="8894" spans="26:26" x14ac:dyDescent="0.25">
      <c r="Z8894">
        <v>399999.99990885315</v>
      </c>
    </row>
    <row r="8895" spans="26:26" x14ac:dyDescent="0.25">
      <c r="Z8895">
        <v>399999.99990908045</v>
      </c>
    </row>
    <row r="8896" spans="26:26" x14ac:dyDescent="0.25">
      <c r="Z8896">
        <v>399999.99990930723</v>
      </c>
    </row>
    <row r="8897" spans="26:26" x14ac:dyDescent="0.25">
      <c r="Z8897">
        <v>399999.99990953336</v>
      </c>
    </row>
    <row r="8898" spans="26:26" x14ac:dyDescent="0.25">
      <c r="Z8898">
        <v>399999.99990975898</v>
      </c>
    </row>
    <row r="8899" spans="26:26" x14ac:dyDescent="0.25">
      <c r="Z8899">
        <v>399999.99990998401</v>
      </c>
    </row>
    <row r="8900" spans="26:26" x14ac:dyDescent="0.25">
      <c r="Z8900">
        <v>399999.99991020851</v>
      </c>
    </row>
    <row r="8901" spans="26:26" x14ac:dyDescent="0.25">
      <c r="Z8901">
        <v>399999.99991043238</v>
      </c>
    </row>
    <row r="8902" spans="26:26" x14ac:dyDescent="0.25">
      <c r="Z8902">
        <v>399999.99991065578</v>
      </c>
    </row>
    <row r="8903" spans="26:26" x14ac:dyDescent="0.25">
      <c r="Z8903">
        <v>399999.99991087854</v>
      </c>
    </row>
    <row r="8904" spans="26:26" x14ac:dyDescent="0.25">
      <c r="Z8904">
        <v>399999.99991110084</v>
      </c>
    </row>
    <row r="8905" spans="26:26" x14ac:dyDescent="0.25">
      <c r="Z8905">
        <v>399999.99991132255</v>
      </c>
    </row>
    <row r="8906" spans="26:26" x14ac:dyDescent="0.25">
      <c r="Z8906">
        <v>399999.99991154362</v>
      </c>
    </row>
    <row r="8907" spans="26:26" x14ac:dyDescent="0.25">
      <c r="Z8907">
        <v>399999.99991176429</v>
      </c>
    </row>
    <row r="8908" spans="26:26" x14ac:dyDescent="0.25">
      <c r="Z8908">
        <v>399999.99991198425</v>
      </c>
    </row>
    <row r="8909" spans="26:26" x14ac:dyDescent="0.25">
      <c r="Z8909">
        <v>399999.99991220381</v>
      </c>
    </row>
    <row r="8910" spans="26:26" x14ac:dyDescent="0.25">
      <c r="Z8910">
        <v>399999.99991242267</v>
      </c>
    </row>
    <row r="8911" spans="26:26" x14ac:dyDescent="0.25">
      <c r="Z8911">
        <v>399999.99991264113</v>
      </c>
    </row>
    <row r="8912" spans="26:26" x14ac:dyDescent="0.25">
      <c r="Z8912">
        <v>399999.99991285894</v>
      </c>
    </row>
    <row r="8913" spans="26:26" x14ac:dyDescent="0.25">
      <c r="Z8913">
        <v>399999.99991307629</v>
      </c>
    </row>
    <row r="8914" spans="26:26" x14ac:dyDescent="0.25">
      <c r="Z8914">
        <v>399999.99991329305</v>
      </c>
    </row>
    <row r="8915" spans="26:26" x14ac:dyDescent="0.25">
      <c r="Z8915">
        <v>399999.99991350929</v>
      </c>
    </row>
    <row r="8916" spans="26:26" x14ac:dyDescent="0.25">
      <c r="Z8916">
        <v>399999.99991372495</v>
      </c>
    </row>
    <row r="8917" spans="26:26" x14ac:dyDescent="0.25">
      <c r="Z8917">
        <v>399999.99991394009</v>
      </c>
    </row>
    <row r="8918" spans="26:26" x14ac:dyDescent="0.25">
      <c r="Z8918">
        <v>399999.9999141547</v>
      </c>
    </row>
    <row r="8919" spans="26:26" x14ac:dyDescent="0.25">
      <c r="Z8919">
        <v>399999.99991436879</v>
      </c>
    </row>
    <row r="8920" spans="26:26" x14ac:dyDescent="0.25">
      <c r="Z8920">
        <v>399999.99991458235</v>
      </c>
    </row>
    <row r="8921" spans="26:26" x14ac:dyDescent="0.25">
      <c r="Z8921">
        <v>399999.99991479533</v>
      </c>
    </row>
    <row r="8922" spans="26:26" x14ac:dyDescent="0.25">
      <c r="Z8922">
        <v>399999.99991500785</v>
      </c>
    </row>
    <row r="8923" spans="26:26" x14ac:dyDescent="0.25">
      <c r="Z8923">
        <v>399999.99991521979</v>
      </c>
    </row>
    <row r="8924" spans="26:26" x14ac:dyDescent="0.25">
      <c r="Z8924">
        <v>399999.9999154312</v>
      </c>
    </row>
    <row r="8925" spans="26:26" x14ac:dyDescent="0.25">
      <c r="Z8925">
        <v>399999.99991564208</v>
      </c>
    </row>
    <row r="8926" spans="26:26" x14ac:dyDescent="0.25">
      <c r="Z8926">
        <v>399999.99991585244</v>
      </c>
    </row>
    <row r="8927" spans="26:26" x14ac:dyDescent="0.25">
      <c r="Z8927">
        <v>399999.99991606228</v>
      </c>
    </row>
    <row r="8928" spans="26:26" x14ac:dyDescent="0.25">
      <c r="Z8928">
        <v>399999.99991627166</v>
      </c>
    </row>
    <row r="8929" spans="26:26" x14ac:dyDescent="0.25">
      <c r="Z8929">
        <v>399999.99991648045</v>
      </c>
    </row>
    <row r="8930" spans="26:26" x14ac:dyDescent="0.25">
      <c r="Z8930">
        <v>399999.99991668871</v>
      </c>
    </row>
    <row r="8931" spans="26:26" x14ac:dyDescent="0.25">
      <c r="Z8931">
        <v>399999.99991689646</v>
      </c>
    </row>
    <row r="8932" spans="26:26" x14ac:dyDescent="0.25">
      <c r="Z8932">
        <v>399999.99991710373</v>
      </c>
    </row>
    <row r="8933" spans="26:26" x14ac:dyDescent="0.25">
      <c r="Z8933">
        <v>399999.99991731049</v>
      </c>
    </row>
    <row r="8934" spans="26:26" x14ac:dyDescent="0.25">
      <c r="Z8934">
        <v>399999.99991751666</v>
      </c>
    </row>
    <row r="8935" spans="26:26" x14ac:dyDescent="0.25">
      <c r="Z8935">
        <v>399999.99991772231</v>
      </c>
    </row>
    <row r="8936" spans="26:26" x14ac:dyDescent="0.25">
      <c r="Z8936">
        <v>399999.99991792749</v>
      </c>
    </row>
    <row r="8937" spans="26:26" x14ac:dyDescent="0.25">
      <c r="Z8937">
        <v>399999.99991813221</v>
      </c>
    </row>
    <row r="8938" spans="26:26" x14ac:dyDescent="0.25">
      <c r="Z8938">
        <v>399999.99991833634</v>
      </c>
    </row>
    <row r="8939" spans="26:26" x14ac:dyDescent="0.25">
      <c r="Z8939">
        <v>399999.99991854001</v>
      </c>
    </row>
    <row r="8940" spans="26:26" x14ac:dyDescent="0.25">
      <c r="Z8940">
        <v>399999.99991874315</v>
      </c>
    </row>
    <row r="8941" spans="26:26" x14ac:dyDescent="0.25">
      <c r="Z8941">
        <v>399999.99991894577</v>
      </c>
    </row>
    <row r="8942" spans="26:26" x14ac:dyDescent="0.25">
      <c r="Z8942">
        <v>399999.99991914793</v>
      </c>
    </row>
    <row r="8943" spans="26:26" x14ac:dyDescent="0.25">
      <c r="Z8943">
        <v>399999.99991934956</v>
      </c>
    </row>
    <row r="8944" spans="26:26" x14ac:dyDescent="0.25">
      <c r="Z8944">
        <v>399999.99991955061</v>
      </c>
    </row>
    <row r="8945" spans="26:26" x14ac:dyDescent="0.25">
      <c r="Z8945">
        <v>399999.99991975125</v>
      </c>
    </row>
    <row r="8946" spans="26:26" x14ac:dyDescent="0.25">
      <c r="Z8946">
        <v>399999.99991995143</v>
      </c>
    </row>
    <row r="8947" spans="26:26" x14ac:dyDescent="0.25">
      <c r="Z8947">
        <v>399999.99992015102</v>
      </c>
    </row>
    <row r="8948" spans="26:26" x14ac:dyDescent="0.25">
      <c r="Z8948">
        <v>399999.99992035015</v>
      </c>
    </row>
    <row r="8949" spans="26:26" x14ac:dyDescent="0.25">
      <c r="Z8949">
        <v>399999.99992054881</v>
      </c>
    </row>
    <row r="8950" spans="26:26" x14ac:dyDescent="0.25">
      <c r="Z8950">
        <v>399999.99992074689</v>
      </c>
    </row>
    <row r="8951" spans="26:26" x14ac:dyDescent="0.25">
      <c r="Z8951">
        <v>399999.99992094457</v>
      </c>
    </row>
    <row r="8952" spans="26:26" x14ac:dyDescent="0.25">
      <c r="Z8952">
        <v>399999.99992114172</v>
      </c>
    </row>
    <row r="8953" spans="26:26" x14ac:dyDescent="0.25">
      <c r="Z8953">
        <v>399999.99992133834</v>
      </c>
    </row>
    <row r="8954" spans="26:26" x14ac:dyDescent="0.25">
      <c r="Z8954">
        <v>399999.9999215345</v>
      </c>
    </row>
    <row r="8955" spans="26:26" x14ac:dyDescent="0.25">
      <c r="Z8955">
        <v>399999.9999217302</v>
      </c>
    </row>
    <row r="8956" spans="26:26" x14ac:dyDescent="0.25">
      <c r="Z8956">
        <v>399999.99992192537</v>
      </c>
    </row>
    <row r="8957" spans="26:26" x14ac:dyDescent="0.25">
      <c r="Z8957">
        <v>399999.99992212007</v>
      </c>
    </row>
    <row r="8958" spans="26:26" x14ac:dyDescent="0.25">
      <c r="Z8958">
        <v>399999.99992231425</v>
      </c>
    </row>
    <row r="8959" spans="26:26" x14ac:dyDescent="0.25">
      <c r="Z8959">
        <v>399999.99992250802</v>
      </c>
    </row>
    <row r="8960" spans="26:26" x14ac:dyDescent="0.25">
      <c r="Z8960">
        <v>399999.99992270127</v>
      </c>
    </row>
    <row r="8961" spans="26:26" x14ac:dyDescent="0.25">
      <c r="Z8961">
        <v>399999.99992289406</v>
      </c>
    </row>
    <row r="8962" spans="26:26" x14ac:dyDescent="0.25">
      <c r="Z8962">
        <v>399999.99992308632</v>
      </c>
    </row>
    <row r="8963" spans="26:26" x14ac:dyDescent="0.25">
      <c r="Z8963">
        <v>399999.99992327811</v>
      </c>
    </row>
    <row r="8964" spans="26:26" x14ac:dyDescent="0.25">
      <c r="Z8964">
        <v>399999.99992346944</v>
      </c>
    </row>
    <row r="8965" spans="26:26" x14ac:dyDescent="0.25">
      <c r="Z8965">
        <v>399999.9999236603</v>
      </c>
    </row>
    <row r="8966" spans="26:26" x14ac:dyDescent="0.25">
      <c r="Z8966">
        <v>399999.9999238507</v>
      </c>
    </row>
    <row r="8967" spans="26:26" x14ac:dyDescent="0.25">
      <c r="Z8967">
        <v>399999.99992404057</v>
      </c>
    </row>
    <row r="8968" spans="26:26" x14ac:dyDescent="0.25">
      <c r="Z8968">
        <v>399999.99992422998</v>
      </c>
    </row>
    <row r="8969" spans="26:26" x14ac:dyDescent="0.25">
      <c r="Z8969">
        <v>399999.99992441892</v>
      </c>
    </row>
    <row r="8970" spans="26:26" x14ac:dyDescent="0.25">
      <c r="Z8970">
        <v>399999.9999246074</v>
      </c>
    </row>
    <row r="8971" spans="26:26" x14ac:dyDescent="0.25">
      <c r="Z8971">
        <v>399999.99992479541</v>
      </c>
    </row>
    <row r="8972" spans="26:26" x14ac:dyDescent="0.25">
      <c r="Z8972">
        <v>399999.99992498296</v>
      </c>
    </row>
    <row r="8973" spans="26:26" x14ac:dyDescent="0.25">
      <c r="Z8973">
        <v>399999.99992517004</v>
      </c>
    </row>
    <row r="8974" spans="26:26" x14ac:dyDescent="0.25">
      <c r="Z8974">
        <v>399999.99992535665</v>
      </c>
    </row>
    <row r="8975" spans="26:26" x14ac:dyDescent="0.25">
      <c r="Z8975">
        <v>399999.9999255428</v>
      </c>
    </row>
    <row r="8976" spans="26:26" x14ac:dyDescent="0.25">
      <c r="Z8976">
        <v>399999.99992572848</v>
      </c>
    </row>
    <row r="8977" spans="26:26" x14ac:dyDescent="0.25">
      <c r="Z8977">
        <v>399999.9999259137</v>
      </c>
    </row>
    <row r="8978" spans="26:26" x14ac:dyDescent="0.25">
      <c r="Z8978">
        <v>399999.99992609845</v>
      </c>
    </row>
    <row r="8979" spans="26:26" x14ac:dyDescent="0.25">
      <c r="Z8979">
        <v>399999.99992628273</v>
      </c>
    </row>
    <row r="8980" spans="26:26" x14ac:dyDescent="0.25">
      <c r="Z8980">
        <v>399999.99992646655</v>
      </c>
    </row>
    <row r="8981" spans="26:26" x14ac:dyDescent="0.25">
      <c r="Z8981">
        <v>399999.99992664997</v>
      </c>
    </row>
    <row r="8982" spans="26:26" x14ac:dyDescent="0.25">
      <c r="Z8982">
        <v>399999.99992683285</v>
      </c>
    </row>
    <row r="8983" spans="26:26" x14ac:dyDescent="0.25">
      <c r="Z8983">
        <v>399999.99992701533</v>
      </c>
    </row>
    <row r="8984" spans="26:26" x14ac:dyDescent="0.25">
      <c r="Z8984">
        <v>399999.99992719735</v>
      </c>
    </row>
    <row r="8985" spans="26:26" x14ac:dyDescent="0.25">
      <c r="Z8985">
        <v>399999.9999273789</v>
      </c>
    </row>
    <row r="8986" spans="26:26" x14ac:dyDescent="0.25">
      <c r="Z8986">
        <v>399999.99992755998</v>
      </c>
    </row>
    <row r="8987" spans="26:26" x14ac:dyDescent="0.25">
      <c r="Z8987">
        <v>399999.99992774066</v>
      </c>
    </row>
    <row r="8988" spans="26:26" x14ac:dyDescent="0.25">
      <c r="Z8988">
        <v>399999.99992792087</v>
      </c>
    </row>
    <row r="8989" spans="26:26" x14ac:dyDescent="0.25">
      <c r="Z8989">
        <v>399999.99992810056</v>
      </c>
    </row>
    <row r="8990" spans="26:26" x14ac:dyDescent="0.25">
      <c r="Z8990">
        <v>399999.9999282799</v>
      </c>
    </row>
    <row r="8991" spans="26:26" x14ac:dyDescent="0.25">
      <c r="Z8991">
        <v>399999.99992845871</v>
      </c>
    </row>
    <row r="8992" spans="26:26" x14ac:dyDescent="0.25">
      <c r="Z8992">
        <v>399999.99992863717</v>
      </c>
    </row>
    <row r="8993" spans="26:26" x14ac:dyDescent="0.25">
      <c r="Z8993">
        <v>399999.99992881512</v>
      </c>
    </row>
    <row r="8994" spans="26:26" x14ac:dyDescent="0.25">
      <c r="Z8994">
        <v>399999.99992899259</v>
      </c>
    </row>
    <row r="8995" spans="26:26" x14ac:dyDescent="0.25">
      <c r="Z8995">
        <v>399999.99992916972</v>
      </c>
    </row>
    <row r="8996" spans="26:26" x14ac:dyDescent="0.25">
      <c r="Z8996">
        <v>399999.99992934638</v>
      </c>
    </row>
    <row r="8997" spans="26:26" x14ac:dyDescent="0.25">
      <c r="Z8997">
        <v>399999.99992952257</v>
      </c>
    </row>
    <row r="8998" spans="26:26" x14ac:dyDescent="0.25">
      <c r="Z8998">
        <v>399999.9999296983</v>
      </c>
    </row>
    <row r="8999" spans="26:26" x14ac:dyDescent="0.25">
      <c r="Z8999">
        <v>399999.99992987356</v>
      </c>
    </row>
    <row r="9000" spans="26:26" x14ac:dyDescent="0.25">
      <c r="Z9000">
        <v>399999.99993004848</v>
      </c>
    </row>
    <row r="9001" spans="26:26" x14ac:dyDescent="0.25">
      <c r="Z9001">
        <v>399999.99993022293</v>
      </c>
    </row>
    <row r="9002" spans="26:26" x14ac:dyDescent="0.25">
      <c r="Z9002">
        <v>399999.99993039691</v>
      </c>
    </row>
    <row r="9003" spans="26:26" x14ac:dyDescent="0.25">
      <c r="Z9003">
        <v>399999.99993057048</v>
      </c>
    </row>
    <row r="9004" spans="26:26" x14ac:dyDescent="0.25">
      <c r="Z9004">
        <v>399999.99993074365</v>
      </c>
    </row>
    <row r="9005" spans="26:26" x14ac:dyDescent="0.25">
      <c r="Z9005">
        <v>399999.99993091635</v>
      </c>
    </row>
    <row r="9006" spans="26:26" x14ac:dyDescent="0.25">
      <c r="Z9006">
        <v>399999.99993108865</v>
      </c>
    </row>
    <row r="9007" spans="26:26" x14ac:dyDescent="0.25">
      <c r="Z9007">
        <v>399999.99993126048</v>
      </c>
    </row>
    <row r="9008" spans="26:26" x14ac:dyDescent="0.25">
      <c r="Z9008">
        <v>399999.9999314319</v>
      </c>
    </row>
    <row r="9009" spans="26:26" x14ac:dyDescent="0.25">
      <c r="Z9009">
        <v>399999.99993160291</v>
      </c>
    </row>
    <row r="9010" spans="26:26" x14ac:dyDescent="0.25">
      <c r="Z9010">
        <v>399999.99993177346</v>
      </c>
    </row>
    <row r="9011" spans="26:26" x14ac:dyDescent="0.25">
      <c r="Z9011">
        <v>399999.9999319436</v>
      </c>
    </row>
    <row r="9012" spans="26:26" x14ac:dyDescent="0.25">
      <c r="Z9012">
        <v>399999.99993211328</v>
      </c>
    </row>
    <row r="9013" spans="26:26" x14ac:dyDescent="0.25">
      <c r="Z9013">
        <v>399999.9999322826</v>
      </c>
    </row>
    <row r="9014" spans="26:26" x14ac:dyDescent="0.25">
      <c r="Z9014">
        <v>399999.99993245152</v>
      </c>
    </row>
    <row r="9015" spans="26:26" x14ac:dyDescent="0.25">
      <c r="Z9015">
        <v>399999.99993261992</v>
      </c>
    </row>
    <row r="9016" spans="26:26" x14ac:dyDescent="0.25">
      <c r="Z9016">
        <v>399999.99993278796</v>
      </c>
    </row>
    <row r="9017" spans="26:26" x14ac:dyDescent="0.25">
      <c r="Z9017">
        <v>399999.9999329556</v>
      </c>
    </row>
    <row r="9018" spans="26:26" x14ac:dyDescent="0.25">
      <c r="Z9018">
        <v>399999.99993312277</v>
      </c>
    </row>
    <row r="9019" spans="26:26" x14ac:dyDescent="0.25">
      <c r="Z9019">
        <v>399999.99993328954</v>
      </c>
    </row>
    <row r="9020" spans="26:26" x14ac:dyDescent="0.25">
      <c r="Z9020">
        <v>399999.9999334559</v>
      </c>
    </row>
    <row r="9021" spans="26:26" x14ac:dyDescent="0.25">
      <c r="Z9021">
        <v>399999.99993362185</v>
      </c>
    </row>
    <row r="9022" spans="26:26" x14ac:dyDescent="0.25">
      <c r="Z9022">
        <v>399999.99993378739</v>
      </c>
    </row>
    <row r="9023" spans="26:26" x14ac:dyDescent="0.25">
      <c r="Z9023">
        <v>399999.99993395252</v>
      </c>
    </row>
    <row r="9024" spans="26:26" x14ac:dyDescent="0.25">
      <c r="Z9024">
        <v>399999.99993411719</v>
      </c>
    </row>
    <row r="9025" spans="26:26" x14ac:dyDescent="0.25">
      <c r="Z9025">
        <v>399999.99993428151</v>
      </c>
    </row>
    <row r="9026" spans="26:26" x14ac:dyDescent="0.25">
      <c r="Z9026">
        <v>399999.99993444537</v>
      </c>
    </row>
    <row r="9027" spans="26:26" x14ac:dyDescent="0.25">
      <c r="Z9027">
        <v>399999.99993460887</v>
      </c>
    </row>
    <row r="9028" spans="26:26" x14ac:dyDescent="0.25">
      <c r="Z9028">
        <v>399999.99993477191</v>
      </c>
    </row>
    <row r="9029" spans="26:26" x14ac:dyDescent="0.25">
      <c r="Z9029">
        <v>399999.9999349346</v>
      </c>
    </row>
    <row r="9030" spans="26:26" x14ac:dyDescent="0.25">
      <c r="Z9030">
        <v>399999.99993509689</v>
      </c>
    </row>
    <row r="9031" spans="26:26" x14ac:dyDescent="0.25">
      <c r="Z9031">
        <v>399999.9999352587</v>
      </c>
    </row>
    <row r="9032" spans="26:26" x14ac:dyDescent="0.25">
      <c r="Z9032">
        <v>399999.99993542011</v>
      </c>
    </row>
    <row r="9033" spans="26:26" x14ac:dyDescent="0.25">
      <c r="Z9033">
        <v>399999.99993558123</v>
      </c>
    </row>
    <row r="9034" spans="26:26" x14ac:dyDescent="0.25">
      <c r="Z9034">
        <v>399999.99993574183</v>
      </c>
    </row>
    <row r="9035" spans="26:26" x14ac:dyDescent="0.25">
      <c r="Z9035">
        <v>399999.99993590213</v>
      </c>
    </row>
    <row r="9036" spans="26:26" x14ac:dyDescent="0.25">
      <c r="Z9036">
        <v>399999.99993606191</v>
      </c>
    </row>
    <row r="9037" spans="26:26" x14ac:dyDescent="0.25">
      <c r="Z9037">
        <v>399999.99993622134</v>
      </c>
    </row>
    <row r="9038" spans="26:26" x14ac:dyDescent="0.25">
      <c r="Z9038">
        <v>399999.99993638042</v>
      </c>
    </row>
    <row r="9039" spans="26:26" x14ac:dyDescent="0.25">
      <c r="Z9039">
        <v>399999.99993653904</v>
      </c>
    </row>
    <row r="9040" spans="26:26" x14ac:dyDescent="0.25">
      <c r="Z9040">
        <v>399999.99993669736</v>
      </c>
    </row>
    <row r="9041" spans="26:26" x14ac:dyDescent="0.25">
      <c r="Z9041">
        <v>399999.99993685522</v>
      </c>
    </row>
    <row r="9042" spans="26:26" x14ac:dyDescent="0.25">
      <c r="Z9042">
        <v>399999.99993701273</v>
      </c>
    </row>
    <row r="9043" spans="26:26" x14ac:dyDescent="0.25">
      <c r="Z9043">
        <v>399999.99993716978</v>
      </c>
    </row>
    <row r="9044" spans="26:26" x14ac:dyDescent="0.25">
      <c r="Z9044">
        <v>399999.99993732641</v>
      </c>
    </row>
    <row r="9045" spans="26:26" x14ac:dyDescent="0.25">
      <c r="Z9045">
        <v>399999.9999374827</v>
      </c>
    </row>
    <row r="9046" spans="26:26" x14ac:dyDescent="0.25">
      <c r="Z9046">
        <v>399999.99993763864</v>
      </c>
    </row>
    <row r="9047" spans="26:26" x14ac:dyDescent="0.25">
      <c r="Z9047">
        <v>399999.99993779417</v>
      </c>
    </row>
    <row r="9048" spans="26:26" x14ac:dyDescent="0.25">
      <c r="Z9048">
        <v>399999.99993794924</v>
      </c>
    </row>
    <row r="9049" spans="26:26" x14ac:dyDescent="0.25">
      <c r="Z9049">
        <v>399999.99993810401</v>
      </c>
    </row>
    <row r="9050" spans="26:26" x14ac:dyDescent="0.25">
      <c r="Z9050">
        <v>399999.99993825838</v>
      </c>
    </row>
    <row r="9051" spans="26:26" x14ac:dyDescent="0.25">
      <c r="Z9051">
        <v>399999.99993841234</v>
      </c>
    </row>
    <row r="9052" spans="26:26" x14ac:dyDescent="0.25">
      <c r="Z9052">
        <v>399999.99993856595</v>
      </c>
    </row>
    <row r="9053" spans="26:26" x14ac:dyDescent="0.25">
      <c r="Z9053">
        <v>399999.99993871915</v>
      </c>
    </row>
    <row r="9054" spans="26:26" x14ac:dyDescent="0.25">
      <c r="Z9054">
        <v>399999.99993887194</v>
      </c>
    </row>
    <row r="9055" spans="26:26" x14ac:dyDescent="0.25">
      <c r="Z9055">
        <v>399999.99993902439</v>
      </c>
    </row>
    <row r="9056" spans="26:26" x14ac:dyDescent="0.25">
      <c r="Z9056">
        <v>399999.99993917643</v>
      </c>
    </row>
    <row r="9057" spans="26:26" x14ac:dyDescent="0.25">
      <c r="Z9057">
        <v>399999.99993932812</v>
      </c>
    </row>
    <row r="9058" spans="26:26" x14ac:dyDescent="0.25">
      <c r="Z9058">
        <v>399999.99993947946</v>
      </c>
    </row>
    <row r="9059" spans="26:26" x14ac:dyDescent="0.25">
      <c r="Z9059">
        <v>399999.99993963033</v>
      </c>
    </row>
    <row r="9060" spans="26:26" x14ac:dyDescent="0.25">
      <c r="Z9060">
        <v>399999.99993978092</v>
      </c>
    </row>
    <row r="9061" spans="26:26" x14ac:dyDescent="0.25">
      <c r="Z9061">
        <v>399999.99993993103</v>
      </c>
    </row>
    <row r="9062" spans="26:26" x14ac:dyDescent="0.25">
      <c r="Z9062">
        <v>399999.99994008086</v>
      </c>
    </row>
    <row r="9063" spans="26:26" x14ac:dyDescent="0.25">
      <c r="Z9063">
        <v>399999.99994023028</v>
      </c>
    </row>
    <row r="9064" spans="26:26" x14ac:dyDescent="0.25">
      <c r="Z9064">
        <v>399999.99994037935</v>
      </c>
    </row>
    <row r="9065" spans="26:26" x14ac:dyDescent="0.25">
      <c r="Z9065">
        <v>399999.99994052801</v>
      </c>
    </row>
    <row r="9066" spans="26:26" x14ac:dyDescent="0.25">
      <c r="Z9066">
        <v>399999.99994067632</v>
      </c>
    </row>
    <row r="9067" spans="26:26" x14ac:dyDescent="0.25">
      <c r="Z9067">
        <v>399999.99994082429</v>
      </c>
    </row>
    <row r="9068" spans="26:26" x14ac:dyDescent="0.25">
      <c r="Z9068">
        <v>399999.99994097184</v>
      </c>
    </row>
    <row r="9069" spans="26:26" x14ac:dyDescent="0.25">
      <c r="Z9069">
        <v>399999.99994111905</v>
      </c>
    </row>
    <row r="9070" spans="26:26" x14ac:dyDescent="0.25">
      <c r="Z9070">
        <v>399999.99994126585</v>
      </c>
    </row>
    <row r="9071" spans="26:26" x14ac:dyDescent="0.25">
      <c r="Z9071">
        <v>399999.99994141236</v>
      </c>
    </row>
    <row r="9072" spans="26:26" x14ac:dyDescent="0.25">
      <c r="Z9072">
        <v>399999.9999415584</v>
      </c>
    </row>
    <row r="9073" spans="26:26" x14ac:dyDescent="0.25">
      <c r="Z9073">
        <v>399999.99994170421</v>
      </c>
    </row>
    <row r="9074" spans="26:26" x14ac:dyDescent="0.25">
      <c r="Z9074">
        <v>399999.99994184956</v>
      </c>
    </row>
    <row r="9075" spans="26:26" x14ac:dyDescent="0.25">
      <c r="Z9075">
        <v>399999.99994199455</v>
      </c>
    </row>
    <row r="9076" spans="26:26" x14ac:dyDescent="0.25">
      <c r="Z9076">
        <v>399999.9999421392</v>
      </c>
    </row>
    <row r="9077" spans="26:26" x14ac:dyDescent="0.25">
      <c r="Z9077">
        <v>399999.99994228355</v>
      </c>
    </row>
    <row r="9078" spans="26:26" x14ac:dyDescent="0.25">
      <c r="Z9078">
        <v>399999.9999424275</v>
      </c>
    </row>
    <row r="9079" spans="26:26" x14ac:dyDescent="0.25">
      <c r="Z9079">
        <v>399999.99994257104</v>
      </c>
    </row>
    <row r="9080" spans="26:26" x14ac:dyDescent="0.25">
      <c r="Z9080">
        <v>399999.99994271423</v>
      </c>
    </row>
    <row r="9081" spans="26:26" x14ac:dyDescent="0.25">
      <c r="Z9081">
        <v>399999.99994285707</v>
      </c>
    </row>
    <row r="9082" spans="26:26" x14ac:dyDescent="0.25">
      <c r="Z9082">
        <v>399999.99994299957</v>
      </c>
    </row>
    <row r="9083" spans="26:26" x14ac:dyDescent="0.25">
      <c r="Z9083">
        <v>399999.99994314177</v>
      </c>
    </row>
    <row r="9084" spans="26:26" x14ac:dyDescent="0.25">
      <c r="Z9084">
        <v>399999.99994328356</v>
      </c>
    </row>
    <row r="9085" spans="26:26" x14ac:dyDescent="0.25">
      <c r="Z9085">
        <v>399999.99994342495</v>
      </c>
    </row>
    <row r="9086" spans="26:26" x14ac:dyDescent="0.25">
      <c r="Z9086">
        <v>399999.9999435661</v>
      </c>
    </row>
    <row r="9087" spans="26:26" x14ac:dyDescent="0.25">
      <c r="Z9087">
        <v>399999.99994370679</v>
      </c>
    </row>
    <row r="9088" spans="26:26" x14ac:dyDescent="0.25">
      <c r="Z9088">
        <v>399999.99994384719</v>
      </c>
    </row>
    <row r="9089" spans="26:26" x14ac:dyDescent="0.25">
      <c r="Z9089">
        <v>399999.99994398723</v>
      </c>
    </row>
    <row r="9090" spans="26:26" x14ac:dyDescent="0.25">
      <c r="Z9090">
        <v>399999.99994412693</v>
      </c>
    </row>
    <row r="9091" spans="26:26" x14ac:dyDescent="0.25">
      <c r="Z9091">
        <v>399999.99994426622</v>
      </c>
    </row>
    <row r="9092" spans="26:26" x14ac:dyDescent="0.25">
      <c r="Z9092">
        <v>399999.99994440522</v>
      </c>
    </row>
    <row r="9093" spans="26:26" x14ac:dyDescent="0.25">
      <c r="Z9093">
        <v>399999.99994454387</v>
      </c>
    </row>
    <row r="9094" spans="26:26" x14ac:dyDescent="0.25">
      <c r="Z9094">
        <v>399999.99994468217</v>
      </c>
    </row>
    <row r="9095" spans="26:26" x14ac:dyDescent="0.25">
      <c r="Z9095">
        <v>399999.99994482007</v>
      </c>
    </row>
    <row r="9096" spans="26:26" x14ac:dyDescent="0.25">
      <c r="Z9096">
        <v>399999.99994495767</v>
      </c>
    </row>
    <row r="9097" spans="26:26" x14ac:dyDescent="0.25">
      <c r="Z9097">
        <v>399999.99994509498</v>
      </c>
    </row>
    <row r="9098" spans="26:26" x14ac:dyDescent="0.25">
      <c r="Z9098">
        <v>399999.99994523189</v>
      </c>
    </row>
    <row r="9099" spans="26:26" x14ac:dyDescent="0.25">
      <c r="Z9099">
        <v>399999.99994536844</v>
      </c>
    </row>
    <row r="9100" spans="26:26" x14ac:dyDescent="0.25">
      <c r="Z9100">
        <v>399999.99994550471</v>
      </c>
    </row>
    <row r="9101" spans="26:26" x14ac:dyDescent="0.25">
      <c r="Z9101">
        <v>399999.99994564056</v>
      </c>
    </row>
    <row r="9102" spans="26:26" x14ac:dyDescent="0.25">
      <c r="Z9102">
        <v>399999.99994577613</v>
      </c>
    </row>
    <row r="9103" spans="26:26" x14ac:dyDescent="0.25">
      <c r="Z9103">
        <v>399999.9999459114</v>
      </c>
    </row>
    <row r="9104" spans="26:26" x14ac:dyDescent="0.25">
      <c r="Z9104">
        <v>399999.99994604627</v>
      </c>
    </row>
    <row r="9105" spans="26:26" x14ac:dyDescent="0.25">
      <c r="Z9105">
        <v>399999.99994618085</v>
      </c>
    </row>
    <row r="9106" spans="26:26" x14ac:dyDescent="0.25">
      <c r="Z9106">
        <v>399999.99994631502</v>
      </c>
    </row>
    <row r="9107" spans="26:26" x14ac:dyDescent="0.25">
      <c r="Z9107">
        <v>399999.99994644889</v>
      </c>
    </row>
    <row r="9108" spans="26:26" x14ac:dyDescent="0.25">
      <c r="Z9108">
        <v>399999.99994658248</v>
      </c>
    </row>
    <row r="9109" spans="26:26" x14ac:dyDescent="0.25">
      <c r="Z9109">
        <v>399999.99994671566</v>
      </c>
    </row>
    <row r="9110" spans="26:26" x14ac:dyDescent="0.25">
      <c r="Z9110">
        <v>399999.99994684855</v>
      </c>
    </row>
    <row r="9111" spans="26:26" x14ac:dyDescent="0.25">
      <c r="Z9111">
        <v>399999.99994698109</v>
      </c>
    </row>
    <row r="9112" spans="26:26" x14ac:dyDescent="0.25">
      <c r="Z9112">
        <v>399999.99994711333</v>
      </c>
    </row>
    <row r="9113" spans="26:26" x14ac:dyDescent="0.25">
      <c r="Z9113">
        <v>399999.99994724517</v>
      </c>
    </row>
    <row r="9114" spans="26:26" x14ac:dyDescent="0.25">
      <c r="Z9114">
        <v>399999.99994737678</v>
      </c>
    </row>
    <row r="9115" spans="26:26" x14ac:dyDescent="0.25">
      <c r="Z9115">
        <v>399999.99994750798</v>
      </c>
    </row>
    <row r="9116" spans="26:26" x14ac:dyDescent="0.25">
      <c r="Z9116">
        <v>399999.99994763883</v>
      </c>
    </row>
    <row r="9117" spans="26:26" x14ac:dyDescent="0.25">
      <c r="Z9117">
        <v>399999.99994776945</v>
      </c>
    </row>
    <row r="9118" spans="26:26" x14ac:dyDescent="0.25">
      <c r="Z9118">
        <v>399999.99994789972</v>
      </c>
    </row>
    <row r="9119" spans="26:26" x14ac:dyDescent="0.25">
      <c r="Z9119">
        <v>399999.99994802958</v>
      </c>
    </row>
    <row r="9120" spans="26:26" x14ac:dyDescent="0.25">
      <c r="Z9120">
        <v>399999.99994815927</v>
      </c>
    </row>
    <row r="9121" spans="26:26" x14ac:dyDescent="0.25">
      <c r="Z9121">
        <v>399999.99994828855</v>
      </c>
    </row>
    <row r="9122" spans="26:26" x14ac:dyDescent="0.25">
      <c r="Z9122">
        <v>399999.99994841748</v>
      </c>
    </row>
    <row r="9123" spans="26:26" x14ac:dyDescent="0.25">
      <c r="Z9123">
        <v>399999.99994854612</v>
      </c>
    </row>
    <row r="9124" spans="26:26" x14ac:dyDescent="0.25">
      <c r="Z9124">
        <v>399999.99994867441</v>
      </c>
    </row>
    <row r="9125" spans="26:26" x14ac:dyDescent="0.25">
      <c r="Z9125">
        <v>399999.9999488024</v>
      </c>
    </row>
    <row r="9126" spans="26:26" x14ac:dyDescent="0.25">
      <c r="Z9126">
        <v>399999.99994893011</v>
      </c>
    </row>
    <row r="9127" spans="26:26" x14ac:dyDescent="0.25">
      <c r="Z9127">
        <v>399999.99994905747</v>
      </c>
    </row>
    <row r="9128" spans="26:26" x14ac:dyDescent="0.25">
      <c r="Z9128">
        <v>399999.99994918448</v>
      </c>
    </row>
    <row r="9129" spans="26:26" x14ac:dyDescent="0.25">
      <c r="Z9129">
        <v>399999.9999493112</v>
      </c>
    </row>
    <row r="9130" spans="26:26" x14ac:dyDescent="0.25">
      <c r="Z9130">
        <v>399999.99994943757</v>
      </c>
    </row>
    <row r="9131" spans="26:26" x14ac:dyDescent="0.25">
      <c r="Z9131">
        <v>399999.99994956376</v>
      </c>
    </row>
    <row r="9132" spans="26:26" x14ac:dyDescent="0.25">
      <c r="Z9132">
        <v>399999.99994968949</v>
      </c>
    </row>
    <row r="9133" spans="26:26" x14ac:dyDescent="0.25">
      <c r="Z9133">
        <v>399999.99994981493</v>
      </c>
    </row>
    <row r="9134" spans="26:26" x14ac:dyDescent="0.25">
      <c r="Z9134">
        <v>399999.99994994007</v>
      </c>
    </row>
    <row r="9135" spans="26:26" x14ac:dyDescent="0.25">
      <c r="Z9135">
        <v>399999.99995006493</v>
      </c>
    </row>
    <row r="9136" spans="26:26" x14ac:dyDescent="0.25">
      <c r="Z9136">
        <v>399999.99995018943</v>
      </c>
    </row>
    <row r="9137" spans="26:26" x14ac:dyDescent="0.25">
      <c r="Z9137">
        <v>399999.99995031365</v>
      </c>
    </row>
    <row r="9138" spans="26:26" x14ac:dyDescent="0.25">
      <c r="Z9138">
        <v>399999.99995043757</v>
      </c>
    </row>
    <row r="9139" spans="26:26" x14ac:dyDescent="0.25">
      <c r="Z9139">
        <v>399999.99995056121</v>
      </c>
    </row>
    <row r="9140" spans="26:26" x14ac:dyDescent="0.25">
      <c r="Z9140">
        <v>399999.99995068443</v>
      </c>
    </row>
    <row r="9141" spans="26:26" x14ac:dyDescent="0.25">
      <c r="Z9141">
        <v>399999.99995080743</v>
      </c>
    </row>
    <row r="9142" spans="26:26" x14ac:dyDescent="0.25">
      <c r="Z9142">
        <v>399999.99995093013</v>
      </c>
    </row>
    <row r="9143" spans="26:26" x14ac:dyDescent="0.25">
      <c r="Z9143">
        <v>399999.99995105248</v>
      </c>
    </row>
    <row r="9144" spans="26:26" x14ac:dyDescent="0.25">
      <c r="Z9144">
        <v>399999.99995117454</v>
      </c>
    </row>
    <row r="9145" spans="26:26" x14ac:dyDescent="0.25">
      <c r="Z9145">
        <v>399999.99995129625</v>
      </c>
    </row>
    <row r="9146" spans="26:26" x14ac:dyDescent="0.25">
      <c r="Z9146">
        <v>399999.99995141773</v>
      </c>
    </row>
    <row r="9147" spans="26:26" x14ac:dyDescent="0.25">
      <c r="Z9147">
        <v>399999.99995153892</v>
      </c>
    </row>
    <row r="9148" spans="26:26" x14ac:dyDescent="0.25">
      <c r="Z9148">
        <v>399999.99995165976</v>
      </c>
    </row>
    <row r="9149" spans="26:26" x14ac:dyDescent="0.25">
      <c r="Z9149">
        <v>399999.99995178031</v>
      </c>
    </row>
    <row r="9150" spans="26:26" x14ac:dyDescent="0.25">
      <c r="Z9150">
        <v>399999.99995190057</v>
      </c>
    </row>
    <row r="9151" spans="26:26" x14ac:dyDescent="0.25">
      <c r="Z9151">
        <v>399999.99995202053</v>
      </c>
    </row>
    <row r="9152" spans="26:26" x14ac:dyDescent="0.25">
      <c r="Z9152">
        <v>399999.99995214015</v>
      </c>
    </row>
    <row r="9153" spans="26:26" x14ac:dyDescent="0.25">
      <c r="Z9153">
        <v>399999.99995225953</v>
      </c>
    </row>
    <row r="9154" spans="26:26" x14ac:dyDescent="0.25">
      <c r="Z9154">
        <v>399999.99995237857</v>
      </c>
    </row>
    <row r="9155" spans="26:26" x14ac:dyDescent="0.25">
      <c r="Z9155">
        <v>399999.99995249731</v>
      </c>
    </row>
    <row r="9156" spans="26:26" x14ac:dyDescent="0.25">
      <c r="Z9156">
        <v>399999.99995261576</v>
      </c>
    </row>
    <row r="9157" spans="26:26" x14ac:dyDescent="0.25">
      <c r="Z9157">
        <v>399999.99995273392</v>
      </c>
    </row>
    <row r="9158" spans="26:26" x14ac:dyDescent="0.25">
      <c r="Z9158">
        <v>399999.99995285185</v>
      </c>
    </row>
    <row r="9159" spans="26:26" x14ac:dyDescent="0.25">
      <c r="Z9159">
        <v>399999.99995296937</v>
      </c>
    </row>
    <row r="9160" spans="26:26" x14ac:dyDescent="0.25">
      <c r="Z9160">
        <v>399999.99995308666</v>
      </c>
    </row>
    <row r="9161" spans="26:26" x14ac:dyDescent="0.25">
      <c r="Z9161">
        <v>399999.99995320366</v>
      </c>
    </row>
    <row r="9162" spans="26:26" x14ac:dyDescent="0.25">
      <c r="Z9162">
        <v>399999.99995332037</v>
      </c>
    </row>
    <row r="9163" spans="26:26" x14ac:dyDescent="0.25">
      <c r="Z9163">
        <v>399999.99995343678</v>
      </c>
    </row>
    <row r="9164" spans="26:26" x14ac:dyDescent="0.25">
      <c r="Z9164">
        <v>399999.99995355285</v>
      </c>
    </row>
    <row r="9165" spans="26:26" x14ac:dyDescent="0.25">
      <c r="Z9165">
        <v>399999.99995366874</v>
      </c>
    </row>
    <row r="9166" spans="26:26" x14ac:dyDescent="0.25">
      <c r="Z9166">
        <v>399999.99995378422</v>
      </c>
    </row>
    <row r="9167" spans="26:26" x14ac:dyDescent="0.25">
      <c r="Z9167">
        <v>399999.99995389947</v>
      </c>
    </row>
    <row r="9168" spans="26:26" x14ac:dyDescent="0.25">
      <c r="Z9168">
        <v>399999.99995401449</v>
      </c>
    </row>
    <row r="9169" spans="26:26" x14ac:dyDescent="0.25">
      <c r="Z9169">
        <v>399999.99995412916</v>
      </c>
    </row>
    <row r="9170" spans="26:26" x14ac:dyDescent="0.25">
      <c r="Z9170">
        <v>399999.99995424354</v>
      </c>
    </row>
    <row r="9171" spans="26:26" x14ac:dyDescent="0.25">
      <c r="Z9171">
        <v>399999.99995435763</v>
      </c>
    </row>
    <row r="9172" spans="26:26" x14ac:dyDescent="0.25">
      <c r="Z9172">
        <v>399999.99995447148</v>
      </c>
    </row>
    <row r="9173" spans="26:26" x14ac:dyDescent="0.25">
      <c r="Z9173">
        <v>399999.99995458499</v>
      </c>
    </row>
    <row r="9174" spans="26:26" x14ac:dyDescent="0.25">
      <c r="Z9174">
        <v>399999.99995469832</v>
      </c>
    </row>
    <row r="9175" spans="26:26" x14ac:dyDescent="0.25">
      <c r="Z9175">
        <v>399999.99995481124</v>
      </c>
    </row>
    <row r="9176" spans="26:26" x14ac:dyDescent="0.25">
      <c r="Z9176">
        <v>399999.99995492393</v>
      </c>
    </row>
    <row r="9177" spans="26:26" x14ac:dyDescent="0.25">
      <c r="Z9177">
        <v>399999.99995503633</v>
      </c>
    </row>
    <row r="9178" spans="26:26" x14ac:dyDescent="0.25">
      <c r="Z9178">
        <v>399999.99995514844</v>
      </c>
    </row>
    <row r="9179" spans="26:26" x14ac:dyDescent="0.25">
      <c r="Z9179">
        <v>399999.99995526031</v>
      </c>
    </row>
    <row r="9180" spans="26:26" x14ac:dyDescent="0.25">
      <c r="Z9180">
        <v>399999.99995537184</v>
      </c>
    </row>
    <row r="9181" spans="26:26" x14ac:dyDescent="0.25">
      <c r="Z9181">
        <v>399999.99995548313</v>
      </c>
    </row>
    <row r="9182" spans="26:26" x14ac:dyDescent="0.25">
      <c r="Z9182">
        <v>399999.99995559419</v>
      </c>
    </row>
    <row r="9183" spans="26:26" x14ac:dyDescent="0.25">
      <c r="Z9183">
        <v>399999.9999557049</v>
      </c>
    </row>
    <row r="9184" spans="26:26" x14ac:dyDescent="0.25">
      <c r="Z9184">
        <v>399999.99995581538</v>
      </c>
    </row>
    <row r="9185" spans="26:26" x14ac:dyDescent="0.25">
      <c r="Z9185">
        <v>399999.99995592557</v>
      </c>
    </row>
    <row r="9186" spans="26:26" x14ac:dyDescent="0.25">
      <c r="Z9186">
        <v>399999.99995603546</v>
      </c>
    </row>
    <row r="9187" spans="26:26" x14ac:dyDescent="0.25">
      <c r="Z9187">
        <v>399999.99995614513</v>
      </c>
    </row>
    <row r="9188" spans="26:26" x14ac:dyDescent="0.25">
      <c r="Z9188">
        <v>399999.9999562545</v>
      </c>
    </row>
    <row r="9189" spans="26:26" x14ac:dyDescent="0.25">
      <c r="Z9189">
        <v>399999.99995636358</v>
      </c>
    </row>
    <row r="9190" spans="26:26" x14ac:dyDescent="0.25">
      <c r="Z9190">
        <v>399999.99995647237</v>
      </c>
    </row>
    <row r="9191" spans="26:26" x14ac:dyDescent="0.25">
      <c r="Z9191">
        <v>399999.99995658093</v>
      </c>
    </row>
    <row r="9192" spans="26:26" x14ac:dyDescent="0.25">
      <c r="Z9192">
        <v>399999.99995668919</v>
      </c>
    </row>
    <row r="9193" spans="26:26" x14ac:dyDescent="0.25">
      <c r="Z9193">
        <v>399999.99995679723</v>
      </c>
    </row>
    <row r="9194" spans="26:26" x14ac:dyDescent="0.25">
      <c r="Z9194">
        <v>399999.99995690497</v>
      </c>
    </row>
    <row r="9195" spans="26:26" x14ac:dyDescent="0.25">
      <c r="Z9195">
        <v>399999.99995701242</v>
      </c>
    </row>
    <row r="9196" spans="26:26" x14ac:dyDescent="0.25">
      <c r="Z9196">
        <v>399999.99995711964</v>
      </c>
    </row>
    <row r="9197" spans="26:26" x14ac:dyDescent="0.25">
      <c r="Z9197">
        <v>399999.99995722657</v>
      </c>
    </row>
    <row r="9198" spans="26:26" x14ac:dyDescent="0.25">
      <c r="Z9198">
        <v>399999.9999573332</v>
      </c>
    </row>
    <row r="9199" spans="26:26" x14ac:dyDescent="0.25">
      <c r="Z9199">
        <v>399999.99995743966</v>
      </c>
    </row>
    <row r="9200" spans="26:26" x14ac:dyDescent="0.25">
      <c r="Z9200">
        <v>399999.99995754578</v>
      </c>
    </row>
    <row r="9201" spans="26:26" x14ac:dyDescent="0.25">
      <c r="Z9201">
        <v>399999.99995765166</v>
      </c>
    </row>
    <row r="9202" spans="26:26" x14ac:dyDescent="0.25">
      <c r="Z9202">
        <v>399999.99995775725</v>
      </c>
    </row>
    <row r="9203" spans="26:26" x14ac:dyDescent="0.25">
      <c r="Z9203">
        <v>399999.9999578626</v>
      </c>
    </row>
    <row r="9204" spans="26:26" x14ac:dyDescent="0.25">
      <c r="Z9204">
        <v>399999.99995796767</v>
      </c>
    </row>
    <row r="9205" spans="26:26" x14ac:dyDescent="0.25">
      <c r="Z9205">
        <v>399999.9999580725</v>
      </c>
    </row>
    <row r="9206" spans="26:26" x14ac:dyDescent="0.25">
      <c r="Z9206">
        <v>399999.99995817704</v>
      </c>
    </row>
    <row r="9207" spans="26:26" x14ac:dyDescent="0.25">
      <c r="Z9207">
        <v>399999.99995828141</v>
      </c>
    </row>
    <row r="9208" spans="26:26" x14ac:dyDescent="0.25">
      <c r="Z9208">
        <v>399999.99995838536</v>
      </c>
    </row>
    <row r="9209" spans="26:26" x14ac:dyDescent="0.25">
      <c r="Z9209">
        <v>399999.99995848915</v>
      </c>
    </row>
    <row r="9210" spans="26:26" x14ac:dyDescent="0.25">
      <c r="Z9210">
        <v>399999.99995859264</v>
      </c>
    </row>
    <row r="9211" spans="26:26" x14ac:dyDescent="0.25">
      <c r="Z9211">
        <v>399999.9999586959</v>
      </c>
    </row>
    <row r="9212" spans="26:26" x14ac:dyDescent="0.25">
      <c r="Z9212">
        <v>399999.99995879893</v>
      </c>
    </row>
    <row r="9213" spans="26:26" x14ac:dyDescent="0.25">
      <c r="Z9213">
        <v>399999.99995890167</v>
      </c>
    </row>
    <row r="9214" spans="26:26" x14ac:dyDescent="0.25">
      <c r="Z9214">
        <v>399999.99995900417</v>
      </c>
    </row>
    <row r="9215" spans="26:26" x14ac:dyDescent="0.25">
      <c r="Z9215">
        <v>399999.99995910638</v>
      </c>
    </row>
    <row r="9216" spans="26:26" x14ac:dyDescent="0.25">
      <c r="Z9216">
        <v>399999.99995920836</v>
      </c>
    </row>
    <row r="9217" spans="26:26" x14ac:dyDescent="0.25">
      <c r="Z9217">
        <v>399999.99995931011</v>
      </c>
    </row>
    <row r="9218" spans="26:26" x14ac:dyDescent="0.25">
      <c r="Z9218">
        <v>399999.99995941157</v>
      </c>
    </row>
    <row r="9219" spans="26:26" x14ac:dyDescent="0.25">
      <c r="Z9219">
        <v>399999.99995951285</v>
      </c>
    </row>
    <row r="9220" spans="26:26" x14ac:dyDescent="0.25">
      <c r="Z9220">
        <v>399999.99995961372</v>
      </c>
    </row>
    <row r="9221" spans="26:26" x14ac:dyDescent="0.25">
      <c r="Z9221">
        <v>399999.99995971448</v>
      </c>
    </row>
    <row r="9222" spans="26:26" x14ac:dyDescent="0.25">
      <c r="Z9222">
        <v>399999.99995981494</v>
      </c>
    </row>
    <row r="9223" spans="26:26" x14ac:dyDescent="0.25">
      <c r="Z9223">
        <v>399999.99995991518</v>
      </c>
    </row>
    <row r="9224" spans="26:26" x14ac:dyDescent="0.25">
      <c r="Z9224">
        <v>399999.99996001512</v>
      </c>
    </row>
    <row r="9225" spans="26:26" x14ac:dyDescent="0.25">
      <c r="Z9225">
        <v>399999.99996011483</v>
      </c>
    </row>
    <row r="9226" spans="26:26" x14ac:dyDescent="0.25">
      <c r="Z9226">
        <v>399999.99996021431</v>
      </c>
    </row>
    <row r="9227" spans="26:26" x14ac:dyDescent="0.25">
      <c r="Z9227">
        <v>399999.99996031349</v>
      </c>
    </row>
    <row r="9228" spans="26:26" x14ac:dyDescent="0.25">
      <c r="Z9228">
        <v>399999.9999604125</v>
      </c>
    </row>
    <row r="9229" spans="26:26" x14ac:dyDescent="0.25">
      <c r="Z9229">
        <v>399999.99996051122</v>
      </c>
    </row>
    <row r="9230" spans="26:26" x14ac:dyDescent="0.25">
      <c r="Z9230">
        <v>399999.99996060971</v>
      </c>
    </row>
    <row r="9231" spans="26:26" x14ac:dyDescent="0.25">
      <c r="Z9231">
        <v>399999.99996070791</v>
      </c>
    </row>
    <row r="9232" spans="26:26" x14ac:dyDescent="0.25">
      <c r="Z9232">
        <v>399999.99996080587</v>
      </c>
    </row>
    <row r="9233" spans="26:26" x14ac:dyDescent="0.25">
      <c r="Z9233">
        <v>399999.99996090366</v>
      </c>
    </row>
    <row r="9234" spans="26:26" x14ac:dyDescent="0.25">
      <c r="Z9234">
        <v>399999.99996100116</v>
      </c>
    </row>
    <row r="9235" spans="26:26" x14ac:dyDescent="0.25">
      <c r="Z9235">
        <v>399999.99996109842</v>
      </c>
    </row>
    <row r="9236" spans="26:26" x14ac:dyDescent="0.25">
      <c r="Z9236">
        <v>399999.9999611954</v>
      </c>
    </row>
    <row r="9237" spans="26:26" x14ac:dyDescent="0.25">
      <c r="Z9237">
        <v>399999.9999612922</v>
      </c>
    </row>
    <row r="9238" spans="26:26" x14ac:dyDescent="0.25">
      <c r="Z9238">
        <v>399999.9999613887</v>
      </c>
    </row>
    <row r="9239" spans="26:26" x14ac:dyDescent="0.25">
      <c r="Z9239">
        <v>399999.99996148498</v>
      </c>
    </row>
    <row r="9240" spans="26:26" x14ac:dyDescent="0.25">
      <c r="Z9240">
        <v>399999.99996158102</v>
      </c>
    </row>
    <row r="9241" spans="26:26" x14ac:dyDescent="0.25">
      <c r="Z9241">
        <v>399999.99996167683</v>
      </c>
    </row>
    <row r="9242" spans="26:26" x14ac:dyDescent="0.25">
      <c r="Z9242">
        <v>399999.99996177241</v>
      </c>
    </row>
    <row r="9243" spans="26:26" x14ac:dyDescent="0.25">
      <c r="Z9243">
        <v>399999.99996186775</v>
      </c>
    </row>
    <row r="9244" spans="26:26" x14ac:dyDescent="0.25">
      <c r="Z9244">
        <v>399999.99996196281</v>
      </c>
    </row>
    <row r="9245" spans="26:26" x14ac:dyDescent="0.25">
      <c r="Z9245">
        <v>399999.99996205769</v>
      </c>
    </row>
    <row r="9246" spans="26:26" x14ac:dyDescent="0.25">
      <c r="Z9246">
        <v>399999.99996215233</v>
      </c>
    </row>
    <row r="9247" spans="26:26" x14ac:dyDescent="0.25">
      <c r="Z9247">
        <v>399999.99996224669</v>
      </c>
    </row>
    <row r="9248" spans="26:26" x14ac:dyDescent="0.25">
      <c r="Z9248">
        <v>399999.99996234081</v>
      </c>
    </row>
    <row r="9249" spans="26:26" x14ac:dyDescent="0.25">
      <c r="Z9249">
        <v>399999.99996243475</v>
      </c>
    </row>
    <row r="9250" spans="26:26" x14ac:dyDescent="0.25">
      <c r="Z9250">
        <v>399999.99996252841</v>
      </c>
    </row>
    <row r="9251" spans="26:26" x14ac:dyDescent="0.25">
      <c r="Z9251">
        <v>399999.99996262189</v>
      </c>
    </row>
    <row r="9252" spans="26:26" x14ac:dyDescent="0.25">
      <c r="Z9252">
        <v>399999.99996271514</v>
      </c>
    </row>
    <row r="9253" spans="26:26" x14ac:dyDescent="0.25">
      <c r="Z9253">
        <v>399999.9999628081</v>
      </c>
    </row>
    <row r="9254" spans="26:26" x14ac:dyDescent="0.25">
      <c r="Z9254">
        <v>399999.99996290082</v>
      </c>
    </row>
    <row r="9255" spans="26:26" x14ac:dyDescent="0.25">
      <c r="Z9255">
        <v>399999.99996299332</v>
      </c>
    </row>
    <row r="9256" spans="26:26" x14ac:dyDescent="0.25">
      <c r="Z9256">
        <v>399999.99996308557</v>
      </c>
    </row>
    <row r="9257" spans="26:26" x14ac:dyDescent="0.25">
      <c r="Z9257">
        <v>399999.99996317772</v>
      </c>
    </row>
    <row r="9258" spans="26:26" x14ac:dyDescent="0.25">
      <c r="Z9258">
        <v>399999.99996326951</v>
      </c>
    </row>
    <row r="9259" spans="26:26" x14ac:dyDescent="0.25">
      <c r="Z9259">
        <v>399999.99996336107</v>
      </c>
    </row>
    <row r="9260" spans="26:26" x14ac:dyDescent="0.25">
      <c r="Z9260">
        <v>399999.99996345252</v>
      </c>
    </row>
    <row r="9261" spans="26:26" x14ac:dyDescent="0.25">
      <c r="Z9261">
        <v>399999.99996354355</v>
      </c>
    </row>
    <row r="9262" spans="26:26" x14ac:dyDescent="0.25">
      <c r="Z9262">
        <v>399999.99996363447</v>
      </c>
    </row>
    <row r="9263" spans="26:26" x14ac:dyDescent="0.25">
      <c r="Z9263">
        <v>399999.99996372522</v>
      </c>
    </row>
    <row r="9264" spans="26:26" x14ac:dyDescent="0.25">
      <c r="Z9264">
        <v>399999.99996381567</v>
      </c>
    </row>
    <row r="9265" spans="26:26" x14ac:dyDescent="0.25">
      <c r="Z9265">
        <v>399999.9999639059</v>
      </c>
    </row>
    <row r="9266" spans="26:26" x14ac:dyDescent="0.25">
      <c r="Z9266">
        <v>399999.99996399594</v>
      </c>
    </row>
    <row r="9267" spans="26:26" x14ac:dyDescent="0.25">
      <c r="Z9267">
        <v>399999.9999640857</v>
      </c>
    </row>
    <row r="9268" spans="26:26" x14ac:dyDescent="0.25">
      <c r="Z9268">
        <v>399999.99996417528</v>
      </c>
    </row>
    <row r="9269" spans="26:26" x14ac:dyDescent="0.25">
      <c r="Z9269">
        <v>399999.99996426457</v>
      </c>
    </row>
    <row r="9270" spans="26:26" x14ac:dyDescent="0.25">
      <c r="Z9270">
        <v>399999.99996435369</v>
      </c>
    </row>
    <row r="9271" spans="26:26" x14ac:dyDescent="0.25">
      <c r="Z9271">
        <v>399999.99996444263</v>
      </c>
    </row>
    <row r="9272" spans="26:26" x14ac:dyDescent="0.25">
      <c r="Z9272">
        <v>399999.99996453128</v>
      </c>
    </row>
    <row r="9273" spans="26:26" x14ac:dyDescent="0.25">
      <c r="Z9273">
        <v>399999.9999646197</v>
      </c>
    </row>
    <row r="9274" spans="26:26" x14ac:dyDescent="0.25">
      <c r="Z9274">
        <v>399999.99996470794</v>
      </c>
    </row>
    <row r="9275" spans="26:26" x14ac:dyDescent="0.25">
      <c r="Z9275">
        <v>399999.99996479595</v>
      </c>
    </row>
    <row r="9276" spans="26:26" x14ac:dyDescent="0.25">
      <c r="Z9276">
        <v>399999.99996488378</v>
      </c>
    </row>
    <row r="9277" spans="26:26" x14ac:dyDescent="0.25">
      <c r="Z9277">
        <v>399999.99996497133</v>
      </c>
    </row>
    <row r="9278" spans="26:26" x14ac:dyDescent="0.25">
      <c r="Z9278">
        <v>399999.9999650587</v>
      </c>
    </row>
    <row r="9279" spans="26:26" x14ac:dyDescent="0.25">
      <c r="Z9279">
        <v>399999.99996514583</v>
      </c>
    </row>
    <row r="9280" spans="26:26" x14ac:dyDescent="0.25">
      <c r="Z9280">
        <v>399999.99996523274</v>
      </c>
    </row>
    <row r="9281" spans="26:26" x14ac:dyDescent="0.25">
      <c r="Z9281">
        <v>399999.99996531941</v>
      </c>
    </row>
    <row r="9282" spans="26:26" x14ac:dyDescent="0.25">
      <c r="Z9282">
        <v>399999.99996540596</v>
      </c>
    </row>
    <row r="9283" spans="26:26" x14ac:dyDescent="0.25">
      <c r="Z9283">
        <v>399999.99996549223</v>
      </c>
    </row>
    <row r="9284" spans="26:26" x14ac:dyDescent="0.25">
      <c r="Z9284">
        <v>399999.99996557826</v>
      </c>
    </row>
    <row r="9285" spans="26:26" x14ac:dyDescent="0.25">
      <c r="Z9285">
        <v>399999.99996566406</v>
      </c>
    </row>
    <row r="9286" spans="26:26" x14ac:dyDescent="0.25">
      <c r="Z9286">
        <v>399999.99996574968</v>
      </c>
    </row>
    <row r="9287" spans="26:26" x14ac:dyDescent="0.25">
      <c r="Z9287">
        <v>399999.99996583513</v>
      </c>
    </row>
    <row r="9288" spans="26:26" x14ac:dyDescent="0.25">
      <c r="Z9288">
        <v>399999.99996592029</v>
      </c>
    </row>
    <row r="9289" spans="26:26" x14ac:dyDescent="0.25">
      <c r="Z9289">
        <v>399999.99996600533</v>
      </c>
    </row>
    <row r="9290" spans="26:26" x14ac:dyDescent="0.25">
      <c r="Z9290">
        <v>399999.99996609008</v>
      </c>
    </row>
    <row r="9291" spans="26:26" x14ac:dyDescent="0.25">
      <c r="Z9291">
        <v>399999.99996617466</v>
      </c>
    </row>
    <row r="9292" spans="26:26" x14ac:dyDescent="0.25">
      <c r="Z9292">
        <v>399999.999966259</v>
      </c>
    </row>
    <row r="9293" spans="26:26" x14ac:dyDescent="0.25">
      <c r="Z9293">
        <v>399999.99996634317</v>
      </c>
    </row>
    <row r="9294" spans="26:26" x14ac:dyDescent="0.25">
      <c r="Z9294">
        <v>399999.9999664271</v>
      </c>
    </row>
    <row r="9295" spans="26:26" x14ac:dyDescent="0.25">
      <c r="Z9295">
        <v>399999.99996651075</v>
      </c>
    </row>
    <row r="9296" spans="26:26" x14ac:dyDescent="0.25">
      <c r="Z9296">
        <v>399999.99996659427</v>
      </c>
    </row>
    <row r="9297" spans="26:26" x14ac:dyDescent="0.25">
      <c r="Z9297">
        <v>399999.99996667763</v>
      </c>
    </row>
    <row r="9298" spans="26:26" x14ac:dyDescent="0.25">
      <c r="Z9298">
        <v>399999.99996676075</v>
      </c>
    </row>
    <row r="9299" spans="26:26" x14ac:dyDescent="0.25">
      <c r="Z9299">
        <v>399999.99996684364</v>
      </c>
    </row>
    <row r="9300" spans="26:26" x14ac:dyDescent="0.25">
      <c r="Z9300">
        <v>399999.99996692629</v>
      </c>
    </row>
    <row r="9301" spans="26:26" x14ac:dyDescent="0.25">
      <c r="Z9301">
        <v>399999.99996700877</v>
      </c>
    </row>
    <row r="9302" spans="26:26" x14ac:dyDescent="0.25">
      <c r="Z9302">
        <v>399999.99996709102</v>
      </c>
    </row>
    <row r="9303" spans="26:26" x14ac:dyDescent="0.25">
      <c r="Z9303">
        <v>399999.99996717309</v>
      </c>
    </row>
    <row r="9304" spans="26:26" x14ac:dyDescent="0.25">
      <c r="Z9304">
        <v>399999.99996725499</v>
      </c>
    </row>
    <row r="9305" spans="26:26" x14ac:dyDescent="0.25">
      <c r="Z9305">
        <v>399999.99996733665</v>
      </c>
    </row>
    <row r="9306" spans="26:26" x14ac:dyDescent="0.25">
      <c r="Z9306">
        <v>399999.99996741815</v>
      </c>
    </row>
    <row r="9307" spans="26:26" x14ac:dyDescent="0.25">
      <c r="Z9307">
        <v>399999.99996749935</v>
      </c>
    </row>
    <row r="9308" spans="26:26" x14ac:dyDescent="0.25">
      <c r="Z9308">
        <v>399999.99996758037</v>
      </c>
    </row>
    <row r="9309" spans="26:26" x14ac:dyDescent="0.25">
      <c r="Z9309">
        <v>399999.99996766122</v>
      </c>
    </row>
    <row r="9310" spans="26:26" x14ac:dyDescent="0.25">
      <c r="Z9310">
        <v>399999.9999677419</v>
      </c>
    </row>
    <row r="9311" spans="26:26" x14ac:dyDescent="0.25">
      <c r="Z9311">
        <v>399999.99996782228</v>
      </c>
    </row>
    <row r="9312" spans="26:26" x14ac:dyDescent="0.25">
      <c r="Z9312">
        <v>399999.99996790255</v>
      </c>
    </row>
    <row r="9313" spans="26:26" x14ac:dyDescent="0.25">
      <c r="Z9313">
        <v>399999.99996798264</v>
      </c>
    </row>
    <row r="9314" spans="26:26" x14ac:dyDescent="0.25">
      <c r="Z9314">
        <v>399999.9999680625</v>
      </c>
    </row>
    <row r="9315" spans="26:26" x14ac:dyDescent="0.25">
      <c r="Z9315">
        <v>399999.99996814213</v>
      </c>
    </row>
    <row r="9316" spans="26:26" x14ac:dyDescent="0.25">
      <c r="Z9316">
        <v>399999.99996822159</v>
      </c>
    </row>
    <row r="9317" spans="26:26" x14ac:dyDescent="0.25">
      <c r="Z9317">
        <v>399999.99996830081</v>
      </c>
    </row>
    <row r="9318" spans="26:26" x14ac:dyDescent="0.25">
      <c r="Z9318">
        <v>399999.99996837985</v>
      </c>
    </row>
    <row r="9319" spans="26:26" x14ac:dyDescent="0.25">
      <c r="Z9319">
        <v>399999.99996845867</v>
      </c>
    </row>
    <row r="9320" spans="26:26" x14ac:dyDescent="0.25">
      <c r="Z9320">
        <v>399999.99996853736</v>
      </c>
    </row>
    <row r="9321" spans="26:26" x14ac:dyDescent="0.25">
      <c r="Z9321">
        <v>399999.99996861577</v>
      </c>
    </row>
    <row r="9322" spans="26:26" x14ac:dyDescent="0.25">
      <c r="Z9322">
        <v>399999.99996869412</v>
      </c>
    </row>
    <row r="9323" spans="26:26" x14ac:dyDescent="0.25">
      <c r="Z9323">
        <v>399999.99996877217</v>
      </c>
    </row>
    <row r="9324" spans="26:26" x14ac:dyDescent="0.25">
      <c r="Z9324">
        <v>399999.99996885005</v>
      </c>
    </row>
    <row r="9325" spans="26:26" x14ac:dyDescent="0.25">
      <c r="Z9325">
        <v>399999.9999689277</v>
      </c>
    </row>
    <row r="9326" spans="26:26" x14ac:dyDescent="0.25">
      <c r="Z9326">
        <v>399999.99996900518</v>
      </c>
    </row>
    <row r="9327" spans="26:26" x14ac:dyDescent="0.25">
      <c r="Z9327">
        <v>399999.99996908248</v>
      </c>
    </row>
    <row r="9328" spans="26:26" x14ac:dyDescent="0.25">
      <c r="Z9328">
        <v>399999.99996915954</v>
      </c>
    </row>
    <row r="9329" spans="26:26" x14ac:dyDescent="0.25">
      <c r="Z9329">
        <v>399999.99996923649</v>
      </c>
    </row>
    <row r="9330" spans="26:26" x14ac:dyDescent="0.25">
      <c r="Z9330">
        <v>399999.99996931321</v>
      </c>
    </row>
    <row r="9331" spans="26:26" x14ac:dyDescent="0.25">
      <c r="Z9331">
        <v>399999.9999693897</v>
      </c>
    </row>
    <row r="9332" spans="26:26" x14ac:dyDescent="0.25">
      <c r="Z9332">
        <v>399999.99996946607</v>
      </c>
    </row>
    <row r="9333" spans="26:26" x14ac:dyDescent="0.25">
      <c r="Z9333">
        <v>399999.99996954226</v>
      </c>
    </row>
    <row r="9334" spans="26:26" x14ac:dyDescent="0.25">
      <c r="Z9334">
        <v>399999.99996961816</v>
      </c>
    </row>
    <row r="9335" spans="26:26" x14ac:dyDescent="0.25">
      <c r="Z9335">
        <v>399999.99996969389</v>
      </c>
    </row>
    <row r="9336" spans="26:26" x14ac:dyDescent="0.25">
      <c r="Z9336">
        <v>399999.9999697695</v>
      </c>
    </row>
    <row r="9337" spans="26:26" x14ac:dyDescent="0.25">
      <c r="Z9337">
        <v>399999.99996984494</v>
      </c>
    </row>
    <row r="9338" spans="26:26" x14ac:dyDescent="0.25">
      <c r="Z9338">
        <v>399999.99996992009</v>
      </c>
    </row>
    <row r="9339" spans="26:26" x14ac:dyDescent="0.25">
      <c r="Z9339">
        <v>399999.99996999511</v>
      </c>
    </row>
    <row r="9340" spans="26:26" x14ac:dyDescent="0.25">
      <c r="Z9340">
        <v>399999.99997006991</v>
      </c>
    </row>
    <row r="9341" spans="26:26" x14ac:dyDescent="0.25">
      <c r="Z9341">
        <v>399999.99997014459</v>
      </c>
    </row>
    <row r="9342" spans="26:26" x14ac:dyDescent="0.25">
      <c r="Z9342">
        <v>399999.99997021898</v>
      </c>
    </row>
    <row r="9343" spans="26:26" x14ac:dyDescent="0.25">
      <c r="Z9343">
        <v>399999.99997029331</v>
      </c>
    </row>
    <row r="9344" spans="26:26" x14ac:dyDescent="0.25">
      <c r="Z9344">
        <v>399999.99997036735</v>
      </c>
    </row>
    <row r="9345" spans="26:26" x14ac:dyDescent="0.25">
      <c r="Z9345">
        <v>399999.99997044128</v>
      </c>
    </row>
    <row r="9346" spans="26:26" x14ac:dyDescent="0.25">
      <c r="Z9346">
        <v>399999.99997051497</v>
      </c>
    </row>
    <row r="9347" spans="26:26" x14ac:dyDescent="0.25">
      <c r="Z9347">
        <v>399999.99997058848</v>
      </c>
    </row>
    <row r="9348" spans="26:26" x14ac:dyDescent="0.25">
      <c r="Z9348">
        <v>399999.99997066188</v>
      </c>
    </row>
    <row r="9349" spans="26:26" x14ac:dyDescent="0.25">
      <c r="Z9349">
        <v>399999.99997073505</v>
      </c>
    </row>
    <row r="9350" spans="26:26" x14ac:dyDescent="0.25">
      <c r="Z9350">
        <v>399999.99997080804</v>
      </c>
    </row>
    <row r="9351" spans="26:26" x14ac:dyDescent="0.25">
      <c r="Z9351">
        <v>399999.9999708808</v>
      </c>
    </row>
    <row r="9352" spans="26:26" x14ac:dyDescent="0.25">
      <c r="Z9352">
        <v>399999.99997095339</v>
      </c>
    </row>
    <row r="9353" spans="26:26" x14ac:dyDescent="0.25">
      <c r="Z9353">
        <v>399999.99997102586</v>
      </c>
    </row>
    <row r="9354" spans="26:26" x14ac:dyDescent="0.25">
      <c r="Z9354">
        <v>399999.99997109809</v>
      </c>
    </row>
    <row r="9355" spans="26:26" x14ac:dyDescent="0.25">
      <c r="Z9355">
        <v>399999.99997117015</v>
      </c>
    </row>
    <row r="9356" spans="26:26" x14ac:dyDescent="0.25">
      <c r="Z9356">
        <v>399999.99997124204</v>
      </c>
    </row>
    <row r="9357" spans="26:26" x14ac:dyDescent="0.25">
      <c r="Z9357">
        <v>399999.99997131381</v>
      </c>
    </row>
    <row r="9358" spans="26:26" x14ac:dyDescent="0.25">
      <c r="Z9358">
        <v>399999.99997138535</v>
      </c>
    </row>
    <row r="9359" spans="26:26" x14ac:dyDescent="0.25">
      <c r="Z9359">
        <v>399999.99997145671</v>
      </c>
    </row>
    <row r="9360" spans="26:26" x14ac:dyDescent="0.25">
      <c r="Z9360">
        <v>399999.9999715279</v>
      </c>
    </row>
    <row r="9361" spans="26:26" x14ac:dyDescent="0.25">
      <c r="Z9361">
        <v>399999.99997159891</v>
      </c>
    </row>
    <row r="9362" spans="26:26" x14ac:dyDescent="0.25">
      <c r="Z9362">
        <v>399999.99997166969</v>
      </c>
    </row>
    <row r="9363" spans="26:26" x14ac:dyDescent="0.25">
      <c r="Z9363">
        <v>399999.9999717403</v>
      </c>
    </row>
    <row r="9364" spans="26:26" x14ac:dyDescent="0.25">
      <c r="Z9364">
        <v>399999.99997181079</v>
      </c>
    </row>
    <row r="9365" spans="26:26" x14ac:dyDescent="0.25">
      <c r="Z9365">
        <v>399999.9999718811</v>
      </c>
    </row>
    <row r="9366" spans="26:26" x14ac:dyDescent="0.25">
      <c r="Z9366">
        <v>399999.99997195124</v>
      </c>
    </row>
    <row r="9367" spans="26:26" x14ac:dyDescent="0.25">
      <c r="Z9367">
        <v>399999.99997202115</v>
      </c>
    </row>
    <row r="9368" spans="26:26" x14ac:dyDescent="0.25">
      <c r="Z9368">
        <v>399999.99997209094</v>
      </c>
    </row>
    <row r="9369" spans="26:26" x14ac:dyDescent="0.25">
      <c r="Z9369">
        <v>399999.99997216061</v>
      </c>
    </row>
    <row r="9370" spans="26:26" x14ac:dyDescent="0.25">
      <c r="Z9370">
        <v>399999.99997223</v>
      </c>
    </row>
    <row r="9371" spans="26:26" x14ac:dyDescent="0.25">
      <c r="Z9371">
        <v>399999.99997229927</v>
      </c>
    </row>
    <row r="9372" spans="26:26" x14ac:dyDescent="0.25">
      <c r="Z9372">
        <v>399999.9999723683</v>
      </c>
    </row>
    <row r="9373" spans="26:26" x14ac:dyDescent="0.25">
      <c r="Z9373">
        <v>399999.99997243728</v>
      </c>
    </row>
    <row r="9374" spans="26:26" x14ac:dyDescent="0.25">
      <c r="Z9374">
        <v>399999.9999725059</v>
      </c>
    </row>
    <row r="9375" spans="26:26" x14ac:dyDescent="0.25">
      <c r="Z9375">
        <v>399999.99997257447</v>
      </c>
    </row>
    <row r="9376" spans="26:26" x14ac:dyDescent="0.25">
      <c r="Z9376">
        <v>399999.99997264287</v>
      </c>
    </row>
    <row r="9377" spans="26:26" x14ac:dyDescent="0.25">
      <c r="Z9377">
        <v>399999.99997271114</v>
      </c>
    </row>
    <row r="9378" spans="26:26" x14ac:dyDescent="0.25">
      <c r="Z9378">
        <v>399999.99997277919</v>
      </c>
    </row>
    <row r="9379" spans="26:26" x14ac:dyDescent="0.25">
      <c r="Z9379">
        <v>399999.999972847</v>
      </c>
    </row>
    <row r="9380" spans="26:26" x14ac:dyDescent="0.25">
      <c r="Z9380">
        <v>399999.99997291481</v>
      </c>
    </row>
    <row r="9381" spans="26:26" x14ac:dyDescent="0.25">
      <c r="Z9381">
        <v>399999.99997298233</v>
      </c>
    </row>
    <row r="9382" spans="26:26" x14ac:dyDescent="0.25">
      <c r="Z9382">
        <v>399999.99997304968</v>
      </c>
    </row>
    <row r="9383" spans="26:26" x14ac:dyDescent="0.25">
      <c r="Z9383">
        <v>399999.99997311691</v>
      </c>
    </row>
    <row r="9384" spans="26:26" x14ac:dyDescent="0.25">
      <c r="Z9384">
        <v>399999.99997318396</v>
      </c>
    </row>
    <row r="9385" spans="26:26" x14ac:dyDescent="0.25">
      <c r="Z9385">
        <v>399999.99997325079</v>
      </c>
    </row>
    <row r="9386" spans="26:26" x14ac:dyDescent="0.25">
      <c r="Z9386">
        <v>399999.99997331749</v>
      </c>
    </row>
    <row r="9387" spans="26:26" x14ac:dyDescent="0.25">
      <c r="Z9387">
        <v>399999.99997338408</v>
      </c>
    </row>
    <row r="9388" spans="26:26" x14ac:dyDescent="0.25">
      <c r="Z9388">
        <v>399999.99997345044</v>
      </c>
    </row>
    <row r="9389" spans="26:26" x14ac:dyDescent="0.25">
      <c r="Z9389">
        <v>399999.99997351662</v>
      </c>
    </row>
    <row r="9390" spans="26:26" x14ac:dyDescent="0.25">
      <c r="Z9390">
        <v>399999.99997358269</v>
      </c>
    </row>
    <row r="9391" spans="26:26" x14ac:dyDescent="0.25">
      <c r="Z9391">
        <v>399999.99997364858</v>
      </c>
    </row>
    <row r="9392" spans="26:26" x14ac:dyDescent="0.25">
      <c r="Z9392">
        <v>399999.99997371429</v>
      </c>
    </row>
    <row r="9393" spans="26:26" x14ac:dyDescent="0.25">
      <c r="Z9393">
        <v>399999.99997377984</v>
      </c>
    </row>
    <row r="9394" spans="26:26" x14ac:dyDescent="0.25">
      <c r="Z9394">
        <v>399999.99997384526</v>
      </c>
    </row>
    <row r="9395" spans="26:26" x14ac:dyDescent="0.25">
      <c r="Z9395">
        <v>399999.99997391045</v>
      </c>
    </row>
    <row r="9396" spans="26:26" x14ac:dyDescent="0.25">
      <c r="Z9396">
        <v>399999.99997397553</v>
      </c>
    </row>
    <row r="9397" spans="26:26" x14ac:dyDescent="0.25">
      <c r="Z9397">
        <v>399999.99997404043</v>
      </c>
    </row>
    <row r="9398" spans="26:26" x14ac:dyDescent="0.25">
      <c r="Z9398">
        <v>399999.99997410516</v>
      </c>
    </row>
    <row r="9399" spans="26:26" x14ac:dyDescent="0.25">
      <c r="Z9399">
        <v>399999.99997416971</v>
      </c>
    </row>
    <row r="9400" spans="26:26" x14ac:dyDescent="0.25">
      <c r="Z9400">
        <v>399999.99997423409</v>
      </c>
    </row>
    <row r="9401" spans="26:26" x14ac:dyDescent="0.25">
      <c r="Z9401">
        <v>399999.99997429835</v>
      </c>
    </row>
    <row r="9402" spans="26:26" x14ac:dyDescent="0.25">
      <c r="Z9402">
        <v>399999.99997436249</v>
      </c>
    </row>
    <row r="9403" spans="26:26" x14ac:dyDescent="0.25">
      <c r="Z9403">
        <v>399999.99997442641</v>
      </c>
    </row>
    <row r="9404" spans="26:26" x14ac:dyDescent="0.25">
      <c r="Z9404">
        <v>399999.99997449014</v>
      </c>
    </row>
    <row r="9405" spans="26:26" x14ac:dyDescent="0.25">
      <c r="Z9405">
        <v>399999.99997455382</v>
      </c>
    </row>
    <row r="9406" spans="26:26" x14ac:dyDescent="0.25">
      <c r="Z9406">
        <v>399999.99997461727</v>
      </c>
    </row>
    <row r="9407" spans="26:26" x14ac:dyDescent="0.25">
      <c r="Z9407">
        <v>399999.99997468054</v>
      </c>
    </row>
    <row r="9408" spans="26:26" x14ac:dyDescent="0.25">
      <c r="Z9408">
        <v>399999.9999747437</v>
      </c>
    </row>
    <row r="9409" spans="26:26" x14ac:dyDescent="0.25">
      <c r="Z9409">
        <v>399999.99997480668</v>
      </c>
    </row>
    <row r="9410" spans="26:26" x14ac:dyDescent="0.25">
      <c r="Z9410">
        <v>399999.99997486954</v>
      </c>
    </row>
    <row r="9411" spans="26:26" x14ac:dyDescent="0.25">
      <c r="Z9411">
        <v>399999.99997493217</v>
      </c>
    </row>
    <row r="9412" spans="26:26" x14ac:dyDescent="0.25">
      <c r="Z9412">
        <v>399999.99997499469</v>
      </c>
    </row>
    <row r="9413" spans="26:26" x14ac:dyDescent="0.25">
      <c r="Z9413">
        <v>399999.99997505703</v>
      </c>
    </row>
    <row r="9414" spans="26:26" x14ac:dyDescent="0.25">
      <c r="Z9414">
        <v>399999.99997511925</v>
      </c>
    </row>
    <row r="9415" spans="26:26" x14ac:dyDescent="0.25">
      <c r="Z9415">
        <v>399999.9999751813</v>
      </c>
    </row>
    <row r="9416" spans="26:26" x14ac:dyDescent="0.25">
      <c r="Z9416">
        <v>399999.99997524318</v>
      </c>
    </row>
    <row r="9417" spans="26:26" x14ac:dyDescent="0.25">
      <c r="Z9417">
        <v>399999.99997530493</v>
      </c>
    </row>
    <row r="9418" spans="26:26" x14ac:dyDescent="0.25">
      <c r="Z9418">
        <v>399999.99997536652</v>
      </c>
    </row>
    <row r="9419" spans="26:26" x14ac:dyDescent="0.25">
      <c r="Z9419">
        <v>399999.99997542793</v>
      </c>
    </row>
    <row r="9420" spans="26:26" x14ac:dyDescent="0.25">
      <c r="Z9420">
        <v>399999.99997548922</v>
      </c>
    </row>
    <row r="9421" spans="26:26" x14ac:dyDescent="0.25">
      <c r="Z9421">
        <v>399999.99997555034</v>
      </c>
    </row>
    <row r="9422" spans="26:26" x14ac:dyDescent="0.25">
      <c r="Z9422">
        <v>399999.99997561134</v>
      </c>
    </row>
    <row r="9423" spans="26:26" x14ac:dyDescent="0.25">
      <c r="Z9423">
        <v>399999.99997567211</v>
      </c>
    </row>
    <row r="9424" spans="26:26" x14ac:dyDescent="0.25">
      <c r="Z9424">
        <v>399999.99997573282</v>
      </c>
    </row>
    <row r="9425" spans="26:26" x14ac:dyDescent="0.25">
      <c r="Z9425">
        <v>399999.9999757933</v>
      </c>
    </row>
    <row r="9426" spans="26:26" x14ac:dyDescent="0.25">
      <c r="Z9426">
        <v>399999.99997585372</v>
      </c>
    </row>
    <row r="9427" spans="26:26" x14ac:dyDescent="0.25">
      <c r="Z9427">
        <v>399999.9999759139</v>
      </c>
    </row>
    <row r="9428" spans="26:26" x14ac:dyDescent="0.25">
      <c r="Z9428">
        <v>399999.99997597397</v>
      </c>
    </row>
    <row r="9429" spans="26:26" x14ac:dyDescent="0.25">
      <c r="Z9429">
        <v>399999.99997603387</v>
      </c>
    </row>
    <row r="9430" spans="26:26" x14ac:dyDescent="0.25">
      <c r="Z9430">
        <v>399999.99997609365</v>
      </c>
    </row>
    <row r="9431" spans="26:26" x14ac:dyDescent="0.25">
      <c r="Z9431">
        <v>399999.99997615319</v>
      </c>
    </row>
    <row r="9432" spans="26:26" x14ac:dyDescent="0.25">
      <c r="Z9432">
        <v>399999.99997621274</v>
      </c>
    </row>
    <row r="9433" spans="26:26" x14ac:dyDescent="0.25">
      <c r="Z9433">
        <v>399999.99997627205</v>
      </c>
    </row>
    <row r="9434" spans="26:26" x14ac:dyDescent="0.25">
      <c r="Z9434">
        <v>399999.99997633125</v>
      </c>
    </row>
    <row r="9435" spans="26:26" x14ac:dyDescent="0.25">
      <c r="Z9435">
        <v>399999.99997639022</v>
      </c>
    </row>
    <row r="9436" spans="26:26" x14ac:dyDescent="0.25">
      <c r="Z9436">
        <v>399999.99997644912</v>
      </c>
    </row>
    <row r="9437" spans="26:26" x14ac:dyDescent="0.25">
      <c r="Z9437">
        <v>399999.99997650785</v>
      </c>
    </row>
    <row r="9438" spans="26:26" x14ac:dyDescent="0.25">
      <c r="Z9438">
        <v>399999.99997656641</v>
      </c>
    </row>
    <row r="9439" spans="26:26" x14ac:dyDescent="0.25">
      <c r="Z9439">
        <v>399999.99997662491</v>
      </c>
    </row>
    <row r="9440" spans="26:26" x14ac:dyDescent="0.25">
      <c r="Z9440">
        <v>399999.99997668318</v>
      </c>
    </row>
    <row r="9441" spans="26:26" x14ac:dyDescent="0.25">
      <c r="Z9441">
        <v>399999.99997674132</v>
      </c>
    </row>
    <row r="9442" spans="26:26" x14ac:dyDescent="0.25">
      <c r="Z9442">
        <v>399999.9999767993</v>
      </c>
    </row>
    <row r="9443" spans="26:26" x14ac:dyDescent="0.25">
      <c r="Z9443">
        <v>399999.99997685716</v>
      </c>
    </row>
    <row r="9444" spans="26:26" x14ac:dyDescent="0.25">
      <c r="Z9444">
        <v>399999.9999769149</v>
      </c>
    </row>
    <row r="9445" spans="26:26" x14ac:dyDescent="0.25">
      <c r="Z9445">
        <v>399999.99997697247</v>
      </c>
    </row>
    <row r="9446" spans="26:26" x14ac:dyDescent="0.25">
      <c r="Z9446">
        <v>399999.99997702986</v>
      </c>
    </row>
    <row r="9447" spans="26:26" x14ac:dyDescent="0.25">
      <c r="Z9447">
        <v>399999.99997708719</v>
      </c>
    </row>
    <row r="9448" spans="26:26" x14ac:dyDescent="0.25">
      <c r="Z9448">
        <v>399999.9999771443</v>
      </c>
    </row>
    <row r="9449" spans="26:26" x14ac:dyDescent="0.25">
      <c r="Z9449">
        <v>399999.99997720128</v>
      </c>
    </row>
    <row r="9450" spans="26:26" x14ac:dyDescent="0.25">
      <c r="Z9450">
        <v>399999.99997725815</v>
      </c>
    </row>
    <row r="9451" spans="26:26" x14ac:dyDescent="0.25">
      <c r="Z9451">
        <v>399999.99997731484</v>
      </c>
    </row>
    <row r="9452" spans="26:26" x14ac:dyDescent="0.25">
      <c r="Z9452">
        <v>399999.99997737142</v>
      </c>
    </row>
    <row r="9453" spans="26:26" x14ac:dyDescent="0.25">
      <c r="Z9453">
        <v>399999.99997742788</v>
      </c>
    </row>
    <row r="9454" spans="26:26" x14ac:dyDescent="0.25">
      <c r="Z9454">
        <v>399999.99997748417</v>
      </c>
    </row>
    <row r="9455" spans="26:26" x14ac:dyDescent="0.25">
      <c r="Z9455">
        <v>399999.99997754028</v>
      </c>
    </row>
    <row r="9456" spans="26:26" x14ac:dyDescent="0.25">
      <c r="Z9456">
        <v>399999.99997759634</v>
      </c>
    </row>
    <row r="9457" spans="26:26" x14ac:dyDescent="0.25">
      <c r="Z9457">
        <v>399999.99997765216</v>
      </c>
    </row>
    <row r="9458" spans="26:26" x14ac:dyDescent="0.25">
      <c r="Z9458">
        <v>399999.99997770792</v>
      </c>
    </row>
    <row r="9459" spans="26:26" x14ac:dyDescent="0.25">
      <c r="Z9459">
        <v>399999.99997776351</v>
      </c>
    </row>
    <row r="9460" spans="26:26" x14ac:dyDescent="0.25">
      <c r="Z9460">
        <v>399999.99997781898</v>
      </c>
    </row>
    <row r="9461" spans="26:26" x14ac:dyDescent="0.25">
      <c r="Z9461">
        <v>399999.99997787428</v>
      </c>
    </row>
    <row r="9462" spans="26:26" x14ac:dyDescent="0.25">
      <c r="Z9462">
        <v>399999.99997792946</v>
      </c>
    </row>
    <row r="9463" spans="26:26" x14ac:dyDescent="0.25">
      <c r="Z9463">
        <v>399999.99997798447</v>
      </c>
    </row>
    <row r="9464" spans="26:26" x14ac:dyDescent="0.25">
      <c r="Z9464">
        <v>399999.99997803936</v>
      </c>
    </row>
    <row r="9465" spans="26:26" x14ac:dyDescent="0.25">
      <c r="Z9465">
        <v>399999.99997809413</v>
      </c>
    </row>
    <row r="9466" spans="26:26" x14ac:dyDescent="0.25">
      <c r="Z9466">
        <v>399999.99997814879</v>
      </c>
    </row>
    <row r="9467" spans="26:26" x14ac:dyDescent="0.25">
      <c r="Z9467">
        <v>399999.99997820333</v>
      </c>
    </row>
    <row r="9468" spans="26:26" x14ac:dyDescent="0.25">
      <c r="Z9468">
        <v>399999.99997825763</v>
      </c>
    </row>
    <row r="9469" spans="26:26" x14ac:dyDescent="0.25">
      <c r="Z9469">
        <v>399999.99997831188</v>
      </c>
    </row>
    <row r="9470" spans="26:26" x14ac:dyDescent="0.25">
      <c r="Z9470">
        <v>399999.99997836596</v>
      </c>
    </row>
    <row r="9471" spans="26:26" x14ac:dyDescent="0.25">
      <c r="Z9471">
        <v>399999.99997841986</v>
      </c>
    </row>
    <row r="9472" spans="26:26" x14ac:dyDescent="0.25">
      <c r="Z9472">
        <v>399999.9999784737</v>
      </c>
    </row>
    <row r="9473" spans="26:26" x14ac:dyDescent="0.25">
      <c r="Z9473">
        <v>399999.99997852737</v>
      </c>
    </row>
    <row r="9474" spans="26:26" x14ac:dyDescent="0.25">
      <c r="Z9474">
        <v>399999.99997858092</v>
      </c>
    </row>
    <row r="9475" spans="26:26" x14ac:dyDescent="0.25">
      <c r="Z9475">
        <v>399999.9999786343</v>
      </c>
    </row>
    <row r="9476" spans="26:26" x14ac:dyDescent="0.25">
      <c r="Z9476">
        <v>399999.99997868761</v>
      </c>
    </row>
    <row r="9477" spans="26:26" x14ac:dyDescent="0.25">
      <c r="Z9477">
        <v>399999.99997874076</v>
      </c>
    </row>
    <row r="9478" spans="26:26" x14ac:dyDescent="0.25">
      <c r="Z9478">
        <v>399999.99997879378</v>
      </c>
    </row>
    <row r="9479" spans="26:26" x14ac:dyDescent="0.25">
      <c r="Z9479">
        <v>399999.9999788467</v>
      </c>
    </row>
    <row r="9480" spans="26:26" x14ac:dyDescent="0.25">
      <c r="Z9480">
        <v>399999.99997889937</v>
      </c>
    </row>
    <row r="9481" spans="26:26" x14ac:dyDescent="0.25">
      <c r="Z9481">
        <v>399999.99997895199</v>
      </c>
    </row>
    <row r="9482" spans="26:26" x14ac:dyDescent="0.25">
      <c r="Z9482">
        <v>399999.99997900455</v>
      </c>
    </row>
    <row r="9483" spans="26:26" x14ac:dyDescent="0.25">
      <c r="Z9483">
        <v>399999.99997905688</v>
      </c>
    </row>
    <row r="9484" spans="26:26" x14ac:dyDescent="0.25">
      <c r="Z9484">
        <v>399999.9999791091</v>
      </c>
    </row>
    <row r="9485" spans="26:26" x14ac:dyDescent="0.25">
      <c r="Z9485">
        <v>399999.99997916119</v>
      </c>
    </row>
    <row r="9486" spans="26:26" x14ac:dyDescent="0.25">
      <c r="Z9486">
        <v>399999.99997921323</v>
      </c>
    </row>
    <row r="9487" spans="26:26" x14ac:dyDescent="0.25">
      <c r="Z9487">
        <v>399999.99997926503</v>
      </c>
    </row>
    <row r="9488" spans="26:26" x14ac:dyDescent="0.25">
      <c r="Z9488">
        <v>399999.99997931672</v>
      </c>
    </row>
    <row r="9489" spans="26:26" x14ac:dyDescent="0.25">
      <c r="Z9489">
        <v>399999.99997936835</v>
      </c>
    </row>
    <row r="9490" spans="26:26" x14ac:dyDescent="0.25">
      <c r="Z9490">
        <v>399999.99997941975</v>
      </c>
    </row>
    <row r="9491" spans="26:26" x14ac:dyDescent="0.25">
      <c r="Z9491">
        <v>399999.99997947103</v>
      </c>
    </row>
    <row r="9492" spans="26:26" x14ac:dyDescent="0.25">
      <c r="Z9492">
        <v>399999.99997952225</v>
      </c>
    </row>
    <row r="9493" spans="26:26" x14ac:dyDescent="0.25">
      <c r="Z9493">
        <v>399999.99997957336</v>
      </c>
    </row>
    <row r="9494" spans="26:26" x14ac:dyDescent="0.25">
      <c r="Z9494">
        <v>399999.99997962429</v>
      </c>
    </row>
    <row r="9495" spans="26:26" x14ac:dyDescent="0.25">
      <c r="Z9495">
        <v>399999.99997967511</v>
      </c>
    </row>
    <row r="9496" spans="26:26" x14ac:dyDescent="0.25">
      <c r="Z9496">
        <v>399999.99997972575</v>
      </c>
    </row>
    <row r="9497" spans="26:26" x14ac:dyDescent="0.25">
      <c r="Z9497">
        <v>399999.99997977633</v>
      </c>
    </row>
    <row r="9498" spans="26:26" x14ac:dyDescent="0.25">
      <c r="Z9498">
        <v>399999.99997982674</v>
      </c>
    </row>
    <row r="9499" spans="26:26" x14ac:dyDescent="0.25">
      <c r="Z9499">
        <v>399999.99997987703</v>
      </c>
    </row>
    <row r="9500" spans="26:26" x14ac:dyDescent="0.25">
      <c r="Z9500">
        <v>399999.99997992726</v>
      </c>
    </row>
    <row r="9501" spans="26:26" x14ac:dyDescent="0.25">
      <c r="Z9501">
        <v>399999.99997997726</v>
      </c>
    </row>
    <row r="9502" spans="26:26" x14ac:dyDescent="0.25">
      <c r="Z9502">
        <v>399999.99998002726</v>
      </c>
    </row>
    <row r="9503" spans="26:26" x14ac:dyDescent="0.25">
      <c r="Z9503">
        <v>399999.99998007703</v>
      </c>
    </row>
    <row r="9504" spans="26:26" x14ac:dyDescent="0.25">
      <c r="Z9504">
        <v>399999.99998012674</v>
      </c>
    </row>
    <row r="9505" spans="26:26" x14ac:dyDescent="0.25">
      <c r="Z9505">
        <v>399999.99998017628</v>
      </c>
    </row>
    <row r="9506" spans="26:26" x14ac:dyDescent="0.25">
      <c r="Z9506">
        <v>399999.99998022569</v>
      </c>
    </row>
    <row r="9507" spans="26:26" x14ac:dyDescent="0.25">
      <c r="Z9507">
        <v>399999.99998027505</v>
      </c>
    </row>
    <row r="9508" spans="26:26" x14ac:dyDescent="0.25">
      <c r="Z9508">
        <v>399999.99998032424</v>
      </c>
    </row>
    <row r="9509" spans="26:26" x14ac:dyDescent="0.25">
      <c r="Z9509">
        <v>399999.99998037325</v>
      </c>
    </row>
    <row r="9510" spans="26:26" x14ac:dyDescent="0.25">
      <c r="Z9510">
        <v>399999.9999804222</v>
      </c>
    </row>
    <row r="9511" spans="26:26" x14ac:dyDescent="0.25">
      <c r="Z9511">
        <v>399999.9999804711</v>
      </c>
    </row>
    <row r="9512" spans="26:26" x14ac:dyDescent="0.25">
      <c r="Z9512">
        <v>399999.99998051976</v>
      </c>
    </row>
    <row r="9513" spans="26:26" x14ac:dyDescent="0.25">
      <c r="Z9513">
        <v>399999.9999805683</v>
      </c>
    </row>
    <row r="9514" spans="26:26" x14ac:dyDescent="0.25">
      <c r="Z9514">
        <v>399999.99998061679</v>
      </c>
    </row>
    <row r="9515" spans="26:26" x14ac:dyDescent="0.25">
      <c r="Z9515">
        <v>399999.99998066516</v>
      </c>
    </row>
    <row r="9516" spans="26:26" x14ac:dyDescent="0.25">
      <c r="Z9516">
        <v>399999.99998071336</v>
      </c>
    </row>
    <row r="9517" spans="26:26" x14ac:dyDescent="0.25">
      <c r="Z9517">
        <v>399999.99998076144</v>
      </c>
    </row>
    <row r="9518" spans="26:26" x14ac:dyDescent="0.25">
      <c r="Z9518">
        <v>399999.9999808094</v>
      </c>
    </row>
    <row r="9519" spans="26:26" x14ac:dyDescent="0.25">
      <c r="Z9519">
        <v>399999.9999808573</v>
      </c>
    </row>
    <row r="9520" spans="26:26" x14ac:dyDescent="0.25">
      <c r="Z9520">
        <v>399999.99998090504</v>
      </c>
    </row>
    <row r="9521" spans="26:26" x14ac:dyDescent="0.25">
      <c r="Z9521">
        <v>399999.99998095265</v>
      </c>
    </row>
    <row r="9522" spans="26:26" x14ac:dyDescent="0.25">
      <c r="Z9522">
        <v>399999.99998100009</v>
      </c>
    </row>
    <row r="9523" spans="26:26" x14ac:dyDescent="0.25">
      <c r="Z9523">
        <v>399999.99998104747</v>
      </c>
    </row>
    <row r="9524" spans="26:26" x14ac:dyDescent="0.25">
      <c r="Z9524">
        <v>399999.99998109485</v>
      </c>
    </row>
    <row r="9525" spans="26:26" x14ac:dyDescent="0.25">
      <c r="Z9525">
        <v>399999.99998114194</v>
      </c>
    </row>
    <row r="9526" spans="26:26" x14ac:dyDescent="0.25">
      <c r="Z9526">
        <v>399999.99998118897</v>
      </c>
    </row>
    <row r="9527" spans="26:26" x14ac:dyDescent="0.25">
      <c r="Z9527">
        <v>399999.99998123589</v>
      </c>
    </row>
    <row r="9528" spans="26:26" x14ac:dyDescent="0.25">
      <c r="Z9528">
        <v>399999.99998128263</v>
      </c>
    </row>
    <row r="9529" spans="26:26" x14ac:dyDescent="0.25">
      <c r="Z9529">
        <v>399999.99998132931</v>
      </c>
    </row>
    <row r="9530" spans="26:26" x14ac:dyDescent="0.25">
      <c r="Z9530">
        <v>399999.99998137588</v>
      </c>
    </row>
    <row r="9531" spans="26:26" x14ac:dyDescent="0.25">
      <c r="Z9531">
        <v>399999.99998142238</v>
      </c>
    </row>
    <row r="9532" spans="26:26" x14ac:dyDescent="0.25">
      <c r="Z9532">
        <v>399999.99998146866</v>
      </c>
    </row>
    <row r="9533" spans="26:26" x14ac:dyDescent="0.25">
      <c r="Z9533">
        <v>399999.99998151488</v>
      </c>
    </row>
    <row r="9534" spans="26:26" x14ac:dyDescent="0.25">
      <c r="Z9534">
        <v>399999.99998156092</v>
      </c>
    </row>
    <row r="9535" spans="26:26" x14ac:dyDescent="0.25">
      <c r="Z9535">
        <v>399999.99998160696</v>
      </c>
    </row>
    <row r="9536" spans="26:26" x14ac:dyDescent="0.25">
      <c r="Z9536">
        <v>399999.99998165283</v>
      </c>
    </row>
    <row r="9537" spans="26:26" x14ac:dyDescent="0.25">
      <c r="Z9537">
        <v>399999.99998169858</v>
      </c>
    </row>
    <row r="9538" spans="26:26" x14ac:dyDescent="0.25">
      <c r="Z9538">
        <v>399999.99998174427</v>
      </c>
    </row>
    <row r="9539" spans="26:26" x14ac:dyDescent="0.25">
      <c r="Z9539">
        <v>399999.99998178979</v>
      </c>
    </row>
    <row r="9540" spans="26:26" x14ac:dyDescent="0.25">
      <c r="Z9540">
        <v>399999.99998183514</v>
      </c>
    </row>
    <row r="9541" spans="26:26" x14ac:dyDescent="0.25">
      <c r="Z9541">
        <v>399999.99998188048</v>
      </c>
    </row>
    <row r="9542" spans="26:26" x14ac:dyDescent="0.25">
      <c r="Z9542">
        <v>399999.99998192565</v>
      </c>
    </row>
    <row r="9543" spans="26:26" x14ac:dyDescent="0.25">
      <c r="Z9543">
        <v>399999.9999819707</v>
      </c>
    </row>
    <row r="9544" spans="26:26" x14ac:dyDescent="0.25">
      <c r="Z9544">
        <v>399999.9999820157</v>
      </c>
    </row>
    <row r="9545" spans="26:26" x14ac:dyDescent="0.25">
      <c r="Z9545">
        <v>399999.99998206052</v>
      </c>
    </row>
    <row r="9546" spans="26:26" x14ac:dyDescent="0.25">
      <c r="Z9546">
        <v>399999.99998210528</v>
      </c>
    </row>
    <row r="9547" spans="26:26" x14ac:dyDescent="0.25">
      <c r="Z9547">
        <v>399999.99998214992</v>
      </c>
    </row>
    <row r="9548" spans="26:26" x14ac:dyDescent="0.25">
      <c r="Z9548">
        <v>399999.99998219439</v>
      </c>
    </row>
    <row r="9549" spans="26:26" x14ac:dyDescent="0.25">
      <c r="Z9549">
        <v>399999.99998223881</v>
      </c>
    </row>
    <row r="9550" spans="26:26" x14ac:dyDescent="0.25">
      <c r="Z9550">
        <v>399999.9999822831</v>
      </c>
    </row>
    <row r="9551" spans="26:26" x14ac:dyDescent="0.25">
      <c r="Z9551">
        <v>399999.99998232728</v>
      </c>
    </row>
    <row r="9552" spans="26:26" x14ac:dyDescent="0.25">
      <c r="Z9552">
        <v>399999.99998237134</v>
      </c>
    </row>
    <row r="9553" spans="26:26" x14ac:dyDescent="0.25">
      <c r="Z9553">
        <v>399999.99998241535</v>
      </c>
    </row>
    <row r="9554" spans="26:26" x14ac:dyDescent="0.25">
      <c r="Z9554">
        <v>399999.99998245918</v>
      </c>
    </row>
    <row r="9555" spans="26:26" x14ac:dyDescent="0.25">
      <c r="Z9555">
        <v>399999.99998250289</v>
      </c>
    </row>
    <row r="9556" spans="26:26" x14ac:dyDescent="0.25">
      <c r="Z9556">
        <v>399999.99998254649</v>
      </c>
    </row>
    <row r="9557" spans="26:26" x14ac:dyDescent="0.25">
      <c r="Z9557">
        <v>399999.99998259003</v>
      </c>
    </row>
    <row r="9558" spans="26:26" x14ac:dyDescent="0.25">
      <c r="Z9558">
        <v>399999.99998263345</v>
      </c>
    </row>
    <row r="9559" spans="26:26" x14ac:dyDescent="0.25">
      <c r="Z9559">
        <v>399999.99998267682</v>
      </c>
    </row>
    <row r="9560" spans="26:26" x14ac:dyDescent="0.25">
      <c r="Z9560">
        <v>399999.99998272001</v>
      </c>
    </row>
    <row r="9561" spans="26:26" x14ac:dyDescent="0.25">
      <c r="Z9561">
        <v>399999.99998276308</v>
      </c>
    </row>
    <row r="9562" spans="26:26" x14ac:dyDescent="0.25">
      <c r="Z9562">
        <v>399999.99998280604</v>
      </c>
    </row>
    <row r="9563" spans="26:26" x14ac:dyDescent="0.25">
      <c r="Z9563">
        <v>399999.999982849</v>
      </c>
    </row>
    <row r="9564" spans="26:26" x14ac:dyDescent="0.25">
      <c r="Z9564">
        <v>399999.99998289172</v>
      </c>
    </row>
    <row r="9565" spans="26:26" x14ac:dyDescent="0.25">
      <c r="Z9565">
        <v>399999.99998293439</v>
      </c>
    </row>
    <row r="9566" spans="26:26" x14ac:dyDescent="0.25">
      <c r="Z9566">
        <v>399999.99998297694</v>
      </c>
    </row>
    <row r="9567" spans="26:26" x14ac:dyDescent="0.25">
      <c r="Z9567">
        <v>399999.99998301943</v>
      </c>
    </row>
    <row r="9568" spans="26:26" x14ac:dyDescent="0.25">
      <c r="Z9568">
        <v>399999.99998306175</v>
      </c>
    </row>
    <row r="9569" spans="26:26" x14ac:dyDescent="0.25">
      <c r="Z9569">
        <v>399999.999983104</v>
      </c>
    </row>
    <row r="9570" spans="26:26" x14ac:dyDescent="0.25">
      <c r="Z9570">
        <v>399999.99998314609</v>
      </c>
    </row>
    <row r="9571" spans="26:26" x14ac:dyDescent="0.25">
      <c r="Z9571">
        <v>399999.99998318817</v>
      </c>
    </row>
    <row r="9572" spans="26:26" x14ac:dyDescent="0.25">
      <c r="Z9572">
        <v>399999.99998323008</v>
      </c>
    </row>
    <row r="9573" spans="26:26" x14ac:dyDescent="0.25">
      <c r="Z9573">
        <v>399999.99998327193</v>
      </c>
    </row>
    <row r="9574" spans="26:26" x14ac:dyDescent="0.25">
      <c r="Z9574">
        <v>399999.99998331361</v>
      </c>
    </row>
    <row r="9575" spans="26:26" x14ac:dyDescent="0.25">
      <c r="Z9575">
        <v>399999.99998335523</v>
      </c>
    </row>
    <row r="9576" spans="26:26" x14ac:dyDescent="0.25">
      <c r="Z9576">
        <v>399999.99998339673</v>
      </c>
    </row>
    <row r="9577" spans="26:26" x14ac:dyDescent="0.25">
      <c r="Z9577">
        <v>399999.99998343812</v>
      </c>
    </row>
    <row r="9578" spans="26:26" x14ac:dyDescent="0.25">
      <c r="Z9578">
        <v>399999.99998347944</v>
      </c>
    </row>
    <row r="9579" spans="26:26" x14ac:dyDescent="0.25">
      <c r="Z9579">
        <v>399999.99998352065</v>
      </c>
    </row>
    <row r="9580" spans="26:26" x14ac:dyDescent="0.25">
      <c r="Z9580">
        <v>399999.99998356175</v>
      </c>
    </row>
    <row r="9581" spans="26:26" x14ac:dyDescent="0.25">
      <c r="Z9581">
        <v>399999.99998360273</v>
      </c>
    </row>
    <row r="9582" spans="26:26" x14ac:dyDescent="0.25">
      <c r="Z9582">
        <v>399999.99998364359</v>
      </c>
    </row>
    <row r="9583" spans="26:26" x14ac:dyDescent="0.25">
      <c r="Z9583">
        <v>399999.99998368445</v>
      </c>
    </row>
    <row r="9584" spans="26:26" x14ac:dyDescent="0.25">
      <c r="Z9584">
        <v>399999.99998372508</v>
      </c>
    </row>
    <row r="9585" spans="26:26" x14ac:dyDescent="0.25">
      <c r="Z9585">
        <v>399999.99998376571</v>
      </c>
    </row>
    <row r="9586" spans="26:26" x14ac:dyDescent="0.25">
      <c r="Z9586">
        <v>399999.99998380616</v>
      </c>
    </row>
    <row r="9587" spans="26:26" x14ac:dyDescent="0.25">
      <c r="Z9587">
        <v>399999.99998384656</v>
      </c>
    </row>
    <row r="9588" spans="26:26" x14ac:dyDescent="0.25">
      <c r="Z9588">
        <v>399999.99998388684</v>
      </c>
    </row>
    <row r="9589" spans="26:26" x14ac:dyDescent="0.25">
      <c r="Z9589">
        <v>399999.99998392706</v>
      </c>
    </row>
    <row r="9590" spans="26:26" x14ac:dyDescent="0.25">
      <c r="Z9590">
        <v>399999.99998396711</v>
      </c>
    </row>
    <row r="9591" spans="26:26" x14ac:dyDescent="0.25">
      <c r="Z9591">
        <v>399999.9999840071</v>
      </c>
    </row>
    <row r="9592" spans="26:26" x14ac:dyDescent="0.25">
      <c r="Z9592">
        <v>399999.99998404697</v>
      </c>
    </row>
    <row r="9593" spans="26:26" x14ac:dyDescent="0.25">
      <c r="Z9593">
        <v>399999.99998408672</v>
      </c>
    </row>
    <row r="9594" spans="26:26" x14ac:dyDescent="0.25">
      <c r="Z9594">
        <v>399999.99998412642</v>
      </c>
    </row>
    <row r="9595" spans="26:26" x14ac:dyDescent="0.25">
      <c r="Z9595">
        <v>399999.999984166</v>
      </c>
    </row>
    <row r="9596" spans="26:26" x14ac:dyDescent="0.25">
      <c r="Z9596">
        <v>399999.99998420547</v>
      </c>
    </row>
    <row r="9597" spans="26:26" x14ac:dyDescent="0.25">
      <c r="Z9597">
        <v>399999.99998424487</v>
      </c>
    </row>
    <row r="9598" spans="26:26" x14ac:dyDescent="0.25">
      <c r="Z9598">
        <v>399999.99998428416</v>
      </c>
    </row>
    <row r="9599" spans="26:26" x14ac:dyDescent="0.25">
      <c r="Z9599">
        <v>399999.9999843234</v>
      </c>
    </row>
    <row r="9600" spans="26:26" x14ac:dyDescent="0.25">
      <c r="Z9600">
        <v>399999.99998436245</v>
      </c>
    </row>
    <row r="9601" spans="26:26" x14ac:dyDescent="0.25">
      <c r="Z9601">
        <v>399999.99998440145</v>
      </c>
    </row>
    <row r="9602" spans="26:26" x14ac:dyDescent="0.25">
      <c r="Z9602">
        <v>399999.99998444034</v>
      </c>
    </row>
    <row r="9603" spans="26:26" x14ac:dyDescent="0.25">
      <c r="Z9603">
        <v>399999.99998447916</v>
      </c>
    </row>
    <row r="9604" spans="26:26" x14ac:dyDescent="0.25">
      <c r="Z9604">
        <v>399999.99998451787</v>
      </c>
    </row>
    <row r="9605" spans="26:26" x14ac:dyDescent="0.25">
      <c r="Z9605">
        <v>399999.99998455652</v>
      </c>
    </row>
    <row r="9606" spans="26:26" x14ac:dyDescent="0.25">
      <c r="Z9606">
        <v>399999.99998459499</v>
      </c>
    </row>
    <row r="9607" spans="26:26" x14ac:dyDescent="0.25">
      <c r="Z9607">
        <v>399999.99998463341</v>
      </c>
    </row>
    <row r="9608" spans="26:26" x14ac:dyDescent="0.25">
      <c r="Z9608">
        <v>399999.99998467171</v>
      </c>
    </row>
    <row r="9609" spans="26:26" x14ac:dyDescent="0.25">
      <c r="Z9609">
        <v>399999.99998470995</v>
      </c>
    </row>
    <row r="9610" spans="26:26" x14ac:dyDescent="0.25">
      <c r="Z9610">
        <v>399999.99998474802</v>
      </c>
    </row>
    <row r="9611" spans="26:26" x14ac:dyDescent="0.25">
      <c r="Z9611">
        <v>399999.99998478609</v>
      </c>
    </row>
    <row r="9612" spans="26:26" x14ac:dyDescent="0.25">
      <c r="Z9612">
        <v>399999.99998482404</v>
      </c>
    </row>
    <row r="9613" spans="26:26" x14ac:dyDescent="0.25">
      <c r="Z9613">
        <v>399999.99998486188</v>
      </c>
    </row>
    <row r="9614" spans="26:26" x14ac:dyDescent="0.25">
      <c r="Z9614">
        <v>399999.99998489959</v>
      </c>
    </row>
    <row r="9615" spans="26:26" x14ac:dyDescent="0.25">
      <c r="Z9615">
        <v>399999.99998493731</v>
      </c>
    </row>
    <row r="9616" spans="26:26" x14ac:dyDescent="0.25">
      <c r="Z9616">
        <v>399999.99998497486</v>
      </c>
    </row>
    <row r="9617" spans="26:26" x14ac:dyDescent="0.25">
      <c r="Z9617">
        <v>399999.99998501234</v>
      </c>
    </row>
    <row r="9618" spans="26:26" x14ac:dyDescent="0.25">
      <c r="Z9618">
        <v>399999.99998504965</v>
      </c>
    </row>
    <row r="9619" spans="26:26" x14ac:dyDescent="0.25">
      <c r="Z9619">
        <v>399999.99998508702</v>
      </c>
    </row>
    <row r="9620" spans="26:26" x14ac:dyDescent="0.25">
      <c r="Z9620">
        <v>399999.99998512416</v>
      </c>
    </row>
    <row r="9621" spans="26:26" x14ac:dyDescent="0.25">
      <c r="Z9621">
        <v>399999.9999851613</v>
      </c>
    </row>
    <row r="9622" spans="26:26" x14ac:dyDescent="0.25">
      <c r="Z9622">
        <v>399999.99998519826</v>
      </c>
    </row>
    <row r="9623" spans="26:26" x14ac:dyDescent="0.25">
      <c r="Z9623">
        <v>399999.99998523516</v>
      </c>
    </row>
    <row r="9624" spans="26:26" x14ac:dyDescent="0.25">
      <c r="Z9624">
        <v>399999.99998527201</v>
      </c>
    </row>
    <row r="9625" spans="26:26" x14ac:dyDescent="0.25">
      <c r="Z9625">
        <v>399999.99998530874</v>
      </c>
    </row>
    <row r="9626" spans="26:26" x14ac:dyDescent="0.25">
      <c r="Z9626">
        <v>399999.99998534535</v>
      </c>
    </row>
    <row r="9627" spans="26:26" x14ac:dyDescent="0.25">
      <c r="Z9627">
        <v>399999.9999853819</v>
      </c>
    </row>
    <row r="9628" spans="26:26" x14ac:dyDescent="0.25">
      <c r="Z9628">
        <v>399999.9999854184</v>
      </c>
    </row>
    <row r="9629" spans="26:26" x14ac:dyDescent="0.25">
      <c r="Z9629">
        <v>399999.99998545472</v>
      </c>
    </row>
    <row r="9630" spans="26:26" x14ac:dyDescent="0.25">
      <c r="Z9630">
        <v>399999.99998549098</v>
      </c>
    </row>
    <row r="9631" spans="26:26" x14ac:dyDescent="0.25">
      <c r="Z9631">
        <v>399999.99998552719</v>
      </c>
    </row>
    <row r="9632" spans="26:26" x14ac:dyDescent="0.25">
      <c r="Z9632">
        <v>399999.99998556328</v>
      </c>
    </row>
    <row r="9633" spans="26:26" x14ac:dyDescent="0.25">
      <c r="Z9633">
        <v>399999.99998559931</v>
      </c>
    </row>
    <row r="9634" spans="26:26" x14ac:dyDescent="0.25">
      <c r="Z9634">
        <v>399999.99998563522</v>
      </c>
    </row>
    <row r="9635" spans="26:26" x14ac:dyDescent="0.25">
      <c r="Z9635">
        <v>399999.99998567102</v>
      </c>
    </row>
    <row r="9636" spans="26:26" x14ac:dyDescent="0.25">
      <c r="Z9636">
        <v>399999.99998570676</v>
      </c>
    </row>
    <row r="9637" spans="26:26" x14ac:dyDescent="0.25">
      <c r="Z9637">
        <v>399999.99998574244</v>
      </c>
    </row>
    <row r="9638" spans="26:26" x14ac:dyDescent="0.25">
      <c r="Z9638">
        <v>399999.99998577795</v>
      </c>
    </row>
    <row r="9639" spans="26:26" x14ac:dyDescent="0.25">
      <c r="Z9639">
        <v>399999.9999858134</v>
      </c>
    </row>
    <row r="9640" spans="26:26" x14ac:dyDescent="0.25">
      <c r="Z9640">
        <v>399999.99998584879</v>
      </c>
    </row>
    <row r="9641" spans="26:26" x14ac:dyDescent="0.25">
      <c r="Z9641">
        <v>399999.99998588406</v>
      </c>
    </row>
    <row r="9642" spans="26:26" x14ac:dyDescent="0.25">
      <c r="Z9642">
        <v>399999.99998591928</v>
      </c>
    </row>
    <row r="9643" spans="26:26" x14ac:dyDescent="0.25">
      <c r="Z9643">
        <v>399999.99998595438</v>
      </c>
    </row>
    <row r="9644" spans="26:26" x14ac:dyDescent="0.25">
      <c r="Z9644">
        <v>399999.99998598942</v>
      </c>
    </row>
    <row r="9645" spans="26:26" x14ac:dyDescent="0.25">
      <c r="Z9645">
        <v>399999.9999860244</v>
      </c>
    </row>
    <row r="9646" spans="26:26" x14ac:dyDescent="0.25">
      <c r="Z9646">
        <v>399999.99998605921</v>
      </c>
    </row>
    <row r="9647" spans="26:26" x14ac:dyDescent="0.25">
      <c r="Z9647">
        <v>399999.99998609402</v>
      </c>
    </row>
    <row r="9648" spans="26:26" x14ac:dyDescent="0.25">
      <c r="Z9648">
        <v>399999.99998612865</v>
      </c>
    </row>
    <row r="9649" spans="26:26" x14ac:dyDescent="0.25">
      <c r="Z9649">
        <v>399999.99998616328</v>
      </c>
    </row>
    <row r="9650" spans="26:26" x14ac:dyDescent="0.25">
      <c r="Z9650">
        <v>399999.99998619774</v>
      </c>
    </row>
    <row r="9651" spans="26:26" x14ac:dyDescent="0.25">
      <c r="Z9651">
        <v>399999.99998623214</v>
      </c>
    </row>
    <row r="9652" spans="26:26" x14ac:dyDescent="0.25">
      <c r="Z9652">
        <v>399999.99998626654</v>
      </c>
    </row>
    <row r="9653" spans="26:26" x14ac:dyDescent="0.25">
      <c r="Z9653">
        <v>399999.99998630077</v>
      </c>
    </row>
    <row r="9654" spans="26:26" x14ac:dyDescent="0.25">
      <c r="Z9654">
        <v>399999.99998633494</v>
      </c>
    </row>
    <row r="9655" spans="26:26" x14ac:dyDescent="0.25">
      <c r="Z9655">
        <v>399999.99998636899</v>
      </c>
    </row>
    <row r="9656" spans="26:26" x14ac:dyDescent="0.25">
      <c r="Z9656">
        <v>399999.99998640298</v>
      </c>
    </row>
    <row r="9657" spans="26:26" x14ac:dyDescent="0.25">
      <c r="Z9657">
        <v>399999.99998643686</v>
      </c>
    </row>
    <row r="9658" spans="26:26" x14ac:dyDescent="0.25">
      <c r="Z9658">
        <v>399999.99998647074</v>
      </c>
    </row>
    <row r="9659" spans="26:26" x14ac:dyDescent="0.25">
      <c r="Z9659">
        <v>399999.99998650444</v>
      </c>
    </row>
    <row r="9660" spans="26:26" x14ac:dyDescent="0.25">
      <c r="Z9660">
        <v>399999.99998653814</v>
      </c>
    </row>
    <row r="9661" spans="26:26" x14ac:dyDescent="0.25">
      <c r="Z9661">
        <v>399999.99998657173</v>
      </c>
    </row>
    <row r="9662" spans="26:26" x14ac:dyDescent="0.25">
      <c r="Z9662">
        <v>399999.99998660519</v>
      </c>
    </row>
    <row r="9663" spans="26:26" x14ac:dyDescent="0.25">
      <c r="Z9663">
        <v>399999.99998663861</v>
      </c>
    </row>
    <row r="9664" spans="26:26" x14ac:dyDescent="0.25">
      <c r="Z9664">
        <v>399999.9999866719</v>
      </c>
    </row>
    <row r="9665" spans="26:26" x14ac:dyDescent="0.25">
      <c r="Z9665">
        <v>399999.9999867052</v>
      </c>
    </row>
    <row r="9666" spans="26:26" x14ac:dyDescent="0.25">
      <c r="Z9666">
        <v>399999.99998673826</v>
      </c>
    </row>
    <row r="9667" spans="26:26" x14ac:dyDescent="0.25">
      <c r="Z9667">
        <v>399999.99998677138</v>
      </c>
    </row>
    <row r="9668" spans="26:26" x14ac:dyDescent="0.25">
      <c r="Z9668">
        <v>399999.99998680438</v>
      </c>
    </row>
    <row r="9669" spans="26:26" x14ac:dyDescent="0.25">
      <c r="Z9669">
        <v>399999.99998683727</v>
      </c>
    </row>
    <row r="9670" spans="26:26" x14ac:dyDescent="0.25">
      <c r="Z9670">
        <v>399999.9999868701</v>
      </c>
    </row>
    <row r="9671" spans="26:26" x14ac:dyDescent="0.25">
      <c r="Z9671">
        <v>399999.99998690281</v>
      </c>
    </row>
    <row r="9672" spans="26:26" x14ac:dyDescent="0.25">
      <c r="Z9672">
        <v>399999.99998693552</v>
      </c>
    </row>
    <row r="9673" spans="26:26" x14ac:dyDescent="0.25">
      <c r="Z9673">
        <v>399999.99998696806</v>
      </c>
    </row>
    <row r="9674" spans="26:26" x14ac:dyDescent="0.25">
      <c r="Z9674">
        <v>399999.9999870006</v>
      </c>
    </row>
    <row r="9675" spans="26:26" x14ac:dyDescent="0.25">
      <c r="Z9675">
        <v>399999.99998703302</v>
      </c>
    </row>
    <row r="9676" spans="26:26" x14ac:dyDescent="0.25">
      <c r="Z9676">
        <v>399999.99998706527</v>
      </c>
    </row>
    <row r="9677" spans="26:26" x14ac:dyDescent="0.25">
      <c r="Z9677">
        <v>399999.99998709752</v>
      </c>
    </row>
    <row r="9678" spans="26:26" x14ac:dyDescent="0.25">
      <c r="Z9678">
        <v>399999.9999871297</v>
      </c>
    </row>
    <row r="9679" spans="26:26" x14ac:dyDescent="0.25">
      <c r="Z9679">
        <v>399999.99998716189</v>
      </c>
    </row>
    <row r="9680" spans="26:26" x14ac:dyDescent="0.25">
      <c r="Z9680">
        <v>399999.99998719391</v>
      </c>
    </row>
    <row r="9681" spans="26:26" x14ac:dyDescent="0.25">
      <c r="Z9681">
        <v>399999.9999872258</v>
      </c>
    </row>
    <row r="9682" spans="26:26" x14ac:dyDescent="0.25">
      <c r="Z9682">
        <v>399999.99998725764</v>
      </c>
    </row>
    <row r="9683" spans="26:26" x14ac:dyDescent="0.25">
      <c r="Z9683">
        <v>399999.99998728943</v>
      </c>
    </row>
    <row r="9684" spans="26:26" x14ac:dyDescent="0.25">
      <c r="Z9684">
        <v>399999.99998732109</v>
      </c>
    </row>
    <row r="9685" spans="26:26" x14ac:dyDescent="0.25">
      <c r="Z9685">
        <v>399999.99998735276</v>
      </c>
    </row>
    <row r="9686" spans="26:26" x14ac:dyDescent="0.25">
      <c r="Z9686">
        <v>399999.9999873843</v>
      </c>
    </row>
    <row r="9687" spans="26:26" x14ac:dyDescent="0.25">
      <c r="Z9687">
        <v>399999.99998741579</v>
      </c>
    </row>
    <row r="9688" spans="26:26" x14ac:dyDescent="0.25">
      <c r="Z9688">
        <v>399999.99998744717</v>
      </c>
    </row>
    <row r="9689" spans="26:26" x14ac:dyDescent="0.25">
      <c r="Z9689">
        <v>399999.99998747843</v>
      </c>
    </row>
    <row r="9690" spans="26:26" x14ac:dyDescent="0.25">
      <c r="Z9690">
        <v>399999.99998750968</v>
      </c>
    </row>
    <row r="9691" spans="26:26" x14ac:dyDescent="0.25">
      <c r="Z9691">
        <v>399999.99998754082</v>
      </c>
    </row>
    <row r="9692" spans="26:26" x14ac:dyDescent="0.25">
      <c r="Z9692">
        <v>399999.99998757191</v>
      </c>
    </row>
    <row r="9693" spans="26:26" x14ac:dyDescent="0.25">
      <c r="Z9693">
        <v>399999.99998760287</v>
      </c>
    </row>
    <row r="9694" spans="26:26" x14ac:dyDescent="0.25">
      <c r="Z9694">
        <v>399999.99998763378</v>
      </c>
    </row>
    <row r="9695" spans="26:26" x14ac:dyDescent="0.25">
      <c r="Z9695">
        <v>399999.99998766463</v>
      </c>
    </row>
    <row r="9696" spans="26:26" x14ac:dyDescent="0.25">
      <c r="Z9696">
        <v>399999.99998769537</v>
      </c>
    </row>
    <row r="9697" spans="26:26" x14ac:dyDescent="0.25">
      <c r="Z9697">
        <v>399999.9999877261</v>
      </c>
    </row>
    <row r="9698" spans="26:26" x14ac:dyDescent="0.25">
      <c r="Z9698">
        <v>399999.99998775672</v>
      </c>
    </row>
    <row r="9699" spans="26:26" x14ac:dyDescent="0.25">
      <c r="Z9699">
        <v>399999.99998778722</v>
      </c>
    </row>
    <row r="9700" spans="26:26" x14ac:dyDescent="0.25">
      <c r="Z9700">
        <v>399999.9999878176</v>
      </c>
    </row>
    <row r="9701" spans="26:26" x14ac:dyDescent="0.25">
      <c r="Z9701">
        <v>399999.99998784799</v>
      </c>
    </row>
    <row r="9702" spans="26:26" x14ac:dyDescent="0.25">
      <c r="Z9702">
        <v>399999.99998787831</v>
      </c>
    </row>
    <row r="9703" spans="26:26" x14ac:dyDescent="0.25">
      <c r="Z9703">
        <v>399999.99998790858</v>
      </c>
    </row>
    <row r="9704" spans="26:26" x14ac:dyDescent="0.25">
      <c r="Z9704">
        <v>399999.99998793879</v>
      </c>
    </row>
    <row r="9705" spans="26:26" x14ac:dyDescent="0.25">
      <c r="Z9705">
        <v>399999.99998796883</v>
      </c>
    </row>
    <row r="9706" spans="26:26" x14ac:dyDescent="0.25">
      <c r="Z9706">
        <v>399999.9999879988</v>
      </c>
    </row>
    <row r="9707" spans="26:26" x14ac:dyDescent="0.25">
      <c r="Z9707">
        <v>399999.99998802872</v>
      </c>
    </row>
    <row r="9708" spans="26:26" x14ac:dyDescent="0.25">
      <c r="Z9708">
        <v>399999.99998805858</v>
      </c>
    </row>
    <row r="9709" spans="26:26" x14ac:dyDescent="0.25">
      <c r="Z9709">
        <v>399999.99998808838</v>
      </c>
    </row>
    <row r="9710" spans="26:26" x14ac:dyDescent="0.25">
      <c r="Z9710">
        <v>399999.99998811807</v>
      </c>
    </row>
    <row r="9711" spans="26:26" x14ac:dyDescent="0.25">
      <c r="Z9711">
        <v>399999.9999881477</v>
      </c>
    </row>
    <row r="9712" spans="26:26" x14ac:dyDescent="0.25">
      <c r="Z9712">
        <v>399999.99998817727</v>
      </c>
    </row>
    <row r="9713" spans="26:26" x14ac:dyDescent="0.25">
      <c r="Z9713">
        <v>399999.99998820678</v>
      </c>
    </row>
    <row r="9714" spans="26:26" x14ac:dyDescent="0.25">
      <c r="Z9714">
        <v>399999.99998823617</v>
      </c>
    </row>
    <row r="9715" spans="26:26" x14ac:dyDescent="0.25">
      <c r="Z9715">
        <v>399999.99998826551</v>
      </c>
    </row>
    <row r="9716" spans="26:26" x14ac:dyDescent="0.25">
      <c r="Z9716">
        <v>399999.99998829479</v>
      </c>
    </row>
    <row r="9717" spans="26:26" x14ac:dyDescent="0.25">
      <c r="Z9717">
        <v>399999.99998832395</v>
      </c>
    </row>
    <row r="9718" spans="26:26" x14ac:dyDescent="0.25">
      <c r="Z9718">
        <v>399999.99998835311</v>
      </c>
    </row>
    <row r="9719" spans="26:26" x14ac:dyDescent="0.25">
      <c r="Z9719">
        <v>399999.99998838216</v>
      </c>
    </row>
    <row r="9720" spans="26:26" x14ac:dyDescent="0.25">
      <c r="Z9720">
        <v>399999.99998841109</v>
      </c>
    </row>
    <row r="9721" spans="26:26" x14ac:dyDescent="0.25">
      <c r="Z9721">
        <v>399999.99998844002</v>
      </c>
    </row>
    <row r="9722" spans="26:26" x14ac:dyDescent="0.25">
      <c r="Z9722">
        <v>399999.99998846883</v>
      </c>
    </row>
    <row r="9723" spans="26:26" x14ac:dyDescent="0.25">
      <c r="Z9723">
        <v>399999.99998849758</v>
      </c>
    </row>
    <row r="9724" spans="26:26" x14ac:dyDescent="0.25">
      <c r="Z9724">
        <v>399999.99998852622</v>
      </c>
    </row>
    <row r="9725" spans="26:26" x14ac:dyDescent="0.25">
      <c r="Z9725">
        <v>399999.99998855486</v>
      </c>
    </row>
    <row r="9726" spans="26:26" x14ac:dyDescent="0.25">
      <c r="Z9726">
        <v>399999.99998858338</v>
      </c>
    </row>
    <row r="9727" spans="26:26" x14ac:dyDescent="0.25">
      <c r="Z9727">
        <v>399999.99998861185</v>
      </c>
    </row>
    <row r="9728" spans="26:26" x14ac:dyDescent="0.25">
      <c r="Z9728">
        <v>399999.99998864025</v>
      </c>
    </row>
    <row r="9729" spans="26:26" x14ac:dyDescent="0.25">
      <c r="Z9729">
        <v>399999.9999886686</v>
      </c>
    </row>
    <row r="9730" spans="26:26" x14ac:dyDescent="0.25">
      <c r="Z9730">
        <v>399999.99998869683</v>
      </c>
    </row>
    <row r="9731" spans="26:26" x14ac:dyDescent="0.25">
      <c r="Z9731">
        <v>399999.99998872506</v>
      </c>
    </row>
    <row r="9732" spans="26:26" x14ac:dyDescent="0.25">
      <c r="Z9732">
        <v>399999.99998875317</v>
      </c>
    </row>
    <row r="9733" spans="26:26" x14ac:dyDescent="0.25">
      <c r="Z9733">
        <v>399999.99998878123</v>
      </c>
    </row>
    <row r="9734" spans="26:26" x14ac:dyDescent="0.25">
      <c r="Z9734">
        <v>399999.99998880923</v>
      </c>
    </row>
    <row r="9735" spans="26:26" x14ac:dyDescent="0.25">
      <c r="Z9735">
        <v>399999.99998883711</v>
      </c>
    </row>
    <row r="9736" spans="26:26" x14ac:dyDescent="0.25">
      <c r="Z9736">
        <v>399999.99998886493</v>
      </c>
    </row>
    <row r="9737" spans="26:26" x14ac:dyDescent="0.25">
      <c r="Z9737">
        <v>399999.9999888927</v>
      </c>
    </row>
    <row r="9738" spans="26:26" x14ac:dyDescent="0.25">
      <c r="Z9738">
        <v>399999.9999889204</v>
      </c>
    </row>
    <row r="9739" spans="26:26" x14ac:dyDescent="0.25">
      <c r="Z9739">
        <v>399999.99998894805</v>
      </c>
    </row>
    <row r="9740" spans="26:26" x14ac:dyDescent="0.25">
      <c r="Z9740">
        <v>399999.99998897559</v>
      </c>
    </row>
    <row r="9741" spans="26:26" x14ac:dyDescent="0.25">
      <c r="Z9741">
        <v>399999.99998900312</v>
      </c>
    </row>
    <row r="9742" spans="26:26" x14ac:dyDescent="0.25">
      <c r="Z9742">
        <v>399999.99998903048</v>
      </c>
    </row>
    <row r="9743" spans="26:26" x14ac:dyDescent="0.25">
      <c r="Z9743">
        <v>399999.99998905783</v>
      </c>
    </row>
    <row r="9744" spans="26:26" x14ac:dyDescent="0.25">
      <c r="Z9744">
        <v>399999.99998908513</v>
      </c>
    </row>
    <row r="9745" spans="26:26" x14ac:dyDescent="0.25">
      <c r="Z9745">
        <v>399999.99998911237</v>
      </c>
    </row>
    <row r="9746" spans="26:26" x14ac:dyDescent="0.25">
      <c r="Z9746">
        <v>399999.99998913956</v>
      </c>
    </row>
    <row r="9747" spans="26:26" x14ac:dyDescent="0.25">
      <c r="Z9747">
        <v>399999.99998916656</v>
      </c>
    </row>
    <row r="9748" spans="26:26" x14ac:dyDescent="0.25">
      <c r="Z9748">
        <v>399999.99998919363</v>
      </c>
    </row>
    <row r="9749" spans="26:26" x14ac:dyDescent="0.25">
      <c r="Z9749">
        <v>399999.99998922058</v>
      </c>
    </row>
    <row r="9750" spans="26:26" x14ac:dyDescent="0.25">
      <c r="Z9750">
        <v>399999.99998924747</v>
      </c>
    </row>
    <row r="9751" spans="26:26" x14ac:dyDescent="0.25">
      <c r="Z9751">
        <v>399999.99998927425</v>
      </c>
    </row>
    <row r="9752" spans="26:26" x14ac:dyDescent="0.25">
      <c r="Z9752">
        <v>399999.99998930102</v>
      </c>
    </row>
    <row r="9753" spans="26:26" x14ac:dyDescent="0.25">
      <c r="Z9753">
        <v>399999.99998932768</v>
      </c>
    </row>
    <row r="9754" spans="26:26" x14ac:dyDescent="0.25">
      <c r="Z9754">
        <v>399999.99998935428</v>
      </c>
    </row>
    <row r="9755" spans="26:26" x14ac:dyDescent="0.25">
      <c r="Z9755">
        <v>399999.99998938083</v>
      </c>
    </row>
    <row r="9756" spans="26:26" x14ac:dyDescent="0.25">
      <c r="Z9756">
        <v>399999.99998940731</v>
      </c>
    </row>
    <row r="9757" spans="26:26" x14ac:dyDescent="0.25">
      <c r="Z9757">
        <v>399999.99998943374</v>
      </c>
    </row>
    <row r="9758" spans="26:26" x14ac:dyDescent="0.25">
      <c r="Z9758">
        <v>399999.99998946011</v>
      </c>
    </row>
    <row r="9759" spans="26:26" x14ac:dyDescent="0.25">
      <c r="Z9759">
        <v>399999.99998948642</v>
      </c>
    </row>
    <row r="9760" spans="26:26" x14ac:dyDescent="0.25">
      <c r="Z9760">
        <v>399999.99998951261</v>
      </c>
    </row>
    <row r="9761" spans="26:26" x14ac:dyDescent="0.25">
      <c r="Z9761">
        <v>399999.99998953874</v>
      </c>
    </row>
    <row r="9762" spans="26:26" x14ac:dyDescent="0.25">
      <c r="Z9762">
        <v>399999.99998956482</v>
      </c>
    </row>
    <row r="9763" spans="26:26" x14ac:dyDescent="0.25">
      <c r="Z9763">
        <v>399999.9999895909</v>
      </c>
    </row>
    <row r="9764" spans="26:26" x14ac:dyDescent="0.25">
      <c r="Z9764">
        <v>399999.99998961686</v>
      </c>
    </row>
    <row r="9765" spans="26:26" x14ac:dyDescent="0.25">
      <c r="Z9765">
        <v>399999.9999896427</v>
      </c>
    </row>
    <row r="9766" spans="26:26" x14ac:dyDescent="0.25">
      <c r="Z9766">
        <v>399999.99998966861</v>
      </c>
    </row>
    <row r="9767" spans="26:26" x14ac:dyDescent="0.25">
      <c r="Z9767">
        <v>399999.99998969433</v>
      </c>
    </row>
    <row r="9768" spans="26:26" x14ac:dyDescent="0.25">
      <c r="Z9768">
        <v>399999.99998971995</v>
      </c>
    </row>
    <row r="9769" spans="26:26" x14ac:dyDescent="0.25">
      <c r="Z9769">
        <v>399999.99998974567</v>
      </c>
    </row>
    <row r="9770" spans="26:26" x14ac:dyDescent="0.25">
      <c r="Z9770">
        <v>399999.99998977123</v>
      </c>
    </row>
    <row r="9771" spans="26:26" x14ac:dyDescent="0.25">
      <c r="Z9771">
        <v>399999.99998979672</v>
      </c>
    </row>
    <row r="9772" spans="26:26" x14ac:dyDescent="0.25">
      <c r="Z9772">
        <v>399999.99998982222</v>
      </c>
    </row>
    <row r="9773" spans="26:26" x14ac:dyDescent="0.25">
      <c r="Z9773">
        <v>399999.99998984754</v>
      </c>
    </row>
    <row r="9774" spans="26:26" x14ac:dyDescent="0.25">
      <c r="Z9774">
        <v>399999.99998987291</v>
      </c>
    </row>
    <row r="9775" spans="26:26" x14ac:dyDescent="0.25">
      <c r="Z9775">
        <v>399999.99998989812</v>
      </c>
    </row>
    <row r="9776" spans="26:26" x14ac:dyDescent="0.25">
      <c r="Z9776">
        <v>399999.99998992326</v>
      </c>
    </row>
    <row r="9777" spans="26:26" x14ac:dyDescent="0.25">
      <c r="Z9777">
        <v>399999.99998994841</v>
      </c>
    </row>
    <row r="9778" spans="26:26" x14ac:dyDescent="0.25">
      <c r="Z9778">
        <v>399999.99998997356</v>
      </c>
    </row>
    <row r="9779" spans="26:26" x14ac:dyDescent="0.25">
      <c r="Z9779">
        <v>399999.99998999853</v>
      </c>
    </row>
    <row r="9780" spans="26:26" x14ac:dyDescent="0.25">
      <c r="Z9780">
        <v>399999.99999002344</v>
      </c>
    </row>
    <row r="9781" spans="26:26" x14ac:dyDescent="0.25">
      <c r="Z9781">
        <v>399999.99999004835</v>
      </c>
    </row>
    <row r="9782" spans="26:26" x14ac:dyDescent="0.25">
      <c r="Z9782">
        <v>399999.99999007315</v>
      </c>
    </row>
    <row r="9783" spans="26:26" x14ac:dyDescent="0.25">
      <c r="Z9783">
        <v>399999.99999009789</v>
      </c>
    </row>
    <row r="9784" spans="26:26" x14ac:dyDescent="0.25">
      <c r="Z9784">
        <v>399999.99999012263</v>
      </c>
    </row>
    <row r="9785" spans="26:26" x14ac:dyDescent="0.25">
      <c r="Z9785">
        <v>399999.99999014725</v>
      </c>
    </row>
    <row r="9786" spans="26:26" x14ac:dyDescent="0.25">
      <c r="Z9786">
        <v>399999.99999017181</v>
      </c>
    </row>
    <row r="9787" spans="26:26" x14ac:dyDescent="0.25">
      <c r="Z9787">
        <v>399999.99999019632</v>
      </c>
    </row>
    <row r="9788" spans="26:26" x14ac:dyDescent="0.25">
      <c r="Z9788">
        <v>399999.99999022076</v>
      </c>
    </row>
    <row r="9789" spans="26:26" x14ac:dyDescent="0.25">
      <c r="Z9789">
        <v>399999.99999024509</v>
      </c>
    </row>
    <row r="9790" spans="26:26" x14ac:dyDescent="0.25">
      <c r="Z9790">
        <v>399999.99999026943</v>
      </c>
    </row>
    <row r="9791" spans="26:26" x14ac:dyDescent="0.25">
      <c r="Z9791">
        <v>399999.99999029376</v>
      </c>
    </row>
    <row r="9792" spans="26:26" x14ac:dyDescent="0.25">
      <c r="Z9792">
        <v>399999.99999031797</v>
      </c>
    </row>
    <row r="9793" spans="26:26" x14ac:dyDescent="0.25">
      <c r="Z9793">
        <v>399999.99999034207</v>
      </c>
    </row>
    <row r="9794" spans="26:26" x14ac:dyDescent="0.25">
      <c r="Z9794">
        <v>399999.99999036617</v>
      </c>
    </row>
    <row r="9795" spans="26:26" x14ac:dyDescent="0.25">
      <c r="Z9795">
        <v>399999.99999039021</v>
      </c>
    </row>
    <row r="9796" spans="26:26" x14ac:dyDescent="0.25">
      <c r="Z9796">
        <v>399999.99999041413</v>
      </c>
    </row>
    <row r="9797" spans="26:26" x14ac:dyDescent="0.25">
      <c r="Z9797">
        <v>399999.99999043805</v>
      </c>
    </row>
    <row r="9798" spans="26:26" x14ac:dyDescent="0.25">
      <c r="Z9798">
        <v>399999.99999046192</v>
      </c>
    </row>
    <row r="9799" spans="26:26" x14ac:dyDescent="0.25">
      <c r="Z9799">
        <v>399999.99999048567</v>
      </c>
    </row>
    <row r="9800" spans="26:26" x14ac:dyDescent="0.25">
      <c r="Z9800">
        <v>399999.99999050942</v>
      </c>
    </row>
    <row r="9801" spans="26:26" x14ac:dyDescent="0.25">
      <c r="Z9801">
        <v>399999.99999053305</v>
      </c>
    </row>
    <row r="9802" spans="26:26" x14ac:dyDescent="0.25">
      <c r="Z9802">
        <v>399999.99999055668</v>
      </c>
    </row>
    <row r="9803" spans="26:26" x14ac:dyDescent="0.25">
      <c r="Z9803">
        <v>399999.9999905802</v>
      </c>
    </row>
    <row r="9804" spans="26:26" x14ac:dyDescent="0.25">
      <c r="Z9804">
        <v>399999.99999060371</v>
      </c>
    </row>
    <row r="9805" spans="26:26" x14ac:dyDescent="0.25">
      <c r="Z9805">
        <v>399999.99999062717</v>
      </c>
    </row>
    <row r="9806" spans="26:26" x14ac:dyDescent="0.25">
      <c r="Z9806">
        <v>399999.99999065051</v>
      </c>
    </row>
    <row r="9807" spans="26:26" x14ac:dyDescent="0.25">
      <c r="Z9807">
        <v>399999.99999067385</v>
      </c>
    </row>
    <row r="9808" spans="26:26" x14ac:dyDescent="0.25">
      <c r="Z9808">
        <v>399999.99999069714</v>
      </c>
    </row>
    <row r="9809" spans="26:26" x14ac:dyDescent="0.25">
      <c r="Z9809">
        <v>399999.9999907203</v>
      </c>
    </row>
    <row r="9810" spans="26:26" x14ac:dyDescent="0.25">
      <c r="Z9810">
        <v>399999.99999074341</v>
      </c>
    </row>
    <row r="9811" spans="26:26" x14ac:dyDescent="0.25">
      <c r="Z9811">
        <v>399999.99999076652</v>
      </c>
    </row>
    <row r="9812" spans="26:26" x14ac:dyDescent="0.25">
      <c r="Z9812">
        <v>399999.99999078957</v>
      </c>
    </row>
    <row r="9813" spans="26:26" x14ac:dyDescent="0.25">
      <c r="Z9813">
        <v>399999.99999081256</v>
      </c>
    </row>
    <row r="9814" spans="26:26" x14ac:dyDescent="0.25">
      <c r="Z9814">
        <v>399999.99999083549</v>
      </c>
    </row>
    <row r="9815" spans="26:26" x14ac:dyDescent="0.25">
      <c r="Z9815">
        <v>399999.99999085831</v>
      </c>
    </row>
    <row r="9816" spans="26:26" x14ac:dyDescent="0.25">
      <c r="Z9816">
        <v>399999.99999088113</v>
      </c>
    </row>
    <row r="9817" spans="26:26" x14ac:dyDescent="0.25">
      <c r="Z9817">
        <v>399999.99999090389</v>
      </c>
    </row>
    <row r="9818" spans="26:26" x14ac:dyDescent="0.25">
      <c r="Z9818">
        <v>399999.99999092653</v>
      </c>
    </row>
    <row r="9819" spans="26:26" x14ac:dyDescent="0.25">
      <c r="Z9819">
        <v>399999.99999094917</v>
      </c>
    </row>
    <row r="9820" spans="26:26" x14ac:dyDescent="0.25">
      <c r="Z9820">
        <v>399999.9999909717</v>
      </c>
    </row>
    <row r="9821" spans="26:26" x14ac:dyDescent="0.25">
      <c r="Z9821">
        <v>399999.99999099423</v>
      </c>
    </row>
    <row r="9822" spans="26:26" x14ac:dyDescent="0.25">
      <c r="Z9822">
        <v>399999.9999910167</v>
      </c>
    </row>
    <row r="9823" spans="26:26" x14ac:dyDescent="0.25">
      <c r="Z9823">
        <v>399999.99999103911</v>
      </c>
    </row>
    <row r="9824" spans="26:26" x14ac:dyDescent="0.25">
      <c r="Z9824">
        <v>399999.99999106146</v>
      </c>
    </row>
    <row r="9825" spans="26:26" x14ac:dyDescent="0.25">
      <c r="Z9825">
        <v>399999.99999108375</v>
      </c>
    </row>
    <row r="9826" spans="26:26" x14ac:dyDescent="0.25">
      <c r="Z9826">
        <v>399999.99999110593</v>
      </c>
    </row>
    <row r="9827" spans="26:26" x14ac:dyDescent="0.25">
      <c r="Z9827">
        <v>399999.99999112816</v>
      </c>
    </row>
    <row r="9828" spans="26:26" x14ac:dyDescent="0.25">
      <c r="Z9828">
        <v>399999.99999115028</v>
      </c>
    </row>
    <row r="9829" spans="26:26" x14ac:dyDescent="0.25">
      <c r="Z9829">
        <v>399999.99999117234</v>
      </c>
    </row>
    <row r="9830" spans="26:26" x14ac:dyDescent="0.25">
      <c r="Z9830">
        <v>399999.99999119435</v>
      </c>
    </row>
    <row r="9831" spans="26:26" x14ac:dyDescent="0.25">
      <c r="Z9831">
        <v>399999.99999121635</v>
      </c>
    </row>
    <row r="9832" spans="26:26" x14ac:dyDescent="0.25">
      <c r="Z9832">
        <v>399999.99999123818</v>
      </c>
    </row>
    <row r="9833" spans="26:26" x14ac:dyDescent="0.25">
      <c r="Z9833">
        <v>399999.99999126006</v>
      </c>
    </row>
    <row r="9834" spans="26:26" x14ac:dyDescent="0.25">
      <c r="Z9834">
        <v>399999.99999128183</v>
      </c>
    </row>
    <row r="9835" spans="26:26" x14ac:dyDescent="0.25">
      <c r="Z9835">
        <v>399999.99999130366</v>
      </c>
    </row>
    <row r="9836" spans="26:26" x14ac:dyDescent="0.25">
      <c r="Z9836">
        <v>399999.99999132525</v>
      </c>
    </row>
    <row r="9837" spans="26:26" x14ac:dyDescent="0.25">
      <c r="Z9837">
        <v>399999.99999134691</v>
      </c>
    </row>
    <row r="9838" spans="26:26" x14ac:dyDescent="0.25">
      <c r="Z9838">
        <v>399999.9999913685</v>
      </c>
    </row>
    <row r="9839" spans="26:26" x14ac:dyDescent="0.25">
      <c r="Z9839">
        <v>399999.99999139004</v>
      </c>
    </row>
    <row r="9840" spans="26:26" x14ac:dyDescent="0.25">
      <c r="Z9840">
        <v>399999.99999141152</v>
      </c>
    </row>
    <row r="9841" spans="26:26" x14ac:dyDescent="0.25">
      <c r="Z9841">
        <v>399999.99999143294</v>
      </c>
    </row>
    <row r="9842" spans="26:26" x14ac:dyDescent="0.25">
      <c r="Z9842">
        <v>399999.9999914543</v>
      </c>
    </row>
    <row r="9843" spans="26:26" x14ac:dyDescent="0.25">
      <c r="Z9843">
        <v>399999.9999914756</v>
      </c>
    </row>
    <row r="9844" spans="26:26" x14ac:dyDescent="0.25">
      <c r="Z9844">
        <v>399999.99999149685</v>
      </c>
    </row>
    <row r="9845" spans="26:26" x14ac:dyDescent="0.25">
      <c r="Z9845">
        <v>399999.99999151804</v>
      </c>
    </row>
    <row r="9846" spans="26:26" x14ac:dyDescent="0.25">
      <c r="Z9846">
        <v>399999.99999153917</v>
      </c>
    </row>
    <row r="9847" spans="26:26" x14ac:dyDescent="0.25">
      <c r="Z9847">
        <v>399999.9999915603</v>
      </c>
    </row>
    <row r="9848" spans="26:26" x14ac:dyDescent="0.25">
      <c r="Z9848">
        <v>399999.99999158137</v>
      </c>
    </row>
    <row r="9849" spans="26:26" x14ac:dyDescent="0.25">
      <c r="Z9849">
        <v>399999.99999160238</v>
      </c>
    </row>
    <row r="9850" spans="26:26" x14ac:dyDescent="0.25">
      <c r="Z9850">
        <v>399999.99999162328</v>
      </c>
    </row>
    <row r="9851" spans="26:26" x14ac:dyDescent="0.25">
      <c r="Z9851">
        <v>399999.99999164417</v>
      </c>
    </row>
    <row r="9852" spans="26:26" x14ac:dyDescent="0.25">
      <c r="Z9852">
        <v>399999.99999166501</v>
      </c>
    </row>
    <row r="9853" spans="26:26" x14ac:dyDescent="0.25">
      <c r="Z9853">
        <v>399999.99999168579</v>
      </c>
    </row>
    <row r="9854" spans="26:26" x14ac:dyDescent="0.25">
      <c r="Z9854">
        <v>399999.99999170651</v>
      </c>
    </row>
    <row r="9855" spans="26:26" x14ac:dyDescent="0.25">
      <c r="Z9855">
        <v>399999.99999172724</v>
      </c>
    </row>
    <row r="9856" spans="26:26" x14ac:dyDescent="0.25">
      <c r="Z9856">
        <v>399999.99999174784</v>
      </c>
    </row>
    <row r="9857" spans="26:26" x14ac:dyDescent="0.25">
      <c r="Z9857">
        <v>399999.99999176845</v>
      </c>
    </row>
    <row r="9858" spans="26:26" x14ac:dyDescent="0.25">
      <c r="Z9858">
        <v>399999.99999178899</v>
      </c>
    </row>
    <row r="9859" spans="26:26" x14ac:dyDescent="0.25">
      <c r="Z9859">
        <v>399999.99999180943</v>
      </c>
    </row>
    <row r="9860" spans="26:26" x14ac:dyDescent="0.25">
      <c r="Z9860">
        <v>399999.99999182986</v>
      </c>
    </row>
    <row r="9861" spans="26:26" x14ac:dyDescent="0.25">
      <c r="Z9861">
        <v>399999.99999185023</v>
      </c>
    </row>
    <row r="9862" spans="26:26" x14ac:dyDescent="0.25">
      <c r="Z9862">
        <v>399999.99999187054</v>
      </c>
    </row>
    <row r="9863" spans="26:26" x14ac:dyDescent="0.25">
      <c r="Z9863">
        <v>399999.99999189086</v>
      </c>
    </row>
    <row r="9864" spans="26:26" x14ac:dyDescent="0.25">
      <c r="Z9864">
        <v>399999.99999191106</v>
      </c>
    </row>
    <row r="9865" spans="26:26" x14ac:dyDescent="0.25">
      <c r="Z9865">
        <v>399999.9999919312</v>
      </c>
    </row>
    <row r="9866" spans="26:26" x14ac:dyDescent="0.25">
      <c r="Z9866">
        <v>399999.99999195139</v>
      </c>
    </row>
    <row r="9867" spans="26:26" x14ac:dyDescent="0.25">
      <c r="Z9867">
        <v>399999.99999197142</v>
      </c>
    </row>
    <row r="9868" spans="26:26" x14ac:dyDescent="0.25">
      <c r="Z9868">
        <v>399999.99999199144</v>
      </c>
    </row>
    <row r="9869" spans="26:26" x14ac:dyDescent="0.25">
      <c r="Z9869">
        <v>399999.99999201141</v>
      </c>
    </row>
    <row r="9870" spans="26:26" x14ac:dyDescent="0.25">
      <c r="Z9870">
        <v>399999.99999203137</v>
      </c>
    </row>
    <row r="9871" spans="26:26" x14ac:dyDescent="0.25">
      <c r="Z9871">
        <v>399999.99999205116</v>
      </c>
    </row>
    <row r="9872" spans="26:26" x14ac:dyDescent="0.25">
      <c r="Z9872">
        <v>399999.99999207107</v>
      </c>
    </row>
    <row r="9873" spans="26:26" x14ac:dyDescent="0.25">
      <c r="Z9873">
        <v>399999.9999920908</v>
      </c>
    </row>
    <row r="9874" spans="26:26" x14ac:dyDescent="0.25">
      <c r="Z9874">
        <v>399999.99999211053</v>
      </c>
    </row>
    <row r="9875" spans="26:26" x14ac:dyDescent="0.25">
      <c r="Z9875">
        <v>399999.99999213021</v>
      </c>
    </row>
    <row r="9876" spans="26:26" x14ac:dyDescent="0.25">
      <c r="Z9876">
        <v>399999.99999214982</v>
      </c>
    </row>
    <row r="9877" spans="26:26" x14ac:dyDescent="0.25">
      <c r="Z9877">
        <v>399999.99999216944</v>
      </c>
    </row>
    <row r="9878" spans="26:26" x14ac:dyDescent="0.25">
      <c r="Z9878">
        <v>399999.99999218888</v>
      </c>
    </row>
    <row r="9879" spans="26:26" x14ac:dyDescent="0.25">
      <c r="Z9879">
        <v>399999.99999220838</v>
      </c>
    </row>
    <row r="9880" spans="26:26" x14ac:dyDescent="0.25">
      <c r="Z9880">
        <v>399999.99999222788</v>
      </c>
    </row>
    <row r="9881" spans="26:26" x14ac:dyDescent="0.25">
      <c r="Z9881">
        <v>399999.99999224721</v>
      </c>
    </row>
    <row r="9882" spans="26:26" x14ac:dyDescent="0.25">
      <c r="Z9882">
        <v>399999.99999226653</v>
      </c>
    </row>
    <row r="9883" spans="26:26" x14ac:dyDescent="0.25">
      <c r="Z9883">
        <v>399999.99999228586</v>
      </c>
    </row>
    <row r="9884" spans="26:26" x14ac:dyDescent="0.25">
      <c r="Z9884">
        <v>399999.99999230506</v>
      </c>
    </row>
    <row r="9885" spans="26:26" x14ac:dyDescent="0.25">
      <c r="Z9885">
        <v>399999.99999232427</v>
      </c>
    </row>
    <row r="9886" spans="26:26" x14ac:dyDescent="0.25">
      <c r="Z9886">
        <v>399999.99999234342</v>
      </c>
    </row>
    <row r="9887" spans="26:26" x14ac:dyDescent="0.25">
      <c r="Z9887">
        <v>399999.99999236251</v>
      </c>
    </row>
    <row r="9888" spans="26:26" x14ac:dyDescent="0.25">
      <c r="Z9888">
        <v>399999.99999238155</v>
      </c>
    </row>
    <row r="9889" spans="26:26" x14ac:dyDescent="0.25">
      <c r="Z9889">
        <v>399999.99999240058</v>
      </c>
    </row>
    <row r="9890" spans="26:26" x14ac:dyDescent="0.25">
      <c r="Z9890">
        <v>399999.9999924195</v>
      </c>
    </row>
    <row r="9891" spans="26:26" x14ac:dyDescent="0.25">
      <c r="Z9891">
        <v>399999.99999243842</v>
      </c>
    </row>
    <row r="9892" spans="26:26" x14ac:dyDescent="0.25">
      <c r="Z9892">
        <v>399999.99999245728</v>
      </c>
    </row>
    <row r="9893" spans="26:26" x14ac:dyDescent="0.25">
      <c r="Z9893">
        <v>399999.99999247608</v>
      </c>
    </row>
    <row r="9894" spans="26:26" x14ac:dyDescent="0.25">
      <c r="Z9894">
        <v>399999.99999249482</v>
      </c>
    </row>
    <row r="9895" spans="26:26" x14ac:dyDescent="0.25">
      <c r="Z9895">
        <v>399999.99999251351</v>
      </c>
    </row>
    <row r="9896" spans="26:26" x14ac:dyDescent="0.25">
      <c r="Z9896">
        <v>399999.99999253225</v>
      </c>
    </row>
    <row r="9897" spans="26:26" x14ac:dyDescent="0.25">
      <c r="Z9897">
        <v>399999.99999255082</v>
      </c>
    </row>
    <row r="9898" spans="26:26" x14ac:dyDescent="0.25">
      <c r="Z9898">
        <v>399999.99999256944</v>
      </c>
    </row>
    <row r="9899" spans="26:26" x14ac:dyDescent="0.25">
      <c r="Z9899">
        <v>399999.99999258795</v>
      </c>
    </row>
    <row r="9900" spans="26:26" x14ac:dyDescent="0.25">
      <c r="Z9900">
        <v>399999.99999260646</v>
      </c>
    </row>
    <row r="9901" spans="26:26" x14ac:dyDescent="0.25">
      <c r="Z9901">
        <v>399999.99999262486</v>
      </c>
    </row>
    <row r="9902" spans="26:26" x14ac:dyDescent="0.25">
      <c r="Z9902">
        <v>399999.99999264325</v>
      </c>
    </row>
    <row r="9903" spans="26:26" x14ac:dyDescent="0.25">
      <c r="Z9903">
        <v>399999.99999266159</v>
      </c>
    </row>
    <row r="9904" spans="26:26" x14ac:dyDescent="0.25">
      <c r="Z9904">
        <v>399999.99999267986</v>
      </c>
    </row>
    <row r="9905" spans="26:26" x14ac:dyDescent="0.25">
      <c r="Z9905">
        <v>399999.99999269814</v>
      </c>
    </row>
    <row r="9906" spans="26:26" x14ac:dyDescent="0.25">
      <c r="Z9906">
        <v>399999.99999271636</v>
      </c>
    </row>
    <row r="9907" spans="26:26" x14ac:dyDescent="0.25">
      <c r="Z9907">
        <v>399999.99999273452</v>
      </c>
    </row>
    <row r="9908" spans="26:26" x14ac:dyDescent="0.25">
      <c r="Z9908">
        <v>399999.99999275262</v>
      </c>
    </row>
    <row r="9909" spans="26:26" x14ac:dyDescent="0.25">
      <c r="Z9909">
        <v>399999.99999277067</v>
      </c>
    </row>
    <row r="9910" spans="26:26" x14ac:dyDescent="0.25">
      <c r="Z9910">
        <v>399999.99999278877</v>
      </c>
    </row>
    <row r="9911" spans="26:26" x14ac:dyDescent="0.25">
      <c r="Z9911">
        <v>399999.9999928067</v>
      </c>
    </row>
    <row r="9912" spans="26:26" x14ac:dyDescent="0.25">
      <c r="Z9912">
        <v>399999.99999282468</v>
      </c>
    </row>
    <row r="9913" spans="26:26" x14ac:dyDescent="0.25">
      <c r="Z9913">
        <v>399999.99999284255</v>
      </c>
    </row>
    <row r="9914" spans="26:26" x14ac:dyDescent="0.25">
      <c r="Z9914">
        <v>399999.99999286042</v>
      </c>
    </row>
    <row r="9915" spans="26:26" x14ac:dyDescent="0.25">
      <c r="Z9915">
        <v>399999.99999287823</v>
      </c>
    </row>
    <row r="9916" spans="26:26" x14ac:dyDescent="0.25">
      <c r="Z9916">
        <v>399999.99999289599</v>
      </c>
    </row>
    <row r="9917" spans="26:26" x14ac:dyDescent="0.25">
      <c r="Z9917">
        <v>399999.99999291368</v>
      </c>
    </row>
    <row r="9918" spans="26:26" x14ac:dyDescent="0.25">
      <c r="Z9918">
        <v>399999.99999293138</v>
      </c>
    </row>
    <row r="9919" spans="26:26" x14ac:dyDescent="0.25">
      <c r="Z9919">
        <v>399999.99999294901</v>
      </c>
    </row>
    <row r="9920" spans="26:26" x14ac:dyDescent="0.25">
      <c r="Z9920">
        <v>399999.99999296659</v>
      </c>
    </row>
    <row r="9921" spans="26:26" x14ac:dyDescent="0.25">
      <c r="Z9921">
        <v>399999.99999298411</v>
      </c>
    </row>
    <row r="9922" spans="26:26" x14ac:dyDescent="0.25">
      <c r="Z9922">
        <v>399999.99999300163</v>
      </c>
    </row>
    <row r="9923" spans="26:26" x14ac:dyDescent="0.25">
      <c r="Z9923">
        <v>399999.99999301904</v>
      </c>
    </row>
    <row r="9924" spans="26:26" x14ac:dyDescent="0.25">
      <c r="Z9924">
        <v>399999.99999303644</v>
      </c>
    </row>
    <row r="9925" spans="26:26" x14ac:dyDescent="0.25">
      <c r="Z9925">
        <v>399999.99999305385</v>
      </c>
    </row>
    <row r="9926" spans="26:26" x14ac:dyDescent="0.25">
      <c r="Z9926">
        <v>399999.99999307119</v>
      </c>
    </row>
    <row r="9927" spans="26:26" x14ac:dyDescent="0.25">
      <c r="Z9927">
        <v>399999.99999308848</v>
      </c>
    </row>
    <row r="9928" spans="26:26" x14ac:dyDescent="0.25">
      <c r="Z9928">
        <v>399999.99999310571</v>
      </c>
    </row>
    <row r="9929" spans="26:26" x14ac:dyDescent="0.25">
      <c r="Z9929">
        <v>399999.99999312288</v>
      </c>
    </row>
    <row r="9930" spans="26:26" x14ac:dyDescent="0.25">
      <c r="Z9930">
        <v>399999.99999313999</v>
      </c>
    </row>
    <row r="9931" spans="26:26" x14ac:dyDescent="0.25">
      <c r="Z9931">
        <v>399999.99999315711</v>
      </c>
    </row>
    <row r="9932" spans="26:26" x14ac:dyDescent="0.25">
      <c r="Z9932">
        <v>399999.99999317416</v>
      </c>
    </row>
    <row r="9933" spans="26:26" x14ac:dyDescent="0.25">
      <c r="Z9933">
        <v>399999.99999319122</v>
      </c>
    </row>
    <row r="9934" spans="26:26" x14ac:dyDescent="0.25">
      <c r="Z9934">
        <v>399999.99999320816</v>
      </c>
    </row>
    <row r="9935" spans="26:26" x14ac:dyDescent="0.25">
      <c r="Z9935">
        <v>399999.99999322515</v>
      </c>
    </row>
    <row r="9936" spans="26:26" x14ac:dyDescent="0.25">
      <c r="Z9936">
        <v>399999.99999324203</v>
      </c>
    </row>
    <row r="9937" spans="26:26" x14ac:dyDescent="0.25">
      <c r="Z9937">
        <v>399999.99999325891</v>
      </c>
    </row>
    <row r="9938" spans="26:26" x14ac:dyDescent="0.25">
      <c r="Z9938">
        <v>399999.99999327568</v>
      </c>
    </row>
    <row r="9939" spans="26:26" x14ac:dyDescent="0.25">
      <c r="Z9939">
        <v>399999.99999329244</v>
      </c>
    </row>
    <row r="9940" spans="26:26" x14ac:dyDescent="0.25">
      <c r="Z9940">
        <v>399999.99999330915</v>
      </c>
    </row>
    <row r="9941" spans="26:26" x14ac:dyDescent="0.25">
      <c r="Z9941">
        <v>399999.99999332585</v>
      </c>
    </row>
    <row r="9942" spans="26:26" x14ac:dyDescent="0.25">
      <c r="Z9942">
        <v>399999.99999334256</v>
      </c>
    </row>
    <row r="9943" spans="26:26" x14ac:dyDescent="0.25">
      <c r="Z9943">
        <v>399999.99999335915</v>
      </c>
    </row>
    <row r="9944" spans="26:26" x14ac:dyDescent="0.25">
      <c r="Z9944">
        <v>399999.99999337568</v>
      </c>
    </row>
    <row r="9945" spans="26:26" x14ac:dyDescent="0.25">
      <c r="Z9945">
        <v>399999.99999339221</v>
      </c>
    </row>
    <row r="9946" spans="26:26" x14ac:dyDescent="0.25">
      <c r="Z9946">
        <v>399999.99999340868</v>
      </c>
    </row>
    <row r="9947" spans="26:26" x14ac:dyDescent="0.25">
      <c r="Z9947">
        <v>399999.9999934251</v>
      </c>
    </row>
    <row r="9948" spans="26:26" x14ac:dyDescent="0.25">
      <c r="Z9948">
        <v>399999.99999344151</v>
      </c>
    </row>
    <row r="9949" spans="26:26" x14ac:dyDescent="0.25">
      <c r="Z9949">
        <v>399999.99999345787</v>
      </c>
    </row>
    <row r="9950" spans="26:26" x14ac:dyDescent="0.25">
      <c r="Z9950">
        <v>399999.99999347416</v>
      </c>
    </row>
    <row r="9951" spans="26:26" x14ac:dyDescent="0.25">
      <c r="Z9951">
        <v>399999.99999349046</v>
      </c>
    </row>
    <row r="9952" spans="26:26" x14ac:dyDescent="0.25">
      <c r="Z9952">
        <v>399999.9999935067</v>
      </c>
    </row>
    <row r="9953" spans="26:26" x14ac:dyDescent="0.25">
      <c r="Z9953">
        <v>399999.99999352283</v>
      </c>
    </row>
    <row r="9954" spans="26:26" x14ac:dyDescent="0.25">
      <c r="Z9954">
        <v>399999.99999353901</v>
      </c>
    </row>
    <row r="9955" spans="26:26" x14ac:dyDescent="0.25">
      <c r="Z9955">
        <v>399999.99999355513</v>
      </c>
    </row>
    <row r="9956" spans="26:26" x14ac:dyDescent="0.25">
      <c r="Z9956">
        <v>399999.99999357125</v>
      </c>
    </row>
    <row r="9957" spans="26:26" x14ac:dyDescent="0.25">
      <c r="Z9957">
        <v>399999.99999358726</v>
      </c>
    </row>
    <row r="9958" spans="26:26" x14ac:dyDescent="0.25">
      <c r="Z9958">
        <v>399999.99999360327</v>
      </c>
    </row>
    <row r="9959" spans="26:26" x14ac:dyDescent="0.25">
      <c r="Z9959">
        <v>399999.99999361922</v>
      </c>
    </row>
    <row r="9960" spans="26:26" x14ac:dyDescent="0.25">
      <c r="Z9960">
        <v>399999.99999363505</v>
      </c>
    </row>
    <row r="9961" spans="26:26" x14ac:dyDescent="0.25">
      <c r="Z9961">
        <v>399999.999993651</v>
      </c>
    </row>
    <row r="9962" spans="26:26" x14ac:dyDescent="0.25">
      <c r="Z9962">
        <v>399999.99999366677</v>
      </c>
    </row>
    <row r="9963" spans="26:26" x14ac:dyDescent="0.25">
      <c r="Z9963">
        <v>399999.99999368261</v>
      </c>
    </row>
    <row r="9964" spans="26:26" x14ac:dyDescent="0.25">
      <c r="Z9964">
        <v>399999.99999369838</v>
      </c>
    </row>
    <row r="9965" spans="26:26" x14ac:dyDescent="0.25">
      <c r="Z9965">
        <v>399999.99999371404</v>
      </c>
    </row>
    <row r="9966" spans="26:26" x14ac:dyDescent="0.25">
      <c r="Z9966">
        <v>399999.99999372975</v>
      </c>
    </row>
    <row r="9967" spans="26:26" x14ac:dyDescent="0.25">
      <c r="Z9967">
        <v>399999.99999374541</v>
      </c>
    </row>
    <row r="9968" spans="26:26" x14ac:dyDescent="0.25">
      <c r="Z9968">
        <v>399999.99999376101</v>
      </c>
    </row>
    <row r="9969" spans="26:26" x14ac:dyDescent="0.25">
      <c r="Z9969">
        <v>399999.99999377655</v>
      </c>
    </row>
    <row r="9970" spans="26:26" x14ac:dyDescent="0.25">
      <c r="Z9970">
        <v>399999.99999379204</v>
      </c>
    </row>
    <row r="9971" spans="26:26" x14ac:dyDescent="0.25">
      <c r="Z9971">
        <v>399999.99999380752</v>
      </c>
    </row>
    <row r="9972" spans="26:26" x14ac:dyDescent="0.25">
      <c r="Z9972">
        <v>399999.999993823</v>
      </c>
    </row>
    <row r="9973" spans="26:26" x14ac:dyDescent="0.25">
      <c r="Z9973">
        <v>399999.99999383837</v>
      </c>
    </row>
    <row r="9974" spans="26:26" x14ac:dyDescent="0.25">
      <c r="Z9974">
        <v>399999.99999385374</v>
      </c>
    </row>
    <row r="9975" spans="26:26" x14ac:dyDescent="0.25">
      <c r="Z9975">
        <v>399999.9999938691</v>
      </c>
    </row>
    <row r="9976" spans="26:26" x14ac:dyDescent="0.25">
      <c r="Z9976">
        <v>399999.99999388435</v>
      </c>
    </row>
    <row r="9977" spans="26:26" x14ac:dyDescent="0.25">
      <c r="Z9977">
        <v>399999.99999389966</v>
      </c>
    </row>
    <row r="9978" spans="26:26" x14ac:dyDescent="0.25">
      <c r="Z9978">
        <v>399999.99999391485</v>
      </c>
    </row>
    <row r="9979" spans="26:26" x14ac:dyDescent="0.25">
      <c r="Z9979">
        <v>399999.99999393005</v>
      </c>
    </row>
    <row r="9980" spans="26:26" x14ac:dyDescent="0.25">
      <c r="Z9980">
        <v>399999.99999394518</v>
      </c>
    </row>
    <row r="9981" spans="26:26" x14ac:dyDescent="0.25">
      <c r="Z9981">
        <v>399999.99999396026</v>
      </c>
    </row>
    <row r="9982" spans="26:26" x14ac:dyDescent="0.25">
      <c r="Z9982">
        <v>399999.99999397533</v>
      </c>
    </row>
    <row r="9983" spans="26:26" x14ac:dyDescent="0.25">
      <c r="Z9983">
        <v>399999.99999399035</v>
      </c>
    </row>
    <row r="9984" spans="26:26" x14ac:dyDescent="0.25">
      <c r="Z9984">
        <v>399999.99999400531</v>
      </c>
    </row>
    <row r="9985" spans="26:26" x14ac:dyDescent="0.25">
      <c r="Z9985">
        <v>399999.99999402027</v>
      </c>
    </row>
    <row r="9986" spans="26:26" x14ac:dyDescent="0.25">
      <c r="Z9986">
        <v>399999.99999403517</v>
      </c>
    </row>
    <row r="9987" spans="26:26" x14ac:dyDescent="0.25">
      <c r="Z9987">
        <v>399999.99999405001</v>
      </c>
    </row>
    <row r="9988" spans="26:26" x14ac:dyDescent="0.25">
      <c r="Z9988">
        <v>399999.99999406486</v>
      </c>
    </row>
    <row r="9989" spans="26:26" x14ac:dyDescent="0.25">
      <c r="Z9989">
        <v>399999.9999940797</v>
      </c>
    </row>
    <row r="9990" spans="26:26" x14ac:dyDescent="0.25">
      <c r="Z9990">
        <v>399999.99999409448</v>
      </c>
    </row>
    <row r="9991" spans="26:26" x14ac:dyDescent="0.25">
      <c r="Z9991">
        <v>399999.99999410921</v>
      </c>
    </row>
    <row r="9992" spans="26:26" x14ac:dyDescent="0.25">
      <c r="Z9992">
        <v>399999.99999412382</v>
      </c>
    </row>
    <row r="9993" spans="26:26" x14ac:dyDescent="0.25">
      <c r="Z9993">
        <v>399999.99999413849</v>
      </c>
    </row>
    <row r="9994" spans="26:26" x14ac:dyDescent="0.25">
      <c r="Z9994">
        <v>399999.99999415316</v>
      </c>
    </row>
    <row r="9995" spans="26:26" x14ac:dyDescent="0.25">
      <c r="Z9995">
        <v>399999.99999416771</v>
      </c>
    </row>
    <row r="9996" spans="26:26" x14ac:dyDescent="0.25">
      <c r="Z9996">
        <v>399999.9999941822</v>
      </c>
    </row>
    <row r="9997" spans="26:26" x14ac:dyDescent="0.25">
      <c r="Z9997">
        <v>399999.99999419675</v>
      </c>
    </row>
    <row r="9998" spans="26:26" x14ac:dyDescent="0.25">
      <c r="Z9998">
        <v>399999.99999421125</v>
      </c>
    </row>
    <row r="9999" spans="26:26" x14ac:dyDescent="0.25">
      <c r="Z9999">
        <v>399999.99999422568</v>
      </c>
    </row>
    <row r="10000" spans="26:26" x14ac:dyDescent="0.25">
      <c r="Z10000">
        <v>399999.99999424006</v>
      </c>
    </row>
    <row r="10001" spans="26:26" x14ac:dyDescent="0.25">
      <c r="Z10001">
        <v>399999.99999425444</v>
      </c>
    </row>
    <row r="10002" spans="26:26" x14ac:dyDescent="0.25">
      <c r="Z10002">
        <v>399999.99999426876</v>
      </c>
    </row>
    <row r="10003" spans="26:26" x14ac:dyDescent="0.25">
      <c r="Z10003">
        <v>399999.99999428302</v>
      </c>
    </row>
    <row r="10004" spans="26:26" x14ac:dyDescent="0.25">
      <c r="Z10004">
        <v>399999.99999429734</v>
      </c>
    </row>
    <row r="10005" spans="26:26" x14ac:dyDescent="0.25">
      <c r="Z10005">
        <v>399999.99999431154</v>
      </c>
    </row>
    <row r="10006" spans="26:26" x14ac:dyDescent="0.25">
      <c r="Z10006">
        <v>399999.99999432574</v>
      </c>
    </row>
    <row r="10007" spans="26:26" x14ac:dyDescent="0.25">
      <c r="Z10007">
        <v>399999.99999433989</v>
      </c>
    </row>
    <row r="10008" spans="26:26" x14ac:dyDescent="0.25">
      <c r="Z10008">
        <v>399999.99999435397</v>
      </c>
    </row>
    <row r="10009" spans="26:26" x14ac:dyDescent="0.25">
      <c r="Z10009">
        <v>399999.99999436806</v>
      </c>
    </row>
    <row r="10010" spans="26:26" x14ac:dyDescent="0.25">
      <c r="Z10010">
        <v>399999.99999438215</v>
      </c>
    </row>
    <row r="10011" spans="26:26" x14ac:dyDescent="0.25">
      <c r="Z10011">
        <v>399999.99999439612</v>
      </c>
    </row>
    <row r="10012" spans="26:26" x14ac:dyDescent="0.25">
      <c r="Z10012">
        <v>399999.99999441009</v>
      </c>
    </row>
    <row r="10013" spans="26:26" x14ac:dyDescent="0.25">
      <c r="Z10013">
        <v>399999.99999442406</v>
      </c>
    </row>
    <row r="10014" spans="26:26" x14ac:dyDescent="0.25">
      <c r="Z10014">
        <v>399999.99999443791</v>
      </c>
    </row>
    <row r="10015" spans="26:26" x14ac:dyDescent="0.25">
      <c r="Z10015">
        <v>399999.99999445182</v>
      </c>
    </row>
    <row r="10016" spans="26:26" x14ac:dyDescent="0.25">
      <c r="Z10016">
        <v>399999.99999446567</v>
      </c>
    </row>
    <row r="10017" spans="26:26" x14ac:dyDescent="0.25">
      <c r="Z10017">
        <v>399999.99999447947</v>
      </c>
    </row>
    <row r="10018" spans="26:26" x14ac:dyDescent="0.25">
      <c r="Z10018">
        <v>399999.99999449321</v>
      </c>
    </row>
    <row r="10019" spans="26:26" x14ac:dyDescent="0.25">
      <c r="Z10019">
        <v>399999.99999450694</v>
      </c>
    </row>
    <row r="10020" spans="26:26" x14ac:dyDescent="0.25">
      <c r="Z10020">
        <v>399999.99999452062</v>
      </c>
    </row>
    <row r="10021" spans="26:26" x14ac:dyDescent="0.25">
      <c r="Z10021">
        <v>399999.99999453436</v>
      </c>
    </row>
    <row r="10022" spans="26:26" x14ac:dyDescent="0.25">
      <c r="Z10022">
        <v>399999.99999454792</v>
      </c>
    </row>
    <row r="10023" spans="26:26" x14ac:dyDescent="0.25">
      <c r="Z10023">
        <v>399999.99999456154</v>
      </c>
    </row>
    <row r="10024" spans="26:26" x14ac:dyDescent="0.25">
      <c r="Z10024">
        <v>399999.9999945751</v>
      </c>
    </row>
    <row r="10025" spans="26:26" x14ac:dyDescent="0.25">
      <c r="Z10025">
        <v>399999.99999458861</v>
      </c>
    </row>
    <row r="10026" spans="26:26" x14ac:dyDescent="0.25">
      <c r="Z10026">
        <v>399999.99999460211</v>
      </c>
    </row>
    <row r="10027" spans="26:26" x14ac:dyDescent="0.25">
      <c r="Z10027">
        <v>399999.99999461562</v>
      </c>
    </row>
    <row r="10028" spans="26:26" x14ac:dyDescent="0.25">
      <c r="Z10028">
        <v>399999.999994629</v>
      </c>
    </row>
    <row r="10029" spans="26:26" x14ac:dyDescent="0.25">
      <c r="Z10029">
        <v>399999.99999464245</v>
      </c>
    </row>
    <row r="10030" spans="26:26" x14ac:dyDescent="0.25">
      <c r="Z10030">
        <v>399999.99999465578</v>
      </c>
    </row>
    <row r="10031" spans="26:26" x14ac:dyDescent="0.25">
      <c r="Z10031">
        <v>399999.99999466905</v>
      </c>
    </row>
    <row r="10032" spans="26:26" x14ac:dyDescent="0.25">
      <c r="Z10032">
        <v>399999.99999468238</v>
      </c>
    </row>
    <row r="10033" spans="26:26" x14ac:dyDescent="0.25">
      <c r="Z10033">
        <v>399999.99999469565</v>
      </c>
    </row>
    <row r="10034" spans="26:26" x14ac:dyDescent="0.25">
      <c r="Z10034">
        <v>399999.99999470887</v>
      </c>
    </row>
    <row r="10035" spans="26:26" x14ac:dyDescent="0.25">
      <c r="Z10035">
        <v>399999.99999472208</v>
      </c>
    </row>
    <row r="10036" spans="26:26" x14ac:dyDescent="0.25">
      <c r="Z10036">
        <v>399999.99999473523</v>
      </c>
    </row>
    <row r="10037" spans="26:26" x14ac:dyDescent="0.25">
      <c r="Z10037">
        <v>399999.99999474839</v>
      </c>
    </row>
    <row r="10038" spans="26:26" x14ac:dyDescent="0.25">
      <c r="Z10038">
        <v>399999.99999476149</v>
      </c>
    </row>
    <row r="10039" spans="26:26" x14ac:dyDescent="0.25">
      <c r="Z10039">
        <v>399999.99999477452</v>
      </c>
    </row>
    <row r="10040" spans="26:26" x14ac:dyDescent="0.25">
      <c r="Z10040">
        <v>399999.99999478756</v>
      </c>
    </row>
    <row r="10041" spans="26:26" x14ac:dyDescent="0.25">
      <c r="Z10041">
        <v>399999.99999480054</v>
      </c>
    </row>
    <row r="10042" spans="26:26" x14ac:dyDescent="0.25">
      <c r="Z10042">
        <v>399999.99999481352</v>
      </c>
    </row>
    <row r="10043" spans="26:26" x14ac:dyDescent="0.25">
      <c r="Z10043">
        <v>399999.99999482644</v>
      </c>
    </row>
    <row r="10044" spans="26:26" x14ac:dyDescent="0.25">
      <c r="Z10044">
        <v>399999.99999483937</v>
      </c>
    </row>
    <row r="10045" spans="26:26" x14ac:dyDescent="0.25">
      <c r="Z10045">
        <v>399999.99999485223</v>
      </c>
    </row>
    <row r="10046" spans="26:26" x14ac:dyDescent="0.25">
      <c r="Z10046">
        <v>399999.99999486509</v>
      </c>
    </row>
    <row r="10047" spans="26:26" x14ac:dyDescent="0.25">
      <c r="Z10047">
        <v>399999.99999487784</v>
      </c>
    </row>
    <row r="10048" spans="26:26" x14ac:dyDescent="0.25">
      <c r="Z10048">
        <v>399999.99999489071</v>
      </c>
    </row>
    <row r="10049" spans="26:26" x14ac:dyDescent="0.25">
      <c r="Z10049">
        <v>399999.9999949034</v>
      </c>
    </row>
    <row r="10050" spans="26:26" x14ac:dyDescent="0.25">
      <c r="Z10050">
        <v>399999.99999491608</v>
      </c>
    </row>
    <row r="10051" spans="26:26" x14ac:dyDescent="0.25">
      <c r="Z10051">
        <v>399999.99999492872</v>
      </c>
    </row>
    <row r="10052" spans="26:26" x14ac:dyDescent="0.25">
      <c r="Z10052">
        <v>399999.99999494141</v>
      </c>
    </row>
    <row r="10053" spans="26:26" x14ac:dyDescent="0.25">
      <c r="Z10053">
        <v>399999.99999495404</v>
      </c>
    </row>
    <row r="10054" spans="26:26" x14ac:dyDescent="0.25">
      <c r="Z10054">
        <v>399999.99999496655</v>
      </c>
    </row>
    <row r="10055" spans="26:26" x14ac:dyDescent="0.25">
      <c r="Z10055">
        <v>399999.99999497918</v>
      </c>
    </row>
    <row r="10056" spans="26:26" x14ac:dyDescent="0.25">
      <c r="Z10056">
        <v>399999.9999949917</v>
      </c>
    </row>
    <row r="10057" spans="26:26" x14ac:dyDescent="0.25">
      <c r="Z10057">
        <v>399999.99999500421</v>
      </c>
    </row>
    <row r="10058" spans="26:26" x14ac:dyDescent="0.25">
      <c r="Z10058">
        <v>399999.99999501667</v>
      </c>
    </row>
    <row r="10059" spans="26:26" x14ac:dyDescent="0.25">
      <c r="Z10059">
        <v>399999.99999502907</v>
      </c>
    </row>
    <row r="10060" spans="26:26" x14ac:dyDescent="0.25">
      <c r="Z10060">
        <v>399999.99999504146</v>
      </c>
    </row>
    <row r="10061" spans="26:26" x14ac:dyDescent="0.25">
      <c r="Z10061">
        <v>399999.9999950538</v>
      </c>
    </row>
    <row r="10062" spans="26:26" x14ac:dyDescent="0.25">
      <c r="Z10062">
        <v>399999.99999506614</v>
      </c>
    </row>
    <row r="10063" spans="26:26" x14ac:dyDescent="0.25">
      <c r="Z10063">
        <v>399999.99999507843</v>
      </c>
    </row>
    <row r="10064" spans="26:26" x14ac:dyDescent="0.25">
      <c r="Z10064">
        <v>399999.99999509071</v>
      </c>
    </row>
    <row r="10065" spans="26:26" x14ac:dyDescent="0.25">
      <c r="Z10065">
        <v>399999.99999510293</v>
      </c>
    </row>
    <row r="10066" spans="26:26" x14ac:dyDescent="0.25">
      <c r="Z10066">
        <v>399999.99999511521</v>
      </c>
    </row>
    <row r="10067" spans="26:26" x14ac:dyDescent="0.25">
      <c r="Z10067">
        <v>399999.99999512738</v>
      </c>
    </row>
    <row r="10068" spans="26:26" x14ac:dyDescent="0.25">
      <c r="Z10068">
        <v>399999.99999513954</v>
      </c>
    </row>
    <row r="10069" spans="26:26" x14ac:dyDescent="0.25">
      <c r="Z10069">
        <v>399999.99999515165</v>
      </c>
    </row>
    <row r="10070" spans="26:26" x14ac:dyDescent="0.25">
      <c r="Z10070">
        <v>399999.9999951637</v>
      </c>
    </row>
    <row r="10071" spans="26:26" x14ac:dyDescent="0.25">
      <c r="Z10071">
        <v>399999.99999517581</v>
      </c>
    </row>
    <row r="10072" spans="26:26" x14ac:dyDescent="0.25">
      <c r="Z10072">
        <v>399999.99999518786</v>
      </c>
    </row>
    <row r="10073" spans="26:26" x14ac:dyDescent="0.25">
      <c r="Z10073">
        <v>399999.99999519979</v>
      </c>
    </row>
    <row r="10074" spans="26:26" x14ac:dyDescent="0.25">
      <c r="Z10074">
        <v>399999.99999521178</v>
      </c>
    </row>
    <row r="10075" spans="26:26" x14ac:dyDescent="0.25">
      <c r="Z10075">
        <v>399999.99999522371</v>
      </c>
    </row>
    <row r="10076" spans="26:26" x14ac:dyDescent="0.25">
      <c r="Z10076">
        <v>399999.99999523564</v>
      </c>
    </row>
    <row r="10077" spans="26:26" x14ac:dyDescent="0.25">
      <c r="Z10077">
        <v>399999.99999524752</v>
      </c>
    </row>
    <row r="10078" spans="26:26" x14ac:dyDescent="0.25">
      <c r="Z10078">
        <v>399999.99999525939</v>
      </c>
    </row>
    <row r="10079" spans="26:26" x14ac:dyDescent="0.25">
      <c r="Z10079">
        <v>399999.99999527121</v>
      </c>
    </row>
    <row r="10080" spans="26:26" x14ac:dyDescent="0.25">
      <c r="Z10080">
        <v>399999.99999528297</v>
      </c>
    </row>
    <row r="10081" spans="26:26" x14ac:dyDescent="0.25">
      <c r="Z10081">
        <v>399999.99999529478</v>
      </c>
    </row>
    <row r="10082" spans="26:26" x14ac:dyDescent="0.25">
      <c r="Z10082">
        <v>399999.99999530648</v>
      </c>
    </row>
    <row r="10083" spans="26:26" x14ac:dyDescent="0.25">
      <c r="Z10083">
        <v>399999.99999531818</v>
      </c>
    </row>
    <row r="10084" spans="26:26" x14ac:dyDescent="0.25">
      <c r="Z10084">
        <v>399999.99999532988</v>
      </c>
    </row>
    <row r="10085" spans="26:26" x14ac:dyDescent="0.25">
      <c r="Z10085">
        <v>399999.99999534158</v>
      </c>
    </row>
    <row r="10086" spans="26:26" x14ac:dyDescent="0.25">
      <c r="Z10086">
        <v>399999.99999535311</v>
      </c>
    </row>
    <row r="10087" spans="26:26" x14ac:dyDescent="0.25">
      <c r="Z10087">
        <v>399999.99999536469</v>
      </c>
    </row>
    <row r="10088" spans="26:26" x14ac:dyDescent="0.25">
      <c r="Z10088">
        <v>399999.99999537627</v>
      </c>
    </row>
    <row r="10089" spans="26:26" x14ac:dyDescent="0.25">
      <c r="Z10089">
        <v>399999.9999953878</v>
      </c>
    </row>
    <row r="10090" spans="26:26" x14ac:dyDescent="0.25">
      <c r="Z10090">
        <v>399999.99999539932</v>
      </c>
    </row>
    <row r="10091" spans="26:26" x14ac:dyDescent="0.25">
      <c r="Z10091">
        <v>399999.99999541079</v>
      </c>
    </row>
    <row r="10092" spans="26:26" x14ac:dyDescent="0.25">
      <c r="Z10092">
        <v>399999.99999542226</v>
      </c>
    </row>
    <row r="10093" spans="26:26" x14ac:dyDescent="0.25">
      <c r="Z10093">
        <v>399999.99999543367</v>
      </c>
    </row>
    <row r="10094" spans="26:26" x14ac:dyDescent="0.25">
      <c r="Z10094">
        <v>399999.99999544508</v>
      </c>
    </row>
    <row r="10095" spans="26:26" x14ac:dyDescent="0.25">
      <c r="Z10095">
        <v>399999.99999545637</v>
      </c>
    </row>
    <row r="10096" spans="26:26" x14ac:dyDescent="0.25">
      <c r="Z10096">
        <v>399999.99999546772</v>
      </c>
    </row>
    <row r="10097" spans="26:26" x14ac:dyDescent="0.25">
      <c r="Z10097">
        <v>399999.99999547901</v>
      </c>
    </row>
    <row r="10098" spans="26:26" x14ac:dyDescent="0.25">
      <c r="Z10098">
        <v>399999.9999954903</v>
      </c>
    </row>
    <row r="10099" spans="26:26" x14ac:dyDescent="0.25">
      <c r="Z10099">
        <v>399999.99999550154</v>
      </c>
    </row>
    <row r="10100" spans="26:26" x14ac:dyDescent="0.25">
      <c r="Z10100">
        <v>399999.99999551277</v>
      </c>
    </row>
    <row r="10101" spans="26:26" x14ac:dyDescent="0.25">
      <c r="Z10101">
        <v>399999.99999552395</v>
      </c>
    </row>
    <row r="10102" spans="26:26" x14ac:dyDescent="0.25">
      <c r="Z10102">
        <v>399999.99999553512</v>
      </c>
    </row>
    <row r="10103" spans="26:26" x14ac:dyDescent="0.25">
      <c r="Z10103">
        <v>399999.9999955463</v>
      </c>
    </row>
    <row r="10104" spans="26:26" x14ac:dyDescent="0.25">
      <c r="Z10104">
        <v>399999.99999555736</v>
      </c>
    </row>
    <row r="10105" spans="26:26" x14ac:dyDescent="0.25">
      <c r="Z10105">
        <v>399999.99999556842</v>
      </c>
    </row>
    <row r="10106" spans="26:26" x14ac:dyDescent="0.25">
      <c r="Z10106">
        <v>399999.99999557948</v>
      </c>
    </row>
    <row r="10107" spans="26:26" x14ac:dyDescent="0.25">
      <c r="Z10107">
        <v>399999.99999559048</v>
      </c>
    </row>
    <row r="10108" spans="26:26" x14ac:dyDescent="0.25">
      <c r="Z10108">
        <v>399999.99999560148</v>
      </c>
    </row>
    <row r="10109" spans="26:26" x14ac:dyDescent="0.25">
      <c r="Z10109">
        <v>399999.99999561248</v>
      </c>
    </row>
    <row r="10110" spans="26:26" x14ac:dyDescent="0.25">
      <c r="Z10110">
        <v>399999.99999562342</v>
      </c>
    </row>
    <row r="10111" spans="26:26" x14ac:dyDescent="0.25">
      <c r="Z10111">
        <v>399999.99999563431</v>
      </c>
    </row>
    <row r="10112" spans="26:26" x14ac:dyDescent="0.25">
      <c r="Z10112">
        <v>399999.99999564519</v>
      </c>
    </row>
    <row r="10113" spans="26:26" x14ac:dyDescent="0.25">
      <c r="Z10113">
        <v>399999.99999565614</v>
      </c>
    </row>
    <row r="10114" spans="26:26" x14ac:dyDescent="0.25">
      <c r="Z10114">
        <v>399999.99999566691</v>
      </c>
    </row>
    <row r="10115" spans="26:26" x14ac:dyDescent="0.25">
      <c r="Z10115">
        <v>399999.99999567773</v>
      </c>
    </row>
    <row r="10116" spans="26:26" x14ac:dyDescent="0.25">
      <c r="Z10116">
        <v>399999.9999956885</v>
      </c>
    </row>
    <row r="10117" spans="26:26" x14ac:dyDescent="0.25">
      <c r="Z10117">
        <v>399999.99999569927</v>
      </c>
    </row>
    <row r="10118" spans="26:26" x14ac:dyDescent="0.25">
      <c r="Z10118">
        <v>399999.99999570998</v>
      </c>
    </row>
    <row r="10119" spans="26:26" x14ac:dyDescent="0.25">
      <c r="Z10119">
        <v>399999.99999572063</v>
      </c>
    </row>
    <row r="10120" spans="26:26" x14ac:dyDescent="0.25">
      <c r="Z10120">
        <v>399999.99999573134</v>
      </c>
    </row>
    <row r="10121" spans="26:26" x14ac:dyDescent="0.25">
      <c r="Z10121">
        <v>399999.99999574199</v>
      </c>
    </row>
    <row r="10122" spans="26:26" x14ac:dyDescent="0.25">
      <c r="Z10122">
        <v>399999.99999575259</v>
      </c>
    </row>
    <row r="10123" spans="26:26" x14ac:dyDescent="0.25">
      <c r="Z10123">
        <v>399999.99999576318</v>
      </c>
    </row>
    <row r="10124" spans="26:26" x14ac:dyDescent="0.25">
      <c r="Z10124">
        <v>399999.99999577377</v>
      </c>
    </row>
    <row r="10125" spans="26:26" x14ac:dyDescent="0.25">
      <c r="Z10125">
        <v>399999.99999578431</v>
      </c>
    </row>
    <row r="10126" spans="26:26" x14ac:dyDescent="0.25">
      <c r="Z10126">
        <v>399999.99999579479</v>
      </c>
    </row>
    <row r="10127" spans="26:26" x14ac:dyDescent="0.25">
      <c r="Z10127">
        <v>399999.99999580532</v>
      </c>
    </row>
    <row r="10128" spans="26:26" x14ac:dyDescent="0.25">
      <c r="Z10128">
        <v>399999.99999581574</v>
      </c>
    </row>
    <row r="10129" spans="26:26" x14ac:dyDescent="0.25">
      <c r="Z10129">
        <v>399999.99999582622</v>
      </c>
    </row>
    <row r="10130" spans="26:26" x14ac:dyDescent="0.25">
      <c r="Z10130">
        <v>399999.99999583658</v>
      </c>
    </row>
    <row r="10131" spans="26:26" x14ac:dyDescent="0.25">
      <c r="Z10131">
        <v>399999.999995847</v>
      </c>
    </row>
    <row r="10132" spans="26:26" x14ac:dyDescent="0.25">
      <c r="Z10132">
        <v>399999.99999585736</v>
      </c>
    </row>
    <row r="10133" spans="26:26" x14ac:dyDescent="0.25">
      <c r="Z10133">
        <v>399999.99999586772</v>
      </c>
    </row>
    <row r="10134" spans="26:26" x14ac:dyDescent="0.25">
      <c r="Z10134">
        <v>399999.99999587797</v>
      </c>
    </row>
    <row r="10135" spans="26:26" x14ac:dyDescent="0.25">
      <c r="Z10135">
        <v>399999.99999588827</v>
      </c>
    </row>
    <row r="10136" spans="26:26" x14ac:dyDescent="0.25">
      <c r="Z10136">
        <v>399999.99999589851</v>
      </c>
    </row>
    <row r="10137" spans="26:26" x14ac:dyDescent="0.25">
      <c r="Z10137">
        <v>399999.9999959087</v>
      </c>
    </row>
    <row r="10138" spans="26:26" x14ac:dyDescent="0.25">
      <c r="Z10138">
        <v>399999.99999591894</v>
      </c>
    </row>
    <row r="10139" spans="26:26" x14ac:dyDescent="0.25">
      <c r="Z10139">
        <v>399999.99999592907</v>
      </c>
    </row>
    <row r="10140" spans="26:26" x14ac:dyDescent="0.25">
      <c r="Z10140">
        <v>399999.99999593926</v>
      </c>
    </row>
    <row r="10141" spans="26:26" x14ac:dyDescent="0.25">
      <c r="Z10141">
        <v>399999.99999594945</v>
      </c>
    </row>
    <row r="10142" spans="26:26" x14ac:dyDescent="0.25">
      <c r="Z10142">
        <v>399999.99999595946</v>
      </c>
    </row>
    <row r="10143" spans="26:26" x14ac:dyDescent="0.25">
      <c r="Z10143">
        <v>399999.99999596959</v>
      </c>
    </row>
    <row r="10144" spans="26:26" x14ac:dyDescent="0.25">
      <c r="Z10144">
        <v>399999.99999597966</v>
      </c>
    </row>
    <row r="10145" spans="26:26" x14ac:dyDescent="0.25">
      <c r="Z10145">
        <v>399999.99999598967</v>
      </c>
    </row>
    <row r="10146" spans="26:26" x14ac:dyDescent="0.25">
      <c r="Z10146">
        <v>399999.99999599968</v>
      </c>
    </row>
    <row r="10147" spans="26:26" x14ac:dyDescent="0.25">
      <c r="Z10147">
        <v>399999.99999600963</v>
      </c>
    </row>
    <row r="10148" spans="26:26" x14ac:dyDescent="0.25">
      <c r="Z10148">
        <v>399999.99999601959</v>
      </c>
    </row>
    <row r="10149" spans="26:26" x14ac:dyDescent="0.25">
      <c r="Z10149">
        <v>399999.99999602948</v>
      </c>
    </row>
    <row r="10150" spans="26:26" x14ac:dyDescent="0.25">
      <c r="Z10150">
        <v>399999.99999603943</v>
      </c>
    </row>
    <row r="10151" spans="26:26" x14ac:dyDescent="0.25">
      <c r="Z10151">
        <v>399999.99999604927</v>
      </c>
    </row>
    <row r="10152" spans="26:26" x14ac:dyDescent="0.25">
      <c r="Z10152">
        <v>399999.99999605917</v>
      </c>
    </row>
    <row r="10153" spans="26:26" x14ac:dyDescent="0.25">
      <c r="Z10153">
        <v>399999.99999606895</v>
      </c>
    </row>
    <row r="10154" spans="26:26" x14ac:dyDescent="0.25">
      <c r="Z10154">
        <v>399999.99999607872</v>
      </c>
    </row>
    <row r="10155" spans="26:26" x14ac:dyDescent="0.25">
      <c r="Z10155">
        <v>399999.9999960885</v>
      </c>
    </row>
    <row r="10156" spans="26:26" x14ac:dyDescent="0.25">
      <c r="Z10156">
        <v>399999.99999609828</v>
      </c>
    </row>
    <row r="10157" spans="26:26" x14ac:dyDescent="0.25">
      <c r="Z10157">
        <v>399999.99999610806</v>
      </c>
    </row>
    <row r="10158" spans="26:26" x14ac:dyDescent="0.25">
      <c r="Z10158">
        <v>399999.99999611772</v>
      </c>
    </row>
    <row r="10159" spans="26:26" x14ac:dyDescent="0.25">
      <c r="Z10159">
        <v>399999.99999612739</v>
      </c>
    </row>
    <row r="10160" spans="26:26" x14ac:dyDescent="0.25">
      <c r="Z10160">
        <v>399999.99999613711</v>
      </c>
    </row>
    <row r="10161" spans="26:26" x14ac:dyDescent="0.25">
      <c r="Z10161">
        <v>399999.99999614671</v>
      </c>
    </row>
    <row r="10162" spans="26:26" x14ac:dyDescent="0.25">
      <c r="Z10162">
        <v>399999.99999615632</v>
      </c>
    </row>
    <row r="10163" spans="26:26" x14ac:dyDescent="0.25">
      <c r="Z10163">
        <v>399999.99999616592</v>
      </c>
    </row>
    <row r="10164" spans="26:26" x14ac:dyDescent="0.25">
      <c r="Z10164">
        <v>399999.99999617541</v>
      </c>
    </row>
    <row r="10165" spans="26:26" x14ac:dyDescent="0.25">
      <c r="Z10165">
        <v>399999.99999618495</v>
      </c>
    </row>
    <row r="10166" spans="26:26" x14ac:dyDescent="0.25">
      <c r="Z10166">
        <v>399999.9999961945</v>
      </c>
    </row>
    <row r="10167" spans="26:26" x14ac:dyDescent="0.25">
      <c r="Z10167">
        <v>399999.99999620399</v>
      </c>
    </row>
    <row r="10168" spans="26:26" x14ac:dyDescent="0.25">
      <c r="Z10168">
        <v>399999.99999621348</v>
      </c>
    </row>
    <row r="10169" spans="26:26" x14ac:dyDescent="0.25">
      <c r="Z10169">
        <v>399999.9999962229</v>
      </c>
    </row>
    <row r="10170" spans="26:26" x14ac:dyDescent="0.25">
      <c r="Z10170">
        <v>399999.99999623233</v>
      </c>
    </row>
    <row r="10171" spans="26:26" x14ac:dyDescent="0.25">
      <c r="Z10171">
        <v>399999.99999624171</v>
      </c>
    </row>
    <row r="10172" spans="26:26" x14ac:dyDescent="0.25">
      <c r="Z10172">
        <v>399999.99999625114</v>
      </c>
    </row>
    <row r="10173" spans="26:26" x14ac:dyDescent="0.25">
      <c r="Z10173">
        <v>399999.99999626045</v>
      </c>
    </row>
    <row r="10174" spans="26:26" x14ac:dyDescent="0.25">
      <c r="Z10174">
        <v>399999.99999626976</v>
      </c>
    </row>
    <row r="10175" spans="26:26" x14ac:dyDescent="0.25">
      <c r="Z10175">
        <v>399999.99999627913</v>
      </c>
    </row>
    <row r="10176" spans="26:26" x14ac:dyDescent="0.25">
      <c r="Z10176">
        <v>399999.99999628839</v>
      </c>
    </row>
    <row r="10177" spans="26:26" x14ac:dyDescent="0.25">
      <c r="Z10177">
        <v>399999.99999629764</v>
      </c>
    </row>
    <row r="10178" spans="26:26" x14ac:dyDescent="0.25">
      <c r="Z10178">
        <v>399999.99999630684</v>
      </c>
    </row>
    <row r="10179" spans="26:26" x14ac:dyDescent="0.25">
      <c r="Z10179">
        <v>399999.99999631604</v>
      </c>
    </row>
    <row r="10180" spans="26:26" x14ac:dyDescent="0.25">
      <c r="Z10180">
        <v>399999.99999632523</v>
      </c>
    </row>
    <row r="10181" spans="26:26" x14ac:dyDescent="0.25">
      <c r="Z10181">
        <v>399999.99999633443</v>
      </c>
    </row>
    <row r="10182" spans="26:26" x14ac:dyDescent="0.25">
      <c r="Z10182">
        <v>399999.99999634357</v>
      </c>
    </row>
    <row r="10183" spans="26:26" x14ac:dyDescent="0.25">
      <c r="Z10183">
        <v>399999.99999635271</v>
      </c>
    </row>
    <row r="10184" spans="26:26" x14ac:dyDescent="0.25">
      <c r="Z10184">
        <v>399999.99999636173</v>
      </c>
    </row>
    <row r="10185" spans="26:26" x14ac:dyDescent="0.25">
      <c r="Z10185">
        <v>399999.99999637081</v>
      </c>
    </row>
    <row r="10186" spans="26:26" x14ac:dyDescent="0.25">
      <c r="Z10186">
        <v>399999.99999637995</v>
      </c>
    </row>
    <row r="10187" spans="26:26" x14ac:dyDescent="0.25">
      <c r="Z10187">
        <v>399999.99999638891</v>
      </c>
    </row>
    <row r="10188" spans="26:26" x14ac:dyDescent="0.25">
      <c r="Z10188">
        <v>399999.99999639794</v>
      </c>
    </row>
    <row r="10189" spans="26:26" x14ac:dyDescent="0.25">
      <c r="Z10189">
        <v>399999.9999964069</v>
      </c>
    </row>
    <row r="10190" spans="26:26" x14ac:dyDescent="0.25">
      <c r="Z10190">
        <v>399999.99999641592</v>
      </c>
    </row>
    <row r="10191" spans="26:26" x14ac:dyDescent="0.25">
      <c r="Z10191">
        <v>399999.99999642483</v>
      </c>
    </row>
    <row r="10192" spans="26:26" x14ac:dyDescent="0.25">
      <c r="Z10192">
        <v>399999.99999643373</v>
      </c>
    </row>
    <row r="10193" spans="26:26" x14ac:dyDescent="0.25">
      <c r="Z10193">
        <v>399999.99999644258</v>
      </c>
    </row>
    <row r="10194" spans="26:26" x14ac:dyDescent="0.25">
      <c r="Z10194">
        <v>399999.99999645149</v>
      </c>
    </row>
    <row r="10195" spans="26:26" x14ac:dyDescent="0.25">
      <c r="Z10195">
        <v>399999.99999646033</v>
      </c>
    </row>
    <row r="10196" spans="26:26" x14ac:dyDescent="0.25">
      <c r="Z10196">
        <v>399999.99999646912</v>
      </c>
    </row>
    <row r="10197" spans="26:26" x14ac:dyDescent="0.25">
      <c r="Z10197">
        <v>399999.99999647797</v>
      </c>
    </row>
    <row r="10198" spans="26:26" x14ac:dyDescent="0.25">
      <c r="Z10198">
        <v>399999.99999648676</v>
      </c>
    </row>
    <row r="10199" spans="26:26" x14ac:dyDescent="0.25">
      <c r="Z10199">
        <v>399999.99999649555</v>
      </c>
    </row>
    <row r="10200" spans="26:26" x14ac:dyDescent="0.25">
      <c r="Z10200">
        <v>399999.99999650428</v>
      </c>
    </row>
    <row r="10201" spans="26:26" x14ac:dyDescent="0.25">
      <c r="Z10201">
        <v>399999.99999651295</v>
      </c>
    </row>
    <row r="10202" spans="26:26" x14ac:dyDescent="0.25">
      <c r="Z10202">
        <v>399999.99999652168</v>
      </c>
    </row>
    <row r="10203" spans="26:26" x14ac:dyDescent="0.25">
      <c r="Z10203">
        <v>399999.9999965303</v>
      </c>
    </row>
    <row r="10204" spans="26:26" x14ac:dyDescent="0.25">
      <c r="Z10204">
        <v>399999.99999653897</v>
      </c>
    </row>
    <row r="10205" spans="26:26" x14ac:dyDescent="0.25">
      <c r="Z10205">
        <v>399999.99999654759</v>
      </c>
    </row>
    <row r="10206" spans="26:26" x14ac:dyDescent="0.25">
      <c r="Z10206">
        <v>399999.99999655626</v>
      </c>
    </row>
    <row r="10207" spans="26:26" x14ac:dyDescent="0.25">
      <c r="Z10207">
        <v>399999.99999656482</v>
      </c>
    </row>
    <row r="10208" spans="26:26" x14ac:dyDescent="0.25">
      <c r="Z10208">
        <v>399999.99999657337</v>
      </c>
    </row>
    <row r="10209" spans="26:26" x14ac:dyDescent="0.25">
      <c r="Z10209">
        <v>399999.99999658193</v>
      </c>
    </row>
    <row r="10210" spans="26:26" x14ac:dyDescent="0.25">
      <c r="Z10210">
        <v>399999.99999659043</v>
      </c>
    </row>
    <row r="10211" spans="26:26" x14ac:dyDescent="0.25">
      <c r="Z10211">
        <v>399999.99999659893</v>
      </c>
    </row>
    <row r="10212" spans="26:26" x14ac:dyDescent="0.25">
      <c r="Z10212">
        <v>399999.99999660737</v>
      </c>
    </row>
    <row r="10213" spans="26:26" x14ac:dyDescent="0.25">
      <c r="Z10213">
        <v>399999.99999661592</v>
      </c>
    </row>
    <row r="10214" spans="26:26" x14ac:dyDescent="0.25">
      <c r="Z10214">
        <v>399999.99999662436</v>
      </c>
    </row>
    <row r="10215" spans="26:26" x14ac:dyDescent="0.25">
      <c r="Z10215">
        <v>399999.99999663275</v>
      </c>
    </row>
    <row r="10216" spans="26:26" x14ac:dyDescent="0.25">
      <c r="Z10216">
        <v>399999.99999664119</v>
      </c>
    </row>
    <row r="10217" spans="26:26" x14ac:dyDescent="0.25">
      <c r="Z10217">
        <v>399999.99999664951</v>
      </c>
    </row>
    <row r="10218" spans="26:26" x14ac:dyDescent="0.25">
      <c r="Z10218">
        <v>399999.99999665789</v>
      </c>
    </row>
    <row r="10219" spans="26:26" x14ac:dyDescent="0.25">
      <c r="Z10219">
        <v>399999.99999666621</v>
      </c>
    </row>
    <row r="10220" spans="26:26" x14ac:dyDescent="0.25">
      <c r="Z10220">
        <v>399999.99999667454</v>
      </c>
    </row>
    <row r="10221" spans="26:26" x14ac:dyDescent="0.25">
      <c r="Z10221">
        <v>399999.99999668286</v>
      </c>
    </row>
    <row r="10222" spans="26:26" x14ac:dyDescent="0.25">
      <c r="Z10222">
        <v>399999.99999669107</v>
      </c>
    </row>
    <row r="10223" spans="26:26" x14ac:dyDescent="0.25">
      <c r="Z10223">
        <v>399999.99999669933</v>
      </c>
    </row>
    <row r="10224" spans="26:26" x14ac:dyDescent="0.25">
      <c r="Z10224">
        <v>399999.9999967076</v>
      </c>
    </row>
    <row r="10225" spans="26:26" x14ac:dyDescent="0.25">
      <c r="Z10225">
        <v>399999.99999671575</v>
      </c>
    </row>
    <row r="10226" spans="26:26" x14ac:dyDescent="0.25">
      <c r="Z10226">
        <v>399999.99999672401</v>
      </c>
    </row>
    <row r="10227" spans="26:26" x14ac:dyDescent="0.25">
      <c r="Z10227">
        <v>399999.99999673216</v>
      </c>
    </row>
    <row r="10228" spans="26:26" x14ac:dyDescent="0.25">
      <c r="Z10228">
        <v>399999.99999674025</v>
      </c>
    </row>
    <row r="10229" spans="26:26" x14ac:dyDescent="0.25">
      <c r="Z10229">
        <v>399999.9999967484</v>
      </c>
    </row>
    <row r="10230" spans="26:26" x14ac:dyDescent="0.25">
      <c r="Z10230">
        <v>399999.99999675655</v>
      </c>
    </row>
    <row r="10231" spans="26:26" x14ac:dyDescent="0.25">
      <c r="Z10231">
        <v>399999.99999676464</v>
      </c>
    </row>
    <row r="10232" spans="26:26" x14ac:dyDescent="0.25">
      <c r="Z10232">
        <v>399999.99999677268</v>
      </c>
    </row>
    <row r="10233" spans="26:26" x14ac:dyDescent="0.25">
      <c r="Z10233">
        <v>399999.99999678077</v>
      </c>
    </row>
    <row r="10234" spans="26:26" x14ac:dyDescent="0.25">
      <c r="Z10234">
        <v>399999.9999967888</v>
      </c>
    </row>
    <row r="10235" spans="26:26" x14ac:dyDescent="0.25">
      <c r="Z10235">
        <v>399999.99999679677</v>
      </c>
    </row>
    <row r="10236" spans="26:26" x14ac:dyDescent="0.25">
      <c r="Z10236">
        <v>399999.99999680475</v>
      </c>
    </row>
    <row r="10237" spans="26:26" x14ac:dyDescent="0.25">
      <c r="Z10237">
        <v>399999.99999681272</v>
      </c>
    </row>
    <row r="10238" spans="26:26" x14ac:dyDescent="0.25">
      <c r="Z10238">
        <v>399999.9999968207</v>
      </c>
    </row>
    <row r="10239" spans="26:26" x14ac:dyDescent="0.25">
      <c r="Z10239">
        <v>399999.99999682861</v>
      </c>
    </row>
    <row r="10240" spans="26:26" x14ac:dyDescent="0.25">
      <c r="Z10240">
        <v>399999.99999683653</v>
      </c>
    </row>
    <row r="10241" spans="26:26" x14ac:dyDescent="0.25">
      <c r="Z10241">
        <v>399999.99999684439</v>
      </c>
    </row>
    <row r="10242" spans="26:26" x14ac:dyDescent="0.25">
      <c r="Z10242">
        <v>399999.9999968523</v>
      </c>
    </row>
    <row r="10243" spans="26:26" x14ac:dyDescent="0.25">
      <c r="Z10243">
        <v>399999.9999968601</v>
      </c>
    </row>
    <row r="10244" spans="26:26" x14ac:dyDescent="0.25">
      <c r="Z10244">
        <v>399999.99999686796</v>
      </c>
    </row>
    <row r="10245" spans="26:26" x14ac:dyDescent="0.25">
      <c r="Z10245">
        <v>399999.99999687576</v>
      </c>
    </row>
    <row r="10246" spans="26:26" x14ac:dyDescent="0.25">
      <c r="Z10246">
        <v>399999.99999688356</v>
      </c>
    </row>
    <row r="10247" spans="26:26" x14ac:dyDescent="0.25">
      <c r="Z10247">
        <v>399999.99999689136</v>
      </c>
    </row>
    <row r="10248" spans="26:26" x14ac:dyDescent="0.25">
      <c r="Z10248">
        <v>399999.9999968991</v>
      </c>
    </row>
    <row r="10249" spans="26:26" x14ac:dyDescent="0.25">
      <c r="Z10249">
        <v>399999.99999690679</v>
      </c>
    </row>
    <row r="10250" spans="26:26" x14ac:dyDescent="0.25">
      <c r="Z10250">
        <v>399999.99999691453</v>
      </c>
    </row>
    <row r="10251" spans="26:26" x14ac:dyDescent="0.25">
      <c r="Z10251">
        <v>399999.99999692221</v>
      </c>
    </row>
    <row r="10252" spans="26:26" x14ac:dyDescent="0.25">
      <c r="Z10252">
        <v>399999.9999969299</v>
      </c>
    </row>
    <row r="10253" spans="26:26" x14ac:dyDescent="0.25">
      <c r="Z10253">
        <v>399999.99999693752</v>
      </c>
    </row>
    <row r="10254" spans="26:26" x14ac:dyDescent="0.25">
      <c r="Z10254">
        <v>399999.9999969452</v>
      </c>
    </row>
    <row r="10255" spans="26:26" x14ac:dyDescent="0.25">
      <c r="Z10255">
        <v>399999.99999695283</v>
      </c>
    </row>
    <row r="10256" spans="26:26" x14ac:dyDescent="0.25">
      <c r="Z10256">
        <v>399999.9999969604</v>
      </c>
    </row>
    <row r="10257" spans="26:26" x14ac:dyDescent="0.25">
      <c r="Z10257">
        <v>399999.99999696796</v>
      </c>
    </row>
    <row r="10258" spans="26:26" x14ac:dyDescent="0.25">
      <c r="Z10258">
        <v>399999.99999697553</v>
      </c>
    </row>
    <row r="10259" spans="26:26" x14ac:dyDescent="0.25">
      <c r="Z10259">
        <v>399999.99999698304</v>
      </c>
    </row>
    <row r="10260" spans="26:26" x14ac:dyDescent="0.25">
      <c r="Z10260">
        <v>399999.99999699061</v>
      </c>
    </row>
    <row r="10261" spans="26:26" x14ac:dyDescent="0.25">
      <c r="Z10261">
        <v>399999.99999699811</v>
      </c>
    </row>
    <row r="10262" spans="26:26" x14ac:dyDescent="0.25">
      <c r="Z10262">
        <v>399999.99999700557</v>
      </c>
    </row>
    <row r="10263" spans="26:26" x14ac:dyDescent="0.25">
      <c r="Z10263">
        <v>399999.99999701307</v>
      </c>
    </row>
    <row r="10264" spans="26:26" x14ac:dyDescent="0.25">
      <c r="Z10264">
        <v>399999.99999702047</v>
      </c>
    </row>
    <row r="10265" spans="26:26" x14ac:dyDescent="0.25">
      <c r="Z10265">
        <v>399999.99999702798</v>
      </c>
    </row>
    <row r="10266" spans="26:26" x14ac:dyDescent="0.25">
      <c r="Z10266">
        <v>399999.99999703537</v>
      </c>
    </row>
    <row r="10267" spans="26:26" x14ac:dyDescent="0.25">
      <c r="Z10267">
        <v>399999.99999704276</v>
      </c>
    </row>
    <row r="10268" spans="26:26" x14ac:dyDescent="0.25">
      <c r="Z10268">
        <v>399999.99999705015</v>
      </c>
    </row>
    <row r="10269" spans="26:26" x14ac:dyDescent="0.25">
      <c r="Z10269">
        <v>399999.99999705749</v>
      </c>
    </row>
    <row r="10270" spans="26:26" x14ac:dyDescent="0.25">
      <c r="Z10270">
        <v>399999.99999706482</v>
      </c>
    </row>
    <row r="10271" spans="26:26" x14ac:dyDescent="0.25">
      <c r="Z10271">
        <v>399999.99999707215</v>
      </c>
    </row>
    <row r="10272" spans="26:26" x14ac:dyDescent="0.25">
      <c r="Z10272">
        <v>399999.99999707943</v>
      </c>
    </row>
    <row r="10273" spans="26:26" x14ac:dyDescent="0.25">
      <c r="Z10273">
        <v>399999.99999708676</v>
      </c>
    </row>
    <row r="10274" spans="26:26" x14ac:dyDescent="0.25">
      <c r="Z10274">
        <v>399999.99999709404</v>
      </c>
    </row>
    <row r="10275" spans="26:26" x14ac:dyDescent="0.25">
      <c r="Z10275">
        <v>399999.99999710126</v>
      </c>
    </row>
    <row r="10276" spans="26:26" x14ac:dyDescent="0.25">
      <c r="Z10276">
        <v>399999.99999710848</v>
      </c>
    </row>
    <row r="10277" spans="26:26" x14ac:dyDescent="0.25">
      <c r="Z10277">
        <v>399999.99999711569</v>
      </c>
    </row>
    <row r="10278" spans="26:26" x14ac:dyDescent="0.25">
      <c r="Z10278">
        <v>399999.99999712285</v>
      </c>
    </row>
    <row r="10279" spans="26:26" x14ac:dyDescent="0.25">
      <c r="Z10279">
        <v>399999.99999713007</v>
      </c>
    </row>
    <row r="10280" spans="26:26" x14ac:dyDescent="0.25">
      <c r="Z10280">
        <v>399999.99999713723</v>
      </c>
    </row>
    <row r="10281" spans="26:26" x14ac:dyDescent="0.25">
      <c r="Z10281">
        <v>399999.99999714433</v>
      </c>
    </row>
    <row r="10282" spans="26:26" x14ac:dyDescent="0.25">
      <c r="Z10282">
        <v>399999.99999715143</v>
      </c>
    </row>
    <row r="10283" spans="26:26" x14ac:dyDescent="0.25">
      <c r="Z10283">
        <v>399999.99999715859</v>
      </c>
    </row>
    <row r="10284" spans="26:26" x14ac:dyDescent="0.25">
      <c r="Z10284">
        <v>399999.99999716564</v>
      </c>
    </row>
    <row r="10285" spans="26:26" x14ac:dyDescent="0.25">
      <c r="Z10285">
        <v>399999.99999717274</v>
      </c>
    </row>
    <row r="10286" spans="26:26" x14ac:dyDescent="0.25">
      <c r="Z10286">
        <v>399999.99999717972</v>
      </c>
    </row>
    <row r="10287" spans="26:26" x14ac:dyDescent="0.25">
      <c r="Z10287">
        <v>399999.99999718682</v>
      </c>
    </row>
    <row r="10288" spans="26:26" x14ac:dyDescent="0.25">
      <c r="Z10288">
        <v>399999.99999719381</v>
      </c>
    </row>
    <row r="10289" spans="26:26" x14ac:dyDescent="0.25">
      <c r="Z10289">
        <v>399999.99999720079</v>
      </c>
    </row>
    <row r="10290" spans="26:26" x14ac:dyDescent="0.25">
      <c r="Z10290">
        <v>399999.99999720778</v>
      </c>
    </row>
    <row r="10291" spans="26:26" x14ac:dyDescent="0.25">
      <c r="Z10291">
        <v>399999.99999721476</v>
      </c>
    </row>
    <row r="10292" spans="26:26" x14ac:dyDescent="0.25">
      <c r="Z10292">
        <v>399999.99999722169</v>
      </c>
    </row>
    <row r="10293" spans="26:26" x14ac:dyDescent="0.25">
      <c r="Z10293">
        <v>399999.99999722868</v>
      </c>
    </row>
    <row r="10294" spans="26:26" x14ac:dyDescent="0.25">
      <c r="Z10294">
        <v>399999.99999723554</v>
      </c>
    </row>
    <row r="10295" spans="26:26" x14ac:dyDescent="0.25">
      <c r="Z10295">
        <v>399999.99999724247</v>
      </c>
    </row>
    <row r="10296" spans="26:26" x14ac:dyDescent="0.25">
      <c r="Z10296">
        <v>399999.99999724934</v>
      </c>
    </row>
    <row r="10297" spans="26:26" x14ac:dyDescent="0.25">
      <c r="Z10297">
        <v>399999.99999725621</v>
      </c>
    </row>
    <row r="10298" spans="26:26" x14ac:dyDescent="0.25">
      <c r="Z10298">
        <v>399999.99999726302</v>
      </c>
    </row>
    <row r="10299" spans="26:26" x14ac:dyDescent="0.25">
      <c r="Z10299">
        <v>399999.99999726989</v>
      </c>
    </row>
    <row r="10300" spans="26:26" x14ac:dyDescent="0.25">
      <c r="Z10300">
        <v>399999.99999727664</v>
      </c>
    </row>
    <row r="10301" spans="26:26" x14ac:dyDescent="0.25">
      <c r="Z10301">
        <v>399999.99999728345</v>
      </c>
    </row>
    <row r="10302" spans="26:26" x14ac:dyDescent="0.25">
      <c r="Z10302">
        <v>399999.9999972902</v>
      </c>
    </row>
    <row r="10303" spans="26:26" x14ac:dyDescent="0.25">
      <c r="Z10303">
        <v>399999.99999729701</v>
      </c>
    </row>
    <row r="10304" spans="26:26" x14ac:dyDescent="0.25">
      <c r="Z10304">
        <v>399999.9999973037</v>
      </c>
    </row>
    <row r="10305" spans="26:26" x14ac:dyDescent="0.25">
      <c r="Z10305">
        <v>399999.99999731046</v>
      </c>
    </row>
    <row r="10306" spans="26:26" x14ac:dyDescent="0.25">
      <c r="Z10306">
        <v>399999.99999731715</v>
      </c>
    </row>
    <row r="10307" spans="26:26" x14ac:dyDescent="0.25">
      <c r="Z10307">
        <v>399999.99999732379</v>
      </c>
    </row>
    <row r="10308" spans="26:26" x14ac:dyDescent="0.25">
      <c r="Z10308">
        <v>399999.99999733054</v>
      </c>
    </row>
    <row r="10309" spans="26:26" x14ac:dyDescent="0.25">
      <c r="Z10309">
        <v>399999.99999733717</v>
      </c>
    </row>
    <row r="10310" spans="26:26" x14ac:dyDescent="0.25">
      <c r="Z10310">
        <v>399999.99999734381</v>
      </c>
    </row>
    <row r="10311" spans="26:26" x14ac:dyDescent="0.25">
      <c r="Z10311">
        <v>399999.99999735039</v>
      </c>
    </row>
    <row r="10312" spans="26:26" x14ac:dyDescent="0.25">
      <c r="Z10312">
        <v>399999.99999735702</v>
      </c>
    </row>
    <row r="10313" spans="26:26" x14ac:dyDescent="0.25">
      <c r="Z10313">
        <v>399999.9999973636</v>
      </c>
    </row>
    <row r="10314" spans="26:26" x14ac:dyDescent="0.25">
      <c r="Z10314">
        <v>399999.99999737024</v>
      </c>
    </row>
    <row r="10315" spans="26:26" x14ac:dyDescent="0.25">
      <c r="Z10315">
        <v>399999.99999737676</v>
      </c>
    </row>
    <row r="10316" spans="26:26" x14ac:dyDescent="0.25">
      <c r="Z10316">
        <v>399999.99999738333</v>
      </c>
    </row>
    <row r="10317" spans="26:26" x14ac:dyDescent="0.25">
      <c r="Z10317">
        <v>399999.99999738985</v>
      </c>
    </row>
    <row r="10318" spans="26:26" x14ac:dyDescent="0.25">
      <c r="Z10318">
        <v>399999.99999739631</v>
      </c>
    </row>
    <row r="10319" spans="26:26" x14ac:dyDescent="0.25">
      <c r="Z10319">
        <v>399999.99999740283</v>
      </c>
    </row>
    <row r="10320" spans="26:26" x14ac:dyDescent="0.25">
      <c r="Z10320">
        <v>399999.99999740929</v>
      </c>
    </row>
    <row r="10321" spans="26:26" x14ac:dyDescent="0.25">
      <c r="Z10321">
        <v>399999.99999741581</v>
      </c>
    </row>
    <row r="10322" spans="26:26" x14ac:dyDescent="0.25">
      <c r="Z10322">
        <v>399999.99999742222</v>
      </c>
    </row>
    <row r="10323" spans="26:26" x14ac:dyDescent="0.25">
      <c r="Z10323">
        <v>399999.99999742862</v>
      </c>
    </row>
    <row r="10324" spans="26:26" x14ac:dyDescent="0.25">
      <c r="Z10324">
        <v>399999.99999743508</v>
      </c>
    </row>
    <row r="10325" spans="26:26" x14ac:dyDescent="0.25">
      <c r="Z10325">
        <v>399999.99999744142</v>
      </c>
    </row>
    <row r="10326" spans="26:26" x14ac:dyDescent="0.25">
      <c r="Z10326">
        <v>399999.99999744789</v>
      </c>
    </row>
    <row r="10327" spans="26:26" x14ac:dyDescent="0.25">
      <c r="Z10327">
        <v>399999.99999745423</v>
      </c>
    </row>
    <row r="10328" spans="26:26" x14ac:dyDescent="0.25">
      <c r="Z10328">
        <v>399999.99999746057</v>
      </c>
    </row>
    <row r="10329" spans="26:26" x14ac:dyDescent="0.25">
      <c r="Z10329">
        <v>399999.99999746686</v>
      </c>
    </row>
    <row r="10330" spans="26:26" x14ac:dyDescent="0.25">
      <c r="Z10330">
        <v>399999.99999747321</v>
      </c>
    </row>
    <row r="10331" spans="26:26" x14ac:dyDescent="0.25">
      <c r="Z10331">
        <v>399999.99999747949</v>
      </c>
    </row>
    <row r="10332" spans="26:26" x14ac:dyDescent="0.25">
      <c r="Z10332">
        <v>399999.99999748578</v>
      </c>
    </row>
    <row r="10333" spans="26:26" x14ac:dyDescent="0.25">
      <c r="Z10333">
        <v>399999.99999749206</v>
      </c>
    </row>
    <row r="10334" spans="26:26" x14ac:dyDescent="0.25">
      <c r="Z10334">
        <v>399999.99999749829</v>
      </c>
    </row>
    <row r="10335" spans="26:26" x14ac:dyDescent="0.25">
      <c r="Z10335">
        <v>399999.99999750458</v>
      </c>
    </row>
    <row r="10336" spans="26:26" x14ac:dyDescent="0.25">
      <c r="Z10336">
        <v>399999.99999751081</v>
      </c>
    </row>
    <row r="10337" spans="26:26" x14ac:dyDescent="0.25">
      <c r="Z10337">
        <v>399999.99999751692</v>
      </c>
    </row>
    <row r="10338" spans="26:26" x14ac:dyDescent="0.25">
      <c r="Z10338">
        <v>399999.99999752315</v>
      </c>
    </row>
    <row r="10339" spans="26:26" x14ac:dyDescent="0.25">
      <c r="Z10339">
        <v>399999.99999752938</v>
      </c>
    </row>
    <row r="10340" spans="26:26" x14ac:dyDescent="0.25">
      <c r="Z10340">
        <v>399999.99999753555</v>
      </c>
    </row>
    <row r="10341" spans="26:26" x14ac:dyDescent="0.25">
      <c r="Z10341">
        <v>399999.9999975416</v>
      </c>
    </row>
    <row r="10342" spans="26:26" x14ac:dyDescent="0.25">
      <c r="Z10342">
        <v>399999.99999754777</v>
      </c>
    </row>
    <row r="10343" spans="26:26" x14ac:dyDescent="0.25">
      <c r="Z10343">
        <v>399999.99999755388</v>
      </c>
    </row>
    <row r="10344" spans="26:26" x14ac:dyDescent="0.25">
      <c r="Z10344">
        <v>399999.99999755999</v>
      </c>
    </row>
    <row r="10345" spans="26:26" x14ac:dyDescent="0.25">
      <c r="Z10345">
        <v>399999.9999975661</v>
      </c>
    </row>
    <row r="10346" spans="26:26" x14ac:dyDescent="0.25">
      <c r="Z10346">
        <v>399999.99999757216</v>
      </c>
    </row>
    <row r="10347" spans="26:26" x14ac:dyDescent="0.25">
      <c r="Z10347">
        <v>399999.99999757821</v>
      </c>
    </row>
    <row r="10348" spans="26:26" x14ac:dyDescent="0.25">
      <c r="Z10348">
        <v>399999.99999758427</v>
      </c>
    </row>
    <row r="10349" spans="26:26" x14ac:dyDescent="0.25">
      <c r="Z10349">
        <v>399999.99999759026</v>
      </c>
    </row>
    <row r="10350" spans="26:26" x14ac:dyDescent="0.25">
      <c r="Z10350">
        <v>399999.99999759631</v>
      </c>
    </row>
    <row r="10351" spans="26:26" x14ac:dyDescent="0.25">
      <c r="Z10351">
        <v>399999.99999760225</v>
      </c>
    </row>
    <row r="10352" spans="26:26" x14ac:dyDescent="0.25">
      <c r="Z10352">
        <v>399999.99999760825</v>
      </c>
    </row>
    <row r="10353" spans="26:26" x14ac:dyDescent="0.25">
      <c r="Z10353">
        <v>399999.99999761418</v>
      </c>
    </row>
    <row r="10354" spans="26:26" x14ac:dyDescent="0.25">
      <c r="Z10354">
        <v>399999.99999762018</v>
      </c>
    </row>
    <row r="10355" spans="26:26" x14ac:dyDescent="0.25">
      <c r="Z10355">
        <v>399999.99999762612</v>
      </c>
    </row>
    <row r="10356" spans="26:26" x14ac:dyDescent="0.25">
      <c r="Z10356">
        <v>399999.99999763205</v>
      </c>
    </row>
    <row r="10357" spans="26:26" x14ac:dyDescent="0.25">
      <c r="Z10357">
        <v>399999.99999763793</v>
      </c>
    </row>
    <row r="10358" spans="26:26" x14ac:dyDescent="0.25">
      <c r="Z10358">
        <v>399999.99999764387</v>
      </c>
    </row>
    <row r="10359" spans="26:26" x14ac:dyDescent="0.25">
      <c r="Z10359">
        <v>399999.99999764969</v>
      </c>
    </row>
    <row r="10360" spans="26:26" x14ac:dyDescent="0.25">
      <c r="Z10360">
        <v>399999.99999765557</v>
      </c>
    </row>
    <row r="10361" spans="26:26" x14ac:dyDescent="0.25">
      <c r="Z10361">
        <v>399999.99999766139</v>
      </c>
    </row>
    <row r="10362" spans="26:26" x14ac:dyDescent="0.25">
      <c r="Z10362">
        <v>399999.99999766721</v>
      </c>
    </row>
    <row r="10363" spans="26:26" x14ac:dyDescent="0.25">
      <c r="Z10363">
        <v>399999.99999767303</v>
      </c>
    </row>
    <row r="10364" spans="26:26" x14ac:dyDescent="0.25">
      <c r="Z10364">
        <v>399999.99999767885</v>
      </c>
    </row>
    <row r="10365" spans="26:26" x14ac:dyDescent="0.25">
      <c r="Z10365">
        <v>399999.99999768467</v>
      </c>
    </row>
    <row r="10366" spans="26:26" x14ac:dyDescent="0.25">
      <c r="Z10366">
        <v>399999.99999769044</v>
      </c>
    </row>
    <row r="10367" spans="26:26" x14ac:dyDescent="0.25">
      <c r="Z10367">
        <v>399999.9999976962</v>
      </c>
    </row>
    <row r="10368" spans="26:26" x14ac:dyDescent="0.25">
      <c r="Z10368">
        <v>399999.9999977019</v>
      </c>
    </row>
    <row r="10369" spans="26:26" x14ac:dyDescent="0.25">
      <c r="Z10369">
        <v>399999.99999770767</v>
      </c>
    </row>
    <row r="10370" spans="26:26" x14ac:dyDescent="0.25">
      <c r="Z10370">
        <v>399999.99999771337</v>
      </c>
    </row>
    <row r="10371" spans="26:26" x14ac:dyDescent="0.25">
      <c r="Z10371">
        <v>399999.99999771907</v>
      </c>
    </row>
    <row r="10372" spans="26:26" x14ac:dyDescent="0.25">
      <c r="Z10372">
        <v>399999.99999772478</v>
      </c>
    </row>
    <row r="10373" spans="26:26" x14ac:dyDescent="0.25">
      <c r="Z10373">
        <v>399999.99999773043</v>
      </c>
    </row>
    <row r="10374" spans="26:26" x14ac:dyDescent="0.25">
      <c r="Z10374">
        <v>399999.99999773613</v>
      </c>
    </row>
    <row r="10375" spans="26:26" x14ac:dyDescent="0.25">
      <c r="Z10375">
        <v>399999.99999774178</v>
      </c>
    </row>
    <row r="10376" spans="26:26" x14ac:dyDescent="0.25">
      <c r="Z10376">
        <v>399999.99999774736</v>
      </c>
    </row>
    <row r="10377" spans="26:26" x14ac:dyDescent="0.25">
      <c r="Z10377">
        <v>399999.99999775301</v>
      </c>
    </row>
    <row r="10378" spans="26:26" x14ac:dyDescent="0.25">
      <c r="Z10378">
        <v>399999.9999977586</v>
      </c>
    </row>
    <row r="10379" spans="26:26" x14ac:dyDescent="0.25">
      <c r="Z10379">
        <v>399999.99999776419</v>
      </c>
    </row>
    <row r="10380" spans="26:26" x14ac:dyDescent="0.25">
      <c r="Z10380">
        <v>399999.99999776977</v>
      </c>
    </row>
    <row r="10381" spans="26:26" x14ac:dyDescent="0.25">
      <c r="Z10381">
        <v>399999.9999977753</v>
      </c>
    </row>
    <row r="10382" spans="26:26" x14ac:dyDescent="0.25">
      <c r="Z10382">
        <v>399999.99999778089</v>
      </c>
    </row>
    <row r="10383" spans="26:26" x14ac:dyDescent="0.25">
      <c r="Z10383">
        <v>399999.99999778636</v>
      </c>
    </row>
    <row r="10384" spans="26:26" x14ac:dyDescent="0.25">
      <c r="Z10384">
        <v>399999.99999779189</v>
      </c>
    </row>
    <row r="10385" spans="26:26" x14ac:dyDescent="0.25">
      <c r="Z10385">
        <v>399999.99999779742</v>
      </c>
    </row>
    <row r="10386" spans="26:26" x14ac:dyDescent="0.25">
      <c r="Z10386">
        <v>399999.99999780295</v>
      </c>
    </row>
    <row r="10387" spans="26:26" x14ac:dyDescent="0.25">
      <c r="Z10387">
        <v>399999.99999780842</v>
      </c>
    </row>
    <row r="10388" spans="26:26" x14ac:dyDescent="0.25">
      <c r="Z10388">
        <v>399999.99999781389</v>
      </c>
    </row>
    <row r="10389" spans="26:26" x14ac:dyDescent="0.25">
      <c r="Z10389">
        <v>399999.99999781937</v>
      </c>
    </row>
    <row r="10390" spans="26:26" x14ac:dyDescent="0.25">
      <c r="Z10390">
        <v>399999.99999782478</v>
      </c>
    </row>
    <row r="10391" spans="26:26" x14ac:dyDescent="0.25">
      <c r="Z10391">
        <v>399999.99999783019</v>
      </c>
    </row>
    <row r="10392" spans="26:26" x14ac:dyDescent="0.25">
      <c r="Z10392">
        <v>399999.99999783555</v>
      </c>
    </row>
    <row r="10393" spans="26:26" x14ac:dyDescent="0.25">
      <c r="Z10393">
        <v>399999.99999784096</v>
      </c>
    </row>
    <row r="10394" spans="26:26" x14ac:dyDescent="0.25">
      <c r="Z10394">
        <v>399999.99999784637</v>
      </c>
    </row>
    <row r="10395" spans="26:26" x14ac:dyDescent="0.25">
      <c r="Z10395">
        <v>399999.99999785179</v>
      </c>
    </row>
    <row r="10396" spans="26:26" x14ac:dyDescent="0.25">
      <c r="Z10396">
        <v>399999.99999785708</v>
      </c>
    </row>
    <row r="10397" spans="26:26" x14ac:dyDescent="0.25">
      <c r="Z10397">
        <v>399999.99999786244</v>
      </c>
    </row>
    <row r="10398" spans="26:26" x14ac:dyDescent="0.25">
      <c r="Z10398">
        <v>399999.9999978678</v>
      </c>
    </row>
    <row r="10399" spans="26:26" x14ac:dyDescent="0.25">
      <c r="Z10399">
        <v>399999.99999787309</v>
      </c>
    </row>
    <row r="10400" spans="26:26" x14ac:dyDescent="0.25">
      <c r="Z10400">
        <v>399999.99999787839</v>
      </c>
    </row>
    <row r="10401" spans="26:26" x14ac:dyDescent="0.25">
      <c r="Z10401">
        <v>399999.99999788369</v>
      </c>
    </row>
    <row r="10402" spans="26:26" x14ac:dyDescent="0.25">
      <c r="Z10402">
        <v>399999.99999788898</v>
      </c>
    </row>
    <row r="10403" spans="26:26" x14ac:dyDescent="0.25">
      <c r="Z10403">
        <v>399999.99999789422</v>
      </c>
    </row>
    <row r="10404" spans="26:26" x14ac:dyDescent="0.25">
      <c r="Z10404">
        <v>399999.99999789952</v>
      </c>
    </row>
    <row r="10405" spans="26:26" x14ac:dyDescent="0.25">
      <c r="Z10405">
        <v>399999.99999790476</v>
      </c>
    </row>
    <row r="10406" spans="26:26" x14ac:dyDescent="0.25">
      <c r="Z10406">
        <v>399999.99999790994</v>
      </c>
    </row>
    <row r="10407" spans="26:26" x14ac:dyDescent="0.25">
      <c r="Z10407">
        <v>399999.99999791518</v>
      </c>
    </row>
    <row r="10408" spans="26:26" x14ac:dyDescent="0.25">
      <c r="Z10408">
        <v>399999.99999792041</v>
      </c>
    </row>
    <row r="10409" spans="26:26" x14ac:dyDescent="0.25">
      <c r="Z10409">
        <v>399999.99999792554</v>
      </c>
    </row>
    <row r="10410" spans="26:26" x14ac:dyDescent="0.25">
      <c r="Z10410">
        <v>399999.99999793072</v>
      </c>
    </row>
    <row r="10411" spans="26:26" x14ac:dyDescent="0.25">
      <c r="Z10411">
        <v>399999.99999793584</v>
      </c>
    </row>
    <row r="10412" spans="26:26" x14ac:dyDescent="0.25">
      <c r="Z10412">
        <v>399999.99999794102</v>
      </c>
    </row>
    <row r="10413" spans="26:26" x14ac:dyDescent="0.25">
      <c r="Z10413">
        <v>399999.99999794614</v>
      </c>
    </row>
    <row r="10414" spans="26:26" x14ac:dyDescent="0.25">
      <c r="Z10414">
        <v>399999.99999795126</v>
      </c>
    </row>
    <row r="10415" spans="26:26" x14ac:dyDescent="0.25">
      <c r="Z10415">
        <v>399999.99999795639</v>
      </c>
    </row>
    <row r="10416" spans="26:26" x14ac:dyDescent="0.25">
      <c r="Z10416">
        <v>399999.99999796151</v>
      </c>
    </row>
    <row r="10417" spans="26:26" x14ac:dyDescent="0.25">
      <c r="Z10417">
        <v>399999.99999796652</v>
      </c>
    </row>
    <row r="10418" spans="26:26" x14ac:dyDescent="0.25">
      <c r="Z10418">
        <v>399999.99999797164</v>
      </c>
    </row>
    <row r="10419" spans="26:26" x14ac:dyDescent="0.25">
      <c r="Z10419">
        <v>399999.9999979767</v>
      </c>
    </row>
    <row r="10420" spans="26:26" x14ac:dyDescent="0.25">
      <c r="Z10420">
        <v>399999.99999798171</v>
      </c>
    </row>
    <row r="10421" spans="26:26" x14ac:dyDescent="0.25">
      <c r="Z10421">
        <v>399999.99999798677</v>
      </c>
    </row>
    <row r="10422" spans="26:26" x14ac:dyDescent="0.25">
      <c r="Z10422">
        <v>399999.99999799178</v>
      </c>
    </row>
    <row r="10423" spans="26:26" x14ac:dyDescent="0.25">
      <c r="Z10423">
        <v>399999.99999799678</v>
      </c>
    </row>
    <row r="10424" spans="26:26" x14ac:dyDescent="0.25">
      <c r="Z10424">
        <v>399999.99999800185</v>
      </c>
    </row>
    <row r="10425" spans="26:26" x14ac:dyDescent="0.25">
      <c r="Z10425">
        <v>399999.9999980068</v>
      </c>
    </row>
    <row r="10426" spans="26:26" x14ac:dyDescent="0.25">
      <c r="Z10426">
        <v>399999.99999801174</v>
      </c>
    </row>
    <row r="10427" spans="26:26" x14ac:dyDescent="0.25">
      <c r="Z10427">
        <v>399999.99999801669</v>
      </c>
    </row>
    <row r="10428" spans="26:26" x14ac:dyDescent="0.25">
      <c r="Z10428">
        <v>399999.99999802164</v>
      </c>
    </row>
    <row r="10429" spans="26:26" x14ac:dyDescent="0.25">
      <c r="Z10429">
        <v>399999.99999802659</v>
      </c>
    </row>
    <row r="10430" spans="26:26" x14ac:dyDescent="0.25">
      <c r="Z10430">
        <v>399999.99999803153</v>
      </c>
    </row>
    <row r="10431" spans="26:26" x14ac:dyDescent="0.25">
      <c r="Z10431">
        <v>399999.99999803636</v>
      </c>
    </row>
    <row r="10432" spans="26:26" x14ac:dyDescent="0.25">
      <c r="Z10432">
        <v>399999.99999804131</v>
      </c>
    </row>
    <row r="10433" spans="26:26" x14ac:dyDescent="0.25">
      <c r="Z10433">
        <v>399999.99999804614</v>
      </c>
    </row>
    <row r="10434" spans="26:26" x14ac:dyDescent="0.25">
      <c r="Z10434">
        <v>399999.99999805109</v>
      </c>
    </row>
    <row r="10435" spans="26:26" x14ac:dyDescent="0.25">
      <c r="Z10435">
        <v>399999.99999805592</v>
      </c>
    </row>
    <row r="10436" spans="26:26" x14ac:dyDescent="0.25">
      <c r="Z10436">
        <v>399999.99999806075</v>
      </c>
    </row>
    <row r="10437" spans="26:26" x14ac:dyDescent="0.25">
      <c r="Z10437">
        <v>399999.99999806564</v>
      </c>
    </row>
    <row r="10438" spans="26:26" x14ac:dyDescent="0.25">
      <c r="Z10438">
        <v>399999.99999807042</v>
      </c>
    </row>
    <row r="10439" spans="26:26" x14ac:dyDescent="0.25">
      <c r="Z10439">
        <v>399999.99999807525</v>
      </c>
    </row>
    <row r="10440" spans="26:26" x14ac:dyDescent="0.25">
      <c r="Z10440">
        <v>399999.99999808002</v>
      </c>
    </row>
    <row r="10441" spans="26:26" x14ac:dyDescent="0.25">
      <c r="Z10441">
        <v>399999.99999808485</v>
      </c>
    </row>
    <row r="10442" spans="26:26" x14ac:dyDescent="0.25">
      <c r="Z10442">
        <v>399999.99999808962</v>
      </c>
    </row>
    <row r="10443" spans="26:26" x14ac:dyDescent="0.25">
      <c r="Z10443">
        <v>399999.9999980944</v>
      </c>
    </row>
    <row r="10444" spans="26:26" x14ac:dyDescent="0.25">
      <c r="Z10444">
        <v>399999.99999809911</v>
      </c>
    </row>
    <row r="10445" spans="26:26" x14ac:dyDescent="0.25">
      <c r="Z10445">
        <v>399999.99999810389</v>
      </c>
    </row>
    <row r="10446" spans="26:26" x14ac:dyDescent="0.25">
      <c r="Z10446">
        <v>399999.9999981086</v>
      </c>
    </row>
    <row r="10447" spans="26:26" x14ac:dyDescent="0.25">
      <c r="Z10447">
        <v>399999.99999811332</v>
      </c>
    </row>
    <row r="10448" spans="26:26" x14ac:dyDescent="0.25">
      <c r="Z10448">
        <v>399999.99999811803</v>
      </c>
    </row>
    <row r="10449" spans="26:26" x14ac:dyDescent="0.25">
      <c r="Z10449">
        <v>399999.99999812269</v>
      </c>
    </row>
    <row r="10450" spans="26:26" x14ac:dyDescent="0.25">
      <c r="Z10450">
        <v>399999.9999981274</v>
      </c>
    </row>
    <row r="10451" spans="26:26" x14ac:dyDescent="0.25">
      <c r="Z10451">
        <v>399999.99999813206</v>
      </c>
    </row>
    <row r="10452" spans="26:26" x14ac:dyDescent="0.25">
      <c r="Z10452">
        <v>399999.99999813671</v>
      </c>
    </row>
    <row r="10453" spans="26:26" x14ac:dyDescent="0.25">
      <c r="Z10453">
        <v>399999.99999814137</v>
      </c>
    </row>
    <row r="10454" spans="26:26" x14ac:dyDescent="0.25">
      <c r="Z10454">
        <v>399999.99999814597</v>
      </c>
    </row>
    <row r="10455" spans="26:26" x14ac:dyDescent="0.25">
      <c r="Z10455">
        <v>399999.99999815063</v>
      </c>
    </row>
    <row r="10456" spans="26:26" x14ac:dyDescent="0.25">
      <c r="Z10456">
        <v>399999.99999815528</v>
      </c>
    </row>
    <row r="10457" spans="26:26" x14ac:dyDescent="0.25">
      <c r="Z10457">
        <v>399999.99999815982</v>
      </c>
    </row>
    <row r="10458" spans="26:26" x14ac:dyDescent="0.25">
      <c r="Z10458">
        <v>399999.99999816442</v>
      </c>
    </row>
    <row r="10459" spans="26:26" x14ac:dyDescent="0.25">
      <c r="Z10459">
        <v>399999.99999816902</v>
      </c>
    </row>
    <row r="10460" spans="26:26" x14ac:dyDescent="0.25">
      <c r="Z10460">
        <v>399999.99999817362</v>
      </c>
    </row>
    <row r="10461" spans="26:26" x14ac:dyDescent="0.25">
      <c r="Z10461">
        <v>399999.99999817816</v>
      </c>
    </row>
    <row r="10462" spans="26:26" x14ac:dyDescent="0.25">
      <c r="Z10462">
        <v>399999.9999981827</v>
      </c>
    </row>
    <row r="10463" spans="26:26" x14ac:dyDescent="0.25">
      <c r="Z10463">
        <v>399999.99999818724</v>
      </c>
    </row>
    <row r="10464" spans="26:26" x14ac:dyDescent="0.25">
      <c r="Z10464">
        <v>399999.99999819166</v>
      </c>
    </row>
    <row r="10465" spans="26:26" x14ac:dyDescent="0.25">
      <c r="Z10465">
        <v>399999.99999819626</v>
      </c>
    </row>
    <row r="10466" spans="26:26" x14ac:dyDescent="0.25">
      <c r="Z10466">
        <v>399999.99999820074</v>
      </c>
    </row>
    <row r="10467" spans="26:26" x14ac:dyDescent="0.25">
      <c r="Z10467">
        <v>399999.99999820517</v>
      </c>
    </row>
    <row r="10468" spans="26:26" x14ac:dyDescent="0.25">
      <c r="Z10468">
        <v>399999.99999820971</v>
      </c>
    </row>
    <row r="10469" spans="26:26" x14ac:dyDescent="0.25">
      <c r="Z10469">
        <v>399999.99999821413</v>
      </c>
    </row>
    <row r="10470" spans="26:26" x14ac:dyDescent="0.25">
      <c r="Z10470">
        <v>399999.99999821861</v>
      </c>
    </row>
    <row r="10471" spans="26:26" x14ac:dyDescent="0.25">
      <c r="Z10471">
        <v>399999.99999822309</v>
      </c>
    </row>
    <row r="10472" spans="26:26" x14ac:dyDescent="0.25">
      <c r="Z10472">
        <v>399999.99999822746</v>
      </c>
    </row>
    <row r="10473" spans="26:26" x14ac:dyDescent="0.25">
      <c r="Z10473">
        <v>399999.99999823188</v>
      </c>
    </row>
    <row r="10474" spans="26:26" x14ac:dyDescent="0.25">
      <c r="Z10474">
        <v>399999.99999823637</v>
      </c>
    </row>
    <row r="10475" spans="26:26" x14ac:dyDescent="0.25">
      <c r="Z10475">
        <v>399999.99999824073</v>
      </c>
    </row>
    <row r="10476" spans="26:26" x14ac:dyDescent="0.25">
      <c r="Z10476">
        <v>399999.9999982451</v>
      </c>
    </row>
    <row r="10477" spans="26:26" x14ac:dyDescent="0.25">
      <c r="Z10477">
        <v>399999.99999824946</v>
      </c>
    </row>
    <row r="10478" spans="26:26" x14ac:dyDescent="0.25">
      <c r="Z10478">
        <v>399999.99999825383</v>
      </c>
    </row>
    <row r="10479" spans="26:26" x14ac:dyDescent="0.25">
      <c r="Z10479">
        <v>399999.99999825819</v>
      </c>
    </row>
    <row r="10480" spans="26:26" x14ac:dyDescent="0.25">
      <c r="Z10480">
        <v>399999.99999826256</v>
      </c>
    </row>
    <row r="10481" spans="26:26" x14ac:dyDescent="0.25">
      <c r="Z10481">
        <v>399999.99999826693</v>
      </c>
    </row>
    <row r="10482" spans="26:26" x14ac:dyDescent="0.25">
      <c r="Z10482">
        <v>399999.99999827117</v>
      </c>
    </row>
    <row r="10483" spans="26:26" x14ac:dyDescent="0.25">
      <c r="Z10483">
        <v>399999.99999827548</v>
      </c>
    </row>
    <row r="10484" spans="26:26" x14ac:dyDescent="0.25">
      <c r="Z10484">
        <v>399999.99999827985</v>
      </c>
    </row>
    <row r="10485" spans="26:26" x14ac:dyDescent="0.25">
      <c r="Z10485">
        <v>399999.9999982841</v>
      </c>
    </row>
    <row r="10486" spans="26:26" x14ac:dyDescent="0.25">
      <c r="Z10486">
        <v>399999.99999828835</v>
      </c>
    </row>
    <row r="10487" spans="26:26" x14ac:dyDescent="0.25">
      <c r="Z10487">
        <v>399999.99999829265</v>
      </c>
    </row>
    <row r="10488" spans="26:26" x14ac:dyDescent="0.25">
      <c r="Z10488">
        <v>399999.9999982969</v>
      </c>
    </row>
    <row r="10489" spans="26:26" x14ac:dyDescent="0.25">
      <c r="Z10489">
        <v>399999.99999830115</v>
      </c>
    </row>
    <row r="10490" spans="26:26" x14ac:dyDescent="0.25">
      <c r="Z10490">
        <v>399999.9999983054</v>
      </c>
    </row>
    <row r="10491" spans="26:26" x14ac:dyDescent="0.25">
      <c r="Z10491">
        <v>399999.99999830959</v>
      </c>
    </row>
    <row r="10492" spans="26:26" x14ac:dyDescent="0.25">
      <c r="Z10492">
        <v>399999.99999831384</v>
      </c>
    </row>
    <row r="10493" spans="26:26" x14ac:dyDescent="0.25">
      <c r="Z10493">
        <v>399999.99999831809</v>
      </c>
    </row>
    <row r="10494" spans="26:26" x14ac:dyDescent="0.25">
      <c r="Z10494">
        <v>399999.99999832222</v>
      </c>
    </row>
    <row r="10495" spans="26:26" x14ac:dyDescent="0.25">
      <c r="Z10495">
        <v>399999.99999832641</v>
      </c>
    </row>
    <row r="10496" spans="26:26" x14ac:dyDescent="0.25">
      <c r="Z10496">
        <v>399999.99999833055</v>
      </c>
    </row>
    <row r="10497" spans="26:26" x14ac:dyDescent="0.25">
      <c r="Z10497">
        <v>399999.99999833474</v>
      </c>
    </row>
    <row r="10498" spans="26:26" x14ac:dyDescent="0.25">
      <c r="Z10498">
        <v>399999.99999833893</v>
      </c>
    </row>
    <row r="10499" spans="26:26" x14ac:dyDescent="0.25">
      <c r="Z10499">
        <v>399999.999998343</v>
      </c>
    </row>
    <row r="10500" spans="26:26" x14ac:dyDescent="0.25">
      <c r="Z10500">
        <v>399999.99999834719</v>
      </c>
    </row>
    <row r="10501" spans="26:26" x14ac:dyDescent="0.25">
      <c r="Z10501">
        <v>399999.99999835133</v>
      </c>
    </row>
    <row r="10502" spans="26:26" x14ac:dyDescent="0.25">
      <c r="Z10502">
        <v>399999.9999983554</v>
      </c>
    </row>
    <row r="10503" spans="26:26" x14ac:dyDescent="0.25">
      <c r="Z10503">
        <v>399999.99999835953</v>
      </c>
    </row>
    <row r="10504" spans="26:26" x14ac:dyDescent="0.25">
      <c r="Z10504">
        <v>399999.99999836361</v>
      </c>
    </row>
    <row r="10505" spans="26:26" x14ac:dyDescent="0.25">
      <c r="Z10505">
        <v>399999.99999836768</v>
      </c>
    </row>
    <row r="10506" spans="26:26" x14ac:dyDescent="0.25">
      <c r="Z10506">
        <v>399999.9999983717</v>
      </c>
    </row>
    <row r="10507" spans="26:26" x14ac:dyDescent="0.25">
      <c r="Z10507">
        <v>399999.99999837583</v>
      </c>
    </row>
    <row r="10508" spans="26:26" x14ac:dyDescent="0.25">
      <c r="Z10508">
        <v>399999.99999837985</v>
      </c>
    </row>
    <row r="10509" spans="26:26" x14ac:dyDescent="0.25">
      <c r="Z10509">
        <v>399999.99999838392</v>
      </c>
    </row>
    <row r="10510" spans="26:26" x14ac:dyDescent="0.25">
      <c r="Z10510">
        <v>399999.99999838794</v>
      </c>
    </row>
    <row r="10511" spans="26:26" x14ac:dyDescent="0.25">
      <c r="Z10511">
        <v>399999.99999839196</v>
      </c>
    </row>
    <row r="10512" spans="26:26" x14ac:dyDescent="0.25">
      <c r="Z10512">
        <v>399999.99999839597</v>
      </c>
    </row>
    <row r="10513" spans="26:26" x14ac:dyDescent="0.25">
      <c r="Z10513">
        <v>399999.99999839999</v>
      </c>
    </row>
    <row r="10514" spans="26:26" x14ac:dyDescent="0.25">
      <c r="Z10514">
        <v>399999.99999840395</v>
      </c>
    </row>
    <row r="10515" spans="26:26" x14ac:dyDescent="0.25">
      <c r="Z10515">
        <v>399999.9999984079</v>
      </c>
    </row>
    <row r="10516" spans="26:26" x14ac:dyDescent="0.25">
      <c r="Z10516">
        <v>399999.99999841186</v>
      </c>
    </row>
    <row r="10517" spans="26:26" x14ac:dyDescent="0.25">
      <c r="Z10517">
        <v>399999.99999841588</v>
      </c>
    </row>
    <row r="10518" spans="26:26" x14ac:dyDescent="0.25">
      <c r="Z10518">
        <v>399999.99999841984</v>
      </c>
    </row>
    <row r="10519" spans="26:26" x14ac:dyDescent="0.25">
      <c r="Z10519">
        <v>399999.99999842374</v>
      </c>
    </row>
    <row r="10520" spans="26:26" x14ac:dyDescent="0.25">
      <c r="Z10520">
        <v>399999.99999842769</v>
      </c>
    </row>
    <row r="10521" spans="26:26" x14ac:dyDescent="0.25">
      <c r="Z10521">
        <v>399999.99999843159</v>
      </c>
    </row>
    <row r="10522" spans="26:26" x14ac:dyDescent="0.25">
      <c r="Z10522">
        <v>399999.99999843555</v>
      </c>
    </row>
    <row r="10523" spans="26:26" x14ac:dyDescent="0.25">
      <c r="Z10523">
        <v>399999.99999843945</v>
      </c>
    </row>
    <row r="10524" spans="26:26" x14ac:dyDescent="0.25">
      <c r="Z10524">
        <v>399999.99999844335</v>
      </c>
    </row>
    <row r="10525" spans="26:26" x14ac:dyDescent="0.25">
      <c r="Z10525">
        <v>399999.99999844719</v>
      </c>
    </row>
    <row r="10526" spans="26:26" x14ac:dyDescent="0.25">
      <c r="Z10526">
        <v>399999.99999845104</v>
      </c>
    </row>
    <row r="10527" spans="26:26" x14ac:dyDescent="0.25">
      <c r="Z10527">
        <v>399999.99999845488</v>
      </c>
    </row>
    <row r="10528" spans="26:26" x14ac:dyDescent="0.25">
      <c r="Z10528">
        <v>399999.99999845878</v>
      </c>
    </row>
    <row r="10529" spans="26:26" x14ac:dyDescent="0.25">
      <c r="Z10529">
        <v>399999.99999846262</v>
      </c>
    </row>
    <row r="10530" spans="26:26" x14ac:dyDescent="0.25">
      <c r="Z10530">
        <v>399999.99999846646</v>
      </c>
    </row>
    <row r="10531" spans="26:26" x14ac:dyDescent="0.25">
      <c r="Z10531">
        <v>399999.99999847024</v>
      </c>
    </row>
    <row r="10532" spans="26:26" x14ac:dyDescent="0.25">
      <c r="Z10532">
        <v>399999.99999847409</v>
      </c>
    </row>
    <row r="10533" spans="26:26" x14ac:dyDescent="0.25">
      <c r="Z10533">
        <v>399999.99999847793</v>
      </c>
    </row>
    <row r="10534" spans="26:26" x14ac:dyDescent="0.25">
      <c r="Z10534">
        <v>399999.99999848165</v>
      </c>
    </row>
    <row r="10535" spans="26:26" x14ac:dyDescent="0.25">
      <c r="Z10535">
        <v>399999.99999848544</v>
      </c>
    </row>
    <row r="10536" spans="26:26" x14ac:dyDescent="0.25">
      <c r="Z10536">
        <v>399999.99999848922</v>
      </c>
    </row>
    <row r="10537" spans="26:26" x14ac:dyDescent="0.25">
      <c r="Z10537">
        <v>399999.999998493</v>
      </c>
    </row>
    <row r="10538" spans="26:26" x14ac:dyDescent="0.25">
      <c r="Z10538">
        <v>399999.99999849679</v>
      </c>
    </row>
    <row r="10539" spans="26:26" x14ac:dyDescent="0.25">
      <c r="Z10539">
        <v>399999.99999850051</v>
      </c>
    </row>
    <row r="10540" spans="26:26" x14ac:dyDescent="0.25">
      <c r="Z10540">
        <v>399999.99999850424</v>
      </c>
    </row>
    <row r="10541" spans="26:26" x14ac:dyDescent="0.25">
      <c r="Z10541">
        <v>399999.99999850796</v>
      </c>
    </row>
    <row r="10542" spans="26:26" x14ac:dyDescent="0.25">
      <c r="Z10542">
        <v>399999.99999851169</v>
      </c>
    </row>
    <row r="10543" spans="26:26" x14ac:dyDescent="0.25">
      <c r="Z10543">
        <v>399999.99999851541</v>
      </c>
    </row>
    <row r="10544" spans="26:26" x14ac:dyDescent="0.25">
      <c r="Z10544">
        <v>399999.99999851914</v>
      </c>
    </row>
    <row r="10545" spans="26:26" x14ac:dyDescent="0.25">
      <c r="Z10545">
        <v>399999.99999852286</v>
      </c>
    </row>
    <row r="10546" spans="26:26" x14ac:dyDescent="0.25">
      <c r="Z10546">
        <v>399999.99999852653</v>
      </c>
    </row>
    <row r="10547" spans="26:26" x14ac:dyDescent="0.25">
      <c r="Z10547">
        <v>399999.9999985302</v>
      </c>
    </row>
    <row r="10548" spans="26:26" x14ac:dyDescent="0.25">
      <c r="Z10548">
        <v>399999.99999853387</v>
      </c>
    </row>
    <row r="10549" spans="26:26" x14ac:dyDescent="0.25">
      <c r="Z10549">
        <v>399999.99999853753</v>
      </c>
    </row>
    <row r="10550" spans="26:26" x14ac:dyDescent="0.25">
      <c r="Z10550">
        <v>399999.99999854114</v>
      </c>
    </row>
    <row r="10551" spans="26:26" x14ac:dyDescent="0.25">
      <c r="Z10551">
        <v>399999.99999854481</v>
      </c>
    </row>
    <row r="10552" spans="26:26" x14ac:dyDescent="0.25">
      <c r="Z10552">
        <v>399999.99999854842</v>
      </c>
    </row>
    <row r="10553" spans="26:26" x14ac:dyDescent="0.25">
      <c r="Z10553">
        <v>399999.99999855203</v>
      </c>
    </row>
    <row r="10554" spans="26:26" x14ac:dyDescent="0.25">
      <c r="Z10554">
        <v>399999.99999855564</v>
      </c>
    </row>
    <row r="10555" spans="26:26" x14ac:dyDescent="0.25">
      <c r="Z10555">
        <v>399999.99999855924</v>
      </c>
    </row>
    <row r="10556" spans="26:26" x14ac:dyDescent="0.25">
      <c r="Z10556">
        <v>399999.99999856279</v>
      </c>
    </row>
    <row r="10557" spans="26:26" x14ac:dyDescent="0.25">
      <c r="Z10557">
        <v>399999.99999856646</v>
      </c>
    </row>
    <row r="10558" spans="26:26" x14ac:dyDescent="0.25">
      <c r="Z10558">
        <v>399999.99999857001</v>
      </c>
    </row>
    <row r="10559" spans="26:26" x14ac:dyDescent="0.25">
      <c r="Z10559">
        <v>399999.99999857356</v>
      </c>
    </row>
    <row r="10560" spans="26:26" x14ac:dyDescent="0.25">
      <c r="Z10560">
        <v>399999.99999857711</v>
      </c>
    </row>
    <row r="10561" spans="26:26" x14ac:dyDescent="0.25">
      <c r="Z10561">
        <v>399999.99999858066</v>
      </c>
    </row>
    <row r="10562" spans="26:26" x14ac:dyDescent="0.25">
      <c r="Z10562">
        <v>399999.99999858422</v>
      </c>
    </row>
    <row r="10563" spans="26:26" x14ac:dyDescent="0.25">
      <c r="Z10563">
        <v>399999.99999858771</v>
      </c>
    </row>
    <row r="10564" spans="26:26" x14ac:dyDescent="0.25">
      <c r="Z10564">
        <v>399999.99999859126</v>
      </c>
    </row>
    <row r="10565" spans="26:26" x14ac:dyDescent="0.25">
      <c r="Z10565">
        <v>399999.99999859481</v>
      </c>
    </row>
    <row r="10566" spans="26:26" x14ac:dyDescent="0.25">
      <c r="Z10566">
        <v>399999.9999985983</v>
      </c>
    </row>
    <row r="10567" spans="26:26" x14ac:dyDescent="0.25">
      <c r="Z10567">
        <v>399999.99999860179</v>
      </c>
    </row>
    <row r="10568" spans="26:26" x14ac:dyDescent="0.25">
      <c r="Z10568">
        <v>399999.99999860529</v>
      </c>
    </row>
    <row r="10569" spans="26:26" x14ac:dyDescent="0.25">
      <c r="Z10569">
        <v>399999.99999860872</v>
      </c>
    </row>
    <row r="10570" spans="26:26" x14ac:dyDescent="0.25">
      <c r="Z10570">
        <v>399999.99999861221</v>
      </c>
    </row>
    <row r="10571" spans="26:26" x14ac:dyDescent="0.25">
      <c r="Z10571">
        <v>399999.99999861571</v>
      </c>
    </row>
    <row r="10572" spans="26:26" x14ac:dyDescent="0.25">
      <c r="Z10572">
        <v>399999.99999861914</v>
      </c>
    </row>
    <row r="10573" spans="26:26" x14ac:dyDescent="0.25">
      <c r="Z10573">
        <v>399999.99999862257</v>
      </c>
    </row>
    <row r="10574" spans="26:26" x14ac:dyDescent="0.25">
      <c r="Z10574">
        <v>399999.99999862601</v>
      </c>
    </row>
    <row r="10575" spans="26:26" x14ac:dyDescent="0.25">
      <c r="Z10575">
        <v>399999.99999862944</v>
      </c>
    </row>
    <row r="10576" spans="26:26" x14ac:dyDescent="0.25">
      <c r="Z10576">
        <v>399999.99999863288</v>
      </c>
    </row>
    <row r="10577" spans="26:26" x14ac:dyDescent="0.25">
      <c r="Z10577">
        <v>399999.99999863631</v>
      </c>
    </row>
    <row r="10578" spans="26:26" x14ac:dyDescent="0.25">
      <c r="Z10578">
        <v>399999.99999863969</v>
      </c>
    </row>
    <row r="10579" spans="26:26" x14ac:dyDescent="0.25">
      <c r="Z10579">
        <v>399999.99999864306</v>
      </c>
    </row>
    <row r="10580" spans="26:26" x14ac:dyDescent="0.25">
      <c r="Z10580">
        <v>399999.99999864644</v>
      </c>
    </row>
    <row r="10581" spans="26:26" x14ac:dyDescent="0.25">
      <c r="Z10581">
        <v>399999.99999864987</v>
      </c>
    </row>
    <row r="10582" spans="26:26" x14ac:dyDescent="0.25">
      <c r="Z10582">
        <v>399999.99999865319</v>
      </c>
    </row>
    <row r="10583" spans="26:26" x14ac:dyDescent="0.25">
      <c r="Z10583">
        <v>399999.99999865651</v>
      </c>
    </row>
    <row r="10584" spans="26:26" x14ac:dyDescent="0.25">
      <c r="Z10584">
        <v>399999.99999865989</v>
      </c>
    </row>
    <row r="10585" spans="26:26" x14ac:dyDescent="0.25">
      <c r="Z10585">
        <v>399999.9999986632</v>
      </c>
    </row>
    <row r="10586" spans="26:26" x14ac:dyDescent="0.25">
      <c r="Z10586">
        <v>399999.99999866658</v>
      </c>
    </row>
    <row r="10587" spans="26:26" x14ac:dyDescent="0.25">
      <c r="Z10587">
        <v>399999.9999986699</v>
      </c>
    </row>
    <row r="10588" spans="26:26" x14ac:dyDescent="0.25">
      <c r="Z10588">
        <v>399999.99999867321</v>
      </c>
    </row>
    <row r="10589" spans="26:26" x14ac:dyDescent="0.25">
      <c r="Z10589">
        <v>399999.99999867647</v>
      </c>
    </row>
    <row r="10590" spans="26:26" x14ac:dyDescent="0.25">
      <c r="Z10590">
        <v>399999.99999867979</v>
      </c>
    </row>
    <row r="10591" spans="26:26" x14ac:dyDescent="0.25">
      <c r="Z10591">
        <v>399999.99999868311</v>
      </c>
    </row>
    <row r="10592" spans="26:26" x14ac:dyDescent="0.25">
      <c r="Z10592">
        <v>399999.99999868637</v>
      </c>
    </row>
    <row r="10593" spans="26:26" x14ac:dyDescent="0.25">
      <c r="Z10593">
        <v>399999.99999868969</v>
      </c>
    </row>
    <row r="10594" spans="26:26" x14ac:dyDescent="0.25">
      <c r="Z10594">
        <v>399999.99999869295</v>
      </c>
    </row>
    <row r="10595" spans="26:26" x14ac:dyDescent="0.25">
      <c r="Z10595">
        <v>399999.99999869621</v>
      </c>
    </row>
    <row r="10596" spans="26:26" x14ac:dyDescent="0.25">
      <c r="Z10596">
        <v>399999.99999869941</v>
      </c>
    </row>
    <row r="10597" spans="26:26" x14ac:dyDescent="0.25">
      <c r="Z10597">
        <v>399999.99999870267</v>
      </c>
    </row>
    <row r="10598" spans="26:26" x14ac:dyDescent="0.25">
      <c r="Z10598">
        <v>399999.99999870593</v>
      </c>
    </row>
    <row r="10599" spans="26:26" x14ac:dyDescent="0.25">
      <c r="Z10599">
        <v>399999.99999870913</v>
      </c>
    </row>
    <row r="10600" spans="26:26" x14ac:dyDescent="0.25">
      <c r="Z10600">
        <v>399999.99999871239</v>
      </c>
    </row>
    <row r="10601" spans="26:26" x14ac:dyDescent="0.25">
      <c r="Z10601">
        <v>399999.99999871559</v>
      </c>
    </row>
    <row r="10602" spans="26:26" x14ac:dyDescent="0.25">
      <c r="Z10602">
        <v>399999.99999871879</v>
      </c>
    </row>
    <row r="10603" spans="26:26" x14ac:dyDescent="0.25">
      <c r="Z10603">
        <v>399999.99999872199</v>
      </c>
    </row>
    <row r="10604" spans="26:26" x14ac:dyDescent="0.25">
      <c r="Z10604">
        <v>399999.99999872519</v>
      </c>
    </row>
    <row r="10605" spans="26:26" x14ac:dyDescent="0.25">
      <c r="Z10605">
        <v>399999.99999872834</v>
      </c>
    </row>
    <row r="10606" spans="26:26" x14ac:dyDescent="0.25">
      <c r="Z10606">
        <v>399999.99999873154</v>
      </c>
    </row>
    <row r="10607" spans="26:26" x14ac:dyDescent="0.25">
      <c r="Z10607">
        <v>399999.99999873468</v>
      </c>
    </row>
    <row r="10608" spans="26:26" x14ac:dyDescent="0.25">
      <c r="Z10608">
        <v>399999.99999873783</v>
      </c>
    </row>
    <row r="10609" spans="26:26" x14ac:dyDescent="0.25">
      <c r="Z10609">
        <v>399999.99999874097</v>
      </c>
    </row>
    <row r="10610" spans="26:26" x14ac:dyDescent="0.25">
      <c r="Z10610">
        <v>399999.99999874411</v>
      </c>
    </row>
    <row r="10611" spans="26:26" x14ac:dyDescent="0.25">
      <c r="Z10611">
        <v>399999.99999874725</v>
      </c>
    </row>
    <row r="10612" spans="26:26" x14ac:dyDescent="0.25">
      <c r="Z10612">
        <v>399999.9999987504</v>
      </c>
    </row>
    <row r="10613" spans="26:26" x14ac:dyDescent="0.25">
      <c r="Z10613">
        <v>399999.99999875348</v>
      </c>
    </row>
    <row r="10614" spans="26:26" x14ac:dyDescent="0.25">
      <c r="Z10614">
        <v>399999.99999875657</v>
      </c>
    </row>
    <row r="10615" spans="26:26" x14ac:dyDescent="0.25">
      <c r="Z10615">
        <v>399999.99999875971</v>
      </c>
    </row>
    <row r="10616" spans="26:26" x14ac:dyDescent="0.25">
      <c r="Z10616">
        <v>399999.9999987628</v>
      </c>
    </row>
    <row r="10617" spans="26:26" x14ac:dyDescent="0.25">
      <c r="Z10617">
        <v>399999.99999876588</v>
      </c>
    </row>
    <row r="10618" spans="26:26" x14ac:dyDescent="0.25">
      <c r="Z10618">
        <v>399999.99999876897</v>
      </c>
    </row>
    <row r="10619" spans="26:26" x14ac:dyDescent="0.25">
      <c r="Z10619">
        <v>399999.99999877205</v>
      </c>
    </row>
    <row r="10620" spans="26:26" x14ac:dyDescent="0.25">
      <c r="Z10620">
        <v>399999.99999877508</v>
      </c>
    </row>
    <row r="10621" spans="26:26" x14ac:dyDescent="0.25">
      <c r="Z10621">
        <v>399999.99999877816</v>
      </c>
    </row>
    <row r="10622" spans="26:26" x14ac:dyDescent="0.25">
      <c r="Z10622">
        <v>399999.99999878119</v>
      </c>
    </row>
    <row r="10623" spans="26:26" x14ac:dyDescent="0.25">
      <c r="Z10623">
        <v>399999.99999878427</v>
      </c>
    </row>
    <row r="10624" spans="26:26" x14ac:dyDescent="0.25">
      <c r="Z10624">
        <v>399999.99999878724</v>
      </c>
    </row>
    <row r="10625" spans="26:26" x14ac:dyDescent="0.25">
      <c r="Z10625">
        <v>399999.99999879027</v>
      </c>
    </row>
    <row r="10626" spans="26:26" x14ac:dyDescent="0.25">
      <c r="Z10626">
        <v>399999.9999987933</v>
      </c>
    </row>
    <row r="10627" spans="26:26" x14ac:dyDescent="0.25">
      <c r="Z10627">
        <v>399999.99999879632</v>
      </c>
    </row>
    <row r="10628" spans="26:26" x14ac:dyDescent="0.25">
      <c r="Z10628">
        <v>399999.99999879935</v>
      </c>
    </row>
    <row r="10629" spans="26:26" x14ac:dyDescent="0.25">
      <c r="Z10629">
        <v>399999.99999880232</v>
      </c>
    </row>
    <row r="10630" spans="26:26" x14ac:dyDescent="0.25">
      <c r="Z10630">
        <v>399999.99999880535</v>
      </c>
    </row>
    <row r="10631" spans="26:26" x14ac:dyDescent="0.25">
      <c r="Z10631">
        <v>399999.99999880826</v>
      </c>
    </row>
    <row r="10632" spans="26:26" x14ac:dyDescent="0.25">
      <c r="Z10632">
        <v>399999.99999881122</v>
      </c>
    </row>
    <row r="10633" spans="26:26" x14ac:dyDescent="0.25">
      <c r="Z10633">
        <v>399999.99999881425</v>
      </c>
    </row>
    <row r="10634" spans="26:26" x14ac:dyDescent="0.25">
      <c r="Z10634">
        <v>399999.99999881716</v>
      </c>
    </row>
    <row r="10635" spans="26:26" x14ac:dyDescent="0.25">
      <c r="Z10635">
        <v>399999.99999882013</v>
      </c>
    </row>
    <row r="10636" spans="26:26" x14ac:dyDescent="0.25">
      <c r="Z10636">
        <v>399999.99999882304</v>
      </c>
    </row>
    <row r="10637" spans="26:26" x14ac:dyDescent="0.25">
      <c r="Z10637">
        <v>399999.99999882601</v>
      </c>
    </row>
    <row r="10638" spans="26:26" x14ac:dyDescent="0.25">
      <c r="Z10638">
        <v>399999.99999882892</v>
      </c>
    </row>
    <row r="10639" spans="26:26" x14ac:dyDescent="0.25">
      <c r="Z10639">
        <v>399999.99999883183</v>
      </c>
    </row>
    <row r="10640" spans="26:26" x14ac:dyDescent="0.25">
      <c r="Z10640">
        <v>399999.99999883474</v>
      </c>
    </row>
    <row r="10641" spans="26:26" x14ac:dyDescent="0.25">
      <c r="Z10641">
        <v>399999.99999883765</v>
      </c>
    </row>
    <row r="10642" spans="26:26" x14ac:dyDescent="0.25">
      <c r="Z10642">
        <v>399999.99999884056</v>
      </c>
    </row>
    <row r="10643" spans="26:26" x14ac:dyDescent="0.25">
      <c r="Z10643">
        <v>399999.99999884341</v>
      </c>
    </row>
    <row r="10644" spans="26:26" x14ac:dyDescent="0.25">
      <c r="Z10644">
        <v>399999.99999884632</v>
      </c>
    </row>
    <row r="10645" spans="26:26" x14ac:dyDescent="0.25">
      <c r="Z10645">
        <v>399999.99999884923</v>
      </c>
    </row>
    <row r="10646" spans="26:26" x14ac:dyDescent="0.25">
      <c r="Z10646">
        <v>399999.99999885214</v>
      </c>
    </row>
    <row r="10647" spans="26:26" x14ac:dyDescent="0.25">
      <c r="Z10647">
        <v>399999.99999885494</v>
      </c>
    </row>
    <row r="10648" spans="26:26" x14ac:dyDescent="0.25">
      <c r="Z10648">
        <v>399999.99999885779</v>
      </c>
    </row>
    <row r="10649" spans="26:26" x14ac:dyDescent="0.25">
      <c r="Z10649">
        <v>399999.99999886064</v>
      </c>
    </row>
    <row r="10650" spans="26:26" x14ac:dyDescent="0.25">
      <c r="Z10650">
        <v>399999.9999988635</v>
      </c>
    </row>
    <row r="10651" spans="26:26" x14ac:dyDescent="0.25">
      <c r="Z10651">
        <v>399999.99999886629</v>
      </c>
    </row>
    <row r="10652" spans="26:26" x14ac:dyDescent="0.25">
      <c r="Z10652">
        <v>399999.9999988692</v>
      </c>
    </row>
    <row r="10653" spans="26:26" x14ac:dyDescent="0.25">
      <c r="Z10653">
        <v>399999.99999887194</v>
      </c>
    </row>
    <row r="10654" spans="26:26" x14ac:dyDescent="0.25">
      <c r="Z10654">
        <v>399999.99999887479</v>
      </c>
    </row>
    <row r="10655" spans="26:26" x14ac:dyDescent="0.25">
      <c r="Z10655">
        <v>399999.99999887758</v>
      </c>
    </row>
    <row r="10656" spans="26:26" x14ac:dyDescent="0.25">
      <c r="Z10656">
        <v>399999.99999888038</v>
      </c>
    </row>
    <row r="10657" spans="26:26" x14ac:dyDescent="0.25">
      <c r="Z10657">
        <v>399999.99999888317</v>
      </c>
    </row>
    <row r="10658" spans="26:26" x14ac:dyDescent="0.25">
      <c r="Z10658">
        <v>399999.99999888602</v>
      </c>
    </row>
    <row r="10659" spans="26:26" x14ac:dyDescent="0.25">
      <c r="Z10659">
        <v>399999.9999988887</v>
      </c>
    </row>
    <row r="10660" spans="26:26" x14ac:dyDescent="0.25">
      <c r="Z10660">
        <v>399999.99999889149</v>
      </c>
    </row>
    <row r="10661" spans="26:26" x14ac:dyDescent="0.25">
      <c r="Z10661">
        <v>399999.99999889435</v>
      </c>
    </row>
    <row r="10662" spans="26:26" x14ac:dyDescent="0.25">
      <c r="Z10662">
        <v>399999.99999889702</v>
      </c>
    </row>
    <row r="10663" spans="26:26" x14ac:dyDescent="0.25">
      <c r="Z10663">
        <v>399999.99999889982</v>
      </c>
    </row>
    <row r="10664" spans="26:26" x14ac:dyDescent="0.25">
      <c r="Z10664">
        <v>399999.99999890255</v>
      </c>
    </row>
    <row r="10665" spans="26:26" x14ac:dyDescent="0.25">
      <c r="Z10665">
        <v>399999.99999890529</v>
      </c>
    </row>
    <row r="10666" spans="26:26" x14ac:dyDescent="0.25">
      <c r="Z10666">
        <v>399999.99999890802</v>
      </c>
    </row>
    <row r="10667" spans="26:26" x14ac:dyDescent="0.25">
      <c r="Z10667">
        <v>399999.99999891076</v>
      </c>
    </row>
    <row r="10668" spans="26:26" x14ac:dyDescent="0.25">
      <c r="Z10668">
        <v>399999.99999891344</v>
      </c>
    </row>
    <row r="10669" spans="26:26" x14ac:dyDescent="0.25">
      <c r="Z10669">
        <v>399999.99999891617</v>
      </c>
    </row>
    <row r="10670" spans="26:26" x14ac:dyDescent="0.25">
      <c r="Z10670">
        <v>399999.99999891885</v>
      </c>
    </row>
    <row r="10671" spans="26:26" x14ac:dyDescent="0.25">
      <c r="Z10671">
        <v>399999.99999892159</v>
      </c>
    </row>
    <row r="10672" spans="26:26" x14ac:dyDescent="0.25">
      <c r="Z10672">
        <v>399999.99999892426</v>
      </c>
    </row>
    <row r="10673" spans="26:26" x14ac:dyDescent="0.25">
      <c r="Z10673">
        <v>399999.99999892694</v>
      </c>
    </row>
    <row r="10674" spans="26:26" x14ac:dyDescent="0.25">
      <c r="Z10674">
        <v>399999.99999892962</v>
      </c>
    </row>
    <row r="10675" spans="26:26" x14ac:dyDescent="0.25">
      <c r="Z10675">
        <v>399999.9999989323</v>
      </c>
    </row>
    <row r="10676" spans="26:26" x14ac:dyDescent="0.25">
      <c r="Z10676">
        <v>399999.99999893492</v>
      </c>
    </row>
    <row r="10677" spans="26:26" x14ac:dyDescent="0.25">
      <c r="Z10677">
        <v>399999.99999893759</v>
      </c>
    </row>
    <row r="10678" spans="26:26" x14ac:dyDescent="0.25">
      <c r="Z10678">
        <v>399999.99999894021</v>
      </c>
    </row>
    <row r="10679" spans="26:26" x14ac:dyDescent="0.25">
      <c r="Z10679">
        <v>399999.99999894289</v>
      </c>
    </row>
    <row r="10680" spans="26:26" x14ac:dyDescent="0.25">
      <c r="Z10680">
        <v>399999.99999894551</v>
      </c>
    </row>
    <row r="10681" spans="26:26" x14ac:dyDescent="0.25">
      <c r="Z10681">
        <v>399999.99999894819</v>
      </c>
    </row>
    <row r="10682" spans="26:26" x14ac:dyDescent="0.25">
      <c r="Z10682">
        <v>399999.99999895081</v>
      </c>
    </row>
    <row r="10683" spans="26:26" x14ac:dyDescent="0.25">
      <c r="Z10683">
        <v>399999.99999895337</v>
      </c>
    </row>
    <row r="10684" spans="26:26" x14ac:dyDescent="0.25">
      <c r="Z10684">
        <v>399999.99999895599</v>
      </c>
    </row>
    <row r="10685" spans="26:26" x14ac:dyDescent="0.25">
      <c r="Z10685">
        <v>399999.99999895861</v>
      </c>
    </row>
    <row r="10686" spans="26:26" x14ac:dyDescent="0.25">
      <c r="Z10686">
        <v>399999.99999896117</v>
      </c>
    </row>
    <row r="10687" spans="26:26" x14ac:dyDescent="0.25">
      <c r="Z10687">
        <v>399999.99999896379</v>
      </c>
    </row>
    <row r="10688" spans="26:26" x14ac:dyDescent="0.25">
      <c r="Z10688">
        <v>399999.99999896641</v>
      </c>
    </row>
    <row r="10689" spans="26:26" x14ac:dyDescent="0.25">
      <c r="Z10689">
        <v>399999.99999896897</v>
      </c>
    </row>
    <row r="10690" spans="26:26" x14ac:dyDescent="0.25">
      <c r="Z10690">
        <v>399999.99999897153</v>
      </c>
    </row>
    <row r="10691" spans="26:26" x14ac:dyDescent="0.25">
      <c r="Z10691">
        <v>399999.99999897409</v>
      </c>
    </row>
    <row r="10692" spans="26:26" x14ac:dyDescent="0.25">
      <c r="Z10692">
        <v>399999.99999897665</v>
      </c>
    </row>
    <row r="10693" spans="26:26" x14ac:dyDescent="0.25">
      <c r="Z10693">
        <v>399999.99999897921</v>
      </c>
    </row>
    <row r="10694" spans="26:26" x14ac:dyDescent="0.25">
      <c r="Z10694">
        <v>399999.99999898172</v>
      </c>
    </row>
    <row r="10695" spans="26:26" x14ac:dyDescent="0.25">
      <c r="Z10695">
        <v>399999.99999898428</v>
      </c>
    </row>
    <row r="10696" spans="26:26" x14ac:dyDescent="0.25">
      <c r="Z10696">
        <v>399999.99999898684</v>
      </c>
    </row>
    <row r="10697" spans="26:26" x14ac:dyDescent="0.25">
      <c r="Z10697">
        <v>399999.99999898934</v>
      </c>
    </row>
    <row r="10698" spans="26:26" x14ac:dyDescent="0.25">
      <c r="Z10698">
        <v>399999.99999899184</v>
      </c>
    </row>
    <row r="10699" spans="26:26" x14ac:dyDescent="0.25">
      <c r="Z10699">
        <v>399999.99999899435</v>
      </c>
    </row>
    <row r="10700" spans="26:26" x14ac:dyDescent="0.25">
      <c r="Z10700">
        <v>399999.99999899685</v>
      </c>
    </row>
    <row r="10701" spans="26:26" x14ac:dyDescent="0.25">
      <c r="Z10701">
        <v>399999.99999899935</v>
      </c>
    </row>
    <row r="10702" spans="26:26" x14ac:dyDescent="0.25">
      <c r="Z10702">
        <v>399999.99999900186</v>
      </c>
    </row>
    <row r="10703" spans="26:26" x14ac:dyDescent="0.25">
      <c r="Z10703">
        <v>399999.99999900436</v>
      </c>
    </row>
    <row r="10704" spans="26:26" x14ac:dyDescent="0.25">
      <c r="Z10704">
        <v>399999.9999990068</v>
      </c>
    </row>
    <row r="10705" spans="26:26" x14ac:dyDescent="0.25">
      <c r="Z10705">
        <v>399999.99999900931</v>
      </c>
    </row>
    <row r="10706" spans="26:26" x14ac:dyDescent="0.25">
      <c r="Z10706">
        <v>399999.99999901181</v>
      </c>
    </row>
    <row r="10707" spans="26:26" x14ac:dyDescent="0.25">
      <c r="Z10707">
        <v>399999.99999901425</v>
      </c>
    </row>
    <row r="10708" spans="26:26" x14ac:dyDescent="0.25">
      <c r="Z10708">
        <v>399999.99999901676</v>
      </c>
    </row>
    <row r="10709" spans="26:26" x14ac:dyDescent="0.25">
      <c r="Z10709">
        <v>399999.9999990192</v>
      </c>
    </row>
    <row r="10710" spans="26:26" x14ac:dyDescent="0.25">
      <c r="Z10710">
        <v>399999.99999902159</v>
      </c>
    </row>
    <row r="10711" spans="26:26" x14ac:dyDescent="0.25">
      <c r="Z10711">
        <v>399999.99999902403</v>
      </c>
    </row>
    <row r="10712" spans="26:26" x14ac:dyDescent="0.25">
      <c r="Z10712">
        <v>399999.99999902654</v>
      </c>
    </row>
    <row r="10713" spans="26:26" x14ac:dyDescent="0.25">
      <c r="Z10713">
        <v>399999.99999902892</v>
      </c>
    </row>
    <row r="10714" spans="26:26" x14ac:dyDescent="0.25">
      <c r="Z10714">
        <v>399999.99999903131</v>
      </c>
    </row>
    <row r="10715" spans="26:26" x14ac:dyDescent="0.25">
      <c r="Z10715">
        <v>399999.99999903375</v>
      </c>
    </row>
    <row r="10716" spans="26:26" x14ac:dyDescent="0.25">
      <c r="Z10716">
        <v>399999.9999990362</v>
      </c>
    </row>
    <row r="10717" spans="26:26" x14ac:dyDescent="0.25">
      <c r="Z10717">
        <v>399999.99999903858</v>
      </c>
    </row>
    <row r="10718" spans="26:26" x14ac:dyDescent="0.25">
      <c r="Z10718">
        <v>399999.99999904097</v>
      </c>
    </row>
    <row r="10719" spans="26:26" x14ac:dyDescent="0.25">
      <c r="Z10719">
        <v>399999.99999904336</v>
      </c>
    </row>
    <row r="10720" spans="26:26" x14ac:dyDescent="0.25">
      <c r="Z10720">
        <v>399999.99999904574</v>
      </c>
    </row>
    <row r="10721" spans="26:26" x14ac:dyDescent="0.25">
      <c r="Z10721">
        <v>399999.99999904813</v>
      </c>
    </row>
    <row r="10722" spans="26:26" x14ac:dyDescent="0.25">
      <c r="Z10722">
        <v>399999.99999905046</v>
      </c>
    </row>
    <row r="10723" spans="26:26" x14ac:dyDescent="0.25">
      <c r="Z10723">
        <v>399999.9999990529</v>
      </c>
    </row>
    <row r="10724" spans="26:26" x14ac:dyDescent="0.25">
      <c r="Z10724">
        <v>399999.99999905523</v>
      </c>
    </row>
    <row r="10725" spans="26:26" x14ac:dyDescent="0.25">
      <c r="Z10725">
        <v>399999.99999905756</v>
      </c>
    </row>
    <row r="10726" spans="26:26" x14ac:dyDescent="0.25">
      <c r="Z10726">
        <v>399999.99999905995</v>
      </c>
    </row>
    <row r="10727" spans="26:26" x14ac:dyDescent="0.25">
      <c r="Z10727">
        <v>399999.99999906227</v>
      </c>
    </row>
    <row r="10728" spans="26:26" x14ac:dyDescent="0.25">
      <c r="Z10728">
        <v>399999.9999990646</v>
      </c>
    </row>
    <row r="10729" spans="26:26" x14ac:dyDescent="0.25">
      <c r="Z10729">
        <v>399999.99999906693</v>
      </c>
    </row>
    <row r="10730" spans="26:26" x14ac:dyDescent="0.25">
      <c r="Z10730">
        <v>399999.99999906926</v>
      </c>
    </row>
    <row r="10731" spans="26:26" x14ac:dyDescent="0.25">
      <c r="Z10731">
        <v>399999.99999907159</v>
      </c>
    </row>
    <row r="10732" spans="26:26" x14ac:dyDescent="0.25">
      <c r="Z10732">
        <v>399999.99999907392</v>
      </c>
    </row>
    <row r="10733" spans="26:26" x14ac:dyDescent="0.25">
      <c r="Z10733">
        <v>399999.99999907624</v>
      </c>
    </row>
    <row r="10734" spans="26:26" x14ac:dyDescent="0.25">
      <c r="Z10734">
        <v>399999.99999907851</v>
      </c>
    </row>
    <row r="10735" spans="26:26" x14ac:dyDescent="0.25">
      <c r="Z10735">
        <v>399999.99999908078</v>
      </c>
    </row>
    <row r="10736" spans="26:26" x14ac:dyDescent="0.25">
      <c r="Z10736">
        <v>399999.99999908311</v>
      </c>
    </row>
    <row r="10737" spans="26:26" x14ac:dyDescent="0.25">
      <c r="Z10737">
        <v>399999.99999908538</v>
      </c>
    </row>
    <row r="10738" spans="26:26" x14ac:dyDescent="0.25">
      <c r="Z10738">
        <v>399999.99999908765</v>
      </c>
    </row>
    <row r="10739" spans="26:26" x14ac:dyDescent="0.25">
      <c r="Z10739">
        <v>399999.99999908992</v>
      </c>
    </row>
    <row r="10740" spans="26:26" x14ac:dyDescent="0.25">
      <c r="Z10740">
        <v>399999.99999909225</v>
      </c>
    </row>
    <row r="10741" spans="26:26" x14ac:dyDescent="0.25">
      <c r="Z10741">
        <v>399999.99999909452</v>
      </c>
    </row>
    <row r="10742" spans="26:26" x14ac:dyDescent="0.25">
      <c r="Z10742">
        <v>399999.99999909679</v>
      </c>
    </row>
    <row r="10743" spans="26:26" x14ac:dyDescent="0.25">
      <c r="Z10743">
        <v>399999.999999099</v>
      </c>
    </row>
    <row r="10744" spans="26:26" x14ac:dyDescent="0.25">
      <c r="Z10744">
        <v>399999.99999910122</v>
      </c>
    </row>
    <row r="10745" spans="26:26" x14ac:dyDescent="0.25">
      <c r="Z10745">
        <v>399999.99999910349</v>
      </c>
    </row>
    <row r="10746" spans="26:26" x14ac:dyDescent="0.25">
      <c r="Z10746">
        <v>399999.99999910576</v>
      </c>
    </row>
    <row r="10747" spans="26:26" x14ac:dyDescent="0.25">
      <c r="Z10747">
        <v>399999.99999910797</v>
      </c>
    </row>
    <row r="10748" spans="26:26" x14ac:dyDescent="0.25">
      <c r="Z10748">
        <v>399999.99999911018</v>
      </c>
    </row>
    <row r="10749" spans="26:26" x14ac:dyDescent="0.25">
      <c r="Z10749">
        <v>399999.99999911239</v>
      </c>
    </row>
    <row r="10750" spans="26:26" x14ac:dyDescent="0.25">
      <c r="Z10750">
        <v>399999.9999991146</v>
      </c>
    </row>
    <row r="10751" spans="26:26" x14ac:dyDescent="0.25">
      <c r="Z10751">
        <v>399999.99999911682</v>
      </c>
    </row>
    <row r="10752" spans="26:26" x14ac:dyDescent="0.25">
      <c r="Z10752">
        <v>399999.99999911903</v>
      </c>
    </row>
    <row r="10753" spans="26:26" x14ac:dyDescent="0.25">
      <c r="Z10753">
        <v>399999.99999912124</v>
      </c>
    </row>
    <row r="10754" spans="26:26" x14ac:dyDescent="0.25">
      <c r="Z10754">
        <v>399999.99999912339</v>
      </c>
    </row>
    <row r="10755" spans="26:26" x14ac:dyDescent="0.25">
      <c r="Z10755">
        <v>399999.99999912555</v>
      </c>
    </row>
    <row r="10756" spans="26:26" x14ac:dyDescent="0.25">
      <c r="Z10756">
        <v>399999.99999912776</v>
      </c>
    </row>
    <row r="10757" spans="26:26" x14ac:dyDescent="0.25">
      <c r="Z10757">
        <v>399999.99999912991</v>
      </c>
    </row>
    <row r="10758" spans="26:26" x14ac:dyDescent="0.25">
      <c r="Z10758">
        <v>399999.99999913212</v>
      </c>
    </row>
    <row r="10759" spans="26:26" x14ac:dyDescent="0.25">
      <c r="Z10759">
        <v>399999.99999913428</v>
      </c>
    </row>
    <row r="10760" spans="26:26" x14ac:dyDescent="0.25">
      <c r="Z10760">
        <v>399999.99999913649</v>
      </c>
    </row>
    <row r="10761" spans="26:26" x14ac:dyDescent="0.25">
      <c r="Z10761">
        <v>399999.99999913858</v>
      </c>
    </row>
    <row r="10762" spans="26:26" x14ac:dyDescent="0.25">
      <c r="Z10762">
        <v>399999.99999914074</v>
      </c>
    </row>
    <row r="10763" spans="26:26" x14ac:dyDescent="0.25">
      <c r="Z10763">
        <v>399999.99999914289</v>
      </c>
    </row>
    <row r="10764" spans="26:26" x14ac:dyDescent="0.25">
      <c r="Z10764">
        <v>399999.99999914505</v>
      </c>
    </row>
    <row r="10765" spans="26:26" x14ac:dyDescent="0.25">
      <c r="Z10765">
        <v>399999.99999914714</v>
      </c>
    </row>
    <row r="10766" spans="26:26" x14ac:dyDescent="0.25">
      <c r="Z10766">
        <v>399999.9999991493</v>
      </c>
    </row>
    <row r="10767" spans="26:26" x14ac:dyDescent="0.25">
      <c r="Z10767">
        <v>399999.99999915145</v>
      </c>
    </row>
    <row r="10768" spans="26:26" x14ac:dyDescent="0.25">
      <c r="Z10768">
        <v>399999.99999915354</v>
      </c>
    </row>
    <row r="10769" spans="26:26" x14ac:dyDescent="0.25">
      <c r="Z10769">
        <v>399999.99999915564</v>
      </c>
    </row>
    <row r="10770" spans="26:26" x14ac:dyDescent="0.25">
      <c r="Z10770">
        <v>399999.99999915774</v>
      </c>
    </row>
    <row r="10771" spans="26:26" x14ac:dyDescent="0.25">
      <c r="Z10771">
        <v>399999.99999915977</v>
      </c>
    </row>
    <row r="10772" spans="26:26" x14ac:dyDescent="0.25">
      <c r="Z10772">
        <v>399999.99999916193</v>
      </c>
    </row>
    <row r="10773" spans="26:26" x14ac:dyDescent="0.25">
      <c r="Z10773">
        <v>399999.99999916402</v>
      </c>
    </row>
    <row r="10774" spans="26:26" x14ac:dyDescent="0.25">
      <c r="Z10774">
        <v>399999.99999916612</v>
      </c>
    </row>
    <row r="10775" spans="26:26" x14ac:dyDescent="0.25">
      <c r="Z10775">
        <v>399999.99999916815</v>
      </c>
    </row>
    <row r="10776" spans="26:26" x14ac:dyDescent="0.25">
      <c r="Z10776">
        <v>399999.99999917025</v>
      </c>
    </row>
    <row r="10777" spans="26:26" x14ac:dyDescent="0.25">
      <c r="Z10777">
        <v>399999.99999917235</v>
      </c>
    </row>
    <row r="10778" spans="26:26" x14ac:dyDescent="0.25">
      <c r="Z10778">
        <v>399999.99999917438</v>
      </c>
    </row>
    <row r="10779" spans="26:26" x14ac:dyDescent="0.25">
      <c r="Z10779">
        <v>399999.99999917648</v>
      </c>
    </row>
    <row r="10780" spans="26:26" x14ac:dyDescent="0.25">
      <c r="Z10780">
        <v>399999.99999917852</v>
      </c>
    </row>
    <row r="10781" spans="26:26" x14ac:dyDescent="0.25">
      <c r="Z10781">
        <v>399999.99999918055</v>
      </c>
    </row>
    <row r="10782" spans="26:26" x14ac:dyDescent="0.25">
      <c r="Z10782">
        <v>399999.99999918259</v>
      </c>
    </row>
    <row r="10783" spans="26:26" x14ac:dyDescent="0.25">
      <c r="Z10783">
        <v>399999.99999918463</v>
      </c>
    </row>
    <row r="10784" spans="26:26" x14ac:dyDescent="0.25">
      <c r="Z10784">
        <v>399999.99999918666</v>
      </c>
    </row>
    <row r="10785" spans="26:26" x14ac:dyDescent="0.25">
      <c r="Z10785">
        <v>399999.9999991887</v>
      </c>
    </row>
    <row r="10786" spans="26:26" x14ac:dyDescent="0.25">
      <c r="Z10786">
        <v>399999.99999919074</v>
      </c>
    </row>
    <row r="10787" spans="26:26" x14ac:dyDescent="0.25">
      <c r="Z10787">
        <v>399999.99999919272</v>
      </c>
    </row>
    <row r="10788" spans="26:26" x14ac:dyDescent="0.25">
      <c r="Z10788">
        <v>399999.99999919476</v>
      </c>
    </row>
    <row r="10789" spans="26:26" x14ac:dyDescent="0.25">
      <c r="Z10789">
        <v>399999.99999919679</v>
      </c>
    </row>
    <row r="10790" spans="26:26" x14ac:dyDescent="0.25">
      <c r="Z10790">
        <v>399999.99999919877</v>
      </c>
    </row>
    <row r="10791" spans="26:26" x14ac:dyDescent="0.25">
      <c r="Z10791">
        <v>399999.99999920075</v>
      </c>
    </row>
    <row r="10792" spans="26:26" x14ac:dyDescent="0.25">
      <c r="Z10792">
        <v>399999.99999920279</v>
      </c>
    </row>
    <row r="10793" spans="26:26" x14ac:dyDescent="0.25">
      <c r="Z10793">
        <v>399999.99999920477</v>
      </c>
    </row>
    <row r="10794" spans="26:26" x14ac:dyDescent="0.25">
      <c r="Z10794">
        <v>399999.99999920675</v>
      </c>
    </row>
    <row r="10795" spans="26:26" x14ac:dyDescent="0.25">
      <c r="Z10795">
        <v>399999.99999920873</v>
      </c>
    </row>
    <row r="10796" spans="26:26" x14ac:dyDescent="0.25">
      <c r="Z10796">
        <v>399999.9999992107</v>
      </c>
    </row>
    <row r="10797" spans="26:26" x14ac:dyDescent="0.25">
      <c r="Z10797">
        <v>399999.99999921268</v>
      </c>
    </row>
    <row r="10798" spans="26:26" x14ac:dyDescent="0.25">
      <c r="Z10798">
        <v>399999.9999992146</v>
      </c>
    </row>
    <row r="10799" spans="26:26" x14ac:dyDescent="0.25">
      <c r="Z10799">
        <v>399999.99999921652</v>
      </c>
    </row>
    <row r="10800" spans="26:26" x14ac:dyDescent="0.25">
      <c r="Z10800">
        <v>399999.9999992185</v>
      </c>
    </row>
    <row r="10801" spans="26:26" x14ac:dyDescent="0.25">
      <c r="Z10801">
        <v>399999.99999922048</v>
      </c>
    </row>
    <row r="10802" spans="26:26" x14ac:dyDescent="0.25">
      <c r="Z10802">
        <v>399999.9999992224</v>
      </c>
    </row>
    <row r="10803" spans="26:26" x14ac:dyDescent="0.25">
      <c r="Z10803">
        <v>399999.99999922432</v>
      </c>
    </row>
    <row r="10804" spans="26:26" x14ac:dyDescent="0.25">
      <c r="Z10804">
        <v>399999.9999992263</v>
      </c>
    </row>
    <row r="10805" spans="26:26" x14ac:dyDescent="0.25">
      <c r="Z10805">
        <v>399999.99999922817</v>
      </c>
    </row>
    <row r="10806" spans="26:26" x14ac:dyDescent="0.25">
      <c r="Z10806">
        <v>399999.99999923015</v>
      </c>
    </row>
    <row r="10807" spans="26:26" x14ac:dyDescent="0.25">
      <c r="Z10807">
        <v>399999.99999923207</v>
      </c>
    </row>
    <row r="10808" spans="26:26" x14ac:dyDescent="0.25">
      <c r="Z10808">
        <v>399999.99999923399</v>
      </c>
    </row>
    <row r="10809" spans="26:26" x14ac:dyDescent="0.25">
      <c r="Z10809">
        <v>399999.99999923591</v>
      </c>
    </row>
    <row r="10810" spans="26:26" x14ac:dyDescent="0.25">
      <c r="Z10810">
        <v>399999.99999923777</v>
      </c>
    </row>
    <row r="10811" spans="26:26" x14ac:dyDescent="0.25">
      <c r="Z10811">
        <v>399999.99999923969</v>
      </c>
    </row>
    <row r="10812" spans="26:26" x14ac:dyDescent="0.25">
      <c r="Z10812">
        <v>399999.99999924155</v>
      </c>
    </row>
    <row r="10813" spans="26:26" x14ac:dyDescent="0.25">
      <c r="Z10813">
        <v>399999.99999924348</v>
      </c>
    </row>
    <row r="10814" spans="26:26" x14ac:dyDescent="0.25">
      <c r="Z10814">
        <v>399999.99999924534</v>
      </c>
    </row>
    <row r="10815" spans="26:26" x14ac:dyDescent="0.25">
      <c r="Z10815">
        <v>399999.99999924726</v>
      </c>
    </row>
    <row r="10816" spans="26:26" x14ac:dyDescent="0.25">
      <c r="Z10816">
        <v>399999.99999924912</v>
      </c>
    </row>
    <row r="10817" spans="26:26" x14ac:dyDescent="0.25">
      <c r="Z10817">
        <v>399999.99999925098</v>
      </c>
    </row>
    <row r="10818" spans="26:26" x14ac:dyDescent="0.25">
      <c r="Z10818">
        <v>399999.99999925285</v>
      </c>
    </row>
    <row r="10819" spans="26:26" x14ac:dyDescent="0.25">
      <c r="Z10819">
        <v>399999.99999925471</v>
      </c>
    </row>
    <row r="10820" spans="26:26" x14ac:dyDescent="0.25">
      <c r="Z10820">
        <v>399999.99999925657</v>
      </c>
    </row>
    <row r="10821" spans="26:26" x14ac:dyDescent="0.25">
      <c r="Z10821">
        <v>399999.99999925843</v>
      </c>
    </row>
    <row r="10822" spans="26:26" x14ac:dyDescent="0.25">
      <c r="Z10822">
        <v>399999.99999926024</v>
      </c>
    </row>
    <row r="10823" spans="26:26" x14ac:dyDescent="0.25">
      <c r="Z10823">
        <v>399999.9999992621</v>
      </c>
    </row>
    <row r="10824" spans="26:26" x14ac:dyDescent="0.25">
      <c r="Z10824">
        <v>399999.99999926396</v>
      </c>
    </row>
    <row r="10825" spans="26:26" x14ac:dyDescent="0.25">
      <c r="Z10825">
        <v>399999.99999926583</v>
      </c>
    </row>
    <row r="10826" spans="26:26" x14ac:dyDescent="0.25">
      <c r="Z10826">
        <v>399999.99999926769</v>
      </c>
    </row>
    <row r="10827" spans="26:26" x14ac:dyDescent="0.25">
      <c r="Z10827">
        <v>399999.99999926949</v>
      </c>
    </row>
    <row r="10828" spans="26:26" x14ac:dyDescent="0.25">
      <c r="Z10828">
        <v>399999.9999992713</v>
      </c>
    </row>
    <row r="10829" spans="26:26" x14ac:dyDescent="0.25">
      <c r="Z10829">
        <v>399999.9999992731</v>
      </c>
    </row>
    <row r="10830" spans="26:26" x14ac:dyDescent="0.25">
      <c r="Z10830">
        <v>399999.99999927497</v>
      </c>
    </row>
    <row r="10831" spans="26:26" x14ac:dyDescent="0.25">
      <c r="Z10831">
        <v>399999.99999927677</v>
      </c>
    </row>
    <row r="10832" spans="26:26" x14ac:dyDescent="0.25">
      <c r="Z10832">
        <v>399999.99999927852</v>
      </c>
    </row>
    <row r="10833" spans="26:26" x14ac:dyDescent="0.25">
      <c r="Z10833">
        <v>399999.99999928038</v>
      </c>
    </row>
    <row r="10834" spans="26:26" x14ac:dyDescent="0.25">
      <c r="Z10834">
        <v>399999.99999928212</v>
      </c>
    </row>
    <row r="10835" spans="26:26" x14ac:dyDescent="0.25">
      <c r="Z10835">
        <v>399999.99999928393</v>
      </c>
    </row>
    <row r="10836" spans="26:26" x14ac:dyDescent="0.25">
      <c r="Z10836">
        <v>399999.99999928573</v>
      </c>
    </row>
    <row r="10837" spans="26:26" x14ac:dyDescent="0.25">
      <c r="Z10837">
        <v>399999.99999928748</v>
      </c>
    </row>
    <row r="10838" spans="26:26" x14ac:dyDescent="0.25">
      <c r="Z10838">
        <v>399999.99999928928</v>
      </c>
    </row>
    <row r="10839" spans="26:26" x14ac:dyDescent="0.25">
      <c r="Z10839">
        <v>399999.99999929103</v>
      </c>
    </row>
    <row r="10840" spans="26:26" x14ac:dyDescent="0.25">
      <c r="Z10840">
        <v>399999.99999929284</v>
      </c>
    </row>
    <row r="10841" spans="26:26" x14ac:dyDescent="0.25">
      <c r="Z10841">
        <v>399999.99999929452</v>
      </c>
    </row>
    <row r="10842" spans="26:26" x14ac:dyDescent="0.25">
      <c r="Z10842">
        <v>399999.99999929633</v>
      </c>
    </row>
    <row r="10843" spans="26:26" x14ac:dyDescent="0.25">
      <c r="Z10843">
        <v>399999.99999929802</v>
      </c>
    </row>
    <row r="10844" spans="26:26" x14ac:dyDescent="0.25">
      <c r="Z10844">
        <v>399999.99999929988</v>
      </c>
    </row>
    <row r="10845" spans="26:26" x14ac:dyDescent="0.25">
      <c r="Z10845">
        <v>399999.99999930157</v>
      </c>
    </row>
    <row r="10846" spans="26:26" x14ac:dyDescent="0.25">
      <c r="Z10846">
        <v>399999.99999930331</v>
      </c>
    </row>
    <row r="10847" spans="26:26" x14ac:dyDescent="0.25">
      <c r="Z10847">
        <v>399999.99999930506</v>
      </c>
    </row>
    <row r="10848" spans="26:26" x14ac:dyDescent="0.25">
      <c r="Z10848">
        <v>399999.99999930675</v>
      </c>
    </row>
    <row r="10849" spans="26:26" x14ac:dyDescent="0.25">
      <c r="Z10849">
        <v>399999.99999930849</v>
      </c>
    </row>
    <row r="10850" spans="26:26" x14ac:dyDescent="0.25">
      <c r="Z10850">
        <v>399999.99999931024</v>
      </c>
    </row>
    <row r="10851" spans="26:26" x14ac:dyDescent="0.25">
      <c r="Z10851">
        <v>399999.99999931199</v>
      </c>
    </row>
    <row r="10852" spans="26:26" x14ac:dyDescent="0.25">
      <c r="Z10852">
        <v>399999.99999931367</v>
      </c>
    </row>
    <row r="10853" spans="26:26" x14ac:dyDescent="0.25">
      <c r="Z10853">
        <v>399999.99999931536</v>
      </c>
    </row>
    <row r="10854" spans="26:26" x14ac:dyDescent="0.25">
      <c r="Z10854">
        <v>399999.99999931711</v>
      </c>
    </row>
    <row r="10855" spans="26:26" x14ac:dyDescent="0.25">
      <c r="Z10855">
        <v>399999.99999931885</v>
      </c>
    </row>
    <row r="10856" spans="26:26" x14ac:dyDescent="0.25">
      <c r="Z10856">
        <v>399999.99999932048</v>
      </c>
    </row>
    <row r="10857" spans="26:26" x14ac:dyDescent="0.25">
      <c r="Z10857">
        <v>399999.99999932217</v>
      </c>
    </row>
    <row r="10858" spans="26:26" x14ac:dyDescent="0.25">
      <c r="Z10858">
        <v>399999.99999932386</v>
      </c>
    </row>
    <row r="10859" spans="26:26" x14ac:dyDescent="0.25">
      <c r="Z10859">
        <v>399999.99999932555</v>
      </c>
    </row>
    <row r="10860" spans="26:26" x14ac:dyDescent="0.25">
      <c r="Z10860">
        <v>399999.99999932724</v>
      </c>
    </row>
    <row r="10861" spans="26:26" x14ac:dyDescent="0.25">
      <c r="Z10861">
        <v>399999.99999932892</v>
      </c>
    </row>
    <row r="10862" spans="26:26" x14ac:dyDescent="0.25">
      <c r="Z10862">
        <v>399999.99999933061</v>
      </c>
    </row>
    <row r="10863" spans="26:26" x14ac:dyDescent="0.25">
      <c r="Z10863">
        <v>399999.99999933224</v>
      </c>
    </row>
    <row r="10864" spans="26:26" x14ac:dyDescent="0.25">
      <c r="Z10864">
        <v>399999.99999933399</v>
      </c>
    </row>
    <row r="10865" spans="26:26" x14ac:dyDescent="0.25">
      <c r="Z10865">
        <v>399999.99999933562</v>
      </c>
    </row>
    <row r="10866" spans="26:26" x14ac:dyDescent="0.25">
      <c r="Z10866">
        <v>399999.99999933725</v>
      </c>
    </row>
    <row r="10867" spans="26:26" x14ac:dyDescent="0.25">
      <c r="Z10867">
        <v>399999.99999933894</v>
      </c>
    </row>
    <row r="10868" spans="26:26" x14ac:dyDescent="0.25">
      <c r="Z10868">
        <v>399999.99999934057</v>
      </c>
    </row>
    <row r="10869" spans="26:26" x14ac:dyDescent="0.25">
      <c r="Z10869">
        <v>399999.9999993422</v>
      </c>
    </row>
    <row r="10870" spans="26:26" x14ac:dyDescent="0.25">
      <c r="Z10870">
        <v>399999.99999934383</v>
      </c>
    </row>
    <row r="10871" spans="26:26" x14ac:dyDescent="0.25">
      <c r="Z10871">
        <v>399999.99999934545</v>
      </c>
    </row>
    <row r="10872" spans="26:26" x14ac:dyDescent="0.25">
      <c r="Z10872">
        <v>399999.99999934708</v>
      </c>
    </row>
    <row r="10873" spans="26:26" x14ac:dyDescent="0.25">
      <c r="Z10873">
        <v>399999.99999934877</v>
      </c>
    </row>
    <row r="10874" spans="26:26" x14ac:dyDescent="0.25">
      <c r="Z10874">
        <v>399999.9999993504</v>
      </c>
    </row>
    <row r="10875" spans="26:26" x14ac:dyDescent="0.25">
      <c r="Z10875">
        <v>399999.99999935197</v>
      </c>
    </row>
    <row r="10876" spans="26:26" x14ac:dyDescent="0.25">
      <c r="Z10876">
        <v>399999.99999935355</v>
      </c>
    </row>
    <row r="10877" spans="26:26" x14ac:dyDescent="0.25">
      <c r="Z10877">
        <v>399999.99999935523</v>
      </c>
    </row>
    <row r="10878" spans="26:26" x14ac:dyDescent="0.25">
      <c r="Z10878">
        <v>399999.99999935681</v>
      </c>
    </row>
    <row r="10879" spans="26:26" x14ac:dyDescent="0.25">
      <c r="Z10879">
        <v>399999.99999935844</v>
      </c>
    </row>
    <row r="10880" spans="26:26" x14ac:dyDescent="0.25">
      <c r="Z10880">
        <v>399999.99999936001</v>
      </c>
    </row>
    <row r="10881" spans="26:26" x14ac:dyDescent="0.25">
      <c r="Z10881">
        <v>399999.99999936164</v>
      </c>
    </row>
    <row r="10882" spans="26:26" x14ac:dyDescent="0.25">
      <c r="Z10882">
        <v>399999.99999936321</v>
      </c>
    </row>
    <row r="10883" spans="26:26" x14ac:dyDescent="0.25">
      <c r="Z10883">
        <v>399999.99999936478</v>
      </c>
    </row>
    <row r="10884" spans="26:26" x14ac:dyDescent="0.25">
      <c r="Z10884">
        <v>399999.99999936635</v>
      </c>
    </row>
    <row r="10885" spans="26:26" x14ac:dyDescent="0.25">
      <c r="Z10885">
        <v>399999.99999936798</v>
      </c>
    </row>
    <row r="10886" spans="26:26" x14ac:dyDescent="0.25">
      <c r="Z10886">
        <v>399999.99999936955</v>
      </c>
    </row>
    <row r="10887" spans="26:26" x14ac:dyDescent="0.25">
      <c r="Z10887">
        <v>399999.99999937112</v>
      </c>
    </row>
    <row r="10888" spans="26:26" x14ac:dyDescent="0.25">
      <c r="Z10888">
        <v>399999.9999993727</v>
      </c>
    </row>
    <row r="10889" spans="26:26" x14ac:dyDescent="0.25">
      <c r="Z10889">
        <v>399999.99999937421</v>
      </c>
    </row>
    <row r="10890" spans="26:26" x14ac:dyDescent="0.25">
      <c r="Z10890">
        <v>399999.99999937578</v>
      </c>
    </row>
    <row r="10891" spans="26:26" x14ac:dyDescent="0.25">
      <c r="Z10891">
        <v>399999.99999937741</v>
      </c>
    </row>
    <row r="10892" spans="26:26" x14ac:dyDescent="0.25">
      <c r="Z10892">
        <v>399999.99999937892</v>
      </c>
    </row>
    <row r="10893" spans="26:26" x14ac:dyDescent="0.25">
      <c r="Z10893">
        <v>399999.99999938044</v>
      </c>
    </row>
    <row r="10894" spans="26:26" x14ac:dyDescent="0.25">
      <c r="Z10894">
        <v>399999.99999938201</v>
      </c>
    </row>
    <row r="10895" spans="26:26" x14ac:dyDescent="0.25">
      <c r="Z10895">
        <v>399999.99999938352</v>
      </c>
    </row>
    <row r="10896" spans="26:26" x14ac:dyDescent="0.25">
      <c r="Z10896">
        <v>399999.99999938515</v>
      </c>
    </row>
    <row r="10897" spans="26:26" x14ac:dyDescent="0.25">
      <c r="Z10897">
        <v>399999.99999938661</v>
      </c>
    </row>
    <row r="10898" spans="26:26" x14ac:dyDescent="0.25">
      <c r="Z10898">
        <v>399999.99999938812</v>
      </c>
    </row>
    <row r="10899" spans="26:26" x14ac:dyDescent="0.25">
      <c r="Z10899">
        <v>399999.99999938969</v>
      </c>
    </row>
    <row r="10900" spans="26:26" x14ac:dyDescent="0.25">
      <c r="Z10900">
        <v>399999.99999939115</v>
      </c>
    </row>
    <row r="10901" spans="26:26" x14ac:dyDescent="0.25">
      <c r="Z10901">
        <v>399999.99999939272</v>
      </c>
    </row>
    <row r="10902" spans="26:26" x14ac:dyDescent="0.25">
      <c r="Z10902">
        <v>399999.99999939423</v>
      </c>
    </row>
    <row r="10903" spans="26:26" x14ac:dyDescent="0.25">
      <c r="Z10903">
        <v>399999.99999939575</v>
      </c>
    </row>
    <row r="10904" spans="26:26" x14ac:dyDescent="0.25">
      <c r="Z10904">
        <v>399999.9999993972</v>
      </c>
    </row>
    <row r="10905" spans="26:26" x14ac:dyDescent="0.25">
      <c r="Z10905">
        <v>399999.99999939871</v>
      </c>
    </row>
    <row r="10906" spans="26:26" x14ac:dyDescent="0.25">
      <c r="Z10906">
        <v>399999.99999940029</v>
      </c>
    </row>
    <row r="10907" spans="26:26" x14ac:dyDescent="0.25">
      <c r="Z10907">
        <v>399999.9999994018</v>
      </c>
    </row>
    <row r="10908" spans="26:26" x14ac:dyDescent="0.25">
      <c r="Z10908">
        <v>399999.99999940326</v>
      </c>
    </row>
    <row r="10909" spans="26:26" x14ac:dyDescent="0.25">
      <c r="Z10909">
        <v>399999.99999940471</v>
      </c>
    </row>
    <row r="10910" spans="26:26" x14ac:dyDescent="0.25">
      <c r="Z10910">
        <v>399999.99999940617</v>
      </c>
    </row>
    <row r="10911" spans="26:26" x14ac:dyDescent="0.25">
      <c r="Z10911">
        <v>399999.99999940774</v>
      </c>
    </row>
    <row r="10912" spans="26:26" x14ac:dyDescent="0.25">
      <c r="Z10912">
        <v>399999.99999940919</v>
      </c>
    </row>
    <row r="10913" spans="26:26" x14ac:dyDescent="0.25">
      <c r="Z10913">
        <v>399999.99999941065</v>
      </c>
    </row>
    <row r="10914" spans="26:26" x14ac:dyDescent="0.25">
      <c r="Z10914">
        <v>399999.9999994121</v>
      </c>
    </row>
    <row r="10915" spans="26:26" x14ac:dyDescent="0.25">
      <c r="Z10915">
        <v>399999.99999941356</v>
      </c>
    </row>
    <row r="10916" spans="26:26" x14ac:dyDescent="0.25">
      <c r="Z10916">
        <v>399999.99999941507</v>
      </c>
    </row>
    <row r="10917" spans="26:26" x14ac:dyDescent="0.25">
      <c r="Z10917">
        <v>399999.99999941653</v>
      </c>
    </row>
    <row r="10918" spans="26:26" x14ac:dyDescent="0.25">
      <c r="Z10918">
        <v>399999.99999941798</v>
      </c>
    </row>
    <row r="10919" spans="26:26" x14ac:dyDescent="0.25">
      <c r="Z10919">
        <v>399999.99999941938</v>
      </c>
    </row>
    <row r="10920" spans="26:26" x14ac:dyDescent="0.25">
      <c r="Z10920">
        <v>399999.99999942089</v>
      </c>
    </row>
    <row r="10921" spans="26:26" x14ac:dyDescent="0.25">
      <c r="Z10921">
        <v>399999.99999942229</v>
      </c>
    </row>
    <row r="10922" spans="26:26" x14ac:dyDescent="0.25">
      <c r="Z10922">
        <v>399999.99999942374</v>
      </c>
    </row>
    <row r="10923" spans="26:26" x14ac:dyDescent="0.25">
      <c r="Z10923">
        <v>399999.99999942514</v>
      </c>
    </row>
    <row r="10924" spans="26:26" x14ac:dyDescent="0.25">
      <c r="Z10924">
        <v>399999.9999994266</v>
      </c>
    </row>
    <row r="10925" spans="26:26" x14ac:dyDescent="0.25">
      <c r="Z10925">
        <v>399999.99999942805</v>
      </c>
    </row>
    <row r="10926" spans="26:26" x14ac:dyDescent="0.25">
      <c r="Z10926">
        <v>399999.99999942945</v>
      </c>
    </row>
    <row r="10927" spans="26:26" x14ac:dyDescent="0.25">
      <c r="Z10927">
        <v>399999.9999994309</v>
      </c>
    </row>
    <row r="10928" spans="26:26" x14ac:dyDescent="0.25">
      <c r="Z10928">
        <v>399999.99999943236</v>
      </c>
    </row>
    <row r="10929" spans="26:26" x14ac:dyDescent="0.25">
      <c r="Z10929">
        <v>399999.99999943376</v>
      </c>
    </row>
    <row r="10930" spans="26:26" x14ac:dyDescent="0.25">
      <c r="Z10930">
        <v>399999.99999943509</v>
      </c>
    </row>
    <row r="10931" spans="26:26" x14ac:dyDescent="0.25">
      <c r="Z10931">
        <v>399999.99999943649</v>
      </c>
    </row>
    <row r="10932" spans="26:26" x14ac:dyDescent="0.25">
      <c r="Z10932">
        <v>399999.99999943795</v>
      </c>
    </row>
    <row r="10933" spans="26:26" x14ac:dyDescent="0.25">
      <c r="Z10933">
        <v>399999.99999943934</v>
      </c>
    </row>
    <row r="10934" spans="26:26" x14ac:dyDescent="0.25">
      <c r="Z10934">
        <v>399999.99999944074</v>
      </c>
    </row>
    <row r="10935" spans="26:26" x14ac:dyDescent="0.25">
      <c r="Z10935">
        <v>399999.99999944208</v>
      </c>
    </row>
    <row r="10936" spans="26:26" x14ac:dyDescent="0.25">
      <c r="Z10936">
        <v>399999.99999944353</v>
      </c>
    </row>
    <row r="10937" spans="26:26" x14ac:dyDescent="0.25">
      <c r="Z10937">
        <v>399999.99999944493</v>
      </c>
    </row>
    <row r="10938" spans="26:26" x14ac:dyDescent="0.25">
      <c r="Z10938">
        <v>399999.99999944627</v>
      </c>
    </row>
    <row r="10939" spans="26:26" x14ac:dyDescent="0.25">
      <c r="Z10939">
        <v>399999.99999944767</v>
      </c>
    </row>
    <row r="10940" spans="26:26" x14ac:dyDescent="0.25">
      <c r="Z10940">
        <v>399999.99999944906</v>
      </c>
    </row>
    <row r="10941" spans="26:26" x14ac:dyDescent="0.25">
      <c r="Z10941">
        <v>399999.9999994504</v>
      </c>
    </row>
    <row r="10942" spans="26:26" x14ac:dyDescent="0.25">
      <c r="Z10942">
        <v>399999.9999994518</v>
      </c>
    </row>
    <row r="10943" spans="26:26" x14ac:dyDescent="0.25">
      <c r="Z10943">
        <v>399999.9999994532</v>
      </c>
    </row>
    <row r="10944" spans="26:26" x14ac:dyDescent="0.25">
      <c r="Z10944">
        <v>399999.99999945454</v>
      </c>
    </row>
    <row r="10945" spans="26:26" x14ac:dyDescent="0.25">
      <c r="Z10945">
        <v>399999.99999945587</v>
      </c>
    </row>
    <row r="10946" spans="26:26" x14ac:dyDescent="0.25">
      <c r="Z10946">
        <v>399999.99999945727</v>
      </c>
    </row>
    <row r="10947" spans="26:26" x14ac:dyDescent="0.25">
      <c r="Z10947">
        <v>399999.99999945861</v>
      </c>
    </row>
    <row r="10948" spans="26:26" x14ac:dyDescent="0.25">
      <c r="Z10948">
        <v>399999.99999945995</v>
      </c>
    </row>
    <row r="10949" spans="26:26" x14ac:dyDescent="0.25">
      <c r="Z10949">
        <v>399999.99999946129</v>
      </c>
    </row>
    <row r="10950" spans="26:26" x14ac:dyDescent="0.25">
      <c r="Z10950">
        <v>399999.99999946269</v>
      </c>
    </row>
    <row r="10951" spans="26:26" x14ac:dyDescent="0.25">
      <c r="Z10951">
        <v>399999.99999946397</v>
      </c>
    </row>
    <row r="10952" spans="26:26" x14ac:dyDescent="0.25">
      <c r="Z10952">
        <v>399999.9999994653</v>
      </c>
    </row>
    <row r="10953" spans="26:26" x14ac:dyDescent="0.25">
      <c r="Z10953">
        <v>399999.99999946664</v>
      </c>
    </row>
    <row r="10954" spans="26:26" x14ac:dyDescent="0.25">
      <c r="Z10954">
        <v>399999.99999946798</v>
      </c>
    </row>
    <row r="10955" spans="26:26" x14ac:dyDescent="0.25">
      <c r="Z10955">
        <v>399999.99999946932</v>
      </c>
    </row>
    <row r="10956" spans="26:26" x14ac:dyDescent="0.25">
      <c r="Z10956">
        <v>399999.9999994706</v>
      </c>
    </row>
    <row r="10957" spans="26:26" x14ac:dyDescent="0.25">
      <c r="Z10957">
        <v>399999.999999472</v>
      </c>
    </row>
    <row r="10958" spans="26:26" x14ac:dyDescent="0.25">
      <c r="Z10958">
        <v>399999.99999947328</v>
      </c>
    </row>
    <row r="10959" spans="26:26" x14ac:dyDescent="0.25">
      <c r="Z10959">
        <v>399999.99999947456</v>
      </c>
    </row>
    <row r="10960" spans="26:26" x14ac:dyDescent="0.25">
      <c r="Z10960">
        <v>399999.9999994759</v>
      </c>
    </row>
    <row r="10961" spans="26:26" x14ac:dyDescent="0.25">
      <c r="Z10961">
        <v>399999.99999947724</v>
      </c>
    </row>
    <row r="10962" spans="26:26" x14ac:dyDescent="0.25">
      <c r="Z10962">
        <v>399999.99999947846</v>
      </c>
    </row>
    <row r="10963" spans="26:26" x14ac:dyDescent="0.25">
      <c r="Z10963">
        <v>399999.99999947986</v>
      </c>
    </row>
    <row r="10964" spans="26:26" x14ac:dyDescent="0.25">
      <c r="Z10964">
        <v>399999.99999948114</v>
      </c>
    </row>
    <row r="10965" spans="26:26" x14ac:dyDescent="0.25">
      <c r="Z10965">
        <v>399999.99999948242</v>
      </c>
    </row>
    <row r="10966" spans="26:26" x14ac:dyDescent="0.25">
      <c r="Z10966">
        <v>399999.9999994837</v>
      </c>
    </row>
    <row r="10967" spans="26:26" x14ac:dyDescent="0.25">
      <c r="Z10967">
        <v>399999.99999948498</v>
      </c>
    </row>
    <row r="10968" spans="26:26" x14ac:dyDescent="0.25">
      <c r="Z10968">
        <v>399999.99999948626</v>
      </c>
    </row>
    <row r="10969" spans="26:26" x14ac:dyDescent="0.25">
      <c r="Z10969">
        <v>399999.99999948754</v>
      </c>
    </row>
    <row r="10970" spans="26:26" x14ac:dyDescent="0.25">
      <c r="Z10970">
        <v>399999.99999948882</v>
      </c>
    </row>
    <row r="10971" spans="26:26" x14ac:dyDescent="0.25">
      <c r="Z10971">
        <v>399999.9999994901</v>
      </c>
    </row>
    <row r="10972" spans="26:26" x14ac:dyDescent="0.25">
      <c r="Z10972">
        <v>399999.99999949138</v>
      </c>
    </row>
    <row r="10973" spans="26:26" x14ac:dyDescent="0.25">
      <c r="Z10973">
        <v>399999.9999994926</v>
      </c>
    </row>
    <row r="10974" spans="26:26" x14ac:dyDescent="0.25">
      <c r="Z10974">
        <v>399999.99999949388</v>
      </c>
    </row>
    <row r="10975" spans="26:26" x14ac:dyDescent="0.25">
      <c r="Z10975">
        <v>399999.99999949511</v>
      </c>
    </row>
    <row r="10976" spans="26:26" x14ac:dyDescent="0.25">
      <c r="Z10976">
        <v>399999.99999949645</v>
      </c>
    </row>
    <row r="10977" spans="26:26" x14ac:dyDescent="0.25">
      <c r="Z10977">
        <v>399999.99999949767</v>
      </c>
    </row>
    <row r="10978" spans="26:26" x14ac:dyDescent="0.25">
      <c r="Z10978">
        <v>399999.99999949889</v>
      </c>
    </row>
    <row r="10979" spans="26:26" x14ac:dyDescent="0.25">
      <c r="Z10979">
        <v>399999.99999950017</v>
      </c>
    </row>
    <row r="10980" spans="26:26" x14ac:dyDescent="0.25">
      <c r="Z10980">
        <v>399999.99999950139</v>
      </c>
    </row>
    <row r="10981" spans="26:26" x14ac:dyDescent="0.25">
      <c r="Z10981">
        <v>399999.99999950262</v>
      </c>
    </row>
    <row r="10982" spans="26:26" x14ac:dyDescent="0.25">
      <c r="Z10982">
        <v>399999.9999995039</v>
      </c>
    </row>
    <row r="10983" spans="26:26" x14ac:dyDescent="0.25">
      <c r="Z10983">
        <v>399999.99999950512</v>
      </c>
    </row>
    <row r="10984" spans="26:26" x14ac:dyDescent="0.25">
      <c r="Z10984">
        <v>399999.9999995064</v>
      </c>
    </row>
    <row r="10985" spans="26:26" x14ac:dyDescent="0.25">
      <c r="Z10985">
        <v>399999.99999950762</v>
      </c>
    </row>
    <row r="10986" spans="26:26" x14ac:dyDescent="0.25">
      <c r="Z10986">
        <v>399999.99999950884</v>
      </c>
    </row>
    <row r="10987" spans="26:26" x14ac:dyDescent="0.25">
      <c r="Z10987">
        <v>399999.99999951007</v>
      </c>
    </row>
    <row r="10988" spans="26:26" x14ac:dyDescent="0.25">
      <c r="Z10988">
        <v>399999.99999951129</v>
      </c>
    </row>
    <row r="10989" spans="26:26" x14ac:dyDescent="0.25">
      <c r="Z10989">
        <v>399999.99999951251</v>
      </c>
    </row>
    <row r="10990" spans="26:26" x14ac:dyDescent="0.25">
      <c r="Z10990">
        <v>399999.99999951373</v>
      </c>
    </row>
    <row r="10991" spans="26:26" x14ac:dyDescent="0.25">
      <c r="Z10991">
        <v>399999.9999995149</v>
      </c>
    </row>
    <row r="10992" spans="26:26" x14ac:dyDescent="0.25">
      <c r="Z10992">
        <v>399999.99999951612</v>
      </c>
    </row>
    <row r="10993" spans="26:26" x14ac:dyDescent="0.25">
      <c r="Z10993">
        <v>399999.99999951734</v>
      </c>
    </row>
    <row r="10994" spans="26:26" x14ac:dyDescent="0.25">
      <c r="Z10994">
        <v>399999.99999951856</v>
      </c>
    </row>
    <row r="10995" spans="26:26" x14ac:dyDescent="0.25">
      <c r="Z10995">
        <v>399999.99999951973</v>
      </c>
    </row>
    <row r="10996" spans="26:26" x14ac:dyDescent="0.25">
      <c r="Z10996">
        <v>399999.99999952095</v>
      </c>
    </row>
    <row r="10997" spans="26:26" x14ac:dyDescent="0.25">
      <c r="Z10997">
        <v>399999.99999952212</v>
      </c>
    </row>
    <row r="10998" spans="26:26" x14ac:dyDescent="0.25">
      <c r="Z10998">
        <v>399999.9999995234</v>
      </c>
    </row>
    <row r="10999" spans="26:26" x14ac:dyDescent="0.25">
      <c r="Z10999">
        <v>399999.9999995245</v>
      </c>
    </row>
    <row r="11000" spans="26:26" x14ac:dyDescent="0.25">
      <c r="Z11000">
        <v>399999.99999952567</v>
      </c>
    </row>
    <row r="11001" spans="26:26" x14ac:dyDescent="0.25">
      <c r="Z11001">
        <v>399999.99999952695</v>
      </c>
    </row>
    <row r="11002" spans="26:26" x14ac:dyDescent="0.25">
      <c r="Z11002">
        <v>399999.99999952805</v>
      </c>
    </row>
    <row r="11003" spans="26:26" x14ac:dyDescent="0.25">
      <c r="Z11003">
        <v>399999.99999952922</v>
      </c>
    </row>
    <row r="11004" spans="26:26" x14ac:dyDescent="0.25">
      <c r="Z11004">
        <v>399999.99999953044</v>
      </c>
    </row>
    <row r="11005" spans="26:26" x14ac:dyDescent="0.25">
      <c r="Z11005">
        <v>399999.9999995316</v>
      </c>
    </row>
    <row r="11006" spans="26:26" x14ac:dyDescent="0.25">
      <c r="Z11006">
        <v>399999.99999953277</v>
      </c>
    </row>
    <row r="11007" spans="26:26" x14ac:dyDescent="0.25">
      <c r="Z11007">
        <v>399999.99999953393</v>
      </c>
    </row>
    <row r="11008" spans="26:26" x14ac:dyDescent="0.25">
      <c r="Z11008">
        <v>399999.99999953504</v>
      </c>
    </row>
    <row r="11009" spans="26:26" x14ac:dyDescent="0.25">
      <c r="Z11009">
        <v>399999.99999953626</v>
      </c>
    </row>
    <row r="11010" spans="26:26" x14ac:dyDescent="0.25">
      <c r="Z11010">
        <v>399999.99999953742</v>
      </c>
    </row>
    <row r="11011" spans="26:26" x14ac:dyDescent="0.25">
      <c r="Z11011">
        <v>399999.99999953859</v>
      </c>
    </row>
    <row r="11012" spans="26:26" x14ac:dyDescent="0.25">
      <c r="Z11012">
        <v>399999.99999953969</v>
      </c>
    </row>
    <row r="11013" spans="26:26" x14ac:dyDescent="0.25">
      <c r="Z11013">
        <v>399999.99999954086</v>
      </c>
    </row>
    <row r="11014" spans="26:26" x14ac:dyDescent="0.25">
      <c r="Z11014">
        <v>399999.99999954202</v>
      </c>
    </row>
    <row r="11015" spans="26:26" x14ac:dyDescent="0.25">
      <c r="Z11015">
        <v>399999.99999954313</v>
      </c>
    </row>
    <row r="11016" spans="26:26" x14ac:dyDescent="0.25">
      <c r="Z11016">
        <v>399999.99999954429</v>
      </c>
    </row>
    <row r="11017" spans="26:26" x14ac:dyDescent="0.25">
      <c r="Z11017">
        <v>399999.9999995454</v>
      </c>
    </row>
    <row r="11018" spans="26:26" x14ac:dyDescent="0.25">
      <c r="Z11018">
        <v>399999.99999954656</v>
      </c>
    </row>
    <row r="11019" spans="26:26" x14ac:dyDescent="0.25">
      <c r="Z11019">
        <v>399999.99999954773</v>
      </c>
    </row>
    <row r="11020" spans="26:26" x14ac:dyDescent="0.25">
      <c r="Z11020">
        <v>399999.99999954877</v>
      </c>
    </row>
    <row r="11021" spans="26:26" x14ac:dyDescent="0.25">
      <c r="Z11021">
        <v>399999.99999955</v>
      </c>
    </row>
    <row r="11022" spans="26:26" x14ac:dyDescent="0.25">
      <c r="Z11022">
        <v>399999.99999955104</v>
      </c>
    </row>
    <row r="11023" spans="26:26" x14ac:dyDescent="0.25">
      <c r="Z11023">
        <v>399999.99999955215</v>
      </c>
    </row>
    <row r="11024" spans="26:26" x14ac:dyDescent="0.25">
      <c r="Z11024">
        <v>399999.99999955331</v>
      </c>
    </row>
    <row r="11025" spans="26:26" x14ac:dyDescent="0.25">
      <c r="Z11025">
        <v>399999.99999955436</v>
      </c>
    </row>
    <row r="11026" spans="26:26" x14ac:dyDescent="0.25">
      <c r="Z11026">
        <v>399999.99999955553</v>
      </c>
    </row>
    <row r="11027" spans="26:26" x14ac:dyDescent="0.25">
      <c r="Z11027">
        <v>399999.99999955663</v>
      </c>
    </row>
    <row r="11028" spans="26:26" x14ac:dyDescent="0.25">
      <c r="Z11028">
        <v>399999.99999955768</v>
      </c>
    </row>
    <row r="11029" spans="26:26" x14ac:dyDescent="0.25">
      <c r="Z11029">
        <v>399999.99999955884</v>
      </c>
    </row>
    <row r="11030" spans="26:26" x14ac:dyDescent="0.25">
      <c r="Z11030">
        <v>399999.99999955995</v>
      </c>
    </row>
    <row r="11031" spans="26:26" x14ac:dyDescent="0.25">
      <c r="Z11031">
        <v>399999.99999956106</v>
      </c>
    </row>
    <row r="11032" spans="26:26" x14ac:dyDescent="0.25">
      <c r="Z11032">
        <v>399999.9999995621</v>
      </c>
    </row>
    <row r="11033" spans="26:26" x14ac:dyDescent="0.25">
      <c r="Z11033">
        <v>399999.99999956327</v>
      </c>
    </row>
    <row r="11034" spans="26:26" x14ac:dyDescent="0.25">
      <c r="Z11034">
        <v>399999.99999956432</v>
      </c>
    </row>
    <row r="11035" spans="26:26" x14ac:dyDescent="0.25">
      <c r="Z11035">
        <v>399999.99999956536</v>
      </c>
    </row>
    <row r="11036" spans="26:26" x14ac:dyDescent="0.25">
      <c r="Z11036">
        <v>399999.99999956647</v>
      </c>
    </row>
    <row r="11037" spans="26:26" x14ac:dyDescent="0.25">
      <c r="Z11037">
        <v>399999.99999956758</v>
      </c>
    </row>
    <row r="11038" spans="26:26" x14ac:dyDescent="0.25">
      <c r="Z11038">
        <v>399999.99999956868</v>
      </c>
    </row>
    <row r="11039" spans="26:26" x14ac:dyDescent="0.25">
      <c r="Z11039">
        <v>399999.99999956973</v>
      </c>
    </row>
    <row r="11040" spans="26:26" x14ac:dyDescent="0.25">
      <c r="Z11040">
        <v>399999.99999957078</v>
      </c>
    </row>
    <row r="11041" spans="26:26" x14ac:dyDescent="0.25">
      <c r="Z11041">
        <v>399999.99999957182</v>
      </c>
    </row>
    <row r="11042" spans="26:26" x14ac:dyDescent="0.25">
      <c r="Z11042">
        <v>399999.99999957287</v>
      </c>
    </row>
    <row r="11043" spans="26:26" x14ac:dyDescent="0.25">
      <c r="Z11043">
        <v>399999.99999957398</v>
      </c>
    </row>
    <row r="11044" spans="26:26" x14ac:dyDescent="0.25">
      <c r="Z11044">
        <v>399999.99999957503</v>
      </c>
    </row>
    <row r="11045" spans="26:26" x14ac:dyDescent="0.25">
      <c r="Z11045">
        <v>399999.99999957613</v>
      </c>
    </row>
    <row r="11046" spans="26:26" x14ac:dyDescent="0.25">
      <c r="Z11046">
        <v>399999.99999957718</v>
      </c>
    </row>
    <row r="11047" spans="26:26" x14ac:dyDescent="0.25">
      <c r="Z11047">
        <v>399999.99999957829</v>
      </c>
    </row>
    <row r="11048" spans="26:26" x14ac:dyDescent="0.25">
      <c r="Z11048">
        <v>399999.99999957928</v>
      </c>
    </row>
    <row r="11049" spans="26:26" x14ac:dyDescent="0.25">
      <c r="Z11049">
        <v>399999.99999958032</v>
      </c>
    </row>
    <row r="11050" spans="26:26" x14ac:dyDescent="0.25">
      <c r="Z11050">
        <v>399999.99999958137</v>
      </c>
    </row>
    <row r="11051" spans="26:26" x14ac:dyDescent="0.25">
      <c r="Z11051">
        <v>399999.99999958242</v>
      </c>
    </row>
    <row r="11052" spans="26:26" x14ac:dyDescent="0.25">
      <c r="Z11052">
        <v>399999.99999958347</v>
      </c>
    </row>
    <row r="11053" spans="26:26" x14ac:dyDescent="0.25">
      <c r="Z11053">
        <v>399999.99999958451</v>
      </c>
    </row>
    <row r="11054" spans="26:26" x14ac:dyDescent="0.25">
      <c r="Z11054">
        <v>399999.99999958556</v>
      </c>
    </row>
    <row r="11055" spans="26:26" x14ac:dyDescent="0.25">
      <c r="Z11055">
        <v>399999.99999958661</v>
      </c>
    </row>
    <row r="11056" spans="26:26" x14ac:dyDescent="0.25">
      <c r="Z11056">
        <v>399999.9999995876</v>
      </c>
    </row>
    <row r="11057" spans="26:26" x14ac:dyDescent="0.25">
      <c r="Z11057">
        <v>399999.99999958865</v>
      </c>
    </row>
    <row r="11058" spans="26:26" x14ac:dyDescent="0.25">
      <c r="Z11058">
        <v>399999.99999958969</v>
      </c>
    </row>
    <row r="11059" spans="26:26" x14ac:dyDescent="0.25">
      <c r="Z11059">
        <v>399999.99999959068</v>
      </c>
    </row>
    <row r="11060" spans="26:26" x14ac:dyDescent="0.25">
      <c r="Z11060">
        <v>399999.99999959167</v>
      </c>
    </row>
    <row r="11061" spans="26:26" x14ac:dyDescent="0.25">
      <c r="Z11061">
        <v>399999.99999959272</v>
      </c>
    </row>
    <row r="11062" spans="26:26" x14ac:dyDescent="0.25">
      <c r="Z11062">
        <v>399999.99999959371</v>
      </c>
    </row>
    <row r="11063" spans="26:26" x14ac:dyDescent="0.25">
      <c r="Z11063">
        <v>399999.99999959476</v>
      </c>
    </row>
    <row r="11064" spans="26:26" x14ac:dyDescent="0.25">
      <c r="Z11064">
        <v>399999.99999959575</v>
      </c>
    </row>
    <row r="11065" spans="26:26" x14ac:dyDescent="0.25">
      <c r="Z11065">
        <v>399999.9999995968</v>
      </c>
    </row>
    <row r="11066" spans="26:26" x14ac:dyDescent="0.25">
      <c r="Z11066">
        <v>399999.99999959779</v>
      </c>
    </row>
    <row r="11067" spans="26:26" x14ac:dyDescent="0.25">
      <c r="Z11067">
        <v>399999.99999959877</v>
      </c>
    </row>
    <row r="11068" spans="26:26" x14ac:dyDescent="0.25">
      <c r="Z11068">
        <v>399999.99999959976</v>
      </c>
    </row>
    <row r="11069" spans="26:26" x14ac:dyDescent="0.25">
      <c r="Z11069">
        <v>399999.99999960075</v>
      </c>
    </row>
    <row r="11070" spans="26:26" x14ac:dyDescent="0.25">
      <c r="Z11070">
        <v>399999.99999960174</v>
      </c>
    </row>
    <row r="11071" spans="26:26" x14ac:dyDescent="0.25">
      <c r="Z11071">
        <v>399999.99999960279</v>
      </c>
    </row>
    <row r="11072" spans="26:26" x14ac:dyDescent="0.25">
      <c r="Z11072">
        <v>399999.99999960372</v>
      </c>
    </row>
    <row r="11073" spans="26:26" x14ac:dyDescent="0.25">
      <c r="Z11073">
        <v>399999.99999960477</v>
      </c>
    </row>
    <row r="11074" spans="26:26" x14ac:dyDescent="0.25">
      <c r="Z11074">
        <v>399999.9999996057</v>
      </c>
    </row>
    <row r="11075" spans="26:26" x14ac:dyDescent="0.25">
      <c r="Z11075">
        <v>399999.99999960675</v>
      </c>
    </row>
    <row r="11076" spans="26:26" x14ac:dyDescent="0.25">
      <c r="Z11076">
        <v>399999.99999960768</v>
      </c>
    </row>
    <row r="11077" spans="26:26" x14ac:dyDescent="0.25">
      <c r="Z11077">
        <v>399999.99999960867</v>
      </c>
    </row>
    <row r="11078" spans="26:26" x14ac:dyDescent="0.25">
      <c r="Z11078">
        <v>399999.99999960966</v>
      </c>
    </row>
    <row r="11079" spans="26:26" x14ac:dyDescent="0.25">
      <c r="Z11079">
        <v>399999.99999961065</v>
      </c>
    </row>
    <row r="11080" spans="26:26" x14ac:dyDescent="0.25">
      <c r="Z11080">
        <v>399999.99999961158</v>
      </c>
    </row>
    <row r="11081" spans="26:26" x14ac:dyDescent="0.25">
      <c r="Z11081">
        <v>399999.99999961257</v>
      </c>
    </row>
    <row r="11082" spans="26:26" x14ac:dyDescent="0.25">
      <c r="Z11082">
        <v>399999.9999996135</v>
      </c>
    </row>
    <row r="11083" spans="26:26" x14ac:dyDescent="0.25">
      <c r="Z11083">
        <v>399999.99999961443</v>
      </c>
    </row>
    <row r="11084" spans="26:26" x14ac:dyDescent="0.25">
      <c r="Z11084">
        <v>399999.99999961548</v>
      </c>
    </row>
    <row r="11085" spans="26:26" x14ac:dyDescent="0.25">
      <c r="Z11085">
        <v>399999.99999961635</v>
      </c>
    </row>
    <row r="11086" spans="26:26" x14ac:dyDescent="0.25">
      <c r="Z11086">
        <v>399999.99999961734</v>
      </c>
    </row>
    <row r="11087" spans="26:26" x14ac:dyDescent="0.25">
      <c r="Z11087">
        <v>399999.99999961827</v>
      </c>
    </row>
    <row r="11088" spans="26:26" x14ac:dyDescent="0.25">
      <c r="Z11088">
        <v>399999.99999961926</v>
      </c>
    </row>
    <row r="11089" spans="26:26" x14ac:dyDescent="0.25">
      <c r="Z11089">
        <v>399999.9999996202</v>
      </c>
    </row>
    <row r="11090" spans="26:26" x14ac:dyDescent="0.25">
      <c r="Z11090">
        <v>399999.99999962118</v>
      </c>
    </row>
    <row r="11091" spans="26:26" x14ac:dyDescent="0.25">
      <c r="Z11091">
        <v>399999.99999962212</v>
      </c>
    </row>
    <row r="11092" spans="26:26" x14ac:dyDescent="0.25">
      <c r="Z11092">
        <v>399999.99999962305</v>
      </c>
    </row>
    <row r="11093" spans="26:26" x14ac:dyDescent="0.25">
      <c r="Z11093">
        <v>399999.99999962398</v>
      </c>
    </row>
    <row r="11094" spans="26:26" x14ac:dyDescent="0.25">
      <c r="Z11094">
        <v>399999.99999962491</v>
      </c>
    </row>
    <row r="11095" spans="26:26" x14ac:dyDescent="0.25">
      <c r="Z11095">
        <v>399999.99999962584</v>
      </c>
    </row>
    <row r="11096" spans="26:26" x14ac:dyDescent="0.25">
      <c r="Z11096">
        <v>399999.99999962677</v>
      </c>
    </row>
    <row r="11097" spans="26:26" x14ac:dyDescent="0.25">
      <c r="Z11097">
        <v>399999.9999996277</v>
      </c>
    </row>
    <row r="11098" spans="26:26" x14ac:dyDescent="0.25">
      <c r="Z11098">
        <v>399999.99999962864</v>
      </c>
    </row>
    <row r="11099" spans="26:26" x14ac:dyDescent="0.25">
      <c r="Z11099">
        <v>399999.99999962957</v>
      </c>
    </row>
    <row r="11100" spans="26:26" x14ac:dyDescent="0.25">
      <c r="Z11100">
        <v>399999.9999996305</v>
      </c>
    </row>
    <row r="11101" spans="26:26" x14ac:dyDescent="0.25">
      <c r="Z11101">
        <v>399999.99999963149</v>
      </c>
    </row>
    <row r="11102" spans="26:26" x14ac:dyDescent="0.25">
      <c r="Z11102">
        <v>399999.9999996323</v>
      </c>
    </row>
    <row r="11103" spans="26:26" x14ac:dyDescent="0.25">
      <c r="Z11103">
        <v>399999.99999963329</v>
      </c>
    </row>
    <row r="11104" spans="26:26" x14ac:dyDescent="0.25">
      <c r="Z11104">
        <v>399999.99999963416</v>
      </c>
    </row>
    <row r="11105" spans="26:26" x14ac:dyDescent="0.25">
      <c r="Z11105">
        <v>399999.9999996351</v>
      </c>
    </row>
    <row r="11106" spans="26:26" x14ac:dyDescent="0.25">
      <c r="Z11106">
        <v>399999.99999963603</v>
      </c>
    </row>
    <row r="11107" spans="26:26" x14ac:dyDescent="0.25">
      <c r="Z11107">
        <v>399999.9999996369</v>
      </c>
    </row>
    <row r="11108" spans="26:26" x14ac:dyDescent="0.25">
      <c r="Z11108">
        <v>399999.99999963777</v>
      </c>
    </row>
    <row r="11109" spans="26:26" x14ac:dyDescent="0.25">
      <c r="Z11109">
        <v>399999.99999963876</v>
      </c>
    </row>
    <row r="11110" spans="26:26" x14ac:dyDescent="0.25">
      <c r="Z11110">
        <v>399999.99999963958</v>
      </c>
    </row>
    <row r="11111" spans="26:26" x14ac:dyDescent="0.25">
      <c r="Z11111">
        <v>399999.99999964051</v>
      </c>
    </row>
    <row r="11112" spans="26:26" x14ac:dyDescent="0.25">
      <c r="Z11112">
        <v>399999.99999964144</v>
      </c>
    </row>
    <row r="11113" spans="26:26" x14ac:dyDescent="0.25">
      <c r="Z11113">
        <v>399999.99999964231</v>
      </c>
    </row>
    <row r="11114" spans="26:26" x14ac:dyDescent="0.25">
      <c r="Z11114">
        <v>399999.99999964319</v>
      </c>
    </row>
    <row r="11115" spans="26:26" x14ac:dyDescent="0.25">
      <c r="Z11115">
        <v>399999.99999964412</v>
      </c>
    </row>
    <row r="11116" spans="26:26" x14ac:dyDescent="0.25">
      <c r="Z11116">
        <v>399999.99999964499</v>
      </c>
    </row>
    <row r="11117" spans="26:26" x14ac:dyDescent="0.25">
      <c r="Z11117">
        <v>399999.99999964586</v>
      </c>
    </row>
    <row r="11118" spans="26:26" x14ac:dyDescent="0.25">
      <c r="Z11118">
        <v>399999.99999964674</v>
      </c>
    </row>
    <row r="11119" spans="26:26" x14ac:dyDescent="0.25">
      <c r="Z11119">
        <v>399999.99999964761</v>
      </c>
    </row>
    <row r="11120" spans="26:26" x14ac:dyDescent="0.25">
      <c r="Z11120">
        <v>399999.99999964854</v>
      </c>
    </row>
    <row r="11121" spans="26:26" x14ac:dyDescent="0.25">
      <c r="Z11121">
        <v>399999.99999964936</v>
      </c>
    </row>
    <row r="11122" spans="26:26" x14ac:dyDescent="0.25">
      <c r="Z11122">
        <v>399999.99999965029</v>
      </c>
    </row>
    <row r="11123" spans="26:26" x14ac:dyDescent="0.25">
      <c r="Z11123">
        <v>399999.9999996511</v>
      </c>
    </row>
    <row r="11124" spans="26:26" x14ac:dyDescent="0.25">
      <c r="Z11124">
        <v>399999.99999965203</v>
      </c>
    </row>
    <row r="11125" spans="26:26" x14ac:dyDescent="0.25">
      <c r="Z11125">
        <v>399999.99999965285</v>
      </c>
    </row>
    <row r="11126" spans="26:26" x14ac:dyDescent="0.25">
      <c r="Z11126">
        <v>399999.99999965372</v>
      </c>
    </row>
    <row r="11127" spans="26:26" x14ac:dyDescent="0.25">
      <c r="Z11127">
        <v>399999.99999965454</v>
      </c>
    </row>
    <row r="11128" spans="26:26" x14ac:dyDescent="0.25">
      <c r="Z11128">
        <v>399999.99999965547</v>
      </c>
    </row>
    <row r="11129" spans="26:26" x14ac:dyDescent="0.25">
      <c r="Z11129">
        <v>399999.99999965628</v>
      </c>
    </row>
    <row r="11130" spans="26:26" x14ac:dyDescent="0.25">
      <c r="Z11130">
        <v>399999.99999965716</v>
      </c>
    </row>
    <row r="11131" spans="26:26" x14ac:dyDescent="0.25">
      <c r="Z11131">
        <v>399999.99999965803</v>
      </c>
    </row>
    <row r="11132" spans="26:26" x14ac:dyDescent="0.25">
      <c r="Z11132">
        <v>399999.9999996589</v>
      </c>
    </row>
    <row r="11133" spans="26:26" x14ac:dyDescent="0.25">
      <c r="Z11133">
        <v>399999.99999965978</v>
      </c>
    </row>
    <row r="11134" spans="26:26" x14ac:dyDescent="0.25">
      <c r="Z11134">
        <v>399999.99999966059</v>
      </c>
    </row>
    <row r="11135" spans="26:26" x14ac:dyDescent="0.25">
      <c r="Z11135">
        <v>399999.99999966141</v>
      </c>
    </row>
    <row r="11136" spans="26:26" x14ac:dyDescent="0.25">
      <c r="Z11136">
        <v>399999.99999966228</v>
      </c>
    </row>
    <row r="11137" spans="26:26" x14ac:dyDescent="0.25">
      <c r="Z11137">
        <v>399999.99999966309</v>
      </c>
    </row>
    <row r="11138" spans="26:26" x14ac:dyDescent="0.25">
      <c r="Z11138">
        <v>399999.99999966391</v>
      </c>
    </row>
    <row r="11139" spans="26:26" x14ac:dyDescent="0.25">
      <c r="Z11139">
        <v>399999.99999966478</v>
      </c>
    </row>
    <row r="11140" spans="26:26" x14ac:dyDescent="0.25">
      <c r="Z11140">
        <v>399999.9999996656</v>
      </c>
    </row>
    <row r="11141" spans="26:26" x14ac:dyDescent="0.25">
      <c r="Z11141">
        <v>399999.99999966647</v>
      </c>
    </row>
    <row r="11142" spans="26:26" x14ac:dyDescent="0.25">
      <c r="Z11142">
        <v>399999.99999966729</v>
      </c>
    </row>
    <row r="11143" spans="26:26" x14ac:dyDescent="0.25">
      <c r="Z11143">
        <v>399999.9999996681</v>
      </c>
    </row>
    <row r="11144" spans="26:26" x14ac:dyDescent="0.25">
      <c r="Z11144">
        <v>399999.99999966897</v>
      </c>
    </row>
    <row r="11145" spans="26:26" x14ac:dyDescent="0.25">
      <c r="Z11145">
        <v>399999.99999966973</v>
      </c>
    </row>
    <row r="11146" spans="26:26" x14ac:dyDescent="0.25">
      <c r="Z11146">
        <v>399999.9999996706</v>
      </c>
    </row>
    <row r="11147" spans="26:26" x14ac:dyDescent="0.25">
      <c r="Z11147">
        <v>399999.99999967142</v>
      </c>
    </row>
    <row r="11148" spans="26:26" x14ac:dyDescent="0.25">
      <c r="Z11148">
        <v>399999.99999967223</v>
      </c>
    </row>
    <row r="11149" spans="26:26" x14ac:dyDescent="0.25">
      <c r="Z11149">
        <v>399999.99999967305</v>
      </c>
    </row>
    <row r="11150" spans="26:26" x14ac:dyDescent="0.25">
      <c r="Z11150">
        <v>399999.99999967386</v>
      </c>
    </row>
    <row r="11151" spans="26:26" x14ac:dyDescent="0.25">
      <c r="Z11151">
        <v>399999.99999967474</v>
      </c>
    </row>
    <row r="11152" spans="26:26" x14ac:dyDescent="0.25">
      <c r="Z11152">
        <v>399999.99999967549</v>
      </c>
    </row>
    <row r="11153" spans="26:26" x14ac:dyDescent="0.25">
      <c r="Z11153">
        <v>399999.99999967631</v>
      </c>
    </row>
    <row r="11154" spans="26:26" x14ac:dyDescent="0.25">
      <c r="Z11154">
        <v>399999.99999967706</v>
      </c>
    </row>
    <row r="11155" spans="26:26" x14ac:dyDescent="0.25">
      <c r="Z11155">
        <v>399999.99999967794</v>
      </c>
    </row>
    <row r="11156" spans="26:26" x14ac:dyDescent="0.25">
      <c r="Z11156">
        <v>399999.99999967875</v>
      </c>
    </row>
    <row r="11157" spans="26:26" x14ac:dyDescent="0.25">
      <c r="Z11157">
        <v>399999.99999967951</v>
      </c>
    </row>
    <row r="11158" spans="26:26" x14ac:dyDescent="0.25">
      <c r="Z11158">
        <v>399999.99999968032</v>
      </c>
    </row>
    <row r="11159" spans="26:26" x14ac:dyDescent="0.25">
      <c r="Z11159">
        <v>399999.99999968114</v>
      </c>
    </row>
    <row r="11160" spans="26:26" x14ac:dyDescent="0.25">
      <c r="Z11160">
        <v>399999.99999968195</v>
      </c>
    </row>
    <row r="11161" spans="26:26" x14ac:dyDescent="0.25">
      <c r="Z11161">
        <v>399999.99999968265</v>
      </c>
    </row>
    <row r="11162" spans="26:26" x14ac:dyDescent="0.25">
      <c r="Z11162">
        <v>399999.99999968347</v>
      </c>
    </row>
    <row r="11163" spans="26:26" x14ac:dyDescent="0.25">
      <c r="Z11163">
        <v>399999.99999968428</v>
      </c>
    </row>
    <row r="11164" spans="26:26" x14ac:dyDescent="0.25">
      <c r="Z11164">
        <v>399999.9999996851</v>
      </c>
    </row>
    <row r="11165" spans="26:26" x14ac:dyDescent="0.25">
      <c r="Z11165">
        <v>399999.99999968585</v>
      </c>
    </row>
    <row r="11166" spans="26:26" x14ac:dyDescent="0.25">
      <c r="Z11166">
        <v>399999.99999968661</v>
      </c>
    </row>
    <row r="11167" spans="26:26" x14ac:dyDescent="0.25">
      <c r="Z11167">
        <v>399999.99999968742</v>
      </c>
    </row>
    <row r="11168" spans="26:26" x14ac:dyDescent="0.25">
      <c r="Z11168">
        <v>399999.99999968824</v>
      </c>
    </row>
    <row r="11169" spans="26:26" x14ac:dyDescent="0.25">
      <c r="Z11169">
        <v>399999.999999689</v>
      </c>
    </row>
    <row r="11170" spans="26:26" x14ac:dyDescent="0.25">
      <c r="Z11170">
        <v>399999.99999968975</v>
      </c>
    </row>
    <row r="11171" spans="26:26" x14ac:dyDescent="0.25">
      <c r="Z11171">
        <v>399999.99999969051</v>
      </c>
    </row>
    <row r="11172" spans="26:26" x14ac:dyDescent="0.25">
      <c r="Z11172">
        <v>399999.99999969132</v>
      </c>
    </row>
    <row r="11173" spans="26:26" x14ac:dyDescent="0.25">
      <c r="Z11173">
        <v>399999.99999969208</v>
      </c>
    </row>
    <row r="11174" spans="26:26" x14ac:dyDescent="0.25">
      <c r="Z11174">
        <v>399999.99999969284</v>
      </c>
    </row>
    <row r="11175" spans="26:26" x14ac:dyDescent="0.25">
      <c r="Z11175">
        <v>399999.99999969365</v>
      </c>
    </row>
    <row r="11176" spans="26:26" x14ac:dyDescent="0.25">
      <c r="Z11176">
        <v>399999.99999969435</v>
      </c>
    </row>
    <row r="11177" spans="26:26" x14ac:dyDescent="0.25">
      <c r="Z11177">
        <v>399999.99999969511</v>
      </c>
    </row>
    <row r="11178" spans="26:26" x14ac:dyDescent="0.25">
      <c r="Z11178">
        <v>399999.99999969586</v>
      </c>
    </row>
    <row r="11179" spans="26:26" x14ac:dyDescent="0.25">
      <c r="Z11179">
        <v>399999.99999969662</v>
      </c>
    </row>
    <row r="11180" spans="26:26" x14ac:dyDescent="0.25">
      <c r="Z11180">
        <v>399999.99999969738</v>
      </c>
    </row>
    <row r="11181" spans="26:26" x14ac:dyDescent="0.25">
      <c r="Z11181">
        <v>399999.99999969814</v>
      </c>
    </row>
    <row r="11182" spans="26:26" x14ac:dyDescent="0.25">
      <c r="Z11182">
        <v>399999.99999969889</v>
      </c>
    </row>
    <row r="11183" spans="26:26" x14ac:dyDescent="0.25">
      <c r="Z11183">
        <v>399999.99999969965</v>
      </c>
    </row>
    <row r="11184" spans="26:26" x14ac:dyDescent="0.25">
      <c r="Z11184">
        <v>399999.99999970041</v>
      </c>
    </row>
    <row r="11185" spans="26:26" x14ac:dyDescent="0.25">
      <c r="Z11185">
        <v>399999.99999970116</v>
      </c>
    </row>
    <row r="11186" spans="26:26" x14ac:dyDescent="0.25">
      <c r="Z11186">
        <v>399999.99999970192</v>
      </c>
    </row>
    <row r="11187" spans="26:26" x14ac:dyDescent="0.25">
      <c r="Z11187">
        <v>399999.99999970262</v>
      </c>
    </row>
    <row r="11188" spans="26:26" x14ac:dyDescent="0.25">
      <c r="Z11188">
        <v>399999.99999970343</v>
      </c>
    </row>
    <row r="11189" spans="26:26" x14ac:dyDescent="0.25">
      <c r="Z11189">
        <v>399999.99999970413</v>
      </c>
    </row>
    <row r="11190" spans="26:26" x14ac:dyDescent="0.25">
      <c r="Z11190">
        <v>399999.99999970489</v>
      </c>
    </row>
    <row r="11191" spans="26:26" x14ac:dyDescent="0.25">
      <c r="Z11191">
        <v>399999.99999970559</v>
      </c>
    </row>
    <row r="11192" spans="26:26" x14ac:dyDescent="0.25">
      <c r="Z11192">
        <v>399999.99999970634</v>
      </c>
    </row>
    <row r="11193" spans="26:26" x14ac:dyDescent="0.25">
      <c r="Z11193">
        <v>399999.9999997071</v>
      </c>
    </row>
    <row r="11194" spans="26:26" x14ac:dyDescent="0.25">
      <c r="Z11194">
        <v>399999.9999997078</v>
      </c>
    </row>
    <row r="11195" spans="26:26" x14ac:dyDescent="0.25">
      <c r="Z11195">
        <v>399999.99999970855</v>
      </c>
    </row>
    <row r="11196" spans="26:26" x14ac:dyDescent="0.25">
      <c r="Z11196">
        <v>399999.99999970925</v>
      </c>
    </row>
    <row r="11197" spans="26:26" x14ac:dyDescent="0.25">
      <c r="Z11197">
        <v>399999.99999971001</v>
      </c>
    </row>
    <row r="11198" spans="26:26" x14ac:dyDescent="0.25">
      <c r="Z11198">
        <v>399999.99999971071</v>
      </c>
    </row>
    <row r="11199" spans="26:26" x14ac:dyDescent="0.25">
      <c r="Z11199">
        <v>399999.99999971141</v>
      </c>
    </row>
    <row r="11200" spans="26:26" x14ac:dyDescent="0.25">
      <c r="Z11200">
        <v>399999.99999971216</v>
      </c>
    </row>
    <row r="11201" spans="26:26" x14ac:dyDescent="0.25">
      <c r="Z11201">
        <v>399999.99999971286</v>
      </c>
    </row>
    <row r="11202" spans="26:26" x14ac:dyDescent="0.25">
      <c r="Z11202">
        <v>399999.99999971362</v>
      </c>
    </row>
    <row r="11203" spans="26:26" x14ac:dyDescent="0.25">
      <c r="Z11203">
        <v>399999.99999971432</v>
      </c>
    </row>
    <row r="11204" spans="26:26" x14ac:dyDescent="0.25">
      <c r="Z11204">
        <v>399999.99999971502</v>
      </c>
    </row>
    <row r="11205" spans="26:26" x14ac:dyDescent="0.25">
      <c r="Z11205">
        <v>399999.99999971571</v>
      </c>
    </row>
    <row r="11206" spans="26:26" x14ac:dyDescent="0.25">
      <c r="Z11206">
        <v>399999.99999971647</v>
      </c>
    </row>
    <row r="11207" spans="26:26" x14ac:dyDescent="0.25">
      <c r="Z11207">
        <v>399999.99999971711</v>
      </c>
    </row>
    <row r="11208" spans="26:26" x14ac:dyDescent="0.25">
      <c r="Z11208">
        <v>399999.99999971787</v>
      </c>
    </row>
    <row r="11209" spans="26:26" x14ac:dyDescent="0.25">
      <c r="Z11209">
        <v>399999.99999971857</v>
      </c>
    </row>
    <row r="11210" spans="26:26" x14ac:dyDescent="0.25">
      <c r="Z11210">
        <v>399999.99999971921</v>
      </c>
    </row>
    <row r="11211" spans="26:26" x14ac:dyDescent="0.25">
      <c r="Z11211">
        <v>399999.99999971996</v>
      </c>
    </row>
    <row r="11212" spans="26:26" x14ac:dyDescent="0.25">
      <c r="Z11212">
        <v>399999.99999972066</v>
      </c>
    </row>
    <row r="11213" spans="26:26" x14ac:dyDescent="0.25">
      <c r="Z11213">
        <v>399999.9999997213</v>
      </c>
    </row>
    <row r="11214" spans="26:26" x14ac:dyDescent="0.25">
      <c r="Z11214">
        <v>399999.99999972206</v>
      </c>
    </row>
    <row r="11215" spans="26:26" x14ac:dyDescent="0.25">
      <c r="Z11215">
        <v>399999.99999972276</v>
      </c>
    </row>
    <row r="11216" spans="26:26" x14ac:dyDescent="0.25">
      <c r="Z11216">
        <v>399999.9999997234</v>
      </c>
    </row>
    <row r="11217" spans="26:26" x14ac:dyDescent="0.25">
      <c r="Z11217">
        <v>399999.99999972415</v>
      </c>
    </row>
    <row r="11218" spans="26:26" x14ac:dyDescent="0.25">
      <c r="Z11218">
        <v>399999.99999972479</v>
      </c>
    </row>
    <row r="11219" spans="26:26" x14ac:dyDescent="0.25">
      <c r="Z11219">
        <v>399999.99999972549</v>
      </c>
    </row>
    <row r="11220" spans="26:26" x14ac:dyDescent="0.25">
      <c r="Z11220">
        <v>399999.99999972619</v>
      </c>
    </row>
    <row r="11221" spans="26:26" x14ac:dyDescent="0.25">
      <c r="Z11221">
        <v>399999.99999972683</v>
      </c>
    </row>
    <row r="11222" spans="26:26" x14ac:dyDescent="0.25">
      <c r="Z11222">
        <v>399999.99999972753</v>
      </c>
    </row>
    <row r="11223" spans="26:26" x14ac:dyDescent="0.25">
      <c r="Z11223">
        <v>399999.99999972817</v>
      </c>
    </row>
    <row r="11224" spans="26:26" x14ac:dyDescent="0.25">
      <c r="Z11224">
        <v>399999.99999972887</v>
      </c>
    </row>
    <row r="11225" spans="26:26" x14ac:dyDescent="0.25">
      <c r="Z11225">
        <v>399999.99999972963</v>
      </c>
    </row>
    <row r="11226" spans="26:26" x14ac:dyDescent="0.25">
      <c r="Z11226">
        <v>399999.99999973021</v>
      </c>
    </row>
    <row r="11227" spans="26:26" x14ac:dyDescent="0.25">
      <c r="Z11227">
        <v>399999.99999973091</v>
      </c>
    </row>
    <row r="11228" spans="26:26" x14ac:dyDescent="0.25">
      <c r="Z11228">
        <v>399999.9999997316</v>
      </c>
    </row>
    <row r="11229" spans="26:26" x14ac:dyDescent="0.25">
      <c r="Z11229">
        <v>399999.99999973224</v>
      </c>
    </row>
    <row r="11230" spans="26:26" x14ac:dyDescent="0.25">
      <c r="Z11230">
        <v>399999.99999973294</v>
      </c>
    </row>
    <row r="11231" spans="26:26" x14ac:dyDescent="0.25">
      <c r="Z11231">
        <v>399999.99999973358</v>
      </c>
    </row>
    <row r="11232" spans="26:26" x14ac:dyDescent="0.25">
      <c r="Z11232">
        <v>399999.99999973422</v>
      </c>
    </row>
    <row r="11233" spans="26:26" x14ac:dyDescent="0.25">
      <c r="Z11233">
        <v>399999.99999973492</v>
      </c>
    </row>
    <row r="11234" spans="26:26" x14ac:dyDescent="0.25">
      <c r="Z11234">
        <v>399999.99999973562</v>
      </c>
    </row>
    <row r="11235" spans="26:26" x14ac:dyDescent="0.25">
      <c r="Z11235">
        <v>399999.99999973626</v>
      </c>
    </row>
    <row r="11236" spans="26:26" x14ac:dyDescent="0.25">
      <c r="Z11236">
        <v>399999.9999997369</v>
      </c>
    </row>
    <row r="11237" spans="26:26" x14ac:dyDescent="0.25">
      <c r="Z11237">
        <v>399999.99999973754</v>
      </c>
    </row>
    <row r="11238" spans="26:26" x14ac:dyDescent="0.25">
      <c r="Z11238">
        <v>399999.99999973818</v>
      </c>
    </row>
    <row r="11239" spans="26:26" x14ac:dyDescent="0.25">
      <c r="Z11239">
        <v>399999.99999973888</v>
      </c>
    </row>
    <row r="11240" spans="26:26" x14ac:dyDescent="0.25">
      <c r="Z11240">
        <v>399999.99999973946</v>
      </c>
    </row>
    <row r="11241" spans="26:26" x14ac:dyDescent="0.25">
      <c r="Z11241">
        <v>399999.99999974016</v>
      </c>
    </row>
    <row r="11242" spans="26:26" x14ac:dyDescent="0.25">
      <c r="Z11242">
        <v>399999.99999974086</v>
      </c>
    </row>
    <row r="11243" spans="26:26" x14ac:dyDescent="0.25">
      <c r="Z11243">
        <v>399999.99999974144</v>
      </c>
    </row>
    <row r="11244" spans="26:26" x14ac:dyDescent="0.25">
      <c r="Z11244">
        <v>399999.99999974208</v>
      </c>
    </row>
    <row r="11245" spans="26:26" x14ac:dyDescent="0.25">
      <c r="Z11245">
        <v>399999.99999974272</v>
      </c>
    </row>
    <row r="11246" spans="26:26" x14ac:dyDescent="0.25">
      <c r="Z11246">
        <v>399999.99999974336</v>
      </c>
    </row>
    <row r="11247" spans="26:26" x14ac:dyDescent="0.25">
      <c r="Z11247">
        <v>399999.999999744</v>
      </c>
    </row>
    <row r="11248" spans="26:26" x14ac:dyDescent="0.25">
      <c r="Z11248">
        <v>399999.99999974464</v>
      </c>
    </row>
    <row r="11249" spans="26:26" x14ac:dyDescent="0.25">
      <c r="Z11249">
        <v>399999.99999974528</v>
      </c>
    </row>
    <row r="11250" spans="26:26" x14ac:dyDescent="0.25">
      <c r="Z11250">
        <v>399999.99999974592</v>
      </c>
    </row>
    <row r="11251" spans="26:26" x14ac:dyDescent="0.25">
      <c r="Z11251">
        <v>399999.99999974656</v>
      </c>
    </row>
    <row r="11252" spans="26:26" x14ac:dyDescent="0.25">
      <c r="Z11252">
        <v>399999.9999997472</v>
      </c>
    </row>
    <row r="11253" spans="26:26" x14ac:dyDescent="0.25">
      <c r="Z11253">
        <v>399999.99999974784</v>
      </c>
    </row>
    <row r="11254" spans="26:26" x14ac:dyDescent="0.25">
      <c r="Z11254">
        <v>399999.99999974848</v>
      </c>
    </row>
    <row r="11255" spans="26:26" x14ac:dyDescent="0.25">
      <c r="Z11255">
        <v>399999.99999974907</v>
      </c>
    </row>
    <row r="11256" spans="26:26" x14ac:dyDescent="0.25">
      <c r="Z11256">
        <v>399999.99999974971</v>
      </c>
    </row>
    <row r="11257" spans="26:26" x14ac:dyDescent="0.25">
      <c r="Z11257">
        <v>399999.99999975035</v>
      </c>
    </row>
    <row r="11258" spans="26:26" x14ac:dyDescent="0.25">
      <c r="Z11258">
        <v>399999.99999975093</v>
      </c>
    </row>
    <row r="11259" spans="26:26" x14ac:dyDescent="0.25">
      <c r="Z11259">
        <v>399999.99999975157</v>
      </c>
    </row>
    <row r="11260" spans="26:26" x14ac:dyDescent="0.25">
      <c r="Z11260">
        <v>399999.99999975221</v>
      </c>
    </row>
    <row r="11261" spans="26:26" x14ac:dyDescent="0.25">
      <c r="Z11261">
        <v>399999.99999975279</v>
      </c>
    </row>
    <row r="11262" spans="26:26" x14ac:dyDescent="0.25">
      <c r="Z11262">
        <v>399999.99999975343</v>
      </c>
    </row>
    <row r="11263" spans="26:26" x14ac:dyDescent="0.25">
      <c r="Z11263">
        <v>399999.99999975407</v>
      </c>
    </row>
    <row r="11264" spans="26:26" x14ac:dyDescent="0.25">
      <c r="Z11264">
        <v>399999.99999975465</v>
      </c>
    </row>
    <row r="11265" spans="26:26" x14ac:dyDescent="0.25">
      <c r="Z11265">
        <v>399999.99999975524</v>
      </c>
    </row>
    <row r="11266" spans="26:26" x14ac:dyDescent="0.25">
      <c r="Z11266">
        <v>399999.99999975588</v>
      </c>
    </row>
    <row r="11267" spans="26:26" x14ac:dyDescent="0.25">
      <c r="Z11267">
        <v>399999.99999975652</v>
      </c>
    </row>
    <row r="11268" spans="26:26" x14ac:dyDescent="0.25">
      <c r="Z11268">
        <v>399999.99999975704</v>
      </c>
    </row>
    <row r="11269" spans="26:26" x14ac:dyDescent="0.25">
      <c r="Z11269">
        <v>399999.99999975768</v>
      </c>
    </row>
    <row r="11270" spans="26:26" x14ac:dyDescent="0.25">
      <c r="Z11270">
        <v>399999.99999975832</v>
      </c>
    </row>
    <row r="11271" spans="26:26" x14ac:dyDescent="0.25">
      <c r="Z11271">
        <v>399999.9999997589</v>
      </c>
    </row>
    <row r="11272" spans="26:26" x14ac:dyDescent="0.25">
      <c r="Z11272">
        <v>399999.99999975954</v>
      </c>
    </row>
    <row r="11273" spans="26:26" x14ac:dyDescent="0.25">
      <c r="Z11273">
        <v>399999.99999976013</v>
      </c>
    </row>
    <row r="11274" spans="26:26" x14ac:dyDescent="0.25">
      <c r="Z11274">
        <v>399999.99999976071</v>
      </c>
    </row>
    <row r="11275" spans="26:26" x14ac:dyDescent="0.25">
      <c r="Z11275">
        <v>399999.99999976129</v>
      </c>
    </row>
    <row r="11276" spans="26:26" x14ac:dyDescent="0.25">
      <c r="Z11276">
        <v>399999.99999976193</v>
      </c>
    </row>
    <row r="11277" spans="26:26" x14ac:dyDescent="0.25">
      <c r="Z11277">
        <v>399999.99999976245</v>
      </c>
    </row>
    <row r="11278" spans="26:26" x14ac:dyDescent="0.25">
      <c r="Z11278">
        <v>399999.99999976309</v>
      </c>
    </row>
    <row r="11279" spans="26:26" x14ac:dyDescent="0.25">
      <c r="Z11279">
        <v>399999.99999976368</v>
      </c>
    </row>
    <row r="11280" spans="26:26" x14ac:dyDescent="0.25">
      <c r="Z11280">
        <v>399999.99999976426</v>
      </c>
    </row>
    <row r="11281" spans="26:26" x14ac:dyDescent="0.25">
      <c r="Z11281">
        <v>399999.99999976484</v>
      </c>
    </row>
    <row r="11282" spans="26:26" x14ac:dyDescent="0.25">
      <c r="Z11282">
        <v>399999.99999976542</v>
      </c>
    </row>
    <row r="11283" spans="26:26" x14ac:dyDescent="0.25">
      <c r="Z11283">
        <v>399999.99999976601</v>
      </c>
    </row>
    <row r="11284" spans="26:26" x14ac:dyDescent="0.25">
      <c r="Z11284">
        <v>399999.99999976659</v>
      </c>
    </row>
    <row r="11285" spans="26:26" x14ac:dyDescent="0.25">
      <c r="Z11285">
        <v>399999.99999976723</v>
      </c>
    </row>
    <row r="11286" spans="26:26" x14ac:dyDescent="0.25">
      <c r="Z11286">
        <v>399999.99999976781</v>
      </c>
    </row>
    <row r="11287" spans="26:26" x14ac:dyDescent="0.25">
      <c r="Z11287">
        <v>399999.99999976833</v>
      </c>
    </row>
    <row r="11288" spans="26:26" x14ac:dyDescent="0.25">
      <c r="Z11288">
        <v>399999.99999976892</v>
      </c>
    </row>
    <row r="11289" spans="26:26" x14ac:dyDescent="0.25">
      <c r="Z11289">
        <v>399999.9999997695</v>
      </c>
    </row>
    <row r="11290" spans="26:26" x14ac:dyDescent="0.25">
      <c r="Z11290">
        <v>399999.99999977008</v>
      </c>
    </row>
    <row r="11291" spans="26:26" x14ac:dyDescent="0.25">
      <c r="Z11291">
        <v>399999.99999977066</v>
      </c>
    </row>
    <row r="11292" spans="26:26" x14ac:dyDescent="0.25">
      <c r="Z11292">
        <v>399999.99999977124</v>
      </c>
    </row>
    <row r="11293" spans="26:26" x14ac:dyDescent="0.25">
      <c r="Z11293">
        <v>399999.99999977177</v>
      </c>
    </row>
    <row r="11294" spans="26:26" x14ac:dyDescent="0.25">
      <c r="Z11294">
        <v>399999.99999977235</v>
      </c>
    </row>
    <row r="11295" spans="26:26" x14ac:dyDescent="0.25">
      <c r="Z11295">
        <v>399999.99999977293</v>
      </c>
    </row>
    <row r="11296" spans="26:26" x14ac:dyDescent="0.25">
      <c r="Z11296">
        <v>399999.99999977351</v>
      </c>
    </row>
    <row r="11297" spans="26:26" x14ac:dyDescent="0.25">
      <c r="Z11297">
        <v>399999.9999997741</v>
      </c>
    </row>
    <row r="11298" spans="26:26" x14ac:dyDescent="0.25">
      <c r="Z11298">
        <v>399999.99999977462</v>
      </c>
    </row>
    <row r="11299" spans="26:26" x14ac:dyDescent="0.25">
      <c r="Z11299">
        <v>399999.9999997752</v>
      </c>
    </row>
    <row r="11300" spans="26:26" x14ac:dyDescent="0.25">
      <c r="Z11300">
        <v>399999.99999977573</v>
      </c>
    </row>
    <row r="11301" spans="26:26" x14ac:dyDescent="0.25">
      <c r="Z11301">
        <v>399999.99999977631</v>
      </c>
    </row>
    <row r="11302" spans="26:26" x14ac:dyDescent="0.25">
      <c r="Z11302">
        <v>399999.99999977689</v>
      </c>
    </row>
    <row r="11303" spans="26:26" x14ac:dyDescent="0.25">
      <c r="Z11303">
        <v>399999.99999977741</v>
      </c>
    </row>
    <row r="11304" spans="26:26" x14ac:dyDescent="0.25">
      <c r="Z11304">
        <v>399999.999999778</v>
      </c>
    </row>
    <row r="11305" spans="26:26" x14ac:dyDescent="0.25">
      <c r="Z11305">
        <v>399999.99999977852</v>
      </c>
    </row>
    <row r="11306" spans="26:26" x14ac:dyDescent="0.25">
      <c r="Z11306">
        <v>399999.9999997791</v>
      </c>
    </row>
    <row r="11307" spans="26:26" x14ac:dyDescent="0.25">
      <c r="Z11307">
        <v>399999.99999977963</v>
      </c>
    </row>
    <row r="11308" spans="26:26" x14ac:dyDescent="0.25">
      <c r="Z11308">
        <v>399999.99999978015</v>
      </c>
    </row>
    <row r="11309" spans="26:26" x14ac:dyDescent="0.25">
      <c r="Z11309">
        <v>399999.99999978073</v>
      </c>
    </row>
    <row r="11310" spans="26:26" x14ac:dyDescent="0.25">
      <c r="Z11310">
        <v>399999.99999978126</v>
      </c>
    </row>
    <row r="11311" spans="26:26" x14ac:dyDescent="0.25">
      <c r="Z11311">
        <v>399999.99999978178</v>
      </c>
    </row>
    <row r="11312" spans="26:26" x14ac:dyDescent="0.25">
      <c r="Z11312">
        <v>399999.99999978242</v>
      </c>
    </row>
    <row r="11313" spans="26:26" x14ac:dyDescent="0.25">
      <c r="Z11313">
        <v>399999.99999978294</v>
      </c>
    </row>
    <row r="11314" spans="26:26" x14ac:dyDescent="0.25">
      <c r="Z11314">
        <v>399999.99999978347</v>
      </c>
    </row>
    <row r="11315" spans="26:26" x14ac:dyDescent="0.25">
      <c r="Z11315">
        <v>399999.99999978399</v>
      </c>
    </row>
    <row r="11316" spans="26:26" x14ac:dyDescent="0.25">
      <c r="Z11316">
        <v>399999.99999978452</v>
      </c>
    </row>
    <row r="11317" spans="26:26" x14ac:dyDescent="0.25">
      <c r="Z11317">
        <v>399999.99999978504</v>
      </c>
    </row>
    <row r="11318" spans="26:26" x14ac:dyDescent="0.25">
      <c r="Z11318">
        <v>399999.99999978556</v>
      </c>
    </row>
    <row r="11319" spans="26:26" x14ac:dyDescent="0.25">
      <c r="Z11319">
        <v>399999.99999978615</v>
      </c>
    </row>
    <row r="11320" spans="26:26" x14ac:dyDescent="0.25">
      <c r="Z11320">
        <v>399999.99999978667</v>
      </c>
    </row>
    <row r="11321" spans="26:26" x14ac:dyDescent="0.25">
      <c r="Z11321">
        <v>399999.99999978719</v>
      </c>
    </row>
    <row r="11322" spans="26:26" x14ac:dyDescent="0.25">
      <c r="Z11322">
        <v>399999.99999978772</v>
      </c>
    </row>
    <row r="11323" spans="26:26" x14ac:dyDescent="0.25">
      <c r="Z11323">
        <v>399999.99999978824</v>
      </c>
    </row>
    <row r="11324" spans="26:26" x14ac:dyDescent="0.25">
      <c r="Z11324">
        <v>399999.99999978876</v>
      </c>
    </row>
    <row r="11325" spans="26:26" x14ac:dyDescent="0.25">
      <c r="Z11325">
        <v>399999.99999978929</v>
      </c>
    </row>
    <row r="11326" spans="26:26" x14ac:dyDescent="0.25">
      <c r="Z11326">
        <v>399999.99999978987</v>
      </c>
    </row>
    <row r="11327" spans="26:26" x14ac:dyDescent="0.25">
      <c r="Z11327">
        <v>399999.99999979039</v>
      </c>
    </row>
    <row r="11328" spans="26:26" x14ac:dyDescent="0.25">
      <c r="Z11328">
        <v>399999.99999979086</v>
      </c>
    </row>
    <row r="11329" spans="26:26" x14ac:dyDescent="0.25">
      <c r="Z11329">
        <v>399999.99999979138</v>
      </c>
    </row>
    <row r="11330" spans="26:26" x14ac:dyDescent="0.25">
      <c r="Z11330">
        <v>399999.99999979197</v>
      </c>
    </row>
    <row r="11331" spans="26:26" x14ac:dyDescent="0.25">
      <c r="Z11331">
        <v>399999.99999979249</v>
      </c>
    </row>
    <row r="11332" spans="26:26" x14ac:dyDescent="0.25">
      <c r="Z11332">
        <v>399999.99999979296</v>
      </c>
    </row>
    <row r="11333" spans="26:26" x14ac:dyDescent="0.25">
      <c r="Z11333">
        <v>399999.99999979348</v>
      </c>
    </row>
    <row r="11334" spans="26:26" x14ac:dyDescent="0.25">
      <c r="Z11334">
        <v>399999.999999794</v>
      </c>
    </row>
    <row r="11335" spans="26:26" x14ac:dyDescent="0.25">
      <c r="Z11335">
        <v>399999.99999979447</v>
      </c>
    </row>
    <row r="11336" spans="26:26" x14ac:dyDescent="0.25">
      <c r="Z11336">
        <v>399999.99999979505</v>
      </c>
    </row>
    <row r="11337" spans="26:26" x14ac:dyDescent="0.25">
      <c r="Z11337">
        <v>399999.99999979552</v>
      </c>
    </row>
    <row r="11338" spans="26:26" x14ac:dyDescent="0.25">
      <c r="Z11338">
        <v>399999.9999997961</v>
      </c>
    </row>
    <row r="11339" spans="26:26" x14ac:dyDescent="0.25">
      <c r="Z11339">
        <v>399999.99999979656</v>
      </c>
    </row>
    <row r="11340" spans="26:26" x14ac:dyDescent="0.25">
      <c r="Z11340">
        <v>399999.99999979703</v>
      </c>
    </row>
    <row r="11341" spans="26:26" x14ac:dyDescent="0.25">
      <c r="Z11341">
        <v>399999.99999979761</v>
      </c>
    </row>
    <row r="11342" spans="26:26" x14ac:dyDescent="0.25">
      <c r="Z11342">
        <v>399999.99999979808</v>
      </c>
    </row>
    <row r="11343" spans="26:26" x14ac:dyDescent="0.25">
      <c r="Z11343">
        <v>399999.9999997986</v>
      </c>
    </row>
    <row r="11344" spans="26:26" x14ac:dyDescent="0.25">
      <c r="Z11344">
        <v>399999.99999979907</v>
      </c>
    </row>
    <row r="11345" spans="26:26" x14ac:dyDescent="0.25">
      <c r="Z11345">
        <v>399999.99999979959</v>
      </c>
    </row>
    <row r="11346" spans="26:26" x14ac:dyDescent="0.25">
      <c r="Z11346">
        <v>399999.99999980006</v>
      </c>
    </row>
    <row r="11347" spans="26:26" x14ac:dyDescent="0.25">
      <c r="Z11347">
        <v>399999.99999980058</v>
      </c>
    </row>
    <row r="11348" spans="26:26" x14ac:dyDescent="0.25">
      <c r="Z11348">
        <v>399999.9999998011</v>
      </c>
    </row>
    <row r="11349" spans="26:26" x14ac:dyDescent="0.25">
      <c r="Z11349">
        <v>399999.99999980157</v>
      </c>
    </row>
    <row r="11350" spans="26:26" x14ac:dyDescent="0.25">
      <c r="Z11350">
        <v>399999.99999980204</v>
      </c>
    </row>
    <row r="11351" spans="26:26" x14ac:dyDescent="0.25">
      <c r="Z11351">
        <v>399999.99999980256</v>
      </c>
    </row>
    <row r="11352" spans="26:26" x14ac:dyDescent="0.25">
      <c r="Z11352">
        <v>399999.99999980303</v>
      </c>
    </row>
    <row r="11353" spans="26:26" x14ac:dyDescent="0.25">
      <c r="Z11353">
        <v>399999.99999980355</v>
      </c>
    </row>
    <row r="11354" spans="26:26" x14ac:dyDescent="0.25">
      <c r="Z11354">
        <v>399999.99999980401</v>
      </c>
    </row>
    <row r="11355" spans="26:26" x14ac:dyDescent="0.25">
      <c r="Z11355">
        <v>399999.99999980448</v>
      </c>
    </row>
    <row r="11356" spans="26:26" x14ac:dyDescent="0.25">
      <c r="Z11356">
        <v>399999.999999805</v>
      </c>
    </row>
    <row r="11357" spans="26:26" x14ac:dyDescent="0.25">
      <c r="Z11357">
        <v>399999.99999980547</v>
      </c>
    </row>
    <row r="11358" spans="26:26" x14ac:dyDescent="0.25">
      <c r="Z11358">
        <v>399999.99999980594</v>
      </c>
    </row>
    <row r="11359" spans="26:26" x14ac:dyDescent="0.25">
      <c r="Z11359">
        <v>399999.99999980646</v>
      </c>
    </row>
    <row r="11360" spans="26:26" x14ac:dyDescent="0.25">
      <c r="Z11360">
        <v>399999.99999980693</v>
      </c>
    </row>
    <row r="11361" spans="26:26" x14ac:dyDescent="0.25">
      <c r="Z11361">
        <v>399999.99999980745</v>
      </c>
    </row>
    <row r="11362" spans="26:26" x14ac:dyDescent="0.25">
      <c r="Z11362">
        <v>399999.99999980791</v>
      </c>
    </row>
    <row r="11363" spans="26:26" x14ac:dyDescent="0.25">
      <c r="Z11363">
        <v>399999.99999980838</v>
      </c>
    </row>
    <row r="11364" spans="26:26" x14ac:dyDescent="0.25">
      <c r="Z11364">
        <v>399999.99999980885</v>
      </c>
    </row>
    <row r="11365" spans="26:26" x14ac:dyDescent="0.25">
      <c r="Z11365">
        <v>399999.99999980937</v>
      </c>
    </row>
    <row r="11366" spans="26:26" x14ac:dyDescent="0.25">
      <c r="Z11366">
        <v>399999.99999980984</v>
      </c>
    </row>
    <row r="11367" spans="26:26" x14ac:dyDescent="0.25">
      <c r="Z11367">
        <v>399999.99999981024</v>
      </c>
    </row>
    <row r="11368" spans="26:26" x14ac:dyDescent="0.25">
      <c r="Z11368">
        <v>399999.99999981077</v>
      </c>
    </row>
    <row r="11369" spans="26:26" x14ac:dyDescent="0.25">
      <c r="Z11369">
        <v>399999.99999981129</v>
      </c>
    </row>
    <row r="11370" spans="26:26" x14ac:dyDescent="0.25">
      <c r="Z11370">
        <v>399999.9999998117</v>
      </c>
    </row>
    <row r="11371" spans="26:26" x14ac:dyDescent="0.25">
      <c r="Z11371">
        <v>399999.99999981216</v>
      </c>
    </row>
    <row r="11372" spans="26:26" x14ac:dyDescent="0.25">
      <c r="Z11372">
        <v>399999.99999981263</v>
      </c>
    </row>
    <row r="11373" spans="26:26" x14ac:dyDescent="0.25">
      <c r="Z11373">
        <v>399999.99999981315</v>
      </c>
    </row>
    <row r="11374" spans="26:26" x14ac:dyDescent="0.25">
      <c r="Z11374">
        <v>399999.99999981356</v>
      </c>
    </row>
    <row r="11375" spans="26:26" x14ac:dyDescent="0.25">
      <c r="Z11375">
        <v>399999.99999981403</v>
      </c>
    </row>
    <row r="11376" spans="26:26" x14ac:dyDescent="0.25">
      <c r="Z11376">
        <v>399999.99999981449</v>
      </c>
    </row>
    <row r="11377" spans="26:26" x14ac:dyDescent="0.25">
      <c r="Z11377">
        <v>399999.99999981502</v>
      </c>
    </row>
    <row r="11378" spans="26:26" x14ac:dyDescent="0.25">
      <c r="Z11378">
        <v>399999.99999981542</v>
      </c>
    </row>
    <row r="11379" spans="26:26" x14ac:dyDescent="0.25">
      <c r="Z11379">
        <v>399999.99999981589</v>
      </c>
    </row>
    <row r="11380" spans="26:26" x14ac:dyDescent="0.25">
      <c r="Z11380">
        <v>399999.99999981635</v>
      </c>
    </row>
    <row r="11381" spans="26:26" x14ac:dyDescent="0.25">
      <c r="Z11381">
        <v>399999.99999981682</v>
      </c>
    </row>
    <row r="11382" spans="26:26" x14ac:dyDescent="0.25">
      <c r="Z11382">
        <v>399999.99999981723</v>
      </c>
    </row>
    <row r="11383" spans="26:26" x14ac:dyDescent="0.25">
      <c r="Z11383">
        <v>399999.99999981775</v>
      </c>
    </row>
    <row r="11384" spans="26:26" x14ac:dyDescent="0.25">
      <c r="Z11384">
        <v>399999.99999981816</v>
      </c>
    </row>
    <row r="11385" spans="26:26" x14ac:dyDescent="0.25">
      <c r="Z11385">
        <v>399999.99999981862</v>
      </c>
    </row>
    <row r="11386" spans="26:26" x14ac:dyDescent="0.25">
      <c r="Z11386">
        <v>399999.99999981903</v>
      </c>
    </row>
    <row r="11387" spans="26:26" x14ac:dyDescent="0.25">
      <c r="Z11387">
        <v>399999.9999998195</v>
      </c>
    </row>
    <row r="11388" spans="26:26" x14ac:dyDescent="0.25">
      <c r="Z11388">
        <v>399999.99999982002</v>
      </c>
    </row>
    <row r="11389" spans="26:26" x14ac:dyDescent="0.25">
      <c r="Z11389">
        <v>399999.99999982043</v>
      </c>
    </row>
    <row r="11390" spans="26:26" x14ac:dyDescent="0.25">
      <c r="Z11390">
        <v>399999.9999998209</v>
      </c>
    </row>
    <row r="11391" spans="26:26" x14ac:dyDescent="0.25">
      <c r="Z11391">
        <v>399999.9999998213</v>
      </c>
    </row>
    <row r="11392" spans="26:26" x14ac:dyDescent="0.25">
      <c r="Z11392">
        <v>399999.99999982177</v>
      </c>
    </row>
    <row r="11393" spans="26:26" x14ac:dyDescent="0.25">
      <c r="Z11393">
        <v>399999.99999982223</v>
      </c>
    </row>
    <row r="11394" spans="26:26" x14ac:dyDescent="0.25">
      <c r="Z11394">
        <v>399999.9999998227</v>
      </c>
    </row>
    <row r="11395" spans="26:26" x14ac:dyDescent="0.25">
      <c r="Z11395">
        <v>399999.99999982311</v>
      </c>
    </row>
    <row r="11396" spans="26:26" x14ac:dyDescent="0.25">
      <c r="Z11396">
        <v>399999.99999982357</v>
      </c>
    </row>
    <row r="11397" spans="26:26" x14ac:dyDescent="0.25">
      <c r="Z11397">
        <v>399999.99999982398</v>
      </c>
    </row>
    <row r="11398" spans="26:26" x14ac:dyDescent="0.25">
      <c r="Z11398">
        <v>399999.99999982445</v>
      </c>
    </row>
    <row r="11399" spans="26:26" x14ac:dyDescent="0.25">
      <c r="Z11399">
        <v>399999.99999982479</v>
      </c>
    </row>
    <row r="11400" spans="26:26" x14ac:dyDescent="0.25">
      <c r="Z11400">
        <v>399999.99999982526</v>
      </c>
    </row>
    <row r="11401" spans="26:26" x14ac:dyDescent="0.25">
      <c r="Z11401">
        <v>399999.99999982573</v>
      </c>
    </row>
    <row r="11402" spans="26:26" x14ac:dyDescent="0.25">
      <c r="Z11402">
        <v>399999.99999982619</v>
      </c>
    </row>
    <row r="11403" spans="26:26" x14ac:dyDescent="0.25">
      <c r="Z11403">
        <v>399999.99999982666</v>
      </c>
    </row>
    <row r="11404" spans="26:26" x14ac:dyDescent="0.25">
      <c r="Z11404">
        <v>399999.99999982701</v>
      </c>
    </row>
    <row r="11405" spans="26:26" x14ac:dyDescent="0.25">
      <c r="Z11405">
        <v>399999.99999982747</v>
      </c>
    </row>
    <row r="11406" spans="26:26" x14ac:dyDescent="0.25">
      <c r="Z11406">
        <v>399999.99999982794</v>
      </c>
    </row>
    <row r="11407" spans="26:26" x14ac:dyDescent="0.25">
      <c r="Z11407">
        <v>399999.99999982835</v>
      </c>
    </row>
    <row r="11408" spans="26:26" x14ac:dyDescent="0.25">
      <c r="Z11408">
        <v>399999.99999982875</v>
      </c>
    </row>
    <row r="11409" spans="26:26" x14ac:dyDescent="0.25">
      <c r="Z11409">
        <v>399999.99999982916</v>
      </c>
    </row>
    <row r="11410" spans="26:26" x14ac:dyDescent="0.25">
      <c r="Z11410">
        <v>399999.99999982963</v>
      </c>
    </row>
    <row r="11411" spans="26:26" x14ac:dyDescent="0.25">
      <c r="Z11411">
        <v>399999.99999983003</v>
      </c>
    </row>
    <row r="11412" spans="26:26" x14ac:dyDescent="0.25">
      <c r="Z11412">
        <v>399999.99999983044</v>
      </c>
    </row>
    <row r="11413" spans="26:26" x14ac:dyDescent="0.25">
      <c r="Z11413">
        <v>399999.99999983085</v>
      </c>
    </row>
    <row r="11414" spans="26:26" x14ac:dyDescent="0.25">
      <c r="Z11414">
        <v>399999.99999983126</v>
      </c>
    </row>
    <row r="11415" spans="26:26" x14ac:dyDescent="0.25">
      <c r="Z11415">
        <v>399999.99999983172</v>
      </c>
    </row>
    <row r="11416" spans="26:26" x14ac:dyDescent="0.25">
      <c r="Z11416">
        <v>399999.99999983213</v>
      </c>
    </row>
    <row r="11417" spans="26:26" x14ac:dyDescent="0.25">
      <c r="Z11417">
        <v>399999.99999983254</v>
      </c>
    </row>
    <row r="11418" spans="26:26" x14ac:dyDescent="0.25">
      <c r="Z11418">
        <v>399999.99999983294</v>
      </c>
    </row>
    <row r="11419" spans="26:26" x14ac:dyDescent="0.25">
      <c r="Z11419">
        <v>399999.99999983335</v>
      </c>
    </row>
    <row r="11420" spans="26:26" x14ac:dyDescent="0.25">
      <c r="Z11420">
        <v>399999.99999983382</v>
      </c>
    </row>
    <row r="11421" spans="26:26" x14ac:dyDescent="0.25">
      <c r="Z11421">
        <v>399999.99999983417</v>
      </c>
    </row>
    <row r="11422" spans="26:26" x14ac:dyDescent="0.25">
      <c r="Z11422">
        <v>399999.99999983457</v>
      </c>
    </row>
    <row r="11423" spans="26:26" x14ac:dyDescent="0.25">
      <c r="Z11423">
        <v>399999.99999983504</v>
      </c>
    </row>
    <row r="11424" spans="26:26" x14ac:dyDescent="0.25">
      <c r="Z11424">
        <v>399999.99999983545</v>
      </c>
    </row>
    <row r="11425" spans="26:26" x14ac:dyDescent="0.25">
      <c r="Z11425">
        <v>399999.99999983585</v>
      </c>
    </row>
    <row r="11426" spans="26:26" x14ac:dyDescent="0.25">
      <c r="Z11426">
        <v>399999.99999983626</v>
      </c>
    </row>
    <row r="11427" spans="26:26" x14ac:dyDescent="0.25">
      <c r="Z11427">
        <v>399999.99999983667</v>
      </c>
    </row>
    <row r="11428" spans="26:26" x14ac:dyDescent="0.25">
      <c r="Z11428">
        <v>399999.99999983708</v>
      </c>
    </row>
    <row r="11429" spans="26:26" x14ac:dyDescent="0.25">
      <c r="Z11429">
        <v>399999.99999983748</v>
      </c>
    </row>
    <row r="11430" spans="26:26" x14ac:dyDescent="0.25">
      <c r="Z11430">
        <v>399999.99999983789</v>
      </c>
    </row>
    <row r="11431" spans="26:26" x14ac:dyDescent="0.25">
      <c r="Z11431">
        <v>399999.9999998383</v>
      </c>
    </row>
    <row r="11432" spans="26:26" x14ac:dyDescent="0.25">
      <c r="Z11432">
        <v>399999.99999983871</v>
      </c>
    </row>
    <row r="11433" spans="26:26" x14ac:dyDescent="0.25">
      <c r="Z11433">
        <v>399999.99999983911</v>
      </c>
    </row>
    <row r="11434" spans="26:26" x14ac:dyDescent="0.25">
      <c r="Z11434">
        <v>399999.99999983952</v>
      </c>
    </row>
    <row r="11435" spans="26:26" x14ac:dyDescent="0.25">
      <c r="Z11435">
        <v>399999.99999983987</v>
      </c>
    </row>
    <row r="11436" spans="26:26" x14ac:dyDescent="0.25">
      <c r="Z11436">
        <v>399999.99999984028</v>
      </c>
    </row>
    <row r="11437" spans="26:26" x14ac:dyDescent="0.25">
      <c r="Z11437">
        <v>399999.99999984069</v>
      </c>
    </row>
    <row r="11438" spans="26:26" x14ac:dyDescent="0.25">
      <c r="Z11438">
        <v>399999.99999984109</v>
      </c>
    </row>
    <row r="11439" spans="26:26" x14ac:dyDescent="0.25">
      <c r="Z11439">
        <v>399999.9999998415</v>
      </c>
    </row>
    <row r="11440" spans="26:26" x14ac:dyDescent="0.25">
      <c r="Z11440">
        <v>399999.99999984185</v>
      </c>
    </row>
    <row r="11441" spans="26:26" x14ac:dyDescent="0.25">
      <c r="Z11441">
        <v>399999.99999984226</v>
      </c>
    </row>
    <row r="11442" spans="26:26" x14ac:dyDescent="0.25">
      <c r="Z11442">
        <v>399999.99999984272</v>
      </c>
    </row>
    <row r="11443" spans="26:26" x14ac:dyDescent="0.25">
      <c r="Z11443">
        <v>399999.99999984313</v>
      </c>
    </row>
    <row r="11444" spans="26:26" x14ac:dyDescent="0.25">
      <c r="Z11444">
        <v>399999.99999984348</v>
      </c>
    </row>
    <row r="11445" spans="26:26" x14ac:dyDescent="0.25">
      <c r="Z11445">
        <v>399999.99999984383</v>
      </c>
    </row>
    <row r="11446" spans="26:26" x14ac:dyDescent="0.25">
      <c r="Z11446">
        <v>399999.99999984424</v>
      </c>
    </row>
    <row r="11447" spans="26:26" x14ac:dyDescent="0.25">
      <c r="Z11447">
        <v>399999.99999984464</v>
      </c>
    </row>
    <row r="11448" spans="26:26" x14ac:dyDescent="0.25">
      <c r="Z11448">
        <v>399999.99999984505</v>
      </c>
    </row>
    <row r="11449" spans="26:26" x14ac:dyDescent="0.25">
      <c r="Z11449">
        <v>399999.9999998454</v>
      </c>
    </row>
    <row r="11450" spans="26:26" x14ac:dyDescent="0.25">
      <c r="Z11450">
        <v>399999.99999984581</v>
      </c>
    </row>
    <row r="11451" spans="26:26" x14ac:dyDescent="0.25">
      <c r="Z11451">
        <v>399999.99999984622</v>
      </c>
    </row>
    <row r="11452" spans="26:26" x14ac:dyDescent="0.25">
      <c r="Z11452">
        <v>399999.99999984656</v>
      </c>
    </row>
    <row r="11453" spans="26:26" x14ac:dyDescent="0.25">
      <c r="Z11453">
        <v>399999.99999984697</v>
      </c>
    </row>
    <row r="11454" spans="26:26" x14ac:dyDescent="0.25">
      <c r="Z11454">
        <v>399999.99999984732</v>
      </c>
    </row>
    <row r="11455" spans="26:26" x14ac:dyDescent="0.25">
      <c r="Z11455">
        <v>399999.99999984767</v>
      </c>
    </row>
    <row r="11456" spans="26:26" x14ac:dyDescent="0.25">
      <c r="Z11456">
        <v>399999.99999984808</v>
      </c>
    </row>
    <row r="11457" spans="26:26" x14ac:dyDescent="0.25">
      <c r="Z11457">
        <v>399999.99999984849</v>
      </c>
    </row>
    <row r="11458" spans="26:26" x14ac:dyDescent="0.25">
      <c r="Z11458">
        <v>399999.99999984889</v>
      </c>
    </row>
    <row r="11459" spans="26:26" x14ac:dyDescent="0.25">
      <c r="Z11459">
        <v>399999.99999984924</v>
      </c>
    </row>
    <row r="11460" spans="26:26" x14ac:dyDescent="0.25">
      <c r="Z11460">
        <v>399999.99999984959</v>
      </c>
    </row>
    <row r="11461" spans="26:26" x14ac:dyDescent="0.25">
      <c r="Z11461">
        <v>399999.99999985</v>
      </c>
    </row>
    <row r="11462" spans="26:26" x14ac:dyDescent="0.25">
      <c r="Z11462">
        <v>399999.99999985035</v>
      </c>
    </row>
    <row r="11463" spans="26:26" x14ac:dyDescent="0.25">
      <c r="Z11463">
        <v>399999.99999985076</v>
      </c>
    </row>
    <row r="11464" spans="26:26" x14ac:dyDescent="0.25">
      <c r="Z11464">
        <v>399999.9999998511</v>
      </c>
    </row>
    <row r="11465" spans="26:26" x14ac:dyDescent="0.25">
      <c r="Z11465">
        <v>399999.99999985145</v>
      </c>
    </row>
    <row r="11466" spans="26:26" x14ac:dyDescent="0.25">
      <c r="Z11466">
        <v>399999.99999985186</v>
      </c>
    </row>
    <row r="11467" spans="26:26" x14ac:dyDescent="0.25">
      <c r="Z11467">
        <v>399999.99999985221</v>
      </c>
    </row>
    <row r="11468" spans="26:26" x14ac:dyDescent="0.25">
      <c r="Z11468">
        <v>399999.99999985256</v>
      </c>
    </row>
    <row r="11469" spans="26:26" x14ac:dyDescent="0.25">
      <c r="Z11469">
        <v>399999.99999985297</v>
      </c>
    </row>
    <row r="11470" spans="26:26" x14ac:dyDescent="0.25">
      <c r="Z11470">
        <v>399999.99999985332</v>
      </c>
    </row>
    <row r="11471" spans="26:26" x14ac:dyDescent="0.25">
      <c r="Z11471">
        <v>399999.99999985367</v>
      </c>
    </row>
    <row r="11472" spans="26:26" x14ac:dyDescent="0.25">
      <c r="Z11472">
        <v>399999.99999985402</v>
      </c>
    </row>
    <row r="11473" spans="26:26" x14ac:dyDescent="0.25">
      <c r="Z11473">
        <v>399999.99999985442</v>
      </c>
    </row>
    <row r="11474" spans="26:26" x14ac:dyDescent="0.25">
      <c r="Z11474">
        <v>399999.99999985477</v>
      </c>
    </row>
    <row r="11475" spans="26:26" x14ac:dyDescent="0.25">
      <c r="Z11475">
        <v>399999.99999985512</v>
      </c>
    </row>
    <row r="11476" spans="26:26" x14ac:dyDescent="0.25">
      <c r="Z11476">
        <v>399999.99999985547</v>
      </c>
    </row>
    <row r="11477" spans="26:26" x14ac:dyDescent="0.25">
      <c r="Z11477">
        <v>399999.99999985582</v>
      </c>
    </row>
    <row r="11478" spans="26:26" x14ac:dyDescent="0.25">
      <c r="Z11478">
        <v>399999.99999985623</v>
      </c>
    </row>
    <row r="11479" spans="26:26" x14ac:dyDescent="0.25">
      <c r="Z11479">
        <v>399999.99999985658</v>
      </c>
    </row>
    <row r="11480" spans="26:26" x14ac:dyDescent="0.25">
      <c r="Z11480">
        <v>399999.99999985693</v>
      </c>
    </row>
    <row r="11481" spans="26:26" x14ac:dyDescent="0.25">
      <c r="Z11481">
        <v>399999.99999985727</v>
      </c>
    </row>
    <row r="11482" spans="26:26" x14ac:dyDescent="0.25">
      <c r="Z11482">
        <v>399999.99999985768</v>
      </c>
    </row>
    <row r="11483" spans="26:26" x14ac:dyDescent="0.25">
      <c r="Z11483">
        <v>399999.99999985803</v>
      </c>
    </row>
    <row r="11484" spans="26:26" x14ac:dyDescent="0.25">
      <c r="Z11484">
        <v>399999.99999985832</v>
      </c>
    </row>
    <row r="11485" spans="26:26" x14ac:dyDescent="0.25">
      <c r="Z11485">
        <v>399999.99999985873</v>
      </c>
    </row>
    <row r="11486" spans="26:26" x14ac:dyDescent="0.25">
      <c r="Z11486">
        <v>399999.99999985902</v>
      </c>
    </row>
    <row r="11487" spans="26:26" x14ac:dyDescent="0.25">
      <c r="Z11487">
        <v>399999.99999985937</v>
      </c>
    </row>
    <row r="11488" spans="26:26" x14ac:dyDescent="0.25">
      <c r="Z11488">
        <v>399999.99999985972</v>
      </c>
    </row>
    <row r="11489" spans="26:26" x14ac:dyDescent="0.25">
      <c r="Z11489">
        <v>399999.99999986013</v>
      </c>
    </row>
    <row r="11490" spans="26:26" x14ac:dyDescent="0.25">
      <c r="Z11490">
        <v>399999.99999986048</v>
      </c>
    </row>
    <row r="11491" spans="26:26" x14ac:dyDescent="0.25">
      <c r="Z11491">
        <v>399999.99999986077</v>
      </c>
    </row>
    <row r="11492" spans="26:26" x14ac:dyDescent="0.25">
      <c r="Z11492">
        <v>399999.99999986117</v>
      </c>
    </row>
    <row r="11493" spans="26:26" x14ac:dyDescent="0.25">
      <c r="Z11493">
        <v>399999.99999986147</v>
      </c>
    </row>
    <row r="11494" spans="26:26" x14ac:dyDescent="0.25">
      <c r="Z11494">
        <v>399999.99999986182</v>
      </c>
    </row>
    <row r="11495" spans="26:26" x14ac:dyDescent="0.25">
      <c r="Z11495">
        <v>399999.99999986222</v>
      </c>
    </row>
    <row r="11496" spans="26:26" x14ac:dyDescent="0.25">
      <c r="Z11496">
        <v>399999.99999986257</v>
      </c>
    </row>
    <row r="11497" spans="26:26" x14ac:dyDescent="0.25">
      <c r="Z11497">
        <v>399999.99999986286</v>
      </c>
    </row>
    <row r="11498" spans="26:26" x14ac:dyDescent="0.25">
      <c r="Z11498">
        <v>399999.99999986321</v>
      </c>
    </row>
    <row r="11499" spans="26:26" x14ac:dyDescent="0.25">
      <c r="Z11499">
        <v>399999.99999986356</v>
      </c>
    </row>
    <row r="11500" spans="26:26" x14ac:dyDescent="0.25">
      <c r="Z11500">
        <v>399999.99999986391</v>
      </c>
    </row>
    <row r="11501" spans="26:26" x14ac:dyDescent="0.25">
      <c r="Z11501">
        <v>399999.99999986426</v>
      </c>
    </row>
    <row r="11502" spans="26:26" x14ac:dyDescent="0.25">
      <c r="Z11502">
        <v>399999.99999986455</v>
      </c>
    </row>
    <row r="11503" spans="26:26" x14ac:dyDescent="0.25">
      <c r="Z11503">
        <v>399999.9999998649</v>
      </c>
    </row>
    <row r="11504" spans="26:26" x14ac:dyDescent="0.25">
      <c r="Z11504">
        <v>399999.99999986525</v>
      </c>
    </row>
    <row r="11505" spans="26:26" x14ac:dyDescent="0.25">
      <c r="Z11505">
        <v>399999.99999986554</v>
      </c>
    </row>
    <row r="11506" spans="26:26" x14ac:dyDescent="0.25">
      <c r="Z11506">
        <v>399999.99999986595</v>
      </c>
    </row>
    <row r="11507" spans="26:26" x14ac:dyDescent="0.25">
      <c r="Z11507">
        <v>399999.99999986624</v>
      </c>
    </row>
    <row r="11508" spans="26:26" x14ac:dyDescent="0.25">
      <c r="Z11508">
        <v>399999.99999986659</v>
      </c>
    </row>
    <row r="11509" spans="26:26" x14ac:dyDescent="0.25">
      <c r="Z11509">
        <v>399999.99999986694</v>
      </c>
    </row>
    <row r="11510" spans="26:26" x14ac:dyDescent="0.25">
      <c r="Z11510">
        <v>399999.99999986723</v>
      </c>
    </row>
    <row r="11511" spans="26:26" x14ac:dyDescent="0.25">
      <c r="Z11511">
        <v>399999.99999986758</v>
      </c>
    </row>
    <row r="11512" spans="26:26" x14ac:dyDescent="0.25">
      <c r="Z11512">
        <v>399999.99999986793</v>
      </c>
    </row>
    <row r="11513" spans="26:26" x14ac:dyDescent="0.25">
      <c r="Z11513">
        <v>399999.99999986828</v>
      </c>
    </row>
    <row r="11514" spans="26:26" x14ac:dyDescent="0.25">
      <c r="Z11514">
        <v>399999.99999986857</v>
      </c>
    </row>
    <row r="11515" spans="26:26" x14ac:dyDescent="0.25">
      <c r="Z11515">
        <v>399999.99999986892</v>
      </c>
    </row>
    <row r="11516" spans="26:26" x14ac:dyDescent="0.25">
      <c r="Z11516">
        <v>399999.99999986921</v>
      </c>
    </row>
    <row r="11517" spans="26:26" x14ac:dyDescent="0.25">
      <c r="Z11517">
        <v>399999.99999986956</v>
      </c>
    </row>
    <row r="11518" spans="26:26" x14ac:dyDescent="0.25">
      <c r="Z11518">
        <v>399999.99999986991</v>
      </c>
    </row>
    <row r="11519" spans="26:26" x14ac:dyDescent="0.25">
      <c r="Z11519">
        <v>399999.9999998702</v>
      </c>
    </row>
    <row r="11520" spans="26:26" x14ac:dyDescent="0.25">
      <c r="Z11520">
        <v>399999.99999987055</v>
      </c>
    </row>
    <row r="11521" spans="26:26" x14ac:dyDescent="0.25">
      <c r="Z11521">
        <v>399999.99999987084</v>
      </c>
    </row>
    <row r="11522" spans="26:26" x14ac:dyDescent="0.25">
      <c r="Z11522">
        <v>399999.99999987119</v>
      </c>
    </row>
    <row r="11523" spans="26:26" x14ac:dyDescent="0.25">
      <c r="Z11523">
        <v>399999.99999987148</v>
      </c>
    </row>
    <row r="11524" spans="26:26" x14ac:dyDescent="0.25">
      <c r="Z11524">
        <v>399999.99999987183</v>
      </c>
    </row>
    <row r="11525" spans="26:26" x14ac:dyDescent="0.25">
      <c r="Z11525">
        <v>399999.99999987212</v>
      </c>
    </row>
    <row r="11526" spans="26:26" x14ac:dyDescent="0.25">
      <c r="Z11526">
        <v>399999.99999987241</v>
      </c>
    </row>
    <row r="11527" spans="26:26" x14ac:dyDescent="0.25">
      <c r="Z11527">
        <v>399999.99999987276</v>
      </c>
    </row>
    <row r="11528" spans="26:26" x14ac:dyDescent="0.25">
      <c r="Z11528">
        <v>399999.99999987305</v>
      </c>
    </row>
    <row r="11529" spans="26:26" x14ac:dyDescent="0.25">
      <c r="Z11529">
        <v>399999.9999998734</v>
      </c>
    </row>
    <row r="11530" spans="26:26" x14ac:dyDescent="0.25">
      <c r="Z11530">
        <v>399999.99999987375</v>
      </c>
    </row>
    <row r="11531" spans="26:26" x14ac:dyDescent="0.25">
      <c r="Z11531">
        <v>399999.99999987404</v>
      </c>
    </row>
    <row r="11532" spans="26:26" x14ac:dyDescent="0.25">
      <c r="Z11532">
        <v>399999.99999987433</v>
      </c>
    </row>
    <row r="11533" spans="26:26" x14ac:dyDescent="0.25">
      <c r="Z11533">
        <v>399999.99999987468</v>
      </c>
    </row>
    <row r="11534" spans="26:26" x14ac:dyDescent="0.25">
      <c r="Z11534">
        <v>399999.99999987497</v>
      </c>
    </row>
    <row r="11535" spans="26:26" x14ac:dyDescent="0.25">
      <c r="Z11535">
        <v>399999.99999987532</v>
      </c>
    </row>
    <row r="11536" spans="26:26" x14ac:dyDescent="0.25">
      <c r="Z11536">
        <v>399999.99999987561</v>
      </c>
    </row>
    <row r="11537" spans="26:26" x14ac:dyDescent="0.25">
      <c r="Z11537">
        <v>399999.9999998759</v>
      </c>
    </row>
    <row r="11538" spans="26:26" x14ac:dyDescent="0.25">
      <c r="Z11538">
        <v>399999.99999987619</v>
      </c>
    </row>
    <row r="11539" spans="26:26" x14ac:dyDescent="0.25">
      <c r="Z11539">
        <v>399999.99999987654</v>
      </c>
    </row>
    <row r="11540" spans="26:26" x14ac:dyDescent="0.25">
      <c r="Z11540">
        <v>399999.99999987683</v>
      </c>
    </row>
    <row r="11541" spans="26:26" x14ac:dyDescent="0.25">
      <c r="Z11541">
        <v>399999.99999987718</v>
      </c>
    </row>
    <row r="11542" spans="26:26" x14ac:dyDescent="0.25">
      <c r="Z11542">
        <v>399999.99999987747</v>
      </c>
    </row>
    <row r="11543" spans="26:26" x14ac:dyDescent="0.25">
      <c r="Z11543">
        <v>399999.99999987776</v>
      </c>
    </row>
    <row r="11544" spans="26:26" x14ac:dyDescent="0.25">
      <c r="Z11544">
        <v>399999.99999987805</v>
      </c>
    </row>
    <row r="11545" spans="26:26" x14ac:dyDescent="0.25">
      <c r="Z11545">
        <v>399999.99999987835</v>
      </c>
    </row>
    <row r="11546" spans="26:26" x14ac:dyDescent="0.25">
      <c r="Z11546">
        <v>399999.99999987864</v>
      </c>
    </row>
    <row r="11547" spans="26:26" x14ac:dyDescent="0.25">
      <c r="Z11547">
        <v>399999.99999987899</v>
      </c>
    </row>
    <row r="11548" spans="26:26" x14ac:dyDescent="0.25">
      <c r="Z11548">
        <v>399999.99999987928</v>
      </c>
    </row>
    <row r="11549" spans="26:26" x14ac:dyDescent="0.25">
      <c r="Z11549">
        <v>399999.99999987957</v>
      </c>
    </row>
    <row r="11550" spans="26:26" x14ac:dyDescent="0.25">
      <c r="Z11550">
        <v>399999.99999987986</v>
      </c>
    </row>
    <row r="11551" spans="26:26" x14ac:dyDescent="0.25">
      <c r="Z11551">
        <v>399999.99999988015</v>
      </c>
    </row>
    <row r="11552" spans="26:26" x14ac:dyDescent="0.25">
      <c r="Z11552">
        <v>399999.9999998805</v>
      </c>
    </row>
    <row r="11553" spans="26:26" x14ac:dyDescent="0.25">
      <c r="Z11553">
        <v>399999.99999988073</v>
      </c>
    </row>
    <row r="11554" spans="26:26" x14ac:dyDescent="0.25">
      <c r="Z11554">
        <v>399999.99999988108</v>
      </c>
    </row>
    <row r="11555" spans="26:26" x14ac:dyDescent="0.25">
      <c r="Z11555">
        <v>399999.99999988137</v>
      </c>
    </row>
    <row r="11556" spans="26:26" x14ac:dyDescent="0.25">
      <c r="Z11556">
        <v>399999.99999988161</v>
      </c>
    </row>
    <row r="11557" spans="26:26" x14ac:dyDescent="0.25">
      <c r="Z11557">
        <v>399999.99999988195</v>
      </c>
    </row>
    <row r="11558" spans="26:26" x14ac:dyDescent="0.25">
      <c r="Z11558">
        <v>399999.99999988225</v>
      </c>
    </row>
    <row r="11559" spans="26:26" x14ac:dyDescent="0.25">
      <c r="Z11559">
        <v>399999.99999988254</v>
      </c>
    </row>
    <row r="11560" spans="26:26" x14ac:dyDescent="0.25">
      <c r="Z11560">
        <v>399999.99999988283</v>
      </c>
    </row>
    <row r="11561" spans="26:26" x14ac:dyDescent="0.25">
      <c r="Z11561">
        <v>399999.99999988312</v>
      </c>
    </row>
    <row r="11562" spans="26:26" x14ac:dyDescent="0.25">
      <c r="Z11562">
        <v>399999.99999988347</v>
      </c>
    </row>
    <row r="11563" spans="26:26" x14ac:dyDescent="0.25">
      <c r="Z11563">
        <v>399999.99999988364</v>
      </c>
    </row>
    <row r="11564" spans="26:26" x14ac:dyDescent="0.25">
      <c r="Z11564">
        <v>399999.99999988399</v>
      </c>
    </row>
    <row r="11565" spans="26:26" x14ac:dyDescent="0.25">
      <c r="Z11565">
        <v>399999.99999988428</v>
      </c>
    </row>
    <row r="11566" spans="26:26" x14ac:dyDescent="0.25">
      <c r="Z11566">
        <v>399999.99999988457</v>
      </c>
    </row>
    <row r="11567" spans="26:26" x14ac:dyDescent="0.25">
      <c r="Z11567">
        <v>399999.99999988487</v>
      </c>
    </row>
    <row r="11568" spans="26:26" x14ac:dyDescent="0.25">
      <c r="Z11568">
        <v>399999.99999988516</v>
      </c>
    </row>
    <row r="11569" spans="26:26" x14ac:dyDescent="0.25">
      <c r="Z11569">
        <v>399999.99999988539</v>
      </c>
    </row>
    <row r="11570" spans="26:26" x14ac:dyDescent="0.25">
      <c r="Z11570">
        <v>399999.99999988574</v>
      </c>
    </row>
    <row r="11571" spans="26:26" x14ac:dyDescent="0.25">
      <c r="Z11571">
        <v>399999.99999988597</v>
      </c>
    </row>
    <row r="11572" spans="26:26" x14ac:dyDescent="0.25">
      <c r="Z11572">
        <v>399999.99999988632</v>
      </c>
    </row>
    <row r="11573" spans="26:26" x14ac:dyDescent="0.25">
      <c r="Z11573">
        <v>399999.99999988655</v>
      </c>
    </row>
    <row r="11574" spans="26:26" x14ac:dyDescent="0.25">
      <c r="Z11574">
        <v>399999.99999988684</v>
      </c>
    </row>
    <row r="11575" spans="26:26" x14ac:dyDescent="0.25">
      <c r="Z11575">
        <v>399999.99999988719</v>
      </c>
    </row>
    <row r="11576" spans="26:26" x14ac:dyDescent="0.25">
      <c r="Z11576">
        <v>399999.99999988737</v>
      </c>
    </row>
    <row r="11577" spans="26:26" x14ac:dyDescent="0.25">
      <c r="Z11577">
        <v>399999.99999988766</v>
      </c>
    </row>
    <row r="11578" spans="26:26" x14ac:dyDescent="0.25">
      <c r="Z11578">
        <v>399999.99999988801</v>
      </c>
    </row>
    <row r="11579" spans="26:26" x14ac:dyDescent="0.25">
      <c r="Z11579">
        <v>399999.99999988824</v>
      </c>
    </row>
    <row r="11580" spans="26:26" x14ac:dyDescent="0.25">
      <c r="Z11580">
        <v>399999.99999988853</v>
      </c>
    </row>
    <row r="11581" spans="26:26" x14ac:dyDescent="0.25">
      <c r="Z11581">
        <v>399999.99999988882</v>
      </c>
    </row>
    <row r="11582" spans="26:26" x14ac:dyDescent="0.25">
      <c r="Z11582">
        <v>399999.99999988911</v>
      </c>
    </row>
    <row r="11583" spans="26:26" x14ac:dyDescent="0.25">
      <c r="Z11583">
        <v>399999.99999988935</v>
      </c>
    </row>
    <row r="11584" spans="26:26" x14ac:dyDescent="0.25">
      <c r="Z11584">
        <v>399999.99999988964</v>
      </c>
    </row>
    <row r="11585" spans="26:26" x14ac:dyDescent="0.25">
      <c r="Z11585">
        <v>399999.99999988987</v>
      </c>
    </row>
    <row r="11586" spans="26:26" x14ac:dyDescent="0.25">
      <c r="Z11586">
        <v>399999.99999989022</v>
      </c>
    </row>
    <row r="11587" spans="26:26" x14ac:dyDescent="0.25">
      <c r="Z11587">
        <v>399999.99999989051</v>
      </c>
    </row>
    <row r="11588" spans="26:26" x14ac:dyDescent="0.25">
      <c r="Z11588">
        <v>399999.99999989074</v>
      </c>
    </row>
    <row r="11589" spans="26:26" x14ac:dyDescent="0.25">
      <c r="Z11589">
        <v>399999.99999989104</v>
      </c>
    </row>
    <row r="11590" spans="26:26" x14ac:dyDescent="0.25">
      <c r="Z11590">
        <v>399999.99999989127</v>
      </c>
    </row>
    <row r="11591" spans="26:26" x14ac:dyDescent="0.25">
      <c r="Z11591">
        <v>399999.99999989156</v>
      </c>
    </row>
    <row r="11592" spans="26:26" x14ac:dyDescent="0.25">
      <c r="Z11592">
        <v>399999.99999989179</v>
      </c>
    </row>
    <row r="11593" spans="26:26" x14ac:dyDescent="0.25">
      <c r="Z11593">
        <v>399999.99999989208</v>
      </c>
    </row>
    <row r="11594" spans="26:26" x14ac:dyDescent="0.25">
      <c r="Z11594">
        <v>399999.99999989237</v>
      </c>
    </row>
    <row r="11595" spans="26:26" x14ac:dyDescent="0.25">
      <c r="Z11595">
        <v>399999.99999989267</v>
      </c>
    </row>
    <row r="11596" spans="26:26" x14ac:dyDescent="0.25">
      <c r="Z11596">
        <v>399999.99999989296</v>
      </c>
    </row>
    <row r="11597" spans="26:26" x14ac:dyDescent="0.25">
      <c r="Z11597">
        <v>399999.99999989319</v>
      </c>
    </row>
    <row r="11598" spans="26:26" x14ac:dyDescent="0.25">
      <c r="Z11598">
        <v>399999.99999989342</v>
      </c>
    </row>
    <row r="11599" spans="26:26" x14ac:dyDescent="0.25">
      <c r="Z11599">
        <v>399999.99999989371</v>
      </c>
    </row>
    <row r="11600" spans="26:26" x14ac:dyDescent="0.25">
      <c r="Z11600">
        <v>399999.999999894</v>
      </c>
    </row>
    <row r="11601" spans="26:26" x14ac:dyDescent="0.25">
      <c r="Z11601">
        <v>399999.99999989424</v>
      </c>
    </row>
    <row r="11602" spans="26:26" x14ac:dyDescent="0.25">
      <c r="Z11602">
        <v>399999.99999989447</v>
      </c>
    </row>
    <row r="11603" spans="26:26" x14ac:dyDescent="0.25">
      <c r="Z11603">
        <v>399999.99999989476</v>
      </c>
    </row>
    <row r="11604" spans="26:26" x14ac:dyDescent="0.25">
      <c r="Z11604">
        <v>399999.99999989499</v>
      </c>
    </row>
    <row r="11605" spans="26:26" x14ac:dyDescent="0.25">
      <c r="Z11605">
        <v>399999.99999989528</v>
      </c>
    </row>
    <row r="11606" spans="26:26" x14ac:dyDescent="0.25">
      <c r="Z11606">
        <v>399999.99999989552</v>
      </c>
    </row>
    <row r="11607" spans="26:26" x14ac:dyDescent="0.25">
      <c r="Z11607">
        <v>399999.99999989581</v>
      </c>
    </row>
    <row r="11608" spans="26:26" x14ac:dyDescent="0.25">
      <c r="Z11608">
        <v>399999.9999998961</v>
      </c>
    </row>
    <row r="11609" spans="26:26" x14ac:dyDescent="0.25">
      <c r="Z11609">
        <v>399999.99999989633</v>
      </c>
    </row>
    <row r="11610" spans="26:26" x14ac:dyDescent="0.25">
      <c r="Z11610">
        <v>399999.99999989656</v>
      </c>
    </row>
    <row r="11611" spans="26:26" x14ac:dyDescent="0.25">
      <c r="Z11611">
        <v>399999.9999998968</v>
      </c>
    </row>
    <row r="11612" spans="26:26" x14ac:dyDescent="0.25">
      <c r="Z11612">
        <v>399999.99999989709</v>
      </c>
    </row>
    <row r="11613" spans="26:26" x14ac:dyDescent="0.25">
      <c r="Z11613">
        <v>399999.99999989738</v>
      </c>
    </row>
    <row r="11614" spans="26:26" x14ac:dyDescent="0.25">
      <c r="Z11614">
        <v>399999.99999989761</v>
      </c>
    </row>
    <row r="11615" spans="26:26" x14ac:dyDescent="0.25">
      <c r="Z11615">
        <v>399999.99999989785</v>
      </c>
    </row>
    <row r="11616" spans="26:26" x14ac:dyDescent="0.25">
      <c r="Z11616">
        <v>399999.99999989814</v>
      </c>
    </row>
    <row r="11617" spans="26:26" x14ac:dyDescent="0.25">
      <c r="Z11617">
        <v>399999.99999989843</v>
      </c>
    </row>
    <row r="11618" spans="26:26" x14ac:dyDescent="0.25">
      <c r="Z11618">
        <v>399999.9999998986</v>
      </c>
    </row>
    <row r="11619" spans="26:26" x14ac:dyDescent="0.25">
      <c r="Z11619">
        <v>399999.99999989884</v>
      </c>
    </row>
    <row r="11620" spans="26:26" x14ac:dyDescent="0.25">
      <c r="Z11620">
        <v>399999.99999989913</v>
      </c>
    </row>
    <row r="11621" spans="26:26" x14ac:dyDescent="0.25">
      <c r="Z11621">
        <v>399999.99999989942</v>
      </c>
    </row>
    <row r="11622" spans="26:26" x14ac:dyDescent="0.25">
      <c r="Z11622">
        <v>399999.99999989965</v>
      </c>
    </row>
    <row r="11623" spans="26:26" x14ac:dyDescent="0.25">
      <c r="Z11623">
        <v>399999.99999989988</v>
      </c>
    </row>
    <row r="11624" spans="26:26" x14ac:dyDescent="0.25">
      <c r="Z11624">
        <v>399999.99999990012</v>
      </c>
    </row>
    <row r="11625" spans="26:26" x14ac:dyDescent="0.25">
      <c r="Z11625">
        <v>399999.99999990041</v>
      </c>
    </row>
    <row r="11626" spans="26:26" x14ac:dyDescent="0.25">
      <c r="Z11626">
        <v>399999.99999990064</v>
      </c>
    </row>
    <row r="11627" spans="26:26" x14ac:dyDescent="0.25">
      <c r="Z11627">
        <v>399999.99999990087</v>
      </c>
    </row>
    <row r="11628" spans="26:26" x14ac:dyDescent="0.25">
      <c r="Z11628">
        <v>399999.99999990111</v>
      </c>
    </row>
    <row r="11629" spans="26:26" x14ac:dyDescent="0.25">
      <c r="Z11629">
        <v>399999.99999990134</v>
      </c>
    </row>
    <row r="11630" spans="26:26" x14ac:dyDescent="0.25">
      <c r="Z11630">
        <v>399999.99999990163</v>
      </c>
    </row>
    <row r="11631" spans="26:26" x14ac:dyDescent="0.25">
      <c r="Z11631">
        <v>399999.99999990186</v>
      </c>
    </row>
    <row r="11632" spans="26:26" x14ac:dyDescent="0.25">
      <c r="Z11632">
        <v>399999.99999990215</v>
      </c>
    </row>
    <row r="11633" spans="26:26" x14ac:dyDescent="0.25">
      <c r="Z11633">
        <v>399999.99999990239</v>
      </c>
    </row>
    <row r="11634" spans="26:26" x14ac:dyDescent="0.25">
      <c r="Z11634">
        <v>399999.99999990256</v>
      </c>
    </row>
    <row r="11635" spans="26:26" x14ac:dyDescent="0.25">
      <c r="Z11635">
        <v>399999.99999990279</v>
      </c>
    </row>
    <row r="11636" spans="26:26" x14ac:dyDescent="0.25">
      <c r="Z11636">
        <v>399999.99999990308</v>
      </c>
    </row>
    <row r="11637" spans="26:26" x14ac:dyDescent="0.25">
      <c r="Z11637">
        <v>399999.99999990332</v>
      </c>
    </row>
    <row r="11638" spans="26:26" x14ac:dyDescent="0.25">
      <c r="Z11638">
        <v>399999.99999990361</v>
      </c>
    </row>
    <row r="11639" spans="26:26" x14ac:dyDescent="0.25">
      <c r="Z11639">
        <v>399999.99999990384</v>
      </c>
    </row>
    <row r="11640" spans="26:26" x14ac:dyDescent="0.25">
      <c r="Z11640">
        <v>399999.99999990402</v>
      </c>
    </row>
    <row r="11641" spans="26:26" x14ac:dyDescent="0.25">
      <c r="Z11641">
        <v>399999.99999990431</v>
      </c>
    </row>
    <row r="11642" spans="26:26" x14ac:dyDescent="0.25">
      <c r="Z11642">
        <v>399999.99999990448</v>
      </c>
    </row>
    <row r="11643" spans="26:26" x14ac:dyDescent="0.25">
      <c r="Z11643">
        <v>399999.99999990477</v>
      </c>
    </row>
    <row r="11644" spans="26:26" x14ac:dyDescent="0.25">
      <c r="Z11644">
        <v>399999.99999990501</v>
      </c>
    </row>
    <row r="11645" spans="26:26" x14ac:dyDescent="0.25">
      <c r="Z11645">
        <v>399999.99999990524</v>
      </c>
    </row>
    <row r="11646" spans="26:26" x14ac:dyDescent="0.25">
      <c r="Z11646">
        <v>399999.99999990547</v>
      </c>
    </row>
    <row r="11647" spans="26:26" x14ac:dyDescent="0.25">
      <c r="Z11647">
        <v>399999.9999999057</v>
      </c>
    </row>
    <row r="11648" spans="26:26" x14ac:dyDescent="0.25">
      <c r="Z11648">
        <v>399999.99999990594</v>
      </c>
    </row>
    <row r="11649" spans="26:26" x14ac:dyDescent="0.25">
      <c r="Z11649">
        <v>399999.99999990617</v>
      </c>
    </row>
    <row r="11650" spans="26:26" x14ac:dyDescent="0.25">
      <c r="Z11650">
        <v>399999.9999999064</v>
      </c>
    </row>
    <row r="11651" spans="26:26" x14ac:dyDescent="0.25">
      <c r="Z11651">
        <v>399999.99999990663</v>
      </c>
    </row>
    <row r="11652" spans="26:26" x14ac:dyDescent="0.25">
      <c r="Z11652">
        <v>399999.99999990687</v>
      </c>
    </row>
    <row r="11653" spans="26:26" x14ac:dyDescent="0.25">
      <c r="Z11653">
        <v>399999.9999999071</v>
      </c>
    </row>
    <row r="11654" spans="26:26" x14ac:dyDescent="0.25">
      <c r="Z11654">
        <v>399999.99999990733</v>
      </c>
    </row>
    <row r="11655" spans="26:26" x14ac:dyDescent="0.25">
      <c r="Z11655">
        <v>399999.99999990757</v>
      </c>
    </row>
    <row r="11656" spans="26:26" x14ac:dyDescent="0.25">
      <c r="Z11656">
        <v>399999.9999999078</v>
      </c>
    </row>
    <row r="11657" spans="26:26" x14ac:dyDescent="0.25">
      <c r="Z11657">
        <v>399999.99999990803</v>
      </c>
    </row>
    <row r="11658" spans="26:26" x14ac:dyDescent="0.25">
      <c r="Z11658">
        <v>399999.99999990821</v>
      </c>
    </row>
    <row r="11659" spans="26:26" x14ac:dyDescent="0.25">
      <c r="Z11659">
        <v>399999.9999999085</v>
      </c>
    </row>
    <row r="11660" spans="26:26" x14ac:dyDescent="0.25">
      <c r="Z11660">
        <v>399999.99999990873</v>
      </c>
    </row>
    <row r="11661" spans="26:26" x14ac:dyDescent="0.25">
      <c r="Z11661">
        <v>399999.99999990896</v>
      </c>
    </row>
    <row r="11662" spans="26:26" x14ac:dyDescent="0.25">
      <c r="Z11662">
        <v>399999.9999999092</v>
      </c>
    </row>
    <row r="11663" spans="26:26" x14ac:dyDescent="0.25">
      <c r="Z11663">
        <v>399999.99999990943</v>
      </c>
    </row>
    <row r="11664" spans="26:26" x14ac:dyDescent="0.25">
      <c r="Z11664">
        <v>399999.99999990966</v>
      </c>
    </row>
    <row r="11665" spans="26:26" x14ac:dyDescent="0.25">
      <c r="Z11665">
        <v>399999.99999990984</v>
      </c>
    </row>
    <row r="11666" spans="26:26" x14ac:dyDescent="0.25">
      <c r="Z11666">
        <v>399999.99999991007</v>
      </c>
    </row>
    <row r="11667" spans="26:26" x14ac:dyDescent="0.25">
      <c r="Z11667">
        <v>399999.99999991024</v>
      </c>
    </row>
    <row r="11668" spans="26:26" x14ac:dyDescent="0.25">
      <c r="Z11668">
        <v>399999.99999991048</v>
      </c>
    </row>
    <row r="11669" spans="26:26" x14ac:dyDescent="0.25">
      <c r="Z11669">
        <v>399999.99999991071</v>
      </c>
    </row>
    <row r="11670" spans="26:26" x14ac:dyDescent="0.25">
      <c r="Z11670">
        <v>399999.99999991094</v>
      </c>
    </row>
    <row r="11671" spans="26:26" x14ac:dyDescent="0.25">
      <c r="Z11671">
        <v>399999.99999991118</v>
      </c>
    </row>
    <row r="11672" spans="26:26" x14ac:dyDescent="0.25">
      <c r="Z11672">
        <v>399999.99999991141</v>
      </c>
    </row>
    <row r="11673" spans="26:26" x14ac:dyDescent="0.25">
      <c r="Z11673">
        <v>399999.99999991164</v>
      </c>
    </row>
    <row r="11674" spans="26:26" x14ac:dyDescent="0.25">
      <c r="Z11674">
        <v>399999.99999991187</v>
      </c>
    </row>
    <row r="11675" spans="26:26" x14ac:dyDescent="0.25">
      <c r="Z11675">
        <v>399999.99999991205</v>
      </c>
    </row>
    <row r="11676" spans="26:26" x14ac:dyDescent="0.25">
      <c r="Z11676">
        <v>399999.99999991228</v>
      </c>
    </row>
    <row r="11677" spans="26:26" x14ac:dyDescent="0.25">
      <c r="Z11677">
        <v>399999.99999991251</v>
      </c>
    </row>
    <row r="11678" spans="26:26" x14ac:dyDescent="0.25">
      <c r="Z11678">
        <v>399999.99999991275</v>
      </c>
    </row>
    <row r="11679" spans="26:26" x14ac:dyDescent="0.25">
      <c r="Z11679">
        <v>399999.99999991298</v>
      </c>
    </row>
    <row r="11680" spans="26:26" x14ac:dyDescent="0.25">
      <c r="Z11680">
        <v>399999.99999991315</v>
      </c>
    </row>
    <row r="11681" spans="26:26" x14ac:dyDescent="0.25">
      <c r="Z11681">
        <v>399999.99999991339</v>
      </c>
    </row>
    <row r="11682" spans="26:26" x14ac:dyDescent="0.25">
      <c r="Z11682">
        <v>399999.99999991362</v>
      </c>
    </row>
    <row r="11683" spans="26:26" x14ac:dyDescent="0.25">
      <c r="Z11683">
        <v>399999.99999991379</v>
      </c>
    </row>
    <row r="11684" spans="26:26" x14ac:dyDescent="0.25">
      <c r="Z11684">
        <v>399999.99999991403</v>
      </c>
    </row>
    <row r="11685" spans="26:26" x14ac:dyDescent="0.25">
      <c r="Z11685">
        <v>399999.9999999142</v>
      </c>
    </row>
    <row r="11686" spans="26:26" x14ac:dyDescent="0.25">
      <c r="Z11686">
        <v>399999.99999991443</v>
      </c>
    </row>
    <row r="11687" spans="26:26" x14ac:dyDescent="0.25">
      <c r="Z11687">
        <v>399999.99999991467</v>
      </c>
    </row>
    <row r="11688" spans="26:26" x14ac:dyDescent="0.25">
      <c r="Z11688">
        <v>399999.99999991484</v>
      </c>
    </row>
    <row r="11689" spans="26:26" x14ac:dyDescent="0.25">
      <c r="Z11689">
        <v>399999.99999991508</v>
      </c>
    </row>
    <row r="11690" spans="26:26" x14ac:dyDescent="0.25">
      <c r="Z11690">
        <v>399999.99999991531</v>
      </c>
    </row>
    <row r="11691" spans="26:26" x14ac:dyDescent="0.25">
      <c r="Z11691">
        <v>399999.99999991554</v>
      </c>
    </row>
    <row r="11692" spans="26:26" x14ac:dyDescent="0.25">
      <c r="Z11692">
        <v>399999.99999991572</v>
      </c>
    </row>
    <row r="11693" spans="26:26" x14ac:dyDescent="0.25">
      <c r="Z11693">
        <v>399999.99999991589</v>
      </c>
    </row>
    <row r="11694" spans="26:26" x14ac:dyDescent="0.25">
      <c r="Z11694">
        <v>399999.99999991612</v>
      </c>
    </row>
    <row r="11695" spans="26:26" x14ac:dyDescent="0.25">
      <c r="Z11695">
        <v>399999.99999991636</v>
      </c>
    </row>
    <row r="11696" spans="26:26" x14ac:dyDescent="0.25">
      <c r="Z11696">
        <v>399999.99999991653</v>
      </c>
    </row>
    <row r="11697" spans="26:26" x14ac:dyDescent="0.25">
      <c r="Z11697">
        <v>399999.99999991676</v>
      </c>
    </row>
    <row r="11698" spans="26:26" x14ac:dyDescent="0.25">
      <c r="Z11698">
        <v>399999.999999917</v>
      </c>
    </row>
    <row r="11699" spans="26:26" x14ac:dyDescent="0.25">
      <c r="Z11699">
        <v>399999.99999991717</v>
      </c>
    </row>
    <row r="11700" spans="26:26" x14ac:dyDescent="0.25">
      <c r="Z11700">
        <v>399999.9999999174</v>
      </c>
    </row>
    <row r="11701" spans="26:26" x14ac:dyDescent="0.25">
      <c r="Z11701">
        <v>399999.99999991758</v>
      </c>
    </row>
    <row r="11702" spans="26:26" x14ac:dyDescent="0.25">
      <c r="Z11702">
        <v>399999.99999991775</v>
      </c>
    </row>
    <row r="11703" spans="26:26" x14ac:dyDescent="0.25">
      <c r="Z11703">
        <v>399999.99999991799</v>
      </c>
    </row>
    <row r="11704" spans="26:26" x14ac:dyDescent="0.25">
      <c r="Z11704">
        <v>399999.99999991822</v>
      </c>
    </row>
    <row r="11705" spans="26:26" x14ac:dyDescent="0.25">
      <c r="Z11705">
        <v>399999.99999991839</v>
      </c>
    </row>
    <row r="11706" spans="26:26" x14ac:dyDescent="0.25">
      <c r="Z11706">
        <v>399999.99999991863</v>
      </c>
    </row>
    <row r="11707" spans="26:26" x14ac:dyDescent="0.25">
      <c r="Z11707">
        <v>399999.9999999188</v>
      </c>
    </row>
    <row r="11708" spans="26:26" x14ac:dyDescent="0.25">
      <c r="Z11708">
        <v>399999.99999991903</v>
      </c>
    </row>
    <row r="11709" spans="26:26" x14ac:dyDescent="0.25">
      <c r="Z11709">
        <v>399999.99999991921</v>
      </c>
    </row>
    <row r="11710" spans="26:26" x14ac:dyDescent="0.25">
      <c r="Z11710">
        <v>399999.99999991944</v>
      </c>
    </row>
    <row r="11711" spans="26:26" x14ac:dyDescent="0.25">
      <c r="Z11711">
        <v>399999.99999991962</v>
      </c>
    </row>
    <row r="11712" spans="26:26" x14ac:dyDescent="0.25">
      <c r="Z11712">
        <v>399999.99999991985</v>
      </c>
    </row>
    <row r="11713" spans="26:26" x14ac:dyDescent="0.25">
      <c r="Z11713">
        <v>399999.99999992002</v>
      </c>
    </row>
    <row r="11714" spans="26:26" x14ac:dyDescent="0.25">
      <c r="Z11714">
        <v>399999.99999992026</v>
      </c>
    </row>
    <row r="11715" spans="26:26" x14ac:dyDescent="0.25">
      <c r="Z11715">
        <v>399999.99999992043</v>
      </c>
    </row>
    <row r="11716" spans="26:26" x14ac:dyDescent="0.25">
      <c r="Z11716">
        <v>399999.99999992066</v>
      </c>
    </row>
    <row r="11717" spans="26:26" x14ac:dyDescent="0.25">
      <c r="Z11717">
        <v>399999.99999992084</v>
      </c>
    </row>
    <row r="11718" spans="26:26" x14ac:dyDescent="0.25">
      <c r="Z11718">
        <v>399999.99999992107</v>
      </c>
    </row>
    <row r="11719" spans="26:26" x14ac:dyDescent="0.25">
      <c r="Z11719">
        <v>399999.99999992125</v>
      </c>
    </row>
    <row r="11720" spans="26:26" x14ac:dyDescent="0.25">
      <c r="Z11720">
        <v>399999.99999992142</v>
      </c>
    </row>
    <row r="11721" spans="26:26" x14ac:dyDescent="0.25">
      <c r="Z11721">
        <v>399999.99999992159</v>
      </c>
    </row>
    <row r="11722" spans="26:26" x14ac:dyDescent="0.25">
      <c r="Z11722">
        <v>399999.99999992177</v>
      </c>
    </row>
    <row r="11723" spans="26:26" x14ac:dyDescent="0.25">
      <c r="Z11723">
        <v>399999.999999922</v>
      </c>
    </row>
    <row r="11724" spans="26:26" x14ac:dyDescent="0.25">
      <c r="Z11724">
        <v>399999.99999992218</v>
      </c>
    </row>
    <row r="11725" spans="26:26" x14ac:dyDescent="0.25">
      <c r="Z11725">
        <v>399999.99999992241</v>
      </c>
    </row>
    <row r="11726" spans="26:26" x14ac:dyDescent="0.25">
      <c r="Z11726">
        <v>399999.99999992258</v>
      </c>
    </row>
    <row r="11727" spans="26:26" x14ac:dyDescent="0.25">
      <c r="Z11727">
        <v>399999.99999992276</v>
      </c>
    </row>
    <row r="11728" spans="26:26" x14ac:dyDescent="0.25">
      <c r="Z11728">
        <v>399999.99999992299</v>
      </c>
    </row>
    <row r="11729" spans="26:26" x14ac:dyDescent="0.25">
      <c r="Z11729">
        <v>399999.99999992317</v>
      </c>
    </row>
    <row r="11730" spans="26:26" x14ac:dyDescent="0.25">
      <c r="Z11730">
        <v>399999.99999992334</v>
      </c>
    </row>
    <row r="11731" spans="26:26" x14ac:dyDescent="0.25">
      <c r="Z11731">
        <v>399999.99999992357</v>
      </c>
    </row>
    <row r="11732" spans="26:26" x14ac:dyDescent="0.25">
      <c r="Z11732">
        <v>399999.99999992375</v>
      </c>
    </row>
    <row r="11733" spans="26:26" x14ac:dyDescent="0.25">
      <c r="Z11733">
        <v>399999.99999992392</v>
      </c>
    </row>
    <row r="11734" spans="26:26" x14ac:dyDescent="0.25">
      <c r="Z11734">
        <v>399999.9999999241</v>
      </c>
    </row>
    <row r="11735" spans="26:26" x14ac:dyDescent="0.25">
      <c r="Z11735">
        <v>399999.99999992433</v>
      </c>
    </row>
    <row r="11736" spans="26:26" x14ac:dyDescent="0.25">
      <c r="Z11736">
        <v>399999.9999999245</v>
      </c>
    </row>
    <row r="11737" spans="26:26" x14ac:dyDescent="0.25">
      <c r="Z11737">
        <v>399999.99999992468</v>
      </c>
    </row>
    <row r="11738" spans="26:26" x14ac:dyDescent="0.25">
      <c r="Z11738">
        <v>399999.99999992485</v>
      </c>
    </row>
    <row r="11739" spans="26:26" x14ac:dyDescent="0.25">
      <c r="Z11739">
        <v>399999.99999992509</v>
      </c>
    </row>
    <row r="11740" spans="26:26" x14ac:dyDescent="0.25">
      <c r="Z11740">
        <v>399999.9999999252</v>
      </c>
    </row>
    <row r="11741" spans="26:26" x14ac:dyDescent="0.25">
      <c r="Z11741">
        <v>399999.99999992544</v>
      </c>
    </row>
    <row r="11742" spans="26:26" x14ac:dyDescent="0.25">
      <c r="Z11742">
        <v>399999.99999992561</v>
      </c>
    </row>
    <row r="11743" spans="26:26" x14ac:dyDescent="0.25">
      <c r="Z11743">
        <v>399999.99999992579</v>
      </c>
    </row>
    <row r="11744" spans="26:26" x14ac:dyDescent="0.25">
      <c r="Z11744">
        <v>399999.99999992602</v>
      </c>
    </row>
    <row r="11745" spans="26:26" x14ac:dyDescent="0.25">
      <c r="Z11745">
        <v>399999.99999992619</v>
      </c>
    </row>
    <row r="11746" spans="26:26" x14ac:dyDescent="0.25">
      <c r="Z11746">
        <v>399999.99999992637</v>
      </c>
    </row>
    <row r="11747" spans="26:26" x14ac:dyDescent="0.25">
      <c r="Z11747">
        <v>399999.99999992654</v>
      </c>
    </row>
    <row r="11748" spans="26:26" x14ac:dyDescent="0.25">
      <c r="Z11748">
        <v>399999.99999992672</v>
      </c>
    </row>
    <row r="11749" spans="26:26" x14ac:dyDescent="0.25">
      <c r="Z11749">
        <v>399999.99999992689</v>
      </c>
    </row>
    <row r="11750" spans="26:26" x14ac:dyDescent="0.25">
      <c r="Z11750">
        <v>399999.99999992707</v>
      </c>
    </row>
    <row r="11751" spans="26:26" x14ac:dyDescent="0.25">
      <c r="Z11751">
        <v>399999.99999992724</v>
      </c>
    </row>
    <row r="11752" spans="26:26" x14ac:dyDescent="0.25">
      <c r="Z11752">
        <v>399999.99999992747</v>
      </c>
    </row>
    <row r="11753" spans="26:26" x14ac:dyDescent="0.25">
      <c r="Z11753">
        <v>399999.99999992765</v>
      </c>
    </row>
    <row r="11754" spans="26:26" x14ac:dyDescent="0.25">
      <c r="Z11754">
        <v>399999.99999992782</v>
      </c>
    </row>
    <row r="11755" spans="26:26" x14ac:dyDescent="0.25">
      <c r="Z11755">
        <v>399999.999999928</v>
      </c>
    </row>
    <row r="11756" spans="26:26" x14ac:dyDescent="0.25">
      <c r="Z11756">
        <v>399999.99999992817</v>
      </c>
    </row>
    <row r="11757" spans="26:26" x14ac:dyDescent="0.25">
      <c r="Z11757">
        <v>399999.99999992835</v>
      </c>
    </row>
    <row r="11758" spans="26:26" x14ac:dyDescent="0.25">
      <c r="Z11758">
        <v>399999.99999992858</v>
      </c>
    </row>
    <row r="11759" spans="26:26" x14ac:dyDescent="0.25">
      <c r="Z11759">
        <v>399999.99999992875</v>
      </c>
    </row>
    <row r="11760" spans="26:26" x14ac:dyDescent="0.25">
      <c r="Z11760">
        <v>399999.99999992893</v>
      </c>
    </row>
    <row r="11761" spans="26:26" x14ac:dyDescent="0.25">
      <c r="Z11761">
        <v>399999.99999992904</v>
      </c>
    </row>
    <row r="11762" spans="26:26" x14ac:dyDescent="0.25">
      <c r="Z11762">
        <v>399999.99999992922</v>
      </c>
    </row>
    <row r="11763" spans="26:26" x14ac:dyDescent="0.25">
      <c r="Z11763">
        <v>399999.99999992939</v>
      </c>
    </row>
    <row r="11764" spans="26:26" x14ac:dyDescent="0.25">
      <c r="Z11764">
        <v>399999.99999992957</v>
      </c>
    </row>
    <row r="11765" spans="26:26" x14ac:dyDescent="0.25">
      <c r="Z11765">
        <v>399999.9999999298</v>
      </c>
    </row>
    <row r="11766" spans="26:26" x14ac:dyDescent="0.25">
      <c r="Z11766">
        <v>399999.99999992998</v>
      </c>
    </row>
    <row r="11767" spans="26:26" x14ac:dyDescent="0.25">
      <c r="Z11767">
        <v>399999.99999993015</v>
      </c>
    </row>
    <row r="11768" spans="26:26" x14ac:dyDescent="0.25">
      <c r="Z11768">
        <v>399999.99999993033</v>
      </c>
    </row>
    <row r="11769" spans="26:26" x14ac:dyDescent="0.25">
      <c r="Z11769">
        <v>399999.99999993044</v>
      </c>
    </row>
    <row r="11770" spans="26:26" x14ac:dyDescent="0.25">
      <c r="Z11770">
        <v>399999.99999993062</v>
      </c>
    </row>
    <row r="11771" spans="26:26" x14ac:dyDescent="0.25">
      <c r="Z11771">
        <v>399999.99999993085</v>
      </c>
    </row>
    <row r="11772" spans="26:26" x14ac:dyDescent="0.25">
      <c r="Z11772">
        <v>399999.99999993097</v>
      </c>
    </row>
    <row r="11773" spans="26:26" x14ac:dyDescent="0.25">
      <c r="Z11773">
        <v>399999.99999993114</v>
      </c>
    </row>
    <row r="11774" spans="26:26" x14ac:dyDescent="0.25">
      <c r="Z11774">
        <v>399999.99999993131</v>
      </c>
    </row>
    <row r="11775" spans="26:26" x14ac:dyDescent="0.25">
      <c r="Z11775">
        <v>399999.99999993149</v>
      </c>
    </row>
    <row r="11776" spans="26:26" x14ac:dyDescent="0.25">
      <c r="Z11776">
        <v>399999.99999993166</v>
      </c>
    </row>
    <row r="11777" spans="26:26" x14ac:dyDescent="0.25">
      <c r="Z11777">
        <v>399999.99999993184</v>
      </c>
    </row>
    <row r="11778" spans="26:26" x14ac:dyDescent="0.25">
      <c r="Z11778">
        <v>399999.99999993201</v>
      </c>
    </row>
    <row r="11779" spans="26:26" x14ac:dyDescent="0.25">
      <c r="Z11779">
        <v>399999.99999993219</v>
      </c>
    </row>
    <row r="11780" spans="26:26" x14ac:dyDescent="0.25">
      <c r="Z11780">
        <v>399999.99999993236</v>
      </c>
    </row>
    <row r="11781" spans="26:26" x14ac:dyDescent="0.25">
      <c r="Z11781">
        <v>399999.99999993254</v>
      </c>
    </row>
    <row r="11782" spans="26:26" x14ac:dyDescent="0.25">
      <c r="Z11782">
        <v>399999.99999993271</v>
      </c>
    </row>
    <row r="11783" spans="26:26" x14ac:dyDescent="0.25">
      <c r="Z11783">
        <v>399999.99999993283</v>
      </c>
    </row>
    <row r="11784" spans="26:26" x14ac:dyDescent="0.25">
      <c r="Z11784">
        <v>399999.999999933</v>
      </c>
    </row>
    <row r="11785" spans="26:26" x14ac:dyDescent="0.25">
      <c r="Z11785">
        <v>399999.99999993318</v>
      </c>
    </row>
    <row r="11786" spans="26:26" x14ac:dyDescent="0.25">
      <c r="Z11786">
        <v>399999.99999993335</v>
      </c>
    </row>
    <row r="11787" spans="26:26" x14ac:dyDescent="0.25">
      <c r="Z11787">
        <v>399999.99999993353</v>
      </c>
    </row>
    <row r="11788" spans="26:26" x14ac:dyDescent="0.25">
      <c r="Z11788">
        <v>399999.9999999337</v>
      </c>
    </row>
    <row r="11789" spans="26:26" x14ac:dyDescent="0.25">
      <c r="Z11789">
        <v>399999.99999993388</v>
      </c>
    </row>
    <row r="11790" spans="26:26" x14ac:dyDescent="0.25">
      <c r="Z11790">
        <v>399999.99999993399</v>
      </c>
    </row>
    <row r="11791" spans="26:26" x14ac:dyDescent="0.25">
      <c r="Z11791">
        <v>399999.99999993417</v>
      </c>
    </row>
    <row r="11792" spans="26:26" x14ac:dyDescent="0.25">
      <c r="Z11792">
        <v>399999.9999999344</v>
      </c>
    </row>
    <row r="11793" spans="26:26" x14ac:dyDescent="0.25">
      <c r="Z11793">
        <v>399999.99999993452</v>
      </c>
    </row>
    <row r="11794" spans="26:26" x14ac:dyDescent="0.25">
      <c r="Z11794">
        <v>399999.99999993463</v>
      </c>
    </row>
    <row r="11795" spans="26:26" x14ac:dyDescent="0.25">
      <c r="Z11795">
        <v>399999.99999993481</v>
      </c>
    </row>
    <row r="11796" spans="26:26" x14ac:dyDescent="0.25">
      <c r="Z11796">
        <v>399999.99999993498</v>
      </c>
    </row>
    <row r="11797" spans="26:26" x14ac:dyDescent="0.25">
      <c r="Z11797">
        <v>399999.99999993516</v>
      </c>
    </row>
    <row r="11798" spans="26:26" x14ac:dyDescent="0.25">
      <c r="Z11798">
        <v>399999.99999993533</v>
      </c>
    </row>
    <row r="11799" spans="26:26" x14ac:dyDescent="0.25">
      <c r="Z11799">
        <v>399999.99999993545</v>
      </c>
    </row>
    <row r="11800" spans="26:26" x14ac:dyDescent="0.25">
      <c r="Z11800">
        <v>399999.99999993562</v>
      </c>
    </row>
    <row r="11801" spans="26:26" x14ac:dyDescent="0.25">
      <c r="Z11801">
        <v>399999.99999993586</v>
      </c>
    </row>
    <row r="11802" spans="26:26" x14ac:dyDescent="0.25">
      <c r="Z11802">
        <v>399999.99999993597</v>
      </c>
    </row>
    <row r="11803" spans="26:26" x14ac:dyDescent="0.25">
      <c r="Z11803">
        <v>399999.99999993615</v>
      </c>
    </row>
    <row r="11804" spans="26:26" x14ac:dyDescent="0.25">
      <c r="Z11804">
        <v>399999.99999993626</v>
      </c>
    </row>
    <row r="11805" spans="26:26" x14ac:dyDescent="0.25">
      <c r="Z11805">
        <v>399999.99999993644</v>
      </c>
    </row>
    <row r="11806" spans="26:26" x14ac:dyDescent="0.25">
      <c r="Z11806">
        <v>399999.99999993661</v>
      </c>
    </row>
    <row r="11807" spans="26:26" x14ac:dyDescent="0.25">
      <c r="Z11807">
        <v>399999.99999993673</v>
      </c>
    </row>
    <row r="11808" spans="26:26" x14ac:dyDescent="0.25">
      <c r="Z11808">
        <v>399999.9999999369</v>
      </c>
    </row>
    <row r="11809" spans="26:26" x14ac:dyDescent="0.25">
      <c r="Z11809">
        <v>399999.99999993708</v>
      </c>
    </row>
    <row r="11810" spans="26:26" x14ac:dyDescent="0.25">
      <c r="Z11810">
        <v>399999.99999993725</v>
      </c>
    </row>
    <row r="11811" spans="26:26" x14ac:dyDescent="0.25">
      <c r="Z11811">
        <v>399999.99999993737</v>
      </c>
    </row>
    <row r="11812" spans="26:26" x14ac:dyDescent="0.25">
      <c r="Z11812">
        <v>399999.99999993754</v>
      </c>
    </row>
    <row r="11813" spans="26:26" x14ac:dyDescent="0.25">
      <c r="Z11813">
        <v>399999.99999993772</v>
      </c>
    </row>
    <row r="11814" spans="26:26" x14ac:dyDescent="0.25">
      <c r="Z11814">
        <v>399999.99999993789</v>
      </c>
    </row>
    <row r="11815" spans="26:26" x14ac:dyDescent="0.25">
      <c r="Z11815">
        <v>399999.99999993801</v>
      </c>
    </row>
    <row r="11816" spans="26:26" x14ac:dyDescent="0.25">
      <c r="Z11816">
        <v>399999.99999993818</v>
      </c>
    </row>
    <row r="11817" spans="26:26" x14ac:dyDescent="0.25">
      <c r="Z11817">
        <v>399999.9999999383</v>
      </c>
    </row>
    <row r="11818" spans="26:26" x14ac:dyDescent="0.25">
      <c r="Z11818">
        <v>399999.99999993847</v>
      </c>
    </row>
    <row r="11819" spans="26:26" x14ac:dyDescent="0.25">
      <c r="Z11819">
        <v>399999.99999993859</v>
      </c>
    </row>
    <row r="11820" spans="26:26" x14ac:dyDescent="0.25">
      <c r="Z11820">
        <v>399999.99999993877</v>
      </c>
    </row>
    <row r="11821" spans="26:26" x14ac:dyDescent="0.25">
      <c r="Z11821">
        <v>399999.99999993894</v>
      </c>
    </row>
    <row r="11822" spans="26:26" x14ac:dyDescent="0.25">
      <c r="Z11822">
        <v>399999.99999993906</v>
      </c>
    </row>
    <row r="11823" spans="26:26" x14ac:dyDescent="0.25">
      <c r="Z11823">
        <v>399999.99999993923</v>
      </c>
    </row>
    <row r="11824" spans="26:26" x14ac:dyDescent="0.25">
      <c r="Z11824">
        <v>399999.99999993935</v>
      </c>
    </row>
    <row r="11825" spans="26:26" x14ac:dyDescent="0.25">
      <c r="Z11825">
        <v>399999.99999993958</v>
      </c>
    </row>
    <row r="11826" spans="26:26" x14ac:dyDescent="0.25">
      <c r="Z11826">
        <v>399999.9999999397</v>
      </c>
    </row>
    <row r="11827" spans="26:26" x14ac:dyDescent="0.25">
      <c r="Z11827">
        <v>399999.99999993981</v>
      </c>
    </row>
    <row r="11828" spans="26:26" x14ac:dyDescent="0.25">
      <c r="Z11828">
        <v>399999.99999993999</v>
      </c>
    </row>
    <row r="11829" spans="26:26" x14ac:dyDescent="0.25">
      <c r="Z11829">
        <v>399999.99999994016</v>
      </c>
    </row>
    <row r="11830" spans="26:26" x14ac:dyDescent="0.25">
      <c r="Z11830">
        <v>399999.99999994034</v>
      </c>
    </row>
    <row r="11831" spans="26:26" x14ac:dyDescent="0.25">
      <c r="Z11831">
        <v>399999.9999999404</v>
      </c>
    </row>
    <row r="11832" spans="26:26" x14ac:dyDescent="0.25">
      <c r="Z11832">
        <v>399999.99999994057</v>
      </c>
    </row>
    <row r="11833" spans="26:26" x14ac:dyDescent="0.25">
      <c r="Z11833">
        <v>399999.99999994074</v>
      </c>
    </row>
    <row r="11834" spans="26:26" x14ac:dyDescent="0.25">
      <c r="Z11834">
        <v>399999.99999994086</v>
      </c>
    </row>
    <row r="11835" spans="26:26" x14ac:dyDescent="0.25">
      <c r="Z11835">
        <v>399999.99999994104</v>
      </c>
    </row>
    <row r="11836" spans="26:26" x14ac:dyDescent="0.25">
      <c r="Z11836">
        <v>399999.99999994121</v>
      </c>
    </row>
    <row r="11837" spans="26:26" x14ac:dyDescent="0.25">
      <c r="Z11837">
        <v>399999.99999994133</v>
      </c>
    </row>
    <row r="11838" spans="26:26" x14ac:dyDescent="0.25">
      <c r="Z11838">
        <v>399999.99999994144</v>
      </c>
    </row>
    <row r="11839" spans="26:26" x14ac:dyDescent="0.25">
      <c r="Z11839">
        <v>399999.99999994162</v>
      </c>
    </row>
    <row r="11840" spans="26:26" x14ac:dyDescent="0.25">
      <c r="Z11840">
        <v>399999.99999994179</v>
      </c>
    </row>
    <row r="11841" spans="26:26" x14ac:dyDescent="0.25">
      <c r="Z11841">
        <v>399999.99999994191</v>
      </c>
    </row>
    <row r="11842" spans="26:26" x14ac:dyDescent="0.25">
      <c r="Z11842">
        <v>399999.99999994208</v>
      </c>
    </row>
    <row r="11843" spans="26:26" x14ac:dyDescent="0.25">
      <c r="Z11843">
        <v>399999.9999999422</v>
      </c>
    </row>
    <row r="11844" spans="26:26" x14ac:dyDescent="0.25">
      <c r="Z11844">
        <v>399999.99999994232</v>
      </c>
    </row>
    <row r="11845" spans="26:26" x14ac:dyDescent="0.25">
      <c r="Z11845">
        <v>399999.99999994249</v>
      </c>
    </row>
    <row r="11846" spans="26:26" x14ac:dyDescent="0.25">
      <c r="Z11846">
        <v>399999.99999994261</v>
      </c>
    </row>
    <row r="11847" spans="26:26" x14ac:dyDescent="0.25">
      <c r="Z11847">
        <v>399999.99999994272</v>
      </c>
    </row>
    <row r="11848" spans="26:26" x14ac:dyDescent="0.25">
      <c r="Z11848">
        <v>399999.9999999429</v>
      </c>
    </row>
    <row r="11849" spans="26:26" x14ac:dyDescent="0.25">
      <c r="Z11849">
        <v>399999.99999994307</v>
      </c>
    </row>
    <row r="11850" spans="26:26" x14ac:dyDescent="0.25">
      <c r="Z11850">
        <v>399999.99999994319</v>
      </c>
    </row>
    <row r="11851" spans="26:26" x14ac:dyDescent="0.25">
      <c r="Z11851">
        <v>399999.99999994331</v>
      </c>
    </row>
    <row r="11852" spans="26:26" x14ac:dyDescent="0.25">
      <c r="Z11852">
        <v>399999.99999994348</v>
      </c>
    </row>
    <row r="11853" spans="26:26" x14ac:dyDescent="0.25">
      <c r="Z11853">
        <v>399999.99999994365</v>
      </c>
    </row>
    <row r="11854" spans="26:26" x14ac:dyDescent="0.25">
      <c r="Z11854">
        <v>399999.99999994377</v>
      </c>
    </row>
    <row r="11855" spans="26:26" x14ac:dyDescent="0.25">
      <c r="Z11855">
        <v>399999.99999994395</v>
      </c>
    </row>
    <row r="11856" spans="26:26" x14ac:dyDescent="0.25">
      <c r="Z11856">
        <v>399999.99999994406</v>
      </c>
    </row>
    <row r="11857" spans="26:26" x14ac:dyDescent="0.25">
      <c r="Z11857">
        <v>399999.99999994412</v>
      </c>
    </row>
    <row r="11858" spans="26:26" x14ac:dyDescent="0.25">
      <c r="Z11858">
        <v>399999.9999999443</v>
      </c>
    </row>
    <row r="11859" spans="26:26" x14ac:dyDescent="0.25">
      <c r="Z11859">
        <v>399999.99999994447</v>
      </c>
    </row>
    <row r="11860" spans="26:26" x14ac:dyDescent="0.25">
      <c r="Z11860">
        <v>399999.99999994459</v>
      </c>
    </row>
    <row r="11861" spans="26:26" x14ac:dyDescent="0.25">
      <c r="Z11861">
        <v>399999.99999994476</v>
      </c>
    </row>
    <row r="11862" spans="26:26" x14ac:dyDescent="0.25">
      <c r="Z11862">
        <v>399999.99999994488</v>
      </c>
    </row>
    <row r="11863" spans="26:26" x14ac:dyDescent="0.25">
      <c r="Z11863">
        <v>399999.99999994499</v>
      </c>
    </row>
    <row r="11864" spans="26:26" x14ac:dyDescent="0.25">
      <c r="Z11864">
        <v>399999.99999994517</v>
      </c>
    </row>
    <row r="11865" spans="26:26" x14ac:dyDescent="0.25">
      <c r="Z11865">
        <v>399999.99999994528</v>
      </c>
    </row>
    <row r="11866" spans="26:26" x14ac:dyDescent="0.25">
      <c r="Z11866">
        <v>399999.9999999454</v>
      </c>
    </row>
    <row r="11867" spans="26:26" x14ac:dyDescent="0.25">
      <c r="Z11867">
        <v>399999.99999994558</v>
      </c>
    </row>
    <row r="11868" spans="26:26" x14ac:dyDescent="0.25">
      <c r="Z11868">
        <v>399999.99999994569</v>
      </c>
    </row>
    <row r="11869" spans="26:26" x14ac:dyDescent="0.25">
      <c r="Z11869">
        <v>399999.99999994581</v>
      </c>
    </row>
    <row r="11870" spans="26:26" x14ac:dyDescent="0.25">
      <c r="Z11870">
        <v>399999.99999994598</v>
      </c>
    </row>
    <row r="11871" spans="26:26" x14ac:dyDescent="0.25">
      <c r="Z11871">
        <v>399999.99999994604</v>
      </c>
    </row>
    <row r="11872" spans="26:26" x14ac:dyDescent="0.25">
      <c r="Z11872">
        <v>399999.99999994622</v>
      </c>
    </row>
    <row r="11873" spans="26:26" x14ac:dyDescent="0.25">
      <c r="Z11873">
        <v>399999.99999994633</v>
      </c>
    </row>
    <row r="11874" spans="26:26" x14ac:dyDescent="0.25">
      <c r="Z11874">
        <v>399999.99999994645</v>
      </c>
    </row>
    <row r="11875" spans="26:26" x14ac:dyDescent="0.25">
      <c r="Z11875">
        <v>399999.99999994662</v>
      </c>
    </row>
    <row r="11876" spans="26:26" x14ac:dyDescent="0.25">
      <c r="Z11876">
        <v>399999.99999994674</v>
      </c>
    </row>
    <row r="11877" spans="26:26" x14ac:dyDescent="0.25">
      <c r="Z11877">
        <v>399999.99999994686</v>
      </c>
    </row>
    <row r="11878" spans="26:26" x14ac:dyDescent="0.25">
      <c r="Z11878">
        <v>399999.99999994703</v>
      </c>
    </row>
    <row r="11879" spans="26:26" x14ac:dyDescent="0.25">
      <c r="Z11879">
        <v>399999.99999994715</v>
      </c>
    </row>
    <row r="11880" spans="26:26" x14ac:dyDescent="0.25">
      <c r="Z11880">
        <v>399999.99999994726</v>
      </c>
    </row>
    <row r="11881" spans="26:26" x14ac:dyDescent="0.25">
      <c r="Z11881">
        <v>399999.99999994744</v>
      </c>
    </row>
    <row r="11882" spans="26:26" x14ac:dyDescent="0.25">
      <c r="Z11882">
        <v>399999.99999994755</v>
      </c>
    </row>
    <row r="11883" spans="26:26" x14ac:dyDescent="0.25">
      <c r="Z11883">
        <v>399999.99999994767</v>
      </c>
    </row>
    <row r="11884" spans="26:26" x14ac:dyDescent="0.25">
      <c r="Z11884">
        <v>399999.99999994785</v>
      </c>
    </row>
    <row r="11885" spans="26:26" x14ac:dyDescent="0.25">
      <c r="Z11885">
        <v>399999.9999999479</v>
      </c>
    </row>
    <row r="11886" spans="26:26" x14ac:dyDescent="0.25">
      <c r="Z11886">
        <v>399999.99999994808</v>
      </c>
    </row>
    <row r="11887" spans="26:26" x14ac:dyDescent="0.25">
      <c r="Z11887">
        <v>399999.9999999482</v>
      </c>
    </row>
    <row r="11888" spans="26:26" x14ac:dyDescent="0.25">
      <c r="Z11888">
        <v>399999.99999994831</v>
      </c>
    </row>
    <row r="11889" spans="26:26" x14ac:dyDescent="0.25">
      <c r="Z11889">
        <v>399999.99999994849</v>
      </c>
    </row>
    <row r="11890" spans="26:26" x14ac:dyDescent="0.25">
      <c r="Z11890">
        <v>399999.9999999486</v>
      </c>
    </row>
    <row r="11891" spans="26:26" x14ac:dyDescent="0.25">
      <c r="Z11891">
        <v>399999.99999994872</v>
      </c>
    </row>
    <row r="11892" spans="26:26" x14ac:dyDescent="0.25">
      <c r="Z11892">
        <v>399999.99999994884</v>
      </c>
    </row>
    <row r="11893" spans="26:26" x14ac:dyDescent="0.25">
      <c r="Z11893">
        <v>399999.99999994895</v>
      </c>
    </row>
    <row r="11894" spans="26:26" x14ac:dyDescent="0.25">
      <c r="Z11894">
        <v>399999.99999994913</v>
      </c>
    </row>
    <row r="11895" spans="26:26" x14ac:dyDescent="0.25">
      <c r="Z11895">
        <v>399999.99999994924</v>
      </c>
    </row>
    <row r="11896" spans="26:26" x14ac:dyDescent="0.25">
      <c r="Z11896">
        <v>399999.99999994936</v>
      </c>
    </row>
    <row r="11897" spans="26:26" x14ac:dyDescent="0.25">
      <c r="Z11897">
        <v>399999.99999994953</v>
      </c>
    </row>
    <row r="11898" spans="26:26" x14ac:dyDescent="0.25">
      <c r="Z11898">
        <v>399999.99999994965</v>
      </c>
    </row>
    <row r="11899" spans="26:26" x14ac:dyDescent="0.25">
      <c r="Z11899">
        <v>399999.99999994977</v>
      </c>
    </row>
    <row r="11900" spans="26:26" x14ac:dyDescent="0.25">
      <c r="Z11900">
        <v>399999.99999994982</v>
      </c>
    </row>
    <row r="11901" spans="26:26" x14ac:dyDescent="0.25">
      <c r="Z11901">
        <v>399999.99999994994</v>
      </c>
    </row>
    <row r="11902" spans="26:26" x14ac:dyDescent="0.25">
      <c r="Z11902">
        <v>399999.99999995012</v>
      </c>
    </row>
    <row r="11903" spans="26:26" x14ac:dyDescent="0.25">
      <c r="Z11903">
        <v>399999.99999995023</v>
      </c>
    </row>
    <row r="11904" spans="26:26" x14ac:dyDescent="0.25">
      <c r="Z11904">
        <v>399999.99999995035</v>
      </c>
    </row>
    <row r="11905" spans="26:26" x14ac:dyDescent="0.25">
      <c r="Z11905">
        <v>399999.99999995047</v>
      </c>
    </row>
    <row r="11906" spans="26:26" x14ac:dyDescent="0.25">
      <c r="Z11906">
        <v>399999.99999995058</v>
      </c>
    </row>
    <row r="11907" spans="26:26" x14ac:dyDescent="0.25">
      <c r="Z11907">
        <v>399999.99999995076</v>
      </c>
    </row>
    <row r="11908" spans="26:26" x14ac:dyDescent="0.25">
      <c r="Z11908">
        <v>399999.99999995087</v>
      </c>
    </row>
    <row r="11909" spans="26:26" x14ac:dyDescent="0.25">
      <c r="Z11909">
        <v>399999.99999995099</v>
      </c>
    </row>
    <row r="11910" spans="26:26" x14ac:dyDescent="0.25">
      <c r="Z11910">
        <v>399999.99999995111</v>
      </c>
    </row>
    <row r="11911" spans="26:26" x14ac:dyDescent="0.25">
      <c r="Z11911">
        <v>399999.99999995122</v>
      </c>
    </row>
    <row r="11912" spans="26:26" x14ac:dyDescent="0.25">
      <c r="Z11912">
        <v>399999.9999999514</v>
      </c>
    </row>
    <row r="11913" spans="26:26" x14ac:dyDescent="0.25">
      <c r="Z11913">
        <v>399999.99999995145</v>
      </c>
    </row>
    <row r="11914" spans="26:26" x14ac:dyDescent="0.25">
      <c r="Z11914">
        <v>399999.99999995163</v>
      </c>
    </row>
    <row r="11915" spans="26:26" x14ac:dyDescent="0.25">
      <c r="Z11915">
        <v>399999.99999995169</v>
      </c>
    </row>
    <row r="11916" spans="26:26" x14ac:dyDescent="0.25">
      <c r="Z11916">
        <v>399999.9999999518</v>
      </c>
    </row>
    <row r="11917" spans="26:26" x14ac:dyDescent="0.25">
      <c r="Z11917">
        <v>399999.99999995192</v>
      </c>
    </row>
    <row r="11918" spans="26:26" x14ac:dyDescent="0.25">
      <c r="Z11918">
        <v>399999.99999995204</v>
      </c>
    </row>
    <row r="11919" spans="26:26" x14ac:dyDescent="0.25">
      <c r="Z11919">
        <v>399999.99999995215</v>
      </c>
    </row>
    <row r="11920" spans="26:26" x14ac:dyDescent="0.25">
      <c r="Z11920">
        <v>399999.99999995227</v>
      </c>
    </row>
    <row r="11921" spans="26:26" x14ac:dyDescent="0.25">
      <c r="Z11921">
        <v>399999.99999995244</v>
      </c>
    </row>
    <row r="11922" spans="26:26" x14ac:dyDescent="0.25">
      <c r="Z11922">
        <v>399999.99999995256</v>
      </c>
    </row>
    <row r="11923" spans="26:26" x14ac:dyDescent="0.25">
      <c r="Z11923">
        <v>399999.99999995268</v>
      </c>
    </row>
    <row r="11924" spans="26:26" x14ac:dyDescent="0.25">
      <c r="Z11924">
        <v>399999.99999995279</v>
      </c>
    </row>
    <row r="11925" spans="26:26" x14ac:dyDescent="0.25">
      <c r="Z11925">
        <v>399999.99999995285</v>
      </c>
    </row>
    <row r="11926" spans="26:26" x14ac:dyDescent="0.25">
      <c r="Z11926">
        <v>399999.99999995303</v>
      </c>
    </row>
    <row r="11927" spans="26:26" x14ac:dyDescent="0.25">
      <c r="Z11927">
        <v>399999.99999995314</v>
      </c>
    </row>
    <row r="11928" spans="26:26" x14ac:dyDescent="0.25">
      <c r="Z11928">
        <v>399999.99999995326</v>
      </c>
    </row>
    <row r="11929" spans="26:26" x14ac:dyDescent="0.25">
      <c r="Z11929">
        <v>399999.99999995338</v>
      </c>
    </row>
    <row r="11930" spans="26:26" x14ac:dyDescent="0.25">
      <c r="Z11930">
        <v>399999.99999995349</v>
      </c>
    </row>
    <row r="11931" spans="26:26" x14ac:dyDescent="0.25">
      <c r="Z11931">
        <v>399999.99999995355</v>
      </c>
    </row>
    <row r="11932" spans="26:26" x14ac:dyDescent="0.25">
      <c r="Z11932">
        <v>399999.99999995372</v>
      </c>
    </row>
    <row r="11933" spans="26:26" x14ac:dyDescent="0.25">
      <c r="Z11933">
        <v>399999.99999995378</v>
      </c>
    </row>
    <row r="11934" spans="26:26" x14ac:dyDescent="0.25">
      <c r="Z11934">
        <v>399999.9999999539</v>
      </c>
    </row>
    <row r="11935" spans="26:26" x14ac:dyDescent="0.25">
      <c r="Z11935">
        <v>399999.99999995407</v>
      </c>
    </row>
    <row r="11936" spans="26:26" x14ac:dyDescent="0.25">
      <c r="Z11936">
        <v>399999.99999995413</v>
      </c>
    </row>
    <row r="11937" spans="26:26" x14ac:dyDescent="0.25">
      <c r="Z11937">
        <v>399999.99999995431</v>
      </c>
    </row>
    <row r="11938" spans="26:26" x14ac:dyDescent="0.25">
      <c r="Z11938">
        <v>399999.99999995437</v>
      </c>
    </row>
    <row r="11939" spans="26:26" x14ac:dyDescent="0.25">
      <c r="Z11939">
        <v>399999.99999995454</v>
      </c>
    </row>
    <row r="11940" spans="26:26" x14ac:dyDescent="0.25">
      <c r="Z11940">
        <v>399999.9999999546</v>
      </c>
    </row>
    <row r="11941" spans="26:26" x14ac:dyDescent="0.25">
      <c r="Z11941">
        <v>399999.99999995477</v>
      </c>
    </row>
    <row r="11942" spans="26:26" x14ac:dyDescent="0.25">
      <c r="Z11942">
        <v>399999.99999995489</v>
      </c>
    </row>
    <row r="11943" spans="26:26" x14ac:dyDescent="0.25">
      <c r="Z11943">
        <v>399999.99999995495</v>
      </c>
    </row>
    <row r="11944" spans="26:26" x14ac:dyDescent="0.25">
      <c r="Z11944">
        <v>399999.99999995512</v>
      </c>
    </row>
    <row r="11945" spans="26:26" x14ac:dyDescent="0.25">
      <c r="Z11945">
        <v>399999.99999995518</v>
      </c>
    </row>
    <row r="11946" spans="26:26" x14ac:dyDescent="0.25">
      <c r="Z11946">
        <v>399999.99999995535</v>
      </c>
    </row>
    <row r="11947" spans="26:26" x14ac:dyDescent="0.25">
      <c r="Z11947">
        <v>399999.99999995541</v>
      </c>
    </row>
    <row r="11948" spans="26:26" x14ac:dyDescent="0.25">
      <c r="Z11948">
        <v>399999.99999995553</v>
      </c>
    </row>
    <row r="11949" spans="26:26" x14ac:dyDescent="0.25">
      <c r="Z11949">
        <v>399999.99999995559</v>
      </c>
    </row>
    <row r="11950" spans="26:26" x14ac:dyDescent="0.25">
      <c r="Z11950">
        <v>399999.99999995576</v>
      </c>
    </row>
    <row r="11951" spans="26:26" x14ac:dyDescent="0.25">
      <c r="Z11951">
        <v>399999.99999995582</v>
      </c>
    </row>
    <row r="11952" spans="26:26" x14ac:dyDescent="0.25">
      <c r="Z11952">
        <v>399999.999999956</v>
      </c>
    </row>
    <row r="11953" spans="26:26" x14ac:dyDescent="0.25">
      <c r="Z11953">
        <v>399999.99999995605</v>
      </c>
    </row>
    <row r="11954" spans="26:26" x14ac:dyDescent="0.25">
      <c r="Z11954">
        <v>399999.99999995623</v>
      </c>
    </row>
    <row r="11955" spans="26:26" x14ac:dyDescent="0.25">
      <c r="Z11955">
        <v>399999.99999995629</v>
      </c>
    </row>
    <row r="11956" spans="26:26" x14ac:dyDescent="0.25">
      <c r="Z11956">
        <v>399999.9999999564</v>
      </c>
    </row>
    <row r="11957" spans="26:26" x14ac:dyDescent="0.25">
      <c r="Z11957">
        <v>399999.99999995652</v>
      </c>
    </row>
    <row r="11958" spans="26:26" x14ac:dyDescent="0.25">
      <c r="Z11958">
        <v>399999.99999995664</v>
      </c>
    </row>
    <row r="11959" spans="26:26" x14ac:dyDescent="0.25">
      <c r="Z11959">
        <v>399999.99999995675</v>
      </c>
    </row>
    <row r="11960" spans="26:26" x14ac:dyDescent="0.25">
      <c r="Z11960">
        <v>399999.99999995681</v>
      </c>
    </row>
    <row r="11961" spans="26:26" x14ac:dyDescent="0.25">
      <c r="Z11961">
        <v>399999.99999995698</v>
      </c>
    </row>
    <row r="11962" spans="26:26" x14ac:dyDescent="0.25">
      <c r="Z11962">
        <v>399999.99999995704</v>
      </c>
    </row>
    <row r="11963" spans="26:26" x14ac:dyDescent="0.25">
      <c r="Z11963">
        <v>399999.99999995716</v>
      </c>
    </row>
    <row r="11964" spans="26:26" x14ac:dyDescent="0.25">
      <c r="Z11964">
        <v>399999.99999995728</v>
      </c>
    </row>
    <row r="11965" spans="26:26" x14ac:dyDescent="0.25">
      <c r="Z11965">
        <v>399999.99999995733</v>
      </c>
    </row>
    <row r="11966" spans="26:26" x14ac:dyDescent="0.25">
      <c r="Z11966">
        <v>399999.99999995745</v>
      </c>
    </row>
    <row r="11967" spans="26:26" x14ac:dyDescent="0.25">
      <c r="Z11967">
        <v>399999.99999995757</v>
      </c>
    </row>
    <row r="11968" spans="26:26" x14ac:dyDescent="0.25">
      <c r="Z11968">
        <v>399999.99999995768</v>
      </c>
    </row>
    <row r="11969" spans="26:26" x14ac:dyDescent="0.25">
      <c r="Z11969">
        <v>399999.9999999578</v>
      </c>
    </row>
    <row r="11970" spans="26:26" x14ac:dyDescent="0.25">
      <c r="Z11970">
        <v>399999.99999995786</v>
      </c>
    </row>
    <row r="11971" spans="26:26" x14ac:dyDescent="0.25">
      <c r="Z11971">
        <v>399999.99999995803</v>
      </c>
    </row>
    <row r="11972" spans="26:26" x14ac:dyDescent="0.25">
      <c r="Z11972">
        <v>399999.99999995809</v>
      </c>
    </row>
    <row r="11973" spans="26:26" x14ac:dyDescent="0.25">
      <c r="Z11973">
        <v>399999.99999995821</v>
      </c>
    </row>
    <row r="11974" spans="26:26" x14ac:dyDescent="0.25">
      <c r="Z11974">
        <v>399999.99999995832</v>
      </c>
    </row>
    <row r="11975" spans="26:26" x14ac:dyDescent="0.25">
      <c r="Z11975">
        <v>399999.99999995844</v>
      </c>
    </row>
    <row r="11976" spans="26:26" x14ac:dyDescent="0.25">
      <c r="Z11976">
        <v>399999.9999999585</v>
      </c>
    </row>
    <row r="11977" spans="26:26" x14ac:dyDescent="0.25">
      <c r="Z11977">
        <v>399999.99999995867</v>
      </c>
    </row>
    <row r="11978" spans="26:26" x14ac:dyDescent="0.25">
      <c r="Z11978">
        <v>399999.99999995873</v>
      </c>
    </row>
    <row r="11979" spans="26:26" x14ac:dyDescent="0.25">
      <c r="Z11979">
        <v>399999.99999995885</v>
      </c>
    </row>
    <row r="11980" spans="26:26" x14ac:dyDescent="0.25">
      <c r="Z11980">
        <v>399999.99999995896</v>
      </c>
    </row>
    <row r="11981" spans="26:26" x14ac:dyDescent="0.25">
      <c r="Z11981">
        <v>399999.99999995908</v>
      </c>
    </row>
    <row r="11982" spans="26:26" x14ac:dyDescent="0.25">
      <c r="Z11982">
        <v>399999.99999995914</v>
      </c>
    </row>
    <row r="11983" spans="26:26" x14ac:dyDescent="0.25">
      <c r="Z11983">
        <v>399999.99999995925</v>
      </c>
    </row>
    <row r="11984" spans="26:26" x14ac:dyDescent="0.25">
      <c r="Z11984">
        <v>399999.99999995931</v>
      </c>
    </row>
    <row r="11985" spans="26:26" x14ac:dyDescent="0.25">
      <c r="Z11985">
        <v>399999.99999995943</v>
      </c>
    </row>
    <row r="11986" spans="26:26" x14ac:dyDescent="0.25">
      <c r="Z11986">
        <v>399999.99999995955</v>
      </c>
    </row>
    <row r="11987" spans="26:26" x14ac:dyDescent="0.25">
      <c r="Z11987">
        <v>399999.99999995966</v>
      </c>
    </row>
    <row r="11988" spans="26:26" x14ac:dyDescent="0.25">
      <c r="Z11988">
        <v>399999.99999995972</v>
      </c>
    </row>
    <row r="11989" spans="26:26" x14ac:dyDescent="0.25">
      <c r="Z11989">
        <v>399999.99999995984</v>
      </c>
    </row>
    <row r="11990" spans="26:26" x14ac:dyDescent="0.25">
      <c r="Z11990">
        <v>399999.99999995995</v>
      </c>
    </row>
    <row r="11991" spans="26:26" x14ac:dyDescent="0.25">
      <c r="Z11991">
        <v>399999.99999996007</v>
      </c>
    </row>
    <row r="11992" spans="26:26" x14ac:dyDescent="0.25">
      <c r="Z11992">
        <v>399999.99999996013</v>
      </c>
    </row>
    <row r="11993" spans="26:26" x14ac:dyDescent="0.25">
      <c r="Z11993">
        <v>399999.99999996024</v>
      </c>
    </row>
    <row r="11994" spans="26:26" x14ac:dyDescent="0.25">
      <c r="Z11994">
        <v>399999.99999996036</v>
      </c>
    </row>
    <row r="11995" spans="26:26" x14ac:dyDescent="0.25">
      <c r="Z11995">
        <v>399999.99999996048</v>
      </c>
    </row>
    <row r="11996" spans="26:26" x14ac:dyDescent="0.25">
      <c r="Z11996">
        <v>399999.99999996059</v>
      </c>
    </row>
    <row r="11997" spans="26:26" x14ac:dyDescent="0.25">
      <c r="Z11997">
        <v>399999.99999996065</v>
      </c>
    </row>
    <row r="11998" spans="26:26" x14ac:dyDescent="0.25">
      <c r="Z11998">
        <v>399999.99999996077</v>
      </c>
    </row>
    <row r="11999" spans="26:26" x14ac:dyDescent="0.25">
      <c r="Z11999">
        <v>399999.99999996083</v>
      </c>
    </row>
    <row r="12000" spans="26:26" x14ac:dyDescent="0.25">
      <c r="Z12000">
        <v>399999.999999961</v>
      </c>
    </row>
    <row r="12001" spans="26:26" x14ac:dyDescent="0.25">
      <c r="Z12001">
        <v>399999.99999996106</v>
      </c>
    </row>
    <row r="12002" spans="26:26" x14ac:dyDescent="0.25">
      <c r="Z12002">
        <v>399999.99999996118</v>
      </c>
    </row>
    <row r="12003" spans="26:26" x14ac:dyDescent="0.25">
      <c r="Z12003">
        <v>399999.99999996118</v>
      </c>
    </row>
    <row r="12004" spans="26:26" x14ac:dyDescent="0.25">
      <c r="Z12004">
        <v>399999.99999996129</v>
      </c>
    </row>
    <row r="12005" spans="26:26" x14ac:dyDescent="0.25">
      <c r="Z12005">
        <v>399999.99999996141</v>
      </c>
    </row>
    <row r="12006" spans="26:26" x14ac:dyDescent="0.25">
      <c r="Z12006">
        <v>399999.99999996152</v>
      </c>
    </row>
    <row r="12007" spans="26:26" x14ac:dyDescent="0.25">
      <c r="Z12007">
        <v>399999.99999996158</v>
      </c>
    </row>
    <row r="12008" spans="26:26" x14ac:dyDescent="0.25">
      <c r="Z12008">
        <v>399999.9999999617</v>
      </c>
    </row>
    <row r="12009" spans="26:26" x14ac:dyDescent="0.25">
      <c r="Z12009">
        <v>399999.99999996182</v>
      </c>
    </row>
    <row r="12010" spans="26:26" x14ac:dyDescent="0.25">
      <c r="Z12010">
        <v>399999.99999996187</v>
      </c>
    </row>
    <row r="12011" spans="26:26" x14ac:dyDescent="0.25">
      <c r="Z12011">
        <v>399999.99999996199</v>
      </c>
    </row>
    <row r="12012" spans="26:26" x14ac:dyDescent="0.25">
      <c r="Z12012">
        <v>399999.99999996211</v>
      </c>
    </row>
    <row r="12013" spans="26:26" x14ac:dyDescent="0.25">
      <c r="Z12013">
        <v>399999.99999996222</v>
      </c>
    </row>
    <row r="12014" spans="26:26" x14ac:dyDescent="0.25">
      <c r="Z12014">
        <v>399999.99999996228</v>
      </c>
    </row>
    <row r="12015" spans="26:26" x14ac:dyDescent="0.25">
      <c r="Z12015">
        <v>399999.9999999624</v>
      </c>
    </row>
    <row r="12016" spans="26:26" x14ac:dyDescent="0.25">
      <c r="Z12016">
        <v>399999.99999996246</v>
      </c>
    </row>
    <row r="12017" spans="26:26" x14ac:dyDescent="0.25">
      <c r="Z12017">
        <v>399999.99999996257</v>
      </c>
    </row>
    <row r="12018" spans="26:26" x14ac:dyDescent="0.25">
      <c r="Z12018">
        <v>399999.99999996263</v>
      </c>
    </row>
    <row r="12019" spans="26:26" x14ac:dyDescent="0.25">
      <c r="Z12019">
        <v>399999.99999996275</v>
      </c>
    </row>
    <row r="12020" spans="26:26" x14ac:dyDescent="0.25">
      <c r="Z12020">
        <v>399999.99999996286</v>
      </c>
    </row>
    <row r="12021" spans="26:26" x14ac:dyDescent="0.25">
      <c r="Z12021">
        <v>399999.99999996298</v>
      </c>
    </row>
    <row r="12022" spans="26:26" x14ac:dyDescent="0.25">
      <c r="Z12022">
        <v>399999.99999996304</v>
      </c>
    </row>
    <row r="12023" spans="26:26" x14ac:dyDescent="0.25">
      <c r="Z12023">
        <v>399999.9999999631</v>
      </c>
    </row>
    <row r="12024" spans="26:26" x14ac:dyDescent="0.25">
      <c r="Z12024">
        <v>399999.99999996321</v>
      </c>
    </row>
    <row r="12025" spans="26:26" x14ac:dyDescent="0.25">
      <c r="Z12025">
        <v>399999.99999996327</v>
      </c>
    </row>
    <row r="12026" spans="26:26" x14ac:dyDescent="0.25">
      <c r="Z12026">
        <v>399999.99999996339</v>
      </c>
    </row>
    <row r="12027" spans="26:26" x14ac:dyDescent="0.25">
      <c r="Z12027">
        <v>399999.9999999635</v>
      </c>
    </row>
    <row r="12028" spans="26:26" x14ac:dyDescent="0.25">
      <c r="Z12028">
        <v>399999.99999996356</v>
      </c>
    </row>
    <row r="12029" spans="26:26" x14ac:dyDescent="0.25">
      <c r="Z12029">
        <v>399999.99999996368</v>
      </c>
    </row>
    <row r="12030" spans="26:26" x14ac:dyDescent="0.25">
      <c r="Z12030">
        <v>399999.99999996374</v>
      </c>
    </row>
    <row r="12031" spans="26:26" x14ac:dyDescent="0.25">
      <c r="Z12031">
        <v>399999.99999996385</v>
      </c>
    </row>
    <row r="12032" spans="26:26" x14ac:dyDescent="0.25">
      <c r="Z12032">
        <v>399999.99999996391</v>
      </c>
    </row>
    <row r="12033" spans="26:26" x14ac:dyDescent="0.25">
      <c r="Z12033">
        <v>399999.99999996403</v>
      </c>
    </row>
    <row r="12034" spans="26:26" x14ac:dyDescent="0.25">
      <c r="Z12034">
        <v>399999.99999996409</v>
      </c>
    </row>
    <row r="12035" spans="26:26" x14ac:dyDescent="0.25">
      <c r="Z12035">
        <v>399999.9999999642</v>
      </c>
    </row>
    <row r="12036" spans="26:26" x14ac:dyDescent="0.25">
      <c r="Z12036">
        <v>399999.99999996432</v>
      </c>
    </row>
    <row r="12037" spans="26:26" x14ac:dyDescent="0.25">
      <c r="Z12037">
        <v>399999.99999996438</v>
      </c>
    </row>
    <row r="12038" spans="26:26" x14ac:dyDescent="0.25">
      <c r="Z12038">
        <v>399999.99999996449</v>
      </c>
    </row>
    <row r="12039" spans="26:26" x14ac:dyDescent="0.25">
      <c r="Z12039">
        <v>399999.99999996455</v>
      </c>
    </row>
    <row r="12040" spans="26:26" x14ac:dyDescent="0.25">
      <c r="Z12040">
        <v>399999.99999996467</v>
      </c>
    </row>
    <row r="12041" spans="26:26" x14ac:dyDescent="0.25">
      <c r="Z12041">
        <v>399999.99999996473</v>
      </c>
    </row>
    <row r="12042" spans="26:26" x14ac:dyDescent="0.25">
      <c r="Z12042">
        <v>399999.99999996484</v>
      </c>
    </row>
    <row r="12043" spans="26:26" x14ac:dyDescent="0.25">
      <c r="Z12043">
        <v>399999.99999996496</v>
      </c>
    </row>
    <row r="12044" spans="26:26" x14ac:dyDescent="0.25">
      <c r="Z12044">
        <v>399999.99999996496</v>
      </c>
    </row>
    <row r="12045" spans="26:26" x14ac:dyDescent="0.25">
      <c r="Z12045">
        <v>399999.99999996508</v>
      </c>
    </row>
    <row r="12046" spans="26:26" x14ac:dyDescent="0.25">
      <c r="Z12046">
        <v>399999.99999996513</v>
      </c>
    </row>
    <row r="12047" spans="26:26" x14ac:dyDescent="0.25">
      <c r="Z12047">
        <v>399999.99999996525</v>
      </c>
    </row>
    <row r="12048" spans="26:26" x14ac:dyDescent="0.25">
      <c r="Z12048">
        <v>399999.99999996537</v>
      </c>
    </row>
    <row r="12049" spans="26:26" x14ac:dyDescent="0.25">
      <c r="Z12049">
        <v>399999.99999996542</v>
      </c>
    </row>
    <row r="12050" spans="26:26" x14ac:dyDescent="0.25">
      <c r="Z12050">
        <v>399999.99999996554</v>
      </c>
    </row>
    <row r="12051" spans="26:26" x14ac:dyDescent="0.25">
      <c r="Z12051">
        <v>399999.9999999656</v>
      </c>
    </row>
    <row r="12052" spans="26:26" x14ac:dyDescent="0.25">
      <c r="Z12052">
        <v>399999.99999996572</v>
      </c>
    </row>
    <row r="12053" spans="26:26" x14ac:dyDescent="0.25">
      <c r="Z12053">
        <v>399999.99999996577</v>
      </c>
    </row>
    <row r="12054" spans="26:26" x14ac:dyDescent="0.25">
      <c r="Z12054">
        <v>399999.99999996589</v>
      </c>
    </row>
    <row r="12055" spans="26:26" x14ac:dyDescent="0.25">
      <c r="Z12055">
        <v>399999.99999996595</v>
      </c>
    </row>
    <row r="12056" spans="26:26" x14ac:dyDescent="0.25">
      <c r="Z12056">
        <v>399999.99999996601</v>
      </c>
    </row>
    <row r="12057" spans="26:26" x14ac:dyDescent="0.25">
      <c r="Z12057">
        <v>399999.99999996612</v>
      </c>
    </row>
    <row r="12058" spans="26:26" x14ac:dyDescent="0.25">
      <c r="Z12058">
        <v>399999.99999996618</v>
      </c>
    </row>
    <row r="12059" spans="26:26" x14ac:dyDescent="0.25">
      <c r="Z12059">
        <v>399999.9999999663</v>
      </c>
    </row>
    <row r="12060" spans="26:26" x14ac:dyDescent="0.25">
      <c r="Z12060">
        <v>399999.99999996641</v>
      </c>
    </row>
    <row r="12061" spans="26:26" x14ac:dyDescent="0.25">
      <c r="Z12061">
        <v>399999.99999996647</v>
      </c>
    </row>
    <row r="12062" spans="26:26" x14ac:dyDescent="0.25">
      <c r="Z12062">
        <v>399999.99999996659</v>
      </c>
    </row>
    <row r="12063" spans="26:26" x14ac:dyDescent="0.25">
      <c r="Z12063">
        <v>399999.99999996665</v>
      </c>
    </row>
    <row r="12064" spans="26:26" x14ac:dyDescent="0.25">
      <c r="Z12064">
        <v>399999.99999996671</v>
      </c>
    </row>
    <row r="12065" spans="26:26" x14ac:dyDescent="0.25">
      <c r="Z12065">
        <v>399999.99999996682</v>
      </c>
    </row>
    <row r="12066" spans="26:26" x14ac:dyDescent="0.25">
      <c r="Z12066">
        <v>399999.99999996682</v>
      </c>
    </row>
    <row r="12067" spans="26:26" x14ac:dyDescent="0.25">
      <c r="Z12067">
        <v>399999.99999996694</v>
      </c>
    </row>
    <row r="12068" spans="26:26" x14ac:dyDescent="0.25">
      <c r="Z12068">
        <v>399999.999999967</v>
      </c>
    </row>
    <row r="12069" spans="26:26" x14ac:dyDescent="0.25">
      <c r="Z12069">
        <v>399999.99999996711</v>
      </c>
    </row>
    <row r="12070" spans="26:26" x14ac:dyDescent="0.25">
      <c r="Z12070">
        <v>399999.99999996723</v>
      </c>
    </row>
    <row r="12071" spans="26:26" x14ac:dyDescent="0.25">
      <c r="Z12071">
        <v>399999.99999996723</v>
      </c>
    </row>
    <row r="12072" spans="26:26" x14ac:dyDescent="0.25">
      <c r="Z12072">
        <v>399999.99999996735</v>
      </c>
    </row>
    <row r="12073" spans="26:26" x14ac:dyDescent="0.25">
      <c r="Z12073">
        <v>399999.9999999674</v>
      </c>
    </row>
    <row r="12074" spans="26:26" x14ac:dyDescent="0.25">
      <c r="Z12074">
        <v>399999.99999996752</v>
      </c>
    </row>
    <row r="12075" spans="26:26" x14ac:dyDescent="0.25">
      <c r="Z12075">
        <v>399999.99999996764</v>
      </c>
    </row>
    <row r="12076" spans="26:26" x14ac:dyDescent="0.25">
      <c r="Z12076">
        <v>399999.99999996769</v>
      </c>
    </row>
    <row r="12077" spans="26:26" x14ac:dyDescent="0.25">
      <c r="Z12077">
        <v>399999.99999996775</v>
      </c>
    </row>
    <row r="12078" spans="26:26" x14ac:dyDescent="0.25">
      <c r="Z12078">
        <v>399999.99999996787</v>
      </c>
    </row>
    <row r="12079" spans="26:26" x14ac:dyDescent="0.25">
      <c r="Z12079">
        <v>399999.99999996793</v>
      </c>
    </row>
    <row r="12080" spans="26:26" x14ac:dyDescent="0.25">
      <c r="Z12080">
        <v>399999.99999996804</v>
      </c>
    </row>
    <row r="12081" spans="26:26" x14ac:dyDescent="0.25">
      <c r="Z12081">
        <v>399999.9999999681</v>
      </c>
    </row>
    <row r="12082" spans="26:26" x14ac:dyDescent="0.25">
      <c r="Z12082">
        <v>399999.99999996816</v>
      </c>
    </row>
    <row r="12083" spans="26:26" x14ac:dyDescent="0.25">
      <c r="Z12083">
        <v>399999.99999996828</v>
      </c>
    </row>
    <row r="12084" spans="26:26" x14ac:dyDescent="0.25">
      <c r="Z12084">
        <v>399999.99999996834</v>
      </c>
    </row>
    <row r="12085" spans="26:26" x14ac:dyDescent="0.25">
      <c r="Z12085">
        <v>399999.99999996845</v>
      </c>
    </row>
    <row r="12086" spans="26:26" x14ac:dyDescent="0.25">
      <c r="Z12086">
        <v>399999.99999996851</v>
      </c>
    </row>
    <row r="12087" spans="26:26" x14ac:dyDescent="0.25">
      <c r="Z12087">
        <v>399999.99999996857</v>
      </c>
    </row>
    <row r="12088" spans="26:26" x14ac:dyDescent="0.25">
      <c r="Z12088">
        <v>399999.99999996868</v>
      </c>
    </row>
    <row r="12089" spans="26:26" x14ac:dyDescent="0.25">
      <c r="Z12089">
        <v>399999.99999996868</v>
      </c>
    </row>
    <row r="12090" spans="26:26" x14ac:dyDescent="0.25">
      <c r="Z12090">
        <v>399999.9999999688</v>
      </c>
    </row>
    <row r="12091" spans="26:26" x14ac:dyDescent="0.25">
      <c r="Z12091">
        <v>399999.99999996886</v>
      </c>
    </row>
    <row r="12092" spans="26:26" x14ac:dyDescent="0.25">
      <c r="Z12092">
        <v>399999.99999996892</v>
      </c>
    </row>
    <row r="12093" spans="26:26" x14ac:dyDescent="0.25">
      <c r="Z12093">
        <v>399999.99999996903</v>
      </c>
    </row>
    <row r="12094" spans="26:26" x14ac:dyDescent="0.25">
      <c r="Z12094">
        <v>399999.99999996909</v>
      </c>
    </row>
    <row r="12095" spans="26:26" x14ac:dyDescent="0.25">
      <c r="Z12095">
        <v>399999.99999996915</v>
      </c>
    </row>
    <row r="12096" spans="26:26" x14ac:dyDescent="0.25">
      <c r="Z12096">
        <v>399999.99999996927</v>
      </c>
    </row>
    <row r="12097" spans="26:26" x14ac:dyDescent="0.25">
      <c r="Z12097">
        <v>399999.99999996932</v>
      </c>
    </row>
    <row r="12098" spans="26:26" x14ac:dyDescent="0.25">
      <c r="Z12098">
        <v>399999.99999996938</v>
      </c>
    </row>
    <row r="12099" spans="26:26" x14ac:dyDescent="0.25">
      <c r="Z12099">
        <v>399999.9999999695</v>
      </c>
    </row>
    <row r="12100" spans="26:26" x14ac:dyDescent="0.25">
      <c r="Z12100">
        <v>399999.99999996956</v>
      </c>
    </row>
    <row r="12101" spans="26:26" x14ac:dyDescent="0.25">
      <c r="Z12101">
        <v>399999.99999996967</v>
      </c>
    </row>
    <row r="12102" spans="26:26" x14ac:dyDescent="0.25">
      <c r="Z12102">
        <v>399999.99999996973</v>
      </c>
    </row>
    <row r="12103" spans="26:26" x14ac:dyDescent="0.25">
      <c r="Z12103">
        <v>399999.99999996979</v>
      </c>
    </row>
    <row r="12104" spans="26:26" x14ac:dyDescent="0.25">
      <c r="Z12104">
        <v>399999.99999996991</v>
      </c>
    </row>
    <row r="12105" spans="26:26" x14ac:dyDescent="0.25">
      <c r="Z12105">
        <v>399999.99999996991</v>
      </c>
    </row>
    <row r="12106" spans="26:26" x14ac:dyDescent="0.25">
      <c r="Z12106">
        <v>399999.99999997002</v>
      </c>
    </row>
    <row r="12107" spans="26:26" x14ac:dyDescent="0.25">
      <c r="Z12107">
        <v>399999.99999997014</v>
      </c>
    </row>
    <row r="12108" spans="26:26" x14ac:dyDescent="0.25">
      <c r="Z12108">
        <v>399999.99999997014</v>
      </c>
    </row>
    <row r="12109" spans="26:26" x14ac:dyDescent="0.25">
      <c r="Z12109">
        <v>399999.99999997026</v>
      </c>
    </row>
    <row r="12110" spans="26:26" x14ac:dyDescent="0.25">
      <c r="Z12110">
        <v>399999.99999997031</v>
      </c>
    </row>
    <row r="12111" spans="26:26" x14ac:dyDescent="0.25">
      <c r="Z12111">
        <v>399999.99999997037</v>
      </c>
    </row>
    <row r="12112" spans="26:26" x14ac:dyDescent="0.25">
      <c r="Z12112">
        <v>399999.99999997049</v>
      </c>
    </row>
    <row r="12113" spans="26:26" x14ac:dyDescent="0.25">
      <c r="Z12113">
        <v>399999.99999997055</v>
      </c>
    </row>
    <row r="12114" spans="26:26" x14ac:dyDescent="0.25">
      <c r="Z12114">
        <v>399999.99999997061</v>
      </c>
    </row>
    <row r="12115" spans="26:26" x14ac:dyDescent="0.25">
      <c r="Z12115">
        <v>399999.99999997066</v>
      </c>
    </row>
    <row r="12116" spans="26:26" x14ac:dyDescent="0.25">
      <c r="Z12116">
        <v>399999.99999997078</v>
      </c>
    </row>
    <row r="12117" spans="26:26" x14ac:dyDescent="0.25">
      <c r="Z12117">
        <v>399999.99999997078</v>
      </c>
    </row>
    <row r="12118" spans="26:26" x14ac:dyDescent="0.25">
      <c r="Z12118">
        <v>399999.9999999709</v>
      </c>
    </row>
    <row r="12119" spans="26:26" x14ac:dyDescent="0.25">
      <c r="Z12119">
        <v>399999.99999997095</v>
      </c>
    </row>
    <row r="12120" spans="26:26" x14ac:dyDescent="0.25">
      <c r="Z12120">
        <v>399999.99999997101</v>
      </c>
    </row>
    <row r="12121" spans="26:26" x14ac:dyDescent="0.25">
      <c r="Z12121">
        <v>399999.99999997113</v>
      </c>
    </row>
    <row r="12122" spans="26:26" x14ac:dyDescent="0.25">
      <c r="Z12122">
        <v>399999.99999997119</v>
      </c>
    </row>
    <row r="12123" spans="26:26" x14ac:dyDescent="0.25">
      <c r="Z12123">
        <v>399999.99999997125</v>
      </c>
    </row>
    <row r="12124" spans="26:26" x14ac:dyDescent="0.25">
      <c r="Z12124">
        <v>399999.99999997136</v>
      </c>
    </row>
    <row r="12125" spans="26:26" x14ac:dyDescent="0.25">
      <c r="Z12125">
        <v>399999.99999997136</v>
      </c>
    </row>
    <row r="12126" spans="26:26" x14ac:dyDescent="0.25">
      <c r="Z12126">
        <v>399999.99999997148</v>
      </c>
    </row>
    <row r="12127" spans="26:26" x14ac:dyDescent="0.25">
      <c r="Z12127">
        <v>399999.99999997159</v>
      </c>
    </row>
    <row r="12128" spans="26:26" x14ac:dyDescent="0.25">
      <c r="Z12128">
        <v>399999.99999997159</v>
      </c>
    </row>
    <row r="12129" spans="26:26" x14ac:dyDescent="0.25">
      <c r="Z12129">
        <v>399999.99999997171</v>
      </c>
    </row>
    <row r="12130" spans="26:26" x14ac:dyDescent="0.25">
      <c r="Z12130">
        <v>399999.99999997177</v>
      </c>
    </row>
    <row r="12131" spans="26:26" x14ac:dyDescent="0.25">
      <c r="Z12131">
        <v>399999.99999997183</v>
      </c>
    </row>
    <row r="12132" spans="26:26" x14ac:dyDescent="0.25">
      <c r="Z12132">
        <v>399999.99999997194</v>
      </c>
    </row>
    <row r="12133" spans="26:26" x14ac:dyDescent="0.25">
      <c r="Z12133">
        <v>399999.999999972</v>
      </c>
    </row>
    <row r="12134" spans="26:26" x14ac:dyDescent="0.25">
      <c r="Z12134">
        <v>399999.99999997206</v>
      </c>
    </row>
    <row r="12135" spans="26:26" x14ac:dyDescent="0.25">
      <c r="Z12135">
        <v>399999.99999997212</v>
      </c>
    </row>
    <row r="12136" spans="26:26" x14ac:dyDescent="0.25">
      <c r="Z12136">
        <v>399999.99999997223</v>
      </c>
    </row>
    <row r="12137" spans="26:26" x14ac:dyDescent="0.25">
      <c r="Z12137">
        <v>399999.99999997223</v>
      </c>
    </row>
    <row r="12138" spans="26:26" x14ac:dyDescent="0.25">
      <c r="Z12138">
        <v>399999.99999997235</v>
      </c>
    </row>
    <row r="12139" spans="26:26" x14ac:dyDescent="0.25">
      <c r="Z12139">
        <v>399999.99999997241</v>
      </c>
    </row>
    <row r="12140" spans="26:26" x14ac:dyDescent="0.25">
      <c r="Z12140">
        <v>399999.99999997247</v>
      </c>
    </row>
    <row r="12141" spans="26:26" x14ac:dyDescent="0.25">
      <c r="Z12141">
        <v>399999.99999997253</v>
      </c>
    </row>
    <row r="12142" spans="26:26" x14ac:dyDescent="0.25">
      <c r="Z12142">
        <v>399999.99999997258</v>
      </c>
    </row>
    <row r="12143" spans="26:26" x14ac:dyDescent="0.25">
      <c r="Z12143">
        <v>399999.99999997264</v>
      </c>
    </row>
    <row r="12144" spans="26:26" x14ac:dyDescent="0.25">
      <c r="Z12144">
        <v>399999.9999999727</v>
      </c>
    </row>
    <row r="12145" spans="26:26" x14ac:dyDescent="0.25">
      <c r="Z12145">
        <v>399999.99999997282</v>
      </c>
    </row>
    <row r="12146" spans="26:26" x14ac:dyDescent="0.25">
      <c r="Z12146">
        <v>399999.99999997282</v>
      </c>
    </row>
    <row r="12147" spans="26:26" x14ac:dyDescent="0.25">
      <c r="Z12147">
        <v>399999.99999997293</v>
      </c>
    </row>
    <row r="12148" spans="26:26" x14ac:dyDescent="0.25">
      <c r="Z12148">
        <v>399999.99999997299</v>
      </c>
    </row>
    <row r="12149" spans="26:26" x14ac:dyDescent="0.25">
      <c r="Z12149">
        <v>399999.99999997305</v>
      </c>
    </row>
    <row r="12150" spans="26:26" x14ac:dyDescent="0.25">
      <c r="Z12150">
        <v>399999.99999997311</v>
      </c>
    </row>
    <row r="12151" spans="26:26" x14ac:dyDescent="0.25">
      <c r="Z12151">
        <v>399999.99999997322</v>
      </c>
    </row>
    <row r="12152" spans="26:26" x14ac:dyDescent="0.25">
      <c r="Z12152">
        <v>399999.99999997322</v>
      </c>
    </row>
    <row r="12153" spans="26:26" x14ac:dyDescent="0.25">
      <c r="Z12153">
        <v>399999.99999997334</v>
      </c>
    </row>
    <row r="12154" spans="26:26" x14ac:dyDescent="0.25">
      <c r="Z12154">
        <v>399999.9999999734</v>
      </c>
    </row>
    <row r="12155" spans="26:26" x14ac:dyDescent="0.25">
      <c r="Z12155">
        <v>399999.99999997346</v>
      </c>
    </row>
    <row r="12156" spans="26:26" x14ac:dyDescent="0.25">
      <c r="Z12156">
        <v>399999.99999997352</v>
      </c>
    </row>
    <row r="12157" spans="26:26" x14ac:dyDescent="0.25">
      <c r="Z12157">
        <v>399999.99999997363</v>
      </c>
    </row>
    <row r="12158" spans="26:26" x14ac:dyDescent="0.25">
      <c r="Z12158">
        <v>399999.99999997369</v>
      </c>
    </row>
    <row r="12159" spans="26:26" x14ac:dyDescent="0.25">
      <c r="Z12159">
        <v>399999.99999997375</v>
      </c>
    </row>
    <row r="12160" spans="26:26" x14ac:dyDescent="0.25">
      <c r="Z12160">
        <v>399999.99999997381</v>
      </c>
    </row>
    <row r="12161" spans="26:26" x14ac:dyDescent="0.25">
      <c r="Z12161">
        <v>399999.99999997386</v>
      </c>
    </row>
    <row r="12162" spans="26:26" x14ac:dyDescent="0.25">
      <c r="Z12162">
        <v>399999.99999997392</v>
      </c>
    </row>
    <row r="12163" spans="26:26" x14ac:dyDescent="0.25">
      <c r="Z12163">
        <v>399999.99999997404</v>
      </c>
    </row>
    <row r="12164" spans="26:26" x14ac:dyDescent="0.25">
      <c r="Z12164">
        <v>399999.9999999741</v>
      </c>
    </row>
    <row r="12165" spans="26:26" x14ac:dyDescent="0.25">
      <c r="Z12165">
        <v>399999.99999997416</v>
      </c>
    </row>
    <row r="12166" spans="26:26" x14ac:dyDescent="0.25">
      <c r="Z12166">
        <v>399999.99999997421</v>
      </c>
    </row>
    <row r="12167" spans="26:26" x14ac:dyDescent="0.25">
      <c r="Z12167">
        <v>399999.99999997427</v>
      </c>
    </row>
    <row r="12168" spans="26:26" x14ac:dyDescent="0.25">
      <c r="Z12168">
        <v>399999.99999997433</v>
      </c>
    </row>
    <row r="12169" spans="26:26" x14ac:dyDescent="0.25">
      <c r="Z12169">
        <v>399999.99999997439</v>
      </c>
    </row>
    <row r="12170" spans="26:26" x14ac:dyDescent="0.25">
      <c r="Z12170">
        <v>399999.99999997445</v>
      </c>
    </row>
    <row r="12171" spans="26:26" x14ac:dyDescent="0.25">
      <c r="Z12171">
        <v>399999.99999997451</v>
      </c>
    </row>
    <row r="12172" spans="26:26" x14ac:dyDescent="0.25">
      <c r="Z12172">
        <v>399999.99999997456</v>
      </c>
    </row>
    <row r="12173" spans="26:26" x14ac:dyDescent="0.25">
      <c r="Z12173">
        <v>399999.99999997462</v>
      </c>
    </row>
    <row r="12174" spans="26:26" x14ac:dyDescent="0.25">
      <c r="Z12174">
        <v>399999.99999997468</v>
      </c>
    </row>
    <row r="12175" spans="26:26" x14ac:dyDescent="0.25">
      <c r="Z12175">
        <v>399999.99999997474</v>
      </c>
    </row>
    <row r="12176" spans="26:26" x14ac:dyDescent="0.25">
      <c r="Z12176">
        <v>399999.9999999748</v>
      </c>
    </row>
    <row r="12177" spans="26:26" x14ac:dyDescent="0.25">
      <c r="Z12177">
        <v>399999.99999997491</v>
      </c>
    </row>
    <row r="12178" spans="26:26" x14ac:dyDescent="0.25">
      <c r="Z12178">
        <v>399999.99999997491</v>
      </c>
    </row>
    <row r="12179" spans="26:26" x14ac:dyDescent="0.25">
      <c r="Z12179">
        <v>399999.99999997503</v>
      </c>
    </row>
    <row r="12180" spans="26:26" x14ac:dyDescent="0.25">
      <c r="Z12180">
        <v>399999.99999997509</v>
      </c>
    </row>
    <row r="12181" spans="26:26" x14ac:dyDescent="0.25">
      <c r="Z12181">
        <v>399999.99999997515</v>
      </c>
    </row>
    <row r="12182" spans="26:26" x14ac:dyDescent="0.25">
      <c r="Z12182">
        <v>399999.9999999752</v>
      </c>
    </row>
    <row r="12183" spans="26:26" x14ac:dyDescent="0.25">
      <c r="Z12183">
        <v>399999.99999997526</v>
      </c>
    </row>
    <row r="12184" spans="26:26" x14ac:dyDescent="0.25">
      <c r="Z12184">
        <v>399999.99999997532</v>
      </c>
    </row>
    <row r="12185" spans="26:26" x14ac:dyDescent="0.25">
      <c r="Z12185">
        <v>399999.99999997538</v>
      </c>
    </row>
    <row r="12186" spans="26:26" x14ac:dyDescent="0.25">
      <c r="Z12186">
        <v>399999.99999997544</v>
      </c>
    </row>
    <row r="12187" spans="26:26" x14ac:dyDescent="0.25">
      <c r="Z12187">
        <v>399999.99999997555</v>
      </c>
    </row>
    <row r="12188" spans="26:26" x14ac:dyDescent="0.25">
      <c r="Z12188">
        <v>399999.99999997555</v>
      </c>
    </row>
    <row r="12189" spans="26:26" x14ac:dyDescent="0.25">
      <c r="Z12189">
        <v>399999.99999997561</v>
      </c>
    </row>
    <row r="12190" spans="26:26" x14ac:dyDescent="0.25">
      <c r="Z12190">
        <v>399999.99999997573</v>
      </c>
    </row>
    <row r="12191" spans="26:26" x14ac:dyDescent="0.25">
      <c r="Z12191">
        <v>399999.99999997573</v>
      </c>
    </row>
    <row r="12192" spans="26:26" x14ac:dyDescent="0.25">
      <c r="Z12192">
        <v>399999.99999997584</v>
      </c>
    </row>
    <row r="12193" spans="26:26" x14ac:dyDescent="0.25">
      <c r="Z12193">
        <v>399999.9999999759</v>
      </c>
    </row>
    <row r="12194" spans="26:26" x14ac:dyDescent="0.25">
      <c r="Z12194">
        <v>399999.99999997596</v>
      </c>
    </row>
    <row r="12195" spans="26:26" x14ac:dyDescent="0.25">
      <c r="Z12195">
        <v>399999.99999997602</v>
      </c>
    </row>
    <row r="12196" spans="26:26" x14ac:dyDescent="0.25">
      <c r="Z12196">
        <v>399999.99999997608</v>
      </c>
    </row>
    <row r="12197" spans="26:26" x14ac:dyDescent="0.25">
      <c r="Z12197">
        <v>399999.99999997613</v>
      </c>
    </row>
    <row r="12198" spans="26:26" x14ac:dyDescent="0.25">
      <c r="Z12198">
        <v>399999.99999997619</v>
      </c>
    </row>
    <row r="12199" spans="26:26" x14ac:dyDescent="0.25">
      <c r="Z12199">
        <v>399999.99999997625</v>
      </c>
    </row>
    <row r="12200" spans="26:26" x14ac:dyDescent="0.25">
      <c r="Z12200">
        <v>399999.99999997631</v>
      </c>
    </row>
    <row r="12201" spans="26:26" x14ac:dyDescent="0.25">
      <c r="Z12201">
        <v>399999.99999997637</v>
      </c>
    </row>
    <row r="12202" spans="26:26" x14ac:dyDescent="0.25">
      <c r="Z12202">
        <v>399999.99999997637</v>
      </c>
    </row>
    <row r="12203" spans="26:26" x14ac:dyDescent="0.25">
      <c r="Z12203">
        <v>399999.99999997643</v>
      </c>
    </row>
    <row r="12204" spans="26:26" x14ac:dyDescent="0.25">
      <c r="Z12204">
        <v>399999.99999997654</v>
      </c>
    </row>
    <row r="12205" spans="26:26" x14ac:dyDescent="0.25">
      <c r="Z12205">
        <v>399999.9999999766</v>
      </c>
    </row>
    <row r="12206" spans="26:26" x14ac:dyDescent="0.25">
      <c r="Z12206">
        <v>399999.9999999766</v>
      </c>
    </row>
    <row r="12207" spans="26:26" x14ac:dyDescent="0.25">
      <c r="Z12207">
        <v>399999.99999997672</v>
      </c>
    </row>
    <row r="12208" spans="26:26" x14ac:dyDescent="0.25">
      <c r="Z12208">
        <v>399999.99999997678</v>
      </c>
    </row>
    <row r="12209" spans="26:26" x14ac:dyDescent="0.25">
      <c r="Z12209">
        <v>399999.99999997678</v>
      </c>
    </row>
    <row r="12210" spans="26:26" x14ac:dyDescent="0.25">
      <c r="Z12210">
        <v>399999.99999997683</v>
      </c>
    </row>
    <row r="12211" spans="26:26" x14ac:dyDescent="0.25">
      <c r="Z12211">
        <v>399999.99999997695</v>
      </c>
    </row>
    <row r="12212" spans="26:26" x14ac:dyDescent="0.25">
      <c r="Z12212">
        <v>399999.99999997701</v>
      </c>
    </row>
    <row r="12213" spans="26:26" x14ac:dyDescent="0.25">
      <c r="Z12213">
        <v>399999.99999997701</v>
      </c>
    </row>
    <row r="12214" spans="26:26" x14ac:dyDescent="0.25">
      <c r="Z12214">
        <v>399999.99999997712</v>
      </c>
    </row>
    <row r="12215" spans="26:26" x14ac:dyDescent="0.25">
      <c r="Z12215">
        <v>399999.99999997718</v>
      </c>
    </row>
    <row r="12216" spans="26:26" x14ac:dyDescent="0.25">
      <c r="Z12216">
        <v>399999.99999997718</v>
      </c>
    </row>
    <row r="12217" spans="26:26" x14ac:dyDescent="0.25">
      <c r="Z12217">
        <v>399999.99999997724</v>
      </c>
    </row>
    <row r="12218" spans="26:26" x14ac:dyDescent="0.25">
      <c r="Z12218">
        <v>399999.99999997736</v>
      </c>
    </row>
    <row r="12219" spans="26:26" x14ac:dyDescent="0.25">
      <c r="Z12219">
        <v>399999.99999997742</v>
      </c>
    </row>
    <row r="12220" spans="26:26" x14ac:dyDescent="0.25">
      <c r="Z12220">
        <v>399999.99999997742</v>
      </c>
    </row>
    <row r="12221" spans="26:26" x14ac:dyDescent="0.25">
      <c r="Z12221">
        <v>399999.99999997753</v>
      </c>
    </row>
    <row r="12222" spans="26:26" x14ac:dyDescent="0.25">
      <c r="Z12222">
        <v>399999.99999997759</v>
      </c>
    </row>
    <row r="12223" spans="26:26" x14ac:dyDescent="0.25">
      <c r="Z12223">
        <v>399999.99999997759</v>
      </c>
    </row>
    <row r="12224" spans="26:26" x14ac:dyDescent="0.25">
      <c r="Z12224">
        <v>399999.99999997765</v>
      </c>
    </row>
    <row r="12225" spans="26:26" x14ac:dyDescent="0.25">
      <c r="Z12225">
        <v>399999.99999997776</v>
      </c>
    </row>
    <row r="12226" spans="26:26" x14ac:dyDescent="0.25">
      <c r="Z12226">
        <v>399999.99999997782</v>
      </c>
    </row>
    <row r="12227" spans="26:26" x14ac:dyDescent="0.25">
      <c r="Z12227">
        <v>399999.99999997782</v>
      </c>
    </row>
    <row r="12228" spans="26:26" x14ac:dyDescent="0.25">
      <c r="Z12228">
        <v>399999.99999997788</v>
      </c>
    </row>
    <row r="12229" spans="26:26" x14ac:dyDescent="0.25">
      <c r="Z12229">
        <v>399999.999999978</v>
      </c>
    </row>
    <row r="12230" spans="26:26" x14ac:dyDescent="0.25">
      <c r="Z12230">
        <v>399999.99999997806</v>
      </c>
    </row>
    <row r="12231" spans="26:26" x14ac:dyDescent="0.25">
      <c r="Z12231">
        <v>399999.99999997806</v>
      </c>
    </row>
    <row r="12232" spans="26:26" x14ac:dyDescent="0.25">
      <c r="Z12232">
        <v>399999.99999997811</v>
      </c>
    </row>
    <row r="12233" spans="26:26" x14ac:dyDescent="0.25">
      <c r="Z12233">
        <v>399999.99999997823</v>
      </c>
    </row>
    <row r="12234" spans="26:26" x14ac:dyDescent="0.25">
      <c r="Z12234">
        <v>399999.99999997823</v>
      </c>
    </row>
    <row r="12235" spans="26:26" x14ac:dyDescent="0.25">
      <c r="Z12235">
        <v>399999.99999997823</v>
      </c>
    </row>
    <row r="12236" spans="26:26" x14ac:dyDescent="0.25">
      <c r="Z12236">
        <v>399999.99999997829</v>
      </c>
    </row>
    <row r="12237" spans="26:26" x14ac:dyDescent="0.25">
      <c r="Z12237">
        <v>399999.99999997835</v>
      </c>
    </row>
    <row r="12238" spans="26:26" x14ac:dyDescent="0.25">
      <c r="Z12238">
        <v>399999.99999997846</v>
      </c>
    </row>
    <row r="12239" spans="26:26" x14ac:dyDescent="0.25">
      <c r="Z12239">
        <v>399999.99999997846</v>
      </c>
    </row>
    <row r="12240" spans="26:26" x14ac:dyDescent="0.25">
      <c r="Z12240">
        <v>399999.99999997852</v>
      </c>
    </row>
    <row r="12241" spans="26:26" x14ac:dyDescent="0.25">
      <c r="Z12241">
        <v>399999.99999997858</v>
      </c>
    </row>
    <row r="12242" spans="26:26" x14ac:dyDescent="0.25">
      <c r="Z12242">
        <v>399999.99999997864</v>
      </c>
    </row>
    <row r="12243" spans="26:26" x14ac:dyDescent="0.25">
      <c r="Z12243">
        <v>399999.9999999787</v>
      </c>
    </row>
    <row r="12244" spans="26:26" x14ac:dyDescent="0.25">
      <c r="Z12244">
        <v>399999.99999997875</v>
      </c>
    </row>
    <row r="12245" spans="26:26" x14ac:dyDescent="0.25">
      <c r="Z12245">
        <v>399999.99999997881</v>
      </c>
    </row>
    <row r="12246" spans="26:26" x14ac:dyDescent="0.25">
      <c r="Z12246">
        <v>399999.99999997887</v>
      </c>
    </row>
    <row r="12247" spans="26:26" x14ac:dyDescent="0.25">
      <c r="Z12247">
        <v>399999.99999997887</v>
      </c>
    </row>
    <row r="12248" spans="26:26" x14ac:dyDescent="0.25">
      <c r="Z12248">
        <v>399999.99999997899</v>
      </c>
    </row>
    <row r="12249" spans="26:26" x14ac:dyDescent="0.25">
      <c r="Z12249">
        <v>399999.99999997905</v>
      </c>
    </row>
    <row r="12250" spans="26:26" x14ac:dyDescent="0.25">
      <c r="Z12250">
        <v>399999.99999997905</v>
      </c>
    </row>
    <row r="12251" spans="26:26" x14ac:dyDescent="0.25">
      <c r="Z12251">
        <v>399999.9999999791</v>
      </c>
    </row>
    <row r="12252" spans="26:26" x14ac:dyDescent="0.25">
      <c r="Z12252">
        <v>399999.99999997916</v>
      </c>
    </row>
    <row r="12253" spans="26:26" x14ac:dyDescent="0.25">
      <c r="Z12253">
        <v>399999.99999997922</v>
      </c>
    </row>
    <row r="12254" spans="26:26" x14ac:dyDescent="0.25">
      <c r="Z12254">
        <v>399999.99999997928</v>
      </c>
    </row>
    <row r="12255" spans="26:26" x14ac:dyDescent="0.25">
      <c r="Z12255">
        <v>399999.99999997934</v>
      </c>
    </row>
    <row r="12256" spans="26:26" x14ac:dyDescent="0.25">
      <c r="Z12256">
        <v>399999.99999997939</v>
      </c>
    </row>
    <row r="12257" spans="26:26" x14ac:dyDescent="0.25">
      <c r="Z12257">
        <v>399999.99999997945</v>
      </c>
    </row>
    <row r="12258" spans="26:26" x14ac:dyDescent="0.25">
      <c r="Z12258">
        <v>399999.99999997951</v>
      </c>
    </row>
    <row r="12259" spans="26:26" x14ac:dyDescent="0.25">
      <c r="Z12259">
        <v>399999.99999997951</v>
      </c>
    </row>
    <row r="12260" spans="26:26" x14ac:dyDescent="0.25">
      <c r="Z12260">
        <v>399999.99999997963</v>
      </c>
    </row>
    <row r="12261" spans="26:26" x14ac:dyDescent="0.25">
      <c r="Z12261">
        <v>399999.99999997969</v>
      </c>
    </row>
    <row r="12262" spans="26:26" x14ac:dyDescent="0.25">
      <c r="Z12262">
        <v>399999.99999997969</v>
      </c>
    </row>
    <row r="12263" spans="26:26" x14ac:dyDescent="0.25">
      <c r="Z12263">
        <v>399999.99999997974</v>
      </c>
    </row>
    <row r="12264" spans="26:26" x14ac:dyDescent="0.25">
      <c r="Z12264">
        <v>399999.9999999798</v>
      </c>
    </row>
    <row r="12265" spans="26:26" x14ac:dyDescent="0.25">
      <c r="Z12265">
        <v>399999.99999997986</v>
      </c>
    </row>
    <row r="12266" spans="26:26" x14ac:dyDescent="0.25">
      <c r="Z12266">
        <v>399999.99999997992</v>
      </c>
    </row>
    <row r="12267" spans="26:26" x14ac:dyDescent="0.25">
      <c r="Z12267">
        <v>399999.99999997998</v>
      </c>
    </row>
    <row r="12268" spans="26:26" x14ac:dyDescent="0.25">
      <c r="Z12268">
        <v>399999.99999998003</v>
      </c>
    </row>
    <row r="12269" spans="26:26" x14ac:dyDescent="0.25">
      <c r="Z12269">
        <v>399999.99999998009</v>
      </c>
    </row>
    <row r="12270" spans="26:26" x14ac:dyDescent="0.25">
      <c r="Z12270">
        <v>399999.99999998009</v>
      </c>
    </row>
    <row r="12271" spans="26:26" x14ac:dyDescent="0.25">
      <c r="Z12271">
        <v>399999.99999998009</v>
      </c>
    </row>
    <row r="12272" spans="26:26" x14ac:dyDescent="0.25">
      <c r="Z12272">
        <v>399999.99999998015</v>
      </c>
    </row>
    <row r="12273" spans="26:26" x14ac:dyDescent="0.25">
      <c r="Z12273">
        <v>399999.99999998021</v>
      </c>
    </row>
    <row r="12274" spans="26:26" x14ac:dyDescent="0.25">
      <c r="Z12274">
        <v>399999.99999998027</v>
      </c>
    </row>
    <row r="12275" spans="26:26" x14ac:dyDescent="0.25">
      <c r="Z12275">
        <v>399999.99999998033</v>
      </c>
    </row>
    <row r="12276" spans="26:26" x14ac:dyDescent="0.25">
      <c r="Z12276">
        <v>399999.99999998038</v>
      </c>
    </row>
    <row r="12277" spans="26:26" x14ac:dyDescent="0.25">
      <c r="Z12277">
        <v>399999.99999998044</v>
      </c>
    </row>
    <row r="12278" spans="26:26" x14ac:dyDescent="0.25">
      <c r="Z12278">
        <v>399999.9999999805</v>
      </c>
    </row>
    <row r="12279" spans="26:26" x14ac:dyDescent="0.25">
      <c r="Z12279">
        <v>399999.9999999805</v>
      </c>
    </row>
    <row r="12280" spans="26:26" x14ac:dyDescent="0.25">
      <c r="Z12280">
        <v>399999.99999998056</v>
      </c>
    </row>
    <row r="12281" spans="26:26" x14ac:dyDescent="0.25">
      <c r="Z12281">
        <v>399999.99999998062</v>
      </c>
    </row>
    <row r="12282" spans="26:26" x14ac:dyDescent="0.25">
      <c r="Z12282">
        <v>399999.99999998068</v>
      </c>
    </row>
    <row r="12283" spans="26:26" x14ac:dyDescent="0.25">
      <c r="Z12283">
        <v>399999.99999998073</v>
      </c>
    </row>
    <row r="12284" spans="26:26" x14ac:dyDescent="0.25">
      <c r="Z12284">
        <v>399999.99999998073</v>
      </c>
    </row>
    <row r="12285" spans="26:26" x14ac:dyDescent="0.25">
      <c r="Z12285">
        <v>399999.99999998079</v>
      </c>
    </row>
    <row r="12286" spans="26:26" x14ac:dyDescent="0.25">
      <c r="Z12286">
        <v>399999.99999998085</v>
      </c>
    </row>
    <row r="12287" spans="26:26" x14ac:dyDescent="0.25">
      <c r="Z12287">
        <v>399999.99999998091</v>
      </c>
    </row>
    <row r="12288" spans="26:26" x14ac:dyDescent="0.25">
      <c r="Z12288">
        <v>399999.99999998097</v>
      </c>
    </row>
    <row r="12289" spans="26:26" x14ac:dyDescent="0.25">
      <c r="Z12289">
        <v>399999.99999998102</v>
      </c>
    </row>
    <row r="12290" spans="26:26" x14ac:dyDescent="0.25">
      <c r="Z12290">
        <v>399999.99999998108</v>
      </c>
    </row>
    <row r="12291" spans="26:26" x14ac:dyDescent="0.25">
      <c r="Z12291">
        <v>399999.99999998114</v>
      </c>
    </row>
    <row r="12292" spans="26:26" x14ac:dyDescent="0.25">
      <c r="Z12292">
        <v>399999.99999998114</v>
      </c>
    </row>
    <row r="12293" spans="26:26" x14ac:dyDescent="0.25">
      <c r="Z12293">
        <v>399999.9999999812</v>
      </c>
    </row>
    <row r="12294" spans="26:26" x14ac:dyDescent="0.25">
      <c r="Z12294">
        <v>399999.99999998126</v>
      </c>
    </row>
    <row r="12295" spans="26:26" x14ac:dyDescent="0.25">
      <c r="Z12295">
        <v>399999.99999998132</v>
      </c>
    </row>
    <row r="12296" spans="26:26" x14ac:dyDescent="0.25">
      <c r="Z12296">
        <v>399999.99999998137</v>
      </c>
    </row>
    <row r="12297" spans="26:26" x14ac:dyDescent="0.25">
      <c r="Z12297">
        <v>399999.99999998137</v>
      </c>
    </row>
    <row r="12298" spans="26:26" x14ac:dyDescent="0.25">
      <c r="Z12298">
        <v>399999.99999998143</v>
      </c>
    </row>
    <row r="12299" spans="26:26" x14ac:dyDescent="0.25">
      <c r="Z12299">
        <v>399999.99999998149</v>
      </c>
    </row>
    <row r="12300" spans="26:26" x14ac:dyDescent="0.25">
      <c r="Z12300">
        <v>399999.99999998155</v>
      </c>
    </row>
    <row r="12301" spans="26:26" x14ac:dyDescent="0.25">
      <c r="Z12301">
        <v>399999.99999998155</v>
      </c>
    </row>
    <row r="12302" spans="26:26" x14ac:dyDescent="0.25">
      <c r="Z12302">
        <v>399999.99999998161</v>
      </c>
    </row>
    <row r="12303" spans="26:26" x14ac:dyDescent="0.25">
      <c r="Z12303">
        <v>399999.99999998166</v>
      </c>
    </row>
    <row r="12304" spans="26:26" x14ac:dyDescent="0.25">
      <c r="Z12304">
        <v>399999.99999998172</v>
      </c>
    </row>
    <row r="12305" spans="26:26" x14ac:dyDescent="0.25">
      <c r="Z12305">
        <v>399999.99999998178</v>
      </c>
    </row>
    <row r="12306" spans="26:26" x14ac:dyDescent="0.25">
      <c r="Z12306">
        <v>399999.99999998178</v>
      </c>
    </row>
    <row r="12307" spans="26:26" x14ac:dyDescent="0.25">
      <c r="Z12307">
        <v>399999.99999998184</v>
      </c>
    </row>
    <row r="12308" spans="26:26" x14ac:dyDescent="0.25">
      <c r="Z12308">
        <v>399999.9999999819</v>
      </c>
    </row>
    <row r="12309" spans="26:26" x14ac:dyDescent="0.25">
      <c r="Z12309">
        <v>399999.99999998196</v>
      </c>
    </row>
    <row r="12310" spans="26:26" x14ac:dyDescent="0.25">
      <c r="Z12310">
        <v>399999.99999998196</v>
      </c>
    </row>
    <row r="12311" spans="26:26" x14ac:dyDescent="0.25">
      <c r="Z12311">
        <v>399999.99999998196</v>
      </c>
    </row>
    <row r="12312" spans="26:26" x14ac:dyDescent="0.25">
      <c r="Z12312">
        <v>399999.99999998201</v>
      </c>
    </row>
    <row r="12313" spans="26:26" x14ac:dyDescent="0.25">
      <c r="Z12313">
        <v>399999.99999998207</v>
      </c>
    </row>
    <row r="12314" spans="26:26" x14ac:dyDescent="0.25">
      <c r="Z12314">
        <v>399999.99999998213</v>
      </c>
    </row>
    <row r="12315" spans="26:26" x14ac:dyDescent="0.25">
      <c r="Z12315">
        <v>399999.99999998219</v>
      </c>
    </row>
    <row r="12316" spans="26:26" x14ac:dyDescent="0.25">
      <c r="Z12316">
        <v>399999.99999998219</v>
      </c>
    </row>
    <row r="12317" spans="26:26" x14ac:dyDescent="0.25">
      <c r="Z12317">
        <v>399999.99999998225</v>
      </c>
    </row>
    <row r="12318" spans="26:26" x14ac:dyDescent="0.25">
      <c r="Z12318">
        <v>399999.9999999823</v>
      </c>
    </row>
    <row r="12319" spans="26:26" x14ac:dyDescent="0.25">
      <c r="Z12319">
        <v>399999.99999998236</v>
      </c>
    </row>
    <row r="12320" spans="26:26" x14ac:dyDescent="0.25">
      <c r="Z12320">
        <v>399999.99999998242</v>
      </c>
    </row>
    <row r="12321" spans="26:26" x14ac:dyDescent="0.25">
      <c r="Z12321">
        <v>399999.99999998242</v>
      </c>
    </row>
    <row r="12322" spans="26:26" x14ac:dyDescent="0.25">
      <c r="Z12322">
        <v>399999.99999998248</v>
      </c>
    </row>
    <row r="12323" spans="26:26" x14ac:dyDescent="0.25">
      <c r="Z12323">
        <v>399999.99999998254</v>
      </c>
    </row>
    <row r="12324" spans="26:26" x14ac:dyDescent="0.25">
      <c r="Z12324">
        <v>399999.9999999826</v>
      </c>
    </row>
    <row r="12325" spans="26:26" x14ac:dyDescent="0.25">
      <c r="Z12325">
        <v>399999.9999999826</v>
      </c>
    </row>
    <row r="12326" spans="26:26" x14ac:dyDescent="0.25">
      <c r="Z12326">
        <v>399999.99999998265</v>
      </c>
    </row>
    <row r="12327" spans="26:26" x14ac:dyDescent="0.25">
      <c r="Z12327">
        <v>399999.99999998271</v>
      </c>
    </row>
    <row r="12328" spans="26:26" x14ac:dyDescent="0.25">
      <c r="Z12328">
        <v>399999.99999998277</v>
      </c>
    </row>
    <row r="12329" spans="26:26" x14ac:dyDescent="0.25">
      <c r="Z12329">
        <v>399999.99999998283</v>
      </c>
    </row>
    <row r="12330" spans="26:26" x14ac:dyDescent="0.25">
      <c r="Z12330">
        <v>399999.99999998283</v>
      </c>
    </row>
    <row r="12331" spans="26:26" x14ac:dyDescent="0.25">
      <c r="Z12331">
        <v>399999.99999998289</v>
      </c>
    </row>
    <row r="12332" spans="26:26" x14ac:dyDescent="0.25">
      <c r="Z12332">
        <v>399999.99999998295</v>
      </c>
    </row>
    <row r="12333" spans="26:26" x14ac:dyDescent="0.25">
      <c r="Z12333">
        <v>399999.999999983</v>
      </c>
    </row>
    <row r="12334" spans="26:26" x14ac:dyDescent="0.25">
      <c r="Z12334">
        <v>399999.999999983</v>
      </c>
    </row>
    <row r="12335" spans="26:26" x14ac:dyDescent="0.25">
      <c r="Z12335">
        <v>399999.99999998306</v>
      </c>
    </row>
    <row r="12336" spans="26:26" x14ac:dyDescent="0.25">
      <c r="Z12336">
        <v>399999.99999998312</v>
      </c>
    </row>
    <row r="12337" spans="26:26" x14ac:dyDescent="0.25">
      <c r="Z12337">
        <v>399999.99999998318</v>
      </c>
    </row>
    <row r="12338" spans="26:26" x14ac:dyDescent="0.25">
      <c r="Z12338">
        <v>399999.99999998324</v>
      </c>
    </row>
    <row r="12339" spans="26:26" x14ac:dyDescent="0.25">
      <c r="Z12339">
        <v>399999.99999998324</v>
      </c>
    </row>
    <row r="12340" spans="26:26" x14ac:dyDescent="0.25">
      <c r="Z12340">
        <v>399999.99999998329</v>
      </c>
    </row>
    <row r="12341" spans="26:26" x14ac:dyDescent="0.25">
      <c r="Z12341">
        <v>399999.99999998335</v>
      </c>
    </row>
    <row r="12342" spans="26:26" x14ac:dyDescent="0.25">
      <c r="Z12342">
        <v>399999.99999998341</v>
      </c>
    </row>
    <row r="12343" spans="26:26" x14ac:dyDescent="0.25">
      <c r="Z12343">
        <v>399999.99999998341</v>
      </c>
    </row>
    <row r="12344" spans="26:26" x14ac:dyDescent="0.25">
      <c r="Z12344">
        <v>399999.99999998341</v>
      </c>
    </row>
    <row r="12345" spans="26:26" x14ac:dyDescent="0.25">
      <c r="Z12345">
        <v>399999.99999998347</v>
      </c>
    </row>
    <row r="12346" spans="26:26" x14ac:dyDescent="0.25">
      <c r="Z12346">
        <v>399999.99999998353</v>
      </c>
    </row>
    <row r="12347" spans="26:26" x14ac:dyDescent="0.25">
      <c r="Z12347">
        <v>399999.99999998359</v>
      </c>
    </row>
    <row r="12348" spans="26:26" x14ac:dyDescent="0.25">
      <c r="Z12348">
        <v>399999.99999998364</v>
      </c>
    </row>
    <row r="12349" spans="26:26" x14ac:dyDescent="0.25">
      <c r="Z12349">
        <v>399999.99999998364</v>
      </c>
    </row>
    <row r="12350" spans="26:26" x14ac:dyDescent="0.25">
      <c r="Z12350">
        <v>399999.9999999837</v>
      </c>
    </row>
    <row r="12351" spans="26:26" x14ac:dyDescent="0.25">
      <c r="Z12351">
        <v>399999.99999998376</v>
      </c>
    </row>
    <row r="12352" spans="26:26" x14ac:dyDescent="0.25">
      <c r="Z12352">
        <v>399999.99999998382</v>
      </c>
    </row>
    <row r="12353" spans="26:26" x14ac:dyDescent="0.25">
      <c r="Z12353">
        <v>399999.99999998388</v>
      </c>
    </row>
    <row r="12354" spans="26:26" x14ac:dyDescent="0.25">
      <c r="Z12354">
        <v>399999.99999998388</v>
      </c>
    </row>
    <row r="12355" spans="26:26" x14ac:dyDescent="0.25">
      <c r="Z12355">
        <v>399999.99999998388</v>
      </c>
    </row>
    <row r="12356" spans="26:26" x14ac:dyDescent="0.25">
      <c r="Z12356">
        <v>399999.99999998388</v>
      </c>
    </row>
    <row r="12357" spans="26:26" x14ac:dyDescent="0.25">
      <c r="Z12357">
        <v>399999.99999998393</v>
      </c>
    </row>
    <row r="12358" spans="26:26" x14ac:dyDescent="0.25">
      <c r="Z12358">
        <v>399999.99999998399</v>
      </c>
    </row>
    <row r="12359" spans="26:26" x14ac:dyDescent="0.25">
      <c r="Z12359">
        <v>399999.99999998405</v>
      </c>
    </row>
    <row r="12360" spans="26:26" x14ac:dyDescent="0.25">
      <c r="Z12360">
        <v>399999.99999998405</v>
      </c>
    </row>
    <row r="12361" spans="26:26" x14ac:dyDescent="0.25">
      <c r="Z12361">
        <v>399999.99999998411</v>
      </c>
    </row>
    <row r="12362" spans="26:26" x14ac:dyDescent="0.25">
      <c r="Z12362">
        <v>399999.99999998417</v>
      </c>
    </row>
    <row r="12363" spans="26:26" x14ac:dyDescent="0.25">
      <c r="Z12363">
        <v>399999.99999998423</v>
      </c>
    </row>
    <row r="12364" spans="26:26" x14ac:dyDescent="0.25">
      <c r="Z12364">
        <v>399999.99999998428</v>
      </c>
    </row>
    <row r="12365" spans="26:26" x14ac:dyDescent="0.25">
      <c r="Z12365">
        <v>399999.99999998428</v>
      </c>
    </row>
    <row r="12366" spans="26:26" x14ac:dyDescent="0.25">
      <c r="Z12366">
        <v>399999.99999998428</v>
      </c>
    </row>
    <row r="12367" spans="26:26" x14ac:dyDescent="0.25">
      <c r="Z12367">
        <v>399999.99999998434</v>
      </c>
    </row>
    <row r="12368" spans="26:26" x14ac:dyDescent="0.25">
      <c r="Z12368">
        <v>399999.9999999844</v>
      </c>
    </row>
    <row r="12369" spans="26:26" x14ac:dyDescent="0.25">
      <c r="Z12369">
        <v>399999.99999998446</v>
      </c>
    </row>
    <row r="12370" spans="26:26" x14ac:dyDescent="0.25">
      <c r="Z12370">
        <v>399999.99999998446</v>
      </c>
    </row>
    <row r="12371" spans="26:26" x14ac:dyDescent="0.25">
      <c r="Z12371">
        <v>399999.99999998452</v>
      </c>
    </row>
    <row r="12372" spans="26:26" x14ac:dyDescent="0.25">
      <c r="Z12372">
        <v>399999.99999998457</v>
      </c>
    </row>
    <row r="12373" spans="26:26" x14ac:dyDescent="0.25">
      <c r="Z12373">
        <v>399999.99999998457</v>
      </c>
    </row>
    <row r="12374" spans="26:26" x14ac:dyDescent="0.25">
      <c r="Z12374">
        <v>399999.99999998463</v>
      </c>
    </row>
    <row r="12375" spans="26:26" x14ac:dyDescent="0.25">
      <c r="Z12375">
        <v>399999.99999998469</v>
      </c>
    </row>
    <row r="12376" spans="26:26" x14ac:dyDescent="0.25">
      <c r="Z12376">
        <v>399999.99999998469</v>
      </c>
    </row>
    <row r="12377" spans="26:26" x14ac:dyDescent="0.25">
      <c r="Z12377">
        <v>399999.99999998475</v>
      </c>
    </row>
    <row r="12378" spans="26:26" x14ac:dyDescent="0.25">
      <c r="Z12378">
        <v>399999.99999998481</v>
      </c>
    </row>
    <row r="12379" spans="26:26" x14ac:dyDescent="0.25">
      <c r="Z12379">
        <v>399999.99999998487</v>
      </c>
    </row>
    <row r="12380" spans="26:26" x14ac:dyDescent="0.25">
      <c r="Z12380">
        <v>399999.99999998487</v>
      </c>
    </row>
    <row r="12381" spans="26:26" x14ac:dyDescent="0.25">
      <c r="Z12381">
        <v>399999.99999998487</v>
      </c>
    </row>
    <row r="12382" spans="26:26" x14ac:dyDescent="0.25">
      <c r="Z12382">
        <v>399999.99999998492</v>
      </c>
    </row>
    <row r="12383" spans="26:26" x14ac:dyDescent="0.25">
      <c r="Z12383">
        <v>399999.99999998498</v>
      </c>
    </row>
    <row r="12384" spans="26:26" x14ac:dyDescent="0.25">
      <c r="Z12384">
        <v>399999.99999998504</v>
      </c>
    </row>
    <row r="12385" spans="26:26" x14ac:dyDescent="0.25">
      <c r="Z12385">
        <v>399999.9999999851</v>
      </c>
    </row>
    <row r="12386" spans="26:26" x14ac:dyDescent="0.25">
      <c r="Z12386">
        <v>399999.9999999851</v>
      </c>
    </row>
    <row r="12387" spans="26:26" x14ac:dyDescent="0.25">
      <c r="Z12387">
        <v>399999.9999999851</v>
      </c>
    </row>
    <row r="12388" spans="26:26" x14ac:dyDescent="0.25">
      <c r="Z12388">
        <v>399999.99999998516</v>
      </c>
    </row>
    <row r="12389" spans="26:26" x14ac:dyDescent="0.25">
      <c r="Z12389">
        <v>399999.99999998522</v>
      </c>
    </row>
    <row r="12390" spans="26:26" x14ac:dyDescent="0.25">
      <c r="Z12390">
        <v>399999.99999998527</v>
      </c>
    </row>
    <row r="12391" spans="26:26" x14ac:dyDescent="0.25">
      <c r="Z12391">
        <v>399999.99999998533</v>
      </c>
    </row>
    <row r="12392" spans="26:26" x14ac:dyDescent="0.25">
      <c r="Z12392">
        <v>399999.99999998533</v>
      </c>
    </row>
    <row r="12393" spans="26:26" x14ac:dyDescent="0.25">
      <c r="Z12393">
        <v>399999.99999998533</v>
      </c>
    </row>
    <row r="12394" spans="26:26" x14ac:dyDescent="0.25">
      <c r="Z12394">
        <v>399999.99999998539</v>
      </c>
    </row>
    <row r="12395" spans="26:26" x14ac:dyDescent="0.25">
      <c r="Z12395">
        <v>399999.99999998545</v>
      </c>
    </row>
    <row r="12396" spans="26:26" x14ac:dyDescent="0.25">
      <c r="Z12396">
        <v>399999.99999998551</v>
      </c>
    </row>
    <row r="12397" spans="26:26" x14ac:dyDescent="0.25">
      <c r="Z12397">
        <v>399999.99999998551</v>
      </c>
    </row>
    <row r="12398" spans="26:26" x14ac:dyDescent="0.25">
      <c r="Z12398">
        <v>399999.99999998551</v>
      </c>
    </row>
    <row r="12399" spans="26:26" x14ac:dyDescent="0.25">
      <c r="Z12399">
        <v>399999.99999998556</v>
      </c>
    </row>
    <row r="12400" spans="26:26" x14ac:dyDescent="0.25">
      <c r="Z12400">
        <v>399999.99999998562</v>
      </c>
    </row>
    <row r="12401" spans="26:26" x14ac:dyDescent="0.25">
      <c r="Z12401">
        <v>399999.99999998568</v>
      </c>
    </row>
    <row r="12402" spans="26:26" x14ac:dyDescent="0.25">
      <c r="Z12402">
        <v>399999.99999998574</v>
      </c>
    </row>
    <row r="12403" spans="26:26" x14ac:dyDescent="0.25">
      <c r="Z12403">
        <v>399999.99999998574</v>
      </c>
    </row>
    <row r="12404" spans="26:26" x14ac:dyDescent="0.25">
      <c r="Z12404">
        <v>399999.99999998574</v>
      </c>
    </row>
    <row r="12405" spans="26:26" x14ac:dyDescent="0.25">
      <c r="Z12405">
        <v>399999.9999999858</v>
      </c>
    </row>
    <row r="12406" spans="26:26" x14ac:dyDescent="0.25">
      <c r="Z12406">
        <v>399999.9999999858</v>
      </c>
    </row>
    <row r="12407" spans="26:26" x14ac:dyDescent="0.25">
      <c r="Z12407">
        <v>399999.99999998586</v>
      </c>
    </row>
    <row r="12408" spans="26:26" x14ac:dyDescent="0.25">
      <c r="Z12408">
        <v>399999.99999998586</v>
      </c>
    </row>
    <row r="12409" spans="26:26" x14ac:dyDescent="0.25">
      <c r="Z12409">
        <v>399999.99999998591</v>
      </c>
    </row>
    <row r="12410" spans="26:26" x14ac:dyDescent="0.25">
      <c r="Z12410">
        <v>399999.99999998591</v>
      </c>
    </row>
    <row r="12411" spans="26:26" x14ac:dyDescent="0.25">
      <c r="Z12411">
        <v>399999.99999998597</v>
      </c>
    </row>
    <row r="12412" spans="26:26" x14ac:dyDescent="0.25">
      <c r="Z12412">
        <v>399999.99999998603</v>
      </c>
    </row>
    <row r="12413" spans="26:26" x14ac:dyDescent="0.25">
      <c r="Z12413">
        <v>399999.99999998603</v>
      </c>
    </row>
    <row r="12414" spans="26:26" x14ac:dyDescent="0.25">
      <c r="Z12414">
        <v>399999.99999998609</v>
      </c>
    </row>
    <row r="12415" spans="26:26" x14ac:dyDescent="0.25">
      <c r="Z12415">
        <v>399999.99999998615</v>
      </c>
    </row>
    <row r="12416" spans="26:26" x14ac:dyDescent="0.25">
      <c r="Z12416">
        <v>399999.99999998615</v>
      </c>
    </row>
    <row r="12417" spans="26:26" x14ac:dyDescent="0.25">
      <c r="Z12417">
        <v>399999.9999999862</v>
      </c>
    </row>
    <row r="12418" spans="26:26" x14ac:dyDescent="0.25">
      <c r="Z12418">
        <v>399999.9999999862</v>
      </c>
    </row>
    <row r="12419" spans="26:26" x14ac:dyDescent="0.25">
      <c r="Z12419">
        <v>399999.99999998626</v>
      </c>
    </row>
    <row r="12420" spans="26:26" x14ac:dyDescent="0.25">
      <c r="Z12420">
        <v>399999.99999998632</v>
      </c>
    </row>
    <row r="12421" spans="26:26" x14ac:dyDescent="0.25">
      <c r="Z12421">
        <v>399999.99999998632</v>
      </c>
    </row>
    <row r="12422" spans="26:26" x14ac:dyDescent="0.25">
      <c r="Z12422">
        <v>399999.99999998632</v>
      </c>
    </row>
    <row r="12423" spans="26:26" x14ac:dyDescent="0.25">
      <c r="Z12423">
        <v>399999.99999998638</v>
      </c>
    </row>
    <row r="12424" spans="26:26" x14ac:dyDescent="0.25">
      <c r="Z12424">
        <v>399999.99999998644</v>
      </c>
    </row>
    <row r="12425" spans="26:26" x14ac:dyDescent="0.25">
      <c r="Z12425">
        <v>399999.9999999865</v>
      </c>
    </row>
    <row r="12426" spans="26:26" x14ac:dyDescent="0.25">
      <c r="Z12426">
        <v>399999.9999999865</v>
      </c>
    </row>
    <row r="12427" spans="26:26" x14ac:dyDescent="0.25">
      <c r="Z12427">
        <v>399999.99999998655</v>
      </c>
    </row>
    <row r="12428" spans="26:26" x14ac:dyDescent="0.25">
      <c r="Z12428">
        <v>399999.99999998655</v>
      </c>
    </row>
    <row r="12429" spans="26:26" x14ac:dyDescent="0.25">
      <c r="Z12429">
        <v>399999.99999998661</v>
      </c>
    </row>
    <row r="12430" spans="26:26" x14ac:dyDescent="0.25">
      <c r="Z12430">
        <v>399999.99999998661</v>
      </c>
    </row>
    <row r="12431" spans="26:26" x14ac:dyDescent="0.25">
      <c r="Z12431">
        <v>399999.99999998667</v>
      </c>
    </row>
    <row r="12432" spans="26:26" x14ac:dyDescent="0.25">
      <c r="Z12432">
        <v>399999.99999998673</v>
      </c>
    </row>
    <row r="12433" spans="26:26" x14ac:dyDescent="0.25">
      <c r="Z12433">
        <v>399999.99999998679</v>
      </c>
    </row>
    <row r="12434" spans="26:26" x14ac:dyDescent="0.25">
      <c r="Z12434">
        <v>399999.99999998679</v>
      </c>
    </row>
    <row r="12435" spans="26:26" x14ac:dyDescent="0.25">
      <c r="Z12435">
        <v>399999.99999998679</v>
      </c>
    </row>
    <row r="12436" spans="26:26" x14ac:dyDescent="0.25">
      <c r="Z12436">
        <v>399999.99999998685</v>
      </c>
    </row>
    <row r="12437" spans="26:26" x14ac:dyDescent="0.25">
      <c r="Z12437">
        <v>399999.9999999869</v>
      </c>
    </row>
    <row r="12438" spans="26:26" x14ac:dyDescent="0.25">
      <c r="Z12438">
        <v>399999.9999999869</v>
      </c>
    </row>
    <row r="12439" spans="26:26" x14ac:dyDescent="0.25">
      <c r="Z12439">
        <v>399999.99999998696</v>
      </c>
    </row>
    <row r="12440" spans="26:26" x14ac:dyDescent="0.25">
      <c r="Z12440">
        <v>399999.99999998696</v>
      </c>
    </row>
    <row r="12441" spans="26:26" x14ac:dyDescent="0.25">
      <c r="Z12441">
        <v>399999.99999998702</v>
      </c>
    </row>
    <row r="12442" spans="26:26" x14ac:dyDescent="0.25">
      <c r="Z12442">
        <v>399999.99999998702</v>
      </c>
    </row>
    <row r="12443" spans="26:26" x14ac:dyDescent="0.25">
      <c r="Z12443">
        <v>399999.99999998708</v>
      </c>
    </row>
    <row r="12444" spans="26:26" x14ac:dyDescent="0.25">
      <c r="Z12444">
        <v>399999.99999998714</v>
      </c>
    </row>
    <row r="12445" spans="26:26" x14ac:dyDescent="0.25">
      <c r="Z12445">
        <v>399999.99999998719</v>
      </c>
    </row>
    <row r="12446" spans="26:26" x14ac:dyDescent="0.25">
      <c r="Z12446">
        <v>399999.99999998719</v>
      </c>
    </row>
    <row r="12447" spans="26:26" x14ac:dyDescent="0.25">
      <c r="Z12447">
        <v>399999.99999998719</v>
      </c>
    </row>
    <row r="12448" spans="26:26" x14ac:dyDescent="0.25">
      <c r="Z12448">
        <v>399999.99999998725</v>
      </c>
    </row>
    <row r="12449" spans="26:26" x14ac:dyDescent="0.25">
      <c r="Z12449">
        <v>399999.99999998725</v>
      </c>
    </row>
    <row r="12450" spans="26:26" x14ac:dyDescent="0.25">
      <c r="Z12450">
        <v>399999.99999998731</v>
      </c>
    </row>
    <row r="12451" spans="26:26" x14ac:dyDescent="0.25">
      <c r="Z12451">
        <v>399999.99999998737</v>
      </c>
    </row>
    <row r="12452" spans="26:26" x14ac:dyDescent="0.25">
      <c r="Z12452">
        <v>399999.99999998737</v>
      </c>
    </row>
    <row r="12453" spans="26:26" x14ac:dyDescent="0.25">
      <c r="Z12453">
        <v>399999.99999998737</v>
      </c>
    </row>
    <row r="12454" spans="26:26" x14ac:dyDescent="0.25">
      <c r="Z12454">
        <v>399999.99999998743</v>
      </c>
    </row>
    <row r="12455" spans="26:26" x14ac:dyDescent="0.25">
      <c r="Z12455">
        <v>399999.99999998749</v>
      </c>
    </row>
    <row r="12456" spans="26:26" x14ac:dyDescent="0.25">
      <c r="Z12456">
        <v>399999.99999998749</v>
      </c>
    </row>
    <row r="12457" spans="26:26" x14ac:dyDescent="0.25">
      <c r="Z12457">
        <v>399999.99999998754</v>
      </c>
    </row>
    <row r="12458" spans="26:26" x14ac:dyDescent="0.25">
      <c r="Z12458">
        <v>399999.9999999876</v>
      </c>
    </row>
    <row r="12459" spans="26:26" x14ac:dyDescent="0.25">
      <c r="Z12459">
        <v>399999.9999999876</v>
      </c>
    </row>
    <row r="12460" spans="26:26" x14ac:dyDescent="0.25">
      <c r="Z12460">
        <v>399999.9999999876</v>
      </c>
    </row>
    <row r="12461" spans="26:26" x14ac:dyDescent="0.25">
      <c r="Z12461">
        <v>399999.99999998766</v>
      </c>
    </row>
    <row r="12462" spans="26:26" x14ac:dyDescent="0.25">
      <c r="Z12462">
        <v>399999.99999998766</v>
      </c>
    </row>
    <row r="12463" spans="26:26" x14ac:dyDescent="0.25">
      <c r="Z12463">
        <v>399999.99999998766</v>
      </c>
    </row>
    <row r="12464" spans="26:26" x14ac:dyDescent="0.25">
      <c r="Z12464">
        <v>399999.99999998772</v>
      </c>
    </row>
    <row r="12465" spans="26:26" x14ac:dyDescent="0.25">
      <c r="Z12465">
        <v>399999.99999998778</v>
      </c>
    </row>
    <row r="12466" spans="26:26" x14ac:dyDescent="0.25">
      <c r="Z12466">
        <v>399999.99999998778</v>
      </c>
    </row>
    <row r="12467" spans="26:26" x14ac:dyDescent="0.25">
      <c r="Z12467">
        <v>399999.99999998778</v>
      </c>
    </row>
    <row r="12468" spans="26:26" x14ac:dyDescent="0.25">
      <c r="Z12468">
        <v>399999.99999998783</v>
      </c>
    </row>
    <row r="12469" spans="26:26" x14ac:dyDescent="0.25">
      <c r="Z12469">
        <v>399999.99999998783</v>
      </c>
    </row>
    <row r="12470" spans="26:26" x14ac:dyDescent="0.25">
      <c r="Z12470">
        <v>399999.99999998789</v>
      </c>
    </row>
    <row r="12471" spans="26:26" x14ac:dyDescent="0.25">
      <c r="Z12471">
        <v>399999.99999998795</v>
      </c>
    </row>
    <row r="12472" spans="26:26" x14ac:dyDescent="0.25">
      <c r="Z12472">
        <v>399999.99999998795</v>
      </c>
    </row>
    <row r="12473" spans="26:26" x14ac:dyDescent="0.25">
      <c r="Z12473">
        <v>399999.99999998801</v>
      </c>
    </row>
    <row r="12474" spans="26:26" x14ac:dyDescent="0.25">
      <c r="Z12474">
        <v>399999.99999998801</v>
      </c>
    </row>
    <row r="12475" spans="26:26" x14ac:dyDescent="0.25">
      <c r="Z12475">
        <v>399999.99999998801</v>
      </c>
    </row>
    <row r="12476" spans="26:26" x14ac:dyDescent="0.25">
      <c r="Z12476">
        <v>399999.99999998807</v>
      </c>
    </row>
    <row r="12477" spans="26:26" x14ac:dyDescent="0.25">
      <c r="Z12477">
        <v>399999.99999998813</v>
      </c>
    </row>
    <row r="12478" spans="26:26" x14ac:dyDescent="0.25">
      <c r="Z12478">
        <v>399999.99999998813</v>
      </c>
    </row>
    <row r="12479" spans="26:26" x14ac:dyDescent="0.25">
      <c r="Z12479">
        <v>399999.99999998818</v>
      </c>
    </row>
    <row r="12480" spans="26:26" x14ac:dyDescent="0.25">
      <c r="Z12480">
        <v>399999.99999998824</v>
      </c>
    </row>
    <row r="12481" spans="26:26" x14ac:dyDescent="0.25">
      <c r="Z12481">
        <v>399999.99999998824</v>
      </c>
    </row>
    <row r="12482" spans="26:26" x14ac:dyDescent="0.25">
      <c r="Z12482">
        <v>399999.99999998824</v>
      </c>
    </row>
    <row r="12483" spans="26:26" x14ac:dyDescent="0.25">
      <c r="Z12483">
        <v>399999.9999999883</v>
      </c>
    </row>
    <row r="12484" spans="26:26" x14ac:dyDescent="0.25">
      <c r="Z12484">
        <v>399999.9999999883</v>
      </c>
    </row>
    <row r="12485" spans="26:26" x14ac:dyDescent="0.25">
      <c r="Z12485">
        <v>399999.99999998836</v>
      </c>
    </row>
    <row r="12486" spans="26:26" x14ac:dyDescent="0.25">
      <c r="Z12486">
        <v>399999.99999998842</v>
      </c>
    </row>
    <row r="12487" spans="26:26" x14ac:dyDescent="0.25">
      <c r="Z12487">
        <v>399999.99999998842</v>
      </c>
    </row>
    <row r="12488" spans="26:26" x14ac:dyDescent="0.25">
      <c r="Z12488">
        <v>399999.99999998842</v>
      </c>
    </row>
    <row r="12489" spans="26:26" x14ac:dyDescent="0.25">
      <c r="Z12489">
        <v>399999.99999998847</v>
      </c>
    </row>
    <row r="12490" spans="26:26" x14ac:dyDescent="0.25">
      <c r="Z12490">
        <v>399999.99999998847</v>
      </c>
    </row>
    <row r="12491" spans="26:26" x14ac:dyDescent="0.25">
      <c r="Z12491">
        <v>399999.99999998853</v>
      </c>
    </row>
    <row r="12492" spans="26:26" x14ac:dyDescent="0.25">
      <c r="Z12492">
        <v>399999.99999998859</v>
      </c>
    </row>
    <row r="12493" spans="26:26" x14ac:dyDescent="0.25">
      <c r="Z12493">
        <v>399999.99999998859</v>
      </c>
    </row>
    <row r="12494" spans="26:26" x14ac:dyDescent="0.25">
      <c r="Z12494">
        <v>399999.99999998865</v>
      </c>
    </row>
    <row r="12495" spans="26:26" x14ac:dyDescent="0.25">
      <c r="Z12495">
        <v>399999.99999998865</v>
      </c>
    </row>
    <row r="12496" spans="26:26" x14ac:dyDescent="0.25">
      <c r="Z12496">
        <v>399999.99999998865</v>
      </c>
    </row>
    <row r="12497" spans="26:26" x14ac:dyDescent="0.25">
      <c r="Z12497">
        <v>399999.99999998871</v>
      </c>
    </row>
    <row r="12498" spans="26:26" x14ac:dyDescent="0.25">
      <c r="Z12498">
        <v>399999.99999998871</v>
      </c>
    </row>
    <row r="12499" spans="26:26" x14ac:dyDescent="0.25">
      <c r="Z12499">
        <v>399999.99999998877</v>
      </c>
    </row>
    <row r="12500" spans="26:26" x14ac:dyDescent="0.25">
      <c r="Z12500">
        <v>399999.99999998882</v>
      </c>
    </row>
    <row r="12501" spans="26:26" x14ac:dyDescent="0.25">
      <c r="Z12501">
        <v>399999.99999998882</v>
      </c>
    </row>
    <row r="12502" spans="26:26" x14ac:dyDescent="0.25">
      <c r="Z12502">
        <v>399999.99999998882</v>
      </c>
    </row>
    <row r="12503" spans="26:26" x14ac:dyDescent="0.25">
      <c r="Z12503">
        <v>399999.99999998888</v>
      </c>
    </row>
    <row r="12504" spans="26:26" x14ac:dyDescent="0.25">
      <c r="Z12504">
        <v>399999.99999998888</v>
      </c>
    </row>
    <row r="12505" spans="26:26" x14ac:dyDescent="0.25">
      <c r="Z12505">
        <v>399999.99999998894</v>
      </c>
    </row>
    <row r="12506" spans="26:26" x14ac:dyDescent="0.25">
      <c r="Z12506">
        <v>399999.99999998894</v>
      </c>
    </row>
    <row r="12507" spans="26:26" x14ac:dyDescent="0.25">
      <c r="Z12507">
        <v>399999.999999989</v>
      </c>
    </row>
    <row r="12508" spans="26:26" x14ac:dyDescent="0.25">
      <c r="Z12508">
        <v>399999.99999998906</v>
      </c>
    </row>
    <row r="12509" spans="26:26" x14ac:dyDescent="0.25">
      <c r="Z12509">
        <v>399999.99999998906</v>
      </c>
    </row>
    <row r="12510" spans="26:26" x14ac:dyDescent="0.25">
      <c r="Z12510">
        <v>399999.99999998906</v>
      </c>
    </row>
    <row r="12511" spans="26:26" x14ac:dyDescent="0.25">
      <c r="Z12511">
        <v>399999.99999998906</v>
      </c>
    </row>
    <row r="12512" spans="26:26" x14ac:dyDescent="0.25">
      <c r="Z12512">
        <v>399999.99999998912</v>
      </c>
    </row>
    <row r="12513" spans="26:26" x14ac:dyDescent="0.25">
      <c r="Z12513">
        <v>399999.99999998917</v>
      </c>
    </row>
    <row r="12514" spans="26:26" x14ac:dyDescent="0.25">
      <c r="Z12514">
        <v>399999.99999998917</v>
      </c>
    </row>
    <row r="12515" spans="26:26" x14ac:dyDescent="0.25">
      <c r="Z12515">
        <v>399999.99999998923</v>
      </c>
    </row>
    <row r="12516" spans="26:26" x14ac:dyDescent="0.25">
      <c r="Z12516">
        <v>399999.99999998923</v>
      </c>
    </row>
    <row r="12517" spans="26:26" x14ac:dyDescent="0.25">
      <c r="Z12517">
        <v>399999.99999998923</v>
      </c>
    </row>
    <row r="12518" spans="26:26" x14ac:dyDescent="0.25">
      <c r="Z12518">
        <v>399999.99999998929</v>
      </c>
    </row>
    <row r="12519" spans="26:26" x14ac:dyDescent="0.25">
      <c r="Z12519">
        <v>399999.99999998929</v>
      </c>
    </row>
    <row r="12520" spans="26:26" x14ac:dyDescent="0.25">
      <c r="Z12520">
        <v>399999.99999998935</v>
      </c>
    </row>
    <row r="12521" spans="26:26" x14ac:dyDescent="0.25">
      <c r="Z12521">
        <v>399999.99999998941</v>
      </c>
    </row>
    <row r="12522" spans="26:26" x14ac:dyDescent="0.25">
      <c r="Z12522">
        <v>399999.99999998941</v>
      </c>
    </row>
    <row r="12523" spans="26:26" x14ac:dyDescent="0.25">
      <c r="Z12523">
        <v>399999.99999998946</v>
      </c>
    </row>
    <row r="12524" spans="26:26" x14ac:dyDescent="0.25">
      <c r="Z12524">
        <v>399999.99999998946</v>
      </c>
    </row>
    <row r="12525" spans="26:26" x14ac:dyDescent="0.25">
      <c r="Z12525">
        <v>399999.99999998946</v>
      </c>
    </row>
    <row r="12526" spans="26:26" x14ac:dyDescent="0.25">
      <c r="Z12526">
        <v>399999.99999998952</v>
      </c>
    </row>
    <row r="12527" spans="26:26" x14ac:dyDescent="0.25">
      <c r="Z12527">
        <v>399999.99999998952</v>
      </c>
    </row>
    <row r="12528" spans="26:26" x14ac:dyDescent="0.25">
      <c r="Z12528">
        <v>399999.99999998958</v>
      </c>
    </row>
    <row r="12529" spans="26:26" x14ac:dyDescent="0.25">
      <c r="Z12529">
        <v>399999.99999998958</v>
      </c>
    </row>
    <row r="12530" spans="26:26" x14ac:dyDescent="0.25">
      <c r="Z12530">
        <v>399999.99999998958</v>
      </c>
    </row>
    <row r="12531" spans="26:26" x14ac:dyDescent="0.25">
      <c r="Z12531">
        <v>399999.99999998958</v>
      </c>
    </row>
    <row r="12532" spans="26:26" x14ac:dyDescent="0.25">
      <c r="Z12532">
        <v>399999.99999998964</v>
      </c>
    </row>
    <row r="12533" spans="26:26" x14ac:dyDescent="0.25">
      <c r="Z12533">
        <v>399999.9999999897</v>
      </c>
    </row>
    <row r="12534" spans="26:26" x14ac:dyDescent="0.25">
      <c r="Z12534">
        <v>399999.9999999897</v>
      </c>
    </row>
    <row r="12535" spans="26:26" x14ac:dyDescent="0.25">
      <c r="Z12535">
        <v>399999.9999999897</v>
      </c>
    </row>
    <row r="12536" spans="26:26" x14ac:dyDescent="0.25">
      <c r="Z12536">
        <v>399999.9999999897</v>
      </c>
    </row>
    <row r="12537" spans="26:26" x14ac:dyDescent="0.25">
      <c r="Z12537">
        <v>399999.99999998976</v>
      </c>
    </row>
    <row r="12538" spans="26:26" x14ac:dyDescent="0.25">
      <c r="Z12538">
        <v>399999.99999998976</v>
      </c>
    </row>
    <row r="12539" spans="26:26" x14ac:dyDescent="0.25">
      <c r="Z12539">
        <v>399999.99999998981</v>
      </c>
    </row>
    <row r="12540" spans="26:26" x14ac:dyDescent="0.25">
      <c r="Z12540">
        <v>399999.99999998987</v>
      </c>
    </row>
    <row r="12541" spans="26:26" x14ac:dyDescent="0.25">
      <c r="Z12541">
        <v>399999.99999998987</v>
      </c>
    </row>
    <row r="12542" spans="26:26" x14ac:dyDescent="0.25">
      <c r="Z12542">
        <v>399999.99999998987</v>
      </c>
    </row>
    <row r="12543" spans="26:26" x14ac:dyDescent="0.25">
      <c r="Z12543">
        <v>399999.99999998987</v>
      </c>
    </row>
    <row r="12544" spans="26:26" x14ac:dyDescent="0.25">
      <c r="Z12544">
        <v>399999.99999998993</v>
      </c>
    </row>
    <row r="12545" spans="26:26" x14ac:dyDescent="0.25">
      <c r="Z12545">
        <v>399999.99999998993</v>
      </c>
    </row>
    <row r="12546" spans="26:26" x14ac:dyDescent="0.25">
      <c r="Z12546">
        <v>399999.99999998999</v>
      </c>
    </row>
    <row r="12547" spans="26:26" x14ac:dyDescent="0.25">
      <c r="Z12547">
        <v>399999.99999999005</v>
      </c>
    </row>
    <row r="12548" spans="26:26" x14ac:dyDescent="0.25">
      <c r="Z12548">
        <v>399999.99999999005</v>
      </c>
    </row>
    <row r="12549" spans="26:26" x14ac:dyDescent="0.25">
      <c r="Z12549">
        <v>399999.9999999901</v>
      </c>
    </row>
    <row r="12550" spans="26:26" x14ac:dyDescent="0.25">
      <c r="Z12550">
        <v>399999.9999999901</v>
      </c>
    </row>
    <row r="12551" spans="26:26" x14ac:dyDescent="0.25">
      <c r="Z12551">
        <v>399999.9999999901</v>
      </c>
    </row>
    <row r="12552" spans="26:26" x14ac:dyDescent="0.25">
      <c r="Z12552">
        <v>399999.9999999901</v>
      </c>
    </row>
    <row r="12553" spans="26:26" x14ac:dyDescent="0.25">
      <c r="Z12553">
        <v>399999.99999999016</v>
      </c>
    </row>
    <row r="12554" spans="26:26" x14ac:dyDescent="0.25">
      <c r="Z12554">
        <v>399999.99999999016</v>
      </c>
    </row>
    <row r="12555" spans="26:26" x14ac:dyDescent="0.25">
      <c r="Z12555">
        <v>399999.99999999022</v>
      </c>
    </row>
    <row r="12556" spans="26:26" x14ac:dyDescent="0.25">
      <c r="Z12556">
        <v>399999.99999999028</v>
      </c>
    </row>
    <row r="12557" spans="26:26" x14ac:dyDescent="0.25">
      <c r="Z12557">
        <v>399999.99999999028</v>
      </c>
    </row>
    <row r="12558" spans="26:26" x14ac:dyDescent="0.25">
      <c r="Z12558">
        <v>399999.99999999028</v>
      </c>
    </row>
    <row r="12559" spans="26:26" x14ac:dyDescent="0.25">
      <c r="Z12559">
        <v>399999.99999999028</v>
      </c>
    </row>
    <row r="12560" spans="26:26" x14ac:dyDescent="0.25">
      <c r="Z12560">
        <v>399999.99999999034</v>
      </c>
    </row>
    <row r="12561" spans="26:26" x14ac:dyDescent="0.25">
      <c r="Z12561">
        <v>399999.99999999034</v>
      </c>
    </row>
    <row r="12562" spans="26:26" x14ac:dyDescent="0.25">
      <c r="Z12562">
        <v>399999.9999999904</v>
      </c>
    </row>
    <row r="12563" spans="26:26" x14ac:dyDescent="0.25">
      <c r="Z12563">
        <v>399999.9999999904</v>
      </c>
    </row>
    <row r="12564" spans="26:26" x14ac:dyDescent="0.25">
      <c r="Z12564">
        <v>399999.99999999045</v>
      </c>
    </row>
    <row r="12565" spans="26:26" x14ac:dyDescent="0.25">
      <c r="Z12565">
        <v>399999.99999999045</v>
      </c>
    </row>
    <row r="12566" spans="26:26" x14ac:dyDescent="0.25">
      <c r="Z12566">
        <v>399999.99999999051</v>
      </c>
    </row>
    <row r="12567" spans="26:26" x14ac:dyDescent="0.25">
      <c r="Z12567">
        <v>399999.99999999051</v>
      </c>
    </row>
    <row r="12568" spans="26:26" x14ac:dyDescent="0.25">
      <c r="Z12568">
        <v>399999.99999999051</v>
      </c>
    </row>
    <row r="12569" spans="26:26" x14ac:dyDescent="0.25">
      <c r="Z12569">
        <v>399999.99999999057</v>
      </c>
    </row>
    <row r="12570" spans="26:26" x14ac:dyDescent="0.25">
      <c r="Z12570">
        <v>399999.99999999057</v>
      </c>
    </row>
    <row r="12571" spans="26:26" x14ac:dyDescent="0.25">
      <c r="Z12571">
        <v>399999.99999999063</v>
      </c>
    </row>
    <row r="12572" spans="26:26" x14ac:dyDescent="0.25">
      <c r="Z12572">
        <v>399999.99999999063</v>
      </c>
    </row>
    <row r="12573" spans="26:26" x14ac:dyDescent="0.25">
      <c r="Z12573">
        <v>399999.99999999069</v>
      </c>
    </row>
    <row r="12574" spans="26:26" x14ac:dyDescent="0.25">
      <c r="Z12574">
        <v>399999.99999999069</v>
      </c>
    </row>
    <row r="12575" spans="26:26" x14ac:dyDescent="0.25">
      <c r="Z12575">
        <v>399999.99999999069</v>
      </c>
    </row>
    <row r="12576" spans="26:26" x14ac:dyDescent="0.25">
      <c r="Z12576">
        <v>399999.99999999069</v>
      </c>
    </row>
    <row r="12577" spans="26:26" x14ac:dyDescent="0.25">
      <c r="Z12577">
        <v>399999.99999999074</v>
      </c>
    </row>
    <row r="12578" spans="26:26" x14ac:dyDescent="0.25">
      <c r="Z12578">
        <v>399999.99999999074</v>
      </c>
    </row>
    <row r="12579" spans="26:26" x14ac:dyDescent="0.25">
      <c r="Z12579">
        <v>399999.9999999908</v>
      </c>
    </row>
    <row r="12580" spans="26:26" x14ac:dyDescent="0.25">
      <c r="Z12580">
        <v>399999.9999999908</v>
      </c>
    </row>
    <row r="12581" spans="26:26" x14ac:dyDescent="0.25">
      <c r="Z12581">
        <v>399999.99999999086</v>
      </c>
    </row>
    <row r="12582" spans="26:26" x14ac:dyDescent="0.25">
      <c r="Z12582">
        <v>399999.99999999086</v>
      </c>
    </row>
    <row r="12583" spans="26:26" x14ac:dyDescent="0.25">
      <c r="Z12583">
        <v>399999.99999999092</v>
      </c>
    </row>
    <row r="12584" spans="26:26" x14ac:dyDescent="0.25">
      <c r="Z12584">
        <v>399999.99999999092</v>
      </c>
    </row>
    <row r="12585" spans="26:26" x14ac:dyDescent="0.25">
      <c r="Z12585">
        <v>399999.99999999092</v>
      </c>
    </row>
    <row r="12586" spans="26:26" x14ac:dyDescent="0.25">
      <c r="Z12586">
        <v>399999.99999999092</v>
      </c>
    </row>
    <row r="12587" spans="26:26" x14ac:dyDescent="0.25">
      <c r="Z12587">
        <v>399999.99999999098</v>
      </c>
    </row>
    <row r="12588" spans="26:26" x14ac:dyDescent="0.25">
      <c r="Z12588">
        <v>399999.99999999098</v>
      </c>
    </row>
    <row r="12589" spans="26:26" x14ac:dyDescent="0.25">
      <c r="Z12589">
        <v>399999.99999999104</v>
      </c>
    </row>
    <row r="12590" spans="26:26" x14ac:dyDescent="0.25">
      <c r="Z12590">
        <v>399999.99999999104</v>
      </c>
    </row>
    <row r="12591" spans="26:26" x14ac:dyDescent="0.25">
      <c r="Z12591">
        <v>399999.99999999109</v>
      </c>
    </row>
    <row r="12592" spans="26:26" x14ac:dyDescent="0.25">
      <c r="Z12592">
        <v>399999.99999999109</v>
      </c>
    </row>
    <row r="12593" spans="26:26" x14ac:dyDescent="0.25">
      <c r="Z12593">
        <v>399999.99999999115</v>
      </c>
    </row>
    <row r="12594" spans="26:26" x14ac:dyDescent="0.25">
      <c r="Z12594">
        <v>399999.99999999115</v>
      </c>
    </row>
    <row r="12595" spans="26:26" x14ac:dyDescent="0.25">
      <c r="Z12595">
        <v>399999.99999999115</v>
      </c>
    </row>
    <row r="12596" spans="26:26" x14ac:dyDescent="0.25">
      <c r="Z12596">
        <v>399999.99999999115</v>
      </c>
    </row>
    <row r="12597" spans="26:26" x14ac:dyDescent="0.25">
      <c r="Z12597">
        <v>399999.99999999121</v>
      </c>
    </row>
    <row r="12598" spans="26:26" x14ac:dyDescent="0.25">
      <c r="Z12598">
        <v>399999.99999999121</v>
      </c>
    </row>
    <row r="12599" spans="26:26" x14ac:dyDescent="0.25">
      <c r="Z12599">
        <v>399999.99999999127</v>
      </c>
    </row>
    <row r="12600" spans="26:26" x14ac:dyDescent="0.25">
      <c r="Z12600">
        <v>399999.99999999127</v>
      </c>
    </row>
    <row r="12601" spans="26:26" x14ac:dyDescent="0.25">
      <c r="Z12601">
        <v>399999.99999999133</v>
      </c>
    </row>
    <row r="12602" spans="26:26" x14ac:dyDescent="0.25">
      <c r="Z12602">
        <v>399999.99999999133</v>
      </c>
    </row>
    <row r="12603" spans="26:26" x14ac:dyDescent="0.25">
      <c r="Z12603">
        <v>399999.99999999133</v>
      </c>
    </row>
    <row r="12604" spans="26:26" x14ac:dyDescent="0.25">
      <c r="Z12604">
        <v>399999.99999999133</v>
      </c>
    </row>
    <row r="12605" spans="26:26" x14ac:dyDescent="0.25">
      <c r="Z12605">
        <v>399999.99999999139</v>
      </c>
    </row>
    <row r="12606" spans="26:26" x14ac:dyDescent="0.25">
      <c r="Z12606">
        <v>399999.99999999139</v>
      </c>
    </row>
    <row r="12607" spans="26:26" x14ac:dyDescent="0.25">
      <c r="Z12607">
        <v>399999.99999999144</v>
      </c>
    </row>
    <row r="12608" spans="26:26" x14ac:dyDescent="0.25">
      <c r="Z12608">
        <v>399999.99999999144</v>
      </c>
    </row>
    <row r="12609" spans="26:26" x14ac:dyDescent="0.25">
      <c r="Z12609">
        <v>399999.99999999144</v>
      </c>
    </row>
    <row r="12610" spans="26:26" x14ac:dyDescent="0.25">
      <c r="Z12610">
        <v>399999.99999999144</v>
      </c>
    </row>
    <row r="12611" spans="26:26" x14ac:dyDescent="0.25">
      <c r="Z12611">
        <v>399999.9999999915</v>
      </c>
    </row>
    <row r="12612" spans="26:26" x14ac:dyDescent="0.25">
      <c r="Z12612">
        <v>399999.9999999915</v>
      </c>
    </row>
    <row r="12613" spans="26:26" x14ac:dyDescent="0.25">
      <c r="Z12613">
        <v>399999.99999999156</v>
      </c>
    </row>
    <row r="12614" spans="26:26" x14ac:dyDescent="0.25">
      <c r="Z12614">
        <v>399999.99999999156</v>
      </c>
    </row>
    <row r="12615" spans="26:26" x14ac:dyDescent="0.25">
      <c r="Z12615">
        <v>399999.99999999156</v>
      </c>
    </row>
    <row r="12616" spans="26:26" x14ac:dyDescent="0.25">
      <c r="Z12616">
        <v>399999.99999999156</v>
      </c>
    </row>
    <row r="12617" spans="26:26" x14ac:dyDescent="0.25">
      <c r="Z12617">
        <v>399999.99999999162</v>
      </c>
    </row>
    <row r="12618" spans="26:26" x14ac:dyDescent="0.25">
      <c r="Z12618">
        <v>399999.99999999162</v>
      </c>
    </row>
    <row r="12619" spans="26:26" x14ac:dyDescent="0.25">
      <c r="Z12619">
        <v>399999.99999999168</v>
      </c>
    </row>
    <row r="12620" spans="26:26" x14ac:dyDescent="0.25">
      <c r="Z12620">
        <v>399999.99999999168</v>
      </c>
    </row>
    <row r="12621" spans="26:26" x14ac:dyDescent="0.25">
      <c r="Z12621">
        <v>399999.99999999168</v>
      </c>
    </row>
    <row r="12622" spans="26:26" x14ac:dyDescent="0.25">
      <c r="Z12622">
        <v>399999.99999999173</v>
      </c>
    </row>
    <row r="12623" spans="26:26" x14ac:dyDescent="0.25">
      <c r="Z12623">
        <v>399999.99999999173</v>
      </c>
    </row>
    <row r="12624" spans="26:26" x14ac:dyDescent="0.25">
      <c r="Z12624">
        <v>399999.99999999173</v>
      </c>
    </row>
    <row r="12625" spans="26:26" x14ac:dyDescent="0.25">
      <c r="Z12625">
        <v>399999.99999999173</v>
      </c>
    </row>
    <row r="12626" spans="26:26" x14ac:dyDescent="0.25">
      <c r="Z12626">
        <v>399999.99999999179</v>
      </c>
    </row>
    <row r="12627" spans="26:26" x14ac:dyDescent="0.25">
      <c r="Z12627">
        <v>399999.99999999179</v>
      </c>
    </row>
    <row r="12628" spans="26:26" x14ac:dyDescent="0.25">
      <c r="Z12628">
        <v>399999.99999999185</v>
      </c>
    </row>
    <row r="12629" spans="26:26" x14ac:dyDescent="0.25">
      <c r="Z12629">
        <v>399999.99999999185</v>
      </c>
    </row>
    <row r="12630" spans="26:26" x14ac:dyDescent="0.25">
      <c r="Z12630">
        <v>399999.99999999191</v>
      </c>
    </row>
    <row r="12631" spans="26:26" x14ac:dyDescent="0.25">
      <c r="Z12631">
        <v>399999.99999999191</v>
      </c>
    </row>
    <row r="12632" spans="26:26" x14ac:dyDescent="0.25">
      <c r="Z12632">
        <v>399999.99999999197</v>
      </c>
    </row>
    <row r="12633" spans="26:26" x14ac:dyDescent="0.25">
      <c r="Z12633">
        <v>399999.99999999197</v>
      </c>
    </row>
    <row r="12634" spans="26:26" x14ac:dyDescent="0.25">
      <c r="Z12634">
        <v>399999.99999999197</v>
      </c>
    </row>
    <row r="12635" spans="26:26" x14ac:dyDescent="0.25">
      <c r="Z12635">
        <v>399999.99999999197</v>
      </c>
    </row>
    <row r="12636" spans="26:26" x14ac:dyDescent="0.25">
      <c r="Z12636">
        <v>399999.99999999197</v>
      </c>
    </row>
    <row r="12637" spans="26:26" x14ac:dyDescent="0.25">
      <c r="Z12637">
        <v>399999.99999999203</v>
      </c>
    </row>
    <row r="12638" spans="26:26" x14ac:dyDescent="0.25">
      <c r="Z12638">
        <v>399999.99999999203</v>
      </c>
    </row>
    <row r="12639" spans="26:26" x14ac:dyDescent="0.25">
      <c r="Z12639">
        <v>399999.99999999208</v>
      </c>
    </row>
    <row r="12640" spans="26:26" x14ac:dyDescent="0.25">
      <c r="Z12640">
        <v>399999.99999999208</v>
      </c>
    </row>
    <row r="12641" spans="26:26" x14ac:dyDescent="0.25">
      <c r="Z12641">
        <v>399999.99999999214</v>
      </c>
    </row>
    <row r="12642" spans="26:26" x14ac:dyDescent="0.25">
      <c r="Z12642">
        <v>399999.99999999214</v>
      </c>
    </row>
    <row r="12643" spans="26:26" x14ac:dyDescent="0.25">
      <c r="Z12643">
        <v>399999.99999999214</v>
      </c>
    </row>
    <row r="12644" spans="26:26" x14ac:dyDescent="0.25">
      <c r="Z12644">
        <v>399999.99999999214</v>
      </c>
    </row>
    <row r="12645" spans="26:26" x14ac:dyDescent="0.25">
      <c r="Z12645">
        <v>399999.99999999214</v>
      </c>
    </row>
    <row r="12646" spans="26:26" x14ac:dyDescent="0.25">
      <c r="Z12646">
        <v>399999.9999999922</v>
      </c>
    </row>
    <row r="12647" spans="26:26" x14ac:dyDescent="0.25">
      <c r="Z12647">
        <v>399999.9999999922</v>
      </c>
    </row>
    <row r="12648" spans="26:26" x14ac:dyDescent="0.25">
      <c r="Z12648">
        <v>399999.99999999226</v>
      </c>
    </row>
    <row r="12649" spans="26:26" x14ac:dyDescent="0.25">
      <c r="Z12649">
        <v>399999.99999999226</v>
      </c>
    </row>
    <row r="12650" spans="26:26" x14ac:dyDescent="0.25">
      <c r="Z12650">
        <v>399999.99999999226</v>
      </c>
    </row>
    <row r="12651" spans="26:26" x14ac:dyDescent="0.25">
      <c r="Z12651">
        <v>399999.99999999232</v>
      </c>
    </row>
    <row r="12652" spans="26:26" x14ac:dyDescent="0.25">
      <c r="Z12652">
        <v>399999.99999999232</v>
      </c>
    </row>
    <row r="12653" spans="26:26" x14ac:dyDescent="0.25">
      <c r="Z12653">
        <v>399999.99999999237</v>
      </c>
    </row>
    <row r="12654" spans="26:26" x14ac:dyDescent="0.25">
      <c r="Z12654">
        <v>399999.99999999237</v>
      </c>
    </row>
    <row r="12655" spans="26:26" x14ac:dyDescent="0.25">
      <c r="Z12655">
        <v>399999.99999999237</v>
      </c>
    </row>
    <row r="12656" spans="26:26" x14ac:dyDescent="0.25">
      <c r="Z12656">
        <v>399999.99999999237</v>
      </c>
    </row>
    <row r="12657" spans="26:26" x14ac:dyDescent="0.25">
      <c r="Z12657">
        <v>399999.99999999237</v>
      </c>
    </row>
    <row r="12658" spans="26:26" x14ac:dyDescent="0.25">
      <c r="Z12658">
        <v>399999.99999999243</v>
      </c>
    </row>
    <row r="12659" spans="26:26" x14ac:dyDescent="0.25">
      <c r="Z12659">
        <v>399999.99999999243</v>
      </c>
    </row>
    <row r="12660" spans="26:26" x14ac:dyDescent="0.25">
      <c r="Z12660">
        <v>399999.99999999249</v>
      </c>
    </row>
    <row r="12661" spans="26:26" x14ac:dyDescent="0.25">
      <c r="Z12661">
        <v>399999.99999999249</v>
      </c>
    </row>
    <row r="12662" spans="26:26" x14ac:dyDescent="0.25">
      <c r="Z12662">
        <v>399999.99999999255</v>
      </c>
    </row>
    <row r="12663" spans="26:26" x14ac:dyDescent="0.25">
      <c r="Z12663">
        <v>399999.99999999255</v>
      </c>
    </row>
    <row r="12664" spans="26:26" x14ac:dyDescent="0.25">
      <c r="Z12664">
        <v>399999.99999999255</v>
      </c>
    </row>
    <row r="12665" spans="26:26" x14ac:dyDescent="0.25">
      <c r="Z12665">
        <v>399999.99999999261</v>
      </c>
    </row>
    <row r="12666" spans="26:26" x14ac:dyDescent="0.25">
      <c r="Z12666">
        <v>399999.99999999261</v>
      </c>
    </row>
    <row r="12667" spans="26:26" x14ac:dyDescent="0.25">
      <c r="Z12667">
        <v>399999.99999999261</v>
      </c>
    </row>
    <row r="12668" spans="26:26" x14ac:dyDescent="0.25">
      <c r="Z12668">
        <v>399999.99999999261</v>
      </c>
    </row>
    <row r="12669" spans="26:26" x14ac:dyDescent="0.25">
      <c r="Z12669">
        <v>399999.99999999267</v>
      </c>
    </row>
    <row r="12670" spans="26:26" x14ac:dyDescent="0.25">
      <c r="Z12670">
        <v>399999.99999999267</v>
      </c>
    </row>
    <row r="12671" spans="26:26" x14ac:dyDescent="0.25">
      <c r="Z12671">
        <v>399999.99999999267</v>
      </c>
    </row>
    <row r="12672" spans="26:26" x14ac:dyDescent="0.25">
      <c r="Z12672">
        <v>399999.99999999272</v>
      </c>
    </row>
    <row r="12673" spans="26:26" x14ac:dyDescent="0.25">
      <c r="Z12673">
        <v>399999.99999999272</v>
      </c>
    </row>
    <row r="12674" spans="26:26" x14ac:dyDescent="0.25">
      <c r="Z12674">
        <v>399999.99999999278</v>
      </c>
    </row>
    <row r="12675" spans="26:26" x14ac:dyDescent="0.25">
      <c r="Z12675">
        <v>399999.99999999278</v>
      </c>
    </row>
    <row r="12676" spans="26:26" x14ac:dyDescent="0.25">
      <c r="Z12676">
        <v>399999.99999999278</v>
      </c>
    </row>
    <row r="12677" spans="26:26" x14ac:dyDescent="0.25">
      <c r="Z12677">
        <v>399999.99999999278</v>
      </c>
    </row>
    <row r="12678" spans="26:26" x14ac:dyDescent="0.25">
      <c r="Z12678">
        <v>399999.99999999278</v>
      </c>
    </row>
    <row r="12679" spans="26:26" x14ac:dyDescent="0.25">
      <c r="Z12679">
        <v>399999.99999999284</v>
      </c>
    </row>
    <row r="12680" spans="26:26" x14ac:dyDescent="0.25">
      <c r="Z12680">
        <v>399999.99999999284</v>
      </c>
    </row>
    <row r="12681" spans="26:26" x14ac:dyDescent="0.25">
      <c r="Z12681">
        <v>399999.99999999284</v>
      </c>
    </row>
    <row r="12682" spans="26:26" x14ac:dyDescent="0.25">
      <c r="Z12682">
        <v>399999.9999999929</v>
      </c>
    </row>
    <row r="12683" spans="26:26" x14ac:dyDescent="0.25">
      <c r="Z12683">
        <v>399999.9999999929</v>
      </c>
    </row>
    <row r="12684" spans="26:26" x14ac:dyDescent="0.25">
      <c r="Z12684">
        <v>399999.99999999296</v>
      </c>
    </row>
    <row r="12685" spans="26:26" x14ac:dyDescent="0.25">
      <c r="Z12685">
        <v>399999.99999999296</v>
      </c>
    </row>
    <row r="12686" spans="26:26" x14ac:dyDescent="0.25">
      <c r="Z12686">
        <v>399999.99999999296</v>
      </c>
    </row>
    <row r="12687" spans="26:26" x14ac:dyDescent="0.25">
      <c r="Z12687">
        <v>399999.99999999302</v>
      </c>
    </row>
    <row r="12688" spans="26:26" x14ac:dyDescent="0.25">
      <c r="Z12688">
        <v>399999.99999999302</v>
      </c>
    </row>
    <row r="12689" spans="26:26" x14ac:dyDescent="0.25">
      <c r="Z12689">
        <v>399999.99999999302</v>
      </c>
    </row>
    <row r="12690" spans="26:26" x14ac:dyDescent="0.25">
      <c r="Z12690">
        <v>399999.99999999302</v>
      </c>
    </row>
    <row r="12691" spans="26:26" x14ac:dyDescent="0.25">
      <c r="Z12691">
        <v>399999.99999999302</v>
      </c>
    </row>
    <row r="12692" spans="26:26" x14ac:dyDescent="0.25">
      <c r="Z12692">
        <v>399999.99999999307</v>
      </c>
    </row>
    <row r="12693" spans="26:26" x14ac:dyDescent="0.25">
      <c r="Z12693">
        <v>399999.99999999307</v>
      </c>
    </row>
    <row r="12694" spans="26:26" x14ac:dyDescent="0.25">
      <c r="Z12694">
        <v>399999.99999999313</v>
      </c>
    </row>
    <row r="12695" spans="26:26" x14ac:dyDescent="0.25">
      <c r="Z12695">
        <v>399999.99999999313</v>
      </c>
    </row>
    <row r="12696" spans="26:26" x14ac:dyDescent="0.25">
      <c r="Z12696">
        <v>399999.99999999313</v>
      </c>
    </row>
    <row r="12697" spans="26:26" x14ac:dyDescent="0.25">
      <c r="Z12697">
        <v>399999.99999999319</v>
      </c>
    </row>
    <row r="12698" spans="26:26" x14ac:dyDescent="0.25">
      <c r="Z12698">
        <v>399999.99999999319</v>
      </c>
    </row>
    <row r="12699" spans="26:26" x14ac:dyDescent="0.25">
      <c r="Z12699">
        <v>399999.99999999319</v>
      </c>
    </row>
    <row r="12700" spans="26:26" x14ac:dyDescent="0.25">
      <c r="Z12700">
        <v>399999.99999999319</v>
      </c>
    </row>
    <row r="12701" spans="26:26" x14ac:dyDescent="0.25">
      <c r="Z12701">
        <v>399999.99999999319</v>
      </c>
    </row>
    <row r="12702" spans="26:26" x14ac:dyDescent="0.25">
      <c r="Z12702">
        <v>399999.99999999325</v>
      </c>
    </row>
    <row r="12703" spans="26:26" x14ac:dyDescent="0.25">
      <c r="Z12703">
        <v>399999.99999999325</v>
      </c>
    </row>
    <row r="12704" spans="26:26" x14ac:dyDescent="0.25">
      <c r="Z12704">
        <v>399999.99999999325</v>
      </c>
    </row>
    <row r="12705" spans="26:26" x14ac:dyDescent="0.25">
      <c r="Z12705">
        <v>399999.99999999331</v>
      </c>
    </row>
    <row r="12706" spans="26:26" x14ac:dyDescent="0.25">
      <c r="Z12706">
        <v>399999.99999999331</v>
      </c>
    </row>
    <row r="12707" spans="26:26" x14ac:dyDescent="0.25">
      <c r="Z12707">
        <v>399999.99999999336</v>
      </c>
    </row>
    <row r="12708" spans="26:26" x14ac:dyDescent="0.25">
      <c r="Z12708">
        <v>399999.99999999336</v>
      </c>
    </row>
    <row r="12709" spans="26:26" x14ac:dyDescent="0.25">
      <c r="Z12709">
        <v>399999.99999999336</v>
      </c>
    </row>
    <row r="12710" spans="26:26" x14ac:dyDescent="0.25">
      <c r="Z12710">
        <v>399999.99999999336</v>
      </c>
    </row>
    <row r="12711" spans="26:26" x14ac:dyDescent="0.25">
      <c r="Z12711">
        <v>399999.99999999336</v>
      </c>
    </row>
    <row r="12712" spans="26:26" x14ac:dyDescent="0.25">
      <c r="Z12712">
        <v>399999.99999999336</v>
      </c>
    </row>
    <row r="12713" spans="26:26" x14ac:dyDescent="0.25">
      <c r="Z12713">
        <v>399999.99999999342</v>
      </c>
    </row>
    <row r="12714" spans="26:26" x14ac:dyDescent="0.25">
      <c r="Z12714">
        <v>399999.99999999342</v>
      </c>
    </row>
    <row r="12715" spans="26:26" x14ac:dyDescent="0.25">
      <c r="Z12715">
        <v>399999.99999999342</v>
      </c>
    </row>
    <row r="12716" spans="26:26" x14ac:dyDescent="0.25">
      <c r="Z12716">
        <v>399999.99999999342</v>
      </c>
    </row>
    <row r="12717" spans="26:26" x14ac:dyDescent="0.25">
      <c r="Z12717">
        <v>399999.99999999342</v>
      </c>
    </row>
    <row r="12718" spans="26:26" x14ac:dyDescent="0.25">
      <c r="Z12718">
        <v>399999.99999999348</v>
      </c>
    </row>
    <row r="12719" spans="26:26" x14ac:dyDescent="0.25">
      <c r="Z12719">
        <v>399999.99999999348</v>
      </c>
    </row>
    <row r="12720" spans="26:26" x14ac:dyDescent="0.25">
      <c r="Z12720">
        <v>399999.99999999348</v>
      </c>
    </row>
    <row r="12721" spans="26:26" x14ac:dyDescent="0.25">
      <c r="Z12721">
        <v>399999.99999999354</v>
      </c>
    </row>
    <row r="12722" spans="26:26" x14ac:dyDescent="0.25">
      <c r="Z12722">
        <v>399999.99999999354</v>
      </c>
    </row>
    <row r="12723" spans="26:26" x14ac:dyDescent="0.25">
      <c r="Z12723">
        <v>399999.99999999354</v>
      </c>
    </row>
    <row r="12724" spans="26:26" x14ac:dyDescent="0.25">
      <c r="Z12724">
        <v>399999.9999999936</v>
      </c>
    </row>
    <row r="12725" spans="26:26" x14ac:dyDescent="0.25">
      <c r="Z12725">
        <v>399999.9999999936</v>
      </c>
    </row>
    <row r="12726" spans="26:26" x14ac:dyDescent="0.25">
      <c r="Z12726">
        <v>399999.9999999936</v>
      </c>
    </row>
    <row r="12727" spans="26:26" x14ac:dyDescent="0.25">
      <c r="Z12727">
        <v>399999.9999999936</v>
      </c>
    </row>
    <row r="12728" spans="26:26" x14ac:dyDescent="0.25">
      <c r="Z12728">
        <v>399999.9999999936</v>
      </c>
    </row>
    <row r="12729" spans="26:26" x14ac:dyDescent="0.25">
      <c r="Z12729">
        <v>399999.99999999366</v>
      </c>
    </row>
    <row r="12730" spans="26:26" x14ac:dyDescent="0.25">
      <c r="Z12730">
        <v>399999.99999999366</v>
      </c>
    </row>
    <row r="12731" spans="26:26" x14ac:dyDescent="0.25">
      <c r="Z12731">
        <v>399999.99999999366</v>
      </c>
    </row>
    <row r="12732" spans="26:26" x14ac:dyDescent="0.25">
      <c r="Z12732">
        <v>399999.99999999371</v>
      </c>
    </row>
    <row r="12733" spans="26:26" x14ac:dyDescent="0.25">
      <c r="Z12733">
        <v>399999.99999999371</v>
      </c>
    </row>
    <row r="12734" spans="26:26" x14ac:dyDescent="0.25">
      <c r="Z12734">
        <v>399999.99999999371</v>
      </c>
    </row>
    <row r="12735" spans="26:26" x14ac:dyDescent="0.25">
      <c r="Z12735">
        <v>399999.99999999377</v>
      </c>
    </row>
    <row r="12736" spans="26:26" x14ac:dyDescent="0.25">
      <c r="Z12736">
        <v>399999.99999999377</v>
      </c>
    </row>
    <row r="12737" spans="26:26" x14ac:dyDescent="0.25">
      <c r="Z12737">
        <v>399999.99999999377</v>
      </c>
    </row>
    <row r="12738" spans="26:26" x14ac:dyDescent="0.25">
      <c r="Z12738">
        <v>399999.99999999383</v>
      </c>
    </row>
    <row r="12739" spans="26:26" x14ac:dyDescent="0.25">
      <c r="Z12739">
        <v>399999.99999999383</v>
      </c>
    </row>
    <row r="12740" spans="26:26" x14ac:dyDescent="0.25">
      <c r="Z12740">
        <v>399999.99999999383</v>
      </c>
    </row>
    <row r="12741" spans="26:26" x14ac:dyDescent="0.25">
      <c r="Z12741">
        <v>399999.99999999383</v>
      </c>
    </row>
    <row r="12742" spans="26:26" x14ac:dyDescent="0.25">
      <c r="Z12742">
        <v>399999.99999999383</v>
      </c>
    </row>
    <row r="12743" spans="26:26" x14ac:dyDescent="0.25">
      <c r="Z12743">
        <v>399999.99999999383</v>
      </c>
    </row>
    <row r="12744" spans="26:26" x14ac:dyDescent="0.25">
      <c r="Z12744">
        <v>399999.99999999389</v>
      </c>
    </row>
    <row r="12745" spans="26:26" x14ac:dyDescent="0.25">
      <c r="Z12745">
        <v>399999.99999999389</v>
      </c>
    </row>
    <row r="12746" spans="26:26" x14ac:dyDescent="0.25">
      <c r="Z12746">
        <v>399999.99999999389</v>
      </c>
    </row>
    <row r="12747" spans="26:26" x14ac:dyDescent="0.25">
      <c r="Z12747">
        <v>399999.99999999395</v>
      </c>
    </row>
    <row r="12748" spans="26:26" x14ac:dyDescent="0.25">
      <c r="Z12748">
        <v>399999.99999999395</v>
      </c>
    </row>
    <row r="12749" spans="26:26" x14ac:dyDescent="0.25">
      <c r="Z12749">
        <v>399999.99999999395</v>
      </c>
    </row>
    <row r="12750" spans="26:26" x14ac:dyDescent="0.25">
      <c r="Z12750">
        <v>399999.999999994</v>
      </c>
    </row>
    <row r="12751" spans="26:26" x14ac:dyDescent="0.25">
      <c r="Z12751">
        <v>399999.999999994</v>
      </c>
    </row>
    <row r="12752" spans="26:26" x14ac:dyDescent="0.25">
      <c r="Z12752">
        <v>399999.999999994</v>
      </c>
    </row>
    <row r="12753" spans="26:26" x14ac:dyDescent="0.25">
      <c r="Z12753">
        <v>399999.99999999406</v>
      </c>
    </row>
    <row r="12754" spans="26:26" x14ac:dyDescent="0.25">
      <c r="Z12754">
        <v>399999.99999999406</v>
      </c>
    </row>
    <row r="12755" spans="26:26" x14ac:dyDescent="0.25">
      <c r="Z12755">
        <v>399999.99999999406</v>
      </c>
    </row>
    <row r="12756" spans="26:26" x14ac:dyDescent="0.25">
      <c r="Z12756">
        <v>399999.99999999406</v>
      </c>
    </row>
    <row r="12757" spans="26:26" x14ac:dyDescent="0.25">
      <c r="Z12757">
        <v>399999.99999999406</v>
      </c>
    </row>
    <row r="12758" spans="26:26" x14ac:dyDescent="0.25">
      <c r="Z12758">
        <v>399999.99999999406</v>
      </c>
    </row>
    <row r="12759" spans="26:26" x14ac:dyDescent="0.25">
      <c r="Z12759">
        <v>399999.99999999412</v>
      </c>
    </row>
    <row r="12760" spans="26:26" x14ac:dyDescent="0.25">
      <c r="Z12760">
        <v>399999.99999999412</v>
      </c>
    </row>
    <row r="12761" spans="26:26" x14ac:dyDescent="0.25">
      <c r="Z12761">
        <v>399999.99999999412</v>
      </c>
    </row>
    <row r="12762" spans="26:26" x14ac:dyDescent="0.25">
      <c r="Z12762">
        <v>399999.99999999418</v>
      </c>
    </row>
    <row r="12763" spans="26:26" x14ac:dyDescent="0.25">
      <c r="Z12763">
        <v>399999.99999999418</v>
      </c>
    </row>
    <row r="12764" spans="26:26" x14ac:dyDescent="0.25">
      <c r="Z12764">
        <v>399999.99999999418</v>
      </c>
    </row>
    <row r="12765" spans="26:26" x14ac:dyDescent="0.25">
      <c r="Z12765">
        <v>399999.99999999424</v>
      </c>
    </row>
    <row r="12766" spans="26:26" x14ac:dyDescent="0.25">
      <c r="Z12766">
        <v>399999.99999999424</v>
      </c>
    </row>
    <row r="12767" spans="26:26" x14ac:dyDescent="0.25">
      <c r="Z12767">
        <v>399999.99999999424</v>
      </c>
    </row>
    <row r="12768" spans="26:26" x14ac:dyDescent="0.25">
      <c r="Z12768">
        <v>399999.99999999424</v>
      </c>
    </row>
    <row r="12769" spans="26:26" x14ac:dyDescent="0.25">
      <c r="Z12769">
        <v>399999.99999999424</v>
      </c>
    </row>
    <row r="12770" spans="26:26" x14ac:dyDescent="0.25">
      <c r="Z12770">
        <v>399999.99999999424</v>
      </c>
    </row>
    <row r="12771" spans="26:26" x14ac:dyDescent="0.25">
      <c r="Z12771">
        <v>399999.9999999943</v>
      </c>
    </row>
    <row r="12772" spans="26:26" x14ac:dyDescent="0.25">
      <c r="Z12772">
        <v>399999.9999999943</v>
      </c>
    </row>
    <row r="12773" spans="26:26" x14ac:dyDescent="0.25">
      <c r="Z12773">
        <v>399999.9999999943</v>
      </c>
    </row>
    <row r="12774" spans="26:26" x14ac:dyDescent="0.25">
      <c r="Z12774">
        <v>399999.99999999435</v>
      </c>
    </row>
    <row r="12775" spans="26:26" x14ac:dyDescent="0.25">
      <c r="Z12775">
        <v>399999.99999999435</v>
      </c>
    </row>
    <row r="12776" spans="26:26" x14ac:dyDescent="0.25">
      <c r="Z12776">
        <v>399999.99999999435</v>
      </c>
    </row>
    <row r="12777" spans="26:26" x14ac:dyDescent="0.25">
      <c r="Z12777">
        <v>399999.99999999441</v>
      </c>
    </row>
    <row r="12778" spans="26:26" x14ac:dyDescent="0.25">
      <c r="Z12778">
        <v>399999.99999999441</v>
      </c>
    </row>
    <row r="12779" spans="26:26" x14ac:dyDescent="0.25">
      <c r="Z12779">
        <v>399999.99999999441</v>
      </c>
    </row>
    <row r="12780" spans="26:26" x14ac:dyDescent="0.25">
      <c r="Z12780">
        <v>399999.99999999447</v>
      </c>
    </row>
    <row r="12781" spans="26:26" x14ac:dyDescent="0.25">
      <c r="Z12781">
        <v>399999.99999999447</v>
      </c>
    </row>
    <row r="12782" spans="26:26" x14ac:dyDescent="0.25">
      <c r="Z12782">
        <v>399999.99999999447</v>
      </c>
    </row>
    <row r="12783" spans="26:26" x14ac:dyDescent="0.25">
      <c r="Z12783">
        <v>399999.99999999447</v>
      </c>
    </row>
    <row r="12784" spans="26:26" x14ac:dyDescent="0.25">
      <c r="Z12784">
        <v>399999.99999999447</v>
      </c>
    </row>
    <row r="12785" spans="26:26" x14ac:dyDescent="0.25">
      <c r="Z12785">
        <v>399999.99999999447</v>
      </c>
    </row>
    <row r="12786" spans="26:26" x14ac:dyDescent="0.25">
      <c r="Z12786">
        <v>399999.99999999447</v>
      </c>
    </row>
    <row r="12787" spans="26:26" x14ac:dyDescent="0.25">
      <c r="Z12787">
        <v>399999.99999999453</v>
      </c>
    </row>
    <row r="12788" spans="26:26" x14ac:dyDescent="0.25">
      <c r="Z12788">
        <v>399999.99999999453</v>
      </c>
    </row>
    <row r="12789" spans="26:26" x14ac:dyDescent="0.25">
      <c r="Z12789">
        <v>399999.99999999453</v>
      </c>
    </row>
    <row r="12790" spans="26:26" x14ac:dyDescent="0.25">
      <c r="Z12790">
        <v>399999.99999999459</v>
      </c>
    </row>
    <row r="12791" spans="26:26" x14ac:dyDescent="0.25">
      <c r="Z12791">
        <v>399999.99999999459</v>
      </c>
    </row>
    <row r="12792" spans="26:26" x14ac:dyDescent="0.25">
      <c r="Z12792">
        <v>399999.99999999459</v>
      </c>
    </row>
    <row r="12793" spans="26:26" x14ac:dyDescent="0.25">
      <c r="Z12793">
        <v>399999.99999999464</v>
      </c>
    </row>
    <row r="12794" spans="26:26" x14ac:dyDescent="0.25">
      <c r="Z12794">
        <v>399999.99999999464</v>
      </c>
    </row>
    <row r="12795" spans="26:26" x14ac:dyDescent="0.25">
      <c r="Z12795">
        <v>399999.99999999464</v>
      </c>
    </row>
    <row r="12796" spans="26:26" x14ac:dyDescent="0.25">
      <c r="Z12796">
        <v>399999.99999999464</v>
      </c>
    </row>
    <row r="12797" spans="26:26" x14ac:dyDescent="0.25">
      <c r="Z12797">
        <v>399999.99999999464</v>
      </c>
    </row>
    <row r="12798" spans="26:26" x14ac:dyDescent="0.25">
      <c r="Z12798">
        <v>399999.99999999464</v>
      </c>
    </row>
    <row r="12799" spans="26:26" x14ac:dyDescent="0.25">
      <c r="Z12799">
        <v>399999.99999999464</v>
      </c>
    </row>
    <row r="12800" spans="26:26" x14ac:dyDescent="0.25">
      <c r="Z12800">
        <v>399999.9999999947</v>
      </c>
    </row>
    <row r="12801" spans="26:26" x14ac:dyDescent="0.25">
      <c r="Z12801">
        <v>399999.9999999947</v>
      </c>
    </row>
    <row r="12802" spans="26:26" x14ac:dyDescent="0.25">
      <c r="Z12802">
        <v>399999.9999999947</v>
      </c>
    </row>
    <row r="12803" spans="26:26" x14ac:dyDescent="0.25">
      <c r="Z12803">
        <v>399999.99999999476</v>
      </c>
    </row>
    <row r="12804" spans="26:26" x14ac:dyDescent="0.25">
      <c r="Z12804">
        <v>399999.99999999476</v>
      </c>
    </row>
    <row r="12805" spans="26:26" x14ac:dyDescent="0.25">
      <c r="Z12805">
        <v>399999.99999999476</v>
      </c>
    </row>
    <row r="12806" spans="26:26" x14ac:dyDescent="0.25">
      <c r="Z12806">
        <v>399999.99999999476</v>
      </c>
    </row>
    <row r="12807" spans="26:26" x14ac:dyDescent="0.25">
      <c r="Z12807">
        <v>399999.99999999482</v>
      </c>
    </row>
    <row r="12808" spans="26:26" x14ac:dyDescent="0.25">
      <c r="Z12808">
        <v>399999.99999999482</v>
      </c>
    </row>
    <row r="12809" spans="26:26" x14ac:dyDescent="0.25">
      <c r="Z12809">
        <v>399999.99999999482</v>
      </c>
    </row>
    <row r="12810" spans="26:26" x14ac:dyDescent="0.25">
      <c r="Z12810">
        <v>399999.99999999488</v>
      </c>
    </row>
    <row r="12811" spans="26:26" x14ac:dyDescent="0.25">
      <c r="Z12811">
        <v>399999.99999999488</v>
      </c>
    </row>
    <row r="12812" spans="26:26" x14ac:dyDescent="0.25">
      <c r="Z12812">
        <v>399999.99999999488</v>
      </c>
    </row>
    <row r="12813" spans="26:26" x14ac:dyDescent="0.25">
      <c r="Z12813">
        <v>399999.99999999488</v>
      </c>
    </row>
    <row r="12814" spans="26:26" x14ac:dyDescent="0.25">
      <c r="Z12814">
        <v>399999.99999999488</v>
      </c>
    </row>
    <row r="12815" spans="26:26" x14ac:dyDescent="0.25">
      <c r="Z12815">
        <v>399999.99999999488</v>
      </c>
    </row>
    <row r="12816" spans="26:26" x14ac:dyDescent="0.25">
      <c r="Z12816">
        <v>399999.99999999488</v>
      </c>
    </row>
    <row r="12817" spans="26:26" x14ac:dyDescent="0.25">
      <c r="Z12817">
        <v>399999.99999999494</v>
      </c>
    </row>
    <row r="12818" spans="26:26" x14ac:dyDescent="0.25">
      <c r="Z12818">
        <v>399999.99999999494</v>
      </c>
    </row>
    <row r="12819" spans="26:26" x14ac:dyDescent="0.25">
      <c r="Z12819">
        <v>399999.99999999494</v>
      </c>
    </row>
    <row r="12820" spans="26:26" x14ac:dyDescent="0.25">
      <c r="Z12820">
        <v>399999.99999999499</v>
      </c>
    </row>
    <row r="12821" spans="26:26" x14ac:dyDescent="0.25">
      <c r="Z12821">
        <v>399999.99999999499</v>
      </c>
    </row>
    <row r="12822" spans="26:26" x14ac:dyDescent="0.25">
      <c r="Z12822">
        <v>399999.99999999499</v>
      </c>
    </row>
    <row r="12823" spans="26:26" x14ac:dyDescent="0.25">
      <c r="Z12823">
        <v>399999.99999999499</v>
      </c>
    </row>
    <row r="12824" spans="26:26" x14ac:dyDescent="0.25">
      <c r="Z12824">
        <v>399999.99999999505</v>
      </c>
    </row>
    <row r="12825" spans="26:26" x14ac:dyDescent="0.25">
      <c r="Z12825">
        <v>399999.99999999505</v>
      </c>
    </row>
    <row r="12826" spans="26:26" x14ac:dyDescent="0.25">
      <c r="Z12826">
        <v>399999.99999999505</v>
      </c>
    </row>
    <row r="12827" spans="26:26" x14ac:dyDescent="0.25">
      <c r="Z12827">
        <v>399999.99999999505</v>
      </c>
    </row>
    <row r="12828" spans="26:26" x14ac:dyDescent="0.25">
      <c r="Z12828">
        <v>399999.99999999505</v>
      </c>
    </row>
    <row r="12829" spans="26:26" x14ac:dyDescent="0.25">
      <c r="Z12829">
        <v>399999.99999999505</v>
      </c>
    </row>
    <row r="12830" spans="26:26" x14ac:dyDescent="0.25">
      <c r="Z12830">
        <v>399999.99999999505</v>
      </c>
    </row>
    <row r="12831" spans="26:26" x14ac:dyDescent="0.25">
      <c r="Z12831">
        <v>399999.99999999511</v>
      </c>
    </row>
    <row r="12832" spans="26:26" x14ac:dyDescent="0.25">
      <c r="Z12832">
        <v>399999.99999999511</v>
      </c>
    </row>
    <row r="12833" spans="26:26" x14ac:dyDescent="0.25">
      <c r="Z12833">
        <v>399999.99999999511</v>
      </c>
    </row>
    <row r="12834" spans="26:26" x14ac:dyDescent="0.25">
      <c r="Z12834">
        <v>399999.99999999511</v>
      </c>
    </row>
    <row r="12835" spans="26:26" x14ac:dyDescent="0.25">
      <c r="Z12835">
        <v>399999.99999999517</v>
      </c>
    </row>
    <row r="12836" spans="26:26" x14ac:dyDescent="0.25">
      <c r="Z12836">
        <v>399999.99999999517</v>
      </c>
    </row>
    <row r="12837" spans="26:26" x14ac:dyDescent="0.25">
      <c r="Z12837">
        <v>399999.99999999517</v>
      </c>
    </row>
    <row r="12838" spans="26:26" x14ac:dyDescent="0.25">
      <c r="Z12838">
        <v>399999.99999999517</v>
      </c>
    </row>
    <row r="12839" spans="26:26" x14ac:dyDescent="0.25">
      <c r="Z12839">
        <v>399999.99999999523</v>
      </c>
    </row>
    <row r="12840" spans="26:26" x14ac:dyDescent="0.25">
      <c r="Z12840">
        <v>399999.99999999523</v>
      </c>
    </row>
    <row r="12841" spans="26:26" x14ac:dyDescent="0.25">
      <c r="Z12841">
        <v>399999.99999999523</v>
      </c>
    </row>
    <row r="12842" spans="26:26" x14ac:dyDescent="0.25">
      <c r="Z12842">
        <v>399999.99999999529</v>
      </c>
    </row>
    <row r="12843" spans="26:26" x14ac:dyDescent="0.25">
      <c r="Z12843">
        <v>399999.99999999529</v>
      </c>
    </row>
    <row r="12844" spans="26:26" x14ac:dyDescent="0.25">
      <c r="Z12844">
        <v>399999.99999999529</v>
      </c>
    </row>
    <row r="12845" spans="26:26" x14ac:dyDescent="0.25">
      <c r="Z12845">
        <v>399999.99999999529</v>
      </c>
    </row>
    <row r="12846" spans="26:26" x14ac:dyDescent="0.25">
      <c r="Z12846">
        <v>399999.99999999529</v>
      </c>
    </row>
    <row r="12847" spans="26:26" x14ac:dyDescent="0.25">
      <c r="Z12847">
        <v>399999.99999999529</v>
      </c>
    </row>
    <row r="12848" spans="26:26" x14ac:dyDescent="0.25">
      <c r="Z12848">
        <v>399999.99999999529</v>
      </c>
    </row>
    <row r="12849" spans="26:26" x14ac:dyDescent="0.25">
      <c r="Z12849">
        <v>399999.99999999529</v>
      </c>
    </row>
    <row r="12850" spans="26:26" x14ac:dyDescent="0.25">
      <c r="Z12850">
        <v>399999.99999999529</v>
      </c>
    </row>
    <row r="12851" spans="26:26" x14ac:dyDescent="0.25">
      <c r="Z12851">
        <v>399999.99999999529</v>
      </c>
    </row>
    <row r="12852" spans="26:26" x14ac:dyDescent="0.25">
      <c r="Z12852">
        <v>399999.99999999529</v>
      </c>
    </row>
    <row r="12853" spans="26:26" x14ac:dyDescent="0.25">
      <c r="Z12853">
        <v>399999.99999999529</v>
      </c>
    </row>
    <row r="12854" spans="26:26" x14ac:dyDescent="0.25">
      <c r="Z12854">
        <v>399999.99999999534</v>
      </c>
    </row>
    <row r="12855" spans="26:26" x14ac:dyDescent="0.25">
      <c r="Z12855">
        <v>399999.99999999534</v>
      </c>
    </row>
    <row r="12856" spans="26:26" x14ac:dyDescent="0.25">
      <c r="Z12856">
        <v>399999.99999999534</v>
      </c>
    </row>
    <row r="12857" spans="26:26" x14ac:dyDescent="0.25">
      <c r="Z12857">
        <v>399999.9999999954</v>
      </c>
    </row>
    <row r="12858" spans="26:26" x14ac:dyDescent="0.25">
      <c r="Z12858">
        <v>399999.9999999954</v>
      </c>
    </row>
    <row r="12859" spans="26:26" x14ac:dyDescent="0.25">
      <c r="Z12859">
        <v>399999.9999999954</v>
      </c>
    </row>
    <row r="12860" spans="26:26" x14ac:dyDescent="0.25">
      <c r="Z12860">
        <v>399999.9999999954</v>
      </c>
    </row>
    <row r="12861" spans="26:26" x14ac:dyDescent="0.25">
      <c r="Z12861">
        <v>399999.99999999546</v>
      </c>
    </row>
    <row r="12862" spans="26:26" x14ac:dyDescent="0.25">
      <c r="Z12862">
        <v>399999.99999999546</v>
      </c>
    </row>
    <row r="12863" spans="26:26" x14ac:dyDescent="0.25">
      <c r="Z12863">
        <v>399999.99999999546</v>
      </c>
    </row>
    <row r="12864" spans="26:26" x14ac:dyDescent="0.25">
      <c r="Z12864">
        <v>399999.99999999546</v>
      </c>
    </row>
    <row r="12865" spans="26:26" x14ac:dyDescent="0.25">
      <c r="Z12865">
        <v>399999.99999999552</v>
      </c>
    </row>
    <row r="12866" spans="26:26" x14ac:dyDescent="0.25">
      <c r="Z12866">
        <v>399999.99999999552</v>
      </c>
    </row>
    <row r="12867" spans="26:26" x14ac:dyDescent="0.25">
      <c r="Z12867">
        <v>399999.99999999552</v>
      </c>
    </row>
    <row r="12868" spans="26:26" x14ac:dyDescent="0.25">
      <c r="Z12868">
        <v>399999.99999999552</v>
      </c>
    </row>
    <row r="12869" spans="26:26" x14ac:dyDescent="0.25">
      <c r="Z12869">
        <v>399999.99999999552</v>
      </c>
    </row>
    <row r="12870" spans="26:26" x14ac:dyDescent="0.25">
      <c r="Z12870">
        <v>399999.99999999552</v>
      </c>
    </row>
    <row r="12871" spans="26:26" x14ac:dyDescent="0.25">
      <c r="Z12871">
        <v>399999.99999999552</v>
      </c>
    </row>
    <row r="12872" spans="26:26" x14ac:dyDescent="0.25">
      <c r="Z12872">
        <v>399999.99999999552</v>
      </c>
    </row>
    <row r="12873" spans="26:26" x14ac:dyDescent="0.25">
      <c r="Z12873">
        <v>399999.99999999558</v>
      </c>
    </row>
    <row r="12874" spans="26:26" x14ac:dyDescent="0.25">
      <c r="Z12874">
        <v>399999.99999999558</v>
      </c>
    </row>
    <row r="12875" spans="26:26" x14ac:dyDescent="0.25">
      <c r="Z12875">
        <v>399999.99999999558</v>
      </c>
    </row>
    <row r="12876" spans="26:26" x14ac:dyDescent="0.25">
      <c r="Z12876">
        <v>399999.99999999558</v>
      </c>
    </row>
    <row r="12877" spans="26:26" x14ac:dyDescent="0.25">
      <c r="Z12877">
        <v>399999.99999999563</v>
      </c>
    </row>
    <row r="12878" spans="26:26" x14ac:dyDescent="0.25">
      <c r="Z12878">
        <v>399999.99999999563</v>
      </c>
    </row>
    <row r="12879" spans="26:26" x14ac:dyDescent="0.25">
      <c r="Z12879">
        <v>399999.99999999563</v>
      </c>
    </row>
    <row r="12880" spans="26:26" x14ac:dyDescent="0.25">
      <c r="Z12880">
        <v>399999.99999999563</v>
      </c>
    </row>
    <row r="12881" spans="26:26" x14ac:dyDescent="0.25">
      <c r="Z12881">
        <v>399999.99999999569</v>
      </c>
    </row>
    <row r="12882" spans="26:26" x14ac:dyDescent="0.25">
      <c r="Z12882">
        <v>399999.99999999569</v>
      </c>
    </row>
    <row r="12883" spans="26:26" x14ac:dyDescent="0.25">
      <c r="Z12883">
        <v>399999.99999999569</v>
      </c>
    </row>
    <row r="12884" spans="26:26" x14ac:dyDescent="0.25">
      <c r="Z12884">
        <v>399999.99999999569</v>
      </c>
    </row>
    <row r="12885" spans="26:26" x14ac:dyDescent="0.25">
      <c r="Z12885">
        <v>399999.99999999569</v>
      </c>
    </row>
    <row r="12886" spans="26:26" x14ac:dyDescent="0.25">
      <c r="Z12886">
        <v>399999.99999999569</v>
      </c>
    </row>
    <row r="12887" spans="26:26" x14ac:dyDescent="0.25">
      <c r="Z12887">
        <v>399999.99999999569</v>
      </c>
    </row>
    <row r="12888" spans="26:26" x14ac:dyDescent="0.25">
      <c r="Z12888">
        <v>399999.99999999569</v>
      </c>
    </row>
    <row r="12889" spans="26:26" x14ac:dyDescent="0.25">
      <c r="Z12889">
        <v>399999.99999999569</v>
      </c>
    </row>
    <row r="12890" spans="26:26" x14ac:dyDescent="0.25">
      <c r="Z12890">
        <v>399999.99999999575</v>
      </c>
    </row>
    <row r="12891" spans="26:26" x14ac:dyDescent="0.25">
      <c r="Z12891">
        <v>399999.99999999575</v>
      </c>
    </row>
    <row r="12892" spans="26:26" x14ac:dyDescent="0.25">
      <c r="Z12892">
        <v>399999.99999999575</v>
      </c>
    </row>
    <row r="12893" spans="26:26" x14ac:dyDescent="0.25">
      <c r="Z12893">
        <v>399999.99999999575</v>
      </c>
    </row>
    <row r="12894" spans="26:26" x14ac:dyDescent="0.25">
      <c r="Z12894">
        <v>399999.99999999581</v>
      </c>
    </row>
    <row r="12895" spans="26:26" x14ac:dyDescent="0.25">
      <c r="Z12895">
        <v>399999.99999999581</v>
      </c>
    </row>
    <row r="12896" spans="26:26" x14ac:dyDescent="0.25">
      <c r="Z12896">
        <v>399999.99999999581</v>
      </c>
    </row>
    <row r="12897" spans="26:26" x14ac:dyDescent="0.25">
      <c r="Z12897">
        <v>399999.99999999581</v>
      </c>
    </row>
    <row r="12898" spans="26:26" x14ac:dyDescent="0.25">
      <c r="Z12898">
        <v>399999.99999999587</v>
      </c>
    </row>
    <row r="12899" spans="26:26" x14ac:dyDescent="0.25">
      <c r="Z12899">
        <v>399999.99999999587</v>
      </c>
    </row>
    <row r="12900" spans="26:26" x14ac:dyDescent="0.25">
      <c r="Z12900">
        <v>399999.99999999587</v>
      </c>
    </row>
    <row r="12901" spans="26:26" x14ac:dyDescent="0.25">
      <c r="Z12901">
        <v>399999.99999999587</v>
      </c>
    </row>
    <row r="12902" spans="26:26" x14ac:dyDescent="0.25">
      <c r="Z12902">
        <v>399999.99999999593</v>
      </c>
    </row>
    <row r="12903" spans="26:26" x14ac:dyDescent="0.25">
      <c r="Z12903">
        <v>399999.99999999593</v>
      </c>
    </row>
    <row r="12904" spans="26:26" x14ac:dyDescent="0.25">
      <c r="Z12904">
        <v>399999.99999999593</v>
      </c>
    </row>
    <row r="12905" spans="26:26" x14ac:dyDescent="0.25">
      <c r="Z12905">
        <v>399999.99999999593</v>
      </c>
    </row>
    <row r="12906" spans="26:26" x14ac:dyDescent="0.25">
      <c r="Z12906">
        <v>399999.99999999593</v>
      </c>
    </row>
    <row r="12907" spans="26:26" x14ac:dyDescent="0.25">
      <c r="Z12907">
        <v>399999.99999999593</v>
      </c>
    </row>
    <row r="12908" spans="26:26" x14ac:dyDescent="0.25">
      <c r="Z12908">
        <v>399999.99999999593</v>
      </c>
    </row>
    <row r="12909" spans="26:26" x14ac:dyDescent="0.25">
      <c r="Z12909">
        <v>399999.99999999593</v>
      </c>
    </row>
    <row r="12910" spans="26:26" x14ac:dyDescent="0.25">
      <c r="Z12910">
        <v>399999.99999999593</v>
      </c>
    </row>
    <row r="12911" spans="26:26" x14ac:dyDescent="0.25">
      <c r="Z12911">
        <v>399999.99999999598</v>
      </c>
    </row>
    <row r="12912" spans="26:26" x14ac:dyDescent="0.25">
      <c r="Z12912">
        <v>399999.99999999598</v>
      </c>
    </row>
    <row r="12913" spans="26:26" x14ac:dyDescent="0.25">
      <c r="Z12913">
        <v>399999.99999999598</v>
      </c>
    </row>
    <row r="12914" spans="26:26" x14ac:dyDescent="0.25">
      <c r="Z12914">
        <v>399999.99999999598</v>
      </c>
    </row>
    <row r="12915" spans="26:26" x14ac:dyDescent="0.25">
      <c r="Z12915">
        <v>399999.99999999598</v>
      </c>
    </row>
    <row r="12916" spans="26:26" x14ac:dyDescent="0.25">
      <c r="Z12916">
        <v>399999.99999999604</v>
      </c>
    </row>
    <row r="12917" spans="26:26" x14ac:dyDescent="0.25">
      <c r="Z12917">
        <v>399999.99999999604</v>
      </c>
    </row>
    <row r="12918" spans="26:26" x14ac:dyDescent="0.25">
      <c r="Z12918">
        <v>399999.99999999604</v>
      </c>
    </row>
    <row r="12919" spans="26:26" x14ac:dyDescent="0.25">
      <c r="Z12919">
        <v>399999.99999999604</v>
      </c>
    </row>
    <row r="12920" spans="26:26" x14ac:dyDescent="0.25">
      <c r="Z12920">
        <v>399999.9999999961</v>
      </c>
    </row>
    <row r="12921" spans="26:26" x14ac:dyDescent="0.25">
      <c r="Z12921">
        <v>399999.9999999961</v>
      </c>
    </row>
    <row r="12922" spans="26:26" x14ac:dyDescent="0.25">
      <c r="Z12922">
        <v>399999.9999999961</v>
      </c>
    </row>
    <row r="12923" spans="26:26" x14ac:dyDescent="0.25">
      <c r="Z12923">
        <v>399999.9999999961</v>
      </c>
    </row>
    <row r="12924" spans="26:26" x14ac:dyDescent="0.25">
      <c r="Z12924">
        <v>399999.9999999961</v>
      </c>
    </row>
    <row r="12925" spans="26:26" x14ac:dyDescent="0.25">
      <c r="Z12925">
        <v>399999.9999999961</v>
      </c>
    </row>
    <row r="12926" spans="26:26" x14ac:dyDescent="0.25">
      <c r="Z12926">
        <v>399999.9999999961</v>
      </c>
    </row>
    <row r="12927" spans="26:26" x14ac:dyDescent="0.25">
      <c r="Z12927">
        <v>399999.9999999961</v>
      </c>
    </row>
    <row r="12928" spans="26:26" x14ac:dyDescent="0.25">
      <c r="Z12928">
        <v>399999.9999999961</v>
      </c>
    </row>
    <row r="12929" spans="26:26" x14ac:dyDescent="0.25">
      <c r="Z12929">
        <v>399999.99999999616</v>
      </c>
    </row>
    <row r="12930" spans="26:26" x14ac:dyDescent="0.25">
      <c r="Z12930">
        <v>399999.99999999616</v>
      </c>
    </row>
    <row r="12931" spans="26:26" x14ac:dyDescent="0.25">
      <c r="Z12931">
        <v>399999.99999999616</v>
      </c>
    </row>
    <row r="12932" spans="26:26" x14ac:dyDescent="0.25">
      <c r="Z12932">
        <v>399999.99999999616</v>
      </c>
    </row>
    <row r="12933" spans="26:26" x14ac:dyDescent="0.25">
      <c r="Z12933">
        <v>399999.99999999616</v>
      </c>
    </row>
    <row r="12934" spans="26:26" x14ac:dyDescent="0.25">
      <c r="Z12934">
        <v>399999.99999999622</v>
      </c>
    </row>
    <row r="12935" spans="26:26" x14ac:dyDescent="0.25">
      <c r="Z12935">
        <v>399999.99999999622</v>
      </c>
    </row>
    <row r="12936" spans="26:26" x14ac:dyDescent="0.25">
      <c r="Z12936">
        <v>399999.99999999622</v>
      </c>
    </row>
    <row r="12937" spans="26:26" x14ac:dyDescent="0.25">
      <c r="Z12937">
        <v>399999.99999999622</v>
      </c>
    </row>
    <row r="12938" spans="26:26" x14ac:dyDescent="0.25">
      <c r="Z12938">
        <v>399999.99999999622</v>
      </c>
    </row>
    <row r="12939" spans="26:26" x14ac:dyDescent="0.25">
      <c r="Z12939">
        <v>399999.99999999627</v>
      </c>
    </row>
    <row r="12940" spans="26:26" x14ac:dyDescent="0.25">
      <c r="Z12940">
        <v>399999.99999999627</v>
      </c>
    </row>
    <row r="12941" spans="26:26" x14ac:dyDescent="0.25">
      <c r="Z12941">
        <v>399999.99999999627</v>
      </c>
    </row>
    <row r="12942" spans="26:26" x14ac:dyDescent="0.25">
      <c r="Z12942">
        <v>399999.99999999627</v>
      </c>
    </row>
    <row r="12943" spans="26:26" x14ac:dyDescent="0.25">
      <c r="Z12943">
        <v>399999.99999999633</v>
      </c>
    </row>
    <row r="12944" spans="26:26" x14ac:dyDescent="0.25">
      <c r="Z12944">
        <v>399999.99999999633</v>
      </c>
    </row>
    <row r="12945" spans="26:26" x14ac:dyDescent="0.25">
      <c r="Z12945">
        <v>399999.99999999633</v>
      </c>
    </row>
    <row r="12946" spans="26:26" x14ac:dyDescent="0.25">
      <c r="Z12946">
        <v>399999.99999999633</v>
      </c>
    </row>
    <row r="12947" spans="26:26" x14ac:dyDescent="0.25">
      <c r="Z12947">
        <v>399999.99999999633</v>
      </c>
    </row>
    <row r="12948" spans="26:26" x14ac:dyDescent="0.25">
      <c r="Z12948">
        <v>399999.99999999633</v>
      </c>
    </row>
    <row r="12949" spans="26:26" x14ac:dyDescent="0.25">
      <c r="Z12949">
        <v>399999.99999999633</v>
      </c>
    </row>
    <row r="12950" spans="26:26" x14ac:dyDescent="0.25">
      <c r="Z12950">
        <v>399999.99999999633</v>
      </c>
    </row>
    <row r="12951" spans="26:26" x14ac:dyDescent="0.25">
      <c r="Z12951">
        <v>399999.99999999633</v>
      </c>
    </row>
    <row r="12952" spans="26:26" x14ac:dyDescent="0.25">
      <c r="Z12952">
        <v>399999.99999999633</v>
      </c>
    </row>
    <row r="12953" spans="26:26" x14ac:dyDescent="0.25">
      <c r="Z12953">
        <v>399999.99999999639</v>
      </c>
    </row>
    <row r="12954" spans="26:26" x14ac:dyDescent="0.25">
      <c r="Z12954">
        <v>399999.99999999639</v>
      </c>
    </row>
    <row r="12955" spans="26:26" x14ac:dyDescent="0.25">
      <c r="Z12955">
        <v>399999.99999999639</v>
      </c>
    </row>
    <row r="12956" spans="26:26" x14ac:dyDescent="0.25">
      <c r="Z12956">
        <v>399999.99999999639</v>
      </c>
    </row>
    <row r="12957" spans="26:26" x14ac:dyDescent="0.25">
      <c r="Z12957">
        <v>399999.99999999639</v>
      </c>
    </row>
    <row r="12958" spans="26:26" x14ac:dyDescent="0.25">
      <c r="Z12958">
        <v>399999.99999999645</v>
      </c>
    </row>
    <row r="12959" spans="26:26" x14ac:dyDescent="0.25">
      <c r="Z12959">
        <v>399999.99999999645</v>
      </c>
    </row>
    <row r="12960" spans="26:26" x14ac:dyDescent="0.25">
      <c r="Z12960">
        <v>399999.99999999645</v>
      </c>
    </row>
    <row r="12961" spans="26:26" x14ac:dyDescent="0.25">
      <c r="Z12961">
        <v>399999.99999999645</v>
      </c>
    </row>
    <row r="12962" spans="26:26" x14ac:dyDescent="0.25">
      <c r="Z12962">
        <v>399999.99999999645</v>
      </c>
    </row>
    <row r="12963" spans="26:26" x14ac:dyDescent="0.25">
      <c r="Z12963">
        <v>399999.99999999651</v>
      </c>
    </row>
    <row r="12964" spans="26:26" x14ac:dyDescent="0.25">
      <c r="Z12964">
        <v>399999.99999999651</v>
      </c>
    </row>
    <row r="12965" spans="26:26" x14ac:dyDescent="0.25">
      <c r="Z12965">
        <v>399999.99999999651</v>
      </c>
    </row>
    <row r="12966" spans="26:26" x14ac:dyDescent="0.25">
      <c r="Z12966">
        <v>399999.99999999651</v>
      </c>
    </row>
    <row r="12967" spans="26:26" x14ac:dyDescent="0.25">
      <c r="Z12967">
        <v>399999.99999999651</v>
      </c>
    </row>
    <row r="12968" spans="26:26" x14ac:dyDescent="0.25">
      <c r="Z12968">
        <v>399999.99999999651</v>
      </c>
    </row>
    <row r="12969" spans="26:26" x14ac:dyDescent="0.25">
      <c r="Z12969">
        <v>399999.99999999651</v>
      </c>
    </row>
    <row r="12970" spans="26:26" x14ac:dyDescent="0.25">
      <c r="Z12970">
        <v>399999.99999999651</v>
      </c>
    </row>
    <row r="12971" spans="26:26" x14ac:dyDescent="0.25">
      <c r="Z12971">
        <v>399999.99999999651</v>
      </c>
    </row>
    <row r="12972" spans="26:26" x14ac:dyDescent="0.25">
      <c r="Z12972">
        <v>399999.99999999651</v>
      </c>
    </row>
    <row r="12973" spans="26:26" x14ac:dyDescent="0.25">
      <c r="Z12973">
        <v>399999.99999999657</v>
      </c>
    </row>
    <row r="12974" spans="26:26" x14ac:dyDescent="0.25">
      <c r="Z12974">
        <v>399999.99999999657</v>
      </c>
    </row>
    <row r="12975" spans="26:26" x14ac:dyDescent="0.25">
      <c r="Z12975">
        <v>399999.99999999657</v>
      </c>
    </row>
    <row r="12976" spans="26:26" x14ac:dyDescent="0.25">
      <c r="Z12976">
        <v>399999.99999999657</v>
      </c>
    </row>
    <row r="12977" spans="26:26" x14ac:dyDescent="0.25">
      <c r="Z12977">
        <v>399999.99999999657</v>
      </c>
    </row>
    <row r="12978" spans="26:26" x14ac:dyDescent="0.25">
      <c r="Z12978">
        <v>399999.99999999662</v>
      </c>
    </row>
    <row r="12979" spans="26:26" x14ac:dyDescent="0.25">
      <c r="Z12979">
        <v>399999.99999999662</v>
      </c>
    </row>
    <row r="12980" spans="26:26" x14ac:dyDescent="0.25">
      <c r="Z12980">
        <v>399999.99999999662</v>
      </c>
    </row>
    <row r="12981" spans="26:26" x14ac:dyDescent="0.25">
      <c r="Z12981">
        <v>399999.99999999662</v>
      </c>
    </row>
    <row r="12982" spans="26:26" x14ac:dyDescent="0.25">
      <c r="Z12982">
        <v>399999.99999999662</v>
      </c>
    </row>
    <row r="12983" spans="26:26" x14ac:dyDescent="0.25">
      <c r="Z12983">
        <v>399999.99999999662</v>
      </c>
    </row>
    <row r="12984" spans="26:26" x14ac:dyDescent="0.25">
      <c r="Z12984">
        <v>399999.99999999668</v>
      </c>
    </row>
    <row r="12985" spans="26:26" x14ac:dyDescent="0.25">
      <c r="Z12985">
        <v>399999.99999999668</v>
      </c>
    </row>
    <row r="12986" spans="26:26" x14ac:dyDescent="0.25">
      <c r="Z12986">
        <v>399999.99999999668</v>
      </c>
    </row>
    <row r="12987" spans="26:26" x14ac:dyDescent="0.25">
      <c r="Z12987">
        <v>399999.99999999668</v>
      </c>
    </row>
    <row r="12988" spans="26:26" x14ac:dyDescent="0.25">
      <c r="Z12988">
        <v>399999.99999999668</v>
      </c>
    </row>
    <row r="12989" spans="26:26" x14ac:dyDescent="0.25">
      <c r="Z12989">
        <v>399999.99999999674</v>
      </c>
    </row>
    <row r="12990" spans="26:26" x14ac:dyDescent="0.25">
      <c r="Z12990">
        <v>399999.99999999674</v>
      </c>
    </row>
    <row r="12991" spans="26:26" x14ac:dyDescent="0.25">
      <c r="Z12991">
        <v>399999.99999999674</v>
      </c>
    </row>
    <row r="12992" spans="26:26" x14ac:dyDescent="0.25">
      <c r="Z12992">
        <v>399999.99999999674</v>
      </c>
    </row>
    <row r="12993" spans="26:26" x14ac:dyDescent="0.25">
      <c r="Z12993">
        <v>399999.99999999674</v>
      </c>
    </row>
    <row r="12994" spans="26:26" x14ac:dyDescent="0.25">
      <c r="Z12994">
        <v>399999.99999999674</v>
      </c>
    </row>
    <row r="12995" spans="26:26" x14ac:dyDescent="0.25">
      <c r="Z12995">
        <v>399999.99999999674</v>
      </c>
    </row>
    <row r="12996" spans="26:26" x14ac:dyDescent="0.25">
      <c r="Z12996">
        <v>399999.99999999674</v>
      </c>
    </row>
    <row r="12997" spans="26:26" x14ac:dyDescent="0.25">
      <c r="Z12997">
        <v>399999.99999999674</v>
      </c>
    </row>
    <row r="12998" spans="26:26" x14ac:dyDescent="0.25">
      <c r="Z12998">
        <v>399999.99999999674</v>
      </c>
    </row>
    <row r="12999" spans="26:26" x14ac:dyDescent="0.25">
      <c r="Z12999">
        <v>399999.99999999674</v>
      </c>
    </row>
    <row r="13000" spans="26:26" x14ac:dyDescent="0.25">
      <c r="Z13000">
        <v>399999.9999999968</v>
      </c>
    </row>
    <row r="13001" spans="26:26" x14ac:dyDescent="0.25">
      <c r="Z13001">
        <v>399999.9999999968</v>
      </c>
    </row>
    <row r="13002" spans="26:26" x14ac:dyDescent="0.25">
      <c r="Z13002">
        <v>399999.9999999968</v>
      </c>
    </row>
    <row r="13003" spans="26:26" x14ac:dyDescent="0.25">
      <c r="Z13003">
        <v>399999.9999999968</v>
      </c>
    </row>
    <row r="13004" spans="26:26" x14ac:dyDescent="0.25">
      <c r="Z13004">
        <v>399999.9999999968</v>
      </c>
    </row>
    <row r="13005" spans="26:26" x14ac:dyDescent="0.25">
      <c r="Z13005">
        <v>399999.9999999968</v>
      </c>
    </row>
    <row r="13006" spans="26:26" x14ac:dyDescent="0.25">
      <c r="Z13006">
        <v>399999.99999999686</v>
      </c>
    </row>
    <row r="13007" spans="26:26" x14ac:dyDescent="0.25">
      <c r="Z13007">
        <v>399999.99999999686</v>
      </c>
    </row>
    <row r="13008" spans="26:26" x14ac:dyDescent="0.25">
      <c r="Z13008">
        <v>399999.99999999686</v>
      </c>
    </row>
    <row r="13009" spans="26:26" x14ac:dyDescent="0.25">
      <c r="Z13009">
        <v>399999.99999999686</v>
      </c>
    </row>
    <row r="13010" spans="26:26" x14ac:dyDescent="0.25">
      <c r="Z13010">
        <v>399999.99999999686</v>
      </c>
    </row>
    <row r="13011" spans="26:26" x14ac:dyDescent="0.25">
      <c r="Z13011">
        <v>399999.99999999691</v>
      </c>
    </row>
    <row r="13012" spans="26:26" x14ac:dyDescent="0.25">
      <c r="Z13012">
        <v>399999.99999999691</v>
      </c>
    </row>
    <row r="13013" spans="26:26" x14ac:dyDescent="0.25">
      <c r="Z13013">
        <v>399999.99999999691</v>
      </c>
    </row>
    <row r="13014" spans="26:26" x14ac:dyDescent="0.25">
      <c r="Z13014">
        <v>399999.99999999691</v>
      </c>
    </row>
    <row r="13015" spans="26:26" x14ac:dyDescent="0.25">
      <c r="Z13015">
        <v>399999.99999999691</v>
      </c>
    </row>
    <row r="13016" spans="26:26" x14ac:dyDescent="0.25">
      <c r="Z13016">
        <v>399999.99999999691</v>
      </c>
    </row>
    <row r="13017" spans="26:26" x14ac:dyDescent="0.25">
      <c r="Z13017">
        <v>399999.99999999697</v>
      </c>
    </row>
    <row r="13018" spans="26:26" x14ac:dyDescent="0.25">
      <c r="Z13018">
        <v>399999.99999999697</v>
      </c>
    </row>
    <row r="13019" spans="26:26" x14ac:dyDescent="0.25">
      <c r="Z13019">
        <v>399999.99999999697</v>
      </c>
    </row>
    <row r="13020" spans="26:26" x14ac:dyDescent="0.25">
      <c r="Z13020">
        <v>399999.99999999697</v>
      </c>
    </row>
    <row r="13021" spans="26:26" x14ac:dyDescent="0.25">
      <c r="Z13021">
        <v>399999.99999999697</v>
      </c>
    </row>
    <row r="13022" spans="26:26" x14ac:dyDescent="0.25">
      <c r="Z13022">
        <v>399999.99999999697</v>
      </c>
    </row>
    <row r="13023" spans="26:26" x14ac:dyDescent="0.25">
      <c r="Z13023">
        <v>399999.99999999697</v>
      </c>
    </row>
    <row r="13024" spans="26:26" x14ac:dyDescent="0.25">
      <c r="Z13024">
        <v>399999.99999999697</v>
      </c>
    </row>
    <row r="13025" spans="26:26" x14ac:dyDescent="0.25">
      <c r="Z13025">
        <v>399999.99999999697</v>
      </c>
    </row>
    <row r="13026" spans="26:26" x14ac:dyDescent="0.25">
      <c r="Z13026">
        <v>399999.99999999697</v>
      </c>
    </row>
    <row r="13027" spans="26:26" x14ac:dyDescent="0.25">
      <c r="Z13027">
        <v>399999.99999999697</v>
      </c>
    </row>
    <row r="13028" spans="26:26" x14ac:dyDescent="0.25">
      <c r="Z13028">
        <v>399999.99999999697</v>
      </c>
    </row>
    <row r="13029" spans="26:26" x14ac:dyDescent="0.25">
      <c r="Z13029">
        <v>399999.99999999703</v>
      </c>
    </row>
    <row r="13030" spans="26:26" x14ac:dyDescent="0.25">
      <c r="Z13030">
        <v>399999.99999999703</v>
      </c>
    </row>
    <row r="13031" spans="26:26" x14ac:dyDescent="0.25">
      <c r="Z13031">
        <v>399999.99999999703</v>
      </c>
    </row>
    <row r="13032" spans="26:26" x14ac:dyDescent="0.25">
      <c r="Z13032">
        <v>399999.99999999703</v>
      </c>
    </row>
    <row r="13033" spans="26:26" x14ac:dyDescent="0.25">
      <c r="Z13033">
        <v>399999.99999999703</v>
      </c>
    </row>
    <row r="13034" spans="26:26" x14ac:dyDescent="0.25">
      <c r="Z13034">
        <v>399999.99999999703</v>
      </c>
    </row>
    <row r="13035" spans="26:26" x14ac:dyDescent="0.25">
      <c r="Z13035">
        <v>399999.99999999709</v>
      </c>
    </row>
    <row r="13036" spans="26:26" x14ac:dyDescent="0.25">
      <c r="Z13036">
        <v>399999.99999999709</v>
      </c>
    </row>
    <row r="13037" spans="26:26" x14ac:dyDescent="0.25">
      <c r="Z13037">
        <v>399999.99999999709</v>
      </c>
    </row>
    <row r="13038" spans="26:26" x14ac:dyDescent="0.25">
      <c r="Z13038">
        <v>399999.99999999709</v>
      </c>
    </row>
    <row r="13039" spans="26:26" x14ac:dyDescent="0.25">
      <c r="Z13039">
        <v>399999.99999999709</v>
      </c>
    </row>
    <row r="13040" spans="26:26" x14ac:dyDescent="0.25">
      <c r="Z13040">
        <v>399999.99999999709</v>
      </c>
    </row>
    <row r="13041" spans="26:26" x14ac:dyDescent="0.25">
      <c r="Z13041">
        <v>399999.99999999715</v>
      </c>
    </row>
    <row r="13042" spans="26:26" x14ac:dyDescent="0.25">
      <c r="Z13042">
        <v>399999.99999999715</v>
      </c>
    </row>
    <row r="13043" spans="26:26" x14ac:dyDescent="0.25">
      <c r="Z13043">
        <v>399999.99999999715</v>
      </c>
    </row>
    <row r="13044" spans="26:26" x14ac:dyDescent="0.25">
      <c r="Z13044">
        <v>399999.99999999715</v>
      </c>
    </row>
    <row r="13045" spans="26:26" x14ac:dyDescent="0.25">
      <c r="Z13045">
        <v>399999.99999999715</v>
      </c>
    </row>
    <row r="13046" spans="26:26" x14ac:dyDescent="0.25">
      <c r="Z13046">
        <v>399999.99999999715</v>
      </c>
    </row>
    <row r="13047" spans="26:26" x14ac:dyDescent="0.25">
      <c r="Z13047">
        <v>399999.99999999715</v>
      </c>
    </row>
    <row r="13048" spans="26:26" x14ac:dyDescent="0.25">
      <c r="Z13048">
        <v>399999.99999999715</v>
      </c>
    </row>
    <row r="13049" spans="26:26" x14ac:dyDescent="0.25">
      <c r="Z13049">
        <v>399999.99999999715</v>
      </c>
    </row>
    <row r="13050" spans="26:26" x14ac:dyDescent="0.25">
      <c r="Z13050">
        <v>399999.99999999715</v>
      </c>
    </row>
    <row r="13051" spans="26:26" x14ac:dyDescent="0.25">
      <c r="Z13051">
        <v>399999.99999999715</v>
      </c>
    </row>
    <row r="13052" spans="26:26" x14ac:dyDescent="0.25">
      <c r="Z13052">
        <v>399999.99999999715</v>
      </c>
    </row>
    <row r="13053" spans="26:26" x14ac:dyDescent="0.25">
      <c r="Z13053">
        <v>399999.99999999715</v>
      </c>
    </row>
    <row r="13054" spans="26:26" x14ac:dyDescent="0.25">
      <c r="Z13054">
        <v>399999.99999999715</v>
      </c>
    </row>
    <row r="13055" spans="26:26" x14ac:dyDescent="0.25">
      <c r="Z13055">
        <v>399999.99999999715</v>
      </c>
    </row>
    <row r="13056" spans="26:26" x14ac:dyDescent="0.25">
      <c r="Z13056">
        <v>399999.99999999715</v>
      </c>
    </row>
    <row r="13057" spans="26:26" x14ac:dyDescent="0.25">
      <c r="Z13057">
        <v>399999.99999999715</v>
      </c>
    </row>
    <row r="13058" spans="26:26" x14ac:dyDescent="0.25">
      <c r="Z13058">
        <v>399999.99999999715</v>
      </c>
    </row>
    <row r="13059" spans="26:26" x14ac:dyDescent="0.25">
      <c r="Z13059">
        <v>399999.99999999721</v>
      </c>
    </row>
    <row r="13060" spans="26:26" x14ac:dyDescent="0.25">
      <c r="Z13060">
        <v>399999.99999999721</v>
      </c>
    </row>
    <row r="13061" spans="26:26" x14ac:dyDescent="0.25">
      <c r="Z13061">
        <v>399999.99999999721</v>
      </c>
    </row>
    <row r="13062" spans="26:26" x14ac:dyDescent="0.25">
      <c r="Z13062">
        <v>399999.99999999721</v>
      </c>
    </row>
    <row r="13063" spans="26:26" x14ac:dyDescent="0.25">
      <c r="Z13063">
        <v>399999.99999999721</v>
      </c>
    </row>
    <row r="13064" spans="26:26" x14ac:dyDescent="0.25">
      <c r="Z13064">
        <v>399999.99999999721</v>
      </c>
    </row>
    <row r="13065" spans="26:26" x14ac:dyDescent="0.25">
      <c r="Z13065">
        <v>399999.99999999721</v>
      </c>
    </row>
    <row r="13066" spans="26:26" x14ac:dyDescent="0.25">
      <c r="Z13066">
        <v>399999.99999999726</v>
      </c>
    </row>
    <row r="13067" spans="26:26" x14ac:dyDescent="0.25">
      <c r="Z13067">
        <v>399999.99999999726</v>
      </c>
    </row>
    <row r="13068" spans="26:26" x14ac:dyDescent="0.25">
      <c r="Z13068">
        <v>399999.99999999726</v>
      </c>
    </row>
    <row r="13069" spans="26:26" x14ac:dyDescent="0.25">
      <c r="Z13069">
        <v>399999.99999999726</v>
      </c>
    </row>
    <row r="13070" spans="26:26" x14ac:dyDescent="0.25">
      <c r="Z13070">
        <v>399999.99999999726</v>
      </c>
    </row>
    <row r="13071" spans="26:26" x14ac:dyDescent="0.25">
      <c r="Z13071">
        <v>399999.99999999726</v>
      </c>
    </row>
    <row r="13072" spans="26:26" x14ac:dyDescent="0.25">
      <c r="Z13072">
        <v>399999.99999999732</v>
      </c>
    </row>
    <row r="13073" spans="26:26" x14ac:dyDescent="0.25">
      <c r="Z13073">
        <v>399999.99999999732</v>
      </c>
    </row>
    <row r="13074" spans="26:26" x14ac:dyDescent="0.25">
      <c r="Z13074">
        <v>399999.99999999732</v>
      </c>
    </row>
    <row r="13075" spans="26:26" x14ac:dyDescent="0.25">
      <c r="Z13075">
        <v>399999.99999999732</v>
      </c>
    </row>
    <row r="13076" spans="26:26" x14ac:dyDescent="0.25">
      <c r="Z13076">
        <v>399999.99999999732</v>
      </c>
    </row>
    <row r="13077" spans="26:26" x14ac:dyDescent="0.25">
      <c r="Z13077">
        <v>399999.99999999732</v>
      </c>
    </row>
    <row r="13078" spans="26:26" x14ac:dyDescent="0.25">
      <c r="Z13078">
        <v>399999.99999999732</v>
      </c>
    </row>
    <row r="13079" spans="26:26" x14ac:dyDescent="0.25">
      <c r="Z13079">
        <v>399999.99999999738</v>
      </c>
    </row>
    <row r="13080" spans="26:26" x14ac:dyDescent="0.25">
      <c r="Z13080">
        <v>399999.99999999738</v>
      </c>
    </row>
    <row r="13081" spans="26:26" x14ac:dyDescent="0.25">
      <c r="Z13081">
        <v>399999.99999999738</v>
      </c>
    </row>
    <row r="13082" spans="26:26" x14ac:dyDescent="0.25">
      <c r="Z13082">
        <v>399999.99999999738</v>
      </c>
    </row>
    <row r="13083" spans="26:26" x14ac:dyDescent="0.25">
      <c r="Z13083">
        <v>399999.99999999738</v>
      </c>
    </row>
    <row r="13084" spans="26:26" x14ac:dyDescent="0.25">
      <c r="Z13084">
        <v>399999.99999999738</v>
      </c>
    </row>
    <row r="13085" spans="26:26" x14ac:dyDescent="0.25">
      <c r="Z13085">
        <v>399999.99999999738</v>
      </c>
    </row>
    <row r="13086" spans="26:26" x14ac:dyDescent="0.25">
      <c r="Z13086">
        <v>399999.99999999738</v>
      </c>
    </row>
    <row r="13087" spans="26:26" x14ac:dyDescent="0.25">
      <c r="Z13087">
        <v>399999.99999999738</v>
      </c>
    </row>
    <row r="13088" spans="26:26" x14ac:dyDescent="0.25">
      <c r="Z13088">
        <v>399999.99999999738</v>
      </c>
    </row>
    <row r="13089" spans="26:26" x14ac:dyDescent="0.25">
      <c r="Z13089">
        <v>399999.99999999738</v>
      </c>
    </row>
    <row r="13090" spans="26:26" x14ac:dyDescent="0.25">
      <c r="Z13090">
        <v>399999.99999999738</v>
      </c>
    </row>
    <row r="13091" spans="26:26" x14ac:dyDescent="0.25">
      <c r="Z13091">
        <v>399999.99999999738</v>
      </c>
    </row>
    <row r="13092" spans="26:26" x14ac:dyDescent="0.25">
      <c r="Z13092">
        <v>399999.99999999738</v>
      </c>
    </row>
    <row r="13093" spans="26:26" x14ac:dyDescent="0.25">
      <c r="Z13093">
        <v>399999.99999999744</v>
      </c>
    </row>
    <row r="13094" spans="26:26" x14ac:dyDescent="0.25">
      <c r="Z13094">
        <v>399999.99999999744</v>
      </c>
    </row>
    <row r="13095" spans="26:26" x14ac:dyDescent="0.25">
      <c r="Z13095">
        <v>399999.99999999744</v>
      </c>
    </row>
    <row r="13096" spans="26:26" x14ac:dyDescent="0.25">
      <c r="Z13096">
        <v>399999.99999999744</v>
      </c>
    </row>
    <row r="13097" spans="26:26" x14ac:dyDescent="0.25">
      <c r="Z13097">
        <v>399999.99999999744</v>
      </c>
    </row>
    <row r="13098" spans="26:26" x14ac:dyDescent="0.25">
      <c r="Z13098">
        <v>399999.99999999744</v>
      </c>
    </row>
    <row r="13099" spans="26:26" x14ac:dyDescent="0.25">
      <c r="Z13099">
        <v>399999.99999999744</v>
      </c>
    </row>
    <row r="13100" spans="26:26" x14ac:dyDescent="0.25">
      <c r="Z13100">
        <v>399999.9999999975</v>
      </c>
    </row>
    <row r="13101" spans="26:26" x14ac:dyDescent="0.25">
      <c r="Z13101">
        <v>399999.9999999975</v>
      </c>
    </row>
    <row r="13102" spans="26:26" x14ac:dyDescent="0.25">
      <c r="Z13102">
        <v>399999.9999999975</v>
      </c>
    </row>
    <row r="13103" spans="26:26" x14ac:dyDescent="0.25">
      <c r="Z13103">
        <v>399999.9999999975</v>
      </c>
    </row>
    <row r="13104" spans="26:26" x14ac:dyDescent="0.25">
      <c r="Z13104">
        <v>399999.9999999975</v>
      </c>
    </row>
    <row r="13105" spans="26:26" x14ac:dyDescent="0.25">
      <c r="Z13105">
        <v>399999.9999999975</v>
      </c>
    </row>
    <row r="13106" spans="26:26" x14ac:dyDescent="0.25">
      <c r="Z13106">
        <v>399999.9999999975</v>
      </c>
    </row>
    <row r="13107" spans="26:26" x14ac:dyDescent="0.25">
      <c r="Z13107">
        <v>399999.99999999756</v>
      </c>
    </row>
    <row r="13108" spans="26:26" x14ac:dyDescent="0.25">
      <c r="Z13108">
        <v>399999.99999999756</v>
      </c>
    </row>
    <row r="13109" spans="26:26" x14ac:dyDescent="0.25">
      <c r="Z13109">
        <v>399999.99999999756</v>
      </c>
    </row>
    <row r="13110" spans="26:26" x14ac:dyDescent="0.25">
      <c r="Z13110">
        <v>399999.99999999756</v>
      </c>
    </row>
    <row r="13111" spans="26:26" x14ac:dyDescent="0.25">
      <c r="Z13111">
        <v>399999.99999999756</v>
      </c>
    </row>
    <row r="13112" spans="26:26" x14ac:dyDescent="0.25">
      <c r="Z13112">
        <v>399999.99999999756</v>
      </c>
    </row>
    <row r="13113" spans="26:26" x14ac:dyDescent="0.25">
      <c r="Z13113">
        <v>399999.99999999756</v>
      </c>
    </row>
    <row r="13114" spans="26:26" x14ac:dyDescent="0.25">
      <c r="Z13114">
        <v>399999.99999999756</v>
      </c>
    </row>
    <row r="13115" spans="26:26" x14ac:dyDescent="0.25">
      <c r="Z13115">
        <v>399999.99999999756</v>
      </c>
    </row>
    <row r="13116" spans="26:26" x14ac:dyDescent="0.25">
      <c r="Z13116">
        <v>399999.99999999756</v>
      </c>
    </row>
    <row r="13117" spans="26:26" x14ac:dyDescent="0.25">
      <c r="Z13117">
        <v>399999.99999999756</v>
      </c>
    </row>
    <row r="13118" spans="26:26" x14ac:dyDescent="0.25">
      <c r="Z13118">
        <v>399999.99999999756</v>
      </c>
    </row>
    <row r="13119" spans="26:26" x14ac:dyDescent="0.25">
      <c r="Z13119">
        <v>399999.99999999756</v>
      </c>
    </row>
    <row r="13120" spans="26:26" x14ac:dyDescent="0.25">
      <c r="Z13120">
        <v>399999.99999999756</v>
      </c>
    </row>
    <row r="13121" spans="26:26" x14ac:dyDescent="0.25">
      <c r="Z13121">
        <v>399999.99999999756</v>
      </c>
    </row>
    <row r="13122" spans="26:26" x14ac:dyDescent="0.25">
      <c r="Z13122">
        <v>399999.99999999761</v>
      </c>
    </row>
    <row r="13123" spans="26:26" x14ac:dyDescent="0.25">
      <c r="Z13123">
        <v>399999.99999999761</v>
      </c>
    </row>
    <row r="13124" spans="26:26" x14ac:dyDescent="0.25">
      <c r="Z13124">
        <v>399999.99999999761</v>
      </c>
    </row>
    <row r="13125" spans="26:26" x14ac:dyDescent="0.25">
      <c r="Z13125">
        <v>399999.99999999761</v>
      </c>
    </row>
    <row r="13126" spans="26:26" x14ac:dyDescent="0.25">
      <c r="Z13126">
        <v>399999.99999999761</v>
      </c>
    </row>
    <row r="13127" spans="26:26" x14ac:dyDescent="0.25">
      <c r="Z13127">
        <v>399999.99999999761</v>
      </c>
    </row>
    <row r="13128" spans="26:26" x14ac:dyDescent="0.25">
      <c r="Z13128">
        <v>399999.99999999761</v>
      </c>
    </row>
    <row r="13129" spans="26:26" x14ac:dyDescent="0.25">
      <c r="Z13129">
        <v>399999.99999999767</v>
      </c>
    </row>
    <row r="13130" spans="26:26" x14ac:dyDescent="0.25">
      <c r="Z13130">
        <v>399999.99999999767</v>
      </c>
    </row>
    <row r="13131" spans="26:26" x14ac:dyDescent="0.25">
      <c r="Z13131">
        <v>399999.99999999767</v>
      </c>
    </row>
    <row r="13132" spans="26:26" x14ac:dyDescent="0.25">
      <c r="Z13132">
        <v>399999.99999999767</v>
      </c>
    </row>
    <row r="13133" spans="26:26" x14ac:dyDescent="0.25">
      <c r="Z13133">
        <v>399999.99999999767</v>
      </c>
    </row>
    <row r="13134" spans="26:26" x14ac:dyDescent="0.25">
      <c r="Z13134">
        <v>399999.99999999767</v>
      </c>
    </row>
    <row r="13135" spans="26:26" x14ac:dyDescent="0.25">
      <c r="Z13135">
        <v>399999.99999999767</v>
      </c>
    </row>
    <row r="13136" spans="26:26" x14ac:dyDescent="0.25">
      <c r="Z13136">
        <v>399999.99999999767</v>
      </c>
    </row>
    <row r="13137" spans="26:26" x14ac:dyDescent="0.25">
      <c r="Z13137">
        <v>399999.99999999773</v>
      </c>
    </row>
    <row r="13138" spans="26:26" x14ac:dyDescent="0.25">
      <c r="Z13138">
        <v>399999.99999999773</v>
      </c>
    </row>
    <row r="13139" spans="26:26" x14ac:dyDescent="0.25">
      <c r="Z13139">
        <v>399999.99999999773</v>
      </c>
    </row>
    <row r="13140" spans="26:26" x14ac:dyDescent="0.25">
      <c r="Z13140">
        <v>399999.99999999773</v>
      </c>
    </row>
    <row r="13141" spans="26:26" x14ac:dyDescent="0.25">
      <c r="Z13141">
        <v>399999.99999999773</v>
      </c>
    </row>
    <row r="13142" spans="26:26" x14ac:dyDescent="0.25">
      <c r="Z13142">
        <v>399999.99999999773</v>
      </c>
    </row>
    <row r="13143" spans="26:26" x14ac:dyDescent="0.25">
      <c r="Z13143">
        <v>399999.99999999773</v>
      </c>
    </row>
    <row r="13144" spans="26:26" x14ac:dyDescent="0.25">
      <c r="Z13144">
        <v>399999.99999999773</v>
      </c>
    </row>
    <row r="13145" spans="26:26" x14ac:dyDescent="0.25">
      <c r="Z13145">
        <v>399999.99999999779</v>
      </c>
    </row>
    <row r="13146" spans="26:26" x14ac:dyDescent="0.25">
      <c r="Z13146">
        <v>399999.99999999779</v>
      </c>
    </row>
    <row r="13147" spans="26:26" x14ac:dyDescent="0.25">
      <c r="Z13147">
        <v>399999.99999999779</v>
      </c>
    </row>
    <row r="13148" spans="26:26" x14ac:dyDescent="0.25">
      <c r="Z13148">
        <v>399999.99999999779</v>
      </c>
    </row>
    <row r="13149" spans="26:26" x14ac:dyDescent="0.25">
      <c r="Z13149">
        <v>399999.99999999779</v>
      </c>
    </row>
    <row r="13150" spans="26:26" x14ac:dyDescent="0.25">
      <c r="Z13150">
        <v>399999.99999999779</v>
      </c>
    </row>
    <row r="13151" spans="26:26" x14ac:dyDescent="0.25">
      <c r="Z13151">
        <v>399999.99999999779</v>
      </c>
    </row>
    <row r="13152" spans="26:26" x14ac:dyDescent="0.25">
      <c r="Z13152">
        <v>399999.99999999779</v>
      </c>
    </row>
    <row r="13153" spans="26:26" x14ac:dyDescent="0.25">
      <c r="Z13153">
        <v>399999.99999999779</v>
      </c>
    </row>
    <row r="13154" spans="26:26" x14ac:dyDescent="0.25">
      <c r="Z13154">
        <v>399999.99999999779</v>
      </c>
    </row>
    <row r="13155" spans="26:26" x14ac:dyDescent="0.25">
      <c r="Z13155">
        <v>399999.99999999779</v>
      </c>
    </row>
    <row r="13156" spans="26:26" x14ac:dyDescent="0.25">
      <c r="Z13156">
        <v>399999.99999999779</v>
      </c>
    </row>
    <row r="13157" spans="26:26" x14ac:dyDescent="0.25">
      <c r="Z13157">
        <v>399999.99999999779</v>
      </c>
    </row>
    <row r="13158" spans="26:26" x14ac:dyDescent="0.25">
      <c r="Z13158">
        <v>399999.99999999779</v>
      </c>
    </row>
    <row r="13159" spans="26:26" x14ac:dyDescent="0.25">
      <c r="Z13159">
        <v>399999.99999999779</v>
      </c>
    </row>
    <row r="13160" spans="26:26" x14ac:dyDescent="0.25">
      <c r="Z13160">
        <v>399999.99999999779</v>
      </c>
    </row>
    <row r="13161" spans="26:26" x14ac:dyDescent="0.25">
      <c r="Z13161">
        <v>399999.99999999785</v>
      </c>
    </row>
    <row r="13162" spans="26:26" x14ac:dyDescent="0.25">
      <c r="Z13162">
        <v>399999.99999999785</v>
      </c>
    </row>
    <row r="13163" spans="26:26" x14ac:dyDescent="0.25">
      <c r="Z13163">
        <v>399999.99999999785</v>
      </c>
    </row>
    <row r="13164" spans="26:26" x14ac:dyDescent="0.25">
      <c r="Z13164">
        <v>399999.99999999785</v>
      </c>
    </row>
    <row r="13165" spans="26:26" x14ac:dyDescent="0.25">
      <c r="Z13165">
        <v>399999.99999999785</v>
      </c>
    </row>
    <row r="13166" spans="26:26" x14ac:dyDescent="0.25">
      <c r="Z13166">
        <v>399999.99999999785</v>
      </c>
    </row>
    <row r="13167" spans="26:26" x14ac:dyDescent="0.25">
      <c r="Z13167">
        <v>399999.99999999785</v>
      </c>
    </row>
    <row r="13168" spans="26:26" x14ac:dyDescent="0.25">
      <c r="Z13168">
        <v>399999.99999999785</v>
      </c>
    </row>
    <row r="13169" spans="26:26" x14ac:dyDescent="0.25">
      <c r="Z13169">
        <v>399999.9999999979</v>
      </c>
    </row>
    <row r="13170" spans="26:26" x14ac:dyDescent="0.25">
      <c r="Z13170">
        <v>399999.9999999979</v>
      </c>
    </row>
    <row r="13171" spans="26:26" x14ac:dyDescent="0.25">
      <c r="Z13171">
        <v>399999.9999999979</v>
      </c>
    </row>
    <row r="13172" spans="26:26" x14ac:dyDescent="0.25">
      <c r="Z13172">
        <v>399999.9999999979</v>
      </c>
    </row>
    <row r="13173" spans="26:26" x14ac:dyDescent="0.25">
      <c r="Z13173">
        <v>399999.9999999979</v>
      </c>
    </row>
    <row r="13174" spans="26:26" x14ac:dyDescent="0.25">
      <c r="Z13174">
        <v>399999.9999999979</v>
      </c>
    </row>
    <row r="13175" spans="26:26" x14ac:dyDescent="0.25">
      <c r="Z13175">
        <v>399999.9999999979</v>
      </c>
    </row>
    <row r="13176" spans="26:26" x14ac:dyDescent="0.25">
      <c r="Z13176">
        <v>399999.9999999979</v>
      </c>
    </row>
    <row r="13177" spans="26:26" x14ac:dyDescent="0.25">
      <c r="Z13177">
        <v>399999.9999999979</v>
      </c>
    </row>
    <row r="13178" spans="26:26" x14ac:dyDescent="0.25">
      <c r="Z13178">
        <v>399999.99999999796</v>
      </c>
    </row>
    <row r="13179" spans="26:26" x14ac:dyDescent="0.25">
      <c r="Z13179">
        <v>399999.99999999796</v>
      </c>
    </row>
    <row r="13180" spans="26:26" x14ac:dyDescent="0.25">
      <c r="Z13180">
        <v>399999.99999999796</v>
      </c>
    </row>
    <row r="13181" spans="26:26" x14ac:dyDescent="0.25">
      <c r="Z13181">
        <v>399999.99999999796</v>
      </c>
    </row>
    <row r="13182" spans="26:26" x14ac:dyDescent="0.25">
      <c r="Z13182">
        <v>399999.99999999796</v>
      </c>
    </row>
    <row r="13183" spans="26:26" x14ac:dyDescent="0.25">
      <c r="Z13183">
        <v>399999.99999999796</v>
      </c>
    </row>
    <row r="13184" spans="26:26" x14ac:dyDescent="0.25">
      <c r="Z13184">
        <v>399999.99999999796</v>
      </c>
    </row>
    <row r="13185" spans="26:26" x14ac:dyDescent="0.25">
      <c r="Z13185">
        <v>399999.99999999796</v>
      </c>
    </row>
    <row r="13186" spans="26:26" x14ac:dyDescent="0.25">
      <c r="Z13186">
        <v>399999.99999999796</v>
      </c>
    </row>
    <row r="13187" spans="26:26" x14ac:dyDescent="0.25">
      <c r="Z13187">
        <v>399999.99999999796</v>
      </c>
    </row>
    <row r="13188" spans="26:26" x14ac:dyDescent="0.25">
      <c r="Z13188">
        <v>399999.99999999796</v>
      </c>
    </row>
    <row r="13189" spans="26:26" x14ac:dyDescent="0.25">
      <c r="Z13189">
        <v>399999.99999999796</v>
      </c>
    </row>
    <row r="13190" spans="26:26" x14ac:dyDescent="0.25">
      <c r="Z13190">
        <v>399999.99999999796</v>
      </c>
    </row>
    <row r="13191" spans="26:26" x14ac:dyDescent="0.25">
      <c r="Z13191">
        <v>399999.99999999796</v>
      </c>
    </row>
    <row r="13192" spans="26:26" x14ac:dyDescent="0.25">
      <c r="Z13192">
        <v>399999.99999999796</v>
      </c>
    </row>
    <row r="13193" spans="26:26" x14ac:dyDescent="0.25">
      <c r="Z13193">
        <v>399999.99999999796</v>
      </c>
    </row>
    <row r="13194" spans="26:26" x14ac:dyDescent="0.25">
      <c r="Z13194">
        <v>399999.99999999796</v>
      </c>
    </row>
    <row r="13195" spans="26:26" x14ac:dyDescent="0.25">
      <c r="Z13195">
        <v>399999.99999999802</v>
      </c>
    </row>
    <row r="13196" spans="26:26" x14ac:dyDescent="0.25">
      <c r="Z13196">
        <v>399999.99999999802</v>
      </c>
    </row>
    <row r="13197" spans="26:26" x14ac:dyDescent="0.25">
      <c r="Z13197">
        <v>399999.99999999802</v>
      </c>
    </row>
    <row r="13198" spans="26:26" x14ac:dyDescent="0.25">
      <c r="Z13198">
        <v>399999.99999999802</v>
      </c>
    </row>
    <row r="13199" spans="26:26" x14ac:dyDescent="0.25">
      <c r="Z13199">
        <v>399999.99999999802</v>
      </c>
    </row>
    <row r="13200" spans="26:26" x14ac:dyDescent="0.25">
      <c r="Z13200">
        <v>399999.99999999802</v>
      </c>
    </row>
    <row r="13201" spans="26:26" x14ac:dyDescent="0.25">
      <c r="Z13201">
        <v>399999.99999999802</v>
      </c>
    </row>
    <row r="13202" spans="26:26" x14ac:dyDescent="0.25">
      <c r="Z13202">
        <v>399999.99999999802</v>
      </c>
    </row>
    <row r="13203" spans="26:26" x14ac:dyDescent="0.25">
      <c r="Z13203">
        <v>399999.99999999802</v>
      </c>
    </row>
    <row r="13204" spans="26:26" x14ac:dyDescent="0.25">
      <c r="Z13204">
        <v>399999.99999999802</v>
      </c>
    </row>
    <row r="13205" spans="26:26" x14ac:dyDescent="0.25">
      <c r="Z13205">
        <v>399999.99999999808</v>
      </c>
    </row>
    <row r="13206" spans="26:26" x14ac:dyDescent="0.25">
      <c r="Z13206">
        <v>399999.99999999808</v>
      </c>
    </row>
    <row r="13207" spans="26:26" x14ac:dyDescent="0.25">
      <c r="Z13207">
        <v>399999.99999999808</v>
      </c>
    </row>
    <row r="13208" spans="26:26" x14ac:dyDescent="0.25">
      <c r="Z13208">
        <v>399999.99999999808</v>
      </c>
    </row>
    <row r="13209" spans="26:26" x14ac:dyDescent="0.25">
      <c r="Z13209">
        <v>399999.99999999808</v>
      </c>
    </row>
    <row r="13210" spans="26:26" x14ac:dyDescent="0.25">
      <c r="Z13210">
        <v>399999.99999999808</v>
      </c>
    </row>
    <row r="13211" spans="26:26" x14ac:dyDescent="0.25">
      <c r="Z13211">
        <v>399999.99999999808</v>
      </c>
    </row>
    <row r="13212" spans="26:26" x14ac:dyDescent="0.25">
      <c r="Z13212">
        <v>399999.99999999808</v>
      </c>
    </row>
    <row r="13213" spans="26:26" x14ac:dyDescent="0.25">
      <c r="Z13213">
        <v>399999.99999999808</v>
      </c>
    </row>
    <row r="13214" spans="26:26" x14ac:dyDescent="0.25">
      <c r="Z13214">
        <v>399999.99999999814</v>
      </c>
    </row>
    <row r="13215" spans="26:26" x14ac:dyDescent="0.25">
      <c r="Z13215">
        <v>399999.99999999814</v>
      </c>
    </row>
    <row r="13216" spans="26:26" x14ac:dyDescent="0.25">
      <c r="Z13216">
        <v>399999.99999999814</v>
      </c>
    </row>
    <row r="13217" spans="26:26" x14ac:dyDescent="0.25">
      <c r="Z13217">
        <v>399999.99999999814</v>
      </c>
    </row>
    <row r="13218" spans="26:26" x14ac:dyDescent="0.25">
      <c r="Z13218">
        <v>399999.99999999814</v>
      </c>
    </row>
    <row r="13219" spans="26:26" x14ac:dyDescent="0.25">
      <c r="Z13219">
        <v>399999.99999999814</v>
      </c>
    </row>
    <row r="13220" spans="26:26" x14ac:dyDescent="0.25">
      <c r="Z13220">
        <v>399999.99999999814</v>
      </c>
    </row>
    <row r="13221" spans="26:26" x14ac:dyDescent="0.25">
      <c r="Z13221">
        <v>399999.99999999814</v>
      </c>
    </row>
    <row r="13222" spans="26:26" x14ac:dyDescent="0.25">
      <c r="Z13222">
        <v>399999.99999999814</v>
      </c>
    </row>
    <row r="13223" spans="26:26" x14ac:dyDescent="0.25">
      <c r="Z13223">
        <v>399999.9999999982</v>
      </c>
    </row>
    <row r="13224" spans="26:26" x14ac:dyDescent="0.25">
      <c r="Z13224">
        <v>399999.9999999982</v>
      </c>
    </row>
    <row r="13225" spans="26:26" x14ac:dyDescent="0.25">
      <c r="Z13225">
        <v>399999.9999999982</v>
      </c>
    </row>
    <row r="13226" spans="26:26" x14ac:dyDescent="0.25">
      <c r="Z13226">
        <v>399999.9999999982</v>
      </c>
    </row>
    <row r="13227" spans="26:26" x14ac:dyDescent="0.25">
      <c r="Z13227">
        <v>399999.9999999982</v>
      </c>
    </row>
    <row r="13228" spans="26:26" x14ac:dyDescent="0.25">
      <c r="Z13228">
        <v>399999.9999999982</v>
      </c>
    </row>
    <row r="13229" spans="26:26" x14ac:dyDescent="0.25">
      <c r="Z13229">
        <v>399999.9999999982</v>
      </c>
    </row>
    <row r="13230" spans="26:26" x14ac:dyDescent="0.25">
      <c r="Z13230">
        <v>399999.9999999982</v>
      </c>
    </row>
    <row r="13231" spans="26:26" x14ac:dyDescent="0.25">
      <c r="Z13231">
        <v>399999.9999999982</v>
      </c>
    </row>
    <row r="13232" spans="26:26" x14ac:dyDescent="0.25">
      <c r="Z13232">
        <v>399999.9999999982</v>
      </c>
    </row>
    <row r="13233" spans="26:26" x14ac:dyDescent="0.25">
      <c r="Z13233">
        <v>399999.9999999982</v>
      </c>
    </row>
    <row r="13234" spans="26:26" x14ac:dyDescent="0.25">
      <c r="Z13234">
        <v>399999.9999999982</v>
      </c>
    </row>
    <row r="13235" spans="26:26" x14ac:dyDescent="0.25">
      <c r="Z13235">
        <v>399999.9999999982</v>
      </c>
    </row>
    <row r="13236" spans="26:26" x14ac:dyDescent="0.25">
      <c r="Z13236">
        <v>399999.9999999982</v>
      </c>
    </row>
    <row r="13237" spans="26:26" x14ac:dyDescent="0.25">
      <c r="Z13237">
        <v>399999.9999999982</v>
      </c>
    </row>
    <row r="13238" spans="26:26" x14ac:dyDescent="0.25">
      <c r="Z13238">
        <v>399999.9999999982</v>
      </c>
    </row>
    <row r="13239" spans="26:26" x14ac:dyDescent="0.25">
      <c r="Z13239">
        <v>399999.9999999982</v>
      </c>
    </row>
    <row r="13240" spans="26:26" x14ac:dyDescent="0.25">
      <c r="Z13240">
        <v>399999.9999999982</v>
      </c>
    </row>
    <row r="13241" spans="26:26" x14ac:dyDescent="0.25">
      <c r="Z13241">
        <v>399999.9999999982</v>
      </c>
    </row>
    <row r="13242" spans="26:26" x14ac:dyDescent="0.25">
      <c r="Z13242">
        <v>399999.9999999982</v>
      </c>
    </row>
    <row r="13243" spans="26:26" x14ac:dyDescent="0.25">
      <c r="Z13243">
        <v>399999.99999999825</v>
      </c>
    </row>
    <row r="13244" spans="26:26" x14ac:dyDescent="0.25">
      <c r="Z13244">
        <v>399999.99999999825</v>
      </c>
    </row>
    <row r="13245" spans="26:26" x14ac:dyDescent="0.25">
      <c r="Z13245">
        <v>399999.99999999825</v>
      </c>
    </row>
    <row r="13246" spans="26:26" x14ac:dyDescent="0.25">
      <c r="Z13246">
        <v>399999.99999999825</v>
      </c>
    </row>
    <row r="13247" spans="26:26" x14ac:dyDescent="0.25">
      <c r="Z13247">
        <v>399999.99999999825</v>
      </c>
    </row>
    <row r="13248" spans="26:26" x14ac:dyDescent="0.25">
      <c r="Z13248">
        <v>399999.99999999825</v>
      </c>
    </row>
    <row r="13249" spans="26:26" x14ac:dyDescent="0.25">
      <c r="Z13249">
        <v>399999.99999999825</v>
      </c>
    </row>
    <row r="13250" spans="26:26" x14ac:dyDescent="0.25">
      <c r="Z13250">
        <v>399999.99999999825</v>
      </c>
    </row>
    <row r="13251" spans="26:26" x14ac:dyDescent="0.25">
      <c r="Z13251">
        <v>399999.99999999825</v>
      </c>
    </row>
    <row r="13252" spans="26:26" x14ac:dyDescent="0.25">
      <c r="Z13252">
        <v>399999.99999999825</v>
      </c>
    </row>
    <row r="13253" spans="26:26" x14ac:dyDescent="0.25">
      <c r="Z13253">
        <v>399999.99999999831</v>
      </c>
    </row>
    <row r="13254" spans="26:26" x14ac:dyDescent="0.25">
      <c r="Z13254">
        <v>399999.99999999831</v>
      </c>
    </row>
    <row r="13255" spans="26:26" x14ac:dyDescent="0.25">
      <c r="Z13255">
        <v>399999.99999999831</v>
      </c>
    </row>
    <row r="13256" spans="26:26" x14ac:dyDescent="0.25">
      <c r="Z13256">
        <v>399999.99999999831</v>
      </c>
    </row>
    <row r="13257" spans="26:26" x14ac:dyDescent="0.25">
      <c r="Z13257">
        <v>399999.99999999831</v>
      </c>
    </row>
    <row r="13258" spans="26:26" x14ac:dyDescent="0.25">
      <c r="Z13258">
        <v>399999.99999999831</v>
      </c>
    </row>
    <row r="13259" spans="26:26" x14ac:dyDescent="0.25">
      <c r="Z13259">
        <v>399999.99999999831</v>
      </c>
    </row>
    <row r="13260" spans="26:26" x14ac:dyDescent="0.25">
      <c r="Z13260">
        <v>399999.99999999831</v>
      </c>
    </row>
    <row r="13261" spans="26:26" x14ac:dyDescent="0.25">
      <c r="Z13261">
        <v>399999.99999999831</v>
      </c>
    </row>
    <row r="13262" spans="26:26" x14ac:dyDescent="0.25">
      <c r="Z13262">
        <v>399999.99999999831</v>
      </c>
    </row>
    <row r="13263" spans="26:26" x14ac:dyDescent="0.25">
      <c r="Z13263">
        <v>399999.99999999831</v>
      </c>
    </row>
    <row r="13264" spans="26:26" x14ac:dyDescent="0.25">
      <c r="Z13264">
        <v>399999.99999999837</v>
      </c>
    </row>
    <row r="13265" spans="26:26" x14ac:dyDescent="0.25">
      <c r="Z13265">
        <v>399999.99999999837</v>
      </c>
    </row>
    <row r="13266" spans="26:26" x14ac:dyDescent="0.25">
      <c r="Z13266">
        <v>399999.99999999837</v>
      </c>
    </row>
    <row r="13267" spans="26:26" x14ac:dyDescent="0.25">
      <c r="Z13267">
        <v>399999.99999999837</v>
      </c>
    </row>
    <row r="13268" spans="26:26" x14ac:dyDescent="0.25">
      <c r="Z13268">
        <v>399999.99999999837</v>
      </c>
    </row>
    <row r="13269" spans="26:26" x14ac:dyDescent="0.25">
      <c r="Z13269">
        <v>399999.99999999837</v>
      </c>
    </row>
    <row r="13270" spans="26:26" x14ac:dyDescent="0.25">
      <c r="Z13270">
        <v>399999.99999999837</v>
      </c>
    </row>
    <row r="13271" spans="26:26" x14ac:dyDescent="0.25">
      <c r="Z13271">
        <v>399999.99999999837</v>
      </c>
    </row>
    <row r="13272" spans="26:26" x14ac:dyDescent="0.25">
      <c r="Z13272">
        <v>399999.99999999837</v>
      </c>
    </row>
    <row r="13273" spans="26:26" x14ac:dyDescent="0.25">
      <c r="Z13273">
        <v>399999.99999999837</v>
      </c>
    </row>
    <row r="13274" spans="26:26" x14ac:dyDescent="0.25">
      <c r="Z13274">
        <v>399999.99999999837</v>
      </c>
    </row>
    <row r="13275" spans="26:26" x14ac:dyDescent="0.25">
      <c r="Z13275">
        <v>399999.99999999843</v>
      </c>
    </row>
    <row r="13276" spans="26:26" x14ac:dyDescent="0.25">
      <c r="Z13276">
        <v>399999.99999999843</v>
      </c>
    </row>
    <row r="13277" spans="26:26" x14ac:dyDescent="0.25">
      <c r="Z13277">
        <v>399999.99999999843</v>
      </c>
    </row>
    <row r="13278" spans="26:26" x14ac:dyDescent="0.25">
      <c r="Z13278">
        <v>399999.99999999843</v>
      </c>
    </row>
    <row r="13279" spans="26:26" x14ac:dyDescent="0.25">
      <c r="Z13279">
        <v>399999.99999999843</v>
      </c>
    </row>
    <row r="13280" spans="26:26" x14ac:dyDescent="0.25">
      <c r="Z13280">
        <v>399999.99999999843</v>
      </c>
    </row>
    <row r="13281" spans="26:26" x14ac:dyDescent="0.25">
      <c r="Z13281">
        <v>399999.99999999843</v>
      </c>
    </row>
    <row r="13282" spans="26:26" x14ac:dyDescent="0.25">
      <c r="Z13282">
        <v>399999.99999999843</v>
      </c>
    </row>
    <row r="13283" spans="26:26" x14ac:dyDescent="0.25">
      <c r="Z13283">
        <v>399999.99999999843</v>
      </c>
    </row>
    <row r="13284" spans="26:26" x14ac:dyDescent="0.25">
      <c r="Z13284">
        <v>399999.99999999843</v>
      </c>
    </row>
    <row r="13285" spans="26:26" x14ac:dyDescent="0.25">
      <c r="Z13285">
        <v>399999.99999999843</v>
      </c>
    </row>
    <row r="13286" spans="26:26" x14ac:dyDescent="0.25">
      <c r="Z13286">
        <v>399999.99999999843</v>
      </c>
    </row>
    <row r="13287" spans="26:26" x14ac:dyDescent="0.25">
      <c r="Z13287">
        <v>399999.99999999843</v>
      </c>
    </row>
    <row r="13288" spans="26:26" x14ac:dyDescent="0.25">
      <c r="Z13288">
        <v>399999.99999999843</v>
      </c>
    </row>
    <row r="13289" spans="26:26" x14ac:dyDescent="0.25">
      <c r="Z13289">
        <v>399999.99999999843</v>
      </c>
    </row>
    <row r="13290" spans="26:26" x14ac:dyDescent="0.25">
      <c r="Z13290">
        <v>399999.99999999843</v>
      </c>
    </row>
    <row r="13291" spans="26:26" x14ac:dyDescent="0.25">
      <c r="Z13291">
        <v>399999.99999999843</v>
      </c>
    </row>
    <row r="13292" spans="26:26" x14ac:dyDescent="0.25">
      <c r="Z13292">
        <v>399999.99999999843</v>
      </c>
    </row>
    <row r="13293" spans="26:26" x14ac:dyDescent="0.25">
      <c r="Z13293">
        <v>399999.99999999843</v>
      </c>
    </row>
    <row r="13294" spans="26:26" x14ac:dyDescent="0.25">
      <c r="Z13294">
        <v>399999.99999999843</v>
      </c>
    </row>
    <row r="13295" spans="26:26" x14ac:dyDescent="0.25">
      <c r="Z13295">
        <v>399999.99999999843</v>
      </c>
    </row>
    <row r="13296" spans="26:26" x14ac:dyDescent="0.25">
      <c r="Z13296">
        <v>399999.99999999843</v>
      </c>
    </row>
    <row r="13297" spans="26:26" x14ac:dyDescent="0.25">
      <c r="Z13297">
        <v>399999.99999999849</v>
      </c>
    </row>
    <row r="13298" spans="26:26" x14ac:dyDescent="0.25">
      <c r="Z13298">
        <v>399999.99999999849</v>
      </c>
    </row>
    <row r="13299" spans="26:26" x14ac:dyDescent="0.25">
      <c r="Z13299">
        <v>399999.99999999849</v>
      </c>
    </row>
    <row r="13300" spans="26:26" x14ac:dyDescent="0.25">
      <c r="Z13300">
        <v>399999.99999999849</v>
      </c>
    </row>
    <row r="13301" spans="26:26" x14ac:dyDescent="0.25">
      <c r="Z13301">
        <v>399999.99999999849</v>
      </c>
    </row>
    <row r="13302" spans="26:26" x14ac:dyDescent="0.25">
      <c r="Z13302">
        <v>399999.99999999849</v>
      </c>
    </row>
    <row r="13303" spans="26:26" x14ac:dyDescent="0.25">
      <c r="Z13303">
        <v>399999.99999999849</v>
      </c>
    </row>
    <row r="13304" spans="26:26" x14ac:dyDescent="0.25">
      <c r="Z13304">
        <v>399999.99999999849</v>
      </c>
    </row>
    <row r="13305" spans="26:26" x14ac:dyDescent="0.25">
      <c r="Z13305">
        <v>399999.99999999849</v>
      </c>
    </row>
    <row r="13306" spans="26:26" x14ac:dyDescent="0.25">
      <c r="Z13306">
        <v>399999.99999999849</v>
      </c>
    </row>
    <row r="13307" spans="26:26" x14ac:dyDescent="0.25">
      <c r="Z13307">
        <v>399999.99999999849</v>
      </c>
    </row>
    <row r="13308" spans="26:26" x14ac:dyDescent="0.25">
      <c r="Z13308">
        <v>399999.99999999849</v>
      </c>
    </row>
    <row r="13309" spans="26:26" x14ac:dyDescent="0.25">
      <c r="Z13309">
        <v>399999.99999999854</v>
      </c>
    </row>
    <row r="13310" spans="26:26" x14ac:dyDescent="0.25">
      <c r="Z13310">
        <v>399999.99999999854</v>
      </c>
    </row>
    <row r="13311" spans="26:26" x14ac:dyDescent="0.25">
      <c r="Z13311">
        <v>399999.99999999854</v>
      </c>
    </row>
    <row r="13312" spans="26:26" x14ac:dyDescent="0.25">
      <c r="Z13312">
        <v>399999.99999999854</v>
      </c>
    </row>
    <row r="13313" spans="26:26" x14ac:dyDescent="0.25">
      <c r="Z13313">
        <v>399999.99999999854</v>
      </c>
    </row>
    <row r="13314" spans="26:26" x14ac:dyDescent="0.25">
      <c r="Z13314">
        <v>399999.99999999854</v>
      </c>
    </row>
    <row r="13315" spans="26:26" x14ac:dyDescent="0.25">
      <c r="Z13315">
        <v>399999.99999999854</v>
      </c>
    </row>
    <row r="13316" spans="26:26" x14ac:dyDescent="0.25">
      <c r="Z13316">
        <v>399999.99999999854</v>
      </c>
    </row>
    <row r="13317" spans="26:26" x14ac:dyDescent="0.25">
      <c r="Z13317">
        <v>399999.99999999854</v>
      </c>
    </row>
    <row r="13318" spans="26:26" x14ac:dyDescent="0.25">
      <c r="Z13318">
        <v>399999.99999999854</v>
      </c>
    </row>
    <row r="13319" spans="26:26" x14ac:dyDescent="0.25">
      <c r="Z13319">
        <v>399999.99999999854</v>
      </c>
    </row>
    <row r="13320" spans="26:26" x14ac:dyDescent="0.25">
      <c r="Z13320">
        <v>399999.99999999854</v>
      </c>
    </row>
    <row r="13321" spans="26:26" x14ac:dyDescent="0.25">
      <c r="Z13321">
        <v>399999.9999999986</v>
      </c>
    </row>
    <row r="13322" spans="26:26" x14ac:dyDescent="0.25">
      <c r="Z13322">
        <v>399999.9999999986</v>
      </c>
    </row>
    <row r="13323" spans="26:26" x14ac:dyDescent="0.25">
      <c r="Z13323">
        <v>399999.9999999986</v>
      </c>
    </row>
    <row r="13324" spans="26:26" x14ac:dyDescent="0.25">
      <c r="Z13324">
        <v>399999.9999999986</v>
      </c>
    </row>
    <row r="13325" spans="26:26" x14ac:dyDescent="0.25">
      <c r="Z13325">
        <v>399999.9999999986</v>
      </c>
    </row>
    <row r="13326" spans="26:26" x14ac:dyDescent="0.25">
      <c r="Z13326">
        <v>399999.9999999986</v>
      </c>
    </row>
    <row r="13327" spans="26:26" x14ac:dyDescent="0.25">
      <c r="Z13327">
        <v>399999.9999999986</v>
      </c>
    </row>
    <row r="13328" spans="26:26" x14ac:dyDescent="0.25">
      <c r="Z13328">
        <v>399999.9999999986</v>
      </c>
    </row>
    <row r="13329" spans="26:26" x14ac:dyDescent="0.25">
      <c r="Z13329">
        <v>399999.9999999986</v>
      </c>
    </row>
    <row r="13330" spans="26:26" x14ac:dyDescent="0.25">
      <c r="Z13330">
        <v>399999.9999999986</v>
      </c>
    </row>
    <row r="13331" spans="26:26" x14ac:dyDescent="0.25">
      <c r="Z13331">
        <v>399999.9999999986</v>
      </c>
    </row>
    <row r="13332" spans="26:26" x14ac:dyDescent="0.25">
      <c r="Z13332">
        <v>399999.9999999986</v>
      </c>
    </row>
    <row r="13333" spans="26:26" x14ac:dyDescent="0.25">
      <c r="Z13333">
        <v>399999.9999999986</v>
      </c>
    </row>
    <row r="13334" spans="26:26" x14ac:dyDescent="0.25">
      <c r="Z13334">
        <v>399999.9999999986</v>
      </c>
    </row>
    <row r="13335" spans="26:26" x14ac:dyDescent="0.25">
      <c r="Z13335">
        <v>399999.9999999986</v>
      </c>
    </row>
    <row r="13336" spans="26:26" x14ac:dyDescent="0.25">
      <c r="Z13336">
        <v>399999.9999999986</v>
      </c>
    </row>
    <row r="13337" spans="26:26" x14ac:dyDescent="0.25">
      <c r="Z13337">
        <v>399999.9999999986</v>
      </c>
    </row>
    <row r="13338" spans="26:26" x14ac:dyDescent="0.25">
      <c r="Z13338">
        <v>399999.9999999986</v>
      </c>
    </row>
    <row r="13339" spans="26:26" x14ac:dyDescent="0.25">
      <c r="Z13339">
        <v>399999.9999999986</v>
      </c>
    </row>
    <row r="13340" spans="26:26" x14ac:dyDescent="0.25">
      <c r="Z13340">
        <v>399999.9999999986</v>
      </c>
    </row>
    <row r="13341" spans="26:26" x14ac:dyDescent="0.25">
      <c r="Z13341">
        <v>399999.9999999986</v>
      </c>
    </row>
    <row r="13342" spans="26:26" x14ac:dyDescent="0.25">
      <c r="Z13342">
        <v>399999.9999999986</v>
      </c>
    </row>
    <row r="13343" spans="26:26" x14ac:dyDescent="0.25">
      <c r="Z13343">
        <v>399999.9999999986</v>
      </c>
    </row>
    <row r="13344" spans="26:26" x14ac:dyDescent="0.25">
      <c r="Z13344">
        <v>399999.9999999986</v>
      </c>
    </row>
    <row r="13345" spans="26:26" x14ac:dyDescent="0.25">
      <c r="Z13345">
        <v>399999.9999999986</v>
      </c>
    </row>
    <row r="13346" spans="26:26" x14ac:dyDescent="0.25">
      <c r="Z13346">
        <v>399999.9999999986</v>
      </c>
    </row>
    <row r="13347" spans="26:26" x14ac:dyDescent="0.25">
      <c r="Z13347">
        <v>399999.99999999866</v>
      </c>
    </row>
    <row r="13348" spans="26:26" x14ac:dyDescent="0.25">
      <c r="Z13348">
        <v>399999.99999999866</v>
      </c>
    </row>
    <row r="13349" spans="26:26" x14ac:dyDescent="0.25">
      <c r="Z13349">
        <v>399999.99999999866</v>
      </c>
    </row>
    <row r="13350" spans="26:26" x14ac:dyDescent="0.25">
      <c r="Z13350">
        <v>399999.99999999866</v>
      </c>
    </row>
    <row r="13351" spans="26:26" x14ac:dyDescent="0.25">
      <c r="Z13351">
        <v>399999.99999999866</v>
      </c>
    </row>
    <row r="13352" spans="26:26" x14ac:dyDescent="0.25">
      <c r="Z13352">
        <v>399999.99999999866</v>
      </c>
    </row>
    <row r="13353" spans="26:26" x14ac:dyDescent="0.25">
      <c r="Z13353">
        <v>399999.99999999866</v>
      </c>
    </row>
    <row r="13354" spans="26:26" x14ac:dyDescent="0.25">
      <c r="Z13354">
        <v>399999.99999999866</v>
      </c>
    </row>
    <row r="13355" spans="26:26" x14ac:dyDescent="0.25">
      <c r="Z13355">
        <v>399999.99999999866</v>
      </c>
    </row>
    <row r="13356" spans="26:26" x14ac:dyDescent="0.25">
      <c r="Z13356">
        <v>399999.99999999866</v>
      </c>
    </row>
    <row r="13357" spans="26:26" x14ac:dyDescent="0.25">
      <c r="Z13357">
        <v>399999.99999999866</v>
      </c>
    </row>
    <row r="13358" spans="26:26" x14ac:dyDescent="0.25">
      <c r="Z13358">
        <v>399999.99999999866</v>
      </c>
    </row>
    <row r="13359" spans="26:26" x14ac:dyDescent="0.25">
      <c r="Z13359">
        <v>399999.99999999866</v>
      </c>
    </row>
    <row r="13360" spans="26:26" x14ac:dyDescent="0.25">
      <c r="Z13360">
        <v>399999.99999999872</v>
      </c>
    </row>
    <row r="13361" spans="26:26" x14ac:dyDescent="0.25">
      <c r="Z13361">
        <v>399999.99999999872</v>
      </c>
    </row>
    <row r="13362" spans="26:26" x14ac:dyDescent="0.25">
      <c r="Z13362">
        <v>399999.99999999872</v>
      </c>
    </row>
    <row r="13363" spans="26:26" x14ac:dyDescent="0.25">
      <c r="Z13363">
        <v>399999.99999999872</v>
      </c>
    </row>
    <row r="13364" spans="26:26" x14ac:dyDescent="0.25">
      <c r="Z13364">
        <v>399999.99999999872</v>
      </c>
    </row>
    <row r="13365" spans="26:26" x14ac:dyDescent="0.25">
      <c r="Z13365">
        <v>399999.99999999872</v>
      </c>
    </row>
    <row r="13366" spans="26:26" x14ac:dyDescent="0.25">
      <c r="Z13366">
        <v>399999.99999999872</v>
      </c>
    </row>
    <row r="13367" spans="26:26" x14ac:dyDescent="0.25">
      <c r="Z13367">
        <v>399999.99999999872</v>
      </c>
    </row>
    <row r="13368" spans="26:26" x14ac:dyDescent="0.25">
      <c r="Z13368">
        <v>399999.99999999872</v>
      </c>
    </row>
    <row r="13369" spans="26:26" x14ac:dyDescent="0.25">
      <c r="Z13369">
        <v>399999.99999999872</v>
      </c>
    </row>
    <row r="13370" spans="26:26" x14ac:dyDescent="0.25">
      <c r="Z13370">
        <v>399999.99999999872</v>
      </c>
    </row>
    <row r="13371" spans="26:26" x14ac:dyDescent="0.25">
      <c r="Z13371">
        <v>399999.99999999872</v>
      </c>
    </row>
    <row r="13372" spans="26:26" x14ac:dyDescent="0.25">
      <c r="Z13372">
        <v>399999.99999999872</v>
      </c>
    </row>
    <row r="13373" spans="26:26" x14ac:dyDescent="0.25">
      <c r="Z13373">
        <v>399999.99999999872</v>
      </c>
    </row>
    <row r="13374" spans="26:26" x14ac:dyDescent="0.25">
      <c r="Z13374">
        <v>399999.99999999878</v>
      </c>
    </row>
    <row r="13375" spans="26:26" x14ac:dyDescent="0.25">
      <c r="Z13375">
        <v>399999.99999999878</v>
      </c>
    </row>
    <row r="13376" spans="26:26" x14ac:dyDescent="0.25">
      <c r="Z13376">
        <v>399999.99999999878</v>
      </c>
    </row>
    <row r="13377" spans="26:26" x14ac:dyDescent="0.25">
      <c r="Z13377">
        <v>399999.99999999878</v>
      </c>
    </row>
    <row r="13378" spans="26:26" x14ac:dyDescent="0.25">
      <c r="Z13378">
        <v>399999.99999999878</v>
      </c>
    </row>
    <row r="13379" spans="26:26" x14ac:dyDescent="0.25">
      <c r="Z13379">
        <v>399999.99999999878</v>
      </c>
    </row>
    <row r="13380" spans="26:26" x14ac:dyDescent="0.25">
      <c r="Z13380">
        <v>399999.99999999878</v>
      </c>
    </row>
    <row r="13381" spans="26:26" x14ac:dyDescent="0.25">
      <c r="Z13381">
        <v>399999.99999999878</v>
      </c>
    </row>
    <row r="13382" spans="26:26" x14ac:dyDescent="0.25">
      <c r="Z13382">
        <v>399999.99999999878</v>
      </c>
    </row>
    <row r="13383" spans="26:26" x14ac:dyDescent="0.25">
      <c r="Z13383">
        <v>399999.99999999878</v>
      </c>
    </row>
    <row r="13384" spans="26:26" x14ac:dyDescent="0.25">
      <c r="Z13384">
        <v>399999.99999999878</v>
      </c>
    </row>
    <row r="13385" spans="26:26" x14ac:dyDescent="0.25">
      <c r="Z13385">
        <v>399999.99999999878</v>
      </c>
    </row>
    <row r="13386" spans="26:26" x14ac:dyDescent="0.25">
      <c r="Z13386">
        <v>399999.99999999878</v>
      </c>
    </row>
    <row r="13387" spans="26:26" x14ac:dyDescent="0.25">
      <c r="Z13387">
        <v>399999.99999999878</v>
      </c>
    </row>
    <row r="13388" spans="26:26" x14ac:dyDescent="0.25">
      <c r="Z13388">
        <v>399999.99999999884</v>
      </c>
    </row>
    <row r="13389" spans="26:26" x14ac:dyDescent="0.25">
      <c r="Z13389">
        <v>399999.99999999884</v>
      </c>
    </row>
    <row r="13390" spans="26:26" x14ac:dyDescent="0.25">
      <c r="Z13390">
        <v>399999.99999999884</v>
      </c>
    </row>
    <row r="13391" spans="26:26" x14ac:dyDescent="0.25">
      <c r="Z13391">
        <v>399999.99999999884</v>
      </c>
    </row>
    <row r="13392" spans="26:26" x14ac:dyDescent="0.25">
      <c r="Z13392">
        <v>399999.99999999884</v>
      </c>
    </row>
    <row r="13393" spans="26:26" x14ac:dyDescent="0.25">
      <c r="Z13393">
        <v>399999.99999999884</v>
      </c>
    </row>
    <row r="13394" spans="26:26" x14ac:dyDescent="0.25">
      <c r="Z13394">
        <v>399999.99999999884</v>
      </c>
    </row>
    <row r="13395" spans="26:26" x14ac:dyDescent="0.25">
      <c r="Z13395">
        <v>399999.99999999884</v>
      </c>
    </row>
    <row r="13396" spans="26:26" x14ac:dyDescent="0.25">
      <c r="Z13396">
        <v>399999.99999999884</v>
      </c>
    </row>
    <row r="13397" spans="26:26" x14ac:dyDescent="0.25">
      <c r="Z13397">
        <v>399999.99999999884</v>
      </c>
    </row>
    <row r="13398" spans="26:26" x14ac:dyDescent="0.25">
      <c r="Z13398">
        <v>399999.99999999884</v>
      </c>
    </row>
    <row r="13399" spans="26:26" x14ac:dyDescent="0.25">
      <c r="Z13399">
        <v>399999.99999999884</v>
      </c>
    </row>
    <row r="13400" spans="26:26" x14ac:dyDescent="0.25">
      <c r="Z13400">
        <v>399999.99999999884</v>
      </c>
    </row>
    <row r="13401" spans="26:26" x14ac:dyDescent="0.25">
      <c r="Z13401">
        <v>399999.99999999884</v>
      </c>
    </row>
    <row r="13402" spans="26:26" x14ac:dyDescent="0.25">
      <c r="Z13402">
        <v>399999.99999999884</v>
      </c>
    </row>
    <row r="13403" spans="26:26" x14ac:dyDescent="0.25">
      <c r="Z13403">
        <v>399999.99999999884</v>
      </c>
    </row>
    <row r="13404" spans="26:26" x14ac:dyDescent="0.25">
      <c r="Z13404">
        <v>399999.99999999884</v>
      </c>
    </row>
    <row r="13405" spans="26:26" x14ac:dyDescent="0.25">
      <c r="Z13405">
        <v>399999.99999999884</v>
      </c>
    </row>
    <row r="13406" spans="26:26" x14ac:dyDescent="0.25">
      <c r="Z13406">
        <v>399999.99999999884</v>
      </c>
    </row>
    <row r="13407" spans="26:26" x14ac:dyDescent="0.25">
      <c r="Z13407">
        <v>399999.99999999884</v>
      </c>
    </row>
    <row r="13408" spans="26:26" x14ac:dyDescent="0.25">
      <c r="Z13408">
        <v>399999.99999999884</v>
      </c>
    </row>
    <row r="13409" spans="26:26" x14ac:dyDescent="0.25">
      <c r="Z13409">
        <v>399999.99999999884</v>
      </c>
    </row>
    <row r="13410" spans="26:26" x14ac:dyDescent="0.25">
      <c r="Z13410">
        <v>399999.99999999884</v>
      </c>
    </row>
    <row r="13411" spans="26:26" x14ac:dyDescent="0.25">
      <c r="Z13411">
        <v>399999.99999999884</v>
      </c>
    </row>
    <row r="13412" spans="26:26" x14ac:dyDescent="0.25">
      <c r="Z13412">
        <v>399999.99999999884</v>
      </c>
    </row>
    <row r="13413" spans="26:26" x14ac:dyDescent="0.25">
      <c r="Z13413">
        <v>399999.99999999884</v>
      </c>
    </row>
    <row r="13414" spans="26:26" x14ac:dyDescent="0.25">
      <c r="Z13414">
        <v>399999.99999999884</v>
      </c>
    </row>
    <row r="13415" spans="26:26" x14ac:dyDescent="0.25">
      <c r="Z13415">
        <v>399999.99999999884</v>
      </c>
    </row>
    <row r="13416" spans="26:26" x14ac:dyDescent="0.25">
      <c r="Z13416">
        <v>399999.99999999884</v>
      </c>
    </row>
    <row r="13417" spans="26:26" x14ac:dyDescent="0.25">
      <c r="Z13417">
        <v>399999.99999999884</v>
      </c>
    </row>
    <row r="13418" spans="26:26" x14ac:dyDescent="0.25">
      <c r="Z13418">
        <v>399999.99999999889</v>
      </c>
    </row>
    <row r="13419" spans="26:26" x14ac:dyDescent="0.25">
      <c r="Z13419">
        <v>399999.99999999889</v>
      </c>
    </row>
    <row r="13420" spans="26:26" x14ac:dyDescent="0.25">
      <c r="Z13420">
        <v>399999.99999999889</v>
      </c>
    </row>
    <row r="13421" spans="26:26" x14ac:dyDescent="0.25">
      <c r="Z13421">
        <v>399999.99999999889</v>
      </c>
    </row>
    <row r="13422" spans="26:26" x14ac:dyDescent="0.25">
      <c r="Z13422">
        <v>399999.99999999889</v>
      </c>
    </row>
    <row r="13423" spans="26:26" x14ac:dyDescent="0.25">
      <c r="Z13423">
        <v>399999.99999999889</v>
      </c>
    </row>
    <row r="13424" spans="26:26" x14ac:dyDescent="0.25">
      <c r="Z13424">
        <v>399999.99999999889</v>
      </c>
    </row>
    <row r="13425" spans="26:26" x14ac:dyDescent="0.25">
      <c r="Z13425">
        <v>399999.99999999889</v>
      </c>
    </row>
    <row r="13426" spans="26:26" x14ac:dyDescent="0.25">
      <c r="Z13426">
        <v>399999.99999999889</v>
      </c>
    </row>
    <row r="13427" spans="26:26" x14ac:dyDescent="0.25">
      <c r="Z13427">
        <v>399999.99999999889</v>
      </c>
    </row>
    <row r="13428" spans="26:26" x14ac:dyDescent="0.25">
      <c r="Z13428">
        <v>399999.99999999889</v>
      </c>
    </row>
    <row r="13429" spans="26:26" x14ac:dyDescent="0.25">
      <c r="Z13429">
        <v>399999.99999999889</v>
      </c>
    </row>
    <row r="13430" spans="26:26" x14ac:dyDescent="0.25">
      <c r="Z13430">
        <v>399999.99999999889</v>
      </c>
    </row>
    <row r="13431" spans="26:26" x14ac:dyDescent="0.25">
      <c r="Z13431">
        <v>399999.99999999889</v>
      </c>
    </row>
    <row r="13432" spans="26:26" x14ac:dyDescent="0.25">
      <c r="Z13432">
        <v>399999.99999999889</v>
      </c>
    </row>
    <row r="13433" spans="26:26" x14ac:dyDescent="0.25">
      <c r="Z13433">
        <v>399999.99999999889</v>
      </c>
    </row>
    <row r="13434" spans="26:26" x14ac:dyDescent="0.25">
      <c r="Z13434">
        <v>399999.99999999889</v>
      </c>
    </row>
    <row r="13435" spans="26:26" x14ac:dyDescent="0.25">
      <c r="Z13435">
        <v>399999.99999999895</v>
      </c>
    </row>
    <row r="13436" spans="26:26" x14ac:dyDescent="0.25">
      <c r="Z13436">
        <v>399999.99999999895</v>
      </c>
    </row>
    <row r="13437" spans="26:26" x14ac:dyDescent="0.25">
      <c r="Z13437">
        <v>399999.99999999895</v>
      </c>
    </row>
    <row r="13438" spans="26:26" x14ac:dyDescent="0.25">
      <c r="Z13438">
        <v>399999.99999999895</v>
      </c>
    </row>
    <row r="13439" spans="26:26" x14ac:dyDescent="0.25">
      <c r="Z13439">
        <v>399999.99999999895</v>
      </c>
    </row>
    <row r="13440" spans="26:26" x14ac:dyDescent="0.25">
      <c r="Z13440">
        <v>399999.99999999895</v>
      </c>
    </row>
    <row r="13441" spans="26:26" x14ac:dyDescent="0.25">
      <c r="Z13441">
        <v>399999.99999999895</v>
      </c>
    </row>
    <row r="13442" spans="26:26" x14ac:dyDescent="0.25">
      <c r="Z13442">
        <v>399999.99999999895</v>
      </c>
    </row>
    <row r="13443" spans="26:26" x14ac:dyDescent="0.25">
      <c r="Z13443">
        <v>399999.99999999895</v>
      </c>
    </row>
    <row r="13444" spans="26:26" x14ac:dyDescent="0.25">
      <c r="Z13444">
        <v>399999.99999999895</v>
      </c>
    </row>
    <row r="13445" spans="26:26" x14ac:dyDescent="0.25">
      <c r="Z13445">
        <v>399999.99999999895</v>
      </c>
    </row>
    <row r="13446" spans="26:26" x14ac:dyDescent="0.25">
      <c r="Z13446">
        <v>399999.99999999895</v>
      </c>
    </row>
    <row r="13447" spans="26:26" x14ac:dyDescent="0.25">
      <c r="Z13447">
        <v>399999.99999999895</v>
      </c>
    </row>
    <row r="13448" spans="26:26" x14ac:dyDescent="0.25">
      <c r="Z13448">
        <v>399999.99999999895</v>
      </c>
    </row>
    <row r="13449" spans="26:26" x14ac:dyDescent="0.25">
      <c r="Z13449">
        <v>399999.99999999895</v>
      </c>
    </row>
    <row r="13450" spans="26:26" x14ac:dyDescent="0.25">
      <c r="Z13450">
        <v>399999.99999999895</v>
      </c>
    </row>
    <row r="13451" spans="26:26" x14ac:dyDescent="0.25">
      <c r="Z13451">
        <v>399999.99999999901</v>
      </c>
    </row>
    <row r="13452" spans="26:26" x14ac:dyDescent="0.25">
      <c r="Z13452">
        <v>399999.99999999901</v>
      </c>
    </row>
    <row r="13453" spans="26:26" x14ac:dyDescent="0.25">
      <c r="Z13453">
        <v>399999.99999999901</v>
      </c>
    </row>
    <row r="13454" spans="26:26" x14ac:dyDescent="0.25">
      <c r="Z13454">
        <v>399999.99999999901</v>
      </c>
    </row>
    <row r="13455" spans="26:26" x14ac:dyDescent="0.25">
      <c r="Z13455">
        <v>399999.99999999901</v>
      </c>
    </row>
    <row r="13456" spans="26:26" x14ac:dyDescent="0.25">
      <c r="Z13456">
        <v>399999.99999999901</v>
      </c>
    </row>
    <row r="13457" spans="26:26" x14ac:dyDescent="0.25">
      <c r="Z13457">
        <v>399999.99999999901</v>
      </c>
    </row>
    <row r="13458" spans="26:26" x14ac:dyDescent="0.25">
      <c r="Z13458">
        <v>399999.99999999901</v>
      </c>
    </row>
    <row r="13459" spans="26:26" x14ac:dyDescent="0.25">
      <c r="Z13459">
        <v>399999.99999999901</v>
      </c>
    </row>
    <row r="13460" spans="26:26" x14ac:dyDescent="0.25">
      <c r="Z13460">
        <v>399999.99999999901</v>
      </c>
    </row>
    <row r="13461" spans="26:26" x14ac:dyDescent="0.25">
      <c r="Z13461">
        <v>399999.99999999901</v>
      </c>
    </row>
    <row r="13462" spans="26:26" x14ac:dyDescent="0.25">
      <c r="Z13462">
        <v>399999.99999999901</v>
      </c>
    </row>
    <row r="13463" spans="26:26" x14ac:dyDescent="0.25">
      <c r="Z13463">
        <v>399999.99999999901</v>
      </c>
    </row>
    <row r="13464" spans="26:26" x14ac:dyDescent="0.25">
      <c r="Z13464">
        <v>399999.99999999901</v>
      </c>
    </row>
    <row r="13465" spans="26:26" x14ac:dyDescent="0.25">
      <c r="Z13465">
        <v>399999.99999999901</v>
      </c>
    </row>
    <row r="13466" spans="26:26" x14ac:dyDescent="0.25">
      <c r="Z13466">
        <v>399999.99999999901</v>
      </c>
    </row>
    <row r="13467" spans="26:26" x14ac:dyDescent="0.25">
      <c r="Z13467">
        <v>399999.99999999901</v>
      </c>
    </row>
    <row r="13468" spans="26:26" x14ac:dyDescent="0.25">
      <c r="Z13468">
        <v>399999.99999999901</v>
      </c>
    </row>
    <row r="13469" spans="26:26" x14ac:dyDescent="0.25">
      <c r="Z13469">
        <v>399999.99999999901</v>
      </c>
    </row>
    <row r="13470" spans="26:26" x14ac:dyDescent="0.25">
      <c r="Z13470">
        <v>399999.99999999901</v>
      </c>
    </row>
    <row r="13471" spans="26:26" x14ac:dyDescent="0.25">
      <c r="Z13471">
        <v>399999.99999999901</v>
      </c>
    </row>
    <row r="13472" spans="26:26" x14ac:dyDescent="0.25">
      <c r="Z13472">
        <v>399999.99999999901</v>
      </c>
    </row>
    <row r="13473" spans="26:26" x14ac:dyDescent="0.25">
      <c r="Z13473">
        <v>399999.99999999901</v>
      </c>
    </row>
    <row r="13474" spans="26:26" x14ac:dyDescent="0.25">
      <c r="Z13474">
        <v>399999.99999999901</v>
      </c>
    </row>
    <row r="13475" spans="26:26" x14ac:dyDescent="0.25">
      <c r="Z13475">
        <v>399999.99999999901</v>
      </c>
    </row>
    <row r="13476" spans="26:26" x14ac:dyDescent="0.25">
      <c r="Z13476">
        <v>399999.99999999901</v>
      </c>
    </row>
    <row r="13477" spans="26:26" x14ac:dyDescent="0.25">
      <c r="Z13477">
        <v>399999.99999999901</v>
      </c>
    </row>
    <row r="13478" spans="26:26" x14ac:dyDescent="0.25">
      <c r="Z13478">
        <v>399999.99999999901</v>
      </c>
    </row>
    <row r="13479" spans="26:26" x14ac:dyDescent="0.25">
      <c r="Z13479">
        <v>399999.99999999901</v>
      </c>
    </row>
    <row r="13480" spans="26:26" x14ac:dyDescent="0.25">
      <c r="Z13480">
        <v>399999.99999999901</v>
      </c>
    </row>
    <row r="13481" spans="26:26" x14ac:dyDescent="0.25">
      <c r="Z13481">
        <v>399999.99999999901</v>
      </c>
    </row>
    <row r="13482" spans="26:26" x14ac:dyDescent="0.25">
      <c r="Z13482">
        <v>399999.99999999901</v>
      </c>
    </row>
    <row r="13483" spans="26:26" x14ac:dyDescent="0.25">
      <c r="Z13483">
        <v>399999.99999999901</v>
      </c>
    </row>
    <row r="13484" spans="26:26" x14ac:dyDescent="0.25">
      <c r="Z13484">
        <v>399999.99999999901</v>
      </c>
    </row>
    <row r="13485" spans="26:26" x14ac:dyDescent="0.25">
      <c r="Z13485">
        <v>399999.99999999901</v>
      </c>
    </row>
    <row r="13486" spans="26:26" x14ac:dyDescent="0.25">
      <c r="Z13486">
        <v>399999.99999999901</v>
      </c>
    </row>
    <row r="13487" spans="26:26" x14ac:dyDescent="0.25">
      <c r="Z13487">
        <v>399999.99999999901</v>
      </c>
    </row>
    <row r="13488" spans="26:26" x14ac:dyDescent="0.25">
      <c r="Z13488">
        <v>399999.99999999901</v>
      </c>
    </row>
    <row r="13489" spans="26:26" x14ac:dyDescent="0.25">
      <c r="Z13489">
        <v>399999.99999999901</v>
      </c>
    </row>
    <row r="13490" spans="26:26" x14ac:dyDescent="0.25">
      <c r="Z13490">
        <v>399999.99999999901</v>
      </c>
    </row>
    <row r="13491" spans="26:26" x14ac:dyDescent="0.25">
      <c r="Z13491">
        <v>399999.99999999901</v>
      </c>
    </row>
    <row r="13492" spans="26:26" x14ac:dyDescent="0.25">
      <c r="Z13492">
        <v>399999.99999999901</v>
      </c>
    </row>
    <row r="13493" spans="26:26" x14ac:dyDescent="0.25">
      <c r="Z13493">
        <v>399999.99999999901</v>
      </c>
    </row>
    <row r="13494" spans="26:26" x14ac:dyDescent="0.25">
      <c r="Z13494">
        <v>399999.99999999901</v>
      </c>
    </row>
    <row r="13495" spans="26:26" x14ac:dyDescent="0.25">
      <c r="Z13495">
        <v>399999.99999999901</v>
      </c>
    </row>
    <row r="13496" spans="26:26" x14ac:dyDescent="0.25">
      <c r="Z13496">
        <v>399999.99999999901</v>
      </c>
    </row>
    <row r="13497" spans="26:26" x14ac:dyDescent="0.25">
      <c r="Z13497">
        <v>399999.99999999901</v>
      </c>
    </row>
    <row r="13498" spans="26:26" x14ac:dyDescent="0.25">
      <c r="Z13498">
        <v>399999.99999999901</v>
      </c>
    </row>
    <row r="13499" spans="26:26" x14ac:dyDescent="0.25">
      <c r="Z13499">
        <v>399999.99999999901</v>
      </c>
    </row>
    <row r="13500" spans="26:26" x14ac:dyDescent="0.25">
      <c r="Z13500">
        <v>399999.99999999901</v>
      </c>
    </row>
    <row r="13501" spans="26:26" x14ac:dyDescent="0.25">
      <c r="Z13501">
        <v>399999.99999999901</v>
      </c>
    </row>
    <row r="13502" spans="26:26" x14ac:dyDescent="0.25">
      <c r="Z13502">
        <v>399999.99999999901</v>
      </c>
    </row>
    <row r="13503" spans="26:26" x14ac:dyDescent="0.25">
      <c r="Z13503">
        <v>399999.99999999901</v>
      </c>
    </row>
    <row r="13504" spans="26:26" x14ac:dyDescent="0.25">
      <c r="Z13504">
        <v>399999.99999999901</v>
      </c>
    </row>
    <row r="13505" spans="26:26" x14ac:dyDescent="0.25">
      <c r="Z13505">
        <v>399999.99999999901</v>
      </c>
    </row>
    <row r="13506" spans="26:26" x14ac:dyDescent="0.25">
      <c r="Z13506">
        <v>399999.99999999907</v>
      </c>
    </row>
    <row r="13507" spans="26:26" x14ac:dyDescent="0.25">
      <c r="Z13507">
        <v>399999.99999999907</v>
      </c>
    </row>
    <row r="13508" spans="26:26" x14ac:dyDescent="0.25">
      <c r="Z13508">
        <v>399999.99999999907</v>
      </c>
    </row>
    <row r="13509" spans="26:26" x14ac:dyDescent="0.25">
      <c r="Z13509">
        <v>399999.99999999907</v>
      </c>
    </row>
    <row r="13510" spans="26:26" x14ac:dyDescent="0.25">
      <c r="Z13510">
        <v>399999.99999999907</v>
      </c>
    </row>
    <row r="13511" spans="26:26" x14ac:dyDescent="0.25">
      <c r="Z13511">
        <v>399999.99999999907</v>
      </c>
    </row>
    <row r="13512" spans="26:26" x14ac:dyDescent="0.25">
      <c r="Z13512">
        <v>399999.99999999907</v>
      </c>
    </row>
    <row r="13513" spans="26:26" x14ac:dyDescent="0.25">
      <c r="Z13513">
        <v>399999.99999999907</v>
      </c>
    </row>
    <row r="13514" spans="26:26" x14ac:dyDescent="0.25">
      <c r="Z13514">
        <v>399999.99999999907</v>
      </c>
    </row>
    <row r="13515" spans="26:26" x14ac:dyDescent="0.25">
      <c r="Z13515">
        <v>399999.99999999907</v>
      </c>
    </row>
    <row r="13516" spans="26:26" x14ac:dyDescent="0.25">
      <c r="Z13516">
        <v>399999.99999999907</v>
      </c>
    </row>
    <row r="13517" spans="26:26" x14ac:dyDescent="0.25">
      <c r="Z13517">
        <v>399999.99999999907</v>
      </c>
    </row>
    <row r="13518" spans="26:26" x14ac:dyDescent="0.25">
      <c r="Z13518">
        <v>399999.99999999907</v>
      </c>
    </row>
    <row r="13519" spans="26:26" x14ac:dyDescent="0.25">
      <c r="Z13519">
        <v>399999.99999999907</v>
      </c>
    </row>
    <row r="13520" spans="26:26" x14ac:dyDescent="0.25">
      <c r="Z13520">
        <v>399999.99999999907</v>
      </c>
    </row>
    <row r="13521" spans="26:26" x14ac:dyDescent="0.25">
      <c r="Z13521">
        <v>399999.99999999907</v>
      </c>
    </row>
    <row r="13522" spans="26:26" x14ac:dyDescent="0.25">
      <c r="Z13522">
        <v>399999.99999999907</v>
      </c>
    </row>
    <row r="13523" spans="26:26" x14ac:dyDescent="0.25">
      <c r="Z13523">
        <v>399999.99999999907</v>
      </c>
    </row>
    <row r="13524" spans="26:26" x14ac:dyDescent="0.25">
      <c r="Z13524">
        <v>399999.99999999907</v>
      </c>
    </row>
    <row r="13525" spans="26:26" x14ac:dyDescent="0.25">
      <c r="Z13525">
        <v>399999.99999999907</v>
      </c>
    </row>
    <row r="13526" spans="26:26" x14ac:dyDescent="0.25">
      <c r="Z13526">
        <v>399999.99999999913</v>
      </c>
    </row>
    <row r="13527" spans="26:26" x14ac:dyDescent="0.25">
      <c r="Z13527">
        <v>399999.99999999913</v>
      </c>
    </row>
    <row r="13528" spans="26:26" x14ac:dyDescent="0.25">
      <c r="Z13528">
        <v>399999.99999999913</v>
      </c>
    </row>
    <row r="13529" spans="26:26" x14ac:dyDescent="0.25">
      <c r="Z13529">
        <v>399999.99999999913</v>
      </c>
    </row>
    <row r="13530" spans="26:26" x14ac:dyDescent="0.25">
      <c r="Z13530">
        <v>399999.99999999913</v>
      </c>
    </row>
    <row r="13531" spans="26:26" x14ac:dyDescent="0.25">
      <c r="Z13531">
        <v>399999.99999999913</v>
      </c>
    </row>
    <row r="13532" spans="26:26" x14ac:dyDescent="0.25">
      <c r="Z13532">
        <v>399999.99999999913</v>
      </c>
    </row>
    <row r="13533" spans="26:26" x14ac:dyDescent="0.25">
      <c r="Z13533">
        <v>399999.99999999913</v>
      </c>
    </row>
    <row r="13534" spans="26:26" x14ac:dyDescent="0.25">
      <c r="Z13534">
        <v>399999.99999999913</v>
      </c>
    </row>
    <row r="13535" spans="26:26" x14ac:dyDescent="0.25">
      <c r="Z13535">
        <v>399999.99999999913</v>
      </c>
    </row>
    <row r="13536" spans="26:26" x14ac:dyDescent="0.25">
      <c r="Z13536">
        <v>399999.99999999913</v>
      </c>
    </row>
    <row r="13537" spans="26:26" x14ac:dyDescent="0.25">
      <c r="Z13537">
        <v>399999.99999999913</v>
      </c>
    </row>
    <row r="13538" spans="26:26" x14ac:dyDescent="0.25">
      <c r="Z13538">
        <v>399999.99999999913</v>
      </c>
    </row>
    <row r="13539" spans="26:26" x14ac:dyDescent="0.25">
      <c r="Z13539">
        <v>399999.99999999913</v>
      </c>
    </row>
    <row r="13540" spans="26:26" x14ac:dyDescent="0.25">
      <c r="Z13540">
        <v>399999.99999999913</v>
      </c>
    </row>
    <row r="13541" spans="26:26" x14ac:dyDescent="0.25">
      <c r="Z13541">
        <v>399999.99999999913</v>
      </c>
    </row>
    <row r="13542" spans="26:26" x14ac:dyDescent="0.25">
      <c r="Z13542">
        <v>399999.99999999913</v>
      </c>
    </row>
    <row r="13543" spans="26:26" x14ac:dyDescent="0.25">
      <c r="Z13543">
        <v>399999.99999999913</v>
      </c>
    </row>
    <row r="13544" spans="26:26" x14ac:dyDescent="0.25">
      <c r="Z13544">
        <v>399999.99999999913</v>
      </c>
    </row>
    <row r="13545" spans="26:26" x14ac:dyDescent="0.25">
      <c r="Z13545">
        <v>399999.99999999913</v>
      </c>
    </row>
    <row r="13546" spans="26:26" x14ac:dyDescent="0.25">
      <c r="Z13546">
        <v>399999.99999999913</v>
      </c>
    </row>
    <row r="13547" spans="26:26" x14ac:dyDescent="0.25">
      <c r="Z13547">
        <v>399999.99999999919</v>
      </c>
    </row>
    <row r="13548" spans="26:26" x14ac:dyDescent="0.25">
      <c r="Z13548">
        <v>399999.99999999919</v>
      </c>
    </row>
    <row r="13549" spans="26:26" x14ac:dyDescent="0.25">
      <c r="Z13549">
        <v>399999.99999999919</v>
      </c>
    </row>
    <row r="13550" spans="26:26" x14ac:dyDescent="0.25">
      <c r="Z13550">
        <v>399999.99999999919</v>
      </c>
    </row>
    <row r="13551" spans="26:26" x14ac:dyDescent="0.25">
      <c r="Z13551">
        <v>399999.99999999919</v>
      </c>
    </row>
    <row r="13552" spans="26:26" x14ac:dyDescent="0.25">
      <c r="Z13552">
        <v>399999.99999999919</v>
      </c>
    </row>
    <row r="13553" spans="26:26" x14ac:dyDescent="0.25">
      <c r="Z13553">
        <v>399999.99999999919</v>
      </c>
    </row>
    <row r="13554" spans="26:26" x14ac:dyDescent="0.25">
      <c r="Z13554">
        <v>399999.99999999919</v>
      </c>
    </row>
    <row r="13555" spans="26:26" x14ac:dyDescent="0.25">
      <c r="Z13555">
        <v>399999.99999999919</v>
      </c>
    </row>
    <row r="13556" spans="26:26" x14ac:dyDescent="0.25">
      <c r="Z13556">
        <v>399999.99999999919</v>
      </c>
    </row>
    <row r="13557" spans="26:26" x14ac:dyDescent="0.25">
      <c r="Z13557">
        <v>399999.99999999919</v>
      </c>
    </row>
    <row r="13558" spans="26:26" x14ac:dyDescent="0.25">
      <c r="Z13558">
        <v>399999.99999999919</v>
      </c>
    </row>
    <row r="13559" spans="26:26" x14ac:dyDescent="0.25">
      <c r="Z13559">
        <v>399999.99999999919</v>
      </c>
    </row>
    <row r="13560" spans="26:26" x14ac:dyDescent="0.25">
      <c r="Z13560">
        <v>399999.99999999919</v>
      </c>
    </row>
    <row r="13561" spans="26:26" x14ac:dyDescent="0.25">
      <c r="Z13561">
        <v>399999.99999999919</v>
      </c>
    </row>
    <row r="13562" spans="26:26" x14ac:dyDescent="0.25">
      <c r="Z13562">
        <v>399999.99999999919</v>
      </c>
    </row>
    <row r="13563" spans="26:26" x14ac:dyDescent="0.25">
      <c r="Z13563">
        <v>399999.99999999919</v>
      </c>
    </row>
    <row r="13564" spans="26:26" x14ac:dyDescent="0.25">
      <c r="Z13564">
        <v>399999.99999999919</v>
      </c>
    </row>
    <row r="13565" spans="26:26" x14ac:dyDescent="0.25">
      <c r="Z13565">
        <v>399999.99999999919</v>
      </c>
    </row>
    <row r="13566" spans="26:26" x14ac:dyDescent="0.25">
      <c r="Z13566">
        <v>399999.99999999919</v>
      </c>
    </row>
    <row r="13567" spans="26:26" x14ac:dyDescent="0.25">
      <c r="Z13567">
        <v>399999.99999999919</v>
      </c>
    </row>
    <row r="13568" spans="26:26" x14ac:dyDescent="0.25">
      <c r="Z13568">
        <v>399999.99999999919</v>
      </c>
    </row>
    <row r="13569" spans="26:26" x14ac:dyDescent="0.25">
      <c r="Z13569">
        <v>399999.99999999924</v>
      </c>
    </row>
    <row r="13570" spans="26:26" x14ac:dyDescent="0.25">
      <c r="Z13570">
        <v>399999.99999999924</v>
      </c>
    </row>
    <row r="13571" spans="26:26" x14ac:dyDescent="0.25">
      <c r="Z13571">
        <v>399999.99999999924</v>
      </c>
    </row>
    <row r="13572" spans="26:26" x14ac:dyDescent="0.25">
      <c r="Z13572">
        <v>399999.99999999924</v>
      </c>
    </row>
    <row r="13573" spans="26:26" x14ac:dyDescent="0.25">
      <c r="Z13573">
        <v>399999.99999999924</v>
      </c>
    </row>
    <row r="13574" spans="26:26" x14ac:dyDescent="0.25">
      <c r="Z13574">
        <v>399999.99999999924</v>
      </c>
    </row>
    <row r="13575" spans="26:26" x14ac:dyDescent="0.25">
      <c r="Z13575">
        <v>399999.99999999924</v>
      </c>
    </row>
    <row r="13576" spans="26:26" x14ac:dyDescent="0.25">
      <c r="Z13576">
        <v>399999.99999999924</v>
      </c>
    </row>
    <row r="13577" spans="26:26" x14ac:dyDescent="0.25">
      <c r="Z13577">
        <v>399999.99999999924</v>
      </c>
    </row>
    <row r="13578" spans="26:26" x14ac:dyDescent="0.25">
      <c r="Z13578">
        <v>399999.99999999924</v>
      </c>
    </row>
    <row r="13579" spans="26:26" x14ac:dyDescent="0.25">
      <c r="Z13579">
        <v>399999.99999999924</v>
      </c>
    </row>
    <row r="13580" spans="26:26" x14ac:dyDescent="0.25">
      <c r="Z13580">
        <v>399999.99999999924</v>
      </c>
    </row>
    <row r="13581" spans="26:26" x14ac:dyDescent="0.25">
      <c r="Z13581">
        <v>399999.99999999924</v>
      </c>
    </row>
    <row r="13582" spans="26:26" x14ac:dyDescent="0.25">
      <c r="Z13582">
        <v>399999.99999999924</v>
      </c>
    </row>
    <row r="13583" spans="26:26" x14ac:dyDescent="0.25">
      <c r="Z13583">
        <v>399999.99999999924</v>
      </c>
    </row>
    <row r="13584" spans="26:26" x14ac:dyDescent="0.25">
      <c r="Z13584">
        <v>399999.99999999924</v>
      </c>
    </row>
    <row r="13585" spans="26:26" x14ac:dyDescent="0.25">
      <c r="Z13585">
        <v>399999.99999999924</v>
      </c>
    </row>
    <row r="13586" spans="26:26" x14ac:dyDescent="0.25">
      <c r="Z13586">
        <v>399999.99999999924</v>
      </c>
    </row>
    <row r="13587" spans="26:26" x14ac:dyDescent="0.25">
      <c r="Z13587">
        <v>399999.99999999924</v>
      </c>
    </row>
    <row r="13588" spans="26:26" x14ac:dyDescent="0.25">
      <c r="Z13588">
        <v>399999.99999999924</v>
      </c>
    </row>
    <row r="13589" spans="26:26" x14ac:dyDescent="0.25">
      <c r="Z13589">
        <v>399999.99999999924</v>
      </c>
    </row>
    <row r="13590" spans="26:26" x14ac:dyDescent="0.25">
      <c r="Z13590">
        <v>399999.99999999924</v>
      </c>
    </row>
    <row r="13591" spans="26:26" x14ac:dyDescent="0.25">
      <c r="Z13591">
        <v>399999.99999999924</v>
      </c>
    </row>
    <row r="13592" spans="26:26" x14ac:dyDescent="0.25">
      <c r="Z13592">
        <v>399999.99999999924</v>
      </c>
    </row>
    <row r="13593" spans="26:26" x14ac:dyDescent="0.25">
      <c r="Z13593">
        <v>399999.99999999924</v>
      </c>
    </row>
    <row r="13594" spans="26:26" x14ac:dyDescent="0.25">
      <c r="Z13594">
        <v>399999.99999999924</v>
      </c>
    </row>
    <row r="13595" spans="26:26" x14ac:dyDescent="0.25">
      <c r="Z13595">
        <v>399999.99999999924</v>
      </c>
    </row>
    <row r="13596" spans="26:26" x14ac:dyDescent="0.25">
      <c r="Z13596">
        <v>399999.99999999924</v>
      </c>
    </row>
    <row r="13597" spans="26:26" x14ac:dyDescent="0.25">
      <c r="Z13597">
        <v>399999.99999999924</v>
      </c>
    </row>
    <row r="13598" spans="26:26" x14ac:dyDescent="0.25">
      <c r="Z13598">
        <v>399999.99999999924</v>
      </c>
    </row>
    <row r="13599" spans="26:26" x14ac:dyDescent="0.25">
      <c r="Z13599">
        <v>399999.99999999924</v>
      </c>
    </row>
    <row r="13600" spans="26:26" x14ac:dyDescent="0.25">
      <c r="Z13600">
        <v>399999.99999999924</v>
      </c>
    </row>
    <row r="13601" spans="26:26" x14ac:dyDescent="0.25">
      <c r="Z13601">
        <v>399999.99999999924</v>
      </c>
    </row>
    <row r="13602" spans="26:26" x14ac:dyDescent="0.25">
      <c r="Z13602">
        <v>399999.99999999924</v>
      </c>
    </row>
    <row r="13603" spans="26:26" x14ac:dyDescent="0.25">
      <c r="Z13603">
        <v>399999.99999999924</v>
      </c>
    </row>
    <row r="13604" spans="26:26" x14ac:dyDescent="0.25">
      <c r="Z13604">
        <v>399999.99999999924</v>
      </c>
    </row>
    <row r="13605" spans="26:26" x14ac:dyDescent="0.25">
      <c r="Z13605">
        <v>399999.99999999924</v>
      </c>
    </row>
    <row r="13606" spans="26:26" x14ac:dyDescent="0.25">
      <c r="Z13606">
        <v>399999.99999999924</v>
      </c>
    </row>
    <row r="13607" spans="26:26" x14ac:dyDescent="0.25">
      <c r="Z13607">
        <v>399999.99999999924</v>
      </c>
    </row>
    <row r="13608" spans="26:26" x14ac:dyDescent="0.25">
      <c r="Z13608">
        <v>399999.99999999924</v>
      </c>
    </row>
    <row r="13609" spans="26:26" x14ac:dyDescent="0.25">
      <c r="Z13609">
        <v>399999.99999999924</v>
      </c>
    </row>
    <row r="13610" spans="26:26" x14ac:dyDescent="0.25">
      <c r="Z13610">
        <v>399999.99999999924</v>
      </c>
    </row>
    <row r="13611" spans="26:26" x14ac:dyDescent="0.25">
      <c r="Z13611">
        <v>399999.99999999924</v>
      </c>
    </row>
    <row r="13612" spans="26:26" x14ac:dyDescent="0.25">
      <c r="Z13612">
        <v>399999.99999999924</v>
      </c>
    </row>
    <row r="13613" spans="26:26" x14ac:dyDescent="0.25">
      <c r="Z13613">
        <v>399999.99999999924</v>
      </c>
    </row>
    <row r="13614" spans="26:26" x14ac:dyDescent="0.25">
      <c r="Z13614">
        <v>399999.99999999924</v>
      </c>
    </row>
    <row r="13615" spans="26:26" x14ac:dyDescent="0.25">
      <c r="Z13615">
        <v>399999.99999999924</v>
      </c>
    </row>
    <row r="13616" spans="26:26" x14ac:dyDescent="0.25">
      <c r="Z13616">
        <v>399999.99999999924</v>
      </c>
    </row>
    <row r="13617" spans="26:26" x14ac:dyDescent="0.25">
      <c r="Z13617">
        <v>399999.99999999924</v>
      </c>
    </row>
    <row r="13618" spans="26:26" x14ac:dyDescent="0.25">
      <c r="Z13618">
        <v>399999.9999999993</v>
      </c>
    </row>
    <row r="13619" spans="26:26" x14ac:dyDescent="0.25">
      <c r="Z13619">
        <v>399999.9999999993</v>
      </c>
    </row>
    <row r="13620" spans="26:26" x14ac:dyDescent="0.25">
      <c r="Z13620">
        <v>399999.9999999993</v>
      </c>
    </row>
    <row r="13621" spans="26:26" x14ac:dyDescent="0.25">
      <c r="Z13621">
        <v>399999.9999999993</v>
      </c>
    </row>
    <row r="13622" spans="26:26" x14ac:dyDescent="0.25">
      <c r="Z13622">
        <v>399999.9999999993</v>
      </c>
    </row>
    <row r="13623" spans="26:26" x14ac:dyDescent="0.25">
      <c r="Z13623">
        <v>399999.9999999993</v>
      </c>
    </row>
    <row r="13624" spans="26:26" x14ac:dyDescent="0.25">
      <c r="Z13624">
        <v>399999.9999999993</v>
      </c>
    </row>
    <row r="13625" spans="26:26" x14ac:dyDescent="0.25">
      <c r="Z13625">
        <v>399999.9999999993</v>
      </c>
    </row>
    <row r="13626" spans="26:26" x14ac:dyDescent="0.25">
      <c r="Z13626">
        <v>399999.9999999993</v>
      </c>
    </row>
    <row r="13627" spans="26:26" x14ac:dyDescent="0.25">
      <c r="Z13627">
        <v>399999.9999999993</v>
      </c>
    </row>
    <row r="13628" spans="26:26" x14ac:dyDescent="0.25">
      <c r="Z13628">
        <v>399999.9999999993</v>
      </c>
    </row>
    <row r="13629" spans="26:26" x14ac:dyDescent="0.25">
      <c r="Z13629">
        <v>399999.9999999993</v>
      </c>
    </row>
    <row r="13630" spans="26:26" x14ac:dyDescent="0.25">
      <c r="Z13630">
        <v>399999.9999999993</v>
      </c>
    </row>
    <row r="13631" spans="26:26" x14ac:dyDescent="0.25">
      <c r="Z13631">
        <v>399999.9999999993</v>
      </c>
    </row>
    <row r="13632" spans="26:26" x14ac:dyDescent="0.25">
      <c r="Z13632">
        <v>399999.9999999993</v>
      </c>
    </row>
    <row r="13633" spans="26:26" x14ac:dyDescent="0.25">
      <c r="Z13633">
        <v>399999.9999999993</v>
      </c>
    </row>
    <row r="13634" spans="26:26" x14ac:dyDescent="0.25">
      <c r="Z13634">
        <v>399999.9999999993</v>
      </c>
    </row>
    <row r="13635" spans="26:26" x14ac:dyDescent="0.25">
      <c r="Z13635">
        <v>399999.9999999993</v>
      </c>
    </row>
    <row r="13636" spans="26:26" x14ac:dyDescent="0.25">
      <c r="Z13636">
        <v>399999.9999999993</v>
      </c>
    </row>
    <row r="13637" spans="26:26" x14ac:dyDescent="0.25">
      <c r="Z13637">
        <v>399999.9999999993</v>
      </c>
    </row>
    <row r="13638" spans="26:26" x14ac:dyDescent="0.25">
      <c r="Z13638">
        <v>399999.9999999993</v>
      </c>
    </row>
    <row r="13639" spans="26:26" x14ac:dyDescent="0.25">
      <c r="Z13639">
        <v>399999.9999999993</v>
      </c>
    </row>
    <row r="13640" spans="26:26" x14ac:dyDescent="0.25">
      <c r="Z13640">
        <v>399999.9999999993</v>
      </c>
    </row>
    <row r="13641" spans="26:26" x14ac:dyDescent="0.25">
      <c r="Z13641">
        <v>399999.9999999993</v>
      </c>
    </row>
    <row r="13642" spans="26:26" x14ac:dyDescent="0.25">
      <c r="Z13642">
        <v>399999.9999999993</v>
      </c>
    </row>
    <row r="13643" spans="26:26" x14ac:dyDescent="0.25">
      <c r="Z13643">
        <v>399999.9999999993</v>
      </c>
    </row>
    <row r="13644" spans="26:26" x14ac:dyDescent="0.25">
      <c r="Z13644">
        <v>399999.9999999993</v>
      </c>
    </row>
    <row r="13645" spans="26:26" x14ac:dyDescent="0.25">
      <c r="Z13645">
        <v>399999.99999999936</v>
      </c>
    </row>
    <row r="13646" spans="26:26" x14ac:dyDescent="0.25">
      <c r="Z13646">
        <v>399999.99999999936</v>
      </c>
    </row>
    <row r="13647" spans="26:26" x14ac:dyDescent="0.25">
      <c r="Z13647">
        <v>399999.99999999936</v>
      </c>
    </row>
    <row r="13648" spans="26:26" x14ac:dyDescent="0.25">
      <c r="Z13648">
        <v>399999.99999999936</v>
      </c>
    </row>
    <row r="13649" spans="26:26" x14ac:dyDescent="0.25">
      <c r="Z13649">
        <v>399999.99999999936</v>
      </c>
    </row>
    <row r="13650" spans="26:26" x14ac:dyDescent="0.25">
      <c r="Z13650">
        <v>399999.99999999936</v>
      </c>
    </row>
    <row r="13651" spans="26:26" x14ac:dyDescent="0.25">
      <c r="Z13651">
        <v>399999.99999999936</v>
      </c>
    </row>
    <row r="13652" spans="26:26" x14ac:dyDescent="0.25">
      <c r="Z13652">
        <v>399999.99999999936</v>
      </c>
    </row>
    <row r="13653" spans="26:26" x14ac:dyDescent="0.25">
      <c r="Z13653">
        <v>399999.99999999936</v>
      </c>
    </row>
    <row r="13654" spans="26:26" x14ac:dyDescent="0.25">
      <c r="Z13654">
        <v>399999.99999999936</v>
      </c>
    </row>
    <row r="13655" spans="26:26" x14ac:dyDescent="0.25">
      <c r="Z13655">
        <v>399999.99999999936</v>
      </c>
    </row>
    <row r="13656" spans="26:26" x14ac:dyDescent="0.25">
      <c r="Z13656">
        <v>399999.99999999936</v>
      </c>
    </row>
    <row r="13657" spans="26:26" x14ac:dyDescent="0.25">
      <c r="Z13657">
        <v>399999.99999999936</v>
      </c>
    </row>
    <row r="13658" spans="26:26" x14ac:dyDescent="0.25">
      <c r="Z13658">
        <v>399999.99999999936</v>
      </c>
    </row>
    <row r="13659" spans="26:26" x14ac:dyDescent="0.25">
      <c r="Z13659">
        <v>399999.99999999936</v>
      </c>
    </row>
    <row r="13660" spans="26:26" x14ac:dyDescent="0.25">
      <c r="Z13660">
        <v>399999.99999999936</v>
      </c>
    </row>
    <row r="13661" spans="26:26" x14ac:dyDescent="0.25">
      <c r="Z13661">
        <v>399999.99999999936</v>
      </c>
    </row>
    <row r="13662" spans="26:26" x14ac:dyDescent="0.25">
      <c r="Z13662">
        <v>399999.99999999936</v>
      </c>
    </row>
    <row r="13663" spans="26:26" x14ac:dyDescent="0.25">
      <c r="Z13663">
        <v>399999.99999999936</v>
      </c>
    </row>
    <row r="13664" spans="26:26" x14ac:dyDescent="0.25">
      <c r="Z13664">
        <v>399999.99999999936</v>
      </c>
    </row>
    <row r="13665" spans="26:26" x14ac:dyDescent="0.25">
      <c r="Z13665">
        <v>399999.99999999936</v>
      </c>
    </row>
    <row r="13666" spans="26:26" x14ac:dyDescent="0.25">
      <c r="Z13666">
        <v>399999.99999999936</v>
      </c>
    </row>
    <row r="13667" spans="26:26" x14ac:dyDescent="0.25">
      <c r="Z13667">
        <v>399999.99999999936</v>
      </c>
    </row>
    <row r="13668" spans="26:26" x14ac:dyDescent="0.25">
      <c r="Z13668">
        <v>399999.99999999936</v>
      </c>
    </row>
    <row r="13669" spans="26:26" x14ac:dyDescent="0.25">
      <c r="Z13669">
        <v>399999.99999999936</v>
      </c>
    </row>
    <row r="13670" spans="26:26" x14ac:dyDescent="0.25">
      <c r="Z13670">
        <v>399999.99999999936</v>
      </c>
    </row>
    <row r="13671" spans="26:26" x14ac:dyDescent="0.25">
      <c r="Z13671">
        <v>399999.99999999936</v>
      </c>
    </row>
    <row r="13672" spans="26:26" x14ac:dyDescent="0.25">
      <c r="Z13672">
        <v>399999.99999999936</v>
      </c>
    </row>
    <row r="13673" spans="26:26" x14ac:dyDescent="0.25">
      <c r="Z13673">
        <v>399999.99999999942</v>
      </c>
    </row>
    <row r="13674" spans="26:26" x14ac:dyDescent="0.25">
      <c r="Z13674">
        <v>399999.99999999942</v>
      </c>
    </row>
    <row r="13675" spans="26:26" x14ac:dyDescent="0.25">
      <c r="Z13675">
        <v>399999.99999999942</v>
      </c>
    </row>
    <row r="13676" spans="26:26" x14ac:dyDescent="0.25">
      <c r="Z13676">
        <v>399999.99999999942</v>
      </c>
    </row>
    <row r="13677" spans="26:26" x14ac:dyDescent="0.25">
      <c r="Z13677">
        <v>399999.99999999942</v>
      </c>
    </row>
    <row r="13678" spans="26:26" x14ac:dyDescent="0.25">
      <c r="Z13678">
        <v>399999.99999999942</v>
      </c>
    </row>
    <row r="13679" spans="26:26" x14ac:dyDescent="0.25">
      <c r="Z13679">
        <v>399999.99999999942</v>
      </c>
    </row>
    <row r="13680" spans="26:26" x14ac:dyDescent="0.25">
      <c r="Z13680">
        <v>399999.99999999942</v>
      </c>
    </row>
    <row r="13681" spans="26:26" x14ac:dyDescent="0.25">
      <c r="Z13681">
        <v>399999.99999999942</v>
      </c>
    </row>
    <row r="13682" spans="26:26" x14ac:dyDescent="0.25">
      <c r="Z13682">
        <v>399999.99999999942</v>
      </c>
    </row>
    <row r="13683" spans="26:26" x14ac:dyDescent="0.25">
      <c r="Z13683">
        <v>399999.99999999942</v>
      </c>
    </row>
    <row r="13684" spans="26:26" x14ac:dyDescent="0.25">
      <c r="Z13684">
        <v>399999.99999999942</v>
      </c>
    </row>
    <row r="13685" spans="26:26" x14ac:dyDescent="0.25">
      <c r="Z13685">
        <v>399999.99999999942</v>
      </c>
    </row>
    <row r="13686" spans="26:26" x14ac:dyDescent="0.25">
      <c r="Z13686">
        <v>399999.99999999942</v>
      </c>
    </row>
    <row r="13687" spans="26:26" x14ac:dyDescent="0.25">
      <c r="Z13687">
        <v>399999.99999999942</v>
      </c>
    </row>
    <row r="13688" spans="26:26" x14ac:dyDescent="0.25">
      <c r="Z13688">
        <v>399999.99999999942</v>
      </c>
    </row>
    <row r="13689" spans="26:26" x14ac:dyDescent="0.25">
      <c r="Z13689">
        <v>399999.99999999942</v>
      </c>
    </row>
    <row r="13690" spans="26:26" x14ac:dyDescent="0.25">
      <c r="Z13690">
        <v>399999.99999999942</v>
      </c>
    </row>
    <row r="13691" spans="26:26" x14ac:dyDescent="0.25">
      <c r="Z13691">
        <v>399999.99999999942</v>
      </c>
    </row>
    <row r="13692" spans="26:26" x14ac:dyDescent="0.25">
      <c r="Z13692">
        <v>399999.99999999942</v>
      </c>
    </row>
    <row r="13693" spans="26:26" x14ac:dyDescent="0.25">
      <c r="Z13693">
        <v>399999.99999999942</v>
      </c>
    </row>
    <row r="13694" spans="26:26" x14ac:dyDescent="0.25">
      <c r="Z13694">
        <v>399999.99999999942</v>
      </c>
    </row>
    <row r="13695" spans="26:26" x14ac:dyDescent="0.25">
      <c r="Z13695">
        <v>399999.99999999942</v>
      </c>
    </row>
    <row r="13696" spans="26:26" x14ac:dyDescent="0.25">
      <c r="Z13696">
        <v>399999.99999999942</v>
      </c>
    </row>
    <row r="13697" spans="26:26" x14ac:dyDescent="0.25">
      <c r="Z13697">
        <v>399999.99999999942</v>
      </c>
    </row>
    <row r="13698" spans="26:26" x14ac:dyDescent="0.25">
      <c r="Z13698">
        <v>399999.99999999942</v>
      </c>
    </row>
    <row r="13699" spans="26:26" x14ac:dyDescent="0.25">
      <c r="Z13699">
        <v>399999.99999999942</v>
      </c>
    </row>
    <row r="13700" spans="26:26" x14ac:dyDescent="0.25">
      <c r="Z13700">
        <v>399999.99999999942</v>
      </c>
    </row>
    <row r="13701" spans="26:26" x14ac:dyDescent="0.25">
      <c r="Z13701">
        <v>399999.99999999942</v>
      </c>
    </row>
    <row r="13702" spans="26:26" x14ac:dyDescent="0.25">
      <c r="Z13702">
        <v>399999.99999999942</v>
      </c>
    </row>
    <row r="13703" spans="26:26" x14ac:dyDescent="0.25">
      <c r="Z13703">
        <v>399999.99999999942</v>
      </c>
    </row>
    <row r="13704" spans="26:26" x14ac:dyDescent="0.25">
      <c r="Z13704">
        <v>399999.99999999942</v>
      </c>
    </row>
    <row r="13705" spans="26:26" x14ac:dyDescent="0.25">
      <c r="Z13705">
        <v>399999.99999999942</v>
      </c>
    </row>
    <row r="13706" spans="26:26" x14ac:dyDescent="0.25">
      <c r="Z13706">
        <v>399999.99999999942</v>
      </c>
    </row>
    <row r="13707" spans="26:26" x14ac:dyDescent="0.25">
      <c r="Z13707">
        <v>399999.99999999942</v>
      </c>
    </row>
    <row r="13708" spans="26:26" x14ac:dyDescent="0.25">
      <c r="Z13708">
        <v>399999.99999999942</v>
      </c>
    </row>
    <row r="13709" spans="26:26" x14ac:dyDescent="0.25">
      <c r="Z13709">
        <v>399999.99999999942</v>
      </c>
    </row>
    <row r="13710" spans="26:26" x14ac:dyDescent="0.25">
      <c r="Z13710">
        <v>399999.99999999942</v>
      </c>
    </row>
    <row r="13711" spans="26:26" x14ac:dyDescent="0.25">
      <c r="Z13711">
        <v>399999.99999999942</v>
      </c>
    </row>
    <row r="13712" spans="26:26" x14ac:dyDescent="0.25">
      <c r="Z13712">
        <v>399999.99999999942</v>
      </c>
    </row>
    <row r="13713" spans="26:26" x14ac:dyDescent="0.25">
      <c r="Z13713">
        <v>399999.99999999942</v>
      </c>
    </row>
    <row r="13714" spans="26:26" x14ac:dyDescent="0.25">
      <c r="Z13714">
        <v>399999.99999999942</v>
      </c>
    </row>
    <row r="13715" spans="26:26" x14ac:dyDescent="0.25">
      <c r="Z13715">
        <v>399999.99999999942</v>
      </c>
    </row>
    <row r="13716" spans="26:26" x14ac:dyDescent="0.25">
      <c r="Z13716">
        <v>399999.99999999942</v>
      </c>
    </row>
    <row r="13717" spans="26:26" x14ac:dyDescent="0.25">
      <c r="Z13717">
        <v>399999.99999999942</v>
      </c>
    </row>
    <row r="13718" spans="26:26" x14ac:dyDescent="0.25">
      <c r="Z13718">
        <v>399999.99999999942</v>
      </c>
    </row>
    <row r="13719" spans="26:26" x14ac:dyDescent="0.25">
      <c r="Z13719">
        <v>399999.99999999942</v>
      </c>
    </row>
    <row r="13720" spans="26:26" x14ac:dyDescent="0.25">
      <c r="Z13720">
        <v>399999.99999999942</v>
      </c>
    </row>
    <row r="13721" spans="26:26" x14ac:dyDescent="0.25">
      <c r="Z13721">
        <v>399999.99999999942</v>
      </c>
    </row>
    <row r="13722" spans="26:26" x14ac:dyDescent="0.25">
      <c r="Z13722">
        <v>399999.99999999942</v>
      </c>
    </row>
    <row r="13723" spans="26:26" x14ac:dyDescent="0.25">
      <c r="Z13723">
        <v>399999.99999999942</v>
      </c>
    </row>
    <row r="13724" spans="26:26" x14ac:dyDescent="0.25">
      <c r="Z13724">
        <v>399999.99999999942</v>
      </c>
    </row>
    <row r="13725" spans="26:26" x14ac:dyDescent="0.25">
      <c r="Z13725">
        <v>399999.99999999942</v>
      </c>
    </row>
    <row r="13726" spans="26:26" x14ac:dyDescent="0.25">
      <c r="Z13726">
        <v>399999.99999999942</v>
      </c>
    </row>
    <row r="13727" spans="26:26" x14ac:dyDescent="0.25">
      <c r="Z13727">
        <v>399999.99999999942</v>
      </c>
    </row>
    <row r="13728" spans="26:26" x14ac:dyDescent="0.25">
      <c r="Z13728">
        <v>399999.99999999942</v>
      </c>
    </row>
    <row r="13729" spans="26:26" x14ac:dyDescent="0.25">
      <c r="Z13729">
        <v>399999.99999999942</v>
      </c>
    </row>
    <row r="13730" spans="26:26" x14ac:dyDescent="0.25">
      <c r="Z13730">
        <v>399999.99999999942</v>
      </c>
    </row>
    <row r="13731" spans="26:26" x14ac:dyDescent="0.25">
      <c r="Z13731">
        <v>399999.99999999942</v>
      </c>
    </row>
    <row r="13732" spans="26:26" x14ac:dyDescent="0.25">
      <c r="Z13732">
        <v>399999.99999999942</v>
      </c>
    </row>
    <row r="13733" spans="26:26" x14ac:dyDescent="0.25">
      <c r="Z13733">
        <v>399999.99999999942</v>
      </c>
    </row>
    <row r="13734" spans="26:26" x14ac:dyDescent="0.25">
      <c r="Z13734">
        <v>399999.99999999942</v>
      </c>
    </row>
    <row r="13735" spans="26:26" x14ac:dyDescent="0.25">
      <c r="Z13735">
        <v>399999.99999999942</v>
      </c>
    </row>
    <row r="13736" spans="26:26" x14ac:dyDescent="0.25">
      <c r="Z13736">
        <v>399999.99999999942</v>
      </c>
    </row>
    <row r="13737" spans="26:26" x14ac:dyDescent="0.25">
      <c r="Z13737">
        <v>399999.99999999948</v>
      </c>
    </row>
    <row r="13738" spans="26:26" x14ac:dyDescent="0.25">
      <c r="Z13738">
        <v>399999.99999999948</v>
      </c>
    </row>
    <row r="13739" spans="26:26" x14ac:dyDescent="0.25">
      <c r="Z13739">
        <v>399999.99999999948</v>
      </c>
    </row>
    <row r="13740" spans="26:26" x14ac:dyDescent="0.25">
      <c r="Z13740">
        <v>399999.99999999948</v>
      </c>
    </row>
    <row r="13741" spans="26:26" x14ac:dyDescent="0.25">
      <c r="Z13741">
        <v>399999.99999999948</v>
      </c>
    </row>
    <row r="13742" spans="26:26" x14ac:dyDescent="0.25">
      <c r="Z13742">
        <v>399999.99999999948</v>
      </c>
    </row>
    <row r="13743" spans="26:26" x14ac:dyDescent="0.25">
      <c r="Z13743">
        <v>399999.99999999948</v>
      </c>
    </row>
    <row r="13744" spans="26:26" x14ac:dyDescent="0.25">
      <c r="Z13744">
        <v>399999.99999999948</v>
      </c>
    </row>
    <row r="13745" spans="26:26" x14ac:dyDescent="0.25">
      <c r="Z13745">
        <v>399999.99999999948</v>
      </c>
    </row>
    <row r="13746" spans="26:26" x14ac:dyDescent="0.25">
      <c r="Z13746">
        <v>399999.99999999948</v>
      </c>
    </row>
    <row r="13747" spans="26:26" x14ac:dyDescent="0.25">
      <c r="Z13747">
        <v>399999.99999999948</v>
      </c>
    </row>
    <row r="13748" spans="26:26" x14ac:dyDescent="0.25">
      <c r="Z13748">
        <v>399999.99999999948</v>
      </c>
    </row>
    <row r="13749" spans="26:26" x14ac:dyDescent="0.25">
      <c r="Z13749">
        <v>399999.99999999948</v>
      </c>
    </row>
    <row r="13750" spans="26:26" x14ac:dyDescent="0.25">
      <c r="Z13750">
        <v>399999.99999999948</v>
      </c>
    </row>
    <row r="13751" spans="26:26" x14ac:dyDescent="0.25">
      <c r="Z13751">
        <v>399999.99999999948</v>
      </c>
    </row>
    <row r="13752" spans="26:26" x14ac:dyDescent="0.25">
      <c r="Z13752">
        <v>399999.99999999948</v>
      </c>
    </row>
    <row r="13753" spans="26:26" x14ac:dyDescent="0.25">
      <c r="Z13753">
        <v>399999.99999999948</v>
      </c>
    </row>
    <row r="13754" spans="26:26" x14ac:dyDescent="0.25">
      <c r="Z13754">
        <v>399999.99999999948</v>
      </c>
    </row>
    <row r="13755" spans="26:26" x14ac:dyDescent="0.25">
      <c r="Z13755">
        <v>399999.99999999948</v>
      </c>
    </row>
    <row r="13756" spans="26:26" x14ac:dyDescent="0.25">
      <c r="Z13756">
        <v>399999.99999999948</v>
      </c>
    </row>
    <row r="13757" spans="26:26" x14ac:dyDescent="0.25">
      <c r="Z13757">
        <v>399999.99999999948</v>
      </c>
    </row>
    <row r="13758" spans="26:26" x14ac:dyDescent="0.25">
      <c r="Z13758">
        <v>399999.99999999948</v>
      </c>
    </row>
    <row r="13759" spans="26:26" x14ac:dyDescent="0.25">
      <c r="Z13759">
        <v>399999.99999999948</v>
      </c>
    </row>
    <row r="13760" spans="26:26" x14ac:dyDescent="0.25">
      <c r="Z13760">
        <v>399999.99999999948</v>
      </c>
    </row>
    <row r="13761" spans="26:26" x14ac:dyDescent="0.25">
      <c r="Z13761">
        <v>399999.99999999948</v>
      </c>
    </row>
    <row r="13762" spans="26:26" x14ac:dyDescent="0.25">
      <c r="Z13762">
        <v>399999.99999999948</v>
      </c>
    </row>
    <row r="13763" spans="26:26" x14ac:dyDescent="0.25">
      <c r="Z13763">
        <v>399999.99999999948</v>
      </c>
    </row>
    <row r="13764" spans="26:26" x14ac:dyDescent="0.25">
      <c r="Z13764">
        <v>399999.99999999948</v>
      </c>
    </row>
    <row r="13765" spans="26:26" x14ac:dyDescent="0.25">
      <c r="Z13765">
        <v>399999.99999999948</v>
      </c>
    </row>
    <row r="13766" spans="26:26" x14ac:dyDescent="0.25">
      <c r="Z13766">
        <v>399999.99999999948</v>
      </c>
    </row>
    <row r="13767" spans="26:26" x14ac:dyDescent="0.25">
      <c r="Z13767">
        <v>399999.99999999948</v>
      </c>
    </row>
    <row r="13768" spans="26:26" x14ac:dyDescent="0.25">
      <c r="Z13768">
        <v>399999.99999999948</v>
      </c>
    </row>
    <row r="13769" spans="26:26" x14ac:dyDescent="0.25">
      <c r="Z13769">
        <v>399999.99999999948</v>
      </c>
    </row>
    <row r="13770" spans="26:26" x14ac:dyDescent="0.25">
      <c r="Z13770">
        <v>399999.99999999948</v>
      </c>
    </row>
    <row r="13771" spans="26:26" x14ac:dyDescent="0.25">
      <c r="Z13771">
        <v>399999.99999999948</v>
      </c>
    </row>
    <row r="13772" spans="26:26" x14ac:dyDescent="0.25">
      <c r="Z13772">
        <v>399999.99999999948</v>
      </c>
    </row>
    <row r="13773" spans="26:26" x14ac:dyDescent="0.25">
      <c r="Z13773">
        <v>399999.99999999948</v>
      </c>
    </row>
    <row r="13774" spans="26:26" x14ac:dyDescent="0.25">
      <c r="Z13774">
        <v>399999.99999999953</v>
      </c>
    </row>
    <row r="13775" spans="26:26" x14ac:dyDescent="0.25">
      <c r="Z13775">
        <v>399999.99999999953</v>
      </c>
    </row>
    <row r="13776" spans="26:26" x14ac:dyDescent="0.25">
      <c r="Z13776">
        <v>399999.99999999953</v>
      </c>
    </row>
    <row r="13777" spans="26:26" x14ac:dyDescent="0.25">
      <c r="Z13777">
        <v>399999.99999999953</v>
      </c>
    </row>
    <row r="13778" spans="26:26" x14ac:dyDescent="0.25">
      <c r="Z13778">
        <v>399999.99999999953</v>
      </c>
    </row>
    <row r="13779" spans="26:26" x14ac:dyDescent="0.25">
      <c r="Z13779">
        <v>399999.99999999953</v>
      </c>
    </row>
    <row r="13780" spans="26:26" x14ac:dyDescent="0.25">
      <c r="Z13780">
        <v>399999.99999999953</v>
      </c>
    </row>
    <row r="13781" spans="26:26" x14ac:dyDescent="0.25">
      <c r="Z13781">
        <v>399999.99999999953</v>
      </c>
    </row>
    <row r="13782" spans="26:26" x14ac:dyDescent="0.25">
      <c r="Z13782">
        <v>399999.99999999953</v>
      </c>
    </row>
    <row r="13783" spans="26:26" x14ac:dyDescent="0.25">
      <c r="Z13783">
        <v>399999.99999999953</v>
      </c>
    </row>
    <row r="13784" spans="26:26" x14ac:dyDescent="0.25">
      <c r="Z13784">
        <v>399999.99999999953</v>
      </c>
    </row>
    <row r="13785" spans="26:26" x14ac:dyDescent="0.25">
      <c r="Z13785">
        <v>399999.99999999953</v>
      </c>
    </row>
    <row r="13786" spans="26:26" x14ac:dyDescent="0.25">
      <c r="Z13786">
        <v>399999.99999999953</v>
      </c>
    </row>
    <row r="13787" spans="26:26" x14ac:dyDescent="0.25">
      <c r="Z13787">
        <v>399999.99999999953</v>
      </c>
    </row>
    <row r="13788" spans="26:26" x14ac:dyDescent="0.25">
      <c r="Z13788">
        <v>399999.99999999953</v>
      </c>
    </row>
    <row r="13789" spans="26:26" x14ac:dyDescent="0.25">
      <c r="Z13789">
        <v>399999.99999999953</v>
      </c>
    </row>
    <row r="13790" spans="26:26" x14ac:dyDescent="0.25">
      <c r="Z13790">
        <v>399999.99999999953</v>
      </c>
    </row>
    <row r="13791" spans="26:26" x14ac:dyDescent="0.25">
      <c r="Z13791">
        <v>399999.99999999953</v>
      </c>
    </row>
    <row r="13792" spans="26:26" x14ac:dyDescent="0.25">
      <c r="Z13792">
        <v>399999.99999999953</v>
      </c>
    </row>
    <row r="13793" spans="26:26" x14ac:dyDescent="0.25">
      <c r="Z13793">
        <v>399999.99999999953</v>
      </c>
    </row>
    <row r="13794" spans="26:26" x14ac:dyDescent="0.25">
      <c r="Z13794">
        <v>399999.99999999953</v>
      </c>
    </row>
    <row r="13795" spans="26:26" x14ac:dyDescent="0.25">
      <c r="Z13795">
        <v>399999.99999999953</v>
      </c>
    </row>
    <row r="13796" spans="26:26" x14ac:dyDescent="0.25">
      <c r="Z13796">
        <v>399999.99999999953</v>
      </c>
    </row>
    <row r="13797" spans="26:26" x14ac:dyDescent="0.25">
      <c r="Z13797">
        <v>399999.99999999953</v>
      </c>
    </row>
    <row r="13798" spans="26:26" x14ac:dyDescent="0.25">
      <c r="Z13798">
        <v>399999.99999999953</v>
      </c>
    </row>
    <row r="13799" spans="26:26" x14ac:dyDescent="0.25">
      <c r="Z13799">
        <v>399999.99999999953</v>
      </c>
    </row>
    <row r="13800" spans="26:26" x14ac:dyDescent="0.25">
      <c r="Z13800">
        <v>399999.99999999953</v>
      </c>
    </row>
    <row r="13801" spans="26:26" x14ac:dyDescent="0.25">
      <c r="Z13801">
        <v>399999.99999999953</v>
      </c>
    </row>
    <row r="13802" spans="26:26" x14ac:dyDescent="0.25">
      <c r="Z13802">
        <v>399999.99999999953</v>
      </c>
    </row>
    <row r="13803" spans="26:26" x14ac:dyDescent="0.25">
      <c r="Z13803">
        <v>399999.99999999953</v>
      </c>
    </row>
    <row r="13804" spans="26:26" x14ac:dyDescent="0.25">
      <c r="Z13804">
        <v>399999.99999999953</v>
      </c>
    </row>
    <row r="13805" spans="26:26" x14ac:dyDescent="0.25">
      <c r="Z13805">
        <v>399999.99999999953</v>
      </c>
    </row>
    <row r="13806" spans="26:26" x14ac:dyDescent="0.25">
      <c r="Z13806">
        <v>399999.99999999953</v>
      </c>
    </row>
    <row r="13807" spans="26:26" x14ac:dyDescent="0.25">
      <c r="Z13807">
        <v>399999.99999999953</v>
      </c>
    </row>
    <row r="13808" spans="26:26" x14ac:dyDescent="0.25">
      <c r="Z13808">
        <v>399999.99999999953</v>
      </c>
    </row>
    <row r="13809" spans="26:26" x14ac:dyDescent="0.25">
      <c r="Z13809">
        <v>399999.99999999953</v>
      </c>
    </row>
    <row r="13810" spans="26:26" x14ac:dyDescent="0.25">
      <c r="Z13810">
        <v>399999.99999999953</v>
      </c>
    </row>
    <row r="13811" spans="26:26" x14ac:dyDescent="0.25">
      <c r="Z13811">
        <v>399999.99999999953</v>
      </c>
    </row>
    <row r="13812" spans="26:26" x14ac:dyDescent="0.25">
      <c r="Z13812">
        <v>399999.99999999953</v>
      </c>
    </row>
    <row r="13813" spans="26:26" x14ac:dyDescent="0.25">
      <c r="Z13813">
        <v>399999.99999999953</v>
      </c>
    </row>
    <row r="13814" spans="26:26" x14ac:dyDescent="0.25">
      <c r="Z13814">
        <v>399999.99999999959</v>
      </c>
    </row>
    <row r="13815" spans="26:26" x14ac:dyDescent="0.25">
      <c r="Z13815">
        <v>399999.99999999959</v>
      </c>
    </row>
    <row r="13816" spans="26:26" x14ac:dyDescent="0.25">
      <c r="Z13816">
        <v>399999.99999999959</v>
      </c>
    </row>
    <row r="13817" spans="26:26" x14ac:dyDescent="0.25">
      <c r="Z13817">
        <v>399999.99999999959</v>
      </c>
    </row>
    <row r="13818" spans="26:26" x14ac:dyDescent="0.25">
      <c r="Z13818">
        <v>399999.99999999959</v>
      </c>
    </row>
    <row r="13819" spans="26:26" x14ac:dyDescent="0.25">
      <c r="Z13819">
        <v>399999.99999999959</v>
      </c>
    </row>
    <row r="13820" spans="26:26" x14ac:dyDescent="0.25">
      <c r="Z13820">
        <v>399999.99999999959</v>
      </c>
    </row>
    <row r="13821" spans="26:26" x14ac:dyDescent="0.25">
      <c r="Z13821">
        <v>399999.99999999959</v>
      </c>
    </row>
    <row r="13822" spans="26:26" x14ac:dyDescent="0.25">
      <c r="Z13822">
        <v>399999.99999999959</v>
      </c>
    </row>
    <row r="13823" spans="26:26" x14ac:dyDescent="0.25">
      <c r="Z13823">
        <v>399999.99999999959</v>
      </c>
    </row>
    <row r="13824" spans="26:26" x14ac:dyDescent="0.25">
      <c r="Z13824">
        <v>399999.99999999959</v>
      </c>
    </row>
    <row r="13825" spans="26:26" x14ac:dyDescent="0.25">
      <c r="Z13825">
        <v>399999.99999999959</v>
      </c>
    </row>
    <row r="13826" spans="26:26" x14ac:dyDescent="0.25">
      <c r="Z13826">
        <v>399999.99999999959</v>
      </c>
    </row>
    <row r="13827" spans="26:26" x14ac:dyDescent="0.25">
      <c r="Z13827">
        <v>399999.99999999959</v>
      </c>
    </row>
    <row r="13828" spans="26:26" x14ac:dyDescent="0.25">
      <c r="Z13828">
        <v>399999.99999999959</v>
      </c>
    </row>
    <row r="13829" spans="26:26" x14ac:dyDescent="0.25">
      <c r="Z13829">
        <v>399999.99999999959</v>
      </c>
    </row>
    <row r="13830" spans="26:26" x14ac:dyDescent="0.25">
      <c r="Z13830">
        <v>399999.99999999959</v>
      </c>
    </row>
    <row r="13831" spans="26:26" x14ac:dyDescent="0.25">
      <c r="Z13831">
        <v>399999.99999999959</v>
      </c>
    </row>
    <row r="13832" spans="26:26" x14ac:dyDescent="0.25">
      <c r="Z13832">
        <v>399999.99999999959</v>
      </c>
    </row>
    <row r="13833" spans="26:26" x14ac:dyDescent="0.25">
      <c r="Z13833">
        <v>399999.99999999959</v>
      </c>
    </row>
    <row r="13834" spans="26:26" x14ac:dyDescent="0.25">
      <c r="Z13834">
        <v>399999.99999999959</v>
      </c>
    </row>
    <row r="13835" spans="26:26" x14ac:dyDescent="0.25">
      <c r="Z13835">
        <v>399999.99999999959</v>
      </c>
    </row>
    <row r="13836" spans="26:26" x14ac:dyDescent="0.25">
      <c r="Z13836">
        <v>399999.99999999959</v>
      </c>
    </row>
    <row r="13837" spans="26:26" x14ac:dyDescent="0.25">
      <c r="Z13837">
        <v>399999.99999999959</v>
      </c>
    </row>
    <row r="13838" spans="26:26" x14ac:dyDescent="0.25">
      <c r="Z13838">
        <v>399999.99999999959</v>
      </c>
    </row>
    <row r="13839" spans="26:26" x14ac:dyDescent="0.25">
      <c r="Z13839">
        <v>399999.99999999959</v>
      </c>
    </row>
    <row r="13840" spans="26:26" x14ac:dyDescent="0.25">
      <c r="Z13840">
        <v>399999.99999999959</v>
      </c>
    </row>
    <row r="13841" spans="26:26" x14ac:dyDescent="0.25">
      <c r="Z13841">
        <v>399999.99999999959</v>
      </c>
    </row>
    <row r="13842" spans="26:26" x14ac:dyDescent="0.25">
      <c r="Z13842">
        <v>399999.99999999959</v>
      </c>
    </row>
    <row r="13843" spans="26:26" x14ac:dyDescent="0.25">
      <c r="Z13843">
        <v>399999.99999999959</v>
      </c>
    </row>
    <row r="13844" spans="26:26" x14ac:dyDescent="0.25">
      <c r="Z13844">
        <v>399999.99999999959</v>
      </c>
    </row>
    <row r="13845" spans="26:26" x14ac:dyDescent="0.25">
      <c r="Z13845">
        <v>399999.99999999959</v>
      </c>
    </row>
    <row r="13846" spans="26:26" x14ac:dyDescent="0.25">
      <c r="Z13846">
        <v>399999.99999999959</v>
      </c>
    </row>
    <row r="13847" spans="26:26" x14ac:dyDescent="0.25">
      <c r="Z13847">
        <v>399999.99999999959</v>
      </c>
    </row>
    <row r="13848" spans="26:26" x14ac:dyDescent="0.25">
      <c r="Z13848">
        <v>399999.99999999959</v>
      </c>
    </row>
    <row r="13849" spans="26:26" x14ac:dyDescent="0.25">
      <c r="Z13849">
        <v>399999.99999999959</v>
      </c>
    </row>
    <row r="13850" spans="26:26" x14ac:dyDescent="0.25">
      <c r="Z13850">
        <v>399999.99999999959</v>
      </c>
    </row>
    <row r="13851" spans="26:26" x14ac:dyDescent="0.25">
      <c r="Z13851">
        <v>399999.99999999959</v>
      </c>
    </row>
    <row r="13852" spans="26:26" x14ac:dyDescent="0.25">
      <c r="Z13852">
        <v>399999.99999999959</v>
      </c>
    </row>
    <row r="13853" spans="26:26" x14ac:dyDescent="0.25">
      <c r="Z13853">
        <v>399999.99999999959</v>
      </c>
    </row>
    <row r="13854" spans="26:26" x14ac:dyDescent="0.25">
      <c r="Z13854">
        <v>399999.99999999959</v>
      </c>
    </row>
    <row r="13855" spans="26:26" x14ac:dyDescent="0.25">
      <c r="Z13855">
        <v>399999.99999999959</v>
      </c>
    </row>
    <row r="13856" spans="26:26" x14ac:dyDescent="0.25">
      <c r="Z13856">
        <v>399999.99999999959</v>
      </c>
    </row>
    <row r="13857" spans="26:26" x14ac:dyDescent="0.25">
      <c r="Z13857">
        <v>399999.99999999959</v>
      </c>
    </row>
    <row r="13858" spans="26:26" x14ac:dyDescent="0.25">
      <c r="Z13858">
        <v>399999.99999999965</v>
      </c>
    </row>
    <row r="13859" spans="26:26" x14ac:dyDescent="0.25">
      <c r="Z13859">
        <v>399999.99999999965</v>
      </c>
    </row>
    <row r="13860" spans="26:26" x14ac:dyDescent="0.25">
      <c r="Z13860">
        <v>399999.99999999965</v>
      </c>
    </row>
    <row r="13861" spans="26:26" x14ac:dyDescent="0.25">
      <c r="Z13861">
        <v>399999.99999999965</v>
      </c>
    </row>
    <row r="13862" spans="26:26" x14ac:dyDescent="0.25">
      <c r="Z13862">
        <v>399999.99999999965</v>
      </c>
    </row>
    <row r="13863" spans="26:26" x14ac:dyDescent="0.25">
      <c r="Z13863">
        <v>399999.99999999965</v>
      </c>
    </row>
    <row r="13864" spans="26:26" x14ac:dyDescent="0.25">
      <c r="Z13864">
        <v>399999.99999999965</v>
      </c>
    </row>
    <row r="13865" spans="26:26" x14ac:dyDescent="0.25">
      <c r="Z13865">
        <v>399999.99999999965</v>
      </c>
    </row>
    <row r="13866" spans="26:26" x14ac:dyDescent="0.25">
      <c r="Z13866">
        <v>399999.99999999965</v>
      </c>
    </row>
    <row r="13867" spans="26:26" x14ac:dyDescent="0.25">
      <c r="Z13867">
        <v>399999.99999999965</v>
      </c>
    </row>
    <row r="13868" spans="26:26" x14ac:dyDescent="0.25">
      <c r="Z13868">
        <v>399999.99999999965</v>
      </c>
    </row>
    <row r="13869" spans="26:26" x14ac:dyDescent="0.25">
      <c r="Z13869">
        <v>399999.99999999965</v>
      </c>
    </row>
    <row r="13870" spans="26:26" x14ac:dyDescent="0.25">
      <c r="Z13870">
        <v>399999.99999999965</v>
      </c>
    </row>
    <row r="13871" spans="26:26" x14ac:dyDescent="0.25">
      <c r="Z13871">
        <v>399999.99999999965</v>
      </c>
    </row>
    <row r="13872" spans="26:26" x14ac:dyDescent="0.25">
      <c r="Z13872">
        <v>399999.99999999965</v>
      </c>
    </row>
    <row r="13873" spans="26:26" x14ac:dyDescent="0.25">
      <c r="Z13873">
        <v>399999.99999999965</v>
      </c>
    </row>
    <row r="13874" spans="26:26" x14ac:dyDescent="0.25">
      <c r="Z13874">
        <v>399999.99999999965</v>
      </c>
    </row>
    <row r="13875" spans="26:26" x14ac:dyDescent="0.25">
      <c r="Z13875">
        <v>399999.99999999965</v>
      </c>
    </row>
    <row r="13876" spans="26:26" x14ac:dyDescent="0.25">
      <c r="Z13876">
        <v>399999.99999999965</v>
      </c>
    </row>
    <row r="13877" spans="26:26" x14ac:dyDescent="0.25">
      <c r="Z13877">
        <v>399999.99999999965</v>
      </c>
    </row>
    <row r="13878" spans="26:26" x14ac:dyDescent="0.25">
      <c r="Z13878">
        <v>399999.99999999965</v>
      </c>
    </row>
    <row r="13879" spans="26:26" x14ac:dyDescent="0.25">
      <c r="Z13879">
        <v>399999.99999999965</v>
      </c>
    </row>
    <row r="13880" spans="26:26" x14ac:dyDescent="0.25">
      <c r="Z13880">
        <v>399999.99999999965</v>
      </c>
    </row>
    <row r="13881" spans="26:26" x14ac:dyDescent="0.25">
      <c r="Z13881">
        <v>399999.99999999965</v>
      </c>
    </row>
    <row r="13882" spans="26:26" x14ac:dyDescent="0.25">
      <c r="Z13882">
        <v>399999.99999999965</v>
      </c>
    </row>
    <row r="13883" spans="26:26" x14ac:dyDescent="0.25">
      <c r="Z13883">
        <v>399999.99999999965</v>
      </c>
    </row>
    <row r="13884" spans="26:26" x14ac:dyDescent="0.25">
      <c r="Z13884">
        <v>399999.99999999965</v>
      </c>
    </row>
    <row r="13885" spans="26:26" x14ac:dyDescent="0.25">
      <c r="Z13885">
        <v>399999.99999999965</v>
      </c>
    </row>
    <row r="13886" spans="26:26" x14ac:dyDescent="0.25">
      <c r="Z13886">
        <v>399999.99999999965</v>
      </c>
    </row>
    <row r="13887" spans="26:26" x14ac:dyDescent="0.25">
      <c r="Z13887">
        <v>399999.99999999965</v>
      </c>
    </row>
    <row r="13888" spans="26:26" x14ac:dyDescent="0.25">
      <c r="Z13888">
        <v>399999.99999999965</v>
      </c>
    </row>
    <row r="13889" spans="26:26" x14ac:dyDescent="0.25">
      <c r="Z13889">
        <v>399999.99999999965</v>
      </c>
    </row>
    <row r="13890" spans="26:26" x14ac:dyDescent="0.25">
      <c r="Z13890">
        <v>399999.99999999965</v>
      </c>
    </row>
    <row r="13891" spans="26:26" x14ac:dyDescent="0.25">
      <c r="Z13891">
        <v>399999.99999999965</v>
      </c>
    </row>
    <row r="13892" spans="26:26" x14ac:dyDescent="0.25">
      <c r="Z13892">
        <v>399999.99999999965</v>
      </c>
    </row>
    <row r="13893" spans="26:26" x14ac:dyDescent="0.25">
      <c r="Z13893">
        <v>399999.99999999965</v>
      </c>
    </row>
    <row r="13894" spans="26:26" x14ac:dyDescent="0.25">
      <c r="Z13894">
        <v>399999.99999999965</v>
      </c>
    </row>
    <row r="13895" spans="26:26" x14ac:dyDescent="0.25">
      <c r="Z13895">
        <v>399999.99999999965</v>
      </c>
    </row>
    <row r="13896" spans="26:26" x14ac:dyDescent="0.25">
      <c r="Z13896">
        <v>399999.99999999965</v>
      </c>
    </row>
    <row r="13897" spans="26:26" x14ac:dyDescent="0.25">
      <c r="Z13897">
        <v>399999.99999999965</v>
      </c>
    </row>
    <row r="13898" spans="26:26" x14ac:dyDescent="0.25">
      <c r="Z13898">
        <v>399999.99999999965</v>
      </c>
    </row>
    <row r="13899" spans="26:26" x14ac:dyDescent="0.25">
      <c r="Z13899">
        <v>399999.99999999965</v>
      </c>
    </row>
    <row r="13900" spans="26:26" x14ac:dyDescent="0.25">
      <c r="Z13900">
        <v>399999.99999999965</v>
      </c>
    </row>
    <row r="13901" spans="26:26" x14ac:dyDescent="0.25">
      <c r="Z13901">
        <v>399999.99999999965</v>
      </c>
    </row>
    <row r="13902" spans="26:26" x14ac:dyDescent="0.25">
      <c r="Z13902">
        <v>399999.99999999965</v>
      </c>
    </row>
    <row r="13903" spans="26:26" x14ac:dyDescent="0.25">
      <c r="Z13903">
        <v>399999.99999999965</v>
      </c>
    </row>
    <row r="13904" spans="26:26" x14ac:dyDescent="0.25">
      <c r="Z13904">
        <v>399999.99999999965</v>
      </c>
    </row>
    <row r="13905" spans="26:26" x14ac:dyDescent="0.25">
      <c r="Z13905">
        <v>399999.99999999965</v>
      </c>
    </row>
    <row r="13906" spans="26:26" x14ac:dyDescent="0.25">
      <c r="Z13906">
        <v>399999.99999999965</v>
      </c>
    </row>
    <row r="13907" spans="26:26" x14ac:dyDescent="0.25">
      <c r="Z13907">
        <v>399999.99999999965</v>
      </c>
    </row>
    <row r="13908" spans="26:26" x14ac:dyDescent="0.25">
      <c r="Z13908">
        <v>399999.99999999965</v>
      </c>
    </row>
    <row r="13909" spans="26:26" x14ac:dyDescent="0.25">
      <c r="Z13909">
        <v>399999.99999999965</v>
      </c>
    </row>
    <row r="13910" spans="26:26" x14ac:dyDescent="0.25">
      <c r="Z13910">
        <v>399999.99999999965</v>
      </c>
    </row>
    <row r="13911" spans="26:26" x14ac:dyDescent="0.25">
      <c r="Z13911">
        <v>399999.99999999965</v>
      </c>
    </row>
    <row r="13912" spans="26:26" x14ac:dyDescent="0.25">
      <c r="Z13912">
        <v>399999.99999999965</v>
      </c>
    </row>
    <row r="13913" spans="26:26" x14ac:dyDescent="0.25">
      <c r="Z13913">
        <v>399999.99999999965</v>
      </c>
    </row>
    <row r="13914" spans="26:26" x14ac:dyDescent="0.25">
      <c r="Z13914">
        <v>399999.99999999965</v>
      </c>
    </row>
    <row r="13915" spans="26:26" x14ac:dyDescent="0.25">
      <c r="Z13915">
        <v>399999.99999999965</v>
      </c>
    </row>
    <row r="13916" spans="26:26" x14ac:dyDescent="0.25">
      <c r="Z13916">
        <v>399999.99999999965</v>
      </c>
    </row>
    <row r="13917" spans="26:26" x14ac:dyDescent="0.25">
      <c r="Z13917">
        <v>399999.99999999965</v>
      </c>
    </row>
    <row r="13918" spans="26:26" x14ac:dyDescent="0.25">
      <c r="Z13918">
        <v>399999.99999999965</v>
      </c>
    </row>
    <row r="13919" spans="26:26" x14ac:dyDescent="0.25">
      <c r="Z13919">
        <v>399999.99999999965</v>
      </c>
    </row>
    <row r="13920" spans="26:26" x14ac:dyDescent="0.25">
      <c r="Z13920">
        <v>399999.99999999965</v>
      </c>
    </row>
    <row r="13921" spans="26:26" x14ac:dyDescent="0.25">
      <c r="Z13921">
        <v>399999.99999999965</v>
      </c>
    </row>
    <row r="13922" spans="26:26" x14ac:dyDescent="0.25">
      <c r="Z13922">
        <v>399999.99999999965</v>
      </c>
    </row>
    <row r="13923" spans="26:26" x14ac:dyDescent="0.25">
      <c r="Z13923">
        <v>399999.99999999965</v>
      </c>
    </row>
    <row r="13924" spans="26:26" x14ac:dyDescent="0.25">
      <c r="Z13924">
        <v>399999.99999999965</v>
      </c>
    </row>
    <row r="13925" spans="26:26" x14ac:dyDescent="0.25">
      <c r="Z13925">
        <v>399999.99999999965</v>
      </c>
    </row>
    <row r="13926" spans="26:26" x14ac:dyDescent="0.25">
      <c r="Z13926">
        <v>399999.99999999965</v>
      </c>
    </row>
    <row r="13927" spans="26:26" x14ac:dyDescent="0.25">
      <c r="Z13927">
        <v>399999.99999999965</v>
      </c>
    </row>
    <row r="13928" spans="26:26" x14ac:dyDescent="0.25">
      <c r="Z13928">
        <v>399999.99999999965</v>
      </c>
    </row>
    <row r="13929" spans="26:26" x14ac:dyDescent="0.25">
      <c r="Z13929">
        <v>399999.99999999965</v>
      </c>
    </row>
    <row r="13930" spans="26:26" x14ac:dyDescent="0.25">
      <c r="Z13930">
        <v>399999.99999999965</v>
      </c>
    </row>
    <row r="13931" spans="26:26" x14ac:dyDescent="0.25">
      <c r="Z13931">
        <v>399999.99999999965</v>
      </c>
    </row>
    <row r="13932" spans="26:26" x14ac:dyDescent="0.25">
      <c r="Z13932">
        <v>399999.99999999965</v>
      </c>
    </row>
    <row r="13933" spans="26:26" x14ac:dyDescent="0.25">
      <c r="Z13933">
        <v>399999.99999999965</v>
      </c>
    </row>
    <row r="13934" spans="26:26" x14ac:dyDescent="0.25">
      <c r="Z13934">
        <v>399999.99999999965</v>
      </c>
    </row>
    <row r="13935" spans="26:26" x14ac:dyDescent="0.25">
      <c r="Z13935">
        <v>399999.99999999965</v>
      </c>
    </row>
    <row r="13936" spans="26:26" x14ac:dyDescent="0.25">
      <c r="Z13936">
        <v>399999.99999999965</v>
      </c>
    </row>
    <row r="13937" spans="26:26" x14ac:dyDescent="0.25">
      <c r="Z13937">
        <v>399999.99999999965</v>
      </c>
    </row>
    <row r="13938" spans="26:26" x14ac:dyDescent="0.25">
      <c r="Z13938">
        <v>399999.99999999965</v>
      </c>
    </row>
    <row r="13939" spans="26:26" x14ac:dyDescent="0.25">
      <c r="Z13939">
        <v>399999.99999999965</v>
      </c>
    </row>
    <row r="13940" spans="26:26" x14ac:dyDescent="0.25">
      <c r="Z13940">
        <v>399999.99999999965</v>
      </c>
    </row>
    <row r="13941" spans="26:26" x14ac:dyDescent="0.25">
      <c r="Z13941">
        <v>399999.99999999965</v>
      </c>
    </row>
    <row r="13942" spans="26:26" x14ac:dyDescent="0.25">
      <c r="Z13942">
        <v>399999.99999999965</v>
      </c>
    </row>
    <row r="13943" spans="26:26" x14ac:dyDescent="0.25">
      <c r="Z13943">
        <v>399999.99999999965</v>
      </c>
    </row>
    <row r="13944" spans="26:26" x14ac:dyDescent="0.25">
      <c r="Z13944">
        <v>399999.99999999965</v>
      </c>
    </row>
    <row r="13945" spans="26:26" x14ac:dyDescent="0.25">
      <c r="Z13945">
        <v>399999.99999999965</v>
      </c>
    </row>
    <row r="13946" spans="26:26" x14ac:dyDescent="0.25">
      <c r="Z13946">
        <v>399999.99999999965</v>
      </c>
    </row>
    <row r="13947" spans="26:26" x14ac:dyDescent="0.25">
      <c r="Z13947">
        <v>399999.99999999965</v>
      </c>
    </row>
    <row r="13948" spans="26:26" x14ac:dyDescent="0.25">
      <c r="Z13948">
        <v>399999.99999999965</v>
      </c>
    </row>
    <row r="13949" spans="26:26" x14ac:dyDescent="0.25">
      <c r="Z13949">
        <v>399999.99999999965</v>
      </c>
    </row>
    <row r="13950" spans="26:26" x14ac:dyDescent="0.25">
      <c r="Z13950">
        <v>399999.99999999965</v>
      </c>
    </row>
    <row r="13951" spans="26:26" x14ac:dyDescent="0.25">
      <c r="Z13951">
        <v>399999.99999999965</v>
      </c>
    </row>
    <row r="13952" spans="26:26" x14ac:dyDescent="0.25">
      <c r="Z13952">
        <v>399999.99999999965</v>
      </c>
    </row>
    <row r="13953" spans="26:26" x14ac:dyDescent="0.25">
      <c r="Z13953">
        <v>399999.99999999965</v>
      </c>
    </row>
    <row r="13954" spans="26:26" x14ac:dyDescent="0.25">
      <c r="Z13954">
        <v>399999.99999999965</v>
      </c>
    </row>
    <row r="13955" spans="26:26" x14ac:dyDescent="0.25">
      <c r="Z13955">
        <v>399999.99999999965</v>
      </c>
    </row>
    <row r="13956" spans="26:26" x14ac:dyDescent="0.25">
      <c r="Z13956">
        <v>399999.99999999965</v>
      </c>
    </row>
    <row r="13957" spans="26:26" x14ac:dyDescent="0.25">
      <c r="Z13957">
        <v>399999.99999999965</v>
      </c>
    </row>
    <row r="13958" spans="26:26" x14ac:dyDescent="0.25">
      <c r="Z13958">
        <v>399999.99999999965</v>
      </c>
    </row>
    <row r="13959" spans="26:26" x14ac:dyDescent="0.25">
      <c r="Z13959">
        <v>399999.99999999965</v>
      </c>
    </row>
    <row r="13960" spans="26:26" x14ac:dyDescent="0.25">
      <c r="Z13960">
        <v>399999.99999999965</v>
      </c>
    </row>
    <row r="13961" spans="26:26" x14ac:dyDescent="0.25">
      <c r="Z13961">
        <v>399999.99999999965</v>
      </c>
    </row>
    <row r="13962" spans="26:26" x14ac:dyDescent="0.25">
      <c r="Z13962">
        <v>399999.99999999965</v>
      </c>
    </row>
    <row r="13963" spans="26:26" x14ac:dyDescent="0.25">
      <c r="Z13963">
        <v>399999.99999999965</v>
      </c>
    </row>
    <row r="13964" spans="26:26" x14ac:dyDescent="0.25">
      <c r="Z13964">
        <v>399999.99999999965</v>
      </c>
    </row>
    <row r="13965" spans="26:26" x14ac:dyDescent="0.25">
      <c r="Z13965">
        <v>399999.99999999965</v>
      </c>
    </row>
    <row r="13966" spans="26:26" x14ac:dyDescent="0.25">
      <c r="Z13966">
        <v>399999.99999999971</v>
      </c>
    </row>
    <row r="13967" spans="26:26" x14ac:dyDescent="0.25">
      <c r="Z13967">
        <v>399999.99999999971</v>
      </c>
    </row>
    <row r="13968" spans="26:26" x14ac:dyDescent="0.25">
      <c r="Z13968">
        <v>399999.99999999971</v>
      </c>
    </row>
    <row r="13969" spans="26:26" x14ac:dyDescent="0.25">
      <c r="Z13969">
        <v>399999.99999999971</v>
      </c>
    </row>
    <row r="13970" spans="26:26" x14ac:dyDescent="0.25">
      <c r="Z13970">
        <v>399999.99999999971</v>
      </c>
    </row>
    <row r="13971" spans="26:26" x14ac:dyDescent="0.25">
      <c r="Z13971">
        <v>399999.99999999971</v>
      </c>
    </row>
    <row r="13972" spans="26:26" x14ac:dyDescent="0.25">
      <c r="Z13972">
        <v>399999.99999999971</v>
      </c>
    </row>
    <row r="13973" spans="26:26" x14ac:dyDescent="0.25">
      <c r="Z13973">
        <v>399999.99999999971</v>
      </c>
    </row>
    <row r="13974" spans="26:26" x14ac:dyDescent="0.25">
      <c r="Z13974">
        <v>399999.99999999971</v>
      </c>
    </row>
    <row r="13975" spans="26:26" x14ac:dyDescent="0.25">
      <c r="Z13975">
        <v>399999.99999999971</v>
      </c>
    </row>
    <row r="13976" spans="26:26" x14ac:dyDescent="0.25">
      <c r="Z13976">
        <v>399999.99999999971</v>
      </c>
    </row>
    <row r="13977" spans="26:26" x14ac:dyDescent="0.25">
      <c r="Z13977">
        <v>399999.99999999971</v>
      </c>
    </row>
    <row r="13978" spans="26:26" x14ac:dyDescent="0.25">
      <c r="Z13978">
        <v>399999.99999999971</v>
      </c>
    </row>
    <row r="13979" spans="26:26" x14ac:dyDescent="0.25">
      <c r="Z13979">
        <v>399999.99999999971</v>
      </c>
    </row>
    <row r="13980" spans="26:26" x14ac:dyDescent="0.25">
      <c r="Z13980">
        <v>399999.99999999971</v>
      </c>
    </row>
    <row r="13981" spans="26:26" x14ac:dyDescent="0.25">
      <c r="Z13981">
        <v>399999.99999999971</v>
      </c>
    </row>
    <row r="13982" spans="26:26" x14ac:dyDescent="0.25">
      <c r="Z13982">
        <v>399999.99999999971</v>
      </c>
    </row>
    <row r="13983" spans="26:26" x14ac:dyDescent="0.25">
      <c r="Z13983">
        <v>399999.99999999971</v>
      </c>
    </row>
    <row r="13984" spans="26:26" x14ac:dyDescent="0.25">
      <c r="Z13984">
        <v>399999.99999999971</v>
      </c>
    </row>
    <row r="13985" spans="26:26" x14ac:dyDescent="0.25">
      <c r="Z13985">
        <v>399999.99999999971</v>
      </c>
    </row>
    <row r="13986" spans="26:26" x14ac:dyDescent="0.25">
      <c r="Z13986">
        <v>399999.99999999971</v>
      </c>
    </row>
    <row r="13987" spans="26:26" x14ac:dyDescent="0.25">
      <c r="Z13987">
        <v>399999.99999999971</v>
      </c>
    </row>
    <row r="13988" spans="26:26" x14ac:dyDescent="0.25">
      <c r="Z13988">
        <v>399999.99999999971</v>
      </c>
    </row>
    <row r="13989" spans="26:26" x14ac:dyDescent="0.25">
      <c r="Z13989">
        <v>399999.99999999971</v>
      </c>
    </row>
    <row r="13990" spans="26:26" x14ac:dyDescent="0.25">
      <c r="Z13990">
        <v>399999.99999999971</v>
      </c>
    </row>
    <row r="13991" spans="26:26" x14ac:dyDescent="0.25">
      <c r="Z13991">
        <v>399999.99999999971</v>
      </c>
    </row>
    <row r="13992" spans="26:26" x14ac:dyDescent="0.25">
      <c r="Z13992">
        <v>399999.99999999971</v>
      </c>
    </row>
    <row r="13993" spans="26:26" x14ac:dyDescent="0.25">
      <c r="Z13993">
        <v>399999.99999999971</v>
      </c>
    </row>
    <row r="13994" spans="26:26" x14ac:dyDescent="0.25">
      <c r="Z13994">
        <v>399999.99999999971</v>
      </c>
    </row>
    <row r="13995" spans="26:26" x14ac:dyDescent="0.25">
      <c r="Z13995">
        <v>399999.99999999971</v>
      </c>
    </row>
    <row r="13996" spans="26:26" x14ac:dyDescent="0.25">
      <c r="Z13996">
        <v>399999.99999999971</v>
      </c>
    </row>
    <row r="13997" spans="26:26" x14ac:dyDescent="0.25">
      <c r="Z13997">
        <v>399999.99999999971</v>
      </c>
    </row>
    <row r="13998" spans="26:26" x14ac:dyDescent="0.25">
      <c r="Z13998">
        <v>399999.99999999971</v>
      </c>
    </row>
    <row r="13999" spans="26:26" x14ac:dyDescent="0.25">
      <c r="Z13999">
        <v>399999.99999999971</v>
      </c>
    </row>
    <row r="14000" spans="26:26" x14ac:dyDescent="0.25">
      <c r="Z14000">
        <v>399999.99999999971</v>
      </c>
    </row>
    <row r="14001" spans="26:26" x14ac:dyDescent="0.25">
      <c r="Z14001">
        <v>399999.99999999971</v>
      </c>
    </row>
    <row r="14002" spans="26:26" x14ac:dyDescent="0.25">
      <c r="Z14002">
        <v>399999.99999999971</v>
      </c>
    </row>
    <row r="14003" spans="26:26" x14ac:dyDescent="0.25">
      <c r="Z14003">
        <v>399999.99999999971</v>
      </c>
    </row>
    <row r="14004" spans="26:26" x14ac:dyDescent="0.25">
      <c r="Z14004">
        <v>399999.99999999971</v>
      </c>
    </row>
    <row r="14005" spans="26:26" x14ac:dyDescent="0.25">
      <c r="Z14005">
        <v>399999.99999999971</v>
      </c>
    </row>
    <row r="14006" spans="26:26" x14ac:dyDescent="0.25">
      <c r="Z14006">
        <v>399999.99999999971</v>
      </c>
    </row>
    <row r="14007" spans="26:26" x14ac:dyDescent="0.25">
      <c r="Z14007">
        <v>399999.99999999971</v>
      </c>
    </row>
    <row r="14008" spans="26:26" x14ac:dyDescent="0.25">
      <c r="Z14008">
        <v>399999.99999999971</v>
      </c>
    </row>
    <row r="14009" spans="26:26" x14ac:dyDescent="0.25">
      <c r="Z14009">
        <v>399999.99999999971</v>
      </c>
    </row>
    <row r="14010" spans="26:26" x14ac:dyDescent="0.25">
      <c r="Z14010">
        <v>399999.99999999971</v>
      </c>
    </row>
    <row r="14011" spans="26:26" x14ac:dyDescent="0.25">
      <c r="Z14011">
        <v>399999.99999999971</v>
      </c>
    </row>
    <row r="14012" spans="26:26" x14ac:dyDescent="0.25">
      <c r="Z14012">
        <v>399999.99999999971</v>
      </c>
    </row>
    <row r="14013" spans="26:26" x14ac:dyDescent="0.25">
      <c r="Z14013">
        <v>399999.99999999971</v>
      </c>
    </row>
    <row r="14014" spans="26:26" x14ac:dyDescent="0.25">
      <c r="Z14014">
        <v>399999.99999999971</v>
      </c>
    </row>
    <row r="14015" spans="26:26" x14ac:dyDescent="0.25">
      <c r="Z14015">
        <v>399999.99999999971</v>
      </c>
    </row>
    <row r="14016" spans="26:26" x14ac:dyDescent="0.25">
      <c r="Z14016">
        <v>399999.99999999971</v>
      </c>
    </row>
    <row r="14017" spans="26:26" x14ac:dyDescent="0.25">
      <c r="Z14017">
        <v>399999.99999999971</v>
      </c>
    </row>
    <row r="14018" spans="26:26" x14ac:dyDescent="0.25">
      <c r="Z14018">
        <v>399999.99999999971</v>
      </c>
    </row>
    <row r="14019" spans="26:26" x14ac:dyDescent="0.25">
      <c r="Z14019">
        <v>399999.99999999971</v>
      </c>
    </row>
    <row r="14020" spans="26:26" x14ac:dyDescent="0.25">
      <c r="Z14020">
        <v>399999.99999999971</v>
      </c>
    </row>
    <row r="14021" spans="26:26" x14ac:dyDescent="0.25">
      <c r="Z14021">
        <v>399999.99999999971</v>
      </c>
    </row>
    <row r="14022" spans="26:26" x14ac:dyDescent="0.25">
      <c r="Z14022">
        <v>399999.99999999971</v>
      </c>
    </row>
    <row r="14023" spans="26:26" x14ac:dyDescent="0.25">
      <c r="Z14023">
        <v>399999.99999999971</v>
      </c>
    </row>
    <row r="14024" spans="26:26" x14ac:dyDescent="0.25">
      <c r="Z14024">
        <v>399999.99999999971</v>
      </c>
    </row>
    <row r="14025" spans="26:26" x14ac:dyDescent="0.25">
      <c r="Z14025">
        <v>399999.99999999971</v>
      </c>
    </row>
    <row r="14026" spans="26:26" x14ac:dyDescent="0.25">
      <c r="Z14026">
        <v>399999.99999999971</v>
      </c>
    </row>
    <row r="14027" spans="26:26" x14ac:dyDescent="0.25">
      <c r="Z14027">
        <v>399999.99999999971</v>
      </c>
    </row>
    <row r="14028" spans="26:26" x14ac:dyDescent="0.25">
      <c r="Z14028">
        <v>399999.99999999971</v>
      </c>
    </row>
    <row r="14029" spans="26:26" x14ac:dyDescent="0.25">
      <c r="Z14029">
        <v>399999.99999999971</v>
      </c>
    </row>
    <row r="14030" spans="26:26" x14ac:dyDescent="0.25">
      <c r="Z14030">
        <v>399999.99999999971</v>
      </c>
    </row>
    <row r="14031" spans="26:26" x14ac:dyDescent="0.25">
      <c r="Z14031">
        <v>399999.99999999971</v>
      </c>
    </row>
    <row r="14032" spans="26:26" x14ac:dyDescent="0.25">
      <c r="Z14032">
        <v>399999.99999999971</v>
      </c>
    </row>
    <row r="14033" spans="26:26" x14ac:dyDescent="0.25">
      <c r="Z14033">
        <v>399999.99999999977</v>
      </c>
    </row>
    <row r="14034" spans="26:26" x14ac:dyDescent="0.25">
      <c r="Z14034">
        <v>399999.99999999977</v>
      </c>
    </row>
    <row r="14035" spans="26:26" x14ac:dyDescent="0.25">
      <c r="Z14035">
        <v>399999.99999999977</v>
      </c>
    </row>
    <row r="14036" spans="26:26" x14ac:dyDescent="0.25">
      <c r="Z14036">
        <v>399999.99999999977</v>
      </c>
    </row>
    <row r="14037" spans="26:26" x14ac:dyDescent="0.25">
      <c r="Z14037">
        <v>399999.99999999977</v>
      </c>
    </row>
    <row r="14038" spans="26:26" x14ac:dyDescent="0.25">
      <c r="Z14038">
        <v>399999.99999999977</v>
      </c>
    </row>
    <row r="14039" spans="26:26" x14ac:dyDescent="0.25">
      <c r="Z14039">
        <v>399999.99999999977</v>
      </c>
    </row>
    <row r="14040" spans="26:26" x14ac:dyDescent="0.25">
      <c r="Z14040">
        <v>399999.99999999977</v>
      </c>
    </row>
    <row r="14041" spans="26:26" x14ac:dyDescent="0.25">
      <c r="Z14041">
        <v>399999.99999999977</v>
      </c>
    </row>
    <row r="14042" spans="26:26" x14ac:dyDescent="0.25">
      <c r="Z14042">
        <v>399999.99999999977</v>
      </c>
    </row>
    <row r="14043" spans="26:26" x14ac:dyDescent="0.25">
      <c r="Z14043">
        <v>399999.99999999977</v>
      </c>
    </row>
    <row r="14044" spans="26:26" x14ac:dyDescent="0.25">
      <c r="Z14044">
        <v>399999.99999999977</v>
      </c>
    </row>
    <row r="14045" spans="26:26" x14ac:dyDescent="0.25">
      <c r="Z14045">
        <v>399999.99999999977</v>
      </c>
    </row>
    <row r="14046" spans="26:26" x14ac:dyDescent="0.25">
      <c r="Z14046">
        <v>399999.99999999977</v>
      </c>
    </row>
    <row r="14047" spans="26:26" x14ac:dyDescent="0.25">
      <c r="Z14047">
        <v>399999.99999999977</v>
      </c>
    </row>
    <row r="14048" spans="26:26" x14ac:dyDescent="0.25">
      <c r="Z14048">
        <v>399999.99999999977</v>
      </c>
    </row>
    <row r="14049" spans="26:26" x14ac:dyDescent="0.25">
      <c r="Z14049">
        <v>399999.99999999977</v>
      </c>
    </row>
    <row r="14050" spans="26:26" x14ac:dyDescent="0.25">
      <c r="Z14050">
        <v>399999.99999999977</v>
      </c>
    </row>
    <row r="14051" spans="26:26" x14ac:dyDescent="0.25">
      <c r="Z14051">
        <v>399999.99999999977</v>
      </c>
    </row>
    <row r="14052" spans="26:26" x14ac:dyDescent="0.25">
      <c r="Z14052">
        <v>399999.99999999977</v>
      </c>
    </row>
    <row r="14053" spans="26:26" x14ac:dyDescent="0.25">
      <c r="Z14053">
        <v>399999.99999999977</v>
      </c>
    </row>
    <row r="14054" spans="26:26" x14ac:dyDescent="0.25">
      <c r="Z14054">
        <v>399999.99999999977</v>
      </c>
    </row>
    <row r="14055" spans="26:26" x14ac:dyDescent="0.25">
      <c r="Z14055">
        <v>399999.99999999977</v>
      </c>
    </row>
    <row r="14056" spans="26:26" x14ac:dyDescent="0.25">
      <c r="Z14056">
        <v>399999.99999999977</v>
      </c>
    </row>
    <row r="14057" spans="26:26" x14ac:dyDescent="0.25">
      <c r="Z14057">
        <v>399999.99999999977</v>
      </c>
    </row>
    <row r="14058" spans="26:26" x14ac:dyDescent="0.25">
      <c r="Z14058">
        <v>399999.99999999977</v>
      </c>
    </row>
    <row r="14059" spans="26:26" x14ac:dyDescent="0.25">
      <c r="Z14059">
        <v>399999.99999999977</v>
      </c>
    </row>
    <row r="14060" spans="26:26" x14ac:dyDescent="0.25">
      <c r="Z14060">
        <v>399999.99999999977</v>
      </c>
    </row>
    <row r="14061" spans="26:26" x14ac:dyDescent="0.25">
      <c r="Z14061">
        <v>399999.99999999977</v>
      </c>
    </row>
    <row r="14062" spans="26:26" x14ac:dyDescent="0.25">
      <c r="Z14062">
        <v>399999.99999999977</v>
      </c>
    </row>
    <row r="14063" spans="26:26" x14ac:dyDescent="0.25">
      <c r="Z14063">
        <v>399999.99999999977</v>
      </c>
    </row>
    <row r="14064" spans="26:26" x14ac:dyDescent="0.25">
      <c r="Z14064">
        <v>399999.99999999977</v>
      </c>
    </row>
    <row r="14065" spans="26:26" x14ac:dyDescent="0.25">
      <c r="Z14065">
        <v>399999.99999999977</v>
      </c>
    </row>
    <row r="14066" spans="26:26" x14ac:dyDescent="0.25">
      <c r="Z14066">
        <v>399999.99999999977</v>
      </c>
    </row>
    <row r="14067" spans="26:26" x14ac:dyDescent="0.25">
      <c r="Z14067">
        <v>399999.99999999977</v>
      </c>
    </row>
    <row r="14068" spans="26:26" x14ac:dyDescent="0.25">
      <c r="Z14068">
        <v>399999.99999999977</v>
      </c>
    </row>
    <row r="14069" spans="26:26" x14ac:dyDescent="0.25">
      <c r="Z14069">
        <v>399999.99999999977</v>
      </c>
    </row>
    <row r="14070" spans="26:26" x14ac:dyDescent="0.25">
      <c r="Z14070">
        <v>399999.99999999977</v>
      </c>
    </row>
    <row r="14071" spans="26:26" x14ac:dyDescent="0.25">
      <c r="Z14071">
        <v>399999.99999999977</v>
      </c>
    </row>
    <row r="14072" spans="26:26" x14ac:dyDescent="0.25">
      <c r="Z14072">
        <v>399999.99999999977</v>
      </c>
    </row>
    <row r="14073" spans="26:26" x14ac:dyDescent="0.25">
      <c r="Z14073">
        <v>399999.99999999977</v>
      </c>
    </row>
    <row r="14074" spans="26:26" x14ac:dyDescent="0.25">
      <c r="Z14074">
        <v>399999.99999999977</v>
      </c>
    </row>
    <row r="14075" spans="26:26" x14ac:dyDescent="0.25">
      <c r="Z14075">
        <v>399999.99999999977</v>
      </c>
    </row>
    <row r="14076" spans="26:26" x14ac:dyDescent="0.25">
      <c r="Z14076">
        <v>399999.99999999977</v>
      </c>
    </row>
    <row r="14077" spans="26:26" x14ac:dyDescent="0.25">
      <c r="Z14077">
        <v>399999.99999999977</v>
      </c>
    </row>
    <row r="14078" spans="26:26" x14ac:dyDescent="0.25">
      <c r="Z14078">
        <v>399999.99999999977</v>
      </c>
    </row>
    <row r="14079" spans="26:26" x14ac:dyDescent="0.25">
      <c r="Z14079">
        <v>399999.99999999977</v>
      </c>
    </row>
    <row r="14080" spans="26:26" x14ac:dyDescent="0.25">
      <c r="Z14080">
        <v>399999.99999999977</v>
      </c>
    </row>
    <row r="14081" spans="26:26" x14ac:dyDescent="0.25">
      <c r="Z14081">
        <v>399999.99999999977</v>
      </c>
    </row>
    <row r="14082" spans="26:26" x14ac:dyDescent="0.25">
      <c r="Z14082">
        <v>399999.99999999977</v>
      </c>
    </row>
    <row r="14083" spans="26:26" x14ac:dyDescent="0.25">
      <c r="Z14083">
        <v>399999.99999999977</v>
      </c>
    </row>
    <row r="14084" spans="26:26" x14ac:dyDescent="0.25">
      <c r="Z14084">
        <v>399999.99999999977</v>
      </c>
    </row>
    <row r="14085" spans="26:26" x14ac:dyDescent="0.25">
      <c r="Z14085">
        <v>399999.99999999977</v>
      </c>
    </row>
    <row r="14086" spans="26:26" x14ac:dyDescent="0.25">
      <c r="Z14086">
        <v>399999.99999999977</v>
      </c>
    </row>
    <row r="14087" spans="26:26" x14ac:dyDescent="0.25">
      <c r="Z14087">
        <v>399999.99999999977</v>
      </c>
    </row>
    <row r="14088" spans="26:26" x14ac:dyDescent="0.25">
      <c r="Z14088">
        <v>399999.99999999977</v>
      </c>
    </row>
    <row r="14089" spans="26:26" x14ac:dyDescent="0.25">
      <c r="Z14089">
        <v>399999.99999999977</v>
      </c>
    </row>
    <row r="14090" spans="26:26" x14ac:dyDescent="0.25">
      <c r="Z14090">
        <v>399999.99999999977</v>
      </c>
    </row>
    <row r="14091" spans="26:26" x14ac:dyDescent="0.25">
      <c r="Z14091">
        <v>399999.99999999977</v>
      </c>
    </row>
    <row r="14092" spans="26:26" x14ac:dyDescent="0.25">
      <c r="Z14092">
        <v>399999.99999999977</v>
      </c>
    </row>
    <row r="14093" spans="26:26" x14ac:dyDescent="0.25">
      <c r="Z14093">
        <v>399999.99999999977</v>
      </c>
    </row>
    <row r="14094" spans="26:26" x14ac:dyDescent="0.25">
      <c r="Z14094">
        <v>399999.99999999977</v>
      </c>
    </row>
    <row r="14095" spans="26:26" x14ac:dyDescent="0.25">
      <c r="Z14095">
        <v>399999.99999999977</v>
      </c>
    </row>
    <row r="14096" spans="26:26" x14ac:dyDescent="0.25">
      <c r="Z14096">
        <v>399999.99999999977</v>
      </c>
    </row>
    <row r="14097" spans="26:26" x14ac:dyDescent="0.25">
      <c r="Z14097">
        <v>399999.99999999977</v>
      </c>
    </row>
    <row r="14098" spans="26:26" x14ac:dyDescent="0.25">
      <c r="Z14098">
        <v>399999.99999999977</v>
      </c>
    </row>
    <row r="14099" spans="26:26" x14ac:dyDescent="0.25">
      <c r="Z14099">
        <v>399999.99999999977</v>
      </c>
    </row>
    <row r="14100" spans="26:26" x14ac:dyDescent="0.25">
      <c r="Z14100">
        <v>399999.99999999977</v>
      </c>
    </row>
    <row r="14101" spans="26:26" x14ac:dyDescent="0.25">
      <c r="Z14101">
        <v>399999.99999999977</v>
      </c>
    </row>
    <row r="14102" spans="26:26" x14ac:dyDescent="0.25">
      <c r="Z14102">
        <v>399999.99999999977</v>
      </c>
    </row>
    <row r="14103" spans="26:26" x14ac:dyDescent="0.25">
      <c r="Z14103">
        <v>399999.99999999977</v>
      </c>
    </row>
    <row r="14104" spans="26:26" x14ac:dyDescent="0.25">
      <c r="Z14104">
        <v>399999.99999999977</v>
      </c>
    </row>
    <row r="14105" spans="26:26" x14ac:dyDescent="0.25">
      <c r="Z14105">
        <v>399999.99999999977</v>
      </c>
    </row>
    <row r="14106" spans="26:26" x14ac:dyDescent="0.25">
      <c r="Z14106">
        <v>399999.99999999977</v>
      </c>
    </row>
    <row r="14107" spans="26:26" x14ac:dyDescent="0.25">
      <c r="Z14107">
        <v>399999.99999999977</v>
      </c>
    </row>
    <row r="14108" spans="26:26" x14ac:dyDescent="0.25">
      <c r="Z14108">
        <v>399999.99999999977</v>
      </c>
    </row>
    <row r="14109" spans="26:26" x14ac:dyDescent="0.25">
      <c r="Z14109">
        <v>399999.99999999977</v>
      </c>
    </row>
    <row r="14110" spans="26:26" x14ac:dyDescent="0.25">
      <c r="Z14110">
        <v>399999.99999999977</v>
      </c>
    </row>
    <row r="14111" spans="26:26" x14ac:dyDescent="0.25">
      <c r="Z14111">
        <v>399999.99999999977</v>
      </c>
    </row>
    <row r="14112" spans="26:26" x14ac:dyDescent="0.25">
      <c r="Z14112">
        <v>399999.99999999977</v>
      </c>
    </row>
    <row r="14113" spans="26:26" x14ac:dyDescent="0.25">
      <c r="Z14113">
        <v>399999.99999999983</v>
      </c>
    </row>
    <row r="14114" spans="26:26" x14ac:dyDescent="0.25">
      <c r="Z14114">
        <v>399999.99999999983</v>
      </c>
    </row>
    <row r="14115" spans="26:26" x14ac:dyDescent="0.25">
      <c r="Z14115">
        <v>399999.99999999983</v>
      </c>
    </row>
    <row r="14116" spans="26:26" x14ac:dyDescent="0.25">
      <c r="Z14116">
        <v>399999.99999999983</v>
      </c>
    </row>
    <row r="14117" spans="26:26" x14ac:dyDescent="0.25">
      <c r="Z14117">
        <v>399999.99999999983</v>
      </c>
    </row>
    <row r="14118" spans="26:26" x14ac:dyDescent="0.25">
      <c r="Z14118">
        <v>399999.99999999983</v>
      </c>
    </row>
    <row r="14119" spans="26:26" x14ac:dyDescent="0.25">
      <c r="Z14119">
        <v>399999.99999999983</v>
      </c>
    </row>
    <row r="14120" spans="26:26" x14ac:dyDescent="0.25">
      <c r="Z14120">
        <v>399999.99999999983</v>
      </c>
    </row>
    <row r="14121" spans="26:26" x14ac:dyDescent="0.25">
      <c r="Z14121">
        <v>399999.99999999983</v>
      </c>
    </row>
    <row r="14122" spans="26:26" x14ac:dyDescent="0.25">
      <c r="Z14122">
        <v>399999.99999999983</v>
      </c>
    </row>
    <row r="14123" spans="26:26" x14ac:dyDescent="0.25">
      <c r="Z14123">
        <v>399999.99999999983</v>
      </c>
    </row>
    <row r="14124" spans="26:26" x14ac:dyDescent="0.25">
      <c r="Z14124">
        <v>399999.99999999983</v>
      </c>
    </row>
    <row r="14125" spans="26:26" x14ac:dyDescent="0.25">
      <c r="Z14125">
        <v>399999.99999999983</v>
      </c>
    </row>
    <row r="14126" spans="26:26" x14ac:dyDescent="0.25">
      <c r="Z14126">
        <v>399999.99999999983</v>
      </c>
    </row>
    <row r="14127" spans="26:26" x14ac:dyDescent="0.25">
      <c r="Z14127">
        <v>399999.99999999983</v>
      </c>
    </row>
    <row r="14128" spans="26:26" x14ac:dyDescent="0.25">
      <c r="Z14128">
        <v>399999.99999999983</v>
      </c>
    </row>
    <row r="14129" spans="26:26" x14ac:dyDescent="0.25">
      <c r="Z14129">
        <v>399999.99999999983</v>
      </c>
    </row>
    <row r="14130" spans="26:26" x14ac:dyDescent="0.25">
      <c r="Z14130">
        <v>399999.99999999983</v>
      </c>
    </row>
    <row r="14131" spans="26:26" x14ac:dyDescent="0.25">
      <c r="Z14131">
        <v>399999.99999999983</v>
      </c>
    </row>
    <row r="14132" spans="26:26" x14ac:dyDescent="0.25">
      <c r="Z14132">
        <v>399999.99999999983</v>
      </c>
    </row>
    <row r="14133" spans="26:26" x14ac:dyDescent="0.25">
      <c r="Z14133">
        <v>399999.99999999983</v>
      </c>
    </row>
    <row r="14134" spans="26:26" x14ac:dyDescent="0.25">
      <c r="Z14134">
        <v>399999.99999999983</v>
      </c>
    </row>
    <row r="14135" spans="26:26" x14ac:dyDescent="0.25">
      <c r="Z14135">
        <v>399999.99999999983</v>
      </c>
    </row>
    <row r="14136" spans="26:26" x14ac:dyDescent="0.25">
      <c r="Z14136">
        <v>399999.99999999983</v>
      </c>
    </row>
    <row r="14137" spans="26:26" x14ac:dyDescent="0.25">
      <c r="Z14137">
        <v>399999.99999999983</v>
      </c>
    </row>
    <row r="14138" spans="26:26" x14ac:dyDescent="0.25">
      <c r="Z14138">
        <v>399999.99999999983</v>
      </c>
    </row>
    <row r="14139" spans="26:26" x14ac:dyDescent="0.25">
      <c r="Z14139">
        <v>399999.99999999983</v>
      </c>
    </row>
    <row r="14140" spans="26:26" x14ac:dyDescent="0.25">
      <c r="Z14140">
        <v>399999.99999999983</v>
      </c>
    </row>
    <row r="14141" spans="26:26" x14ac:dyDescent="0.25">
      <c r="Z14141">
        <v>399999.99999999983</v>
      </c>
    </row>
    <row r="14142" spans="26:26" x14ac:dyDescent="0.25">
      <c r="Z14142">
        <v>399999.99999999983</v>
      </c>
    </row>
    <row r="14143" spans="26:26" x14ac:dyDescent="0.25">
      <c r="Z14143">
        <v>399999.99999999983</v>
      </c>
    </row>
    <row r="14144" spans="26:26" x14ac:dyDescent="0.25">
      <c r="Z14144">
        <v>399999.99999999983</v>
      </c>
    </row>
    <row r="14145" spans="26:26" x14ac:dyDescent="0.25">
      <c r="Z14145">
        <v>399999.99999999983</v>
      </c>
    </row>
    <row r="14146" spans="26:26" x14ac:dyDescent="0.25">
      <c r="Z14146">
        <v>399999.99999999983</v>
      </c>
    </row>
    <row r="14147" spans="26:26" x14ac:dyDescent="0.25">
      <c r="Z14147">
        <v>399999.99999999983</v>
      </c>
    </row>
    <row r="14148" spans="26:26" x14ac:dyDescent="0.25">
      <c r="Z14148">
        <v>399999.99999999983</v>
      </c>
    </row>
    <row r="14149" spans="26:26" x14ac:dyDescent="0.25">
      <c r="Z14149">
        <v>399999.99999999983</v>
      </c>
    </row>
    <row r="14150" spans="26:26" x14ac:dyDescent="0.25">
      <c r="Z14150">
        <v>399999.99999999983</v>
      </c>
    </row>
    <row r="14151" spans="26:26" x14ac:dyDescent="0.25">
      <c r="Z14151">
        <v>399999.99999999983</v>
      </c>
    </row>
    <row r="14152" spans="26:26" x14ac:dyDescent="0.25">
      <c r="Z14152">
        <v>399999.99999999983</v>
      </c>
    </row>
    <row r="14153" spans="26:26" x14ac:dyDescent="0.25">
      <c r="Z14153">
        <v>399999.99999999983</v>
      </c>
    </row>
    <row r="14154" spans="26:26" x14ac:dyDescent="0.25">
      <c r="Z14154">
        <v>399999.99999999983</v>
      </c>
    </row>
    <row r="14155" spans="26:26" x14ac:dyDescent="0.25">
      <c r="Z14155">
        <v>399999.99999999983</v>
      </c>
    </row>
    <row r="14156" spans="26:26" x14ac:dyDescent="0.25">
      <c r="Z14156">
        <v>399999.99999999983</v>
      </c>
    </row>
    <row r="14157" spans="26:26" x14ac:dyDescent="0.25">
      <c r="Z14157">
        <v>399999.99999999983</v>
      </c>
    </row>
    <row r="14158" spans="26:26" x14ac:dyDescent="0.25">
      <c r="Z14158">
        <v>399999.99999999983</v>
      </c>
    </row>
    <row r="14159" spans="26:26" x14ac:dyDescent="0.25">
      <c r="Z14159">
        <v>399999.99999999983</v>
      </c>
    </row>
    <row r="14160" spans="26:26" x14ac:dyDescent="0.25">
      <c r="Z14160">
        <v>399999.99999999983</v>
      </c>
    </row>
    <row r="14161" spans="26:26" x14ac:dyDescent="0.25">
      <c r="Z14161">
        <v>399999.99999999983</v>
      </c>
    </row>
    <row r="14162" spans="26:26" x14ac:dyDescent="0.25">
      <c r="Z14162">
        <v>399999.99999999983</v>
      </c>
    </row>
    <row r="14163" spans="26:26" x14ac:dyDescent="0.25">
      <c r="Z14163">
        <v>399999.99999999983</v>
      </c>
    </row>
    <row r="14164" spans="26:26" x14ac:dyDescent="0.25">
      <c r="Z14164">
        <v>399999.99999999983</v>
      </c>
    </row>
    <row r="14165" spans="26:26" x14ac:dyDescent="0.25">
      <c r="Z14165">
        <v>399999.99999999983</v>
      </c>
    </row>
    <row r="14166" spans="26:26" x14ac:dyDescent="0.25">
      <c r="Z14166">
        <v>399999.99999999983</v>
      </c>
    </row>
    <row r="14167" spans="26:26" x14ac:dyDescent="0.25">
      <c r="Z14167">
        <v>399999.99999999983</v>
      </c>
    </row>
    <row r="14168" spans="26:26" x14ac:dyDescent="0.25">
      <c r="Z14168">
        <v>399999.99999999983</v>
      </c>
    </row>
    <row r="14169" spans="26:26" x14ac:dyDescent="0.25">
      <c r="Z14169">
        <v>399999.99999999983</v>
      </c>
    </row>
    <row r="14170" spans="26:26" x14ac:dyDescent="0.25">
      <c r="Z14170">
        <v>399999.99999999983</v>
      </c>
    </row>
    <row r="14171" spans="26:26" x14ac:dyDescent="0.25">
      <c r="Z14171">
        <v>399999.99999999983</v>
      </c>
    </row>
    <row r="14172" spans="26:26" x14ac:dyDescent="0.25">
      <c r="Z14172">
        <v>399999.99999999983</v>
      </c>
    </row>
    <row r="14173" spans="26:26" x14ac:dyDescent="0.25">
      <c r="Z14173">
        <v>399999.99999999983</v>
      </c>
    </row>
    <row r="14174" spans="26:26" x14ac:dyDescent="0.25">
      <c r="Z14174">
        <v>399999.99999999983</v>
      </c>
    </row>
    <row r="14175" spans="26:26" x14ac:dyDescent="0.25">
      <c r="Z14175">
        <v>399999.99999999983</v>
      </c>
    </row>
    <row r="14176" spans="26:26" x14ac:dyDescent="0.25">
      <c r="Z14176">
        <v>399999.99999999983</v>
      </c>
    </row>
    <row r="14177" spans="26:26" x14ac:dyDescent="0.25">
      <c r="Z14177">
        <v>399999.99999999983</v>
      </c>
    </row>
    <row r="14178" spans="26:26" x14ac:dyDescent="0.25">
      <c r="Z14178">
        <v>399999.99999999983</v>
      </c>
    </row>
    <row r="14179" spans="26:26" x14ac:dyDescent="0.25">
      <c r="Z14179">
        <v>399999.99999999983</v>
      </c>
    </row>
    <row r="14180" spans="26:26" x14ac:dyDescent="0.25">
      <c r="Z14180">
        <v>399999.99999999983</v>
      </c>
    </row>
    <row r="14181" spans="26:26" x14ac:dyDescent="0.25">
      <c r="Z14181">
        <v>399999.99999999983</v>
      </c>
    </row>
    <row r="14182" spans="26:26" x14ac:dyDescent="0.25">
      <c r="Z14182">
        <v>399999.99999999983</v>
      </c>
    </row>
    <row r="14183" spans="26:26" x14ac:dyDescent="0.25">
      <c r="Z14183">
        <v>399999.99999999983</v>
      </c>
    </row>
    <row r="14184" spans="26:26" x14ac:dyDescent="0.25">
      <c r="Z14184">
        <v>399999.99999999983</v>
      </c>
    </row>
    <row r="14185" spans="26:26" x14ac:dyDescent="0.25">
      <c r="Z14185">
        <v>399999.99999999983</v>
      </c>
    </row>
    <row r="14186" spans="26:26" x14ac:dyDescent="0.25">
      <c r="Z14186">
        <v>399999.99999999983</v>
      </c>
    </row>
    <row r="14187" spans="26:26" x14ac:dyDescent="0.25">
      <c r="Z14187">
        <v>399999.99999999983</v>
      </c>
    </row>
    <row r="14188" spans="26:26" x14ac:dyDescent="0.25">
      <c r="Z14188">
        <v>399999.99999999983</v>
      </c>
    </row>
    <row r="14189" spans="26:26" x14ac:dyDescent="0.25">
      <c r="Z14189">
        <v>399999.99999999983</v>
      </c>
    </row>
    <row r="14190" spans="26:26" x14ac:dyDescent="0.25">
      <c r="Z14190">
        <v>399999.99999999983</v>
      </c>
    </row>
    <row r="14191" spans="26:26" x14ac:dyDescent="0.25">
      <c r="Z14191">
        <v>399999.99999999983</v>
      </c>
    </row>
    <row r="14192" spans="26:26" x14ac:dyDescent="0.25">
      <c r="Z14192">
        <v>399999.99999999983</v>
      </c>
    </row>
    <row r="14193" spans="26:26" x14ac:dyDescent="0.25">
      <c r="Z14193">
        <v>399999.99999999983</v>
      </c>
    </row>
    <row r="14194" spans="26:26" x14ac:dyDescent="0.25">
      <c r="Z14194">
        <v>399999.99999999983</v>
      </c>
    </row>
    <row r="14195" spans="26:26" x14ac:dyDescent="0.25">
      <c r="Z14195">
        <v>399999.99999999983</v>
      </c>
    </row>
    <row r="14196" spans="26:26" x14ac:dyDescent="0.25">
      <c r="Z14196">
        <v>399999.99999999983</v>
      </c>
    </row>
    <row r="14197" spans="26:26" x14ac:dyDescent="0.25">
      <c r="Z14197">
        <v>399999.99999999983</v>
      </c>
    </row>
    <row r="14198" spans="26:26" x14ac:dyDescent="0.25">
      <c r="Z14198">
        <v>399999.99999999983</v>
      </c>
    </row>
    <row r="14199" spans="26:26" x14ac:dyDescent="0.25">
      <c r="Z14199">
        <v>399999.99999999983</v>
      </c>
    </row>
    <row r="14200" spans="26:26" x14ac:dyDescent="0.25">
      <c r="Z14200">
        <v>399999.99999999983</v>
      </c>
    </row>
    <row r="14201" spans="26:26" x14ac:dyDescent="0.25">
      <c r="Z14201">
        <v>399999.99999999983</v>
      </c>
    </row>
    <row r="14202" spans="26:26" x14ac:dyDescent="0.25">
      <c r="Z14202">
        <v>399999.99999999983</v>
      </c>
    </row>
    <row r="14203" spans="26:26" x14ac:dyDescent="0.25">
      <c r="Z14203">
        <v>399999.99999999983</v>
      </c>
    </row>
    <row r="14204" spans="26:26" x14ac:dyDescent="0.25">
      <c r="Z14204">
        <v>399999.99999999983</v>
      </c>
    </row>
    <row r="14205" spans="26:26" x14ac:dyDescent="0.25">
      <c r="Z14205">
        <v>399999.99999999983</v>
      </c>
    </row>
    <row r="14206" spans="26:26" x14ac:dyDescent="0.25">
      <c r="Z14206">
        <v>399999.99999999983</v>
      </c>
    </row>
    <row r="14207" spans="26:26" x14ac:dyDescent="0.25">
      <c r="Z14207">
        <v>399999.99999999983</v>
      </c>
    </row>
    <row r="14208" spans="26:26" x14ac:dyDescent="0.25">
      <c r="Z14208">
        <v>399999.99999999983</v>
      </c>
    </row>
    <row r="14209" spans="26:26" x14ac:dyDescent="0.25">
      <c r="Z14209">
        <v>399999.99999999983</v>
      </c>
    </row>
    <row r="14210" spans="26:26" x14ac:dyDescent="0.25">
      <c r="Z14210">
        <v>399999.99999999983</v>
      </c>
    </row>
    <row r="14211" spans="26:26" x14ac:dyDescent="0.25">
      <c r="Z14211">
        <v>399999.99999999983</v>
      </c>
    </row>
    <row r="14212" spans="26:26" x14ac:dyDescent="0.25">
      <c r="Z14212">
        <v>399999.99999999983</v>
      </c>
    </row>
    <row r="14213" spans="26:26" x14ac:dyDescent="0.25">
      <c r="Z14213">
        <v>399999.99999999983</v>
      </c>
    </row>
    <row r="14214" spans="26:26" x14ac:dyDescent="0.25">
      <c r="Z14214">
        <v>399999.99999999988</v>
      </c>
    </row>
    <row r="14215" spans="26:26" x14ac:dyDescent="0.25">
      <c r="Z14215">
        <v>399999.99999999988</v>
      </c>
    </row>
    <row r="14216" spans="26:26" x14ac:dyDescent="0.25">
      <c r="Z14216">
        <v>399999.99999999988</v>
      </c>
    </row>
    <row r="14217" spans="26:26" x14ac:dyDescent="0.25">
      <c r="Z14217">
        <v>399999.99999999988</v>
      </c>
    </row>
    <row r="14218" spans="26:26" x14ac:dyDescent="0.25">
      <c r="Z14218">
        <v>399999.99999999988</v>
      </c>
    </row>
    <row r="14219" spans="26:26" x14ac:dyDescent="0.25">
      <c r="Z14219">
        <v>399999.99999999988</v>
      </c>
    </row>
    <row r="14220" spans="26:26" x14ac:dyDescent="0.25">
      <c r="Z14220">
        <v>399999.99999999988</v>
      </c>
    </row>
    <row r="14221" spans="26:26" x14ac:dyDescent="0.25">
      <c r="Z14221">
        <v>399999.99999999988</v>
      </c>
    </row>
    <row r="14222" spans="26:26" x14ac:dyDescent="0.25">
      <c r="Z14222">
        <v>399999.99999999988</v>
      </c>
    </row>
    <row r="14223" spans="26:26" x14ac:dyDescent="0.25">
      <c r="Z14223">
        <v>399999.99999999988</v>
      </c>
    </row>
    <row r="14224" spans="26:26" x14ac:dyDescent="0.25">
      <c r="Z14224">
        <v>399999.99999999988</v>
      </c>
    </row>
    <row r="14225" spans="26:26" x14ac:dyDescent="0.25">
      <c r="Z14225">
        <v>399999.99999999988</v>
      </c>
    </row>
    <row r="14226" spans="26:26" x14ac:dyDescent="0.25">
      <c r="Z14226">
        <v>399999.99999999988</v>
      </c>
    </row>
    <row r="14227" spans="26:26" x14ac:dyDescent="0.25">
      <c r="Z14227">
        <v>399999.99999999988</v>
      </c>
    </row>
    <row r="14228" spans="26:26" x14ac:dyDescent="0.25">
      <c r="Z14228">
        <v>399999.99999999988</v>
      </c>
    </row>
    <row r="14229" spans="26:26" x14ac:dyDescent="0.25">
      <c r="Z14229">
        <v>399999.99999999988</v>
      </c>
    </row>
    <row r="14230" spans="26:26" x14ac:dyDescent="0.25">
      <c r="Z14230">
        <v>399999.99999999988</v>
      </c>
    </row>
    <row r="14231" spans="26:26" x14ac:dyDescent="0.25">
      <c r="Z14231">
        <v>399999.99999999988</v>
      </c>
    </row>
    <row r="14232" spans="26:26" x14ac:dyDescent="0.25">
      <c r="Z14232">
        <v>399999.99999999988</v>
      </c>
    </row>
    <row r="14233" spans="26:26" x14ac:dyDescent="0.25">
      <c r="Z14233">
        <v>399999.99999999988</v>
      </c>
    </row>
    <row r="14234" spans="26:26" x14ac:dyDescent="0.25">
      <c r="Z14234">
        <v>399999.99999999988</v>
      </c>
    </row>
    <row r="14235" spans="26:26" x14ac:dyDescent="0.25">
      <c r="Z14235">
        <v>399999.99999999988</v>
      </c>
    </row>
    <row r="14236" spans="26:26" x14ac:dyDescent="0.25">
      <c r="Z14236">
        <v>399999.99999999988</v>
      </c>
    </row>
    <row r="14237" spans="26:26" x14ac:dyDescent="0.25">
      <c r="Z14237">
        <v>399999.99999999988</v>
      </c>
    </row>
    <row r="14238" spans="26:26" x14ac:dyDescent="0.25">
      <c r="Z14238">
        <v>399999.99999999988</v>
      </c>
    </row>
    <row r="14239" spans="26:26" x14ac:dyDescent="0.25">
      <c r="Z14239">
        <v>399999.99999999988</v>
      </c>
    </row>
    <row r="14240" spans="26:26" x14ac:dyDescent="0.25">
      <c r="Z14240">
        <v>399999.99999999988</v>
      </c>
    </row>
    <row r="14241" spans="26:26" x14ac:dyDescent="0.25">
      <c r="Z14241">
        <v>399999.99999999988</v>
      </c>
    </row>
    <row r="14242" spans="26:26" x14ac:dyDescent="0.25">
      <c r="Z14242">
        <v>399999.99999999988</v>
      </c>
    </row>
    <row r="14243" spans="26:26" x14ac:dyDescent="0.25">
      <c r="Z14243">
        <v>399999.99999999988</v>
      </c>
    </row>
    <row r="14244" spans="26:26" x14ac:dyDescent="0.25">
      <c r="Z14244">
        <v>399999.99999999988</v>
      </c>
    </row>
    <row r="14245" spans="26:26" x14ac:dyDescent="0.25">
      <c r="Z14245">
        <v>399999.99999999988</v>
      </c>
    </row>
    <row r="14246" spans="26:26" x14ac:dyDescent="0.25">
      <c r="Z14246">
        <v>399999.99999999988</v>
      </c>
    </row>
    <row r="14247" spans="26:26" x14ac:dyDescent="0.25">
      <c r="Z14247">
        <v>399999.99999999988</v>
      </c>
    </row>
    <row r="14248" spans="26:26" x14ac:dyDescent="0.25">
      <c r="Z14248">
        <v>399999.99999999988</v>
      </c>
    </row>
    <row r="14249" spans="26:26" x14ac:dyDescent="0.25">
      <c r="Z14249">
        <v>399999.99999999988</v>
      </c>
    </row>
    <row r="14250" spans="26:26" x14ac:dyDescent="0.25">
      <c r="Z14250">
        <v>399999.99999999988</v>
      </c>
    </row>
    <row r="14251" spans="26:26" x14ac:dyDescent="0.25">
      <c r="Z14251">
        <v>399999.99999999988</v>
      </c>
    </row>
    <row r="14252" spans="26:26" x14ac:dyDescent="0.25">
      <c r="Z14252">
        <v>399999.99999999988</v>
      </c>
    </row>
    <row r="14253" spans="26:26" x14ac:dyDescent="0.25">
      <c r="Z14253">
        <v>399999.99999999988</v>
      </c>
    </row>
    <row r="14254" spans="26:26" x14ac:dyDescent="0.25">
      <c r="Z14254">
        <v>399999.99999999988</v>
      </c>
    </row>
    <row r="14255" spans="26:26" x14ac:dyDescent="0.25">
      <c r="Z14255">
        <v>399999.99999999988</v>
      </c>
    </row>
    <row r="14256" spans="26:26" x14ac:dyDescent="0.25">
      <c r="Z14256">
        <v>399999.99999999988</v>
      </c>
    </row>
    <row r="14257" spans="26:26" x14ac:dyDescent="0.25">
      <c r="Z14257">
        <v>399999.99999999988</v>
      </c>
    </row>
    <row r="14258" spans="26:26" x14ac:dyDescent="0.25">
      <c r="Z14258">
        <v>399999.99999999988</v>
      </c>
    </row>
    <row r="14259" spans="26:26" x14ac:dyDescent="0.25">
      <c r="Z14259">
        <v>399999.99999999988</v>
      </c>
    </row>
    <row r="14260" spans="26:26" x14ac:dyDescent="0.25">
      <c r="Z14260">
        <v>399999.99999999988</v>
      </c>
    </row>
    <row r="14261" spans="26:26" x14ac:dyDescent="0.25">
      <c r="Z14261">
        <v>399999.99999999988</v>
      </c>
    </row>
    <row r="14262" spans="26:26" x14ac:dyDescent="0.25">
      <c r="Z14262">
        <v>399999.99999999988</v>
      </c>
    </row>
    <row r="14263" spans="26:26" x14ac:dyDescent="0.25">
      <c r="Z14263">
        <v>399999.99999999988</v>
      </c>
    </row>
    <row r="14264" spans="26:26" x14ac:dyDescent="0.25">
      <c r="Z14264">
        <v>399999.99999999988</v>
      </c>
    </row>
    <row r="14265" spans="26:26" x14ac:dyDescent="0.25">
      <c r="Z14265">
        <v>399999.99999999988</v>
      </c>
    </row>
    <row r="14266" spans="26:26" x14ac:dyDescent="0.25">
      <c r="Z14266">
        <v>399999.99999999988</v>
      </c>
    </row>
    <row r="14267" spans="26:26" x14ac:dyDescent="0.25">
      <c r="Z14267">
        <v>399999.99999999988</v>
      </c>
    </row>
    <row r="14268" spans="26:26" x14ac:dyDescent="0.25">
      <c r="Z14268">
        <v>399999.99999999988</v>
      </c>
    </row>
    <row r="14269" spans="26:26" x14ac:dyDescent="0.25">
      <c r="Z14269">
        <v>399999.99999999988</v>
      </c>
    </row>
    <row r="14270" spans="26:26" x14ac:dyDescent="0.25">
      <c r="Z14270">
        <v>399999.99999999988</v>
      </c>
    </row>
    <row r="14271" spans="26:26" x14ac:dyDescent="0.25">
      <c r="Z14271">
        <v>399999.99999999988</v>
      </c>
    </row>
    <row r="14272" spans="26:26" x14ac:dyDescent="0.25">
      <c r="Z14272">
        <v>399999.99999999988</v>
      </c>
    </row>
    <row r="14273" spans="26:26" x14ac:dyDescent="0.25">
      <c r="Z14273">
        <v>399999.99999999988</v>
      </c>
    </row>
    <row r="14274" spans="26:26" x14ac:dyDescent="0.25">
      <c r="Z14274">
        <v>399999.99999999988</v>
      </c>
    </row>
    <row r="14275" spans="26:26" x14ac:dyDescent="0.25">
      <c r="Z14275">
        <v>399999.99999999988</v>
      </c>
    </row>
    <row r="14276" spans="26:26" x14ac:dyDescent="0.25">
      <c r="Z14276">
        <v>399999.99999999988</v>
      </c>
    </row>
    <row r="14277" spans="26:26" x14ac:dyDescent="0.25">
      <c r="Z14277">
        <v>399999.99999999988</v>
      </c>
    </row>
    <row r="14278" spans="26:26" x14ac:dyDescent="0.25">
      <c r="Z14278">
        <v>399999.99999999988</v>
      </c>
    </row>
    <row r="14279" spans="26:26" x14ac:dyDescent="0.25">
      <c r="Z14279">
        <v>399999.99999999988</v>
      </c>
    </row>
    <row r="14280" spans="26:26" x14ac:dyDescent="0.25">
      <c r="Z14280">
        <v>399999.99999999988</v>
      </c>
    </row>
    <row r="14281" spans="26:26" x14ac:dyDescent="0.25">
      <c r="Z14281">
        <v>399999.99999999988</v>
      </c>
    </row>
    <row r="14282" spans="26:26" x14ac:dyDescent="0.25">
      <c r="Z14282">
        <v>399999.99999999988</v>
      </c>
    </row>
    <row r="14283" spans="26:26" x14ac:dyDescent="0.25">
      <c r="Z14283">
        <v>399999.99999999988</v>
      </c>
    </row>
    <row r="14284" spans="26:26" x14ac:dyDescent="0.25">
      <c r="Z14284">
        <v>399999.99999999988</v>
      </c>
    </row>
    <row r="14285" spans="26:26" x14ac:dyDescent="0.25">
      <c r="Z14285">
        <v>399999.99999999988</v>
      </c>
    </row>
    <row r="14286" spans="26:26" x14ac:dyDescent="0.25">
      <c r="Z14286">
        <v>399999.99999999988</v>
      </c>
    </row>
    <row r="14287" spans="26:26" x14ac:dyDescent="0.25">
      <c r="Z14287">
        <v>399999.99999999988</v>
      </c>
    </row>
    <row r="14288" spans="26:26" x14ac:dyDescent="0.25">
      <c r="Z14288">
        <v>399999.99999999988</v>
      </c>
    </row>
    <row r="14289" spans="26:26" x14ac:dyDescent="0.25">
      <c r="Z14289">
        <v>399999.99999999988</v>
      </c>
    </row>
    <row r="14290" spans="26:26" x14ac:dyDescent="0.25">
      <c r="Z14290">
        <v>399999.99999999988</v>
      </c>
    </row>
    <row r="14291" spans="26:26" x14ac:dyDescent="0.25">
      <c r="Z14291">
        <v>399999.99999999988</v>
      </c>
    </row>
    <row r="14292" spans="26:26" x14ac:dyDescent="0.25">
      <c r="Z14292">
        <v>399999.99999999988</v>
      </c>
    </row>
    <row r="14293" spans="26:26" x14ac:dyDescent="0.25">
      <c r="Z14293">
        <v>399999.99999999988</v>
      </c>
    </row>
    <row r="14294" spans="26:26" x14ac:dyDescent="0.25">
      <c r="Z14294">
        <v>399999.99999999988</v>
      </c>
    </row>
    <row r="14295" spans="26:26" x14ac:dyDescent="0.25">
      <c r="Z14295">
        <v>399999.99999999988</v>
      </c>
    </row>
    <row r="14296" spans="26:26" x14ac:dyDescent="0.25">
      <c r="Z14296">
        <v>399999.99999999988</v>
      </c>
    </row>
    <row r="14297" spans="26:26" x14ac:dyDescent="0.25">
      <c r="Z14297">
        <v>399999.99999999988</v>
      </c>
    </row>
    <row r="14298" spans="26:26" x14ac:dyDescent="0.25">
      <c r="Z14298">
        <v>399999.99999999988</v>
      </c>
    </row>
    <row r="14299" spans="26:26" x14ac:dyDescent="0.25">
      <c r="Z14299">
        <v>399999.99999999988</v>
      </c>
    </row>
    <row r="14300" spans="26:26" x14ac:dyDescent="0.25">
      <c r="Z14300">
        <v>399999.99999999988</v>
      </c>
    </row>
    <row r="14301" spans="26:26" x14ac:dyDescent="0.25">
      <c r="Z14301">
        <v>399999.99999999988</v>
      </c>
    </row>
    <row r="14302" spans="26:26" x14ac:dyDescent="0.25">
      <c r="Z14302">
        <v>399999.99999999988</v>
      </c>
    </row>
    <row r="14303" spans="26:26" x14ac:dyDescent="0.25">
      <c r="Z14303">
        <v>399999.99999999988</v>
      </c>
    </row>
    <row r="14304" spans="26:26" x14ac:dyDescent="0.25">
      <c r="Z14304">
        <v>399999.99999999988</v>
      </c>
    </row>
    <row r="14305" spans="26:26" x14ac:dyDescent="0.25">
      <c r="Z14305">
        <v>399999.99999999988</v>
      </c>
    </row>
    <row r="14306" spans="26:26" x14ac:dyDescent="0.25">
      <c r="Z14306">
        <v>399999.99999999988</v>
      </c>
    </row>
    <row r="14307" spans="26:26" x14ac:dyDescent="0.25">
      <c r="Z14307">
        <v>399999.99999999988</v>
      </c>
    </row>
    <row r="14308" spans="26:26" x14ac:dyDescent="0.25">
      <c r="Z14308">
        <v>399999.99999999988</v>
      </c>
    </row>
    <row r="14309" spans="26:26" x14ac:dyDescent="0.25">
      <c r="Z14309">
        <v>399999.99999999988</v>
      </c>
    </row>
    <row r="14310" spans="26:26" x14ac:dyDescent="0.25">
      <c r="Z14310">
        <v>399999.99999999988</v>
      </c>
    </row>
    <row r="14311" spans="26:26" x14ac:dyDescent="0.25">
      <c r="Z14311">
        <v>399999.99999999988</v>
      </c>
    </row>
    <row r="14312" spans="26:26" x14ac:dyDescent="0.25">
      <c r="Z14312">
        <v>399999.99999999988</v>
      </c>
    </row>
    <row r="14313" spans="26:26" x14ac:dyDescent="0.25">
      <c r="Z14313">
        <v>399999.99999999988</v>
      </c>
    </row>
    <row r="14314" spans="26:26" x14ac:dyDescent="0.25">
      <c r="Z14314">
        <v>399999.99999999988</v>
      </c>
    </row>
    <row r="14315" spans="26:26" x14ac:dyDescent="0.25">
      <c r="Z14315">
        <v>399999.99999999988</v>
      </c>
    </row>
    <row r="14316" spans="26:26" x14ac:dyDescent="0.25">
      <c r="Z14316">
        <v>399999.99999999988</v>
      </c>
    </row>
    <row r="14317" spans="26:26" x14ac:dyDescent="0.25">
      <c r="Z14317">
        <v>399999.99999999988</v>
      </c>
    </row>
    <row r="14318" spans="26:26" x14ac:dyDescent="0.25">
      <c r="Z14318">
        <v>399999.99999999988</v>
      </c>
    </row>
    <row r="14319" spans="26:26" x14ac:dyDescent="0.25">
      <c r="Z14319">
        <v>399999.99999999988</v>
      </c>
    </row>
    <row r="14320" spans="26:26" x14ac:dyDescent="0.25">
      <c r="Z14320">
        <v>399999.99999999988</v>
      </c>
    </row>
    <row r="14321" spans="26:26" x14ac:dyDescent="0.25">
      <c r="Z14321">
        <v>399999.99999999988</v>
      </c>
    </row>
    <row r="14322" spans="26:26" x14ac:dyDescent="0.25">
      <c r="Z14322">
        <v>399999.99999999988</v>
      </c>
    </row>
    <row r="14323" spans="26:26" x14ac:dyDescent="0.25">
      <c r="Z14323">
        <v>399999.99999999988</v>
      </c>
    </row>
    <row r="14324" spans="26:26" x14ac:dyDescent="0.25">
      <c r="Z14324">
        <v>399999.99999999988</v>
      </c>
    </row>
    <row r="14325" spans="26:26" x14ac:dyDescent="0.25">
      <c r="Z14325">
        <v>399999.99999999988</v>
      </c>
    </row>
    <row r="14326" spans="26:26" x14ac:dyDescent="0.25">
      <c r="Z14326">
        <v>399999.99999999988</v>
      </c>
    </row>
    <row r="14327" spans="26:26" x14ac:dyDescent="0.25">
      <c r="Z14327">
        <v>399999.99999999988</v>
      </c>
    </row>
    <row r="14328" spans="26:26" x14ac:dyDescent="0.25">
      <c r="Z14328">
        <v>399999.99999999988</v>
      </c>
    </row>
    <row r="14329" spans="26:26" x14ac:dyDescent="0.25">
      <c r="Z14329">
        <v>399999.99999999988</v>
      </c>
    </row>
    <row r="14330" spans="26:26" x14ac:dyDescent="0.25">
      <c r="Z14330">
        <v>399999.99999999988</v>
      </c>
    </row>
    <row r="14331" spans="26:26" x14ac:dyDescent="0.25">
      <c r="Z14331">
        <v>399999.99999999988</v>
      </c>
    </row>
    <row r="14332" spans="26:26" x14ac:dyDescent="0.25">
      <c r="Z14332">
        <v>399999.99999999988</v>
      </c>
    </row>
    <row r="14333" spans="26:26" x14ac:dyDescent="0.25">
      <c r="Z14333">
        <v>399999.99999999988</v>
      </c>
    </row>
    <row r="14334" spans="26:26" x14ac:dyDescent="0.25">
      <c r="Z14334">
        <v>399999.99999999988</v>
      </c>
    </row>
    <row r="14335" spans="26:26" x14ac:dyDescent="0.25">
      <c r="Z14335">
        <v>399999.99999999988</v>
      </c>
    </row>
    <row r="14336" spans="26:26" x14ac:dyDescent="0.25">
      <c r="Z14336">
        <v>399999.99999999988</v>
      </c>
    </row>
    <row r="14337" spans="26:26" x14ac:dyDescent="0.25">
      <c r="Z14337">
        <v>399999.99999999988</v>
      </c>
    </row>
    <row r="14338" spans="26:26" x14ac:dyDescent="0.25">
      <c r="Z14338">
        <v>399999.99999999988</v>
      </c>
    </row>
    <row r="14339" spans="26:26" x14ac:dyDescent="0.25">
      <c r="Z14339">
        <v>399999.99999999988</v>
      </c>
    </row>
    <row r="14340" spans="26:26" x14ac:dyDescent="0.25">
      <c r="Z14340">
        <v>399999.99999999988</v>
      </c>
    </row>
    <row r="14341" spans="26:26" x14ac:dyDescent="0.25">
      <c r="Z14341">
        <v>399999.99999999988</v>
      </c>
    </row>
    <row r="14342" spans="26:26" x14ac:dyDescent="0.25">
      <c r="Z14342">
        <v>399999.99999999988</v>
      </c>
    </row>
    <row r="14343" spans="26:26" x14ac:dyDescent="0.25">
      <c r="Z14343">
        <v>399999.99999999988</v>
      </c>
    </row>
    <row r="14344" spans="26:26" x14ac:dyDescent="0.25">
      <c r="Z14344">
        <v>399999.99999999988</v>
      </c>
    </row>
    <row r="14345" spans="26:26" x14ac:dyDescent="0.25">
      <c r="Z14345">
        <v>399999.99999999988</v>
      </c>
    </row>
    <row r="14346" spans="26:26" x14ac:dyDescent="0.25">
      <c r="Z14346">
        <v>399999.99999999988</v>
      </c>
    </row>
    <row r="14347" spans="26:26" x14ac:dyDescent="0.25">
      <c r="Z14347">
        <v>399999.99999999988</v>
      </c>
    </row>
    <row r="14348" spans="26:26" x14ac:dyDescent="0.25">
      <c r="Z14348">
        <v>399999.99999999988</v>
      </c>
    </row>
    <row r="14349" spans="26:26" x14ac:dyDescent="0.25">
      <c r="Z14349">
        <v>399999.99999999988</v>
      </c>
    </row>
    <row r="14350" spans="26:26" x14ac:dyDescent="0.25">
      <c r="Z14350">
        <v>399999.99999999988</v>
      </c>
    </row>
    <row r="14351" spans="26:26" x14ac:dyDescent="0.25">
      <c r="Z14351">
        <v>399999.99999999988</v>
      </c>
    </row>
    <row r="14352" spans="26:26" x14ac:dyDescent="0.25">
      <c r="Z14352">
        <v>399999.99999999988</v>
      </c>
    </row>
    <row r="14353" spans="26:26" x14ac:dyDescent="0.25">
      <c r="Z14353">
        <v>399999.99999999988</v>
      </c>
    </row>
    <row r="14354" spans="26:26" x14ac:dyDescent="0.25">
      <c r="Z14354">
        <v>399999.99999999988</v>
      </c>
    </row>
    <row r="14355" spans="26:26" x14ac:dyDescent="0.25">
      <c r="Z14355">
        <v>399999.99999999988</v>
      </c>
    </row>
    <row r="14356" spans="26:26" x14ac:dyDescent="0.25">
      <c r="Z14356">
        <v>399999.99999999988</v>
      </c>
    </row>
    <row r="14357" spans="26:26" x14ac:dyDescent="0.25">
      <c r="Z14357">
        <v>399999.99999999988</v>
      </c>
    </row>
    <row r="14358" spans="26:26" x14ac:dyDescent="0.25">
      <c r="Z14358">
        <v>399999.99999999988</v>
      </c>
    </row>
    <row r="14359" spans="26:26" x14ac:dyDescent="0.25">
      <c r="Z14359">
        <v>399999.99999999988</v>
      </c>
    </row>
    <row r="14360" spans="26:26" x14ac:dyDescent="0.25">
      <c r="Z14360">
        <v>399999.99999999988</v>
      </c>
    </row>
    <row r="14361" spans="26:26" x14ac:dyDescent="0.25">
      <c r="Z14361">
        <v>399999.99999999988</v>
      </c>
    </row>
    <row r="14362" spans="26:26" x14ac:dyDescent="0.25">
      <c r="Z14362">
        <v>399999.99999999988</v>
      </c>
    </row>
    <row r="14363" spans="26:26" x14ac:dyDescent="0.25">
      <c r="Z14363">
        <v>399999.99999999988</v>
      </c>
    </row>
    <row r="14364" spans="26:26" x14ac:dyDescent="0.25">
      <c r="Z14364">
        <v>399999.99999999988</v>
      </c>
    </row>
    <row r="14365" spans="26:26" x14ac:dyDescent="0.25">
      <c r="Z14365">
        <v>399999.99999999988</v>
      </c>
    </row>
    <row r="14366" spans="26:26" x14ac:dyDescent="0.25">
      <c r="Z14366">
        <v>399999.99999999988</v>
      </c>
    </row>
    <row r="14367" spans="26:26" x14ac:dyDescent="0.25">
      <c r="Z14367">
        <v>399999.99999999988</v>
      </c>
    </row>
    <row r="14368" spans="26:26" x14ac:dyDescent="0.25">
      <c r="Z14368">
        <v>399999.99999999988</v>
      </c>
    </row>
    <row r="14369" spans="26:26" x14ac:dyDescent="0.25">
      <c r="Z14369">
        <v>399999.99999999988</v>
      </c>
    </row>
    <row r="14370" spans="26:26" x14ac:dyDescent="0.25">
      <c r="Z14370">
        <v>399999.99999999988</v>
      </c>
    </row>
    <row r="14371" spans="26:26" x14ac:dyDescent="0.25">
      <c r="Z14371">
        <v>399999.99999999988</v>
      </c>
    </row>
    <row r="14372" spans="26:26" x14ac:dyDescent="0.25">
      <c r="Z14372">
        <v>399999.99999999988</v>
      </c>
    </row>
    <row r="14373" spans="26:26" x14ac:dyDescent="0.25">
      <c r="Z14373">
        <v>399999.99999999988</v>
      </c>
    </row>
    <row r="14374" spans="26:26" x14ac:dyDescent="0.25">
      <c r="Z14374">
        <v>399999.99999999988</v>
      </c>
    </row>
    <row r="14375" spans="26:26" x14ac:dyDescent="0.25">
      <c r="Z14375">
        <v>399999.99999999988</v>
      </c>
    </row>
    <row r="14376" spans="26:26" x14ac:dyDescent="0.25">
      <c r="Z14376">
        <v>399999.99999999988</v>
      </c>
    </row>
    <row r="14377" spans="26:26" x14ac:dyDescent="0.25">
      <c r="Z14377">
        <v>399999.99999999988</v>
      </c>
    </row>
    <row r="14378" spans="26:26" x14ac:dyDescent="0.25">
      <c r="Z14378">
        <v>399999.99999999988</v>
      </c>
    </row>
    <row r="14379" spans="26:26" x14ac:dyDescent="0.25">
      <c r="Z14379">
        <v>399999.99999999988</v>
      </c>
    </row>
    <row r="14380" spans="26:26" x14ac:dyDescent="0.25">
      <c r="Z14380">
        <v>399999.99999999988</v>
      </c>
    </row>
    <row r="14381" spans="26:26" x14ac:dyDescent="0.25">
      <c r="Z14381">
        <v>399999.99999999988</v>
      </c>
    </row>
    <row r="14382" spans="26:26" x14ac:dyDescent="0.25">
      <c r="Z14382">
        <v>399999.99999999988</v>
      </c>
    </row>
    <row r="14383" spans="26:26" x14ac:dyDescent="0.25">
      <c r="Z14383">
        <v>399999.99999999988</v>
      </c>
    </row>
    <row r="14384" spans="26:26" x14ac:dyDescent="0.25">
      <c r="Z14384">
        <v>399999.99999999988</v>
      </c>
    </row>
    <row r="14385" spans="26:26" x14ac:dyDescent="0.25">
      <c r="Z14385">
        <v>399999.99999999988</v>
      </c>
    </row>
    <row r="14386" spans="26:26" x14ac:dyDescent="0.25">
      <c r="Z14386">
        <v>399999.99999999988</v>
      </c>
    </row>
    <row r="14387" spans="26:26" x14ac:dyDescent="0.25">
      <c r="Z14387">
        <v>399999.99999999988</v>
      </c>
    </row>
    <row r="14388" spans="26:26" x14ac:dyDescent="0.25">
      <c r="Z14388">
        <v>399999.99999999988</v>
      </c>
    </row>
    <row r="14389" spans="26:26" x14ac:dyDescent="0.25">
      <c r="Z14389">
        <v>399999.99999999988</v>
      </c>
    </row>
    <row r="14390" spans="26:26" x14ac:dyDescent="0.25">
      <c r="Z14390">
        <v>399999.99999999988</v>
      </c>
    </row>
    <row r="14391" spans="26:26" x14ac:dyDescent="0.25">
      <c r="Z14391">
        <v>399999.99999999988</v>
      </c>
    </row>
    <row r="14392" spans="26:26" x14ac:dyDescent="0.25">
      <c r="Z14392">
        <v>399999.99999999988</v>
      </c>
    </row>
    <row r="14393" spans="26:26" x14ac:dyDescent="0.25">
      <c r="Z14393">
        <v>399999.99999999988</v>
      </c>
    </row>
    <row r="14394" spans="26:26" x14ac:dyDescent="0.25">
      <c r="Z14394">
        <v>399999.99999999988</v>
      </c>
    </row>
    <row r="14395" spans="26:26" x14ac:dyDescent="0.25">
      <c r="Z14395">
        <v>399999.99999999988</v>
      </c>
    </row>
    <row r="14396" spans="26:26" x14ac:dyDescent="0.25">
      <c r="Z14396">
        <v>399999.99999999988</v>
      </c>
    </row>
    <row r="14397" spans="26:26" x14ac:dyDescent="0.25">
      <c r="Z14397">
        <v>399999.99999999988</v>
      </c>
    </row>
    <row r="14398" spans="26:26" x14ac:dyDescent="0.25">
      <c r="Z14398">
        <v>399999.99999999988</v>
      </c>
    </row>
    <row r="14399" spans="26:26" x14ac:dyDescent="0.25">
      <c r="Z14399">
        <v>399999.99999999988</v>
      </c>
    </row>
    <row r="14400" spans="26:26" x14ac:dyDescent="0.25">
      <c r="Z14400">
        <v>399999.99999999988</v>
      </c>
    </row>
    <row r="14401" spans="26:26" x14ac:dyDescent="0.25">
      <c r="Z14401">
        <v>399999.99999999988</v>
      </c>
    </row>
    <row r="14402" spans="26:26" x14ac:dyDescent="0.25">
      <c r="Z14402">
        <v>399999.99999999988</v>
      </c>
    </row>
    <row r="14403" spans="26:26" x14ac:dyDescent="0.25">
      <c r="Z14403">
        <v>399999.99999999988</v>
      </c>
    </row>
    <row r="14404" spans="26:26" x14ac:dyDescent="0.25">
      <c r="Z14404">
        <v>399999.99999999988</v>
      </c>
    </row>
    <row r="14405" spans="26:26" x14ac:dyDescent="0.25">
      <c r="Z14405">
        <v>399999.99999999988</v>
      </c>
    </row>
    <row r="14406" spans="26:26" x14ac:dyDescent="0.25">
      <c r="Z14406">
        <v>399999.99999999988</v>
      </c>
    </row>
    <row r="14407" spans="26:26" x14ac:dyDescent="0.25">
      <c r="Z14407">
        <v>399999.99999999988</v>
      </c>
    </row>
    <row r="14408" spans="26:26" x14ac:dyDescent="0.25">
      <c r="Z14408">
        <v>399999.99999999988</v>
      </c>
    </row>
    <row r="14409" spans="26:26" x14ac:dyDescent="0.25">
      <c r="Z14409">
        <v>399999.99999999988</v>
      </c>
    </row>
    <row r="14410" spans="26:26" x14ac:dyDescent="0.25">
      <c r="Z14410">
        <v>399999.99999999988</v>
      </c>
    </row>
    <row r="14411" spans="26:26" x14ac:dyDescent="0.25">
      <c r="Z14411">
        <v>399999.99999999988</v>
      </c>
    </row>
    <row r="14412" spans="26:26" x14ac:dyDescent="0.25">
      <c r="Z14412">
        <v>399999.99999999988</v>
      </c>
    </row>
    <row r="14413" spans="26:26" x14ac:dyDescent="0.25">
      <c r="Z14413">
        <v>399999.99999999988</v>
      </c>
    </row>
    <row r="14414" spans="26:26" x14ac:dyDescent="0.25">
      <c r="Z14414">
        <v>399999.99999999988</v>
      </c>
    </row>
    <row r="14415" spans="26:26" x14ac:dyDescent="0.25">
      <c r="Z14415">
        <v>399999.99999999988</v>
      </c>
    </row>
    <row r="14416" spans="26:26" x14ac:dyDescent="0.25">
      <c r="Z14416">
        <v>399999.99999999988</v>
      </c>
    </row>
    <row r="14417" spans="26:26" x14ac:dyDescent="0.25">
      <c r="Z14417">
        <v>399999.99999999988</v>
      </c>
    </row>
    <row r="14418" spans="26:26" x14ac:dyDescent="0.25">
      <c r="Z14418">
        <v>399999.99999999988</v>
      </c>
    </row>
    <row r="14419" spans="26:26" x14ac:dyDescent="0.25">
      <c r="Z14419">
        <v>399999.99999999988</v>
      </c>
    </row>
    <row r="14420" spans="26:26" x14ac:dyDescent="0.25">
      <c r="Z14420">
        <v>399999.99999999988</v>
      </c>
    </row>
    <row r="14421" spans="26:26" x14ac:dyDescent="0.25">
      <c r="Z14421">
        <v>399999.99999999988</v>
      </c>
    </row>
    <row r="14422" spans="26:26" x14ac:dyDescent="0.25">
      <c r="Z14422">
        <v>399999.99999999988</v>
      </c>
    </row>
    <row r="14423" spans="26:26" x14ac:dyDescent="0.25">
      <c r="Z14423">
        <v>399999.99999999988</v>
      </c>
    </row>
    <row r="14424" spans="26:26" x14ac:dyDescent="0.25">
      <c r="Z14424">
        <v>399999.99999999988</v>
      </c>
    </row>
    <row r="14425" spans="26:26" x14ac:dyDescent="0.25">
      <c r="Z14425">
        <v>399999.99999999988</v>
      </c>
    </row>
    <row r="14426" spans="26:26" x14ac:dyDescent="0.25">
      <c r="Z14426">
        <v>399999.99999999988</v>
      </c>
    </row>
    <row r="14427" spans="26:26" x14ac:dyDescent="0.25">
      <c r="Z14427">
        <v>399999.99999999988</v>
      </c>
    </row>
    <row r="14428" spans="26:26" x14ac:dyDescent="0.25">
      <c r="Z14428">
        <v>399999.99999999988</v>
      </c>
    </row>
    <row r="14429" spans="26:26" x14ac:dyDescent="0.25">
      <c r="Z14429">
        <v>399999.99999999988</v>
      </c>
    </row>
    <row r="14430" spans="26:26" x14ac:dyDescent="0.25">
      <c r="Z14430">
        <v>399999.99999999988</v>
      </c>
    </row>
    <row r="14431" spans="26:26" x14ac:dyDescent="0.25">
      <c r="Z14431">
        <v>399999.99999999988</v>
      </c>
    </row>
    <row r="14432" spans="26:26" x14ac:dyDescent="0.25">
      <c r="Z14432">
        <v>399999.99999999988</v>
      </c>
    </row>
    <row r="14433" spans="26:26" x14ac:dyDescent="0.25">
      <c r="Z14433">
        <v>399999.99999999988</v>
      </c>
    </row>
    <row r="14434" spans="26:26" x14ac:dyDescent="0.25">
      <c r="Z14434">
        <v>399999.99999999988</v>
      </c>
    </row>
    <row r="14435" spans="26:26" x14ac:dyDescent="0.25">
      <c r="Z14435">
        <v>399999.99999999988</v>
      </c>
    </row>
    <row r="14436" spans="26:26" x14ac:dyDescent="0.25">
      <c r="Z14436">
        <v>399999.99999999988</v>
      </c>
    </row>
    <row r="14437" spans="26:26" x14ac:dyDescent="0.25">
      <c r="Z14437">
        <v>399999.99999999988</v>
      </c>
    </row>
    <row r="14438" spans="26:26" x14ac:dyDescent="0.25">
      <c r="Z14438">
        <v>399999.99999999988</v>
      </c>
    </row>
    <row r="14439" spans="26:26" x14ac:dyDescent="0.25">
      <c r="Z14439">
        <v>399999.99999999988</v>
      </c>
    </row>
    <row r="14440" spans="26:26" x14ac:dyDescent="0.25">
      <c r="Z14440">
        <v>399999.99999999988</v>
      </c>
    </row>
    <row r="14441" spans="26:26" x14ac:dyDescent="0.25">
      <c r="Z14441">
        <v>399999.99999999988</v>
      </c>
    </row>
    <row r="14442" spans="26:26" x14ac:dyDescent="0.25">
      <c r="Z14442">
        <v>399999.99999999988</v>
      </c>
    </row>
    <row r="14443" spans="26:26" x14ac:dyDescent="0.25">
      <c r="Z14443">
        <v>399999.99999999988</v>
      </c>
    </row>
    <row r="14444" spans="26:26" x14ac:dyDescent="0.25">
      <c r="Z14444">
        <v>399999.99999999988</v>
      </c>
    </row>
    <row r="14445" spans="26:26" x14ac:dyDescent="0.25">
      <c r="Z14445">
        <v>399999.99999999988</v>
      </c>
    </row>
    <row r="14446" spans="26:26" x14ac:dyDescent="0.25">
      <c r="Z14446">
        <v>399999.99999999988</v>
      </c>
    </row>
    <row r="14447" spans="26:26" x14ac:dyDescent="0.25">
      <c r="Z14447">
        <v>399999.99999999988</v>
      </c>
    </row>
    <row r="14448" spans="26:26" x14ac:dyDescent="0.25">
      <c r="Z14448">
        <v>399999.99999999988</v>
      </c>
    </row>
    <row r="14449" spans="26:26" x14ac:dyDescent="0.25">
      <c r="Z14449">
        <v>399999.99999999988</v>
      </c>
    </row>
    <row r="14450" spans="26:26" x14ac:dyDescent="0.25">
      <c r="Z14450">
        <v>399999.99999999988</v>
      </c>
    </row>
    <row r="14451" spans="26:26" x14ac:dyDescent="0.25">
      <c r="Z14451">
        <v>399999.99999999988</v>
      </c>
    </row>
    <row r="14452" spans="26:26" x14ac:dyDescent="0.25">
      <c r="Z14452">
        <v>399999.99999999988</v>
      </c>
    </row>
    <row r="14453" spans="26:26" x14ac:dyDescent="0.25">
      <c r="Z14453">
        <v>399999.99999999988</v>
      </c>
    </row>
    <row r="14454" spans="26:26" x14ac:dyDescent="0.25">
      <c r="Z14454">
        <v>399999.99999999988</v>
      </c>
    </row>
    <row r="14455" spans="26:26" x14ac:dyDescent="0.25">
      <c r="Z14455">
        <v>399999.99999999988</v>
      </c>
    </row>
    <row r="14456" spans="26:26" x14ac:dyDescent="0.25">
      <c r="Z14456">
        <v>399999.99999999988</v>
      </c>
    </row>
    <row r="14457" spans="26:26" x14ac:dyDescent="0.25">
      <c r="Z14457">
        <v>399999.99999999988</v>
      </c>
    </row>
    <row r="14458" spans="26:26" x14ac:dyDescent="0.25">
      <c r="Z14458">
        <v>399999.99999999988</v>
      </c>
    </row>
    <row r="14459" spans="26:26" x14ac:dyDescent="0.25">
      <c r="Z14459">
        <v>399999.99999999988</v>
      </c>
    </row>
    <row r="14460" spans="26:26" x14ac:dyDescent="0.25">
      <c r="Z14460">
        <v>399999.99999999988</v>
      </c>
    </row>
    <row r="14461" spans="26:26" x14ac:dyDescent="0.25">
      <c r="Z14461">
        <v>399999.99999999988</v>
      </c>
    </row>
    <row r="14462" spans="26:26" x14ac:dyDescent="0.25">
      <c r="Z14462">
        <v>399999.99999999988</v>
      </c>
    </row>
    <row r="14463" spans="26:26" x14ac:dyDescent="0.25">
      <c r="Z14463">
        <v>399999.99999999988</v>
      </c>
    </row>
    <row r="14464" spans="26:26" x14ac:dyDescent="0.25">
      <c r="Z14464">
        <v>399999.99999999988</v>
      </c>
    </row>
    <row r="14465" spans="26:26" x14ac:dyDescent="0.25">
      <c r="Z14465">
        <v>399999.99999999988</v>
      </c>
    </row>
    <row r="14466" spans="26:26" x14ac:dyDescent="0.25">
      <c r="Z14466">
        <v>399999.99999999988</v>
      </c>
    </row>
    <row r="14467" spans="26:26" x14ac:dyDescent="0.25">
      <c r="Z14467">
        <v>399999.99999999988</v>
      </c>
    </row>
    <row r="14468" spans="26:26" x14ac:dyDescent="0.25">
      <c r="Z14468">
        <v>399999.99999999988</v>
      </c>
    </row>
    <row r="14469" spans="26:26" x14ac:dyDescent="0.25">
      <c r="Z14469">
        <v>399999.99999999988</v>
      </c>
    </row>
    <row r="14470" spans="26:26" x14ac:dyDescent="0.25">
      <c r="Z14470">
        <v>399999.99999999988</v>
      </c>
    </row>
    <row r="14471" spans="26:26" x14ac:dyDescent="0.25">
      <c r="Z14471">
        <v>399999.99999999988</v>
      </c>
    </row>
    <row r="14472" spans="26:26" x14ac:dyDescent="0.25">
      <c r="Z14472">
        <v>399999.99999999988</v>
      </c>
    </row>
    <row r="14473" spans="26:26" x14ac:dyDescent="0.25">
      <c r="Z14473">
        <v>399999.99999999988</v>
      </c>
    </row>
    <row r="14474" spans="26:26" x14ac:dyDescent="0.25">
      <c r="Z14474">
        <v>399999.99999999988</v>
      </c>
    </row>
    <row r="14475" spans="26:26" x14ac:dyDescent="0.25">
      <c r="Z14475">
        <v>399999.99999999988</v>
      </c>
    </row>
    <row r="14476" spans="26:26" x14ac:dyDescent="0.25">
      <c r="Z14476">
        <v>399999.99999999988</v>
      </c>
    </row>
    <row r="14477" spans="26:26" x14ac:dyDescent="0.25">
      <c r="Z14477">
        <v>399999.99999999988</v>
      </c>
    </row>
    <row r="14478" spans="26:26" x14ac:dyDescent="0.25">
      <c r="Z14478">
        <v>399999.99999999988</v>
      </c>
    </row>
    <row r="14479" spans="26:26" x14ac:dyDescent="0.25">
      <c r="Z14479">
        <v>399999.99999999988</v>
      </c>
    </row>
    <row r="14480" spans="26:26" x14ac:dyDescent="0.25">
      <c r="Z14480">
        <v>399999.99999999988</v>
      </c>
    </row>
    <row r="14481" spans="26:26" x14ac:dyDescent="0.25">
      <c r="Z14481">
        <v>399999.99999999988</v>
      </c>
    </row>
    <row r="14482" spans="26:26" x14ac:dyDescent="0.25">
      <c r="Z14482">
        <v>399999.99999999988</v>
      </c>
    </row>
    <row r="14483" spans="26:26" x14ac:dyDescent="0.25">
      <c r="Z14483">
        <v>399999.99999999988</v>
      </c>
    </row>
    <row r="14484" spans="26:26" x14ac:dyDescent="0.25">
      <c r="Z14484">
        <v>399999.99999999988</v>
      </c>
    </row>
    <row r="14485" spans="26:26" x14ac:dyDescent="0.25">
      <c r="Z14485">
        <v>399999.99999999988</v>
      </c>
    </row>
    <row r="14486" spans="26:26" x14ac:dyDescent="0.25">
      <c r="Z14486">
        <v>399999.99999999988</v>
      </c>
    </row>
    <row r="14487" spans="26:26" x14ac:dyDescent="0.25">
      <c r="Z14487">
        <v>399999.99999999988</v>
      </c>
    </row>
    <row r="14488" spans="26:26" x14ac:dyDescent="0.25">
      <c r="Z14488">
        <v>399999.99999999988</v>
      </c>
    </row>
    <row r="14489" spans="26:26" x14ac:dyDescent="0.25">
      <c r="Z14489">
        <v>399999.99999999988</v>
      </c>
    </row>
    <row r="14490" spans="26:26" x14ac:dyDescent="0.25">
      <c r="Z14490">
        <v>399999.99999999988</v>
      </c>
    </row>
    <row r="14491" spans="26:26" x14ac:dyDescent="0.25">
      <c r="Z14491">
        <v>399999.99999999988</v>
      </c>
    </row>
    <row r="14492" spans="26:26" x14ac:dyDescent="0.25">
      <c r="Z14492">
        <v>399999.99999999988</v>
      </c>
    </row>
    <row r="14493" spans="26:26" x14ac:dyDescent="0.25">
      <c r="Z14493">
        <v>399999.99999999988</v>
      </c>
    </row>
    <row r="14494" spans="26:26" x14ac:dyDescent="0.25">
      <c r="Z14494">
        <v>399999.99999999988</v>
      </c>
    </row>
    <row r="14495" spans="26:26" x14ac:dyDescent="0.25">
      <c r="Z14495">
        <v>399999.99999999988</v>
      </c>
    </row>
    <row r="14496" spans="26:26" x14ac:dyDescent="0.25">
      <c r="Z14496">
        <v>399999.99999999988</v>
      </c>
    </row>
    <row r="14497" spans="26:26" x14ac:dyDescent="0.25">
      <c r="Z14497">
        <v>399999.99999999988</v>
      </c>
    </row>
    <row r="14498" spans="26:26" x14ac:dyDescent="0.25">
      <c r="Z14498">
        <v>399999.99999999988</v>
      </c>
    </row>
    <row r="14499" spans="26:26" x14ac:dyDescent="0.25">
      <c r="Z14499">
        <v>399999.99999999988</v>
      </c>
    </row>
    <row r="14500" spans="26:26" x14ac:dyDescent="0.25">
      <c r="Z14500">
        <v>399999.99999999988</v>
      </c>
    </row>
    <row r="14501" spans="26:26" x14ac:dyDescent="0.25">
      <c r="Z14501">
        <v>399999.99999999988</v>
      </c>
    </row>
    <row r="14502" spans="26:26" x14ac:dyDescent="0.25">
      <c r="Z14502">
        <v>399999.99999999988</v>
      </c>
    </row>
    <row r="14503" spans="26:26" x14ac:dyDescent="0.25">
      <c r="Z14503">
        <v>399999.99999999988</v>
      </c>
    </row>
    <row r="14504" spans="26:26" x14ac:dyDescent="0.25">
      <c r="Z14504">
        <v>399999.99999999988</v>
      </c>
    </row>
    <row r="14505" spans="26:26" x14ac:dyDescent="0.25">
      <c r="Z14505">
        <v>399999.99999999988</v>
      </c>
    </row>
    <row r="14506" spans="26:26" x14ac:dyDescent="0.25">
      <c r="Z14506">
        <v>399999.99999999988</v>
      </c>
    </row>
    <row r="14507" spans="26:26" x14ac:dyDescent="0.25">
      <c r="Z14507">
        <v>399999.99999999988</v>
      </c>
    </row>
    <row r="14508" spans="26:26" x14ac:dyDescent="0.25">
      <c r="Z14508">
        <v>399999.99999999988</v>
      </c>
    </row>
    <row r="14509" spans="26:26" x14ac:dyDescent="0.25">
      <c r="Z14509">
        <v>399999.99999999988</v>
      </c>
    </row>
    <row r="14510" spans="26:26" x14ac:dyDescent="0.25">
      <c r="Z14510">
        <v>399999.99999999988</v>
      </c>
    </row>
    <row r="14511" spans="26:26" x14ac:dyDescent="0.25">
      <c r="Z14511">
        <v>399999.99999999988</v>
      </c>
    </row>
    <row r="14512" spans="26:26" x14ac:dyDescent="0.25">
      <c r="Z14512">
        <v>399999.99999999988</v>
      </c>
    </row>
    <row r="14513" spans="26:26" x14ac:dyDescent="0.25">
      <c r="Z14513">
        <v>399999.99999999988</v>
      </c>
    </row>
    <row r="14514" spans="26:26" x14ac:dyDescent="0.25">
      <c r="Z14514">
        <v>399999.99999999988</v>
      </c>
    </row>
    <row r="14515" spans="26:26" x14ac:dyDescent="0.25">
      <c r="Z14515">
        <v>399999.99999999988</v>
      </c>
    </row>
    <row r="14516" spans="26:26" x14ac:dyDescent="0.25">
      <c r="Z14516">
        <v>399999.99999999988</v>
      </c>
    </row>
    <row r="14517" spans="26:26" x14ac:dyDescent="0.25">
      <c r="Z14517">
        <v>399999.99999999988</v>
      </c>
    </row>
    <row r="14518" spans="26:26" x14ac:dyDescent="0.25">
      <c r="Z14518">
        <v>399999.99999999988</v>
      </c>
    </row>
    <row r="14519" spans="26:26" x14ac:dyDescent="0.25">
      <c r="Z14519">
        <v>399999.99999999988</v>
      </c>
    </row>
    <row r="14520" spans="26:26" x14ac:dyDescent="0.25">
      <c r="Z14520">
        <v>399999.99999999988</v>
      </c>
    </row>
    <row r="14521" spans="26:26" x14ac:dyDescent="0.25">
      <c r="Z14521">
        <v>399999.99999999988</v>
      </c>
    </row>
    <row r="14522" spans="26:26" x14ac:dyDescent="0.25">
      <c r="Z14522">
        <v>399999.99999999988</v>
      </c>
    </row>
    <row r="14523" spans="26:26" x14ac:dyDescent="0.25">
      <c r="Z14523">
        <v>399999.99999999988</v>
      </c>
    </row>
    <row r="14524" spans="26:26" x14ac:dyDescent="0.25">
      <c r="Z14524">
        <v>399999.99999999988</v>
      </c>
    </row>
    <row r="14525" spans="26:26" x14ac:dyDescent="0.25">
      <c r="Z14525">
        <v>399999.99999999988</v>
      </c>
    </row>
    <row r="14526" spans="26:26" x14ac:dyDescent="0.25">
      <c r="Z14526">
        <v>399999.99999999988</v>
      </c>
    </row>
    <row r="14527" spans="26:26" x14ac:dyDescent="0.25">
      <c r="Z14527">
        <v>399999.99999999988</v>
      </c>
    </row>
    <row r="14528" spans="26:26" x14ac:dyDescent="0.25">
      <c r="Z14528">
        <v>399999.99999999988</v>
      </c>
    </row>
    <row r="14529" spans="26:26" x14ac:dyDescent="0.25">
      <c r="Z14529">
        <v>399999.99999999988</v>
      </c>
    </row>
    <row r="14530" spans="26:26" x14ac:dyDescent="0.25">
      <c r="Z14530">
        <v>399999.99999999988</v>
      </c>
    </row>
    <row r="14531" spans="26:26" x14ac:dyDescent="0.25">
      <c r="Z14531">
        <v>399999.99999999988</v>
      </c>
    </row>
    <row r="14532" spans="26:26" x14ac:dyDescent="0.25">
      <c r="Z14532">
        <v>399999.99999999988</v>
      </c>
    </row>
    <row r="14533" spans="26:26" x14ac:dyDescent="0.25">
      <c r="Z14533">
        <v>399999.99999999988</v>
      </c>
    </row>
    <row r="14534" spans="26:26" x14ac:dyDescent="0.25">
      <c r="Z14534">
        <v>399999.99999999988</v>
      </c>
    </row>
    <row r="14535" spans="26:26" x14ac:dyDescent="0.25">
      <c r="Z14535">
        <v>399999.99999999988</v>
      </c>
    </row>
    <row r="14536" spans="26:26" x14ac:dyDescent="0.25">
      <c r="Z14536">
        <v>399999.99999999988</v>
      </c>
    </row>
    <row r="14537" spans="26:26" x14ac:dyDescent="0.25">
      <c r="Z14537">
        <v>399999.99999999988</v>
      </c>
    </row>
    <row r="14538" spans="26:26" x14ac:dyDescent="0.25">
      <c r="Z14538">
        <v>399999.99999999988</v>
      </c>
    </row>
    <row r="14539" spans="26:26" x14ac:dyDescent="0.25">
      <c r="Z14539">
        <v>399999.99999999988</v>
      </c>
    </row>
    <row r="14540" spans="26:26" x14ac:dyDescent="0.25">
      <c r="Z14540">
        <v>399999.99999999988</v>
      </c>
    </row>
    <row r="14541" spans="26:26" x14ac:dyDescent="0.25">
      <c r="Z14541">
        <v>399999.99999999988</v>
      </c>
    </row>
    <row r="14542" spans="26:26" x14ac:dyDescent="0.25">
      <c r="Z14542">
        <v>399999.99999999988</v>
      </c>
    </row>
    <row r="14543" spans="26:26" x14ac:dyDescent="0.25">
      <c r="Z14543">
        <v>399999.99999999988</v>
      </c>
    </row>
    <row r="14544" spans="26:26" x14ac:dyDescent="0.25">
      <c r="Z14544">
        <v>399999.99999999988</v>
      </c>
    </row>
    <row r="14545" spans="26:26" x14ac:dyDescent="0.25">
      <c r="Z14545">
        <v>399999.99999999988</v>
      </c>
    </row>
    <row r="14546" spans="26:26" x14ac:dyDescent="0.25">
      <c r="Z14546">
        <v>399999.99999999988</v>
      </c>
    </row>
    <row r="14547" spans="26:26" x14ac:dyDescent="0.25">
      <c r="Z14547">
        <v>399999.99999999988</v>
      </c>
    </row>
    <row r="14548" spans="26:26" x14ac:dyDescent="0.25">
      <c r="Z14548">
        <v>399999.99999999988</v>
      </c>
    </row>
    <row r="14549" spans="26:26" x14ac:dyDescent="0.25">
      <c r="Z14549">
        <v>399999.99999999988</v>
      </c>
    </row>
    <row r="14550" spans="26:26" x14ac:dyDescent="0.25">
      <c r="Z14550">
        <v>399999.99999999988</v>
      </c>
    </row>
    <row r="14551" spans="26:26" x14ac:dyDescent="0.25">
      <c r="Z14551">
        <v>399999.99999999988</v>
      </c>
    </row>
    <row r="14552" spans="26:26" x14ac:dyDescent="0.25">
      <c r="Z14552">
        <v>399999.99999999988</v>
      </c>
    </row>
    <row r="14553" spans="26:26" x14ac:dyDescent="0.25">
      <c r="Z14553">
        <v>399999.99999999994</v>
      </c>
    </row>
    <row r="14554" spans="26:26" x14ac:dyDescent="0.25">
      <c r="Z14554">
        <v>399999.99999999994</v>
      </c>
    </row>
    <row r="14555" spans="26:26" x14ac:dyDescent="0.25">
      <c r="Z14555">
        <v>399999.99999999994</v>
      </c>
    </row>
    <row r="14556" spans="26:26" x14ac:dyDescent="0.25">
      <c r="Z14556">
        <v>399999.99999999994</v>
      </c>
    </row>
    <row r="14557" spans="26:26" x14ac:dyDescent="0.25">
      <c r="Z14557">
        <v>399999.99999999994</v>
      </c>
    </row>
    <row r="14558" spans="26:26" x14ac:dyDescent="0.25">
      <c r="Z14558">
        <v>399999.99999999994</v>
      </c>
    </row>
    <row r="14559" spans="26:26" x14ac:dyDescent="0.25">
      <c r="Z14559">
        <v>399999.99999999994</v>
      </c>
    </row>
    <row r="14560" spans="26:26" x14ac:dyDescent="0.25">
      <c r="Z14560">
        <v>399999.99999999994</v>
      </c>
    </row>
    <row r="14561" spans="26:26" x14ac:dyDescent="0.25">
      <c r="Z14561">
        <v>399999.99999999994</v>
      </c>
    </row>
    <row r="14562" spans="26:26" x14ac:dyDescent="0.25">
      <c r="Z14562">
        <v>399999.99999999994</v>
      </c>
    </row>
    <row r="14563" spans="26:26" x14ac:dyDescent="0.25">
      <c r="Z14563">
        <v>399999.99999999994</v>
      </c>
    </row>
    <row r="14564" spans="26:26" x14ac:dyDescent="0.25">
      <c r="Z14564">
        <v>399999.99999999994</v>
      </c>
    </row>
    <row r="14565" spans="26:26" x14ac:dyDescent="0.25">
      <c r="Z14565">
        <v>399999.99999999994</v>
      </c>
    </row>
    <row r="14566" spans="26:26" x14ac:dyDescent="0.25">
      <c r="Z14566">
        <v>399999.99999999994</v>
      </c>
    </row>
    <row r="14567" spans="26:26" x14ac:dyDescent="0.25">
      <c r="Z14567">
        <v>399999.99999999994</v>
      </c>
    </row>
    <row r="14568" spans="26:26" x14ac:dyDescent="0.25">
      <c r="Z14568">
        <v>399999.99999999994</v>
      </c>
    </row>
    <row r="14569" spans="26:26" x14ac:dyDescent="0.25">
      <c r="Z14569">
        <v>399999.99999999994</v>
      </c>
    </row>
    <row r="14570" spans="26:26" x14ac:dyDescent="0.25">
      <c r="Z14570">
        <v>399999.99999999994</v>
      </c>
    </row>
    <row r="14571" spans="26:26" x14ac:dyDescent="0.25">
      <c r="Z14571">
        <v>399999.99999999994</v>
      </c>
    </row>
    <row r="14572" spans="26:26" x14ac:dyDescent="0.25">
      <c r="Z14572">
        <v>399999.99999999994</v>
      </c>
    </row>
    <row r="14573" spans="26:26" x14ac:dyDescent="0.25">
      <c r="Z14573">
        <v>399999.99999999994</v>
      </c>
    </row>
    <row r="14574" spans="26:26" x14ac:dyDescent="0.25">
      <c r="Z14574">
        <v>399999.99999999994</v>
      </c>
    </row>
    <row r="14575" spans="26:26" x14ac:dyDescent="0.25">
      <c r="Z14575">
        <v>399999.99999999994</v>
      </c>
    </row>
    <row r="14576" spans="26:26" x14ac:dyDescent="0.25">
      <c r="Z14576">
        <v>399999.99999999994</v>
      </c>
    </row>
    <row r="14577" spans="26:26" x14ac:dyDescent="0.25">
      <c r="Z14577">
        <v>399999.99999999994</v>
      </c>
    </row>
    <row r="14578" spans="26:26" x14ac:dyDescent="0.25">
      <c r="Z14578">
        <v>399999.99999999994</v>
      </c>
    </row>
    <row r="14579" spans="26:26" x14ac:dyDescent="0.25">
      <c r="Z14579">
        <v>399999.99999999994</v>
      </c>
    </row>
    <row r="14580" spans="26:26" x14ac:dyDescent="0.25">
      <c r="Z14580">
        <v>399999.99999999994</v>
      </c>
    </row>
    <row r="14581" spans="26:26" x14ac:dyDescent="0.25">
      <c r="Z14581">
        <v>399999.99999999994</v>
      </c>
    </row>
    <row r="14582" spans="26:26" x14ac:dyDescent="0.25">
      <c r="Z14582">
        <v>399999.99999999994</v>
      </c>
    </row>
    <row r="14583" spans="26:26" x14ac:dyDescent="0.25">
      <c r="Z14583">
        <v>399999.99999999994</v>
      </c>
    </row>
    <row r="14584" spans="26:26" x14ac:dyDescent="0.25">
      <c r="Z14584">
        <v>399999.99999999994</v>
      </c>
    </row>
    <row r="14585" spans="26:26" x14ac:dyDescent="0.25">
      <c r="Z14585">
        <v>399999.99999999994</v>
      </c>
    </row>
    <row r="14586" spans="26:26" x14ac:dyDescent="0.25">
      <c r="Z14586">
        <v>399999.99999999994</v>
      </c>
    </row>
    <row r="14587" spans="26:26" x14ac:dyDescent="0.25">
      <c r="Z14587">
        <v>399999.99999999994</v>
      </c>
    </row>
    <row r="14588" spans="26:26" x14ac:dyDescent="0.25">
      <c r="Z14588">
        <v>399999.99999999994</v>
      </c>
    </row>
    <row r="14589" spans="26:26" x14ac:dyDescent="0.25">
      <c r="Z14589">
        <v>399999.99999999994</v>
      </c>
    </row>
    <row r="14590" spans="26:26" x14ac:dyDescent="0.25">
      <c r="Z14590">
        <v>399999.99999999994</v>
      </c>
    </row>
    <row r="14591" spans="26:26" x14ac:dyDescent="0.25">
      <c r="Z14591">
        <v>399999.99999999994</v>
      </c>
    </row>
    <row r="14592" spans="26:26" x14ac:dyDescent="0.25">
      <c r="Z14592">
        <v>399999.99999999994</v>
      </c>
    </row>
    <row r="14593" spans="26:26" x14ac:dyDescent="0.25">
      <c r="Z14593">
        <v>399999.99999999994</v>
      </c>
    </row>
    <row r="14594" spans="26:26" x14ac:dyDescent="0.25">
      <c r="Z14594">
        <v>399999.99999999994</v>
      </c>
    </row>
    <row r="14595" spans="26:26" x14ac:dyDescent="0.25">
      <c r="Z14595">
        <v>399999.99999999994</v>
      </c>
    </row>
    <row r="14596" spans="26:26" x14ac:dyDescent="0.25">
      <c r="Z14596">
        <v>399999.99999999994</v>
      </c>
    </row>
    <row r="14597" spans="26:26" x14ac:dyDescent="0.25">
      <c r="Z14597">
        <v>399999.99999999994</v>
      </c>
    </row>
    <row r="14598" spans="26:26" x14ac:dyDescent="0.25">
      <c r="Z14598">
        <v>399999.99999999994</v>
      </c>
    </row>
    <row r="14599" spans="26:26" x14ac:dyDescent="0.25">
      <c r="Z14599">
        <v>399999.99999999994</v>
      </c>
    </row>
    <row r="14600" spans="26:26" x14ac:dyDescent="0.25">
      <c r="Z14600">
        <v>399999.99999999994</v>
      </c>
    </row>
    <row r="14601" spans="26:26" x14ac:dyDescent="0.25">
      <c r="Z14601">
        <v>399999.99999999994</v>
      </c>
    </row>
    <row r="14602" spans="26:26" x14ac:dyDescent="0.25">
      <c r="Z14602">
        <v>399999.99999999994</v>
      </c>
    </row>
    <row r="14603" spans="26:26" x14ac:dyDescent="0.25">
      <c r="Z14603">
        <v>399999.99999999994</v>
      </c>
    </row>
    <row r="14604" spans="26:26" x14ac:dyDescent="0.25">
      <c r="Z14604">
        <v>399999.99999999994</v>
      </c>
    </row>
    <row r="14605" spans="26:26" x14ac:dyDescent="0.25">
      <c r="Z14605">
        <v>399999.99999999994</v>
      </c>
    </row>
    <row r="14606" spans="26:26" x14ac:dyDescent="0.25">
      <c r="Z14606">
        <v>399999.99999999994</v>
      </c>
    </row>
    <row r="14607" spans="26:26" x14ac:dyDescent="0.25">
      <c r="Z14607">
        <v>399999.99999999994</v>
      </c>
    </row>
    <row r="14608" spans="26:26" x14ac:dyDescent="0.25">
      <c r="Z14608">
        <v>399999.99999999994</v>
      </c>
    </row>
    <row r="14609" spans="26:26" x14ac:dyDescent="0.25">
      <c r="Z14609">
        <v>399999.99999999994</v>
      </c>
    </row>
    <row r="14610" spans="26:26" x14ac:dyDescent="0.25">
      <c r="Z14610">
        <v>399999.99999999994</v>
      </c>
    </row>
    <row r="14611" spans="26:26" x14ac:dyDescent="0.25">
      <c r="Z14611">
        <v>399999.99999999994</v>
      </c>
    </row>
    <row r="14612" spans="26:26" x14ac:dyDescent="0.25">
      <c r="Z14612">
        <v>399999.99999999994</v>
      </c>
    </row>
    <row r="14613" spans="26:26" x14ac:dyDescent="0.25">
      <c r="Z14613">
        <v>399999.99999999994</v>
      </c>
    </row>
    <row r="14614" spans="26:26" x14ac:dyDescent="0.25">
      <c r="Z14614">
        <v>399999.99999999994</v>
      </c>
    </row>
    <row r="14615" spans="26:26" x14ac:dyDescent="0.25">
      <c r="Z14615">
        <v>399999.99999999994</v>
      </c>
    </row>
    <row r="14616" spans="26:26" x14ac:dyDescent="0.25">
      <c r="Z14616">
        <v>399999.99999999994</v>
      </c>
    </row>
    <row r="14617" spans="26:26" x14ac:dyDescent="0.25">
      <c r="Z14617">
        <v>399999.99999999994</v>
      </c>
    </row>
    <row r="14618" spans="26:26" x14ac:dyDescent="0.25">
      <c r="Z14618">
        <v>399999.99999999994</v>
      </c>
    </row>
    <row r="14619" spans="26:26" x14ac:dyDescent="0.25">
      <c r="Z14619">
        <v>399999.99999999994</v>
      </c>
    </row>
    <row r="14620" spans="26:26" x14ac:dyDescent="0.25">
      <c r="Z14620">
        <v>399999.99999999994</v>
      </c>
    </row>
    <row r="14621" spans="26:26" x14ac:dyDescent="0.25">
      <c r="Z14621">
        <v>399999.99999999994</v>
      </c>
    </row>
    <row r="14622" spans="26:26" x14ac:dyDescent="0.25">
      <c r="Z14622">
        <v>399999.99999999994</v>
      </c>
    </row>
    <row r="14623" spans="26:26" x14ac:dyDescent="0.25">
      <c r="Z14623">
        <v>399999.99999999994</v>
      </c>
    </row>
    <row r="14624" spans="26:26" x14ac:dyDescent="0.25">
      <c r="Z14624">
        <v>399999.99999999994</v>
      </c>
    </row>
    <row r="14625" spans="26:26" x14ac:dyDescent="0.25">
      <c r="Z14625">
        <v>399999.99999999994</v>
      </c>
    </row>
    <row r="14626" spans="26:26" x14ac:dyDescent="0.25">
      <c r="Z14626">
        <v>399999.99999999994</v>
      </c>
    </row>
    <row r="14627" spans="26:26" x14ac:dyDescent="0.25">
      <c r="Z14627">
        <v>399999.99999999994</v>
      </c>
    </row>
    <row r="14628" spans="26:26" x14ac:dyDescent="0.25">
      <c r="Z14628">
        <v>399999.99999999994</v>
      </c>
    </row>
    <row r="14629" spans="26:26" x14ac:dyDescent="0.25">
      <c r="Z14629">
        <v>399999.99999999994</v>
      </c>
    </row>
    <row r="14630" spans="26:26" x14ac:dyDescent="0.25">
      <c r="Z14630">
        <v>399999.99999999994</v>
      </c>
    </row>
    <row r="14631" spans="26:26" x14ac:dyDescent="0.25">
      <c r="Z14631">
        <v>399999.99999999994</v>
      </c>
    </row>
    <row r="14632" spans="26:26" x14ac:dyDescent="0.25">
      <c r="Z14632">
        <v>399999.99999999994</v>
      </c>
    </row>
    <row r="14633" spans="26:26" x14ac:dyDescent="0.25">
      <c r="Z14633">
        <v>399999.99999999994</v>
      </c>
    </row>
    <row r="14634" spans="26:26" x14ac:dyDescent="0.25">
      <c r="Z14634">
        <v>399999.99999999994</v>
      </c>
    </row>
    <row r="14635" spans="26:26" x14ac:dyDescent="0.25">
      <c r="Z14635">
        <v>399999.99999999994</v>
      </c>
    </row>
    <row r="14636" spans="26:26" x14ac:dyDescent="0.25">
      <c r="Z14636">
        <v>399999.99999999994</v>
      </c>
    </row>
    <row r="14637" spans="26:26" x14ac:dyDescent="0.25">
      <c r="Z14637">
        <v>399999.99999999994</v>
      </c>
    </row>
    <row r="14638" spans="26:26" x14ac:dyDescent="0.25">
      <c r="Z14638">
        <v>399999.99999999994</v>
      </c>
    </row>
    <row r="14639" spans="26:26" x14ac:dyDescent="0.25">
      <c r="Z14639">
        <v>399999.99999999994</v>
      </c>
    </row>
    <row r="14640" spans="26:26" x14ac:dyDescent="0.25">
      <c r="Z14640">
        <v>399999.99999999994</v>
      </c>
    </row>
    <row r="14641" spans="26:26" x14ac:dyDescent="0.25">
      <c r="Z14641">
        <v>399999.99999999994</v>
      </c>
    </row>
    <row r="14642" spans="26:26" x14ac:dyDescent="0.25">
      <c r="Z14642">
        <v>399999.99999999994</v>
      </c>
    </row>
    <row r="14643" spans="26:26" x14ac:dyDescent="0.25">
      <c r="Z14643">
        <v>399999.99999999994</v>
      </c>
    </row>
    <row r="14644" spans="26:26" x14ac:dyDescent="0.25">
      <c r="Z14644">
        <v>399999.99999999994</v>
      </c>
    </row>
    <row r="14645" spans="26:26" x14ac:dyDescent="0.25">
      <c r="Z14645">
        <v>399999.99999999994</v>
      </c>
    </row>
    <row r="14646" spans="26:26" x14ac:dyDescent="0.25">
      <c r="Z14646">
        <v>399999.99999999994</v>
      </c>
    </row>
    <row r="14647" spans="26:26" x14ac:dyDescent="0.25">
      <c r="Z14647">
        <v>399999.99999999994</v>
      </c>
    </row>
    <row r="14648" spans="26:26" x14ac:dyDescent="0.25">
      <c r="Z14648">
        <v>399999.99999999994</v>
      </c>
    </row>
    <row r="14649" spans="26:26" x14ac:dyDescent="0.25">
      <c r="Z14649">
        <v>399999.99999999994</v>
      </c>
    </row>
    <row r="14650" spans="26:26" x14ac:dyDescent="0.25">
      <c r="Z14650">
        <v>399999.99999999994</v>
      </c>
    </row>
    <row r="14651" spans="26:26" x14ac:dyDescent="0.25">
      <c r="Z14651">
        <v>399999.99999999994</v>
      </c>
    </row>
    <row r="14652" spans="26:26" x14ac:dyDescent="0.25">
      <c r="Z14652">
        <v>399999.99999999994</v>
      </c>
    </row>
    <row r="14653" spans="26:26" x14ac:dyDescent="0.25">
      <c r="Z14653">
        <v>399999.99999999994</v>
      </c>
    </row>
    <row r="14654" spans="26:26" x14ac:dyDescent="0.25">
      <c r="Z14654">
        <v>399999.99999999994</v>
      </c>
    </row>
    <row r="14655" spans="26:26" x14ac:dyDescent="0.25">
      <c r="Z14655">
        <v>399999.99999999994</v>
      </c>
    </row>
    <row r="14656" spans="26:26" x14ac:dyDescent="0.25">
      <c r="Z14656">
        <v>399999.99999999994</v>
      </c>
    </row>
    <row r="14657" spans="26:26" x14ac:dyDescent="0.25">
      <c r="Z14657">
        <v>399999.99999999994</v>
      </c>
    </row>
    <row r="14658" spans="26:26" x14ac:dyDescent="0.25">
      <c r="Z14658">
        <v>399999.99999999994</v>
      </c>
    </row>
    <row r="14659" spans="26:26" x14ac:dyDescent="0.25">
      <c r="Z14659">
        <v>399999.99999999994</v>
      </c>
    </row>
    <row r="14660" spans="26:26" x14ac:dyDescent="0.25">
      <c r="Z14660">
        <v>399999.99999999994</v>
      </c>
    </row>
    <row r="14661" spans="26:26" x14ac:dyDescent="0.25">
      <c r="Z14661">
        <v>399999.99999999994</v>
      </c>
    </row>
    <row r="14662" spans="26:26" x14ac:dyDescent="0.25">
      <c r="Z14662">
        <v>399999.99999999994</v>
      </c>
    </row>
    <row r="14663" spans="26:26" x14ac:dyDescent="0.25">
      <c r="Z14663">
        <v>399999.99999999994</v>
      </c>
    </row>
    <row r="14664" spans="26:26" x14ac:dyDescent="0.25">
      <c r="Z14664">
        <v>399999.99999999994</v>
      </c>
    </row>
    <row r="14665" spans="26:26" x14ac:dyDescent="0.25">
      <c r="Z14665">
        <v>399999.99999999994</v>
      </c>
    </row>
    <row r="14666" spans="26:26" x14ac:dyDescent="0.25">
      <c r="Z14666">
        <v>399999.99999999994</v>
      </c>
    </row>
    <row r="14667" spans="26:26" x14ac:dyDescent="0.25">
      <c r="Z14667">
        <v>399999.99999999994</v>
      </c>
    </row>
    <row r="14668" spans="26:26" x14ac:dyDescent="0.25">
      <c r="Z14668">
        <v>399999.99999999994</v>
      </c>
    </row>
    <row r="14669" spans="26:26" x14ac:dyDescent="0.25">
      <c r="Z14669">
        <v>399999.99999999994</v>
      </c>
    </row>
    <row r="14670" spans="26:26" x14ac:dyDescent="0.25">
      <c r="Z14670">
        <v>399999.99999999994</v>
      </c>
    </row>
    <row r="14671" spans="26:26" x14ac:dyDescent="0.25">
      <c r="Z14671">
        <v>399999.99999999994</v>
      </c>
    </row>
    <row r="14672" spans="26:26" x14ac:dyDescent="0.25">
      <c r="Z14672">
        <v>399999.99999999994</v>
      </c>
    </row>
    <row r="14673" spans="26:26" x14ac:dyDescent="0.25">
      <c r="Z14673">
        <v>399999.99999999994</v>
      </c>
    </row>
    <row r="14674" spans="26:26" x14ac:dyDescent="0.25">
      <c r="Z14674">
        <v>399999.99999999994</v>
      </c>
    </row>
    <row r="14675" spans="26:26" x14ac:dyDescent="0.25">
      <c r="Z14675">
        <v>399999.99999999994</v>
      </c>
    </row>
    <row r="14676" spans="26:26" x14ac:dyDescent="0.25">
      <c r="Z14676">
        <v>399999.99999999994</v>
      </c>
    </row>
    <row r="14677" spans="26:26" x14ac:dyDescent="0.25">
      <c r="Z14677">
        <v>399999.99999999994</v>
      </c>
    </row>
    <row r="14678" spans="26:26" x14ac:dyDescent="0.25">
      <c r="Z14678">
        <v>399999.99999999994</v>
      </c>
    </row>
    <row r="14679" spans="26:26" x14ac:dyDescent="0.25">
      <c r="Z14679">
        <v>399999.99999999994</v>
      </c>
    </row>
    <row r="14680" spans="26:26" x14ac:dyDescent="0.25">
      <c r="Z14680">
        <v>399999.99999999994</v>
      </c>
    </row>
    <row r="14681" spans="26:26" x14ac:dyDescent="0.25">
      <c r="Z14681">
        <v>399999.99999999994</v>
      </c>
    </row>
    <row r="14682" spans="26:26" x14ac:dyDescent="0.25">
      <c r="Z14682">
        <v>399999.99999999994</v>
      </c>
    </row>
    <row r="14683" spans="26:26" x14ac:dyDescent="0.25">
      <c r="Z14683">
        <v>399999.99999999994</v>
      </c>
    </row>
    <row r="14684" spans="26:26" x14ac:dyDescent="0.25">
      <c r="Z14684">
        <v>399999.99999999994</v>
      </c>
    </row>
    <row r="14685" spans="26:26" x14ac:dyDescent="0.25">
      <c r="Z14685">
        <v>399999.99999999994</v>
      </c>
    </row>
    <row r="14686" spans="26:26" x14ac:dyDescent="0.25">
      <c r="Z14686">
        <v>399999.99999999994</v>
      </c>
    </row>
    <row r="14687" spans="26:26" x14ac:dyDescent="0.25">
      <c r="Z14687">
        <v>399999.99999999994</v>
      </c>
    </row>
    <row r="14688" spans="26:26" x14ac:dyDescent="0.25">
      <c r="Z14688">
        <v>399999.99999999994</v>
      </c>
    </row>
    <row r="14689" spans="26:26" x14ac:dyDescent="0.25">
      <c r="Z14689">
        <v>399999.99999999994</v>
      </c>
    </row>
    <row r="14690" spans="26:26" x14ac:dyDescent="0.25">
      <c r="Z14690">
        <v>399999.99999999994</v>
      </c>
    </row>
    <row r="14691" spans="26:26" x14ac:dyDescent="0.25">
      <c r="Z14691">
        <v>399999.99999999994</v>
      </c>
    </row>
    <row r="14692" spans="26:26" x14ac:dyDescent="0.25">
      <c r="Z14692">
        <v>399999.99999999994</v>
      </c>
    </row>
    <row r="14693" spans="26:26" x14ac:dyDescent="0.25">
      <c r="Z14693">
        <v>399999.99999999994</v>
      </c>
    </row>
    <row r="14694" spans="26:26" x14ac:dyDescent="0.25">
      <c r="Z14694">
        <v>399999.99999999994</v>
      </c>
    </row>
    <row r="14695" spans="26:26" x14ac:dyDescent="0.25">
      <c r="Z14695">
        <v>399999.99999999994</v>
      </c>
    </row>
    <row r="14696" spans="26:26" x14ac:dyDescent="0.25">
      <c r="Z14696">
        <v>399999.99999999994</v>
      </c>
    </row>
    <row r="14697" spans="26:26" x14ac:dyDescent="0.25">
      <c r="Z14697">
        <v>399999.99999999994</v>
      </c>
    </row>
    <row r="14698" spans="26:26" x14ac:dyDescent="0.25">
      <c r="Z14698">
        <v>399999.99999999994</v>
      </c>
    </row>
    <row r="14699" spans="26:26" x14ac:dyDescent="0.25">
      <c r="Z14699">
        <v>399999.99999999994</v>
      </c>
    </row>
    <row r="14700" spans="26:26" x14ac:dyDescent="0.25">
      <c r="Z14700">
        <v>399999.99999999994</v>
      </c>
    </row>
    <row r="14701" spans="26:26" x14ac:dyDescent="0.25">
      <c r="Z14701">
        <v>399999.99999999994</v>
      </c>
    </row>
    <row r="14702" spans="26:26" x14ac:dyDescent="0.25">
      <c r="Z14702">
        <v>399999.99999999994</v>
      </c>
    </row>
    <row r="14703" spans="26:26" x14ac:dyDescent="0.25">
      <c r="Z14703">
        <v>399999.99999999994</v>
      </c>
    </row>
    <row r="14704" spans="26:26" x14ac:dyDescent="0.25">
      <c r="Z14704">
        <v>399999.99999999994</v>
      </c>
    </row>
    <row r="14705" spans="26:26" x14ac:dyDescent="0.25">
      <c r="Z14705">
        <v>399999.99999999994</v>
      </c>
    </row>
    <row r="14706" spans="26:26" x14ac:dyDescent="0.25">
      <c r="Z14706">
        <v>399999.99999999994</v>
      </c>
    </row>
    <row r="14707" spans="26:26" x14ac:dyDescent="0.25">
      <c r="Z14707">
        <v>399999.99999999994</v>
      </c>
    </row>
    <row r="14708" spans="26:26" x14ac:dyDescent="0.25">
      <c r="Z14708">
        <v>399999.99999999994</v>
      </c>
    </row>
    <row r="14709" spans="26:26" x14ac:dyDescent="0.25">
      <c r="Z14709">
        <v>399999.99999999994</v>
      </c>
    </row>
    <row r="14710" spans="26:26" x14ac:dyDescent="0.25">
      <c r="Z14710">
        <v>399999.99999999994</v>
      </c>
    </row>
    <row r="14711" spans="26:26" x14ac:dyDescent="0.25">
      <c r="Z14711">
        <v>399999.99999999994</v>
      </c>
    </row>
    <row r="14712" spans="26:26" x14ac:dyDescent="0.25">
      <c r="Z14712">
        <v>399999.99999999994</v>
      </c>
    </row>
    <row r="14713" spans="26:26" x14ac:dyDescent="0.25">
      <c r="Z14713">
        <v>399999.99999999994</v>
      </c>
    </row>
    <row r="14714" spans="26:26" x14ac:dyDescent="0.25">
      <c r="Z14714">
        <v>399999.99999999994</v>
      </c>
    </row>
    <row r="14715" spans="26:26" x14ac:dyDescent="0.25">
      <c r="Z14715">
        <v>399999.99999999994</v>
      </c>
    </row>
    <row r="14716" spans="26:26" x14ac:dyDescent="0.25">
      <c r="Z14716">
        <v>399999.99999999994</v>
      </c>
    </row>
    <row r="14717" spans="26:26" x14ac:dyDescent="0.25">
      <c r="Z14717">
        <v>399999.99999999994</v>
      </c>
    </row>
    <row r="14718" spans="26:26" x14ac:dyDescent="0.25">
      <c r="Z14718">
        <v>399999.99999999994</v>
      </c>
    </row>
    <row r="14719" spans="26:26" x14ac:dyDescent="0.25">
      <c r="Z14719">
        <v>399999.99999999994</v>
      </c>
    </row>
    <row r="14720" spans="26:26" x14ac:dyDescent="0.25">
      <c r="Z14720">
        <v>399999.99999999994</v>
      </c>
    </row>
    <row r="14721" spans="26:26" x14ac:dyDescent="0.25">
      <c r="Z14721">
        <v>399999.99999999994</v>
      </c>
    </row>
    <row r="14722" spans="26:26" x14ac:dyDescent="0.25">
      <c r="Z14722">
        <v>399999.99999999994</v>
      </c>
    </row>
    <row r="14723" spans="26:26" x14ac:dyDescent="0.25">
      <c r="Z14723">
        <v>399999.99999999994</v>
      </c>
    </row>
    <row r="14724" spans="26:26" x14ac:dyDescent="0.25">
      <c r="Z14724">
        <v>399999.99999999994</v>
      </c>
    </row>
    <row r="14725" spans="26:26" x14ac:dyDescent="0.25">
      <c r="Z14725">
        <v>399999.99999999994</v>
      </c>
    </row>
    <row r="14726" spans="26:26" x14ac:dyDescent="0.25">
      <c r="Z14726">
        <v>399999.99999999994</v>
      </c>
    </row>
    <row r="14727" spans="26:26" x14ac:dyDescent="0.25">
      <c r="Z14727">
        <v>399999.99999999994</v>
      </c>
    </row>
    <row r="14728" spans="26:26" x14ac:dyDescent="0.25">
      <c r="Z14728">
        <v>399999.99999999994</v>
      </c>
    </row>
    <row r="14729" spans="26:26" x14ac:dyDescent="0.25">
      <c r="Z14729">
        <v>399999.99999999994</v>
      </c>
    </row>
    <row r="14730" spans="26:26" x14ac:dyDescent="0.25">
      <c r="Z14730">
        <v>399999.99999999994</v>
      </c>
    </row>
    <row r="14731" spans="26:26" x14ac:dyDescent="0.25">
      <c r="Z14731">
        <v>399999.99999999994</v>
      </c>
    </row>
    <row r="14732" spans="26:26" x14ac:dyDescent="0.25">
      <c r="Z14732">
        <v>399999.99999999994</v>
      </c>
    </row>
    <row r="14733" spans="26:26" x14ac:dyDescent="0.25">
      <c r="Z14733">
        <v>399999.99999999994</v>
      </c>
    </row>
    <row r="14734" spans="26:26" x14ac:dyDescent="0.25">
      <c r="Z14734">
        <v>399999.99999999994</v>
      </c>
    </row>
    <row r="14735" spans="26:26" x14ac:dyDescent="0.25">
      <c r="Z14735">
        <v>399999.99999999994</v>
      </c>
    </row>
    <row r="14736" spans="26:26" x14ac:dyDescent="0.25">
      <c r="Z14736">
        <v>399999.99999999994</v>
      </c>
    </row>
    <row r="14737" spans="26:26" x14ac:dyDescent="0.25">
      <c r="Z14737">
        <v>399999.99999999994</v>
      </c>
    </row>
    <row r="14738" spans="26:26" x14ac:dyDescent="0.25">
      <c r="Z14738">
        <v>399999.99999999994</v>
      </c>
    </row>
    <row r="14739" spans="26:26" x14ac:dyDescent="0.25">
      <c r="Z14739">
        <v>399999.99999999994</v>
      </c>
    </row>
    <row r="14740" spans="26:26" x14ac:dyDescent="0.25">
      <c r="Z14740">
        <v>399999.99999999994</v>
      </c>
    </row>
    <row r="14741" spans="26:26" x14ac:dyDescent="0.25">
      <c r="Z14741">
        <v>399999.99999999994</v>
      </c>
    </row>
    <row r="14742" spans="26:26" x14ac:dyDescent="0.25">
      <c r="Z14742">
        <v>399999.99999999994</v>
      </c>
    </row>
    <row r="14743" spans="26:26" x14ac:dyDescent="0.25">
      <c r="Z14743">
        <v>399999.99999999994</v>
      </c>
    </row>
    <row r="14744" spans="26:26" x14ac:dyDescent="0.25">
      <c r="Z14744">
        <v>399999.99999999994</v>
      </c>
    </row>
    <row r="14745" spans="26:26" x14ac:dyDescent="0.25">
      <c r="Z14745">
        <v>399999.99999999994</v>
      </c>
    </row>
    <row r="14746" spans="26:26" x14ac:dyDescent="0.25">
      <c r="Z14746">
        <v>399999.99999999994</v>
      </c>
    </row>
    <row r="14747" spans="26:26" x14ac:dyDescent="0.25">
      <c r="Z14747">
        <v>399999.99999999994</v>
      </c>
    </row>
    <row r="14748" spans="26:26" x14ac:dyDescent="0.25">
      <c r="Z14748">
        <v>399999.99999999994</v>
      </c>
    </row>
    <row r="14749" spans="26:26" x14ac:dyDescent="0.25">
      <c r="Z14749">
        <v>399999.99999999994</v>
      </c>
    </row>
    <row r="14750" spans="26:26" x14ac:dyDescent="0.25">
      <c r="Z14750">
        <v>399999.99999999994</v>
      </c>
    </row>
    <row r="14751" spans="26:26" x14ac:dyDescent="0.25">
      <c r="Z14751">
        <v>399999.99999999994</v>
      </c>
    </row>
    <row r="14752" spans="26:26" x14ac:dyDescent="0.25">
      <c r="Z14752">
        <v>399999.99999999994</v>
      </c>
    </row>
    <row r="14753" spans="26:26" x14ac:dyDescent="0.25">
      <c r="Z14753">
        <v>399999.99999999994</v>
      </c>
    </row>
    <row r="14754" spans="26:26" x14ac:dyDescent="0.25">
      <c r="Z14754">
        <v>399999.99999999994</v>
      </c>
    </row>
    <row r="14755" spans="26:26" x14ac:dyDescent="0.25">
      <c r="Z14755">
        <v>399999.99999999994</v>
      </c>
    </row>
    <row r="14756" spans="26:26" x14ac:dyDescent="0.25">
      <c r="Z14756">
        <v>399999.99999999994</v>
      </c>
    </row>
    <row r="14757" spans="26:26" x14ac:dyDescent="0.25">
      <c r="Z14757">
        <v>399999.99999999994</v>
      </c>
    </row>
    <row r="14758" spans="26:26" x14ac:dyDescent="0.25">
      <c r="Z14758">
        <v>399999.99999999994</v>
      </c>
    </row>
    <row r="14759" spans="26:26" x14ac:dyDescent="0.25">
      <c r="Z14759">
        <v>399999.99999999994</v>
      </c>
    </row>
    <row r="14760" spans="26:26" x14ac:dyDescent="0.25">
      <c r="Z14760">
        <v>399999.99999999994</v>
      </c>
    </row>
    <row r="14761" spans="26:26" x14ac:dyDescent="0.25">
      <c r="Z14761">
        <v>399999.99999999994</v>
      </c>
    </row>
    <row r="14762" spans="26:26" x14ac:dyDescent="0.25">
      <c r="Z14762">
        <v>399999.99999999994</v>
      </c>
    </row>
    <row r="14763" spans="26:26" x14ac:dyDescent="0.25">
      <c r="Z14763">
        <v>399999.99999999994</v>
      </c>
    </row>
    <row r="14764" spans="26:26" x14ac:dyDescent="0.25">
      <c r="Z14764">
        <v>399999.99999999994</v>
      </c>
    </row>
    <row r="14765" spans="26:26" x14ac:dyDescent="0.25">
      <c r="Z14765">
        <v>399999.99999999994</v>
      </c>
    </row>
    <row r="14766" spans="26:26" x14ac:dyDescent="0.25">
      <c r="Z14766">
        <v>399999.99999999994</v>
      </c>
    </row>
    <row r="14767" spans="26:26" x14ac:dyDescent="0.25">
      <c r="Z14767">
        <v>399999.99999999994</v>
      </c>
    </row>
    <row r="14768" spans="26:26" x14ac:dyDescent="0.25">
      <c r="Z14768">
        <v>399999.99999999994</v>
      </c>
    </row>
    <row r="14769" spans="26:26" x14ac:dyDescent="0.25">
      <c r="Z14769">
        <v>399999.99999999994</v>
      </c>
    </row>
    <row r="14770" spans="26:26" x14ac:dyDescent="0.25">
      <c r="Z14770">
        <v>399999.99999999994</v>
      </c>
    </row>
    <row r="14771" spans="26:26" x14ac:dyDescent="0.25">
      <c r="Z14771">
        <v>399999.99999999994</v>
      </c>
    </row>
    <row r="14772" spans="26:26" x14ac:dyDescent="0.25">
      <c r="Z14772">
        <v>399999.99999999994</v>
      </c>
    </row>
    <row r="14773" spans="26:26" x14ac:dyDescent="0.25">
      <c r="Z14773">
        <v>399999.99999999994</v>
      </c>
    </row>
    <row r="14774" spans="26:26" x14ac:dyDescent="0.25">
      <c r="Z14774">
        <v>399999.99999999994</v>
      </c>
    </row>
    <row r="14775" spans="26:26" x14ac:dyDescent="0.25">
      <c r="Z14775">
        <v>399999.99999999994</v>
      </c>
    </row>
    <row r="14776" spans="26:26" x14ac:dyDescent="0.25">
      <c r="Z14776">
        <v>399999.99999999994</v>
      </c>
    </row>
    <row r="14777" spans="26:26" x14ac:dyDescent="0.25">
      <c r="Z14777">
        <v>399999.99999999994</v>
      </c>
    </row>
    <row r="14778" spans="26:26" x14ac:dyDescent="0.25">
      <c r="Z14778">
        <v>399999.99999999994</v>
      </c>
    </row>
    <row r="14779" spans="26:26" x14ac:dyDescent="0.25">
      <c r="Z14779">
        <v>399999.99999999994</v>
      </c>
    </row>
    <row r="14780" spans="26:26" x14ac:dyDescent="0.25">
      <c r="Z14780">
        <v>399999.99999999994</v>
      </c>
    </row>
    <row r="14781" spans="26:26" x14ac:dyDescent="0.25">
      <c r="Z14781">
        <v>399999.99999999994</v>
      </c>
    </row>
    <row r="14782" spans="26:26" x14ac:dyDescent="0.25">
      <c r="Z14782">
        <v>399999.99999999994</v>
      </c>
    </row>
    <row r="14783" spans="26:26" x14ac:dyDescent="0.25">
      <c r="Z14783">
        <v>399999.99999999994</v>
      </c>
    </row>
    <row r="14784" spans="26:26" x14ac:dyDescent="0.25">
      <c r="Z14784">
        <v>399999.99999999994</v>
      </c>
    </row>
    <row r="14785" spans="26:26" x14ac:dyDescent="0.25">
      <c r="Z14785">
        <v>399999.99999999994</v>
      </c>
    </row>
    <row r="14786" spans="26:26" x14ac:dyDescent="0.25">
      <c r="Z14786">
        <v>399999.99999999994</v>
      </c>
    </row>
    <row r="14787" spans="26:26" x14ac:dyDescent="0.25">
      <c r="Z14787">
        <v>399999.99999999994</v>
      </c>
    </row>
    <row r="14788" spans="26:26" x14ac:dyDescent="0.25">
      <c r="Z14788">
        <v>399999.99999999994</v>
      </c>
    </row>
    <row r="14789" spans="26:26" x14ac:dyDescent="0.25">
      <c r="Z14789">
        <v>399999.99999999994</v>
      </c>
    </row>
    <row r="14790" spans="26:26" x14ac:dyDescent="0.25">
      <c r="Z14790">
        <v>399999.99999999994</v>
      </c>
    </row>
    <row r="14791" spans="26:26" x14ac:dyDescent="0.25">
      <c r="Z14791">
        <v>399999.99999999994</v>
      </c>
    </row>
    <row r="14792" spans="26:26" x14ac:dyDescent="0.25">
      <c r="Z14792">
        <v>399999.99999999994</v>
      </c>
    </row>
    <row r="14793" spans="26:26" x14ac:dyDescent="0.25">
      <c r="Z14793">
        <v>399999.99999999994</v>
      </c>
    </row>
    <row r="14794" spans="26:26" x14ac:dyDescent="0.25">
      <c r="Z14794">
        <v>399999.99999999994</v>
      </c>
    </row>
    <row r="14795" spans="26:26" x14ac:dyDescent="0.25">
      <c r="Z14795">
        <v>399999.99999999994</v>
      </c>
    </row>
    <row r="14796" spans="26:26" x14ac:dyDescent="0.25">
      <c r="Z14796">
        <v>399999.99999999994</v>
      </c>
    </row>
    <row r="14797" spans="26:26" x14ac:dyDescent="0.25">
      <c r="Z14797">
        <v>399999.99999999994</v>
      </c>
    </row>
    <row r="14798" spans="26:26" x14ac:dyDescent="0.25">
      <c r="Z14798">
        <v>399999.99999999994</v>
      </c>
    </row>
    <row r="14799" spans="26:26" x14ac:dyDescent="0.25">
      <c r="Z14799">
        <v>399999.99999999994</v>
      </c>
    </row>
    <row r="14800" spans="26:26" x14ac:dyDescent="0.25">
      <c r="Z14800">
        <v>399999.99999999994</v>
      </c>
    </row>
    <row r="14801" spans="26:26" x14ac:dyDescent="0.25">
      <c r="Z14801">
        <v>399999.99999999994</v>
      </c>
    </row>
    <row r="14802" spans="26:26" x14ac:dyDescent="0.25">
      <c r="Z14802">
        <v>399999.99999999994</v>
      </c>
    </row>
    <row r="14803" spans="26:26" x14ac:dyDescent="0.25">
      <c r="Z14803">
        <v>399999.99999999994</v>
      </c>
    </row>
    <row r="14804" spans="26:26" x14ac:dyDescent="0.25">
      <c r="Z14804">
        <v>399999.99999999994</v>
      </c>
    </row>
    <row r="14805" spans="26:26" x14ac:dyDescent="0.25">
      <c r="Z14805">
        <v>399999.99999999994</v>
      </c>
    </row>
    <row r="14806" spans="26:26" x14ac:dyDescent="0.25">
      <c r="Z14806">
        <v>399999.99999999994</v>
      </c>
    </row>
    <row r="14807" spans="26:26" x14ac:dyDescent="0.25">
      <c r="Z14807">
        <v>399999.99999999994</v>
      </c>
    </row>
    <row r="14808" spans="26:26" x14ac:dyDescent="0.25">
      <c r="Z14808">
        <v>399999.99999999994</v>
      </c>
    </row>
    <row r="14809" spans="26:26" x14ac:dyDescent="0.25">
      <c r="Z14809">
        <v>399999.99999999994</v>
      </c>
    </row>
    <row r="14810" spans="26:26" x14ac:dyDescent="0.25">
      <c r="Z14810">
        <v>399999.99999999994</v>
      </c>
    </row>
    <row r="14811" spans="26:26" x14ac:dyDescent="0.25">
      <c r="Z14811">
        <v>399999.99999999994</v>
      </c>
    </row>
    <row r="14812" spans="26:26" x14ac:dyDescent="0.25">
      <c r="Z14812">
        <v>399999.99999999994</v>
      </c>
    </row>
    <row r="14813" spans="26:26" x14ac:dyDescent="0.25">
      <c r="Z14813">
        <v>399999.99999999994</v>
      </c>
    </row>
    <row r="14814" spans="26:26" x14ac:dyDescent="0.25">
      <c r="Z14814">
        <v>399999.99999999994</v>
      </c>
    </row>
    <row r="14815" spans="26:26" x14ac:dyDescent="0.25">
      <c r="Z14815">
        <v>399999.99999999994</v>
      </c>
    </row>
    <row r="14816" spans="26:26" x14ac:dyDescent="0.25">
      <c r="Z14816">
        <v>399999.99999999994</v>
      </c>
    </row>
    <row r="14817" spans="26:26" x14ac:dyDescent="0.25">
      <c r="Z14817">
        <v>399999.99999999994</v>
      </c>
    </row>
    <row r="14818" spans="26:26" x14ac:dyDescent="0.25">
      <c r="Z14818">
        <v>399999.99999999994</v>
      </c>
    </row>
    <row r="14819" spans="26:26" x14ac:dyDescent="0.25">
      <c r="Z14819">
        <v>399999.99999999994</v>
      </c>
    </row>
    <row r="14820" spans="26:26" x14ac:dyDescent="0.25">
      <c r="Z14820">
        <v>399999.99999999994</v>
      </c>
    </row>
    <row r="14821" spans="26:26" x14ac:dyDescent="0.25">
      <c r="Z14821">
        <v>399999.99999999994</v>
      </c>
    </row>
    <row r="14822" spans="26:26" x14ac:dyDescent="0.25">
      <c r="Z14822">
        <v>399999.99999999994</v>
      </c>
    </row>
    <row r="14823" spans="26:26" x14ac:dyDescent="0.25">
      <c r="Z14823">
        <v>399999.99999999994</v>
      </c>
    </row>
    <row r="14824" spans="26:26" x14ac:dyDescent="0.25">
      <c r="Z14824">
        <v>399999.99999999994</v>
      </c>
    </row>
    <row r="14825" spans="26:26" x14ac:dyDescent="0.25">
      <c r="Z14825">
        <v>399999.99999999994</v>
      </c>
    </row>
    <row r="14826" spans="26:26" x14ac:dyDescent="0.25">
      <c r="Z14826">
        <v>399999.99999999994</v>
      </c>
    </row>
    <row r="14827" spans="26:26" x14ac:dyDescent="0.25">
      <c r="Z14827">
        <v>399999.99999999994</v>
      </c>
    </row>
    <row r="14828" spans="26:26" x14ac:dyDescent="0.25">
      <c r="Z14828">
        <v>399999.99999999994</v>
      </c>
    </row>
    <row r="14829" spans="26:26" x14ac:dyDescent="0.25">
      <c r="Z14829">
        <v>399999.99999999994</v>
      </c>
    </row>
    <row r="14830" spans="26:26" x14ac:dyDescent="0.25">
      <c r="Z14830">
        <v>399999.99999999994</v>
      </c>
    </row>
    <row r="14831" spans="26:26" x14ac:dyDescent="0.25">
      <c r="Z14831">
        <v>399999.99999999994</v>
      </c>
    </row>
    <row r="14832" spans="26:26" x14ac:dyDescent="0.25">
      <c r="Z14832">
        <v>399999.99999999994</v>
      </c>
    </row>
    <row r="14833" spans="26:26" x14ac:dyDescent="0.25">
      <c r="Z14833">
        <v>399999.99999999994</v>
      </c>
    </row>
    <row r="14834" spans="26:26" x14ac:dyDescent="0.25">
      <c r="Z14834">
        <v>399999.99999999994</v>
      </c>
    </row>
    <row r="14835" spans="26:26" x14ac:dyDescent="0.25">
      <c r="Z14835">
        <v>399999.99999999994</v>
      </c>
    </row>
    <row r="14836" spans="26:26" x14ac:dyDescent="0.25">
      <c r="Z14836">
        <v>399999.99999999994</v>
      </c>
    </row>
    <row r="14837" spans="26:26" x14ac:dyDescent="0.25">
      <c r="Z14837">
        <v>399999.99999999994</v>
      </c>
    </row>
    <row r="14838" spans="26:26" x14ac:dyDescent="0.25">
      <c r="Z14838">
        <v>399999.99999999994</v>
      </c>
    </row>
    <row r="14839" spans="26:26" x14ac:dyDescent="0.25">
      <c r="Z14839">
        <v>399999.99999999994</v>
      </c>
    </row>
    <row r="14840" spans="26:26" x14ac:dyDescent="0.25">
      <c r="Z14840">
        <v>399999.99999999994</v>
      </c>
    </row>
    <row r="14841" spans="26:26" x14ac:dyDescent="0.25">
      <c r="Z14841">
        <v>399999.99999999994</v>
      </c>
    </row>
    <row r="14842" spans="26:26" x14ac:dyDescent="0.25">
      <c r="Z14842">
        <v>399999.99999999994</v>
      </c>
    </row>
    <row r="14843" spans="26:26" x14ac:dyDescent="0.25">
      <c r="Z14843">
        <v>399999.99999999994</v>
      </c>
    </row>
    <row r="14844" spans="26:26" x14ac:dyDescent="0.25">
      <c r="Z14844">
        <v>399999.99999999994</v>
      </c>
    </row>
    <row r="14845" spans="26:26" x14ac:dyDescent="0.25">
      <c r="Z14845">
        <v>399999.99999999994</v>
      </c>
    </row>
    <row r="14846" spans="26:26" x14ac:dyDescent="0.25">
      <c r="Z14846">
        <v>399999.99999999994</v>
      </c>
    </row>
    <row r="14847" spans="26:26" x14ac:dyDescent="0.25">
      <c r="Z14847">
        <v>399999.99999999994</v>
      </c>
    </row>
    <row r="14848" spans="26:26" x14ac:dyDescent="0.25">
      <c r="Z14848">
        <v>399999.99999999994</v>
      </c>
    </row>
    <row r="14849" spans="26:26" x14ac:dyDescent="0.25">
      <c r="Z14849">
        <v>399999.99999999994</v>
      </c>
    </row>
    <row r="14850" spans="26:26" x14ac:dyDescent="0.25">
      <c r="Z14850">
        <v>399999.99999999994</v>
      </c>
    </row>
    <row r="14851" spans="26:26" x14ac:dyDescent="0.25">
      <c r="Z14851">
        <v>399999.99999999994</v>
      </c>
    </row>
    <row r="14852" spans="26:26" x14ac:dyDescent="0.25">
      <c r="Z14852">
        <v>399999.99999999994</v>
      </c>
    </row>
    <row r="14853" spans="26:26" x14ac:dyDescent="0.25">
      <c r="Z14853">
        <v>399999.99999999994</v>
      </c>
    </row>
    <row r="14854" spans="26:26" x14ac:dyDescent="0.25">
      <c r="Z14854">
        <v>399999.99999999994</v>
      </c>
    </row>
    <row r="14855" spans="26:26" x14ac:dyDescent="0.25">
      <c r="Z14855">
        <v>399999.99999999994</v>
      </c>
    </row>
    <row r="14856" spans="26:26" x14ac:dyDescent="0.25">
      <c r="Z14856">
        <v>399999.99999999994</v>
      </c>
    </row>
    <row r="14857" spans="26:26" x14ac:dyDescent="0.25">
      <c r="Z14857">
        <v>399999.99999999994</v>
      </c>
    </row>
    <row r="14858" spans="26:26" x14ac:dyDescent="0.25">
      <c r="Z14858">
        <v>399999.99999999994</v>
      </c>
    </row>
    <row r="14859" spans="26:26" x14ac:dyDescent="0.25">
      <c r="Z14859">
        <v>399999.99999999994</v>
      </c>
    </row>
    <row r="14860" spans="26:26" x14ac:dyDescent="0.25">
      <c r="Z14860">
        <v>399999.99999999994</v>
      </c>
    </row>
    <row r="14861" spans="26:26" x14ac:dyDescent="0.25">
      <c r="Z14861">
        <v>399999.99999999994</v>
      </c>
    </row>
    <row r="14862" spans="26:26" x14ac:dyDescent="0.25">
      <c r="Z14862">
        <v>399999.99999999994</v>
      </c>
    </row>
    <row r="14863" spans="26:26" x14ac:dyDescent="0.25">
      <c r="Z14863">
        <v>399999.99999999994</v>
      </c>
    </row>
    <row r="14864" spans="26:26" x14ac:dyDescent="0.25">
      <c r="Z14864">
        <v>399999.99999999994</v>
      </c>
    </row>
    <row r="14865" spans="26:26" x14ac:dyDescent="0.25">
      <c r="Z14865">
        <v>399999.99999999994</v>
      </c>
    </row>
    <row r="14866" spans="26:26" x14ac:dyDescent="0.25">
      <c r="Z14866">
        <v>399999.99999999994</v>
      </c>
    </row>
    <row r="14867" spans="26:26" x14ac:dyDescent="0.25">
      <c r="Z14867">
        <v>399999.99999999994</v>
      </c>
    </row>
    <row r="14868" spans="26:26" x14ac:dyDescent="0.25">
      <c r="Z14868">
        <v>399999.99999999994</v>
      </c>
    </row>
    <row r="14869" spans="26:26" x14ac:dyDescent="0.25">
      <c r="Z14869">
        <v>399999.99999999994</v>
      </c>
    </row>
    <row r="14870" spans="26:26" x14ac:dyDescent="0.25">
      <c r="Z14870">
        <v>399999.99999999994</v>
      </c>
    </row>
    <row r="14871" spans="26:26" x14ac:dyDescent="0.25">
      <c r="Z14871">
        <v>399999.99999999994</v>
      </c>
    </row>
    <row r="14872" spans="26:26" x14ac:dyDescent="0.25">
      <c r="Z14872">
        <v>399999.99999999994</v>
      </c>
    </row>
    <row r="14873" spans="26:26" x14ac:dyDescent="0.25">
      <c r="Z14873">
        <v>399999.99999999994</v>
      </c>
    </row>
    <row r="14874" spans="26:26" x14ac:dyDescent="0.25">
      <c r="Z14874">
        <v>399999.99999999994</v>
      </c>
    </row>
    <row r="14875" spans="26:26" x14ac:dyDescent="0.25">
      <c r="Z14875">
        <v>399999.99999999994</v>
      </c>
    </row>
    <row r="14876" spans="26:26" x14ac:dyDescent="0.25">
      <c r="Z14876">
        <v>399999.99999999994</v>
      </c>
    </row>
    <row r="14877" spans="26:26" x14ac:dyDescent="0.25">
      <c r="Z14877">
        <v>399999.99999999994</v>
      </c>
    </row>
    <row r="14878" spans="26:26" x14ac:dyDescent="0.25">
      <c r="Z14878">
        <v>399999.99999999994</v>
      </c>
    </row>
    <row r="14879" spans="26:26" x14ac:dyDescent="0.25">
      <c r="Z14879">
        <v>399999.99999999994</v>
      </c>
    </row>
    <row r="14880" spans="26:26" x14ac:dyDescent="0.25">
      <c r="Z14880">
        <v>399999.99999999994</v>
      </c>
    </row>
    <row r="14881" spans="26:26" x14ac:dyDescent="0.25">
      <c r="Z14881">
        <v>399999.99999999994</v>
      </c>
    </row>
    <row r="14882" spans="26:26" x14ac:dyDescent="0.25">
      <c r="Z14882">
        <v>399999.99999999994</v>
      </c>
    </row>
    <row r="14883" spans="26:26" x14ac:dyDescent="0.25">
      <c r="Z14883">
        <v>399999.99999999994</v>
      </c>
    </row>
    <row r="14884" spans="26:26" x14ac:dyDescent="0.25">
      <c r="Z14884">
        <v>399999.99999999994</v>
      </c>
    </row>
    <row r="14885" spans="26:26" x14ac:dyDescent="0.25">
      <c r="Z14885">
        <v>399999.99999999994</v>
      </c>
    </row>
    <row r="14886" spans="26:26" x14ac:dyDescent="0.25">
      <c r="Z14886">
        <v>399999.99999999994</v>
      </c>
    </row>
    <row r="14887" spans="26:26" x14ac:dyDescent="0.25">
      <c r="Z14887">
        <v>399999.99999999994</v>
      </c>
    </row>
    <row r="14888" spans="26:26" x14ac:dyDescent="0.25">
      <c r="Z14888">
        <v>399999.99999999994</v>
      </c>
    </row>
    <row r="14889" spans="26:26" x14ac:dyDescent="0.25">
      <c r="Z14889">
        <v>399999.99999999994</v>
      </c>
    </row>
    <row r="14890" spans="26:26" x14ac:dyDescent="0.25">
      <c r="Z14890">
        <v>399999.99999999994</v>
      </c>
    </row>
    <row r="14891" spans="26:26" x14ac:dyDescent="0.25">
      <c r="Z14891">
        <v>399999.99999999994</v>
      </c>
    </row>
    <row r="14892" spans="26:26" x14ac:dyDescent="0.25">
      <c r="Z14892">
        <v>399999.99999999994</v>
      </c>
    </row>
    <row r="14893" spans="26:26" x14ac:dyDescent="0.25">
      <c r="Z14893">
        <v>399999.99999999994</v>
      </c>
    </row>
    <row r="14894" spans="26:26" x14ac:dyDescent="0.25">
      <c r="Z14894">
        <v>399999.99999999994</v>
      </c>
    </row>
    <row r="14895" spans="26:26" x14ac:dyDescent="0.25">
      <c r="Z14895">
        <v>399999.99999999994</v>
      </c>
    </row>
    <row r="14896" spans="26:26" x14ac:dyDescent="0.25">
      <c r="Z14896">
        <v>399999.99999999994</v>
      </c>
    </row>
    <row r="14897" spans="26:26" x14ac:dyDescent="0.25">
      <c r="Z14897">
        <v>399999.99999999994</v>
      </c>
    </row>
    <row r="14898" spans="26:26" x14ac:dyDescent="0.25">
      <c r="Z14898">
        <v>399999.99999999994</v>
      </c>
    </row>
    <row r="14899" spans="26:26" x14ac:dyDescent="0.25">
      <c r="Z14899">
        <v>399999.99999999994</v>
      </c>
    </row>
    <row r="14900" spans="26:26" x14ac:dyDescent="0.25">
      <c r="Z14900">
        <v>399999.99999999994</v>
      </c>
    </row>
    <row r="14901" spans="26:26" x14ac:dyDescent="0.25">
      <c r="Z14901">
        <v>399999.99999999994</v>
      </c>
    </row>
    <row r="14902" spans="26:26" x14ac:dyDescent="0.25">
      <c r="Z14902">
        <v>399999.99999999994</v>
      </c>
    </row>
    <row r="14903" spans="26:26" x14ac:dyDescent="0.25">
      <c r="Z14903">
        <v>399999.99999999994</v>
      </c>
    </row>
    <row r="14904" spans="26:26" x14ac:dyDescent="0.25">
      <c r="Z14904">
        <v>399999.99999999994</v>
      </c>
    </row>
    <row r="14905" spans="26:26" x14ac:dyDescent="0.25">
      <c r="Z14905">
        <v>399999.99999999994</v>
      </c>
    </row>
    <row r="14906" spans="26:26" x14ac:dyDescent="0.25">
      <c r="Z14906">
        <v>399999.99999999994</v>
      </c>
    </row>
    <row r="14907" spans="26:26" x14ac:dyDescent="0.25">
      <c r="Z14907">
        <v>399999.99999999994</v>
      </c>
    </row>
    <row r="14908" spans="26:26" x14ac:dyDescent="0.25">
      <c r="Z14908">
        <v>399999.99999999994</v>
      </c>
    </row>
    <row r="14909" spans="26:26" x14ac:dyDescent="0.25">
      <c r="Z14909">
        <v>399999.99999999994</v>
      </c>
    </row>
    <row r="14910" spans="26:26" x14ac:dyDescent="0.25">
      <c r="Z14910">
        <v>399999.99999999994</v>
      </c>
    </row>
    <row r="14911" spans="26:26" x14ac:dyDescent="0.25">
      <c r="Z14911">
        <v>399999.99999999994</v>
      </c>
    </row>
    <row r="14912" spans="26:26" x14ac:dyDescent="0.25">
      <c r="Z14912">
        <v>399999.99999999994</v>
      </c>
    </row>
    <row r="14913" spans="26:26" x14ac:dyDescent="0.25">
      <c r="Z14913">
        <v>399999.99999999994</v>
      </c>
    </row>
    <row r="14914" spans="26:26" x14ac:dyDescent="0.25">
      <c r="Z14914">
        <v>399999.99999999994</v>
      </c>
    </row>
    <row r="14915" spans="26:26" x14ac:dyDescent="0.25">
      <c r="Z14915">
        <v>399999.99999999994</v>
      </c>
    </row>
    <row r="14916" spans="26:26" x14ac:dyDescent="0.25">
      <c r="Z14916">
        <v>399999.99999999994</v>
      </c>
    </row>
    <row r="14917" spans="26:26" x14ac:dyDescent="0.25">
      <c r="Z14917">
        <v>399999.99999999994</v>
      </c>
    </row>
    <row r="14918" spans="26:26" x14ac:dyDescent="0.25">
      <c r="Z14918">
        <v>399999.99999999994</v>
      </c>
    </row>
    <row r="14919" spans="26:26" x14ac:dyDescent="0.25">
      <c r="Z14919">
        <v>399999.99999999994</v>
      </c>
    </row>
    <row r="14920" spans="26:26" x14ac:dyDescent="0.25">
      <c r="Z14920">
        <v>399999.99999999994</v>
      </c>
    </row>
    <row r="14921" spans="26:26" x14ac:dyDescent="0.25">
      <c r="Z14921">
        <v>399999.99999999994</v>
      </c>
    </row>
    <row r="14922" spans="26:26" x14ac:dyDescent="0.25">
      <c r="Z14922">
        <v>399999.99999999994</v>
      </c>
    </row>
    <row r="14923" spans="26:26" x14ac:dyDescent="0.25">
      <c r="Z14923">
        <v>399999.99999999994</v>
      </c>
    </row>
    <row r="14924" spans="26:26" x14ac:dyDescent="0.25">
      <c r="Z14924">
        <v>399999.99999999994</v>
      </c>
    </row>
    <row r="14925" spans="26:26" x14ac:dyDescent="0.25">
      <c r="Z14925">
        <v>399999.99999999994</v>
      </c>
    </row>
    <row r="14926" spans="26:26" x14ac:dyDescent="0.25">
      <c r="Z14926">
        <v>399999.99999999994</v>
      </c>
    </row>
    <row r="14927" spans="26:26" x14ac:dyDescent="0.25">
      <c r="Z14927">
        <v>399999.99999999994</v>
      </c>
    </row>
    <row r="14928" spans="26:26" x14ac:dyDescent="0.25">
      <c r="Z14928">
        <v>399999.99999999994</v>
      </c>
    </row>
    <row r="14929" spans="26:26" x14ac:dyDescent="0.25">
      <c r="Z14929">
        <v>399999.99999999994</v>
      </c>
    </row>
    <row r="14930" spans="26:26" x14ac:dyDescent="0.25">
      <c r="Z14930">
        <v>399999.99999999994</v>
      </c>
    </row>
    <row r="14931" spans="26:26" x14ac:dyDescent="0.25">
      <c r="Z14931">
        <v>399999.99999999994</v>
      </c>
    </row>
    <row r="14932" spans="26:26" x14ac:dyDescent="0.25">
      <c r="Z14932">
        <v>399999.99999999994</v>
      </c>
    </row>
    <row r="14933" spans="26:26" x14ac:dyDescent="0.25">
      <c r="Z14933">
        <v>399999.99999999994</v>
      </c>
    </row>
    <row r="14934" spans="26:26" x14ac:dyDescent="0.25">
      <c r="Z14934">
        <v>399999.99999999994</v>
      </c>
    </row>
    <row r="14935" spans="26:26" x14ac:dyDescent="0.25">
      <c r="Z14935">
        <v>399999.99999999994</v>
      </c>
    </row>
    <row r="14936" spans="26:26" x14ac:dyDescent="0.25">
      <c r="Z14936">
        <v>399999.99999999994</v>
      </c>
    </row>
    <row r="14937" spans="26:26" x14ac:dyDescent="0.25">
      <c r="Z14937">
        <v>399999.99999999994</v>
      </c>
    </row>
    <row r="14938" spans="26:26" x14ac:dyDescent="0.25">
      <c r="Z14938">
        <v>399999.99999999994</v>
      </c>
    </row>
    <row r="14939" spans="26:26" x14ac:dyDescent="0.25">
      <c r="Z14939">
        <v>399999.99999999994</v>
      </c>
    </row>
    <row r="14940" spans="26:26" x14ac:dyDescent="0.25">
      <c r="Z14940">
        <v>399999.99999999994</v>
      </c>
    </row>
    <row r="14941" spans="26:26" x14ac:dyDescent="0.25">
      <c r="Z14941">
        <v>399999.99999999994</v>
      </c>
    </row>
    <row r="14942" spans="26:26" x14ac:dyDescent="0.25">
      <c r="Z14942">
        <v>399999.99999999994</v>
      </c>
    </row>
    <row r="14943" spans="26:26" x14ac:dyDescent="0.25">
      <c r="Z14943">
        <v>399999.99999999994</v>
      </c>
    </row>
    <row r="14944" spans="26:26" x14ac:dyDescent="0.25">
      <c r="Z14944">
        <v>399999.99999999994</v>
      </c>
    </row>
    <row r="14945" spans="26:26" x14ac:dyDescent="0.25">
      <c r="Z14945">
        <v>399999.99999999994</v>
      </c>
    </row>
    <row r="14946" spans="26:26" x14ac:dyDescent="0.25">
      <c r="Z14946">
        <v>399999.99999999994</v>
      </c>
    </row>
    <row r="14947" spans="26:26" x14ac:dyDescent="0.25">
      <c r="Z14947">
        <v>399999.99999999994</v>
      </c>
    </row>
    <row r="14948" spans="26:26" x14ac:dyDescent="0.25">
      <c r="Z14948">
        <v>399999.99999999994</v>
      </c>
    </row>
    <row r="14949" spans="26:26" x14ac:dyDescent="0.25">
      <c r="Z14949">
        <v>399999.99999999994</v>
      </c>
    </row>
    <row r="14950" spans="26:26" x14ac:dyDescent="0.25">
      <c r="Z14950">
        <v>399999.99999999994</v>
      </c>
    </row>
    <row r="14951" spans="26:26" x14ac:dyDescent="0.25">
      <c r="Z14951">
        <v>399999.99999999994</v>
      </c>
    </row>
    <row r="14952" spans="26:26" x14ac:dyDescent="0.25">
      <c r="Z14952">
        <v>399999.99999999994</v>
      </c>
    </row>
    <row r="14953" spans="26:26" x14ac:dyDescent="0.25">
      <c r="Z14953">
        <v>399999.99999999994</v>
      </c>
    </row>
    <row r="14954" spans="26:26" x14ac:dyDescent="0.25">
      <c r="Z14954">
        <v>399999.99999999994</v>
      </c>
    </row>
    <row r="14955" spans="26:26" x14ac:dyDescent="0.25">
      <c r="Z14955">
        <v>399999.99999999994</v>
      </c>
    </row>
    <row r="14956" spans="26:26" x14ac:dyDescent="0.25">
      <c r="Z14956">
        <v>399999.99999999994</v>
      </c>
    </row>
    <row r="14957" spans="26:26" x14ac:dyDescent="0.25">
      <c r="Z14957">
        <v>399999.99999999994</v>
      </c>
    </row>
    <row r="14958" spans="26:26" x14ac:dyDescent="0.25">
      <c r="Z14958">
        <v>399999.99999999994</v>
      </c>
    </row>
    <row r="14959" spans="26:26" x14ac:dyDescent="0.25">
      <c r="Z14959">
        <v>399999.99999999994</v>
      </c>
    </row>
    <row r="14960" spans="26:26" x14ac:dyDescent="0.25">
      <c r="Z14960">
        <v>399999.99999999994</v>
      </c>
    </row>
    <row r="14961" spans="26:26" x14ac:dyDescent="0.25">
      <c r="Z14961">
        <v>399999.99999999994</v>
      </c>
    </row>
    <row r="14962" spans="26:26" x14ac:dyDescent="0.25">
      <c r="Z14962">
        <v>399999.99999999994</v>
      </c>
    </row>
    <row r="14963" spans="26:26" x14ac:dyDescent="0.25">
      <c r="Z14963">
        <v>399999.99999999994</v>
      </c>
    </row>
    <row r="14964" spans="26:26" x14ac:dyDescent="0.25">
      <c r="Z14964">
        <v>399999.99999999994</v>
      </c>
    </row>
    <row r="14965" spans="26:26" x14ac:dyDescent="0.25">
      <c r="Z14965">
        <v>399999.99999999994</v>
      </c>
    </row>
    <row r="14966" spans="26:26" x14ac:dyDescent="0.25">
      <c r="Z14966">
        <v>399999.99999999994</v>
      </c>
    </row>
    <row r="14967" spans="26:26" x14ac:dyDescent="0.25">
      <c r="Z14967">
        <v>399999.99999999994</v>
      </c>
    </row>
    <row r="14968" spans="26:26" x14ac:dyDescent="0.25">
      <c r="Z14968">
        <v>399999.99999999994</v>
      </c>
    </row>
    <row r="14969" spans="26:26" x14ac:dyDescent="0.25">
      <c r="Z14969">
        <v>399999.99999999994</v>
      </c>
    </row>
    <row r="14970" spans="26:26" x14ac:dyDescent="0.25">
      <c r="Z14970">
        <v>399999.99999999994</v>
      </c>
    </row>
    <row r="14971" spans="26:26" x14ac:dyDescent="0.25">
      <c r="Z14971">
        <v>399999.99999999994</v>
      </c>
    </row>
    <row r="14972" spans="26:26" x14ac:dyDescent="0.25">
      <c r="Z14972">
        <v>399999.99999999994</v>
      </c>
    </row>
    <row r="14973" spans="26:26" x14ac:dyDescent="0.25">
      <c r="Z14973">
        <v>399999.99999999994</v>
      </c>
    </row>
    <row r="14974" spans="26:26" x14ac:dyDescent="0.25">
      <c r="Z14974">
        <v>399999.99999999994</v>
      </c>
    </row>
    <row r="14975" spans="26:26" x14ac:dyDescent="0.25">
      <c r="Z14975">
        <v>399999.99999999994</v>
      </c>
    </row>
    <row r="14976" spans="26:26" x14ac:dyDescent="0.25">
      <c r="Z14976">
        <v>399999.99999999994</v>
      </c>
    </row>
    <row r="14977" spans="26:26" x14ac:dyDescent="0.25">
      <c r="Z14977">
        <v>399999.99999999994</v>
      </c>
    </row>
    <row r="14978" spans="26:26" x14ac:dyDescent="0.25">
      <c r="Z14978">
        <v>399999.99999999994</v>
      </c>
    </row>
    <row r="14979" spans="26:26" x14ac:dyDescent="0.25">
      <c r="Z14979">
        <v>399999.99999999994</v>
      </c>
    </row>
    <row r="14980" spans="26:26" x14ac:dyDescent="0.25">
      <c r="Z14980">
        <v>399999.99999999994</v>
      </c>
    </row>
    <row r="14981" spans="26:26" x14ac:dyDescent="0.25">
      <c r="Z14981">
        <v>399999.99999999994</v>
      </c>
    </row>
    <row r="14982" spans="26:26" x14ac:dyDescent="0.25">
      <c r="Z14982">
        <v>399999.99999999994</v>
      </c>
    </row>
    <row r="14983" spans="26:26" x14ac:dyDescent="0.25">
      <c r="Z14983">
        <v>399999.99999999994</v>
      </c>
    </row>
    <row r="14984" spans="26:26" x14ac:dyDescent="0.25">
      <c r="Z14984">
        <v>399999.99999999994</v>
      </c>
    </row>
    <row r="14985" spans="26:26" x14ac:dyDescent="0.25">
      <c r="Z14985">
        <v>399999.99999999994</v>
      </c>
    </row>
    <row r="14986" spans="26:26" x14ac:dyDescent="0.25">
      <c r="Z14986">
        <v>399999.99999999994</v>
      </c>
    </row>
    <row r="14987" spans="26:26" x14ac:dyDescent="0.25">
      <c r="Z14987">
        <v>399999.99999999994</v>
      </c>
    </row>
    <row r="14988" spans="26:26" x14ac:dyDescent="0.25">
      <c r="Z14988">
        <v>399999.99999999994</v>
      </c>
    </row>
    <row r="14989" spans="26:26" x14ac:dyDescent="0.25">
      <c r="Z14989">
        <v>399999.99999999994</v>
      </c>
    </row>
    <row r="14990" spans="26:26" x14ac:dyDescent="0.25">
      <c r="Z14990">
        <v>399999.99999999994</v>
      </c>
    </row>
    <row r="14991" spans="26:26" x14ac:dyDescent="0.25">
      <c r="Z14991">
        <v>399999.99999999994</v>
      </c>
    </row>
    <row r="14992" spans="26:26" x14ac:dyDescent="0.25">
      <c r="Z14992">
        <v>399999.99999999994</v>
      </c>
    </row>
    <row r="14993" spans="26:26" x14ac:dyDescent="0.25">
      <c r="Z14993">
        <v>400000</v>
      </c>
    </row>
    <row r="14994" spans="26:26" x14ac:dyDescent="0.25">
      <c r="Z14994">
        <v>400000</v>
      </c>
    </row>
    <row r="14995" spans="26:26" x14ac:dyDescent="0.25">
      <c r="Z14995">
        <v>400000</v>
      </c>
    </row>
    <row r="14996" spans="26:26" x14ac:dyDescent="0.25">
      <c r="Z14996">
        <v>400000</v>
      </c>
    </row>
    <row r="14997" spans="26:26" x14ac:dyDescent="0.25">
      <c r="Z14997">
        <v>400000</v>
      </c>
    </row>
    <row r="14998" spans="26:26" x14ac:dyDescent="0.25">
      <c r="Z14998">
        <v>400000</v>
      </c>
    </row>
    <row r="14999" spans="26:26" x14ac:dyDescent="0.25">
      <c r="Z14999">
        <v>400000</v>
      </c>
    </row>
    <row r="15000" spans="26:26" x14ac:dyDescent="0.25">
      <c r="Z15000">
        <v>400000</v>
      </c>
    </row>
    <row r="15001" spans="26:26" x14ac:dyDescent="0.25">
      <c r="Z15001">
        <v>400000</v>
      </c>
    </row>
    <row r="15002" spans="26:26" x14ac:dyDescent="0.25">
      <c r="Z15002">
        <v>400000</v>
      </c>
    </row>
    <row r="15003" spans="26:26" x14ac:dyDescent="0.25">
      <c r="Z15003">
        <v>400000</v>
      </c>
    </row>
    <row r="15004" spans="26:26" x14ac:dyDescent="0.25">
      <c r="Z15004">
        <v>400000</v>
      </c>
    </row>
    <row r="15005" spans="26:26" x14ac:dyDescent="0.25">
      <c r="Z15005">
        <v>400000</v>
      </c>
    </row>
    <row r="15006" spans="26:26" x14ac:dyDescent="0.25">
      <c r="Z15006">
        <v>400000</v>
      </c>
    </row>
    <row r="15007" spans="26:26" x14ac:dyDescent="0.25">
      <c r="Z15007">
        <v>400000</v>
      </c>
    </row>
    <row r="15008" spans="26:26" x14ac:dyDescent="0.25">
      <c r="Z15008">
        <v>400000</v>
      </c>
    </row>
    <row r="15009" spans="26:26" x14ac:dyDescent="0.25">
      <c r="Z15009">
        <v>400000</v>
      </c>
    </row>
    <row r="15010" spans="26:26" x14ac:dyDescent="0.25">
      <c r="Z15010">
        <v>400000</v>
      </c>
    </row>
    <row r="15011" spans="26:26" x14ac:dyDescent="0.25">
      <c r="Z15011">
        <v>400000</v>
      </c>
    </row>
    <row r="15012" spans="26:26" x14ac:dyDescent="0.25">
      <c r="Z15012">
        <v>400000</v>
      </c>
    </row>
    <row r="15013" spans="26:26" x14ac:dyDescent="0.25">
      <c r="Z15013">
        <v>400000</v>
      </c>
    </row>
    <row r="15014" spans="26:26" x14ac:dyDescent="0.25">
      <c r="Z15014">
        <v>400000</v>
      </c>
    </row>
    <row r="15015" spans="26:26" x14ac:dyDescent="0.25">
      <c r="Z15015">
        <v>400000</v>
      </c>
    </row>
    <row r="15016" spans="26:26" x14ac:dyDescent="0.25">
      <c r="Z15016">
        <v>400000</v>
      </c>
    </row>
    <row r="15017" spans="26:26" x14ac:dyDescent="0.25">
      <c r="Z15017">
        <v>400000</v>
      </c>
    </row>
    <row r="15018" spans="26:26" x14ac:dyDescent="0.25">
      <c r="Z15018">
        <v>400000</v>
      </c>
    </row>
    <row r="15019" spans="26:26" x14ac:dyDescent="0.25">
      <c r="Z15019">
        <v>400000</v>
      </c>
    </row>
    <row r="15020" spans="26:26" x14ac:dyDescent="0.25">
      <c r="Z15020">
        <v>400000</v>
      </c>
    </row>
    <row r="15021" spans="26:26" x14ac:dyDescent="0.25">
      <c r="Z15021">
        <v>400000</v>
      </c>
    </row>
    <row r="15022" spans="26:26" x14ac:dyDescent="0.25">
      <c r="Z15022">
        <v>400000</v>
      </c>
    </row>
    <row r="15023" spans="26:26" x14ac:dyDescent="0.25">
      <c r="Z15023">
        <v>400000</v>
      </c>
    </row>
    <row r="15024" spans="26:26" x14ac:dyDescent="0.25">
      <c r="Z15024">
        <v>400000</v>
      </c>
    </row>
    <row r="15025" spans="26:26" x14ac:dyDescent="0.25">
      <c r="Z15025">
        <v>400000</v>
      </c>
    </row>
    <row r="15026" spans="26:26" x14ac:dyDescent="0.25">
      <c r="Z15026">
        <v>400000</v>
      </c>
    </row>
    <row r="15027" spans="26:26" x14ac:dyDescent="0.25">
      <c r="Z15027">
        <v>400000</v>
      </c>
    </row>
    <row r="15028" spans="26:26" x14ac:dyDescent="0.25">
      <c r="Z15028">
        <v>400000</v>
      </c>
    </row>
    <row r="15029" spans="26:26" x14ac:dyDescent="0.25">
      <c r="Z15029">
        <v>400000</v>
      </c>
    </row>
    <row r="15030" spans="26:26" x14ac:dyDescent="0.25">
      <c r="Z15030">
        <v>400000</v>
      </c>
    </row>
    <row r="15031" spans="26:26" x14ac:dyDescent="0.25">
      <c r="Z15031">
        <v>400000</v>
      </c>
    </row>
    <row r="15032" spans="26:26" x14ac:dyDescent="0.25">
      <c r="Z15032">
        <v>400000</v>
      </c>
    </row>
    <row r="15033" spans="26:26" x14ac:dyDescent="0.25">
      <c r="Z15033">
        <v>400000</v>
      </c>
    </row>
    <row r="15034" spans="26:26" x14ac:dyDescent="0.25">
      <c r="Z15034">
        <v>400000</v>
      </c>
    </row>
    <row r="15035" spans="26:26" x14ac:dyDescent="0.25">
      <c r="Z15035">
        <v>400000</v>
      </c>
    </row>
    <row r="15036" spans="26:26" x14ac:dyDescent="0.25">
      <c r="Z15036">
        <v>400000</v>
      </c>
    </row>
    <row r="15037" spans="26:26" x14ac:dyDescent="0.25">
      <c r="Z15037">
        <v>400000</v>
      </c>
    </row>
    <row r="15038" spans="26:26" x14ac:dyDescent="0.25">
      <c r="Z15038">
        <v>400000</v>
      </c>
    </row>
    <row r="15039" spans="26:26" x14ac:dyDescent="0.25">
      <c r="Z15039">
        <v>400000</v>
      </c>
    </row>
    <row r="15040" spans="26:26" x14ac:dyDescent="0.25">
      <c r="Z15040">
        <v>400000</v>
      </c>
    </row>
    <row r="15041" spans="26:26" x14ac:dyDescent="0.25">
      <c r="Z15041">
        <v>400000</v>
      </c>
    </row>
    <row r="15042" spans="26:26" x14ac:dyDescent="0.25">
      <c r="Z15042">
        <v>400000</v>
      </c>
    </row>
    <row r="15043" spans="26:26" x14ac:dyDescent="0.25">
      <c r="Z15043">
        <v>400000</v>
      </c>
    </row>
    <row r="15044" spans="26:26" x14ac:dyDescent="0.25">
      <c r="Z15044">
        <v>400000</v>
      </c>
    </row>
    <row r="15045" spans="26:26" x14ac:dyDescent="0.25">
      <c r="Z15045">
        <v>400000</v>
      </c>
    </row>
    <row r="15046" spans="26:26" x14ac:dyDescent="0.25">
      <c r="Z15046">
        <v>400000</v>
      </c>
    </row>
    <row r="15047" spans="26:26" x14ac:dyDescent="0.25">
      <c r="Z15047">
        <v>400000</v>
      </c>
    </row>
    <row r="15048" spans="26:26" x14ac:dyDescent="0.25">
      <c r="Z15048">
        <v>400000</v>
      </c>
    </row>
    <row r="15049" spans="26:26" x14ac:dyDescent="0.25">
      <c r="Z15049">
        <v>400000</v>
      </c>
    </row>
    <row r="15050" spans="26:26" x14ac:dyDescent="0.25">
      <c r="Z15050">
        <v>400000</v>
      </c>
    </row>
    <row r="15051" spans="26:26" x14ac:dyDescent="0.25">
      <c r="Z15051">
        <v>400000</v>
      </c>
    </row>
    <row r="15052" spans="26:26" x14ac:dyDescent="0.25">
      <c r="Z15052">
        <v>400000</v>
      </c>
    </row>
    <row r="15053" spans="26:26" x14ac:dyDescent="0.25">
      <c r="Z15053">
        <v>400000</v>
      </c>
    </row>
    <row r="15054" spans="26:26" x14ac:dyDescent="0.25">
      <c r="Z15054">
        <v>400000</v>
      </c>
    </row>
    <row r="15055" spans="26:26" x14ac:dyDescent="0.25">
      <c r="Z15055">
        <v>400000</v>
      </c>
    </row>
    <row r="15056" spans="26:26" x14ac:dyDescent="0.25">
      <c r="Z15056">
        <v>400000</v>
      </c>
    </row>
    <row r="15057" spans="26:26" x14ac:dyDescent="0.25">
      <c r="Z15057">
        <v>400000</v>
      </c>
    </row>
    <row r="15058" spans="26:26" x14ac:dyDescent="0.25">
      <c r="Z15058">
        <v>400000</v>
      </c>
    </row>
    <row r="15059" spans="26:26" x14ac:dyDescent="0.25">
      <c r="Z15059">
        <v>400000</v>
      </c>
    </row>
    <row r="15060" spans="26:26" x14ac:dyDescent="0.25">
      <c r="Z15060">
        <v>400000</v>
      </c>
    </row>
    <row r="15061" spans="26:26" x14ac:dyDescent="0.25">
      <c r="Z15061">
        <v>400000</v>
      </c>
    </row>
    <row r="15062" spans="26:26" x14ac:dyDescent="0.25">
      <c r="Z15062">
        <v>400000</v>
      </c>
    </row>
    <row r="15063" spans="26:26" x14ac:dyDescent="0.25">
      <c r="Z15063">
        <v>400000</v>
      </c>
    </row>
    <row r="15064" spans="26:26" x14ac:dyDescent="0.25">
      <c r="Z15064">
        <v>400000</v>
      </c>
    </row>
    <row r="15065" spans="26:26" x14ac:dyDescent="0.25">
      <c r="Z15065">
        <v>400000</v>
      </c>
    </row>
    <row r="15066" spans="26:26" x14ac:dyDescent="0.25">
      <c r="Z15066">
        <v>400000</v>
      </c>
    </row>
    <row r="15067" spans="26:26" x14ac:dyDescent="0.25">
      <c r="Z15067">
        <v>400000</v>
      </c>
    </row>
    <row r="15068" spans="26:26" x14ac:dyDescent="0.25">
      <c r="Z15068">
        <v>400000</v>
      </c>
    </row>
    <row r="15069" spans="26:26" x14ac:dyDescent="0.25">
      <c r="Z15069">
        <v>400000</v>
      </c>
    </row>
    <row r="15070" spans="26:26" x14ac:dyDescent="0.25">
      <c r="Z15070">
        <v>400000</v>
      </c>
    </row>
    <row r="15071" spans="26:26" x14ac:dyDescent="0.25">
      <c r="Z15071">
        <v>400000</v>
      </c>
    </row>
    <row r="15072" spans="26:26" x14ac:dyDescent="0.25">
      <c r="Z15072">
        <v>400000</v>
      </c>
    </row>
    <row r="15073" spans="26:26" x14ac:dyDescent="0.25">
      <c r="Z15073">
        <v>400000</v>
      </c>
    </row>
    <row r="15074" spans="26:26" x14ac:dyDescent="0.25">
      <c r="Z15074">
        <v>400000</v>
      </c>
    </row>
    <row r="15075" spans="26:26" x14ac:dyDescent="0.25">
      <c r="Z15075">
        <v>400000</v>
      </c>
    </row>
    <row r="15076" spans="26:26" x14ac:dyDescent="0.25">
      <c r="Z15076">
        <v>400000</v>
      </c>
    </row>
    <row r="15077" spans="26:26" x14ac:dyDescent="0.25">
      <c r="Z15077">
        <v>400000</v>
      </c>
    </row>
    <row r="15078" spans="26:26" x14ac:dyDescent="0.25">
      <c r="Z15078">
        <v>400000</v>
      </c>
    </row>
    <row r="15079" spans="26:26" x14ac:dyDescent="0.25">
      <c r="Z15079">
        <v>400000</v>
      </c>
    </row>
    <row r="15080" spans="26:26" x14ac:dyDescent="0.25">
      <c r="Z15080">
        <v>400000</v>
      </c>
    </row>
    <row r="15081" spans="26:26" x14ac:dyDescent="0.25">
      <c r="Z15081">
        <v>400000</v>
      </c>
    </row>
    <row r="15082" spans="26:26" x14ac:dyDescent="0.25">
      <c r="Z15082">
        <v>400000</v>
      </c>
    </row>
    <row r="15083" spans="26:26" x14ac:dyDescent="0.25">
      <c r="Z15083">
        <v>400000</v>
      </c>
    </row>
    <row r="15084" spans="26:26" x14ac:dyDescent="0.25">
      <c r="Z15084">
        <v>400000</v>
      </c>
    </row>
    <row r="15085" spans="26:26" x14ac:dyDescent="0.25">
      <c r="Z15085">
        <v>400000</v>
      </c>
    </row>
    <row r="15086" spans="26:26" x14ac:dyDescent="0.25">
      <c r="Z15086">
        <v>400000</v>
      </c>
    </row>
    <row r="15087" spans="26:26" x14ac:dyDescent="0.25">
      <c r="Z15087">
        <v>400000</v>
      </c>
    </row>
    <row r="15088" spans="26:26" x14ac:dyDescent="0.25">
      <c r="Z15088">
        <v>400000</v>
      </c>
    </row>
    <row r="15089" spans="26:26" x14ac:dyDescent="0.25">
      <c r="Z15089">
        <v>400000</v>
      </c>
    </row>
    <row r="15090" spans="26:26" x14ac:dyDescent="0.25">
      <c r="Z15090">
        <v>400000</v>
      </c>
    </row>
    <row r="15091" spans="26:26" x14ac:dyDescent="0.25">
      <c r="Z15091">
        <v>400000</v>
      </c>
    </row>
    <row r="15092" spans="26:26" x14ac:dyDescent="0.25">
      <c r="Z15092">
        <v>400000</v>
      </c>
    </row>
    <row r="15093" spans="26:26" x14ac:dyDescent="0.25">
      <c r="Z15093">
        <v>400000</v>
      </c>
    </row>
    <row r="15094" spans="26:26" x14ac:dyDescent="0.25">
      <c r="Z15094">
        <v>400000</v>
      </c>
    </row>
    <row r="15095" spans="26:26" x14ac:dyDescent="0.25">
      <c r="Z15095">
        <v>400000</v>
      </c>
    </row>
    <row r="15096" spans="26:26" x14ac:dyDescent="0.25">
      <c r="Z15096">
        <v>400000</v>
      </c>
    </row>
    <row r="15097" spans="26:26" x14ac:dyDescent="0.25">
      <c r="Z15097">
        <v>400000</v>
      </c>
    </row>
    <row r="15098" spans="26:26" x14ac:dyDescent="0.25">
      <c r="Z15098">
        <v>400000</v>
      </c>
    </row>
    <row r="15099" spans="26:26" x14ac:dyDescent="0.25">
      <c r="Z15099">
        <v>400000</v>
      </c>
    </row>
    <row r="15100" spans="26:26" x14ac:dyDescent="0.25">
      <c r="Z15100">
        <v>400000</v>
      </c>
    </row>
    <row r="15101" spans="26:26" x14ac:dyDescent="0.25">
      <c r="Z15101">
        <v>400000</v>
      </c>
    </row>
    <row r="15102" spans="26:26" x14ac:dyDescent="0.25">
      <c r="Z15102">
        <v>400000</v>
      </c>
    </row>
    <row r="15103" spans="26:26" x14ac:dyDescent="0.25">
      <c r="Z15103">
        <v>400000</v>
      </c>
    </row>
    <row r="15104" spans="26:26" x14ac:dyDescent="0.25">
      <c r="Z15104">
        <v>400000</v>
      </c>
    </row>
    <row r="15105" spans="26:26" x14ac:dyDescent="0.25">
      <c r="Z15105">
        <v>400000</v>
      </c>
    </row>
    <row r="15106" spans="26:26" x14ac:dyDescent="0.25">
      <c r="Z15106">
        <v>400000</v>
      </c>
    </row>
    <row r="15107" spans="26:26" x14ac:dyDescent="0.25">
      <c r="Z15107">
        <v>400000</v>
      </c>
    </row>
    <row r="15108" spans="26:26" x14ac:dyDescent="0.25">
      <c r="Z15108">
        <v>400000</v>
      </c>
    </row>
    <row r="15109" spans="26:26" x14ac:dyDescent="0.25">
      <c r="Z15109">
        <v>400000</v>
      </c>
    </row>
    <row r="15110" spans="26:26" x14ac:dyDescent="0.25">
      <c r="Z15110">
        <v>400000</v>
      </c>
    </row>
    <row r="15111" spans="26:26" x14ac:dyDescent="0.25">
      <c r="Z15111">
        <v>400000</v>
      </c>
    </row>
    <row r="15112" spans="26:26" x14ac:dyDescent="0.25">
      <c r="Z15112">
        <v>400000</v>
      </c>
    </row>
    <row r="15113" spans="26:26" x14ac:dyDescent="0.25">
      <c r="Z15113">
        <v>400000</v>
      </c>
    </row>
    <row r="15114" spans="26:26" x14ac:dyDescent="0.25">
      <c r="Z15114">
        <v>400000</v>
      </c>
    </row>
    <row r="15115" spans="26:26" x14ac:dyDescent="0.25">
      <c r="Z15115">
        <v>400000</v>
      </c>
    </row>
    <row r="15116" spans="26:26" x14ac:dyDescent="0.25">
      <c r="Z15116">
        <v>400000</v>
      </c>
    </row>
    <row r="15117" spans="26:26" x14ac:dyDescent="0.25">
      <c r="Z15117">
        <v>400000</v>
      </c>
    </row>
    <row r="15118" spans="26:26" x14ac:dyDescent="0.25">
      <c r="Z15118">
        <v>400000</v>
      </c>
    </row>
    <row r="15119" spans="26:26" x14ac:dyDescent="0.25">
      <c r="Z15119">
        <v>400000</v>
      </c>
    </row>
    <row r="15120" spans="26:26" x14ac:dyDescent="0.25">
      <c r="Z15120">
        <v>400000</v>
      </c>
    </row>
    <row r="15121" spans="26:26" x14ac:dyDescent="0.25">
      <c r="Z15121">
        <v>400000</v>
      </c>
    </row>
    <row r="15122" spans="26:26" x14ac:dyDescent="0.25">
      <c r="Z15122">
        <v>400000</v>
      </c>
    </row>
    <row r="15123" spans="26:26" x14ac:dyDescent="0.25">
      <c r="Z15123">
        <v>400000</v>
      </c>
    </row>
    <row r="15124" spans="26:26" x14ac:dyDescent="0.25">
      <c r="Z15124">
        <v>400000</v>
      </c>
    </row>
    <row r="15125" spans="26:26" x14ac:dyDescent="0.25">
      <c r="Z15125">
        <v>400000</v>
      </c>
    </row>
    <row r="15126" spans="26:26" x14ac:dyDescent="0.25">
      <c r="Z15126">
        <v>400000</v>
      </c>
    </row>
    <row r="15127" spans="26:26" x14ac:dyDescent="0.25">
      <c r="Z15127">
        <v>400000</v>
      </c>
    </row>
    <row r="15128" spans="26:26" x14ac:dyDescent="0.25">
      <c r="Z15128">
        <v>400000</v>
      </c>
    </row>
    <row r="15129" spans="26:26" x14ac:dyDescent="0.25">
      <c r="Z15129">
        <v>400000</v>
      </c>
    </row>
    <row r="15130" spans="26:26" x14ac:dyDescent="0.25">
      <c r="Z15130">
        <v>400000</v>
      </c>
    </row>
    <row r="15131" spans="26:26" x14ac:dyDescent="0.25">
      <c r="Z15131">
        <v>400000</v>
      </c>
    </row>
    <row r="15132" spans="26:26" x14ac:dyDescent="0.25">
      <c r="Z15132">
        <v>400000</v>
      </c>
    </row>
    <row r="15133" spans="26:26" x14ac:dyDescent="0.25">
      <c r="Z15133">
        <v>400000</v>
      </c>
    </row>
    <row r="15134" spans="26:26" x14ac:dyDescent="0.25">
      <c r="Z15134">
        <v>400000</v>
      </c>
    </row>
    <row r="15135" spans="26:26" x14ac:dyDescent="0.25">
      <c r="Z15135">
        <v>400000</v>
      </c>
    </row>
    <row r="15136" spans="26:26" x14ac:dyDescent="0.25">
      <c r="Z15136">
        <v>400000</v>
      </c>
    </row>
    <row r="15137" spans="26:26" x14ac:dyDescent="0.25">
      <c r="Z15137">
        <v>400000</v>
      </c>
    </row>
    <row r="15138" spans="26:26" x14ac:dyDescent="0.25">
      <c r="Z15138">
        <v>400000</v>
      </c>
    </row>
    <row r="15139" spans="26:26" x14ac:dyDescent="0.25">
      <c r="Z15139">
        <v>400000</v>
      </c>
    </row>
    <row r="15140" spans="26:26" x14ac:dyDescent="0.25">
      <c r="Z15140">
        <v>400000</v>
      </c>
    </row>
    <row r="15141" spans="26:26" x14ac:dyDescent="0.25">
      <c r="Z15141">
        <v>400000</v>
      </c>
    </row>
    <row r="15142" spans="26:26" x14ac:dyDescent="0.25">
      <c r="Z15142">
        <v>400000</v>
      </c>
    </row>
    <row r="15143" spans="26:26" x14ac:dyDescent="0.25">
      <c r="Z15143">
        <v>400000</v>
      </c>
    </row>
    <row r="15144" spans="26:26" x14ac:dyDescent="0.25">
      <c r="Z15144">
        <v>400000</v>
      </c>
    </row>
    <row r="15145" spans="26:26" x14ac:dyDescent="0.25">
      <c r="Z15145">
        <v>400000</v>
      </c>
    </row>
    <row r="15146" spans="26:26" x14ac:dyDescent="0.25">
      <c r="Z15146">
        <v>400000</v>
      </c>
    </row>
    <row r="15147" spans="26:26" x14ac:dyDescent="0.25">
      <c r="Z15147">
        <v>400000</v>
      </c>
    </row>
    <row r="15148" spans="26:26" x14ac:dyDescent="0.25">
      <c r="Z15148">
        <v>400000</v>
      </c>
    </row>
    <row r="15149" spans="26:26" x14ac:dyDescent="0.25">
      <c r="Z15149">
        <v>400000</v>
      </c>
    </row>
    <row r="15150" spans="26:26" x14ac:dyDescent="0.25">
      <c r="Z15150">
        <v>400000</v>
      </c>
    </row>
    <row r="15151" spans="26:26" x14ac:dyDescent="0.25">
      <c r="Z15151">
        <v>400000</v>
      </c>
    </row>
    <row r="15152" spans="26:26" x14ac:dyDescent="0.25">
      <c r="Z15152">
        <v>400000</v>
      </c>
    </row>
    <row r="15153" spans="26:26" x14ac:dyDescent="0.25">
      <c r="Z15153">
        <v>400000</v>
      </c>
    </row>
    <row r="15154" spans="26:26" x14ac:dyDescent="0.25">
      <c r="Z15154">
        <v>400000</v>
      </c>
    </row>
    <row r="15155" spans="26:26" x14ac:dyDescent="0.25">
      <c r="Z15155">
        <v>400000</v>
      </c>
    </row>
    <row r="15156" spans="26:26" x14ac:dyDescent="0.25">
      <c r="Z15156">
        <v>400000</v>
      </c>
    </row>
    <row r="15157" spans="26:26" x14ac:dyDescent="0.25">
      <c r="Z15157">
        <v>400000</v>
      </c>
    </row>
    <row r="15158" spans="26:26" x14ac:dyDescent="0.25">
      <c r="Z15158">
        <v>400000</v>
      </c>
    </row>
    <row r="15159" spans="26:26" x14ac:dyDescent="0.25">
      <c r="Z15159">
        <v>400000</v>
      </c>
    </row>
    <row r="15160" spans="26:26" x14ac:dyDescent="0.25">
      <c r="Z15160">
        <v>400000</v>
      </c>
    </row>
    <row r="15161" spans="26:26" x14ac:dyDescent="0.25">
      <c r="Z15161">
        <v>400000</v>
      </c>
    </row>
    <row r="15162" spans="26:26" x14ac:dyDescent="0.25">
      <c r="Z15162">
        <v>400000</v>
      </c>
    </row>
    <row r="15163" spans="26:26" x14ac:dyDescent="0.25">
      <c r="Z15163">
        <v>400000</v>
      </c>
    </row>
    <row r="15164" spans="26:26" x14ac:dyDescent="0.25">
      <c r="Z15164">
        <v>400000</v>
      </c>
    </row>
    <row r="15165" spans="26:26" x14ac:dyDescent="0.25">
      <c r="Z15165">
        <v>400000</v>
      </c>
    </row>
    <row r="15166" spans="26:26" x14ac:dyDescent="0.25">
      <c r="Z15166">
        <v>400000</v>
      </c>
    </row>
    <row r="15167" spans="26:26" x14ac:dyDescent="0.25">
      <c r="Z15167">
        <v>400000</v>
      </c>
    </row>
    <row r="15168" spans="26:26" x14ac:dyDescent="0.25">
      <c r="Z15168">
        <v>400000</v>
      </c>
    </row>
    <row r="15169" spans="26:26" x14ac:dyDescent="0.25">
      <c r="Z15169">
        <v>400000</v>
      </c>
    </row>
    <row r="15170" spans="26:26" x14ac:dyDescent="0.25">
      <c r="Z15170">
        <v>400000</v>
      </c>
    </row>
    <row r="15171" spans="26:26" x14ac:dyDescent="0.25">
      <c r="Z15171">
        <v>400000</v>
      </c>
    </row>
    <row r="15172" spans="26:26" x14ac:dyDescent="0.25">
      <c r="Z15172">
        <v>400000</v>
      </c>
    </row>
    <row r="15173" spans="26:26" x14ac:dyDescent="0.25">
      <c r="Z15173">
        <v>400000</v>
      </c>
    </row>
    <row r="15174" spans="26:26" x14ac:dyDescent="0.25">
      <c r="Z15174">
        <v>400000</v>
      </c>
    </row>
    <row r="15175" spans="26:26" x14ac:dyDescent="0.25">
      <c r="Z15175">
        <v>400000</v>
      </c>
    </row>
    <row r="15176" spans="26:26" x14ac:dyDescent="0.25">
      <c r="Z15176">
        <v>400000</v>
      </c>
    </row>
    <row r="15177" spans="26:26" x14ac:dyDescent="0.25">
      <c r="Z15177">
        <v>400000</v>
      </c>
    </row>
    <row r="15178" spans="26:26" x14ac:dyDescent="0.25">
      <c r="Z15178">
        <v>400000</v>
      </c>
    </row>
    <row r="15179" spans="26:26" x14ac:dyDescent="0.25">
      <c r="Z15179">
        <v>400000</v>
      </c>
    </row>
    <row r="15180" spans="26:26" x14ac:dyDescent="0.25">
      <c r="Z15180">
        <v>400000</v>
      </c>
    </row>
    <row r="15181" spans="26:26" x14ac:dyDescent="0.25">
      <c r="Z15181">
        <v>400000</v>
      </c>
    </row>
    <row r="15182" spans="26:26" x14ac:dyDescent="0.25">
      <c r="Z15182">
        <v>400000</v>
      </c>
    </row>
    <row r="15183" spans="26:26" x14ac:dyDescent="0.25">
      <c r="Z15183">
        <v>400000</v>
      </c>
    </row>
    <row r="15184" spans="26:26" x14ac:dyDescent="0.25">
      <c r="Z15184">
        <v>400000</v>
      </c>
    </row>
    <row r="15185" spans="26:26" x14ac:dyDescent="0.25">
      <c r="Z15185">
        <v>400000</v>
      </c>
    </row>
    <row r="15186" spans="26:26" x14ac:dyDescent="0.25">
      <c r="Z15186">
        <v>400000</v>
      </c>
    </row>
    <row r="15187" spans="26:26" x14ac:dyDescent="0.25">
      <c r="Z15187">
        <v>400000</v>
      </c>
    </row>
    <row r="15188" spans="26:26" x14ac:dyDescent="0.25">
      <c r="Z15188">
        <v>400000</v>
      </c>
    </row>
    <row r="15189" spans="26:26" x14ac:dyDescent="0.25">
      <c r="Z15189">
        <v>400000</v>
      </c>
    </row>
    <row r="15190" spans="26:26" x14ac:dyDescent="0.25">
      <c r="Z15190">
        <v>400000</v>
      </c>
    </row>
    <row r="15191" spans="26:26" x14ac:dyDescent="0.25">
      <c r="Z15191">
        <v>400000</v>
      </c>
    </row>
    <row r="15192" spans="26:26" x14ac:dyDescent="0.25">
      <c r="Z15192">
        <v>400000</v>
      </c>
    </row>
    <row r="15193" spans="26:26" x14ac:dyDescent="0.25">
      <c r="Z15193">
        <v>400000</v>
      </c>
    </row>
    <row r="15194" spans="26:26" x14ac:dyDescent="0.25">
      <c r="Z15194">
        <v>400000</v>
      </c>
    </row>
    <row r="15195" spans="26:26" x14ac:dyDescent="0.25">
      <c r="Z15195">
        <v>400000</v>
      </c>
    </row>
    <row r="15196" spans="26:26" x14ac:dyDescent="0.25">
      <c r="Z15196">
        <v>400000</v>
      </c>
    </row>
    <row r="15197" spans="26:26" x14ac:dyDescent="0.25">
      <c r="Z15197">
        <v>400000</v>
      </c>
    </row>
    <row r="15198" spans="26:26" x14ac:dyDescent="0.25">
      <c r="Z15198">
        <v>400000</v>
      </c>
    </row>
    <row r="15199" spans="26:26" x14ac:dyDescent="0.25">
      <c r="Z15199">
        <v>400000</v>
      </c>
    </row>
    <row r="15200" spans="26:26" x14ac:dyDescent="0.25">
      <c r="Z15200">
        <v>400000</v>
      </c>
    </row>
    <row r="15201" spans="26:26" x14ac:dyDescent="0.25">
      <c r="Z15201">
        <v>400000</v>
      </c>
    </row>
    <row r="15202" spans="26:26" x14ac:dyDescent="0.25">
      <c r="Z15202">
        <v>400000</v>
      </c>
    </row>
    <row r="15203" spans="26:26" x14ac:dyDescent="0.25">
      <c r="Z15203">
        <v>400000</v>
      </c>
    </row>
    <row r="15204" spans="26:26" x14ac:dyDescent="0.25">
      <c r="Z15204">
        <v>400000</v>
      </c>
    </row>
    <row r="15205" spans="26:26" x14ac:dyDescent="0.25">
      <c r="Z15205">
        <v>400000</v>
      </c>
    </row>
    <row r="15206" spans="26:26" x14ac:dyDescent="0.25">
      <c r="Z15206">
        <v>400000</v>
      </c>
    </row>
    <row r="15207" spans="26:26" x14ac:dyDescent="0.25">
      <c r="Z15207">
        <v>400000</v>
      </c>
    </row>
    <row r="15208" spans="26:26" x14ac:dyDescent="0.25">
      <c r="Z15208">
        <v>400000</v>
      </c>
    </row>
    <row r="15209" spans="26:26" x14ac:dyDescent="0.25">
      <c r="Z15209">
        <v>400000</v>
      </c>
    </row>
    <row r="15210" spans="26:26" x14ac:dyDescent="0.25">
      <c r="Z15210">
        <v>400000</v>
      </c>
    </row>
    <row r="15211" spans="26:26" x14ac:dyDescent="0.25">
      <c r="Z15211">
        <v>400000</v>
      </c>
    </row>
    <row r="15212" spans="26:26" x14ac:dyDescent="0.25">
      <c r="Z15212">
        <v>400000</v>
      </c>
    </row>
    <row r="15213" spans="26:26" x14ac:dyDescent="0.25">
      <c r="Z15213">
        <v>400000</v>
      </c>
    </row>
    <row r="15214" spans="26:26" x14ac:dyDescent="0.25">
      <c r="Z15214">
        <v>400000</v>
      </c>
    </row>
    <row r="15215" spans="26:26" x14ac:dyDescent="0.25">
      <c r="Z15215">
        <v>400000</v>
      </c>
    </row>
    <row r="15216" spans="26:26" x14ac:dyDescent="0.25">
      <c r="Z15216">
        <v>400000</v>
      </c>
    </row>
    <row r="15217" spans="26:26" x14ac:dyDescent="0.25">
      <c r="Z15217">
        <v>400000</v>
      </c>
    </row>
    <row r="15218" spans="26:26" x14ac:dyDescent="0.25">
      <c r="Z15218">
        <v>400000</v>
      </c>
    </row>
    <row r="15219" spans="26:26" x14ac:dyDescent="0.25">
      <c r="Z15219">
        <v>400000</v>
      </c>
    </row>
    <row r="15220" spans="26:26" x14ac:dyDescent="0.25">
      <c r="Z15220">
        <v>400000</v>
      </c>
    </row>
    <row r="15221" spans="26:26" x14ac:dyDescent="0.25">
      <c r="Z15221">
        <v>400000</v>
      </c>
    </row>
    <row r="15222" spans="26:26" x14ac:dyDescent="0.25">
      <c r="Z15222">
        <v>400000</v>
      </c>
    </row>
    <row r="15223" spans="26:26" x14ac:dyDescent="0.25">
      <c r="Z15223">
        <v>400000</v>
      </c>
    </row>
    <row r="15224" spans="26:26" x14ac:dyDescent="0.25">
      <c r="Z15224">
        <v>400000</v>
      </c>
    </row>
    <row r="15225" spans="26:26" x14ac:dyDescent="0.25">
      <c r="Z15225">
        <v>400000</v>
      </c>
    </row>
    <row r="15226" spans="26:26" x14ac:dyDescent="0.25">
      <c r="Z15226">
        <v>400000</v>
      </c>
    </row>
    <row r="15227" spans="26:26" x14ac:dyDescent="0.25">
      <c r="Z15227">
        <v>400000</v>
      </c>
    </row>
    <row r="15228" spans="26:26" x14ac:dyDescent="0.25">
      <c r="Z15228">
        <v>400000</v>
      </c>
    </row>
    <row r="15229" spans="26:26" x14ac:dyDescent="0.25">
      <c r="Z15229">
        <v>400000</v>
      </c>
    </row>
    <row r="15230" spans="26:26" x14ac:dyDescent="0.25">
      <c r="Z15230">
        <v>400000</v>
      </c>
    </row>
    <row r="15231" spans="26:26" x14ac:dyDescent="0.25">
      <c r="Z15231">
        <v>400000</v>
      </c>
    </row>
    <row r="15232" spans="26:26" x14ac:dyDescent="0.25">
      <c r="Z15232">
        <v>400000</v>
      </c>
    </row>
    <row r="15233" spans="26:26" x14ac:dyDescent="0.25">
      <c r="Z15233">
        <v>400000</v>
      </c>
    </row>
    <row r="15234" spans="26:26" x14ac:dyDescent="0.25">
      <c r="Z15234">
        <v>400000</v>
      </c>
    </row>
    <row r="15235" spans="26:26" x14ac:dyDescent="0.25">
      <c r="Z15235">
        <v>400000</v>
      </c>
    </row>
    <row r="15236" spans="26:26" x14ac:dyDescent="0.25">
      <c r="Z15236">
        <v>400000</v>
      </c>
    </row>
    <row r="15237" spans="26:26" x14ac:dyDescent="0.25">
      <c r="Z15237">
        <v>400000</v>
      </c>
    </row>
    <row r="15238" spans="26:26" x14ac:dyDescent="0.25">
      <c r="Z15238">
        <v>400000</v>
      </c>
    </row>
    <row r="15239" spans="26:26" x14ac:dyDescent="0.25">
      <c r="Z15239">
        <v>400000</v>
      </c>
    </row>
    <row r="15240" spans="26:26" x14ac:dyDescent="0.25">
      <c r="Z15240">
        <v>400000</v>
      </c>
    </row>
    <row r="15241" spans="26:26" x14ac:dyDescent="0.25">
      <c r="Z15241">
        <v>400000</v>
      </c>
    </row>
    <row r="15242" spans="26:26" x14ac:dyDescent="0.25">
      <c r="Z15242">
        <v>400000</v>
      </c>
    </row>
    <row r="15243" spans="26:26" x14ac:dyDescent="0.25">
      <c r="Z15243">
        <v>400000</v>
      </c>
    </row>
    <row r="15244" spans="26:26" x14ac:dyDescent="0.25">
      <c r="Z15244">
        <v>400000</v>
      </c>
    </row>
    <row r="15245" spans="26:26" x14ac:dyDescent="0.25">
      <c r="Z15245">
        <v>400000</v>
      </c>
    </row>
    <row r="15246" spans="26:26" x14ac:dyDescent="0.25">
      <c r="Z15246">
        <v>400000</v>
      </c>
    </row>
    <row r="15247" spans="26:26" x14ac:dyDescent="0.25">
      <c r="Z15247">
        <v>400000</v>
      </c>
    </row>
    <row r="15248" spans="26:26" x14ac:dyDescent="0.25">
      <c r="Z15248">
        <v>400000</v>
      </c>
    </row>
    <row r="15249" spans="26:26" x14ac:dyDescent="0.25">
      <c r="Z15249">
        <v>400000</v>
      </c>
    </row>
    <row r="15250" spans="26:26" x14ac:dyDescent="0.25">
      <c r="Z15250">
        <v>400000</v>
      </c>
    </row>
    <row r="15251" spans="26:26" x14ac:dyDescent="0.25">
      <c r="Z15251">
        <v>400000</v>
      </c>
    </row>
    <row r="15252" spans="26:26" x14ac:dyDescent="0.25">
      <c r="Z15252">
        <v>400000</v>
      </c>
    </row>
    <row r="15253" spans="26:26" x14ac:dyDescent="0.25">
      <c r="Z15253">
        <v>400000</v>
      </c>
    </row>
    <row r="15254" spans="26:26" x14ac:dyDescent="0.25">
      <c r="Z15254">
        <v>400000</v>
      </c>
    </row>
    <row r="15255" spans="26:26" x14ac:dyDescent="0.25">
      <c r="Z15255">
        <v>400000</v>
      </c>
    </row>
    <row r="15256" spans="26:26" x14ac:dyDescent="0.25">
      <c r="Z15256">
        <v>400000</v>
      </c>
    </row>
    <row r="15257" spans="26:26" x14ac:dyDescent="0.25">
      <c r="Z15257">
        <v>400000</v>
      </c>
    </row>
    <row r="15258" spans="26:26" x14ac:dyDescent="0.25">
      <c r="Z15258">
        <v>400000</v>
      </c>
    </row>
    <row r="15259" spans="26:26" x14ac:dyDescent="0.25">
      <c r="Z15259">
        <v>400000</v>
      </c>
    </row>
    <row r="15260" spans="26:26" x14ac:dyDescent="0.25">
      <c r="Z15260">
        <v>400000</v>
      </c>
    </row>
    <row r="15261" spans="26:26" x14ac:dyDescent="0.25">
      <c r="Z15261">
        <v>400000</v>
      </c>
    </row>
    <row r="15262" spans="26:26" x14ac:dyDescent="0.25">
      <c r="Z15262">
        <v>400000</v>
      </c>
    </row>
    <row r="15263" spans="26:26" x14ac:dyDescent="0.25">
      <c r="Z15263">
        <v>400000</v>
      </c>
    </row>
    <row r="15264" spans="26:26" x14ac:dyDescent="0.25">
      <c r="Z15264">
        <v>400000</v>
      </c>
    </row>
    <row r="15265" spans="26:26" x14ac:dyDescent="0.25">
      <c r="Z15265">
        <v>400000</v>
      </c>
    </row>
    <row r="15266" spans="26:26" x14ac:dyDescent="0.25">
      <c r="Z15266">
        <v>400000</v>
      </c>
    </row>
    <row r="15267" spans="26:26" x14ac:dyDescent="0.25">
      <c r="Z15267">
        <v>400000</v>
      </c>
    </row>
    <row r="15268" spans="26:26" x14ac:dyDescent="0.25">
      <c r="Z15268">
        <v>400000</v>
      </c>
    </row>
    <row r="15269" spans="26:26" x14ac:dyDescent="0.25">
      <c r="Z15269">
        <v>400000</v>
      </c>
    </row>
    <row r="15270" spans="26:26" x14ac:dyDescent="0.25">
      <c r="Z15270">
        <v>400000</v>
      </c>
    </row>
    <row r="15271" spans="26:26" x14ac:dyDescent="0.25">
      <c r="Z15271">
        <v>400000</v>
      </c>
    </row>
    <row r="15272" spans="26:26" x14ac:dyDescent="0.25">
      <c r="Z15272">
        <v>400000</v>
      </c>
    </row>
    <row r="15273" spans="26:26" x14ac:dyDescent="0.25">
      <c r="Z15273">
        <v>400000</v>
      </c>
    </row>
    <row r="15274" spans="26:26" x14ac:dyDescent="0.25">
      <c r="Z15274">
        <v>400000</v>
      </c>
    </row>
    <row r="15275" spans="26:26" x14ac:dyDescent="0.25">
      <c r="Z15275">
        <v>400000</v>
      </c>
    </row>
    <row r="15276" spans="26:26" x14ac:dyDescent="0.25">
      <c r="Z15276">
        <v>400000</v>
      </c>
    </row>
    <row r="15277" spans="26:26" x14ac:dyDescent="0.25">
      <c r="Z15277">
        <v>400000</v>
      </c>
    </row>
    <row r="15278" spans="26:26" x14ac:dyDescent="0.25">
      <c r="Z15278">
        <v>400000</v>
      </c>
    </row>
    <row r="15279" spans="26:26" x14ac:dyDescent="0.25">
      <c r="Z15279">
        <v>400000</v>
      </c>
    </row>
    <row r="15280" spans="26:26" x14ac:dyDescent="0.25">
      <c r="Z15280">
        <v>400000</v>
      </c>
    </row>
    <row r="15281" spans="26:26" x14ac:dyDescent="0.25">
      <c r="Z15281">
        <v>400000</v>
      </c>
    </row>
    <row r="15282" spans="26:26" x14ac:dyDescent="0.25">
      <c r="Z15282">
        <v>400000</v>
      </c>
    </row>
    <row r="15283" spans="26:26" x14ac:dyDescent="0.25">
      <c r="Z15283">
        <v>400000</v>
      </c>
    </row>
    <row r="15284" spans="26:26" x14ac:dyDescent="0.25">
      <c r="Z15284">
        <v>400000</v>
      </c>
    </row>
    <row r="15285" spans="26:26" x14ac:dyDescent="0.25">
      <c r="Z15285">
        <v>400000</v>
      </c>
    </row>
    <row r="15286" spans="26:26" x14ac:dyDescent="0.25">
      <c r="Z15286">
        <v>400000</v>
      </c>
    </row>
    <row r="15287" spans="26:26" x14ac:dyDescent="0.25">
      <c r="Z15287">
        <v>400000</v>
      </c>
    </row>
    <row r="15288" spans="26:26" x14ac:dyDescent="0.25">
      <c r="Z15288">
        <v>400000</v>
      </c>
    </row>
    <row r="15289" spans="26:26" x14ac:dyDescent="0.25">
      <c r="Z15289">
        <v>400000</v>
      </c>
    </row>
    <row r="15290" spans="26:26" x14ac:dyDescent="0.25">
      <c r="Z15290">
        <v>400000</v>
      </c>
    </row>
    <row r="15291" spans="26:26" x14ac:dyDescent="0.25">
      <c r="Z15291">
        <v>400000</v>
      </c>
    </row>
    <row r="15292" spans="26:26" x14ac:dyDescent="0.25">
      <c r="Z15292">
        <v>400000</v>
      </c>
    </row>
    <row r="15293" spans="26:26" x14ac:dyDescent="0.25">
      <c r="Z15293">
        <v>400000</v>
      </c>
    </row>
    <row r="15294" spans="26:26" x14ac:dyDescent="0.25">
      <c r="Z15294">
        <v>400000</v>
      </c>
    </row>
    <row r="15295" spans="26:26" x14ac:dyDescent="0.25">
      <c r="Z15295">
        <v>400000</v>
      </c>
    </row>
    <row r="15296" spans="26:26" x14ac:dyDescent="0.25">
      <c r="Z15296">
        <v>400000</v>
      </c>
    </row>
    <row r="15297" spans="26:26" x14ac:dyDescent="0.25">
      <c r="Z15297">
        <v>400000</v>
      </c>
    </row>
    <row r="15298" spans="26:26" x14ac:dyDescent="0.25">
      <c r="Z15298">
        <v>400000</v>
      </c>
    </row>
    <row r="15299" spans="26:26" x14ac:dyDescent="0.25">
      <c r="Z15299">
        <v>400000</v>
      </c>
    </row>
    <row r="15300" spans="26:26" x14ac:dyDescent="0.25">
      <c r="Z15300">
        <v>400000</v>
      </c>
    </row>
    <row r="15301" spans="26:26" x14ac:dyDescent="0.25">
      <c r="Z15301">
        <v>400000</v>
      </c>
    </row>
    <row r="15302" spans="26:26" x14ac:dyDescent="0.25">
      <c r="Z15302">
        <v>400000</v>
      </c>
    </row>
    <row r="15303" spans="26:26" x14ac:dyDescent="0.25">
      <c r="Z15303">
        <v>400000</v>
      </c>
    </row>
    <row r="15304" spans="26:26" x14ac:dyDescent="0.25">
      <c r="Z15304">
        <v>400000</v>
      </c>
    </row>
    <row r="15305" spans="26:26" x14ac:dyDescent="0.25">
      <c r="Z15305">
        <v>400000</v>
      </c>
    </row>
    <row r="15306" spans="26:26" x14ac:dyDescent="0.25">
      <c r="Z15306">
        <v>400000</v>
      </c>
    </row>
    <row r="15307" spans="26:26" x14ac:dyDescent="0.25">
      <c r="Z15307">
        <v>400000</v>
      </c>
    </row>
    <row r="15308" spans="26:26" x14ac:dyDescent="0.25">
      <c r="Z15308">
        <v>400000</v>
      </c>
    </row>
    <row r="15309" spans="26:26" x14ac:dyDescent="0.25">
      <c r="Z15309">
        <v>400000</v>
      </c>
    </row>
    <row r="15310" spans="26:26" x14ac:dyDescent="0.25">
      <c r="Z15310">
        <v>400000</v>
      </c>
    </row>
    <row r="15311" spans="26:26" x14ac:dyDescent="0.25">
      <c r="Z15311">
        <v>400000</v>
      </c>
    </row>
    <row r="15312" spans="26:26" x14ac:dyDescent="0.25">
      <c r="Z15312">
        <v>400000</v>
      </c>
    </row>
    <row r="15313" spans="26:26" x14ac:dyDescent="0.25">
      <c r="Z15313">
        <v>400000</v>
      </c>
    </row>
    <row r="15314" spans="26:26" x14ac:dyDescent="0.25">
      <c r="Z15314">
        <v>400000</v>
      </c>
    </row>
    <row r="15315" spans="26:26" x14ac:dyDescent="0.25">
      <c r="Z15315">
        <v>400000</v>
      </c>
    </row>
    <row r="15316" spans="26:26" x14ac:dyDescent="0.25">
      <c r="Z15316">
        <v>400000</v>
      </c>
    </row>
    <row r="15317" spans="26:26" x14ac:dyDescent="0.25">
      <c r="Z15317">
        <v>400000</v>
      </c>
    </row>
    <row r="15318" spans="26:26" x14ac:dyDescent="0.25">
      <c r="Z15318">
        <v>400000</v>
      </c>
    </row>
    <row r="15319" spans="26:26" x14ac:dyDescent="0.25">
      <c r="Z15319">
        <v>400000</v>
      </c>
    </row>
    <row r="15320" spans="26:26" x14ac:dyDescent="0.25">
      <c r="Z15320">
        <v>400000</v>
      </c>
    </row>
    <row r="15321" spans="26:26" x14ac:dyDescent="0.25">
      <c r="Z15321">
        <v>400000</v>
      </c>
    </row>
    <row r="15322" spans="26:26" x14ac:dyDescent="0.25">
      <c r="Z15322">
        <v>400000</v>
      </c>
    </row>
    <row r="15323" spans="26:26" x14ac:dyDescent="0.25">
      <c r="Z15323">
        <v>400000</v>
      </c>
    </row>
    <row r="15324" spans="26:26" x14ac:dyDescent="0.25">
      <c r="Z15324">
        <v>400000</v>
      </c>
    </row>
    <row r="15325" spans="26:26" x14ac:dyDescent="0.25">
      <c r="Z15325">
        <v>400000</v>
      </c>
    </row>
    <row r="15326" spans="26:26" x14ac:dyDescent="0.25">
      <c r="Z15326">
        <v>400000</v>
      </c>
    </row>
    <row r="15327" spans="26:26" x14ac:dyDescent="0.25">
      <c r="Z15327">
        <v>400000</v>
      </c>
    </row>
    <row r="15328" spans="26:26" x14ac:dyDescent="0.25">
      <c r="Z15328">
        <v>400000</v>
      </c>
    </row>
    <row r="15329" spans="26:26" x14ac:dyDescent="0.25">
      <c r="Z15329">
        <v>400000</v>
      </c>
    </row>
    <row r="15330" spans="26:26" x14ac:dyDescent="0.25">
      <c r="Z15330">
        <v>400000</v>
      </c>
    </row>
    <row r="15331" spans="26:26" x14ac:dyDescent="0.25">
      <c r="Z15331">
        <v>400000</v>
      </c>
    </row>
    <row r="15332" spans="26:26" x14ac:dyDescent="0.25">
      <c r="Z15332">
        <v>400000</v>
      </c>
    </row>
    <row r="15333" spans="26:26" x14ac:dyDescent="0.25">
      <c r="Z15333">
        <v>400000</v>
      </c>
    </row>
    <row r="15334" spans="26:26" x14ac:dyDescent="0.25">
      <c r="Z15334">
        <v>400000</v>
      </c>
    </row>
    <row r="15335" spans="26:26" x14ac:dyDescent="0.25">
      <c r="Z15335">
        <v>400000</v>
      </c>
    </row>
    <row r="15336" spans="26:26" x14ac:dyDescent="0.25">
      <c r="Z15336">
        <v>400000</v>
      </c>
    </row>
    <row r="15337" spans="26:26" x14ac:dyDescent="0.25">
      <c r="Z15337">
        <v>400000</v>
      </c>
    </row>
    <row r="15338" spans="26:26" x14ac:dyDescent="0.25">
      <c r="Z15338">
        <v>400000</v>
      </c>
    </row>
    <row r="15339" spans="26:26" x14ac:dyDescent="0.25">
      <c r="Z15339">
        <v>400000</v>
      </c>
    </row>
    <row r="15340" spans="26:26" x14ac:dyDescent="0.25">
      <c r="Z15340">
        <v>400000</v>
      </c>
    </row>
    <row r="15341" spans="26:26" x14ac:dyDescent="0.25">
      <c r="Z15341">
        <v>400000</v>
      </c>
    </row>
    <row r="15342" spans="26:26" x14ac:dyDescent="0.25">
      <c r="Z15342">
        <v>400000</v>
      </c>
    </row>
    <row r="15343" spans="26:26" x14ac:dyDescent="0.25">
      <c r="Z15343">
        <v>400000</v>
      </c>
    </row>
    <row r="15344" spans="26:26" x14ac:dyDescent="0.25">
      <c r="Z15344">
        <v>400000</v>
      </c>
    </row>
    <row r="15345" spans="26:26" x14ac:dyDescent="0.25">
      <c r="Z15345">
        <v>400000</v>
      </c>
    </row>
    <row r="15346" spans="26:26" x14ac:dyDescent="0.25">
      <c r="Z15346">
        <v>400000</v>
      </c>
    </row>
    <row r="15347" spans="26:26" x14ac:dyDescent="0.25">
      <c r="Z15347">
        <v>400000</v>
      </c>
    </row>
    <row r="15348" spans="26:26" x14ac:dyDescent="0.25">
      <c r="Z15348">
        <v>400000</v>
      </c>
    </row>
    <row r="15349" spans="26:26" x14ac:dyDescent="0.25">
      <c r="Z15349">
        <v>400000</v>
      </c>
    </row>
    <row r="15350" spans="26:26" x14ac:dyDescent="0.25">
      <c r="Z15350">
        <v>400000</v>
      </c>
    </row>
    <row r="15351" spans="26:26" x14ac:dyDescent="0.25">
      <c r="Z15351">
        <v>400000</v>
      </c>
    </row>
    <row r="15352" spans="26:26" x14ac:dyDescent="0.25">
      <c r="Z15352">
        <v>400000</v>
      </c>
    </row>
    <row r="15353" spans="26:26" x14ac:dyDescent="0.25">
      <c r="Z15353">
        <v>400000</v>
      </c>
    </row>
    <row r="15354" spans="26:26" x14ac:dyDescent="0.25">
      <c r="Z15354">
        <v>400000</v>
      </c>
    </row>
    <row r="15355" spans="26:26" x14ac:dyDescent="0.25">
      <c r="Z15355">
        <v>400000</v>
      </c>
    </row>
    <row r="15356" spans="26:26" x14ac:dyDescent="0.25">
      <c r="Z15356">
        <v>400000</v>
      </c>
    </row>
    <row r="15357" spans="26:26" x14ac:dyDescent="0.25">
      <c r="Z15357">
        <v>400000</v>
      </c>
    </row>
    <row r="15358" spans="26:26" x14ac:dyDescent="0.25">
      <c r="Z15358">
        <v>400000</v>
      </c>
    </row>
    <row r="15359" spans="26:26" x14ac:dyDescent="0.25">
      <c r="Z15359">
        <v>400000</v>
      </c>
    </row>
    <row r="15360" spans="26:26" x14ac:dyDescent="0.25">
      <c r="Z15360">
        <v>400000</v>
      </c>
    </row>
    <row r="15361" spans="26:26" x14ac:dyDescent="0.25">
      <c r="Z15361">
        <v>400000</v>
      </c>
    </row>
    <row r="15362" spans="26:26" x14ac:dyDescent="0.25">
      <c r="Z15362">
        <v>400000</v>
      </c>
    </row>
    <row r="15363" spans="26:26" x14ac:dyDescent="0.25">
      <c r="Z15363">
        <v>400000</v>
      </c>
    </row>
    <row r="15364" spans="26:26" x14ac:dyDescent="0.25">
      <c r="Z15364">
        <v>400000</v>
      </c>
    </row>
    <row r="15365" spans="26:26" x14ac:dyDescent="0.25">
      <c r="Z15365">
        <v>400000</v>
      </c>
    </row>
    <row r="15366" spans="26:26" x14ac:dyDescent="0.25">
      <c r="Z15366">
        <v>400000</v>
      </c>
    </row>
    <row r="15367" spans="26:26" x14ac:dyDescent="0.25">
      <c r="Z15367">
        <v>400000</v>
      </c>
    </row>
    <row r="15368" spans="26:26" x14ac:dyDescent="0.25">
      <c r="Z15368">
        <v>400000</v>
      </c>
    </row>
    <row r="15369" spans="26:26" x14ac:dyDescent="0.25">
      <c r="Z15369">
        <v>400000</v>
      </c>
    </row>
    <row r="15370" spans="26:26" x14ac:dyDescent="0.25">
      <c r="Z15370">
        <v>400000</v>
      </c>
    </row>
    <row r="15371" spans="26:26" x14ac:dyDescent="0.25">
      <c r="Z15371">
        <v>400000</v>
      </c>
    </row>
    <row r="15372" spans="26:26" x14ac:dyDescent="0.25">
      <c r="Z15372">
        <v>400000</v>
      </c>
    </row>
    <row r="15373" spans="26:26" x14ac:dyDescent="0.25">
      <c r="Z15373">
        <v>400000</v>
      </c>
    </row>
    <row r="15374" spans="26:26" x14ac:dyDescent="0.25">
      <c r="Z15374">
        <v>400000</v>
      </c>
    </row>
    <row r="15375" spans="26:26" x14ac:dyDescent="0.25">
      <c r="Z15375">
        <v>400000</v>
      </c>
    </row>
    <row r="15376" spans="26:26" x14ac:dyDescent="0.25">
      <c r="Z15376">
        <v>400000</v>
      </c>
    </row>
    <row r="15377" spans="26:26" x14ac:dyDescent="0.25">
      <c r="Z15377">
        <v>400000</v>
      </c>
    </row>
    <row r="15378" spans="26:26" x14ac:dyDescent="0.25">
      <c r="Z15378">
        <v>400000</v>
      </c>
    </row>
    <row r="15379" spans="26:26" x14ac:dyDescent="0.25">
      <c r="Z15379">
        <v>400000</v>
      </c>
    </row>
    <row r="15380" spans="26:26" x14ac:dyDescent="0.25">
      <c r="Z15380">
        <v>400000</v>
      </c>
    </row>
    <row r="15381" spans="26:26" x14ac:dyDescent="0.25">
      <c r="Z15381">
        <v>400000</v>
      </c>
    </row>
    <row r="15382" spans="26:26" x14ac:dyDescent="0.25">
      <c r="Z15382">
        <v>400000</v>
      </c>
    </row>
    <row r="15383" spans="26:26" x14ac:dyDescent="0.25">
      <c r="Z15383">
        <v>400000</v>
      </c>
    </row>
    <row r="15384" spans="26:26" x14ac:dyDescent="0.25">
      <c r="Z15384">
        <v>400000</v>
      </c>
    </row>
    <row r="15385" spans="26:26" x14ac:dyDescent="0.25">
      <c r="Z15385">
        <v>400000</v>
      </c>
    </row>
    <row r="15386" spans="26:26" x14ac:dyDescent="0.25">
      <c r="Z15386">
        <v>400000</v>
      </c>
    </row>
    <row r="15387" spans="26:26" x14ac:dyDescent="0.25">
      <c r="Z15387">
        <v>400000</v>
      </c>
    </row>
    <row r="15388" spans="26:26" x14ac:dyDescent="0.25">
      <c r="Z15388">
        <v>400000</v>
      </c>
    </row>
    <row r="15389" spans="26:26" x14ac:dyDescent="0.25">
      <c r="Z15389">
        <v>400000</v>
      </c>
    </row>
    <row r="15390" spans="26:26" x14ac:dyDescent="0.25">
      <c r="Z15390">
        <v>400000</v>
      </c>
    </row>
    <row r="15391" spans="26:26" x14ac:dyDescent="0.25">
      <c r="Z15391">
        <v>400000</v>
      </c>
    </row>
    <row r="15392" spans="26:26" x14ac:dyDescent="0.25">
      <c r="Z15392">
        <v>400000</v>
      </c>
    </row>
    <row r="15393" spans="26:26" x14ac:dyDescent="0.25">
      <c r="Z15393">
        <v>400000</v>
      </c>
    </row>
    <row r="15394" spans="26:26" x14ac:dyDescent="0.25">
      <c r="Z15394">
        <v>400000</v>
      </c>
    </row>
    <row r="15395" spans="26:26" x14ac:dyDescent="0.25">
      <c r="Z15395">
        <v>400000</v>
      </c>
    </row>
    <row r="15396" spans="26:26" x14ac:dyDescent="0.25">
      <c r="Z15396">
        <v>400000</v>
      </c>
    </row>
    <row r="15397" spans="26:26" x14ac:dyDescent="0.25">
      <c r="Z15397">
        <v>400000</v>
      </c>
    </row>
    <row r="15398" spans="26:26" x14ac:dyDescent="0.25">
      <c r="Z15398">
        <v>400000</v>
      </c>
    </row>
    <row r="15399" spans="26:26" x14ac:dyDescent="0.25">
      <c r="Z15399">
        <v>400000</v>
      </c>
    </row>
    <row r="15400" spans="26:26" x14ac:dyDescent="0.25">
      <c r="Z15400">
        <v>400000</v>
      </c>
    </row>
    <row r="15401" spans="26:26" x14ac:dyDescent="0.25">
      <c r="Z15401">
        <v>400000</v>
      </c>
    </row>
    <row r="15402" spans="26:26" x14ac:dyDescent="0.25">
      <c r="Z15402">
        <v>400000</v>
      </c>
    </row>
    <row r="15403" spans="26:26" x14ac:dyDescent="0.25">
      <c r="Z15403">
        <v>400000</v>
      </c>
    </row>
    <row r="15404" spans="26:26" x14ac:dyDescent="0.25">
      <c r="Z15404">
        <v>400000</v>
      </c>
    </row>
    <row r="15405" spans="26:26" x14ac:dyDescent="0.25">
      <c r="Z15405">
        <v>400000</v>
      </c>
    </row>
    <row r="15406" spans="26:26" x14ac:dyDescent="0.25">
      <c r="Z15406">
        <v>400000</v>
      </c>
    </row>
    <row r="15407" spans="26:26" x14ac:dyDescent="0.25">
      <c r="Z15407">
        <v>400000</v>
      </c>
    </row>
    <row r="15408" spans="26:26" x14ac:dyDescent="0.25">
      <c r="Z15408">
        <v>400000</v>
      </c>
    </row>
    <row r="15409" spans="26:26" x14ac:dyDescent="0.25">
      <c r="Z15409">
        <v>400000</v>
      </c>
    </row>
    <row r="15410" spans="26:26" x14ac:dyDescent="0.25">
      <c r="Z15410">
        <v>400000</v>
      </c>
    </row>
    <row r="15411" spans="26:26" x14ac:dyDescent="0.25">
      <c r="Z15411">
        <v>400000</v>
      </c>
    </row>
    <row r="15412" spans="26:26" x14ac:dyDescent="0.25">
      <c r="Z15412">
        <v>400000</v>
      </c>
    </row>
    <row r="15413" spans="26:26" x14ac:dyDescent="0.25">
      <c r="Z15413">
        <v>400000</v>
      </c>
    </row>
    <row r="15414" spans="26:26" x14ac:dyDescent="0.25">
      <c r="Z15414">
        <v>400000</v>
      </c>
    </row>
    <row r="15415" spans="26:26" x14ac:dyDescent="0.25">
      <c r="Z15415">
        <v>400000</v>
      </c>
    </row>
    <row r="15416" spans="26:26" x14ac:dyDescent="0.25">
      <c r="Z15416">
        <v>400000</v>
      </c>
    </row>
    <row r="15417" spans="26:26" x14ac:dyDescent="0.25">
      <c r="Z15417">
        <v>400000</v>
      </c>
    </row>
    <row r="15418" spans="26:26" x14ac:dyDescent="0.25">
      <c r="Z15418">
        <v>400000</v>
      </c>
    </row>
    <row r="15419" spans="26:26" x14ac:dyDescent="0.25">
      <c r="Z15419">
        <v>400000</v>
      </c>
    </row>
    <row r="15420" spans="26:26" x14ac:dyDescent="0.25">
      <c r="Z15420">
        <v>400000</v>
      </c>
    </row>
    <row r="15421" spans="26:26" x14ac:dyDescent="0.25">
      <c r="Z15421">
        <v>400000</v>
      </c>
    </row>
    <row r="15422" spans="26:26" x14ac:dyDescent="0.25">
      <c r="Z15422">
        <v>400000</v>
      </c>
    </row>
    <row r="15423" spans="26:26" x14ac:dyDescent="0.25">
      <c r="Z15423">
        <v>400000</v>
      </c>
    </row>
    <row r="15424" spans="26:26" x14ac:dyDescent="0.25">
      <c r="Z15424">
        <v>400000</v>
      </c>
    </row>
    <row r="15425" spans="26:26" x14ac:dyDescent="0.25">
      <c r="Z15425">
        <v>400000</v>
      </c>
    </row>
    <row r="15426" spans="26:26" x14ac:dyDescent="0.25">
      <c r="Z15426">
        <v>400000</v>
      </c>
    </row>
    <row r="15427" spans="26:26" x14ac:dyDescent="0.25">
      <c r="Z15427">
        <v>400000</v>
      </c>
    </row>
    <row r="15428" spans="26:26" x14ac:dyDescent="0.25">
      <c r="Z15428">
        <v>400000</v>
      </c>
    </row>
    <row r="15429" spans="26:26" x14ac:dyDescent="0.25">
      <c r="Z15429">
        <v>400000</v>
      </c>
    </row>
    <row r="15430" spans="26:26" x14ac:dyDescent="0.25">
      <c r="Z15430">
        <v>400000</v>
      </c>
    </row>
    <row r="15431" spans="26:26" x14ac:dyDescent="0.25">
      <c r="Z15431">
        <v>400000</v>
      </c>
    </row>
    <row r="15432" spans="26:26" x14ac:dyDescent="0.25">
      <c r="Z15432">
        <v>400000</v>
      </c>
    </row>
    <row r="15433" spans="26:26" x14ac:dyDescent="0.25">
      <c r="Z15433">
        <v>400000</v>
      </c>
    </row>
    <row r="15434" spans="26:26" x14ac:dyDescent="0.25">
      <c r="Z15434">
        <v>400000</v>
      </c>
    </row>
    <row r="15435" spans="26:26" x14ac:dyDescent="0.25">
      <c r="Z15435">
        <v>400000</v>
      </c>
    </row>
    <row r="15436" spans="26:26" x14ac:dyDescent="0.25">
      <c r="Z15436">
        <v>400000</v>
      </c>
    </row>
    <row r="15437" spans="26:26" x14ac:dyDescent="0.25">
      <c r="Z15437">
        <v>400000</v>
      </c>
    </row>
    <row r="15438" spans="26:26" x14ac:dyDescent="0.25">
      <c r="Z15438">
        <v>400000</v>
      </c>
    </row>
    <row r="15439" spans="26:26" x14ac:dyDescent="0.25">
      <c r="Z15439">
        <v>400000</v>
      </c>
    </row>
    <row r="15440" spans="26:26" x14ac:dyDescent="0.25">
      <c r="Z15440">
        <v>400000</v>
      </c>
    </row>
    <row r="15441" spans="26:26" x14ac:dyDescent="0.25">
      <c r="Z15441">
        <v>400000</v>
      </c>
    </row>
    <row r="15442" spans="26:26" x14ac:dyDescent="0.25">
      <c r="Z15442">
        <v>400000</v>
      </c>
    </row>
    <row r="15443" spans="26:26" x14ac:dyDescent="0.25">
      <c r="Z15443">
        <v>400000</v>
      </c>
    </row>
    <row r="15444" spans="26:26" x14ac:dyDescent="0.25">
      <c r="Z15444">
        <v>400000</v>
      </c>
    </row>
    <row r="15445" spans="26:26" x14ac:dyDescent="0.25">
      <c r="Z15445">
        <v>400000</v>
      </c>
    </row>
    <row r="15446" spans="26:26" x14ac:dyDescent="0.25">
      <c r="Z15446">
        <v>400000</v>
      </c>
    </row>
    <row r="15447" spans="26:26" x14ac:dyDescent="0.25">
      <c r="Z15447">
        <v>400000</v>
      </c>
    </row>
    <row r="15448" spans="26:26" x14ac:dyDescent="0.25">
      <c r="Z15448">
        <v>400000</v>
      </c>
    </row>
    <row r="15449" spans="26:26" x14ac:dyDescent="0.25">
      <c r="Z15449">
        <v>400000</v>
      </c>
    </row>
    <row r="15450" spans="26:26" x14ac:dyDescent="0.25">
      <c r="Z15450">
        <v>400000</v>
      </c>
    </row>
    <row r="15451" spans="26:26" x14ac:dyDescent="0.25">
      <c r="Z15451">
        <v>400000</v>
      </c>
    </row>
    <row r="15452" spans="26:26" x14ac:dyDescent="0.25">
      <c r="Z15452">
        <v>400000</v>
      </c>
    </row>
    <row r="15453" spans="26:26" x14ac:dyDescent="0.25">
      <c r="Z15453">
        <v>400000</v>
      </c>
    </row>
    <row r="15454" spans="26:26" x14ac:dyDescent="0.25">
      <c r="Z15454">
        <v>400000</v>
      </c>
    </row>
    <row r="15455" spans="26:26" x14ac:dyDescent="0.25">
      <c r="Z15455">
        <v>400000</v>
      </c>
    </row>
    <row r="15456" spans="26:26" x14ac:dyDescent="0.25">
      <c r="Z15456">
        <v>400000</v>
      </c>
    </row>
    <row r="15457" spans="26:26" x14ac:dyDescent="0.25">
      <c r="Z15457">
        <v>400000</v>
      </c>
    </row>
    <row r="15458" spans="26:26" x14ac:dyDescent="0.25">
      <c r="Z15458">
        <v>400000</v>
      </c>
    </row>
    <row r="15459" spans="26:26" x14ac:dyDescent="0.25">
      <c r="Z15459">
        <v>400000</v>
      </c>
    </row>
    <row r="15460" spans="26:26" x14ac:dyDescent="0.25">
      <c r="Z15460">
        <v>400000</v>
      </c>
    </row>
    <row r="15461" spans="26:26" x14ac:dyDescent="0.25">
      <c r="Z15461">
        <v>400000</v>
      </c>
    </row>
    <row r="15462" spans="26:26" x14ac:dyDescent="0.25">
      <c r="Z15462">
        <v>400000</v>
      </c>
    </row>
    <row r="15463" spans="26:26" x14ac:dyDescent="0.25">
      <c r="Z15463">
        <v>400000</v>
      </c>
    </row>
    <row r="15464" spans="26:26" x14ac:dyDescent="0.25">
      <c r="Z15464">
        <v>400000</v>
      </c>
    </row>
    <row r="15465" spans="26:26" x14ac:dyDescent="0.25">
      <c r="Z15465">
        <v>400000</v>
      </c>
    </row>
    <row r="15466" spans="26:26" x14ac:dyDescent="0.25">
      <c r="Z15466">
        <v>400000</v>
      </c>
    </row>
    <row r="15467" spans="26:26" x14ac:dyDescent="0.25">
      <c r="Z15467">
        <v>400000</v>
      </c>
    </row>
    <row r="15468" spans="26:26" x14ac:dyDescent="0.25">
      <c r="Z15468">
        <v>400000</v>
      </c>
    </row>
    <row r="15469" spans="26:26" x14ac:dyDescent="0.25">
      <c r="Z15469">
        <v>400000</v>
      </c>
    </row>
    <row r="15470" spans="26:26" x14ac:dyDescent="0.25">
      <c r="Z15470">
        <v>400000</v>
      </c>
    </row>
    <row r="15471" spans="26:26" x14ac:dyDescent="0.25">
      <c r="Z15471">
        <v>400000</v>
      </c>
    </row>
    <row r="15472" spans="26:26" x14ac:dyDescent="0.25">
      <c r="Z15472">
        <v>400000</v>
      </c>
    </row>
    <row r="15473" spans="26:26" x14ac:dyDescent="0.25">
      <c r="Z15473">
        <v>400000</v>
      </c>
    </row>
    <row r="15474" spans="26:26" x14ac:dyDescent="0.25">
      <c r="Z15474">
        <v>400000</v>
      </c>
    </row>
    <row r="15475" spans="26:26" x14ac:dyDescent="0.25">
      <c r="Z15475">
        <v>400000</v>
      </c>
    </row>
    <row r="15476" spans="26:26" x14ac:dyDescent="0.25">
      <c r="Z15476">
        <v>400000</v>
      </c>
    </row>
    <row r="15477" spans="26:26" x14ac:dyDescent="0.25">
      <c r="Z15477">
        <v>400000</v>
      </c>
    </row>
    <row r="15478" spans="26:26" x14ac:dyDescent="0.25">
      <c r="Z15478">
        <v>400000</v>
      </c>
    </row>
    <row r="15479" spans="26:26" x14ac:dyDescent="0.25">
      <c r="Z15479">
        <v>400000</v>
      </c>
    </row>
    <row r="15480" spans="26:26" x14ac:dyDescent="0.25">
      <c r="Z15480">
        <v>400000</v>
      </c>
    </row>
    <row r="15481" spans="26:26" x14ac:dyDescent="0.25">
      <c r="Z15481">
        <v>400000</v>
      </c>
    </row>
    <row r="15482" spans="26:26" x14ac:dyDescent="0.25">
      <c r="Z15482">
        <v>400000</v>
      </c>
    </row>
    <row r="15483" spans="26:26" x14ac:dyDescent="0.25">
      <c r="Z15483">
        <v>400000</v>
      </c>
    </row>
    <row r="15484" spans="26:26" x14ac:dyDescent="0.25">
      <c r="Z15484">
        <v>400000</v>
      </c>
    </row>
    <row r="15485" spans="26:26" x14ac:dyDescent="0.25">
      <c r="Z15485">
        <v>400000</v>
      </c>
    </row>
    <row r="15486" spans="26:26" x14ac:dyDescent="0.25">
      <c r="Z15486">
        <v>400000</v>
      </c>
    </row>
    <row r="15487" spans="26:26" x14ac:dyDescent="0.25">
      <c r="Z15487">
        <v>400000</v>
      </c>
    </row>
    <row r="15488" spans="26:26" x14ac:dyDescent="0.25">
      <c r="Z15488">
        <v>400000</v>
      </c>
    </row>
    <row r="15489" spans="26:26" x14ac:dyDescent="0.25">
      <c r="Z15489">
        <v>400000</v>
      </c>
    </row>
    <row r="15490" spans="26:26" x14ac:dyDescent="0.25">
      <c r="Z15490">
        <v>400000</v>
      </c>
    </row>
    <row r="15491" spans="26:26" x14ac:dyDescent="0.25">
      <c r="Z15491">
        <v>400000</v>
      </c>
    </row>
    <row r="15492" spans="26:26" x14ac:dyDescent="0.25">
      <c r="Z15492">
        <v>400000</v>
      </c>
    </row>
    <row r="15493" spans="26:26" x14ac:dyDescent="0.25">
      <c r="Z15493">
        <v>400000</v>
      </c>
    </row>
    <row r="15494" spans="26:26" x14ac:dyDescent="0.25">
      <c r="Z15494">
        <v>400000</v>
      </c>
    </row>
    <row r="15495" spans="26:26" x14ac:dyDescent="0.25">
      <c r="Z15495">
        <v>400000</v>
      </c>
    </row>
    <row r="15496" spans="26:26" x14ac:dyDescent="0.25">
      <c r="Z15496">
        <v>400000</v>
      </c>
    </row>
    <row r="15497" spans="26:26" x14ac:dyDescent="0.25">
      <c r="Z15497">
        <v>400000</v>
      </c>
    </row>
    <row r="15498" spans="26:26" x14ac:dyDescent="0.25">
      <c r="Z15498">
        <v>400000</v>
      </c>
    </row>
    <row r="15499" spans="26:26" x14ac:dyDescent="0.25">
      <c r="Z15499">
        <v>400000</v>
      </c>
    </row>
    <row r="15500" spans="26:26" x14ac:dyDescent="0.25">
      <c r="Z15500">
        <v>400000</v>
      </c>
    </row>
    <row r="15501" spans="26:26" x14ac:dyDescent="0.25">
      <c r="Z15501">
        <v>400000</v>
      </c>
    </row>
    <row r="15502" spans="26:26" x14ac:dyDescent="0.25">
      <c r="Z15502">
        <v>400000</v>
      </c>
    </row>
    <row r="15503" spans="26:26" x14ac:dyDescent="0.25">
      <c r="Z15503">
        <v>400000</v>
      </c>
    </row>
    <row r="15504" spans="26:26" x14ac:dyDescent="0.25">
      <c r="Z15504">
        <v>400000</v>
      </c>
    </row>
    <row r="15505" spans="26:26" x14ac:dyDescent="0.25">
      <c r="Z15505">
        <v>400000</v>
      </c>
    </row>
    <row r="15506" spans="26:26" x14ac:dyDescent="0.25">
      <c r="Z15506">
        <v>400000</v>
      </c>
    </row>
    <row r="15507" spans="26:26" x14ac:dyDescent="0.25">
      <c r="Z15507">
        <v>400000</v>
      </c>
    </row>
    <row r="15508" spans="26:26" x14ac:dyDescent="0.25">
      <c r="Z15508">
        <v>400000</v>
      </c>
    </row>
    <row r="15509" spans="26:26" x14ac:dyDescent="0.25">
      <c r="Z15509">
        <v>400000</v>
      </c>
    </row>
    <row r="15510" spans="26:26" x14ac:dyDescent="0.25">
      <c r="Z15510">
        <v>400000</v>
      </c>
    </row>
    <row r="15511" spans="26:26" x14ac:dyDescent="0.25">
      <c r="Z15511">
        <v>400000</v>
      </c>
    </row>
    <row r="15512" spans="26:26" x14ac:dyDescent="0.25">
      <c r="Z15512">
        <v>400000</v>
      </c>
    </row>
    <row r="15513" spans="26:26" x14ac:dyDescent="0.25">
      <c r="Z15513">
        <v>400000</v>
      </c>
    </row>
    <row r="15514" spans="26:26" x14ac:dyDescent="0.25">
      <c r="Z15514">
        <v>400000</v>
      </c>
    </row>
    <row r="15515" spans="26:26" x14ac:dyDescent="0.25">
      <c r="Z15515">
        <v>400000</v>
      </c>
    </row>
    <row r="15516" spans="26:26" x14ac:dyDescent="0.25">
      <c r="Z15516">
        <v>400000</v>
      </c>
    </row>
    <row r="15517" spans="26:26" x14ac:dyDescent="0.25">
      <c r="Z15517">
        <v>400000</v>
      </c>
    </row>
    <row r="15518" spans="26:26" x14ac:dyDescent="0.25">
      <c r="Z15518">
        <v>400000</v>
      </c>
    </row>
    <row r="15519" spans="26:26" x14ac:dyDescent="0.25">
      <c r="Z15519">
        <v>400000</v>
      </c>
    </row>
    <row r="15520" spans="26:26" x14ac:dyDescent="0.25">
      <c r="Z15520">
        <v>400000</v>
      </c>
    </row>
    <row r="15521" spans="26:26" x14ac:dyDescent="0.25">
      <c r="Z15521">
        <v>400000</v>
      </c>
    </row>
    <row r="15522" spans="26:26" x14ac:dyDescent="0.25">
      <c r="Z15522">
        <v>400000</v>
      </c>
    </row>
    <row r="15523" spans="26:26" x14ac:dyDescent="0.25">
      <c r="Z15523">
        <v>400000</v>
      </c>
    </row>
    <row r="15524" spans="26:26" x14ac:dyDescent="0.25">
      <c r="Z15524">
        <v>400000</v>
      </c>
    </row>
    <row r="15525" spans="26:26" x14ac:dyDescent="0.25">
      <c r="Z15525">
        <v>400000</v>
      </c>
    </row>
    <row r="15526" spans="26:26" x14ac:dyDescent="0.25">
      <c r="Z15526">
        <v>400000</v>
      </c>
    </row>
    <row r="15527" spans="26:26" x14ac:dyDescent="0.25">
      <c r="Z15527">
        <v>400000</v>
      </c>
    </row>
    <row r="15528" spans="26:26" x14ac:dyDescent="0.25">
      <c r="Z15528">
        <v>400000</v>
      </c>
    </row>
    <row r="15529" spans="26:26" x14ac:dyDescent="0.25">
      <c r="Z15529">
        <v>400000</v>
      </c>
    </row>
    <row r="15530" spans="26:26" x14ac:dyDescent="0.25">
      <c r="Z15530">
        <v>400000</v>
      </c>
    </row>
    <row r="15531" spans="26:26" x14ac:dyDescent="0.25">
      <c r="Z15531">
        <v>400000</v>
      </c>
    </row>
    <row r="15532" spans="26:26" x14ac:dyDescent="0.25">
      <c r="Z15532">
        <v>400000</v>
      </c>
    </row>
    <row r="15533" spans="26:26" x14ac:dyDescent="0.25">
      <c r="Z15533">
        <v>400000</v>
      </c>
    </row>
    <row r="15534" spans="26:26" x14ac:dyDescent="0.25">
      <c r="Z15534">
        <v>400000</v>
      </c>
    </row>
    <row r="15535" spans="26:26" x14ac:dyDescent="0.25">
      <c r="Z15535">
        <v>400000</v>
      </c>
    </row>
    <row r="15536" spans="26:26" x14ac:dyDescent="0.25">
      <c r="Z15536">
        <v>400000</v>
      </c>
    </row>
    <row r="15537" spans="26:26" x14ac:dyDescent="0.25">
      <c r="Z15537">
        <v>400000</v>
      </c>
    </row>
    <row r="15538" spans="26:26" x14ac:dyDescent="0.25">
      <c r="Z15538">
        <v>400000</v>
      </c>
    </row>
    <row r="15539" spans="26:26" x14ac:dyDescent="0.25">
      <c r="Z15539">
        <v>400000</v>
      </c>
    </row>
    <row r="15540" spans="26:26" x14ac:dyDescent="0.25">
      <c r="Z15540">
        <v>400000</v>
      </c>
    </row>
    <row r="15541" spans="26:26" x14ac:dyDescent="0.25">
      <c r="Z15541">
        <v>400000</v>
      </c>
    </row>
    <row r="15542" spans="26:26" x14ac:dyDescent="0.25">
      <c r="Z15542">
        <v>400000</v>
      </c>
    </row>
    <row r="15543" spans="26:26" x14ac:dyDescent="0.25">
      <c r="Z15543">
        <v>400000</v>
      </c>
    </row>
    <row r="15544" spans="26:26" x14ac:dyDescent="0.25">
      <c r="Z15544">
        <v>400000</v>
      </c>
    </row>
    <row r="15545" spans="26:26" x14ac:dyDescent="0.25">
      <c r="Z15545">
        <v>400000</v>
      </c>
    </row>
    <row r="15546" spans="26:26" x14ac:dyDescent="0.25">
      <c r="Z15546">
        <v>400000</v>
      </c>
    </row>
    <row r="15547" spans="26:26" x14ac:dyDescent="0.25">
      <c r="Z15547">
        <v>400000</v>
      </c>
    </row>
    <row r="15548" spans="26:26" x14ac:dyDescent="0.25">
      <c r="Z15548">
        <v>400000</v>
      </c>
    </row>
    <row r="15549" spans="26:26" x14ac:dyDescent="0.25">
      <c r="Z15549">
        <v>400000</v>
      </c>
    </row>
    <row r="15550" spans="26:26" x14ac:dyDescent="0.25">
      <c r="Z15550">
        <v>400000</v>
      </c>
    </row>
    <row r="15551" spans="26:26" x14ac:dyDescent="0.25">
      <c r="Z15551">
        <v>400000</v>
      </c>
    </row>
    <row r="15552" spans="26:26" x14ac:dyDescent="0.25">
      <c r="Z15552">
        <v>400000</v>
      </c>
    </row>
    <row r="15553" spans="26:26" x14ac:dyDescent="0.25">
      <c r="Z15553">
        <v>400000</v>
      </c>
    </row>
    <row r="15554" spans="26:26" x14ac:dyDescent="0.25">
      <c r="Z15554">
        <v>400000</v>
      </c>
    </row>
    <row r="15555" spans="26:26" x14ac:dyDescent="0.25">
      <c r="Z15555">
        <v>400000</v>
      </c>
    </row>
    <row r="15556" spans="26:26" x14ac:dyDescent="0.25">
      <c r="Z15556">
        <v>400000</v>
      </c>
    </row>
    <row r="15557" spans="26:26" x14ac:dyDescent="0.25">
      <c r="Z15557">
        <v>400000</v>
      </c>
    </row>
    <row r="15558" spans="26:26" x14ac:dyDescent="0.25">
      <c r="Z15558">
        <v>400000</v>
      </c>
    </row>
    <row r="15559" spans="26:26" x14ac:dyDescent="0.25">
      <c r="Z15559">
        <v>400000</v>
      </c>
    </row>
    <row r="15560" spans="26:26" x14ac:dyDescent="0.25">
      <c r="Z15560">
        <v>400000</v>
      </c>
    </row>
    <row r="15561" spans="26:26" x14ac:dyDescent="0.25">
      <c r="Z15561">
        <v>400000</v>
      </c>
    </row>
    <row r="15562" spans="26:26" x14ac:dyDescent="0.25">
      <c r="Z15562">
        <v>400000</v>
      </c>
    </row>
    <row r="15563" spans="26:26" x14ac:dyDescent="0.25">
      <c r="Z15563">
        <v>400000</v>
      </c>
    </row>
    <row r="15564" spans="26:26" x14ac:dyDescent="0.25">
      <c r="Z15564">
        <v>400000</v>
      </c>
    </row>
    <row r="15565" spans="26:26" x14ac:dyDescent="0.25">
      <c r="Z15565">
        <v>400000</v>
      </c>
    </row>
    <row r="15566" spans="26:26" x14ac:dyDescent="0.25">
      <c r="Z15566">
        <v>400000</v>
      </c>
    </row>
    <row r="15567" spans="26:26" x14ac:dyDescent="0.25">
      <c r="Z15567">
        <v>400000</v>
      </c>
    </row>
    <row r="15568" spans="26:26" x14ac:dyDescent="0.25">
      <c r="Z15568">
        <v>400000</v>
      </c>
    </row>
    <row r="15569" spans="26:26" x14ac:dyDescent="0.25">
      <c r="Z15569">
        <v>400000</v>
      </c>
    </row>
    <row r="15570" spans="26:26" x14ac:dyDescent="0.25">
      <c r="Z15570">
        <v>400000</v>
      </c>
    </row>
    <row r="15571" spans="26:26" x14ac:dyDescent="0.25">
      <c r="Z15571">
        <v>400000</v>
      </c>
    </row>
    <row r="15572" spans="26:26" x14ac:dyDescent="0.25">
      <c r="Z15572">
        <v>400000</v>
      </c>
    </row>
    <row r="15573" spans="26:26" x14ac:dyDescent="0.25">
      <c r="Z15573">
        <v>400000</v>
      </c>
    </row>
    <row r="15574" spans="26:26" x14ac:dyDescent="0.25">
      <c r="Z15574">
        <v>400000</v>
      </c>
    </row>
    <row r="15575" spans="26:26" x14ac:dyDescent="0.25">
      <c r="Z15575">
        <v>400000</v>
      </c>
    </row>
    <row r="15576" spans="26:26" x14ac:dyDescent="0.25">
      <c r="Z15576">
        <v>400000</v>
      </c>
    </row>
    <row r="15577" spans="26:26" x14ac:dyDescent="0.25">
      <c r="Z15577">
        <v>400000</v>
      </c>
    </row>
    <row r="15578" spans="26:26" x14ac:dyDescent="0.25">
      <c r="Z15578">
        <v>400000</v>
      </c>
    </row>
    <row r="15579" spans="26:26" x14ac:dyDescent="0.25">
      <c r="Z15579">
        <v>400000</v>
      </c>
    </row>
    <row r="15580" spans="26:26" x14ac:dyDescent="0.25">
      <c r="Z15580">
        <v>400000</v>
      </c>
    </row>
    <row r="15581" spans="26:26" x14ac:dyDescent="0.25">
      <c r="Z15581">
        <v>400000</v>
      </c>
    </row>
    <row r="15582" spans="26:26" x14ac:dyDescent="0.25">
      <c r="Z15582">
        <v>400000</v>
      </c>
    </row>
    <row r="15583" spans="26:26" x14ac:dyDescent="0.25">
      <c r="Z15583">
        <v>400000</v>
      </c>
    </row>
    <row r="15584" spans="26:26" x14ac:dyDescent="0.25">
      <c r="Z15584">
        <v>400000</v>
      </c>
    </row>
    <row r="15585" spans="26:26" x14ac:dyDescent="0.25">
      <c r="Z15585">
        <v>400000</v>
      </c>
    </row>
    <row r="15586" spans="26:26" x14ac:dyDescent="0.25">
      <c r="Z15586">
        <v>400000</v>
      </c>
    </row>
    <row r="15587" spans="26:26" x14ac:dyDescent="0.25">
      <c r="Z15587">
        <v>400000</v>
      </c>
    </row>
    <row r="15588" spans="26:26" x14ac:dyDescent="0.25">
      <c r="Z15588">
        <v>400000</v>
      </c>
    </row>
    <row r="15589" spans="26:26" x14ac:dyDescent="0.25">
      <c r="Z15589">
        <v>400000</v>
      </c>
    </row>
    <row r="15590" spans="26:26" x14ac:dyDescent="0.25">
      <c r="Z15590">
        <v>400000</v>
      </c>
    </row>
    <row r="15591" spans="26:26" x14ac:dyDescent="0.25">
      <c r="Z15591">
        <v>400000</v>
      </c>
    </row>
    <row r="15592" spans="26:26" x14ac:dyDescent="0.25">
      <c r="Z15592">
        <v>400000</v>
      </c>
    </row>
    <row r="15593" spans="26:26" x14ac:dyDescent="0.25">
      <c r="Z15593">
        <v>400000</v>
      </c>
    </row>
    <row r="15594" spans="26:26" x14ac:dyDescent="0.25">
      <c r="Z15594">
        <v>400000</v>
      </c>
    </row>
    <row r="15595" spans="26:26" x14ac:dyDescent="0.25">
      <c r="Z15595">
        <v>400000</v>
      </c>
    </row>
    <row r="15596" spans="26:26" x14ac:dyDescent="0.25">
      <c r="Z15596">
        <v>400000</v>
      </c>
    </row>
    <row r="15597" spans="26:26" x14ac:dyDescent="0.25">
      <c r="Z15597">
        <v>400000</v>
      </c>
    </row>
    <row r="15598" spans="26:26" x14ac:dyDescent="0.25">
      <c r="Z15598">
        <v>400000</v>
      </c>
    </row>
    <row r="15599" spans="26:26" x14ac:dyDescent="0.25">
      <c r="Z15599">
        <v>400000</v>
      </c>
    </row>
    <row r="15600" spans="26:26" x14ac:dyDescent="0.25">
      <c r="Z15600">
        <v>400000</v>
      </c>
    </row>
    <row r="15601" spans="26:26" x14ac:dyDescent="0.25">
      <c r="Z15601">
        <v>400000</v>
      </c>
    </row>
    <row r="15602" spans="26:26" x14ac:dyDescent="0.25">
      <c r="Z15602">
        <v>400000</v>
      </c>
    </row>
    <row r="15603" spans="26:26" x14ac:dyDescent="0.25">
      <c r="Z15603">
        <v>400000</v>
      </c>
    </row>
    <row r="15604" spans="26:26" x14ac:dyDescent="0.25">
      <c r="Z15604">
        <v>400000</v>
      </c>
    </row>
    <row r="15605" spans="26:26" x14ac:dyDescent="0.25">
      <c r="Z15605">
        <v>400000</v>
      </c>
    </row>
    <row r="15606" spans="26:26" x14ac:dyDescent="0.25">
      <c r="Z15606">
        <v>400000</v>
      </c>
    </row>
    <row r="15607" spans="26:26" x14ac:dyDescent="0.25">
      <c r="Z15607">
        <v>400000</v>
      </c>
    </row>
    <row r="15608" spans="26:26" x14ac:dyDescent="0.25">
      <c r="Z15608">
        <v>400000</v>
      </c>
    </row>
    <row r="15609" spans="26:26" x14ac:dyDescent="0.25">
      <c r="Z15609">
        <v>400000</v>
      </c>
    </row>
    <row r="15610" spans="26:26" x14ac:dyDescent="0.25">
      <c r="Z15610">
        <v>400000</v>
      </c>
    </row>
    <row r="15611" spans="26:26" x14ac:dyDescent="0.25">
      <c r="Z15611">
        <v>400000</v>
      </c>
    </row>
    <row r="15612" spans="26:26" x14ac:dyDescent="0.25">
      <c r="Z15612">
        <v>400000</v>
      </c>
    </row>
    <row r="15613" spans="26:26" x14ac:dyDescent="0.25">
      <c r="Z15613">
        <v>400000</v>
      </c>
    </row>
    <row r="15614" spans="26:26" x14ac:dyDescent="0.25">
      <c r="Z15614">
        <v>400000</v>
      </c>
    </row>
    <row r="15615" spans="26:26" x14ac:dyDescent="0.25">
      <c r="Z15615">
        <v>400000</v>
      </c>
    </row>
    <row r="15616" spans="26:26" x14ac:dyDescent="0.25">
      <c r="Z15616">
        <v>400000</v>
      </c>
    </row>
    <row r="15617" spans="26:26" x14ac:dyDescent="0.25">
      <c r="Z15617">
        <v>400000</v>
      </c>
    </row>
    <row r="15618" spans="26:26" x14ac:dyDescent="0.25">
      <c r="Z15618">
        <v>400000</v>
      </c>
    </row>
    <row r="15619" spans="26:26" x14ac:dyDescent="0.25">
      <c r="Z15619">
        <v>400000</v>
      </c>
    </row>
    <row r="15620" spans="26:26" x14ac:dyDescent="0.25">
      <c r="Z15620">
        <v>400000</v>
      </c>
    </row>
    <row r="15621" spans="26:26" x14ac:dyDescent="0.25">
      <c r="Z15621">
        <v>400000</v>
      </c>
    </row>
    <row r="15622" spans="26:26" x14ac:dyDescent="0.25">
      <c r="Z15622">
        <v>400000</v>
      </c>
    </row>
    <row r="15623" spans="26:26" x14ac:dyDescent="0.25">
      <c r="Z15623">
        <v>400000</v>
      </c>
    </row>
    <row r="15624" spans="26:26" x14ac:dyDescent="0.25">
      <c r="Z15624">
        <v>400000</v>
      </c>
    </row>
    <row r="15625" spans="26:26" x14ac:dyDescent="0.25">
      <c r="Z15625">
        <v>400000</v>
      </c>
    </row>
    <row r="15626" spans="26:26" x14ac:dyDescent="0.25">
      <c r="Z15626">
        <v>400000</v>
      </c>
    </row>
    <row r="15627" spans="26:26" x14ac:dyDescent="0.25">
      <c r="Z15627">
        <v>400000</v>
      </c>
    </row>
    <row r="15628" spans="26:26" x14ac:dyDescent="0.25">
      <c r="Z15628">
        <v>400000</v>
      </c>
    </row>
    <row r="15629" spans="26:26" x14ac:dyDescent="0.25">
      <c r="Z15629">
        <v>400000</v>
      </c>
    </row>
    <row r="15630" spans="26:26" x14ac:dyDescent="0.25">
      <c r="Z15630">
        <v>400000</v>
      </c>
    </row>
    <row r="15631" spans="26:26" x14ac:dyDescent="0.25">
      <c r="Z15631">
        <v>400000</v>
      </c>
    </row>
    <row r="15632" spans="26:26" x14ac:dyDescent="0.25">
      <c r="Z15632">
        <v>400000</v>
      </c>
    </row>
    <row r="15633" spans="26:26" x14ac:dyDescent="0.25">
      <c r="Z15633">
        <v>400000</v>
      </c>
    </row>
    <row r="15634" spans="26:26" x14ac:dyDescent="0.25">
      <c r="Z15634">
        <v>400000</v>
      </c>
    </row>
    <row r="15635" spans="26:26" x14ac:dyDescent="0.25">
      <c r="Z15635">
        <v>400000</v>
      </c>
    </row>
    <row r="15636" spans="26:26" x14ac:dyDescent="0.25">
      <c r="Z15636">
        <v>400000</v>
      </c>
    </row>
    <row r="15637" spans="26:26" x14ac:dyDescent="0.25">
      <c r="Z15637">
        <v>400000</v>
      </c>
    </row>
    <row r="15638" spans="26:26" x14ac:dyDescent="0.25">
      <c r="Z15638">
        <v>400000</v>
      </c>
    </row>
    <row r="15639" spans="26:26" x14ac:dyDescent="0.25">
      <c r="Z15639">
        <v>400000</v>
      </c>
    </row>
    <row r="15640" spans="26:26" x14ac:dyDescent="0.25">
      <c r="Z15640">
        <v>400000</v>
      </c>
    </row>
    <row r="15641" spans="26:26" x14ac:dyDescent="0.25">
      <c r="Z15641">
        <v>400000</v>
      </c>
    </row>
    <row r="15642" spans="26:26" x14ac:dyDescent="0.25">
      <c r="Z15642">
        <v>400000</v>
      </c>
    </row>
    <row r="15643" spans="26:26" x14ac:dyDescent="0.25">
      <c r="Z15643">
        <v>400000</v>
      </c>
    </row>
    <row r="15644" spans="26:26" x14ac:dyDescent="0.25">
      <c r="Z15644">
        <v>400000</v>
      </c>
    </row>
    <row r="15645" spans="26:26" x14ac:dyDescent="0.25">
      <c r="Z15645">
        <v>400000</v>
      </c>
    </row>
    <row r="15646" spans="26:26" x14ac:dyDescent="0.25">
      <c r="Z15646">
        <v>400000</v>
      </c>
    </row>
    <row r="15647" spans="26:26" x14ac:dyDescent="0.25">
      <c r="Z15647">
        <v>400000</v>
      </c>
    </row>
    <row r="15648" spans="26:26" x14ac:dyDescent="0.25">
      <c r="Z15648">
        <v>400000</v>
      </c>
    </row>
    <row r="15649" spans="26:26" x14ac:dyDescent="0.25">
      <c r="Z15649">
        <v>400000</v>
      </c>
    </row>
    <row r="15650" spans="26:26" x14ac:dyDescent="0.25">
      <c r="Z15650">
        <v>400000</v>
      </c>
    </row>
    <row r="15651" spans="26:26" x14ac:dyDescent="0.25">
      <c r="Z15651">
        <v>400000</v>
      </c>
    </row>
    <row r="15652" spans="26:26" x14ac:dyDescent="0.25">
      <c r="Z15652">
        <v>400000</v>
      </c>
    </row>
    <row r="15653" spans="26:26" x14ac:dyDescent="0.25">
      <c r="Z15653">
        <v>400000</v>
      </c>
    </row>
    <row r="15654" spans="26:26" x14ac:dyDescent="0.25">
      <c r="Z15654">
        <v>400000</v>
      </c>
    </row>
    <row r="15655" spans="26:26" x14ac:dyDescent="0.25">
      <c r="Z15655">
        <v>400000</v>
      </c>
    </row>
    <row r="15656" spans="26:26" x14ac:dyDescent="0.25">
      <c r="Z15656">
        <v>400000</v>
      </c>
    </row>
    <row r="15657" spans="26:26" x14ac:dyDescent="0.25">
      <c r="Z15657">
        <v>400000</v>
      </c>
    </row>
    <row r="15658" spans="26:26" x14ac:dyDescent="0.25">
      <c r="Z15658">
        <v>400000</v>
      </c>
    </row>
    <row r="15659" spans="26:26" x14ac:dyDescent="0.25">
      <c r="Z15659">
        <v>400000</v>
      </c>
    </row>
    <row r="15660" spans="26:26" x14ac:dyDescent="0.25">
      <c r="Z15660">
        <v>400000</v>
      </c>
    </row>
    <row r="15661" spans="26:26" x14ac:dyDescent="0.25">
      <c r="Z15661">
        <v>400000</v>
      </c>
    </row>
    <row r="15662" spans="26:26" x14ac:dyDescent="0.25">
      <c r="Z15662">
        <v>400000</v>
      </c>
    </row>
    <row r="15663" spans="26:26" x14ac:dyDescent="0.25">
      <c r="Z15663">
        <v>400000</v>
      </c>
    </row>
    <row r="15664" spans="26:26" x14ac:dyDescent="0.25">
      <c r="Z15664">
        <v>400000</v>
      </c>
    </row>
    <row r="15665" spans="26:26" x14ac:dyDescent="0.25">
      <c r="Z15665">
        <v>400000</v>
      </c>
    </row>
    <row r="15666" spans="26:26" x14ac:dyDescent="0.25">
      <c r="Z15666">
        <v>400000</v>
      </c>
    </row>
    <row r="15667" spans="26:26" x14ac:dyDescent="0.25">
      <c r="Z15667">
        <v>400000</v>
      </c>
    </row>
    <row r="15668" spans="26:26" x14ac:dyDescent="0.25">
      <c r="Z15668">
        <v>400000</v>
      </c>
    </row>
    <row r="15669" spans="26:26" x14ac:dyDescent="0.25">
      <c r="Z15669">
        <v>400000</v>
      </c>
    </row>
    <row r="15670" spans="26:26" x14ac:dyDescent="0.25">
      <c r="Z15670">
        <v>400000</v>
      </c>
    </row>
    <row r="15671" spans="26:26" x14ac:dyDescent="0.25">
      <c r="Z15671">
        <v>400000</v>
      </c>
    </row>
    <row r="15672" spans="26:26" x14ac:dyDescent="0.25">
      <c r="Z15672">
        <v>400000</v>
      </c>
    </row>
    <row r="15673" spans="26:26" x14ac:dyDescent="0.25">
      <c r="Z15673">
        <v>400000</v>
      </c>
    </row>
    <row r="15674" spans="26:26" x14ac:dyDescent="0.25">
      <c r="Z15674">
        <v>400000</v>
      </c>
    </row>
    <row r="15675" spans="26:26" x14ac:dyDescent="0.25">
      <c r="Z15675">
        <v>400000</v>
      </c>
    </row>
    <row r="15676" spans="26:26" x14ac:dyDescent="0.25">
      <c r="Z15676">
        <v>400000</v>
      </c>
    </row>
    <row r="15677" spans="26:26" x14ac:dyDescent="0.25">
      <c r="Z15677">
        <v>400000</v>
      </c>
    </row>
    <row r="15678" spans="26:26" x14ac:dyDescent="0.25">
      <c r="Z15678">
        <v>400000</v>
      </c>
    </row>
    <row r="15679" spans="26:26" x14ac:dyDescent="0.25">
      <c r="Z15679">
        <v>400000</v>
      </c>
    </row>
    <row r="15680" spans="26:26" x14ac:dyDescent="0.25">
      <c r="Z15680">
        <v>400000</v>
      </c>
    </row>
    <row r="15681" spans="26:26" x14ac:dyDescent="0.25">
      <c r="Z15681">
        <v>400000</v>
      </c>
    </row>
    <row r="15682" spans="26:26" x14ac:dyDescent="0.25">
      <c r="Z15682">
        <v>400000</v>
      </c>
    </row>
    <row r="15683" spans="26:26" x14ac:dyDescent="0.25">
      <c r="Z15683">
        <v>400000</v>
      </c>
    </row>
    <row r="15684" spans="26:26" x14ac:dyDescent="0.25">
      <c r="Z15684">
        <v>400000</v>
      </c>
    </row>
    <row r="15685" spans="26:26" x14ac:dyDescent="0.25">
      <c r="Z15685">
        <v>400000</v>
      </c>
    </row>
    <row r="15686" spans="26:26" x14ac:dyDescent="0.25">
      <c r="Z15686">
        <v>400000</v>
      </c>
    </row>
    <row r="15687" spans="26:26" x14ac:dyDescent="0.25">
      <c r="Z15687">
        <v>400000</v>
      </c>
    </row>
    <row r="15688" spans="26:26" x14ac:dyDescent="0.25">
      <c r="Z15688">
        <v>400000</v>
      </c>
    </row>
    <row r="15689" spans="26:26" x14ac:dyDescent="0.25">
      <c r="Z15689">
        <v>400000</v>
      </c>
    </row>
    <row r="15690" spans="26:26" x14ac:dyDescent="0.25">
      <c r="Z15690">
        <v>400000</v>
      </c>
    </row>
    <row r="15691" spans="26:26" x14ac:dyDescent="0.25">
      <c r="Z15691">
        <v>400000</v>
      </c>
    </row>
    <row r="15692" spans="26:26" x14ac:dyDescent="0.25">
      <c r="Z15692">
        <v>400000</v>
      </c>
    </row>
    <row r="15693" spans="26:26" x14ac:dyDescent="0.25">
      <c r="Z15693">
        <v>400000</v>
      </c>
    </row>
    <row r="15694" spans="26:26" x14ac:dyDescent="0.25">
      <c r="Z15694">
        <v>400000</v>
      </c>
    </row>
    <row r="15695" spans="26:26" x14ac:dyDescent="0.25">
      <c r="Z15695">
        <v>400000</v>
      </c>
    </row>
    <row r="15696" spans="26:26" x14ac:dyDescent="0.25">
      <c r="Z15696">
        <v>400000</v>
      </c>
    </row>
    <row r="15697" spans="26:26" x14ac:dyDescent="0.25">
      <c r="Z15697">
        <v>400000</v>
      </c>
    </row>
    <row r="15698" spans="26:26" x14ac:dyDescent="0.25">
      <c r="Z15698">
        <v>400000</v>
      </c>
    </row>
    <row r="15699" spans="26:26" x14ac:dyDescent="0.25">
      <c r="Z15699">
        <v>400000</v>
      </c>
    </row>
    <row r="15700" spans="26:26" x14ac:dyDescent="0.25">
      <c r="Z15700">
        <v>400000</v>
      </c>
    </row>
    <row r="15701" spans="26:26" x14ac:dyDescent="0.25">
      <c r="Z15701">
        <v>400000</v>
      </c>
    </row>
    <row r="15702" spans="26:26" x14ac:dyDescent="0.25">
      <c r="Z15702">
        <v>400000</v>
      </c>
    </row>
    <row r="15703" spans="26:26" x14ac:dyDescent="0.25">
      <c r="Z15703">
        <v>400000</v>
      </c>
    </row>
    <row r="15704" spans="26:26" x14ac:dyDescent="0.25">
      <c r="Z15704">
        <v>400000</v>
      </c>
    </row>
    <row r="15705" spans="26:26" x14ac:dyDescent="0.25">
      <c r="Z15705">
        <v>400000</v>
      </c>
    </row>
    <row r="15706" spans="26:26" x14ac:dyDescent="0.25">
      <c r="Z15706">
        <v>400000</v>
      </c>
    </row>
    <row r="15707" spans="26:26" x14ac:dyDescent="0.25">
      <c r="Z15707">
        <v>400000</v>
      </c>
    </row>
    <row r="15708" spans="26:26" x14ac:dyDescent="0.25">
      <c r="Z15708">
        <v>400000</v>
      </c>
    </row>
    <row r="15709" spans="26:26" x14ac:dyDescent="0.25">
      <c r="Z15709">
        <v>400000</v>
      </c>
    </row>
    <row r="15710" spans="26:26" x14ac:dyDescent="0.25">
      <c r="Z15710">
        <v>400000</v>
      </c>
    </row>
    <row r="15711" spans="26:26" x14ac:dyDescent="0.25">
      <c r="Z15711">
        <v>400000</v>
      </c>
    </row>
    <row r="15712" spans="26:26" x14ac:dyDescent="0.25">
      <c r="Z15712">
        <v>400000</v>
      </c>
    </row>
    <row r="15713" spans="26:26" x14ac:dyDescent="0.25">
      <c r="Z15713">
        <v>400000</v>
      </c>
    </row>
    <row r="15714" spans="26:26" x14ac:dyDescent="0.25">
      <c r="Z15714">
        <v>400000</v>
      </c>
    </row>
    <row r="15715" spans="26:26" x14ac:dyDescent="0.25">
      <c r="Z15715">
        <v>400000</v>
      </c>
    </row>
    <row r="15716" spans="26:26" x14ac:dyDescent="0.25">
      <c r="Z15716">
        <v>400000</v>
      </c>
    </row>
    <row r="15717" spans="26:26" x14ac:dyDescent="0.25">
      <c r="Z15717">
        <v>400000</v>
      </c>
    </row>
    <row r="15718" spans="26:26" x14ac:dyDescent="0.25">
      <c r="Z15718">
        <v>400000</v>
      </c>
    </row>
    <row r="15719" spans="26:26" x14ac:dyDescent="0.25">
      <c r="Z15719">
        <v>400000</v>
      </c>
    </row>
    <row r="15720" spans="26:26" x14ac:dyDescent="0.25">
      <c r="Z15720">
        <v>400000</v>
      </c>
    </row>
    <row r="15721" spans="26:26" x14ac:dyDescent="0.25">
      <c r="Z15721">
        <v>400000</v>
      </c>
    </row>
    <row r="15722" spans="26:26" x14ac:dyDescent="0.25">
      <c r="Z15722">
        <v>400000</v>
      </c>
    </row>
    <row r="15723" spans="26:26" x14ac:dyDescent="0.25">
      <c r="Z15723">
        <v>400000</v>
      </c>
    </row>
    <row r="15724" spans="26:26" x14ac:dyDescent="0.25">
      <c r="Z15724">
        <v>400000</v>
      </c>
    </row>
    <row r="15725" spans="26:26" x14ac:dyDescent="0.25">
      <c r="Z15725">
        <v>400000</v>
      </c>
    </row>
    <row r="15726" spans="26:26" x14ac:dyDescent="0.25">
      <c r="Z15726">
        <v>400000</v>
      </c>
    </row>
    <row r="15727" spans="26:26" x14ac:dyDescent="0.25">
      <c r="Z15727">
        <v>400000</v>
      </c>
    </row>
    <row r="15728" spans="26:26" x14ac:dyDescent="0.25">
      <c r="Z15728">
        <v>400000</v>
      </c>
    </row>
    <row r="15729" spans="26:26" x14ac:dyDescent="0.25">
      <c r="Z15729">
        <v>400000</v>
      </c>
    </row>
    <row r="15730" spans="26:26" x14ac:dyDescent="0.25">
      <c r="Z15730">
        <v>400000</v>
      </c>
    </row>
    <row r="15731" spans="26:26" x14ac:dyDescent="0.25">
      <c r="Z15731">
        <v>400000</v>
      </c>
    </row>
    <row r="15732" spans="26:26" x14ac:dyDescent="0.25">
      <c r="Z15732">
        <v>400000</v>
      </c>
    </row>
    <row r="15733" spans="26:26" x14ac:dyDescent="0.25">
      <c r="Z15733">
        <v>400000</v>
      </c>
    </row>
    <row r="15734" spans="26:26" x14ac:dyDescent="0.25">
      <c r="Z15734">
        <v>400000</v>
      </c>
    </row>
    <row r="15735" spans="26:26" x14ac:dyDescent="0.25">
      <c r="Z15735">
        <v>400000</v>
      </c>
    </row>
    <row r="15736" spans="26:26" x14ac:dyDescent="0.25">
      <c r="Z15736">
        <v>400000</v>
      </c>
    </row>
    <row r="15737" spans="26:26" x14ac:dyDescent="0.25">
      <c r="Z15737">
        <v>400000</v>
      </c>
    </row>
    <row r="15738" spans="26:26" x14ac:dyDescent="0.25">
      <c r="Z15738">
        <v>400000</v>
      </c>
    </row>
    <row r="15739" spans="26:26" x14ac:dyDescent="0.25">
      <c r="Z15739">
        <v>400000</v>
      </c>
    </row>
    <row r="15740" spans="26:26" x14ac:dyDescent="0.25">
      <c r="Z15740">
        <v>400000</v>
      </c>
    </row>
    <row r="15741" spans="26:26" x14ac:dyDescent="0.25">
      <c r="Z15741">
        <v>400000</v>
      </c>
    </row>
    <row r="15742" spans="26:26" x14ac:dyDescent="0.25">
      <c r="Z15742">
        <v>400000</v>
      </c>
    </row>
    <row r="15743" spans="26:26" x14ac:dyDescent="0.25">
      <c r="Z15743">
        <v>400000</v>
      </c>
    </row>
    <row r="15744" spans="26:26" x14ac:dyDescent="0.25">
      <c r="Z15744">
        <v>400000</v>
      </c>
    </row>
    <row r="15745" spans="26:26" x14ac:dyDescent="0.25">
      <c r="Z15745">
        <v>400000</v>
      </c>
    </row>
    <row r="15746" spans="26:26" x14ac:dyDescent="0.25">
      <c r="Z15746">
        <v>400000</v>
      </c>
    </row>
    <row r="15747" spans="26:26" x14ac:dyDescent="0.25">
      <c r="Z15747">
        <v>400000</v>
      </c>
    </row>
    <row r="15748" spans="26:26" x14ac:dyDescent="0.25">
      <c r="Z15748">
        <v>400000</v>
      </c>
    </row>
    <row r="15749" spans="26:26" x14ac:dyDescent="0.25">
      <c r="Z15749">
        <v>400000</v>
      </c>
    </row>
    <row r="15750" spans="26:26" x14ac:dyDescent="0.25">
      <c r="Z15750">
        <v>400000</v>
      </c>
    </row>
    <row r="15751" spans="26:26" x14ac:dyDescent="0.25">
      <c r="Z15751">
        <v>400000</v>
      </c>
    </row>
    <row r="15752" spans="26:26" x14ac:dyDescent="0.25">
      <c r="Z15752">
        <v>400000</v>
      </c>
    </row>
    <row r="15753" spans="26:26" x14ac:dyDescent="0.25">
      <c r="Z15753">
        <v>400000</v>
      </c>
    </row>
    <row r="15754" spans="26:26" x14ac:dyDescent="0.25">
      <c r="Z15754">
        <v>400000</v>
      </c>
    </row>
    <row r="15755" spans="26:26" x14ac:dyDescent="0.25">
      <c r="Z15755">
        <v>400000</v>
      </c>
    </row>
    <row r="15756" spans="26:26" x14ac:dyDescent="0.25">
      <c r="Z15756">
        <v>400000</v>
      </c>
    </row>
    <row r="15757" spans="26:26" x14ac:dyDescent="0.25">
      <c r="Z15757">
        <v>400000</v>
      </c>
    </row>
    <row r="15758" spans="26:26" x14ac:dyDescent="0.25">
      <c r="Z15758">
        <v>400000</v>
      </c>
    </row>
    <row r="15759" spans="26:26" x14ac:dyDescent="0.25">
      <c r="Z15759">
        <v>400000</v>
      </c>
    </row>
    <row r="15760" spans="26:26" x14ac:dyDescent="0.25">
      <c r="Z15760">
        <v>400000</v>
      </c>
    </row>
    <row r="15761" spans="26:26" x14ac:dyDescent="0.25">
      <c r="Z15761">
        <v>400000</v>
      </c>
    </row>
    <row r="15762" spans="26:26" x14ac:dyDescent="0.25">
      <c r="Z15762">
        <v>400000</v>
      </c>
    </row>
    <row r="15763" spans="26:26" x14ac:dyDescent="0.25">
      <c r="Z15763">
        <v>400000</v>
      </c>
    </row>
    <row r="15764" spans="26:26" x14ac:dyDescent="0.25">
      <c r="Z15764">
        <v>400000</v>
      </c>
    </row>
    <row r="15765" spans="26:26" x14ac:dyDescent="0.25">
      <c r="Z15765">
        <v>400000</v>
      </c>
    </row>
    <row r="15766" spans="26:26" x14ac:dyDescent="0.25">
      <c r="Z15766">
        <v>400000</v>
      </c>
    </row>
    <row r="15767" spans="26:26" x14ac:dyDescent="0.25">
      <c r="Z15767">
        <v>400000</v>
      </c>
    </row>
    <row r="15768" spans="26:26" x14ac:dyDescent="0.25">
      <c r="Z15768">
        <v>400000</v>
      </c>
    </row>
    <row r="15769" spans="26:26" x14ac:dyDescent="0.25">
      <c r="Z15769">
        <v>400000</v>
      </c>
    </row>
    <row r="15770" spans="26:26" x14ac:dyDescent="0.25">
      <c r="Z15770">
        <v>400000</v>
      </c>
    </row>
    <row r="15771" spans="26:26" x14ac:dyDescent="0.25">
      <c r="Z15771">
        <v>400000</v>
      </c>
    </row>
    <row r="15772" spans="26:26" x14ac:dyDescent="0.25">
      <c r="Z15772">
        <v>400000</v>
      </c>
    </row>
    <row r="15773" spans="26:26" x14ac:dyDescent="0.25">
      <c r="Z15773">
        <v>400000</v>
      </c>
    </row>
    <row r="15774" spans="26:26" x14ac:dyDescent="0.25">
      <c r="Z15774">
        <v>400000</v>
      </c>
    </row>
    <row r="15775" spans="26:26" x14ac:dyDescent="0.25">
      <c r="Z15775">
        <v>400000</v>
      </c>
    </row>
    <row r="15776" spans="26:26" x14ac:dyDescent="0.25">
      <c r="Z15776">
        <v>400000</v>
      </c>
    </row>
    <row r="15777" spans="26:26" x14ac:dyDescent="0.25">
      <c r="Z15777">
        <v>400000</v>
      </c>
    </row>
    <row r="15778" spans="26:26" x14ac:dyDescent="0.25">
      <c r="Z15778">
        <v>400000</v>
      </c>
    </row>
    <row r="15779" spans="26:26" x14ac:dyDescent="0.25">
      <c r="Z15779">
        <v>400000</v>
      </c>
    </row>
    <row r="15780" spans="26:26" x14ac:dyDescent="0.25">
      <c r="Z15780">
        <v>400000</v>
      </c>
    </row>
    <row r="15781" spans="26:26" x14ac:dyDescent="0.25">
      <c r="Z15781">
        <v>400000</v>
      </c>
    </row>
    <row r="15782" spans="26:26" x14ac:dyDescent="0.25">
      <c r="Z15782">
        <v>400000</v>
      </c>
    </row>
    <row r="15783" spans="26:26" x14ac:dyDescent="0.25">
      <c r="Z15783">
        <v>400000</v>
      </c>
    </row>
    <row r="15784" spans="26:26" x14ac:dyDescent="0.25">
      <c r="Z15784">
        <v>400000</v>
      </c>
    </row>
    <row r="15785" spans="26:26" x14ac:dyDescent="0.25">
      <c r="Z15785">
        <v>400000</v>
      </c>
    </row>
    <row r="15786" spans="26:26" x14ac:dyDescent="0.25">
      <c r="Z15786">
        <v>400000</v>
      </c>
    </row>
    <row r="15787" spans="26:26" x14ac:dyDescent="0.25">
      <c r="Z15787">
        <v>400000</v>
      </c>
    </row>
    <row r="15788" spans="26:26" x14ac:dyDescent="0.25">
      <c r="Z15788">
        <v>400000</v>
      </c>
    </row>
    <row r="15789" spans="26:26" x14ac:dyDescent="0.25">
      <c r="Z15789">
        <v>400000</v>
      </c>
    </row>
    <row r="15790" spans="26:26" x14ac:dyDescent="0.25">
      <c r="Z15790">
        <v>400000</v>
      </c>
    </row>
    <row r="15791" spans="26:26" x14ac:dyDescent="0.25">
      <c r="Z15791">
        <v>400000</v>
      </c>
    </row>
    <row r="15792" spans="26:26" x14ac:dyDescent="0.25">
      <c r="Z15792">
        <v>400000</v>
      </c>
    </row>
    <row r="15793" spans="26:26" x14ac:dyDescent="0.25">
      <c r="Z15793">
        <v>400000</v>
      </c>
    </row>
    <row r="15794" spans="26:26" x14ac:dyDescent="0.25">
      <c r="Z15794">
        <v>400000</v>
      </c>
    </row>
    <row r="15795" spans="26:26" x14ac:dyDescent="0.25">
      <c r="Z15795">
        <v>400000</v>
      </c>
    </row>
    <row r="15796" spans="26:26" x14ac:dyDescent="0.25">
      <c r="Z15796">
        <v>400000</v>
      </c>
    </row>
    <row r="15797" spans="26:26" x14ac:dyDescent="0.25">
      <c r="Z15797">
        <v>400000</v>
      </c>
    </row>
    <row r="15798" spans="26:26" x14ac:dyDescent="0.25">
      <c r="Z15798">
        <v>400000</v>
      </c>
    </row>
    <row r="15799" spans="26:26" x14ac:dyDescent="0.25">
      <c r="Z15799">
        <v>400000</v>
      </c>
    </row>
    <row r="15800" spans="26:26" x14ac:dyDescent="0.25">
      <c r="Z15800">
        <v>400000</v>
      </c>
    </row>
    <row r="15801" spans="26:26" x14ac:dyDescent="0.25">
      <c r="Z15801">
        <v>400000</v>
      </c>
    </row>
    <row r="15802" spans="26:26" x14ac:dyDescent="0.25">
      <c r="Z15802">
        <v>400000</v>
      </c>
    </row>
    <row r="15803" spans="26:26" x14ac:dyDescent="0.25">
      <c r="Z15803">
        <v>400000</v>
      </c>
    </row>
    <row r="15804" spans="26:26" x14ac:dyDescent="0.25">
      <c r="Z15804">
        <v>400000</v>
      </c>
    </row>
    <row r="15805" spans="26:26" x14ac:dyDescent="0.25">
      <c r="Z15805">
        <v>400000</v>
      </c>
    </row>
    <row r="15806" spans="26:26" x14ac:dyDescent="0.25">
      <c r="Z15806">
        <v>400000</v>
      </c>
    </row>
    <row r="15807" spans="26:26" x14ac:dyDescent="0.25">
      <c r="Z15807">
        <v>400000</v>
      </c>
    </row>
    <row r="15808" spans="26:26" x14ac:dyDescent="0.25">
      <c r="Z15808">
        <v>400000</v>
      </c>
    </row>
    <row r="15809" spans="26:26" x14ac:dyDescent="0.25">
      <c r="Z15809">
        <v>400000</v>
      </c>
    </row>
    <row r="15810" spans="26:26" x14ac:dyDescent="0.25">
      <c r="Z15810">
        <v>400000</v>
      </c>
    </row>
    <row r="15811" spans="26:26" x14ac:dyDescent="0.25">
      <c r="Z15811">
        <v>400000</v>
      </c>
    </row>
    <row r="15812" spans="26:26" x14ac:dyDescent="0.25">
      <c r="Z15812">
        <v>400000</v>
      </c>
    </row>
    <row r="15813" spans="26:26" x14ac:dyDescent="0.25">
      <c r="Z15813">
        <v>400000</v>
      </c>
    </row>
    <row r="15814" spans="26:26" x14ac:dyDescent="0.25">
      <c r="Z15814">
        <v>400000</v>
      </c>
    </row>
    <row r="15815" spans="26:26" x14ac:dyDescent="0.25">
      <c r="Z15815">
        <v>400000</v>
      </c>
    </row>
    <row r="15816" spans="26:26" x14ac:dyDescent="0.25">
      <c r="Z15816">
        <v>400000</v>
      </c>
    </row>
    <row r="15817" spans="26:26" x14ac:dyDescent="0.25">
      <c r="Z15817">
        <v>400000</v>
      </c>
    </row>
    <row r="15818" spans="26:26" x14ac:dyDescent="0.25">
      <c r="Z15818">
        <v>400000</v>
      </c>
    </row>
    <row r="15819" spans="26:26" x14ac:dyDescent="0.25">
      <c r="Z15819">
        <v>400000</v>
      </c>
    </row>
    <row r="15820" spans="26:26" x14ac:dyDescent="0.25">
      <c r="Z15820">
        <v>400000</v>
      </c>
    </row>
    <row r="15821" spans="26:26" x14ac:dyDescent="0.25">
      <c r="Z15821">
        <v>400000</v>
      </c>
    </row>
    <row r="15822" spans="26:26" x14ac:dyDescent="0.25">
      <c r="Z15822">
        <v>400000</v>
      </c>
    </row>
    <row r="15823" spans="26:26" x14ac:dyDescent="0.25">
      <c r="Z15823">
        <v>400000</v>
      </c>
    </row>
    <row r="15824" spans="26:26" x14ac:dyDescent="0.25">
      <c r="Z15824">
        <v>400000</v>
      </c>
    </row>
    <row r="15825" spans="26:26" x14ac:dyDescent="0.25">
      <c r="Z15825">
        <v>400000</v>
      </c>
    </row>
    <row r="15826" spans="26:26" x14ac:dyDescent="0.25">
      <c r="Z15826">
        <v>400000</v>
      </c>
    </row>
    <row r="15827" spans="26:26" x14ac:dyDescent="0.25">
      <c r="Z15827">
        <v>400000</v>
      </c>
    </row>
    <row r="15828" spans="26:26" x14ac:dyDescent="0.25">
      <c r="Z15828">
        <v>400000</v>
      </c>
    </row>
    <row r="15829" spans="26:26" x14ac:dyDescent="0.25">
      <c r="Z15829">
        <v>400000</v>
      </c>
    </row>
    <row r="15830" spans="26:26" x14ac:dyDescent="0.25">
      <c r="Z15830">
        <v>400000</v>
      </c>
    </row>
    <row r="15831" spans="26:26" x14ac:dyDescent="0.25">
      <c r="Z15831">
        <v>400000</v>
      </c>
    </row>
    <row r="15832" spans="26:26" x14ac:dyDescent="0.25">
      <c r="Z15832">
        <v>400000</v>
      </c>
    </row>
    <row r="15833" spans="26:26" x14ac:dyDescent="0.25">
      <c r="Z15833">
        <v>400000</v>
      </c>
    </row>
    <row r="15834" spans="26:26" x14ac:dyDescent="0.25">
      <c r="Z15834">
        <v>400000</v>
      </c>
    </row>
    <row r="15835" spans="26:26" x14ac:dyDescent="0.25">
      <c r="Z15835">
        <v>400000</v>
      </c>
    </row>
    <row r="15836" spans="26:26" x14ac:dyDescent="0.25">
      <c r="Z15836">
        <v>400000</v>
      </c>
    </row>
    <row r="15837" spans="26:26" x14ac:dyDescent="0.25">
      <c r="Z15837">
        <v>400000</v>
      </c>
    </row>
    <row r="15838" spans="26:26" x14ac:dyDescent="0.25">
      <c r="Z15838">
        <v>400000</v>
      </c>
    </row>
    <row r="15839" spans="26:26" x14ac:dyDescent="0.25">
      <c r="Z15839">
        <v>400000</v>
      </c>
    </row>
    <row r="15840" spans="26:26" x14ac:dyDescent="0.25">
      <c r="Z15840">
        <v>400000</v>
      </c>
    </row>
    <row r="15841" spans="26:26" x14ac:dyDescent="0.25">
      <c r="Z15841">
        <v>400000</v>
      </c>
    </row>
    <row r="15842" spans="26:26" x14ac:dyDescent="0.25">
      <c r="Z15842">
        <v>400000</v>
      </c>
    </row>
    <row r="15843" spans="26:26" x14ac:dyDescent="0.25">
      <c r="Z15843">
        <v>400000</v>
      </c>
    </row>
    <row r="15844" spans="26:26" x14ac:dyDescent="0.25">
      <c r="Z15844">
        <v>400000</v>
      </c>
    </row>
    <row r="15845" spans="26:26" x14ac:dyDescent="0.25">
      <c r="Z15845">
        <v>400000</v>
      </c>
    </row>
    <row r="15846" spans="26:26" x14ac:dyDescent="0.25">
      <c r="Z15846">
        <v>400000</v>
      </c>
    </row>
    <row r="15847" spans="26:26" x14ac:dyDescent="0.25">
      <c r="Z15847">
        <v>400000</v>
      </c>
    </row>
    <row r="15848" spans="26:26" x14ac:dyDescent="0.25">
      <c r="Z15848">
        <v>400000</v>
      </c>
    </row>
    <row r="15849" spans="26:26" x14ac:dyDescent="0.25">
      <c r="Z15849">
        <v>400000</v>
      </c>
    </row>
    <row r="15850" spans="26:26" x14ac:dyDescent="0.25">
      <c r="Z15850">
        <v>400000</v>
      </c>
    </row>
    <row r="15851" spans="26:26" x14ac:dyDescent="0.25">
      <c r="Z15851">
        <v>400000</v>
      </c>
    </row>
    <row r="15852" spans="26:26" x14ac:dyDescent="0.25">
      <c r="Z15852">
        <v>400000</v>
      </c>
    </row>
    <row r="15853" spans="26:26" x14ac:dyDescent="0.25">
      <c r="Z15853">
        <v>400000</v>
      </c>
    </row>
    <row r="15854" spans="26:26" x14ac:dyDescent="0.25">
      <c r="Z15854">
        <v>400000</v>
      </c>
    </row>
    <row r="15855" spans="26:26" x14ac:dyDescent="0.25">
      <c r="Z15855">
        <v>400000</v>
      </c>
    </row>
    <row r="15856" spans="26:26" x14ac:dyDescent="0.25">
      <c r="Z15856">
        <v>400000</v>
      </c>
    </row>
    <row r="15857" spans="26:26" x14ac:dyDescent="0.25">
      <c r="Z15857">
        <v>400000</v>
      </c>
    </row>
    <row r="15858" spans="26:26" x14ac:dyDescent="0.25">
      <c r="Z15858">
        <v>400000</v>
      </c>
    </row>
    <row r="15859" spans="26:26" x14ac:dyDescent="0.25">
      <c r="Z15859">
        <v>400000</v>
      </c>
    </row>
    <row r="15860" spans="26:26" x14ac:dyDescent="0.25">
      <c r="Z15860">
        <v>400000</v>
      </c>
    </row>
    <row r="15861" spans="26:26" x14ac:dyDescent="0.25">
      <c r="Z15861">
        <v>400000</v>
      </c>
    </row>
    <row r="15862" spans="26:26" x14ac:dyDescent="0.25">
      <c r="Z15862">
        <v>400000</v>
      </c>
    </row>
    <row r="15863" spans="26:26" x14ac:dyDescent="0.25">
      <c r="Z15863">
        <v>400000</v>
      </c>
    </row>
    <row r="15864" spans="26:26" x14ac:dyDescent="0.25">
      <c r="Z15864">
        <v>400000</v>
      </c>
    </row>
    <row r="15865" spans="26:26" x14ac:dyDescent="0.25">
      <c r="Z15865">
        <v>400000</v>
      </c>
    </row>
    <row r="15866" spans="26:26" x14ac:dyDescent="0.25">
      <c r="Z15866">
        <v>400000</v>
      </c>
    </row>
    <row r="15867" spans="26:26" x14ac:dyDescent="0.25">
      <c r="Z15867">
        <v>400000</v>
      </c>
    </row>
    <row r="15868" spans="26:26" x14ac:dyDescent="0.25">
      <c r="Z15868">
        <v>400000</v>
      </c>
    </row>
    <row r="15869" spans="26:26" x14ac:dyDescent="0.25">
      <c r="Z15869">
        <v>400000</v>
      </c>
    </row>
    <row r="15870" spans="26:26" x14ac:dyDescent="0.25">
      <c r="Z15870">
        <v>400000</v>
      </c>
    </row>
    <row r="15871" spans="26:26" x14ac:dyDescent="0.25">
      <c r="Z15871">
        <v>400000</v>
      </c>
    </row>
    <row r="15872" spans="26:26" x14ac:dyDescent="0.25">
      <c r="Z15872">
        <v>400000</v>
      </c>
    </row>
    <row r="15873" spans="26:26" x14ac:dyDescent="0.25">
      <c r="Z15873">
        <v>400000</v>
      </c>
    </row>
    <row r="15874" spans="26:26" x14ac:dyDescent="0.25">
      <c r="Z15874">
        <v>400000</v>
      </c>
    </row>
    <row r="15875" spans="26:26" x14ac:dyDescent="0.25">
      <c r="Z15875">
        <v>400000</v>
      </c>
    </row>
    <row r="15876" spans="26:26" x14ac:dyDescent="0.25">
      <c r="Z15876">
        <v>400000</v>
      </c>
    </row>
    <row r="15877" spans="26:26" x14ac:dyDescent="0.25">
      <c r="Z15877">
        <v>400000</v>
      </c>
    </row>
    <row r="15878" spans="26:26" x14ac:dyDescent="0.25">
      <c r="Z15878">
        <v>400000</v>
      </c>
    </row>
    <row r="15879" spans="26:26" x14ac:dyDescent="0.25">
      <c r="Z15879">
        <v>400000</v>
      </c>
    </row>
    <row r="15880" spans="26:26" x14ac:dyDescent="0.25">
      <c r="Z15880">
        <v>400000</v>
      </c>
    </row>
    <row r="15881" spans="26:26" x14ac:dyDescent="0.25">
      <c r="Z15881">
        <v>400000</v>
      </c>
    </row>
    <row r="15882" spans="26:26" x14ac:dyDescent="0.25">
      <c r="Z15882">
        <v>400000</v>
      </c>
    </row>
    <row r="15883" spans="26:26" x14ac:dyDescent="0.25">
      <c r="Z15883">
        <v>400000</v>
      </c>
    </row>
    <row r="15884" spans="26:26" x14ac:dyDescent="0.25">
      <c r="Z15884">
        <v>400000</v>
      </c>
    </row>
    <row r="15885" spans="26:26" x14ac:dyDescent="0.25">
      <c r="Z15885">
        <v>400000</v>
      </c>
    </row>
    <row r="15886" spans="26:26" x14ac:dyDescent="0.25">
      <c r="Z15886">
        <v>400000</v>
      </c>
    </row>
    <row r="15887" spans="26:26" x14ac:dyDescent="0.25">
      <c r="Z15887">
        <v>400000</v>
      </c>
    </row>
    <row r="15888" spans="26:26" x14ac:dyDescent="0.25">
      <c r="Z15888">
        <v>400000</v>
      </c>
    </row>
    <row r="15889" spans="26:26" x14ac:dyDescent="0.25">
      <c r="Z15889">
        <v>400000</v>
      </c>
    </row>
    <row r="15890" spans="26:26" x14ac:dyDescent="0.25">
      <c r="Z15890">
        <v>400000</v>
      </c>
    </row>
    <row r="15891" spans="26:26" x14ac:dyDescent="0.25">
      <c r="Z15891">
        <v>400000</v>
      </c>
    </row>
    <row r="15892" spans="26:26" x14ac:dyDescent="0.25">
      <c r="Z15892">
        <v>400000</v>
      </c>
    </row>
    <row r="15893" spans="26:26" x14ac:dyDescent="0.25">
      <c r="Z15893">
        <v>400000</v>
      </c>
    </row>
    <row r="15894" spans="26:26" x14ac:dyDescent="0.25">
      <c r="Z15894">
        <v>400000</v>
      </c>
    </row>
    <row r="15895" spans="26:26" x14ac:dyDescent="0.25">
      <c r="Z15895">
        <v>400000</v>
      </c>
    </row>
    <row r="15896" spans="26:26" x14ac:dyDescent="0.25">
      <c r="Z15896">
        <v>400000</v>
      </c>
    </row>
    <row r="15897" spans="26:26" x14ac:dyDescent="0.25">
      <c r="Z15897">
        <v>400000</v>
      </c>
    </row>
    <row r="15898" spans="26:26" x14ac:dyDescent="0.25">
      <c r="Z15898">
        <v>400000</v>
      </c>
    </row>
    <row r="15899" spans="26:26" x14ac:dyDescent="0.25">
      <c r="Z15899">
        <v>400000</v>
      </c>
    </row>
    <row r="15900" spans="26:26" x14ac:dyDescent="0.25">
      <c r="Z15900">
        <v>400000</v>
      </c>
    </row>
    <row r="15901" spans="26:26" x14ac:dyDescent="0.25">
      <c r="Z15901">
        <v>400000</v>
      </c>
    </row>
    <row r="15902" spans="26:26" x14ac:dyDescent="0.25">
      <c r="Z15902">
        <v>400000</v>
      </c>
    </row>
    <row r="15903" spans="26:26" x14ac:dyDescent="0.25">
      <c r="Z15903">
        <v>400000</v>
      </c>
    </row>
    <row r="15904" spans="26:26" x14ac:dyDescent="0.25">
      <c r="Z15904">
        <v>400000</v>
      </c>
    </row>
    <row r="15905" spans="26:26" x14ac:dyDescent="0.25">
      <c r="Z15905">
        <v>400000</v>
      </c>
    </row>
    <row r="15906" spans="26:26" x14ac:dyDescent="0.25">
      <c r="Z15906">
        <v>400000</v>
      </c>
    </row>
    <row r="15907" spans="26:26" x14ac:dyDescent="0.25">
      <c r="Z15907">
        <v>400000</v>
      </c>
    </row>
    <row r="15908" spans="26:26" x14ac:dyDescent="0.25">
      <c r="Z15908">
        <v>400000</v>
      </c>
    </row>
    <row r="15909" spans="26:26" x14ac:dyDescent="0.25">
      <c r="Z15909">
        <v>400000</v>
      </c>
    </row>
    <row r="15910" spans="26:26" x14ac:dyDescent="0.25">
      <c r="Z15910">
        <v>400000</v>
      </c>
    </row>
    <row r="15911" spans="26:26" x14ac:dyDescent="0.25">
      <c r="Z15911">
        <v>400000</v>
      </c>
    </row>
    <row r="15912" spans="26:26" x14ac:dyDescent="0.25">
      <c r="Z15912">
        <v>400000</v>
      </c>
    </row>
    <row r="15913" spans="26:26" x14ac:dyDescent="0.25">
      <c r="Z15913">
        <v>400000</v>
      </c>
    </row>
    <row r="15914" spans="26:26" x14ac:dyDescent="0.25">
      <c r="Z15914">
        <v>400000</v>
      </c>
    </row>
    <row r="15915" spans="26:26" x14ac:dyDescent="0.25">
      <c r="Z15915">
        <v>400000</v>
      </c>
    </row>
    <row r="15916" spans="26:26" x14ac:dyDescent="0.25">
      <c r="Z15916">
        <v>400000</v>
      </c>
    </row>
    <row r="15917" spans="26:26" x14ac:dyDescent="0.25">
      <c r="Z15917">
        <v>400000</v>
      </c>
    </row>
    <row r="15918" spans="26:26" x14ac:dyDescent="0.25">
      <c r="Z15918">
        <v>400000</v>
      </c>
    </row>
    <row r="15919" spans="26:26" x14ac:dyDescent="0.25">
      <c r="Z15919">
        <v>400000</v>
      </c>
    </row>
    <row r="15920" spans="26:26" x14ac:dyDescent="0.25">
      <c r="Z15920">
        <v>400000</v>
      </c>
    </row>
    <row r="15921" spans="26:26" x14ac:dyDescent="0.25">
      <c r="Z15921">
        <v>400000</v>
      </c>
    </row>
    <row r="15922" spans="26:26" x14ac:dyDescent="0.25">
      <c r="Z15922">
        <v>400000</v>
      </c>
    </row>
    <row r="15923" spans="26:26" x14ac:dyDescent="0.25">
      <c r="Z15923">
        <v>400000</v>
      </c>
    </row>
    <row r="15924" spans="26:26" x14ac:dyDescent="0.25">
      <c r="Z15924">
        <v>400000</v>
      </c>
    </row>
    <row r="15925" spans="26:26" x14ac:dyDescent="0.25">
      <c r="Z15925">
        <v>400000</v>
      </c>
    </row>
    <row r="15926" spans="26:26" x14ac:dyDescent="0.25">
      <c r="Z15926">
        <v>400000</v>
      </c>
    </row>
    <row r="15927" spans="26:26" x14ac:dyDescent="0.25">
      <c r="Z15927">
        <v>400000</v>
      </c>
    </row>
    <row r="15928" spans="26:26" x14ac:dyDescent="0.25">
      <c r="Z15928">
        <v>400000</v>
      </c>
    </row>
    <row r="15929" spans="26:26" x14ac:dyDescent="0.25">
      <c r="Z15929">
        <v>400000</v>
      </c>
    </row>
    <row r="15930" spans="26:26" x14ac:dyDescent="0.25">
      <c r="Z15930">
        <v>400000</v>
      </c>
    </row>
    <row r="15931" spans="26:26" x14ac:dyDescent="0.25">
      <c r="Z15931">
        <v>400000</v>
      </c>
    </row>
    <row r="15932" spans="26:26" x14ac:dyDescent="0.25">
      <c r="Z15932">
        <v>400000</v>
      </c>
    </row>
    <row r="15933" spans="26:26" x14ac:dyDescent="0.25">
      <c r="Z15933">
        <v>400000</v>
      </c>
    </row>
    <row r="15934" spans="26:26" x14ac:dyDescent="0.25">
      <c r="Z15934">
        <v>400000</v>
      </c>
    </row>
    <row r="15935" spans="26:26" x14ac:dyDescent="0.25">
      <c r="Z15935">
        <v>400000</v>
      </c>
    </row>
    <row r="15936" spans="26:26" x14ac:dyDescent="0.25">
      <c r="Z15936">
        <v>400000</v>
      </c>
    </row>
    <row r="15937" spans="26:26" x14ac:dyDescent="0.25">
      <c r="Z15937">
        <v>400000</v>
      </c>
    </row>
    <row r="15938" spans="26:26" x14ac:dyDescent="0.25">
      <c r="Z15938">
        <v>400000</v>
      </c>
    </row>
    <row r="15939" spans="26:26" x14ac:dyDescent="0.25">
      <c r="Z15939">
        <v>400000</v>
      </c>
    </row>
    <row r="15940" spans="26:26" x14ac:dyDescent="0.25">
      <c r="Z15940">
        <v>400000</v>
      </c>
    </row>
    <row r="15941" spans="26:26" x14ac:dyDescent="0.25">
      <c r="Z15941">
        <v>400000</v>
      </c>
    </row>
    <row r="15942" spans="26:26" x14ac:dyDescent="0.25">
      <c r="Z15942">
        <v>400000</v>
      </c>
    </row>
    <row r="15943" spans="26:26" x14ac:dyDescent="0.25">
      <c r="Z15943">
        <v>400000</v>
      </c>
    </row>
    <row r="15944" spans="26:26" x14ac:dyDescent="0.25">
      <c r="Z15944">
        <v>400000</v>
      </c>
    </row>
    <row r="15945" spans="26:26" x14ac:dyDescent="0.25">
      <c r="Z15945">
        <v>400000</v>
      </c>
    </row>
    <row r="15946" spans="26:26" x14ac:dyDescent="0.25">
      <c r="Z15946">
        <v>400000</v>
      </c>
    </row>
    <row r="15947" spans="26:26" x14ac:dyDescent="0.25">
      <c r="Z15947">
        <v>400000</v>
      </c>
    </row>
    <row r="15948" spans="26:26" x14ac:dyDescent="0.25">
      <c r="Z15948">
        <v>400000</v>
      </c>
    </row>
    <row r="15949" spans="26:26" x14ac:dyDescent="0.25">
      <c r="Z15949">
        <v>400000</v>
      </c>
    </row>
    <row r="15950" spans="26:26" x14ac:dyDescent="0.25">
      <c r="Z15950">
        <v>400000</v>
      </c>
    </row>
    <row r="15951" spans="26:26" x14ac:dyDescent="0.25">
      <c r="Z15951">
        <v>400000</v>
      </c>
    </row>
    <row r="15952" spans="26:26" x14ac:dyDescent="0.25">
      <c r="Z15952">
        <v>400000</v>
      </c>
    </row>
    <row r="15953" spans="26:26" x14ac:dyDescent="0.25">
      <c r="Z15953">
        <v>400000</v>
      </c>
    </row>
    <row r="15954" spans="26:26" x14ac:dyDescent="0.25">
      <c r="Z15954">
        <v>400000</v>
      </c>
    </row>
    <row r="15955" spans="26:26" x14ac:dyDescent="0.25">
      <c r="Z15955">
        <v>400000</v>
      </c>
    </row>
    <row r="15956" spans="26:26" x14ac:dyDescent="0.25">
      <c r="Z15956">
        <v>400000</v>
      </c>
    </row>
    <row r="15957" spans="26:26" x14ac:dyDescent="0.25">
      <c r="Z15957">
        <v>400000</v>
      </c>
    </row>
    <row r="15958" spans="26:26" x14ac:dyDescent="0.25">
      <c r="Z15958">
        <v>400000</v>
      </c>
    </row>
    <row r="15959" spans="26:26" x14ac:dyDescent="0.25">
      <c r="Z15959">
        <v>400000</v>
      </c>
    </row>
    <row r="15960" spans="26:26" x14ac:dyDescent="0.25">
      <c r="Z15960">
        <v>400000</v>
      </c>
    </row>
    <row r="15961" spans="26:26" x14ac:dyDescent="0.25">
      <c r="Z15961">
        <v>400000</v>
      </c>
    </row>
    <row r="15962" spans="26:26" x14ac:dyDescent="0.25">
      <c r="Z15962">
        <v>400000</v>
      </c>
    </row>
    <row r="15963" spans="26:26" x14ac:dyDescent="0.25">
      <c r="Z15963">
        <v>400000</v>
      </c>
    </row>
    <row r="15964" spans="26:26" x14ac:dyDescent="0.25">
      <c r="Z15964">
        <v>400000</v>
      </c>
    </row>
    <row r="15965" spans="26:26" x14ac:dyDescent="0.25">
      <c r="Z15965">
        <v>400000</v>
      </c>
    </row>
    <row r="15966" spans="26:26" x14ac:dyDescent="0.25">
      <c r="Z15966">
        <v>400000</v>
      </c>
    </row>
    <row r="15967" spans="26:26" x14ac:dyDescent="0.25">
      <c r="Z15967">
        <v>400000</v>
      </c>
    </row>
    <row r="15968" spans="26:26" x14ac:dyDescent="0.25">
      <c r="Z15968">
        <v>400000</v>
      </c>
    </row>
    <row r="15969" spans="26:26" x14ac:dyDescent="0.25">
      <c r="Z15969">
        <v>400000</v>
      </c>
    </row>
    <row r="15970" spans="26:26" x14ac:dyDescent="0.25">
      <c r="Z15970">
        <v>400000</v>
      </c>
    </row>
    <row r="15971" spans="26:26" x14ac:dyDescent="0.25">
      <c r="Z15971">
        <v>400000</v>
      </c>
    </row>
    <row r="15972" spans="26:26" x14ac:dyDescent="0.25">
      <c r="Z15972">
        <v>400000</v>
      </c>
    </row>
    <row r="15973" spans="26:26" x14ac:dyDescent="0.25">
      <c r="Z15973">
        <v>400000</v>
      </c>
    </row>
    <row r="15974" spans="26:26" x14ac:dyDescent="0.25">
      <c r="Z15974">
        <v>400000</v>
      </c>
    </row>
    <row r="15975" spans="26:26" x14ac:dyDescent="0.25">
      <c r="Z15975">
        <v>400000</v>
      </c>
    </row>
    <row r="15976" spans="26:26" x14ac:dyDescent="0.25">
      <c r="Z15976">
        <v>400000</v>
      </c>
    </row>
    <row r="15977" spans="26:26" x14ac:dyDescent="0.25">
      <c r="Z15977">
        <v>400000</v>
      </c>
    </row>
    <row r="15978" spans="26:26" x14ac:dyDescent="0.25">
      <c r="Z15978">
        <v>400000</v>
      </c>
    </row>
    <row r="15979" spans="26:26" x14ac:dyDescent="0.25">
      <c r="Z15979">
        <v>400000</v>
      </c>
    </row>
    <row r="15980" spans="26:26" x14ac:dyDescent="0.25">
      <c r="Z15980">
        <v>400000</v>
      </c>
    </row>
    <row r="15981" spans="26:26" x14ac:dyDescent="0.25">
      <c r="Z15981">
        <v>400000</v>
      </c>
    </row>
    <row r="15982" spans="26:26" x14ac:dyDescent="0.25">
      <c r="Z15982">
        <v>400000</v>
      </c>
    </row>
    <row r="15983" spans="26:26" x14ac:dyDescent="0.25">
      <c r="Z15983">
        <v>400000</v>
      </c>
    </row>
    <row r="15984" spans="26:26" x14ac:dyDescent="0.25">
      <c r="Z15984">
        <v>400000</v>
      </c>
    </row>
    <row r="15985" spans="26:26" x14ac:dyDescent="0.25">
      <c r="Z15985">
        <v>400000</v>
      </c>
    </row>
    <row r="15986" spans="26:26" x14ac:dyDescent="0.25">
      <c r="Z15986">
        <v>400000</v>
      </c>
    </row>
    <row r="15987" spans="26:26" x14ac:dyDescent="0.25">
      <c r="Z15987">
        <v>400000</v>
      </c>
    </row>
    <row r="15988" spans="26:26" x14ac:dyDescent="0.25">
      <c r="Z15988">
        <v>400000</v>
      </c>
    </row>
    <row r="15989" spans="26:26" x14ac:dyDescent="0.25">
      <c r="Z15989">
        <v>400000</v>
      </c>
    </row>
    <row r="15990" spans="26:26" x14ac:dyDescent="0.25">
      <c r="Z15990">
        <v>400000</v>
      </c>
    </row>
    <row r="15991" spans="26:26" x14ac:dyDescent="0.25">
      <c r="Z15991">
        <v>400000</v>
      </c>
    </row>
    <row r="15992" spans="26:26" x14ac:dyDescent="0.25">
      <c r="Z15992">
        <v>400000</v>
      </c>
    </row>
    <row r="15993" spans="26:26" x14ac:dyDescent="0.25">
      <c r="Z15993">
        <v>400000</v>
      </c>
    </row>
    <row r="15994" spans="26:26" x14ac:dyDescent="0.25">
      <c r="Z15994">
        <v>400000</v>
      </c>
    </row>
    <row r="15995" spans="26:26" x14ac:dyDescent="0.25">
      <c r="Z15995">
        <v>400000</v>
      </c>
    </row>
    <row r="15996" spans="26:26" x14ac:dyDescent="0.25">
      <c r="Z15996">
        <v>400000</v>
      </c>
    </row>
    <row r="15997" spans="26:26" x14ac:dyDescent="0.25">
      <c r="Z15997">
        <v>400000</v>
      </c>
    </row>
    <row r="15998" spans="26:26" x14ac:dyDescent="0.25">
      <c r="Z15998">
        <v>400000</v>
      </c>
    </row>
    <row r="15999" spans="26:26" x14ac:dyDescent="0.25">
      <c r="Z15999">
        <v>400000</v>
      </c>
    </row>
    <row r="16000" spans="26:26" x14ac:dyDescent="0.25">
      <c r="Z16000">
        <v>400000</v>
      </c>
    </row>
    <row r="16001" spans="26:26" x14ac:dyDescent="0.25">
      <c r="Z16001">
        <v>400000</v>
      </c>
    </row>
    <row r="16002" spans="26:26" x14ac:dyDescent="0.25">
      <c r="Z16002">
        <v>400000</v>
      </c>
    </row>
    <row r="16003" spans="26:26" x14ac:dyDescent="0.25">
      <c r="Z16003">
        <v>400000</v>
      </c>
    </row>
    <row r="16004" spans="26:26" x14ac:dyDescent="0.25">
      <c r="Z16004">
        <v>400000</v>
      </c>
    </row>
    <row r="16005" spans="26:26" x14ac:dyDescent="0.25">
      <c r="Z16005">
        <v>400000</v>
      </c>
    </row>
    <row r="16006" spans="26:26" x14ac:dyDescent="0.25">
      <c r="Z16006">
        <v>400000</v>
      </c>
    </row>
    <row r="16007" spans="26:26" x14ac:dyDescent="0.25">
      <c r="Z16007">
        <v>400000</v>
      </c>
    </row>
    <row r="16008" spans="26:26" x14ac:dyDescent="0.25">
      <c r="Z16008">
        <v>400000</v>
      </c>
    </row>
    <row r="16009" spans="26:26" x14ac:dyDescent="0.25">
      <c r="Z16009">
        <v>400000</v>
      </c>
    </row>
    <row r="16010" spans="26:26" x14ac:dyDescent="0.25">
      <c r="Z16010">
        <v>400000</v>
      </c>
    </row>
    <row r="16011" spans="26:26" x14ac:dyDescent="0.25">
      <c r="Z16011">
        <v>400000</v>
      </c>
    </row>
    <row r="16012" spans="26:26" x14ac:dyDescent="0.25">
      <c r="Z16012">
        <v>400000</v>
      </c>
    </row>
    <row r="16013" spans="26:26" x14ac:dyDescent="0.25">
      <c r="Z16013">
        <v>400000</v>
      </c>
    </row>
    <row r="16014" spans="26:26" x14ac:dyDescent="0.25">
      <c r="Z16014">
        <v>400000</v>
      </c>
    </row>
    <row r="16015" spans="26:26" x14ac:dyDescent="0.25">
      <c r="Z16015">
        <v>400000</v>
      </c>
    </row>
    <row r="16016" spans="26:26" x14ac:dyDescent="0.25">
      <c r="Z16016">
        <v>400000</v>
      </c>
    </row>
    <row r="16017" spans="26:26" x14ac:dyDescent="0.25">
      <c r="Z16017">
        <v>400000</v>
      </c>
    </row>
    <row r="16018" spans="26:26" x14ac:dyDescent="0.25">
      <c r="Z16018">
        <v>400000</v>
      </c>
    </row>
    <row r="16019" spans="26:26" x14ac:dyDescent="0.25">
      <c r="Z16019">
        <v>400000</v>
      </c>
    </row>
    <row r="16020" spans="26:26" x14ac:dyDescent="0.25">
      <c r="Z16020">
        <v>400000</v>
      </c>
    </row>
    <row r="16021" spans="26:26" x14ac:dyDescent="0.25">
      <c r="Z16021">
        <v>400000</v>
      </c>
    </row>
    <row r="16022" spans="26:26" x14ac:dyDescent="0.25">
      <c r="Z16022">
        <v>400000</v>
      </c>
    </row>
    <row r="16023" spans="26:26" x14ac:dyDescent="0.25">
      <c r="Z16023">
        <v>400000</v>
      </c>
    </row>
    <row r="16024" spans="26:26" x14ac:dyDescent="0.25">
      <c r="Z16024">
        <v>400000</v>
      </c>
    </row>
    <row r="16025" spans="26:26" x14ac:dyDescent="0.25">
      <c r="Z16025">
        <v>400000</v>
      </c>
    </row>
    <row r="16026" spans="26:26" x14ac:dyDescent="0.25">
      <c r="Z16026">
        <v>400000</v>
      </c>
    </row>
    <row r="16027" spans="26:26" x14ac:dyDescent="0.25">
      <c r="Z16027">
        <v>400000</v>
      </c>
    </row>
    <row r="16028" spans="26:26" x14ac:dyDescent="0.25">
      <c r="Z16028">
        <v>400000</v>
      </c>
    </row>
    <row r="16029" spans="26:26" x14ac:dyDescent="0.25">
      <c r="Z16029">
        <v>400000</v>
      </c>
    </row>
    <row r="16030" spans="26:26" x14ac:dyDescent="0.25">
      <c r="Z16030">
        <v>400000</v>
      </c>
    </row>
    <row r="16031" spans="26:26" x14ac:dyDescent="0.25">
      <c r="Z16031">
        <v>400000</v>
      </c>
    </row>
    <row r="16032" spans="26:26" x14ac:dyDescent="0.25">
      <c r="Z16032">
        <v>400000</v>
      </c>
    </row>
    <row r="16033" spans="26:26" x14ac:dyDescent="0.25">
      <c r="Z16033">
        <v>400000</v>
      </c>
    </row>
    <row r="16034" spans="26:26" x14ac:dyDescent="0.25">
      <c r="Z16034">
        <v>400000</v>
      </c>
    </row>
    <row r="16035" spans="26:26" x14ac:dyDescent="0.25">
      <c r="Z16035">
        <v>400000</v>
      </c>
    </row>
    <row r="16036" spans="26:26" x14ac:dyDescent="0.25">
      <c r="Z16036">
        <v>400000</v>
      </c>
    </row>
    <row r="16037" spans="26:26" x14ac:dyDescent="0.25">
      <c r="Z16037">
        <v>400000</v>
      </c>
    </row>
    <row r="16038" spans="26:26" x14ac:dyDescent="0.25">
      <c r="Z16038">
        <v>400000</v>
      </c>
    </row>
    <row r="16039" spans="26:26" x14ac:dyDescent="0.25">
      <c r="Z16039">
        <v>400000</v>
      </c>
    </row>
    <row r="16040" spans="26:26" x14ac:dyDescent="0.25">
      <c r="Z16040">
        <v>400000</v>
      </c>
    </row>
    <row r="16041" spans="26:26" x14ac:dyDescent="0.25">
      <c r="Z16041">
        <v>400000</v>
      </c>
    </row>
    <row r="16042" spans="26:26" x14ac:dyDescent="0.25">
      <c r="Z16042">
        <v>400000</v>
      </c>
    </row>
    <row r="16043" spans="26:26" x14ac:dyDescent="0.25">
      <c r="Z16043">
        <v>400000</v>
      </c>
    </row>
    <row r="16044" spans="26:26" x14ac:dyDescent="0.25">
      <c r="Z16044">
        <v>400000</v>
      </c>
    </row>
    <row r="16045" spans="26:26" x14ac:dyDescent="0.25">
      <c r="Z16045">
        <v>400000</v>
      </c>
    </row>
    <row r="16046" spans="26:26" x14ac:dyDescent="0.25">
      <c r="Z16046">
        <v>400000</v>
      </c>
    </row>
    <row r="16047" spans="26:26" x14ac:dyDescent="0.25">
      <c r="Z16047">
        <v>400000</v>
      </c>
    </row>
    <row r="16048" spans="26:26" x14ac:dyDescent="0.25">
      <c r="Z16048">
        <v>400000</v>
      </c>
    </row>
    <row r="16049" spans="26:26" x14ac:dyDescent="0.25">
      <c r="Z16049">
        <v>400000</v>
      </c>
    </row>
    <row r="16050" spans="26:26" x14ac:dyDescent="0.25">
      <c r="Z16050">
        <v>400000</v>
      </c>
    </row>
    <row r="16051" spans="26:26" x14ac:dyDescent="0.25">
      <c r="Z16051">
        <v>400000</v>
      </c>
    </row>
    <row r="16052" spans="26:26" x14ac:dyDescent="0.25">
      <c r="Z16052">
        <v>400000</v>
      </c>
    </row>
    <row r="16053" spans="26:26" x14ac:dyDescent="0.25">
      <c r="Z16053">
        <v>400000</v>
      </c>
    </row>
    <row r="16054" spans="26:26" x14ac:dyDescent="0.25">
      <c r="Z16054">
        <v>400000</v>
      </c>
    </row>
    <row r="16055" spans="26:26" x14ac:dyDescent="0.25">
      <c r="Z16055">
        <v>400000</v>
      </c>
    </row>
    <row r="16056" spans="26:26" x14ac:dyDescent="0.25">
      <c r="Z16056">
        <v>400000</v>
      </c>
    </row>
    <row r="16057" spans="26:26" x14ac:dyDescent="0.25">
      <c r="Z16057">
        <v>400000</v>
      </c>
    </row>
    <row r="16058" spans="26:26" x14ac:dyDescent="0.25">
      <c r="Z16058">
        <v>400000</v>
      </c>
    </row>
    <row r="16059" spans="26:26" x14ac:dyDescent="0.25">
      <c r="Z16059">
        <v>400000</v>
      </c>
    </row>
    <row r="16060" spans="26:26" x14ac:dyDescent="0.25">
      <c r="Z16060">
        <v>400000</v>
      </c>
    </row>
    <row r="16061" spans="26:26" x14ac:dyDescent="0.25">
      <c r="Z16061">
        <v>400000</v>
      </c>
    </row>
    <row r="16062" spans="26:26" x14ac:dyDescent="0.25">
      <c r="Z16062">
        <v>400000</v>
      </c>
    </row>
    <row r="16063" spans="26:26" x14ac:dyDescent="0.25">
      <c r="Z16063">
        <v>400000</v>
      </c>
    </row>
    <row r="16064" spans="26:26" x14ac:dyDescent="0.25">
      <c r="Z16064">
        <v>400000</v>
      </c>
    </row>
    <row r="16065" spans="26:26" x14ac:dyDescent="0.25">
      <c r="Z16065">
        <v>400000</v>
      </c>
    </row>
    <row r="16066" spans="26:26" x14ac:dyDescent="0.25">
      <c r="Z16066">
        <v>400000</v>
      </c>
    </row>
    <row r="16067" spans="26:26" x14ac:dyDescent="0.25">
      <c r="Z16067">
        <v>400000</v>
      </c>
    </row>
    <row r="16068" spans="26:26" x14ac:dyDescent="0.25">
      <c r="Z16068">
        <v>400000</v>
      </c>
    </row>
    <row r="16069" spans="26:26" x14ac:dyDescent="0.25">
      <c r="Z16069">
        <v>400000</v>
      </c>
    </row>
    <row r="16070" spans="26:26" x14ac:dyDescent="0.25">
      <c r="Z16070">
        <v>400000</v>
      </c>
    </row>
    <row r="16071" spans="26:26" x14ac:dyDescent="0.25">
      <c r="Z16071">
        <v>400000</v>
      </c>
    </row>
    <row r="16072" spans="26:26" x14ac:dyDescent="0.25">
      <c r="Z16072">
        <v>400000</v>
      </c>
    </row>
    <row r="16073" spans="26:26" x14ac:dyDescent="0.25">
      <c r="Z16073">
        <v>400000</v>
      </c>
    </row>
    <row r="16074" spans="26:26" x14ac:dyDescent="0.25">
      <c r="Z16074">
        <v>400000</v>
      </c>
    </row>
    <row r="16075" spans="26:26" x14ac:dyDescent="0.25">
      <c r="Z16075">
        <v>400000</v>
      </c>
    </row>
    <row r="16076" spans="26:26" x14ac:dyDescent="0.25">
      <c r="Z16076">
        <v>400000</v>
      </c>
    </row>
    <row r="16077" spans="26:26" x14ac:dyDescent="0.25">
      <c r="Z16077">
        <v>400000</v>
      </c>
    </row>
    <row r="16078" spans="26:26" x14ac:dyDescent="0.25">
      <c r="Z16078">
        <v>400000</v>
      </c>
    </row>
    <row r="16079" spans="26:26" x14ac:dyDescent="0.25">
      <c r="Z16079">
        <v>400000</v>
      </c>
    </row>
    <row r="16080" spans="26:26" x14ac:dyDescent="0.25">
      <c r="Z16080">
        <v>400000</v>
      </c>
    </row>
    <row r="16081" spans="26:26" x14ac:dyDescent="0.25">
      <c r="Z16081">
        <v>400000</v>
      </c>
    </row>
    <row r="16082" spans="26:26" x14ac:dyDescent="0.25">
      <c r="Z16082">
        <v>400000</v>
      </c>
    </row>
    <row r="16083" spans="26:26" x14ac:dyDescent="0.25">
      <c r="Z16083">
        <v>400000</v>
      </c>
    </row>
    <row r="16084" spans="26:26" x14ac:dyDescent="0.25">
      <c r="Z16084">
        <v>400000</v>
      </c>
    </row>
    <row r="16085" spans="26:26" x14ac:dyDescent="0.25">
      <c r="Z16085">
        <v>400000</v>
      </c>
    </row>
    <row r="16086" spans="26:26" x14ac:dyDescent="0.25">
      <c r="Z16086">
        <v>400000</v>
      </c>
    </row>
    <row r="16087" spans="26:26" x14ac:dyDescent="0.25">
      <c r="Z16087">
        <v>400000</v>
      </c>
    </row>
    <row r="16088" spans="26:26" x14ac:dyDescent="0.25">
      <c r="Z16088">
        <v>400000</v>
      </c>
    </row>
    <row r="16089" spans="26:26" x14ac:dyDescent="0.25">
      <c r="Z16089">
        <v>400000</v>
      </c>
    </row>
    <row r="16090" spans="26:26" x14ac:dyDescent="0.25">
      <c r="Z16090">
        <v>400000</v>
      </c>
    </row>
    <row r="16091" spans="26:26" x14ac:dyDescent="0.25">
      <c r="Z16091">
        <v>400000</v>
      </c>
    </row>
    <row r="16092" spans="26:26" x14ac:dyDescent="0.25">
      <c r="Z16092">
        <v>400000</v>
      </c>
    </row>
    <row r="16093" spans="26:26" x14ac:dyDescent="0.25">
      <c r="Z16093">
        <v>400000</v>
      </c>
    </row>
    <row r="16094" spans="26:26" x14ac:dyDescent="0.25">
      <c r="Z16094">
        <v>400000</v>
      </c>
    </row>
    <row r="16095" spans="26:26" x14ac:dyDescent="0.25">
      <c r="Z16095">
        <v>400000</v>
      </c>
    </row>
    <row r="16096" spans="26:26" x14ac:dyDescent="0.25">
      <c r="Z16096">
        <v>400000</v>
      </c>
    </row>
    <row r="16097" spans="26:26" x14ac:dyDescent="0.25">
      <c r="Z16097">
        <v>400000</v>
      </c>
    </row>
    <row r="16098" spans="26:26" x14ac:dyDescent="0.25">
      <c r="Z16098">
        <v>400000</v>
      </c>
    </row>
    <row r="16099" spans="26:26" x14ac:dyDescent="0.25">
      <c r="Z16099">
        <v>400000</v>
      </c>
    </row>
    <row r="16100" spans="26:26" x14ac:dyDescent="0.25">
      <c r="Z16100">
        <v>400000</v>
      </c>
    </row>
    <row r="16101" spans="26:26" x14ac:dyDescent="0.25">
      <c r="Z16101">
        <v>400000</v>
      </c>
    </row>
    <row r="16102" spans="26:26" x14ac:dyDescent="0.25">
      <c r="Z16102">
        <v>400000</v>
      </c>
    </row>
    <row r="16103" spans="26:26" x14ac:dyDescent="0.25">
      <c r="Z16103">
        <v>400000</v>
      </c>
    </row>
    <row r="16104" spans="26:26" x14ac:dyDescent="0.25">
      <c r="Z16104">
        <v>400000</v>
      </c>
    </row>
    <row r="16105" spans="26:26" x14ac:dyDescent="0.25">
      <c r="Z16105">
        <v>400000</v>
      </c>
    </row>
    <row r="16106" spans="26:26" x14ac:dyDescent="0.25">
      <c r="Z16106">
        <v>400000</v>
      </c>
    </row>
    <row r="16107" spans="26:26" x14ac:dyDescent="0.25">
      <c r="Z16107">
        <v>400000</v>
      </c>
    </row>
    <row r="16108" spans="26:26" x14ac:dyDescent="0.25">
      <c r="Z16108">
        <v>400000</v>
      </c>
    </row>
    <row r="16109" spans="26:26" x14ac:dyDescent="0.25">
      <c r="Z16109">
        <v>400000</v>
      </c>
    </row>
    <row r="16110" spans="26:26" x14ac:dyDescent="0.25">
      <c r="Z16110">
        <v>400000</v>
      </c>
    </row>
    <row r="16111" spans="26:26" x14ac:dyDescent="0.25">
      <c r="Z16111">
        <v>400000</v>
      </c>
    </row>
    <row r="16112" spans="26:26" x14ac:dyDescent="0.25">
      <c r="Z16112">
        <v>400000</v>
      </c>
    </row>
    <row r="16113" spans="26:26" x14ac:dyDescent="0.25">
      <c r="Z16113">
        <v>400000</v>
      </c>
    </row>
    <row r="16114" spans="26:26" x14ac:dyDescent="0.25">
      <c r="Z16114">
        <v>400000</v>
      </c>
    </row>
    <row r="16115" spans="26:26" x14ac:dyDescent="0.25">
      <c r="Z16115">
        <v>400000</v>
      </c>
    </row>
    <row r="16116" spans="26:26" x14ac:dyDescent="0.25">
      <c r="Z16116">
        <v>400000</v>
      </c>
    </row>
    <row r="16117" spans="26:26" x14ac:dyDescent="0.25">
      <c r="Z16117">
        <v>400000</v>
      </c>
    </row>
    <row r="16118" spans="26:26" x14ac:dyDescent="0.25">
      <c r="Z16118">
        <v>400000</v>
      </c>
    </row>
    <row r="16119" spans="26:26" x14ac:dyDescent="0.25">
      <c r="Z16119">
        <v>400000</v>
      </c>
    </row>
    <row r="16120" spans="26:26" x14ac:dyDescent="0.25">
      <c r="Z16120">
        <v>400000</v>
      </c>
    </row>
    <row r="16121" spans="26:26" x14ac:dyDescent="0.25">
      <c r="Z16121">
        <v>400000</v>
      </c>
    </row>
    <row r="16122" spans="26:26" x14ac:dyDescent="0.25">
      <c r="Z16122">
        <v>400000</v>
      </c>
    </row>
    <row r="16123" spans="26:26" x14ac:dyDescent="0.25">
      <c r="Z16123">
        <v>400000</v>
      </c>
    </row>
    <row r="16124" spans="26:26" x14ac:dyDescent="0.25">
      <c r="Z16124">
        <v>400000</v>
      </c>
    </row>
    <row r="16125" spans="26:26" x14ac:dyDescent="0.25">
      <c r="Z16125">
        <v>400000</v>
      </c>
    </row>
    <row r="16126" spans="26:26" x14ac:dyDescent="0.25">
      <c r="Z16126">
        <v>400000</v>
      </c>
    </row>
    <row r="16127" spans="26:26" x14ac:dyDescent="0.25">
      <c r="Z16127">
        <v>400000</v>
      </c>
    </row>
    <row r="16128" spans="26:26" x14ac:dyDescent="0.25">
      <c r="Z16128">
        <v>400000</v>
      </c>
    </row>
    <row r="16129" spans="26:26" x14ac:dyDescent="0.25">
      <c r="Z16129">
        <v>400000</v>
      </c>
    </row>
    <row r="16130" spans="26:26" x14ac:dyDescent="0.25">
      <c r="Z16130">
        <v>400000</v>
      </c>
    </row>
    <row r="16131" spans="26:26" x14ac:dyDescent="0.25">
      <c r="Z16131">
        <v>400000</v>
      </c>
    </row>
    <row r="16132" spans="26:26" x14ac:dyDescent="0.25">
      <c r="Z16132">
        <v>400000</v>
      </c>
    </row>
    <row r="16133" spans="26:26" x14ac:dyDescent="0.25">
      <c r="Z16133">
        <v>400000</v>
      </c>
    </row>
    <row r="16134" spans="26:26" x14ac:dyDescent="0.25">
      <c r="Z16134">
        <v>400000</v>
      </c>
    </row>
    <row r="16135" spans="26:26" x14ac:dyDescent="0.25">
      <c r="Z16135">
        <v>400000</v>
      </c>
    </row>
    <row r="16136" spans="26:26" x14ac:dyDescent="0.25">
      <c r="Z16136">
        <v>400000</v>
      </c>
    </row>
    <row r="16137" spans="26:26" x14ac:dyDescent="0.25">
      <c r="Z16137">
        <v>400000</v>
      </c>
    </row>
    <row r="16138" spans="26:26" x14ac:dyDescent="0.25">
      <c r="Z16138">
        <v>400000</v>
      </c>
    </row>
    <row r="16139" spans="26:26" x14ac:dyDescent="0.25">
      <c r="Z16139">
        <v>400000</v>
      </c>
    </row>
    <row r="16140" spans="26:26" x14ac:dyDescent="0.25">
      <c r="Z16140">
        <v>400000</v>
      </c>
    </row>
    <row r="16141" spans="26:26" x14ac:dyDescent="0.25">
      <c r="Z16141">
        <v>400000</v>
      </c>
    </row>
    <row r="16142" spans="26:26" x14ac:dyDescent="0.25">
      <c r="Z16142">
        <v>400000</v>
      </c>
    </row>
    <row r="16143" spans="26:26" x14ac:dyDescent="0.25">
      <c r="Z16143">
        <v>400000</v>
      </c>
    </row>
    <row r="16144" spans="26:26" x14ac:dyDescent="0.25">
      <c r="Z16144">
        <v>400000</v>
      </c>
    </row>
    <row r="16145" spans="26:26" x14ac:dyDescent="0.25">
      <c r="Z16145">
        <v>400000</v>
      </c>
    </row>
    <row r="16146" spans="26:26" x14ac:dyDescent="0.25">
      <c r="Z16146">
        <v>400000</v>
      </c>
    </row>
    <row r="16147" spans="26:26" x14ac:dyDescent="0.25">
      <c r="Z16147">
        <v>400000</v>
      </c>
    </row>
    <row r="16148" spans="26:26" x14ac:dyDescent="0.25">
      <c r="Z16148">
        <v>400000</v>
      </c>
    </row>
    <row r="16149" spans="26:26" x14ac:dyDescent="0.25">
      <c r="Z16149">
        <v>400000</v>
      </c>
    </row>
    <row r="16150" spans="26:26" x14ac:dyDescent="0.25">
      <c r="Z16150">
        <v>400000</v>
      </c>
    </row>
    <row r="16151" spans="26:26" x14ac:dyDescent="0.25">
      <c r="Z16151">
        <v>400000</v>
      </c>
    </row>
    <row r="16152" spans="26:26" x14ac:dyDescent="0.25">
      <c r="Z16152">
        <v>400000</v>
      </c>
    </row>
    <row r="16153" spans="26:26" x14ac:dyDescent="0.25">
      <c r="Z16153">
        <v>400000</v>
      </c>
    </row>
    <row r="16154" spans="26:26" x14ac:dyDescent="0.25">
      <c r="Z16154">
        <v>400000</v>
      </c>
    </row>
    <row r="16155" spans="26:26" x14ac:dyDescent="0.25">
      <c r="Z16155">
        <v>400000</v>
      </c>
    </row>
    <row r="16156" spans="26:26" x14ac:dyDescent="0.25">
      <c r="Z16156">
        <v>400000</v>
      </c>
    </row>
    <row r="16157" spans="26:26" x14ac:dyDescent="0.25">
      <c r="Z16157">
        <v>400000</v>
      </c>
    </row>
    <row r="16158" spans="26:26" x14ac:dyDescent="0.25">
      <c r="Z16158">
        <v>400000</v>
      </c>
    </row>
    <row r="16159" spans="26:26" x14ac:dyDescent="0.25">
      <c r="Z16159">
        <v>400000</v>
      </c>
    </row>
    <row r="16160" spans="26:26" x14ac:dyDescent="0.25">
      <c r="Z16160">
        <v>400000</v>
      </c>
    </row>
    <row r="16161" spans="26:26" x14ac:dyDescent="0.25">
      <c r="Z16161">
        <v>400000</v>
      </c>
    </row>
    <row r="16162" spans="26:26" x14ac:dyDescent="0.25">
      <c r="Z16162">
        <v>400000</v>
      </c>
    </row>
    <row r="16163" spans="26:26" x14ac:dyDescent="0.25">
      <c r="Z16163">
        <v>400000</v>
      </c>
    </row>
    <row r="16164" spans="26:26" x14ac:dyDescent="0.25">
      <c r="Z16164">
        <v>400000</v>
      </c>
    </row>
    <row r="16165" spans="26:26" x14ac:dyDescent="0.25">
      <c r="Z16165">
        <v>400000</v>
      </c>
    </row>
    <row r="16166" spans="26:26" x14ac:dyDescent="0.25">
      <c r="Z16166">
        <v>400000</v>
      </c>
    </row>
    <row r="16167" spans="26:26" x14ac:dyDescent="0.25">
      <c r="Z16167">
        <v>400000</v>
      </c>
    </row>
    <row r="16168" spans="26:26" x14ac:dyDescent="0.25">
      <c r="Z16168">
        <v>400000</v>
      </c>
    </row>
    <row r="16169" spans="26:26" x14ac:dyDescent="0.25">
      <c r="Z16169">
        <v>400000</v>
      </c>
    </row>
    <row r="16170" spans="26:26" x14ac:dyDescent="0.25">
      <c r="Z16170">
        <v>400000</v>
      </c>
    </row>
    <row r="16171" spans="26:26" x14ac:dyDescent="0.25">
      <c r="Z16171">
        <v>400000</v>
      </c>
    </row>
    <row r="16172" spans="26:26" x14ac:dyDescent="0.25">
      <c r="Z16172">
        <v>400000</v>
      </c>
    </row>
    <row r="16173" spans="26:26" x14ac:dyDescent="0.25">
      <c r="Z16173">
        <v>400000</v>
      </c>
    </row>
    <row r="16174" spans="26:26" x14ac:dyDescent="0.25">
      <c r="Z16174">
        <v>400000</v>
      </c>
    </row>
    <row r="16175" spans="26:26" x14ac:dyDescent="0.25">
      <c r="Z16175">
        <v>400000</v>
      </c>
    </row>
    <row r="16176" spans="26:26" x14ac:dyDescent="0.25">
      <c r="Z16176">
        <v>400000</v>
      </c>
    </row>
    <row r="16177" spans="26:26" x14ac:dyDescent="0.25">
      <c r="Z16177">
        <v>400000</v>
      </c>
    </row>
    <row r="16178" spans="26:26" x14ac:dyDescent="0.25">
      <c r="Z16178">
        <v>400000</v>
      </c>
    </row>
    <row r="16179" spans="26:26" x14ac:dyDescent="0.25">
      <c r="Z16179">
        <v>400000</v>
      </c>
    </row>
    <row r="16180" spans="26:26" x14ac:dyDescent="0.25">
      <c r="Z16180">
        <v>400000</v>
      </c>
    </row>
    <row r="16181" spans="26:26" x14ac:dyDescent="0.25">
      <c r="Z16181">
        <v>400000</v>
      </c>
    </row>
    <row r="16182" spans="26:26" x14ac:dyDescent="0.25">
      <c r="Z16182">
        <v>400000</v>
      </c>
    </row>
    <row r="16183" spans="26:26" x14ac:dyDescent="0.25">
      <c r="Z16183">
        <v>400000</v>
      </c>
    </row>
    <row r="16184" spans="26:26" x14ac:dyDescent="0.25">
      <c r="Z16184">
        <v>400000</v>
      </c>
    </row>
    <row r="16185" spans="26:26" x14ac:dyDescent="0.25">
      <c r="Z16185">
        <v>400000</v>
      </c>
    </row>
    <row r="16186" spans="26:26" x14ac:dyDescent="0.25">
      <c r="Z16186">
        <v>400000</v>
      </c>
    </row>
    <row r="16187" spans="26:26" x14ac:dyDescent="0.25">
      <c r="Z16187">
        <v>400000</v>
      </c>
    </row>
    <row r="16188" spans="26:26" x14ac:dyDescent="0.25">
      <c r="Z16188">
        <v>400000</v>
      </c>
    </row>
    <row r="16189" spans="26:26" x14ac:dyDescent="0.25">
      <c r="Z16189">
        <v>400000</v>
      </c>
    </row>
    <row r="16190" spans="26:26" x14ac:dyDescent="0.25">
      <c r="Z16190">
        <v>400000</v>
      </c>
    </row>
    <row r="16191" spans="26:26" x14ac:dyDescent="0.25">
      <c r="Z16191">
        <v>400000</v>
      </c>
    </row>
    <row r="16192" spans="26:26" x14ac:dyDescent="0.25">
      <c r="Z16192">
        <v>400000</v>
      </c>
    </row>
    <row r="16193" spans="26:26" x14ac:dyDescent="0.25">
      <c r="Z16193">
        <v>400000</v>
      </c>
    </row>
    <row r="16194" spans="26:26" x14ac:dyDescent="0.25">
      <c r="Z16194">
        <v>400000</v>
      </c>
    </row>
    <row r="16195" spans="26:26" x14ac:dyDescent="0.25">
      <c r="Z16195">
        <v>400000</v>
      </c>
    </row>
    <row r="16196" spans="26:26" x14ac:dyDescent="0.25">
      <c r="Z16196">
        <v>400000</v>
      </c>
    </row>
    <row r="16197" spans="26:26" x14ac:dyDescent="0.25">
      <c r="Z16197">
        <v>400000</v>
      </c>
    </row>
    <row r="16198" spans="26:26" x14ac:dyDescent="0.25">
      <c r="Z16198">
        <v>400000</v>
      </c>
    </row>
    <row r="16199" spans="26:26" x14ac:dyDescent="0.25">
      <c r="Z16199">
        <v>400000</v>
      </c>
    </row>
    <row r="16200" spans="26:26" x14ac:dyDescent="0.25">
      <c r="Z16200">
        <v>400000</v>
      </c>
    </row>
    <row r="16201" spans="26:26" x14ac:dyDescent="0.25">
      <c r="Z16201">
        <v>400000</v>
      </c>
    </row>
    <row r="16202" spans="26:26" x14ac:dyDescent="0.25">
      <c r="Z16202">
        <v>400000</v>
      </c>
    </row>
    <row r="16203" spans="26:26" x14ac:dyDescent="0.25">
      <c r="Z16203">
        <v>400000</v>
      </c>
    </row>
    <row r="16204" spans="26:26" x14ac:dyDescent="0.25">
      <c r="Z16204">
        <v>400000</v>
      </c>
    </row>
    <row r="16205" spans="26:26" x14ac:dyDescent="0.25">
      <c r="Z16205">
        <v>400000</v>
      </c>
    </row>
    <row r="16206" spans="26:26" x14ac:dyDescent="0.25">
      <c r="Z16206">
        <v>400000</v>
      </c>
    </row>
    <row r="16207" spans="26:26" x14ac:dyDescent="0.25">
      <c r="Z16207">
        <v>400000</v>
      </c>
    </row>
    <row r="16208" spans="26:26" x14ac:dyDescent="0.25">
      <c r="Z16208">
        <v>400000</v>
      </c>
    </row>
    <row r="16209" spans="26:26" x14ac:dyDescent="0.25">
      <c r="Z16209">
        <v>400000</v>
      </c>
    </row>
    <row r="16210" spans="26:26" x14ac:dyDescent="0.25">
      <c r="Z16210">
        <v>400000</v>
      </c>
    </row>
    <row r="16211" spans="26:26" x14ac:dyDescent="0.25">
      <c r="Z16211">
        <v>400000</v>
      </c>
    </row>
    <row r="16212" spans="26:26" x14ac:dyDescent="0.25">
      <c r="Z16212">
        <v>400000</v>
      </c>
    </row>
    <row r="16213" spans="26:26" x14ac:dyDescent="0.25">
      <c r="Z16213">
        <v>400000</v>
      </c>
    </row>
    <row r="16214" spans="26:26" x14ac:dyDescent="0.25">
      <c r="Z16214">
        <v>400000</v>
      </c>
    </row>
    <row r="16215" spans="26:26" x14ac:dyDescent="0.25">
      <c r="Z16215">
        <v>400000</v>
      </c>
    </row>
    <row r="16216" spans="26:26" x14ac:dyDescent="0.25">
      <c r="Z16216">
        <v>400000</v>
      </c>
    </row>
    <row r="16217" spans="26:26" x14ac:dyDescent="0.25">
      <c r="Z16217">
        <v>400000</v>
      </c>
    </row>
    <row r="16218" spans="26:26" x14ac:dyDescent="0.25">
      <c r="Z16218">
        <v>400000</v>
      </c>
    </row>
    <row r="16219" spans="26:26" x14ac:dyDescent="0.25">
      <c r="Z16219">
        <v>400000</v>
      </c>
    </row>
    <row r="16220" spans="26:26" x14ac:dyDescent="0.25">
      <c r="Z16220">
        <v>400000</v>
      </c>
    </row>
    <row r="16221" spans="26:26" x14ac:dyDescent="0.25">
      <c r="Z16221">
        <v>400000</v>
      </c>
    </row>
    <row r="16222" spans="26:26" x14ac:dyDescent="0.25">
      <c r="Z16222">
        <v>400000</v>
      </c>
    </row>
    <row r="16223" spans="26:26" x14ac:dyDescent="0.25">
      <c r="Z16223">
        <v>400000</v>
      </c>
    </row>
    <row r="16224" spans="26:26" x14ac:dyDescent="0.25">
      <c r="Z16224">
        <v>400000</v>
      </c>
    </row>
    <row r="16225" spans="26:26" x14ac:dyDescent="0.25">
      <c r="Z16225">
        <v>400000</v>
      </c>
    </row>
    <row r="16226" spans="26:26" x14ac:dyDescent="0.25">
      <c r="Z16226">
        <v>400000</v>
      </c>
    </row>
    <row r="16227" spans="26:26" x14ac:dyDescent="0.25">
      <c r="Z16227">
        <v>400000</v>
      </c>
    </row>
    <row r="16228" spans="26:26" x14ac:dyDescent="0.25">
      <c r="Z16228">
        <v>400000</v>
      </c>
    </row>
    <row r="16229" spans="26:26" x14ac:dyDescent="0.25">
      <c r="Z16229">
        <v>400000</v>
      </c>
    </row>
    <row r="16230" spans="26:26" x14ac:dyDescent="0.25">
      <c r="Z16230">
        <v>400000</v>
      </c>
    </row>
    <row r="16231" spans="26:26" x14ac:dyDescent="0.25">
      <c r="Z16231">
        <v>400000</v>
      </c>
    </row>
    <row r="16232" spans="26:26" x14ac:dyDescent="0.25">
      <c r="Z16232">
        <v>400000</v>
      </c>
    </row>
    <row r="16233" spans="26:26" x14ac:dyDescent="0.25">
      <c r="Z16233">
        <v>400000</v>
      </c>
    </row>
    <row r="16234" spans="26:26" x14ac:dyDescent="0.25">
      <c r="Z16234">
        <v>400000</v>
      </c>
    </row>
    <row r="16235" spans="26:26" x14ac:dyDescent="0.25">
      <c r="Z16235">
        <v>400000</v>
      </c>
    </row>
    <row r="16236" spans="26:26" x14ac:dyDescent="0.25">
      <c r="Z16236">
        <v>400000</v>
      </c>
    </row>
    <row r="16237" spans="26:26" x14ac:dyDescent="0.25">
      <c r="Z16237">
        <v>400000</v>
      </c>
    </row>
    <row r="16238" spans="26:26" x14ac:dyDescent="0.25">
      <c r="Z16238">
        <v>400000</v>
      </c>
    </row>
    <row r="16239" spans="26:26" x14ac:dyDescent="0.25">
      <c r="Z16239">
        <v>400000</v>
      </c>
    </row>
    <row r="16240" spans="26:26" x14ac:dyDescent="0.25">
      <c r="Z16240">
        <v>400000</v>
      </c>
    </row>
    <row r="16241" spans="26:26" x14ac:dyDescent="0.25">
      <c r="Z16241">
        <v>400000</v>
      </c>
    </row>
    <row r="16242" spans="26:26" x14ac:dyDescent="0.25">
      <c r="Z16242">
        <v>400000</v>
      </c>
    </row>
    <row r="16243" spans="26:26" x14ac:dyDescent="0.25">
      <c r="Z16243">
        <v>400000</v>
      </c>
    </row>
    <row r="16244" spans="26:26" x14ac:dyDescent="0.25">
      <c r="Z16244">
        <v>400000</v>
      </c>
    </row>
    <row r="16245" spans="26:26" x14ac:dyDescent="0.25">
      <c r="Z16245">
        <v>400000</v>
      </c>
    </row>
    <row r="16246" spans="26:26" x14ac:dyDescent="0.25">
      <c r="Z16246">
        <v>400000</v>
      </c>
    </row>
    <row r="16247" spans="26:26" x14ac:dyDescent="0.25">
      <c r="Z16247">
        <v>400000</v>
      </c>
    </row>
    <row r="16248" spans="26:26" x14ac:dyDescent="0.25">
      <c r="Z16248">
        <v>400000</v>
      </c>
    </row>
    <row r="16249" spans="26:26" x14ac:dyDescent="0.25">
      <c r="Z16249">
        <v>400000</v>
      </c>
    </row>
    <row r="16250" spans="26:26" x14ac:dyDescent="0.25">
      <c r="Z16250">
        <v>400000</v>
      </c>
    </row>
    <row r="16251" spans="26:26" x14ac:dyDescent="0.25">
      <c r="Z16251">
        <v>400000</v>
      </c>
    </row>
    <row r="16252" spans="26:26" x14ac:dyDescent="0.25">
      <c r="Z16252">
        <v>400000</v>
      </c>
    </row>
    <row r="16253" spans="26:26" x14ac:dyDescent="0.25">
      <c r="Z16253">
        <v>400000</v>
      </c>
    </row>
    <row r="16254" spans="26:26" x14ac:dyDescent="0.25">
      <c r="Z16254">
        <v>400000</v>
      </c>
    </row>
    <row r="16255" spans="26:26" x14ac:dyDescent="0.25">
      <c r="Z16255">
        <v>400000</v>
      </c>
    </row>
    <row r="16256" spans="26:26" x14ac:dyDescent="0.25">
      <c r="Z16256">
        <v>400000</v>
      </c>
    </row>
    <row r="16257" spans="26:26" x14ac:dyDescent="0.25">
      <c r="Z16257">
        <v>400000</v>
      </c>
    </row>
    <row r="16258" spans="26:26" x14ac:dyDescent="0.25">
      <c r="Z16258">
        <v>400000</v>
      </c>
    </row>
    <row r="16259" spans="26:26" x14ac:dyDescent="0.25">
      <c r="Z16259">
        <v>400000</v>
      </c>
    </row>
    <row r="16260" spans="26:26" x14ac:dyDescent="0.25">
      <c r="Z16260">
        <v>400000</v>
      </c>
    </row>
    <row r="16261" spans="26:26" x14ac:dyDescent="0.25">
      <c r="Z16261">
        <v>400000</v>
      </c>
    </row>
    <row r="16262" spans="26:26" x14ac:dyDescent="0.25">
      <c r="Z16262">
        <v>400000</v>
      </c>
    </row>
    <row r="16263" spans="26:26" x14ac:dyDescent="0.25">
      <c r="Z16263">
        <v>400000</v>
      </c>
    </row>
    <row r="16264" spans="26:26" x14ac:dyDescent="0.25">
      <c r="Z16264">
        <v>400000</v>
      </c>
    </row>
    <row r="16265" spans="26:26" x14ac:dyDescent="0.25">
      <c r="Z16265">
        <v>400000</v>
      </c>
    </row>
    <row r="16266" spans="26:26" x14ac:dyDescent="0.25">
      <c r="Z16266">
        <v>400000</v>
      </c>
    </row>
    <row r="16267" spans="26:26" x14ac:dyDescent="0.25">
      <c r="Z16267">
        <v>400000</v>
      </c>
    </row>
    <row r="16268" spans="26:26" x14ac:dyDescent="0.25">
      <c r="Z16268">
        <v>400000</v>
      </c>
    </row>
    <row r="16269" spans="26:26" x14ac:dyDescent="0.25">
      <c r="Z16269">
        <v>400000</v>
      </c>
    </row>
    <row r="16270" spans="26:26" x14ac:dyDescent="0.25">
      <c r="Z16270">
        <v>400000</v>
      </c>
    </row>
    <row r="16271" spans="26:26" x14ac:dyDescent="0.25">
      <c r="Z16271">
        <v>400000</v>
      </c>
    </row>
    <row r="16272" spans="26:26" x14ac:dyDescent="0.25">
      <c r="Z16272">
        <v>400000</v>
      </c>
    </row>
    <row r="16273" spans="26:26" x14ac:dyDescent="0.25">
      <c r="Z16273">
        <v>400000</v>
      </c>
    </row>
    <row r="16274" spans="26:26" x14ac:dyDescent="0.25">
      <c r="Z16274">
        <v>400000</v>
      </c>
    </row>
    <row r="16275" spans="26:26" x14ac:dyDescent="0.25">
      <c r="Z16275">
        <v>400000</v>
      </c>
    </row>
    <row r="16276" spans="26:26" x14ac:dyDescent="0.25">
      <c r="Z16276">
        <v>400000</v>
      </c>
    </row>
    <row r="16277" spans="26:26" x14ac:dyDescent="0.25">
      <c r="Z16277">
        <v>400000</v>
      </c>
    </row>
    <row r="16278" spans="26:26" x14ac:dyDescent="0.25">
      <c r="Z16278">
        <v>400000</v>
      </c>
    </row>
    <row r="16279" spans="26:26" x14ac:dyDescent="0.25">
      <c r="Z16279">
        <v>400000</v>
      </c>
    </row>
    <row r="16280" spans="26:26" x14ac:dyDescent="0.25">
      <c r="Z16280">
        <v>400000</v>
      </c>
    </row>
    <row r="16281" spans="26:26" x14ac:dyDescent="0.25">
      <c r="Z16281">
        <v>400000</v>
      </c>
    </row>
    <row r="16282" spans="26:26" x14ac:dyDescent="0.25">
      <c r="Z16282">
        <v>400000</v>
      </c>
    </row>
    <row r="16283" spans="26:26" x14ac:dyDescent="0.25">
      <c r="Z16283">
        <v>400000</v>
      </c>
    </row>
    <row r="16284" spans="26:26" x14ac:dyDescent="0.25">
      <c r="Z16284">
        <v>400000</v>
      </c>
    </row>
    <row r="16285" spans="26:26" x14ac:dyDescent="0.25">
      <c r="Z16285">
        <v>400000</v>
      </c>
    </row>
    <row r="16286" spans="26:26" x14ac:dyDescent="0.25">
      <c r="Z16286">
        <v>400000</v>
      </c>
    </row>
    <row r="16287" spans="26:26" x14ac:dyDescent="0.25">
      <c r="Z16287">
        <v>400000</v>
      </c>
    </row>
    <row r="16288" spans="26:26" x14ac:dyDescent="0.25">
      <c r="Z16288">
        <v>400000</v>
      </c>
    </row>
    <row r="16289" spans="26:26" x14ac:dyDescent="0.25">
      <c r="Z16289">
        <v>400000</v>
      </c>
    </row>
    <row r="16290" spans="26:26" x14ac:dyDescent="0.25">
      <c r="Z16290">
        <v>400000</v>
      </c>
    </row>
    <row r="16291" spans="26:26" x14ac:dyDescent="0.25">
      <c r="Z16291">
        <v>400000</v>
      </c>
    </row>
    <row r="16292" spans="26:26" x14ac:dyDescent="0.25">
      <c r="Z16292">
        <v>400000</v>
      </c>
    </row>
    <row r="16293" spans="26:26" x14ac:dyDescent="0.25">
      <c r="Z16293">
        <v>400000</v>
      </c>
    </row>
    <row r="16294" spans="26:26" x14ac:dyDescent="0.25">
      <c r="Z16294">
        <v>400000</v>
      </c>
    </row>
    <row r="16295" spans="26:26" x14ac:dyDescent="0.25">
      <c r="Z16295">
        <v>400000</v>
      </c>
    </row>
    <row r="16296" spans="26:26" x14ac:dyDescent="0.25">
      <c r="Z16296">
        <v>400000</v>
      </c>
    </row>
    <row r="16297" spans="26:26" x14ac:dyDescent="0.25">
      <c r="Z16297">
        <v>400000</v>
      </c>
    </row>
    <row r="16298" spans="26:26" x14ac:dyDescent="0.25">
      <c r="Z16298">
        <v>400000</v>
      </c>
    </row>
    <row r="16299" spans="26:26" x14ac:dyDescent="0.25">
      <c r="Z16299">
        <v>400000</v>
      </c>
    </row>
    <row r="16300" spans="26:26" x14ac:dyDescent="0.25">
      <c r="Z16300">
        <v>400000</v>
      </c>
    </row>
    <row r="16301" spans="26:26" x14ac:dyDescent="0.25">
      <c r="Z16301">
        <v>400000</v>
      </c>
    </row>
    <row r="16302" spans="26:26" x14ac:dyDescent="0.25">
      <c r="Z16302">
        <v>400000</v>
      </c>
    </row>
    <row r="16303" spans="26:26" x14ac:dyDescent="0.25">
      <c r="Z16303">
        <v>400000</v>
      </c>
    </row>
    <row r="16304" spans="26:26" x14ac:dyDescent="0.25">
      <c r="Z16304">
        <v>400000</v>
      </c>
    </row>
    <row r="16305" spans="26:26" x14ac:dyDescent="0.25">
      <c r="Z16305">
        <v>400000</v>
      </c>
    </row>
    <row r="16306" spans="26:26" x14ac:dyDescent="0.25">
      <c r="Z16306">
        <v>400000</v>
      </c>
    </row>
    <row r="16307" spans="26:26" x14ac:dyDescent="0.25">
      <c r="Z16307">
        <v>400000</v>
      </c>
    </row>
    <row r="16308" spans="26:26" x14ac:dyDescent="0.25">
      <c r="Z16308">
        <v>400000</v>
      </c>
    </row>
    <row r="16309" spans="26:26" x14ac:dyDescent="0.25">
      <c r="Z16309">
        <v>400000</v>
      </c>
    </row>
    <row r="16310" spans="26:26" x14ac:dyDescent="0.25">
      <c r="Z16310">
        <v>400000</v>
      </c>
    </row>
    <row r="16311" spans="26:26" x14ac:dyDescent="0.25">
      <c r="Z16311">
        <v>400000</v>
      </c>
    </row>
    <row r="16312" spans="26:26" x14ac:dyDescent="0.25">
      <c r="Z16312">
        <v>400000</v>
      </c>
    </row>
    <row r="16313" spans="26:26" x14ac:dyDescent="0.25">
      <c r="Z16313">
        <v>400000</v>
      </c>
    </row>
    <row r="16314" spans="26:26" x14ac:dyDescent="0.25">
      <c r="Z16314">
        <v>400000</v>
      </c>
    </row>
    <row r="16315" spans="26:26" x14ac:dyDescent="0.25">
      <c r="Z16315">
        <v>400000</v>
      </c>
    </row>
    <row r="16316" spans="26:26" x14ac:dyDescent="0.25">
      <c r="Z16316">
        <v>400000</v>
      </c>
    </row>
    <row r="16317" spans="26:26" x14ac:dyDescent="0.25">
      <c r="Z16317">
        <v>400000</v>
      </c>
    </row>
    <row r="16318" spans="26:26" x14ac:dyDescent="0.25">
      <c r="Z16318">
        <v>400000</v>
      </c>
    </row>
    <row r="16319" spans="26:26" x14ac:dyDescent="0.25">
      <c r="Z16319">
        <v>400000</v>
      </c>
    </row>
    <row r="16320" spans="26:26" x14ac:dyDescent="0.25">
      <c r="Z16320">
        <v>400000</v>
      </c>
    </row>
    <row r="16321" spans="26:26" x14ac:dyDescent="0.25">
      <c r="Z16321">
        <v>400000</v>
      </c>
    </row>
    <row r="16322" spans="26:26" x14ac:dyDescent="0.25">
      <c r="Z16322">
        <v>400000</v>
      </c>
    </row>
    <row r="16323" spans="26:26" x14ac:dyDescent="0.25">
      <c r="Z16323">
        <v>400000</v>
      </c>
    </row>
    <row r="16324" spans="26:26" x14ac:dyDescent="0.25">
      <c r="Z16324">
        <v>400000</v>
      </c>
    </row>
    <row r="16325" spans="26:26" x14ac:dyDescent="0.25">
      <c r="Z16325">
        <v>400000</v>
      </c>
    </row>
    <row r="16326" spans="26:26" x14ac:dyDescent="0.25">
      <c r="Z16326">
        <v>400000</v>
      </c>
    </row>
    <row r="16327" spans="26:26" x14ac:dyDescent="0.25">
      <c r="Z16327">
        <v>400000</v>
      </c>
    </row>
    <row r="16328" spans="26:26" x14ac:dyDescent="0.25">
      <c r="Z16328">
        <v>400000</v>
      </c>
    </row>
    <row r="16329" spans="26:26" x14ac:dyDescent="0.25">
      <c r="Z16329">
        <v>400000</v>
      </c>
    </row>
    <row r="16330" spans="26:26" x14ac:dyDescent="0.25">
      <c r="Z16330">
        <v>400000</v>
      </c>
    </row>
    <row r="16331" spans="26:26" x14ac:dyDescent="0.25">
      <c r="Z16331">
        <v>400000</v>
      </c>
    </row>
    <row r="16332" spans="26:26" x14ac:dyDescent="0.25">
      <c r="Z16332">
        <v>400000</v>
      </c>
    </row>
    <row r="16333" spans="26:26" x14ac:dyDescent="0.25">
      <c r="Z16333">
        <v>400000</v>
      </c>
    </row>
    <row r="16334" spans="26:26" x14ac:dyDescent="0.25">
      <c r="Z16334">
        <v>400000</v>
      </c>
    </row>
    <row r="16335" spans="26:26" x14ac:dyDescent="0.25">
      <c r="Z16335">
        <v>400000</v>
      </c>
    </row>
    <row r="16336" spans="26:26" x14ac:dyDescent="0.25">
      <c r="Z16336">
        <v>400000</v>
      </c>
    </row>
    <row r="16337" spans="26:26" x14ac:dyDescent="0.25">
      <c r="Z16337">
        <v>400000</v>
      </c>
    </row>
    <row r="16338" spans="26:26" x14ac:dyDescent="0.25">
      <c r="Z16338">
        <v>400000</v>
      </c>
    </row>
    <row r="16339" spans="26:26" x14ac:dyDescent="0.25">
      <c r="Z16339">
        <v>400000</v>
      </c>
    </row>
    <row r="16340" spans="26:26" x14ac:dyDescent="0.25">
      <c r="Z16340">
        <v>400000</v>
      </c>
    </row>
    <row r="16341" spans="26:26" x14ac:dyDescent="0.25">
      <c r="Z16341">
        <v>400000</v>
      </c>
    </row>
    <row r="16342" spans="26:26" x14ac:dyDescent="0.25">
      <c r="Z16342">
        <v>400000</v>
      </c>
    </row>
    <row r="16343" spans="26:26" x14ac:dyDescent="0.25">
      <c r="Z16343">
        <v>400000</v>
      </c>
    </row>
    <row r="16344" spans="26:26" x14ac:dyDescent="0.25">
      <c r="Z16344">
        <v>400000</v>
      </c>
    </row>
    <row r="16345" spans="26:26" x14ac:dyDescent="0.25">
      <c r="Z16345">
        <v>400000</v>
      </c>
    </row>
    <row r="16346" spans="26:26" x14ac:dyDescent="0.25">
      <c r="Z16346">
        <v>400000</v>
      </c>
    </row>
    <row r="16347" spans="26:26" x14ac:dyDescent="0.25">
      <c r="Z16347">
        <v>400000</v>
      </c>
    </row>
    <row r="16348" spans="26:26" x14ac:dyDescent="0.25">
      <c r="Z16348">
        <v>400000</v>
      </c>
    </row>
    <row r="16349" spans="26:26" x14ac:dyDescent="0.25">
      <c r="Z16349">
        <v>400000</v>
      </c>
    </row>
    <row r="16350" spans="26:26" x14ac:dyDescent="0.25">
      <c r="Z16350">
        <v>400000</v>
      </c>
    </row>
    <row r="16351" spans="26:26" x14ac:dyDescent="0.25">
      <c r="Z16351">
        <v>400000</v>
      </c>
    </row>
    <row r="16352" spans="26:26" x14ac:dyDescent="0.25">
      <c r="Z16352">
        <v>400000</v>
      </c>
    </row>
    <row r="16353" spans="26:26" x14ac:dyDescent="0.25">
      <c r="Z16353">
        <v>400000</v>
      </c>
    </row>
    <row r="16354" spans="26:26" x14ac:dyDescent="0.25">
      <c r="Z16354">
        <v>400000</v>
      </c>
    </row>
    <row r="16355" spans="26:26" x14ac:dyDescent="0.25">
      <c r="Z16355">
        <v>400000</v>
      </c>
    </row>
    <row r="16356" spans="26:26" x14ac:dyDescent="0.25">
      <c r="Z16356">
        <v>400000</v>
      </c>
    </row>
    <row r="16357" spans="26:26" x14ac:dyDescent="0.25">
      <c r="Z16357">
        <v>400000</v>
      </c>
    </row>
    <row r="16358" spans="26:26" x14ac:dyDescent="0.25">
      <c r="Z16358">
        <v>400000</v>
      </c>
    </row>
    <row r="16359" spans="26:26" x14ac:dyDescent="0.25">
      <c r="Z16359">
        <v>400000</v>
      </c>
    </row>
    <row r="16360" spans="26:26" x14ac:dyDescent="0.25">
      <c r="Z16360">
        <v>400000</v>
      </c>
    </row>
    <row r="16361" spans="26:26" x14ac:dyDescent="0.25">
      <c r="Z16361">
        <v>400000</v>
      </c>
    </row>
    <row r="16362" spans="26:26" x14ac:dyDescent="0.25">
      <c r="Z16362">
        <v>400000</v>
      </c>
    </row>
    <row r="16363" spans="26:26" x14ac:dyDescent="0.25">
      <c r="Z16363">
        <v>400000</v>
      </c>
    </row>
    <row r="16364" spans="26:26" x14ac:dyDescent="0.25">
      <c r="Z16364">
        <v>400000</v>
      </c>
    </row>
    <row r="16365" spans="26:26" x14ac:dyDescent="0.25">
      <c r="Z16365">
        <v>400000</v>
      </c>
    </row>
    <row r="16366" spans="26:26" x14ac:dyDescent="0.25">
      <c r="Z16366">
        <v>400000</v>
      </c>
    </row>
    <row r="16367" spans="26:26" x14ac:dyDescent="0.25">
      <c r="Z16367">
        <v>400000</v>
      </c>
    </row>
    <row r="16368" spans="26:26" x14ac:dyDescent="0.25">
      <c r="Z16368">
        <v>400000</v>
      </c>
    </row>
    <row r="16369" spans="26:26" x14ac:dyDescent="0.25">
      <c r="Z16369">
        <v>400000</v>
      </c>
    </row>
    <row r="16370" spans="26:26" x14ac:dyDescent="0.25">
      <c r="Z16370">
        <v>400000</v>
      </c>
    </row>
    <row r="16371" spans="26:26" x14ac:dyDescent="0.25">
      <c r="Z16371">
        <v>400000</v>
      </c>
    </row>
    <row r="16372" spans="26:26" x14ac:dyDescent="0.25">
      <c r="Z16372">
        <v>400000</v>
      </c>
    </row>
    <row r="16373" spans="26:26" x14ac:dyDescent="0.25">
      <c r="Z16373">
        <v>400000</v>
      </c>
    </row>
    <row r="16374" spans="26:26" x14ac:dyDescent="0.25">
      <c r="Z16374">
        <v>400000</v>
      </c>
    </row>
    <row r="16375" spans="26:26" x14ac:dyDescent="0.25">
      <c r="Z16375">
        <v>400000</v>
      </c>
    </row>
    <row r="16376" spans="26:26" x14ac:dyDescent="0.25">
      <c r="Z16376">
        <v>400000</v>
      </c>
    </row>
    <row r="16377" spans="26:26" x14ac:dyDescent="0.25">
      <c r="Z16377">
        <v>400000</v>
      </c>
    </row>
    <row r="16378" spans="26:26" x14ac:dyDescent="0.25">
      <c r="Z16378">
        <v>400000</v>
      </c>
    </row>
    <row r="16379" spans="26:26" x14ac:dyDescent="0.25">
      <c r="Z16379">
        <v>400000</v>
      </c>
    </row>
    <row r="16380" spans="26:26" x14ac:dyDescent="0.25">
      <c r="Z16380">
        <v>400000</v>
      </c>
    </row>
    <row r="16381" spans="26:26" x14ac:dyDescent="0.25">
      <c r="Z16381">
        <v>400000</v>
      </c>
    </row>
    <row r="16382" spans="26:26" x14ac:dyDescent="0.25">
      <c r="Z16382">
        <v>400000</v>
      </c>
    </row>
    <row r="16383" spans="26:26" x14ac:dyDescent="0.25">
      <c r="Z16383">
        <v>400000</v>
      </c>
    </row>
    <row r="16384" spans="26:26" x14ac:dyDescent="0.25">
      <c r="Z16384">
        <v>400000</v>
      </c>
    </row>
    <row r="16385" spans="26:26" x14ac:dyDescent="0.25">
      <c r="Z16385">
        <v>400000</v>
      </c>
    </row>
    <row r="16386" spans="26:26" x14ac:dyDescent="0.25">
      <c r="Z16386">
        <v>400000</v>
      </c>
    </row>
    <row r="16387" spans="26:26" x14ac:dyDescent="0.25">
      <c r="Z16387">
        <v>400000</v>
      </c>
    </row>
    <row r="16388" spans="26:26" x14ac:dyDescent="0.25">
      <c r="Z16388">
        <v>400000</v>
      </c>
    </row>
    <row r="16389" spans="26:26" x14ac:dyDescent="0.25">
      <c r="Z16389">
        <v>400000</v>
      </c>
    </row>
    <row r="16390" spans="26:26" x14ac:dyDescent="0.25">
      <c r="Z16390">
        <v>400000</v>
      </c>
    </row>
    <row r="16391" spans="26:26" x14ac:dyDescent="0.25">
      <c r="Z16391">
        <v>400000</v>
      </c>
    </row>
    <row r="16392" spans="26:26" x14ac:dyDescent="0.25">
      <c r="Z16392">
        <v>400000</v>
      </c>
    </row>
    <row r="16393" spans="26:26" x14ac:dyDescent="0.25">
      <c r="Z16393">
        <v>400000</v>
      </c>
    </row>
    <row r="16394" spans="26:26" x14ac:dyDescent="0.25">
      <c r="Z16394">
        <v>400000</v>
      </c>
    </row>
    <row r="16395" spans="26:26" x14ac:dyDescent="0.25">
      <c r="Z16395">
        <v>400000</v>
      </c>
    </row>
    <row r="16396" spans="26:26" x14ac:dyDescent="0.25">
      <c r="Z16396">
        <v>400000</v>
      </c>
    </row>
    <row r="16397" spans="26:26" x14ac:dyDescent="0.25">
      <c r="Z16397">
        <v>400000</v>
      </c>
    </row>
    <row r="16398" spans="26:26" x14ac:dyDescent="0.25">
      <c r="Z16398">
        <v>400000</v>
      </c>
    </row>
    <row r="16399" spans="26:26" x14ac:dyDescent="0.25">
      <c r="Z16399">
        <v>400000</v>
      </c>
    </row>
    <row r="16400" spans="26:26" x14ac:dyDescent="0.25">
      <c r="Z16400">
        <v>400000</v>
      </c>
    </row>
    <row r="16401" spans="26:26" x14ac:dyDescent="0.25">
      <c r="Z16401">
        <v>400000</v>
      </c>
    </row>
    <row r="16402" spans="26:26" x14ac:dyDescent="0.25">
      <c r="Z16402">
        <v>400000</v>
      </c>
    </row>
    <row r="16403" spans="26:26" x14ac:dyDescent="0.25">
      <c r="Z16403">
        <v>400000</v>
      </c>
    </row>
    <row r="16404" spans="26:26" x14ac:dyDescent="0.25">
      <c r="Z16404">
        <v>400000</v>
      </c>
    </row>
    <row r="16405" spans="26:26" x14ac:dyDescent="0.25">
      <c r="Z16405">
        <v>400000</v>
      </c>
    </row>
    <row r="16406" spans="26:26" x14ac:dyDescent="0.25">
      <c r="Z16406">
        <v>400000</v>
      </c>
    </row>
    <row r="16407" spans="26:26" x14ac:dyDescent="0.25">
      <c r="Z16407">
        <v>400000</v>
      </c>
    </row>
    <row r="16408" spans="26:26" x14ac:dyDescent="0.25">
      <c r="Z16408">
        <v>400000</v>
      </c>
    </row>
    <row r="16409" spans="26:26" x14ac:dyDescent="0.25">
      <c r="Z16409">
        <v>400000</v>
      </c>
    </row>
    <row r="16410" spans="26:26" x14ac:dyDescent="0.25">
      <c r="Z16410">
        <v>400000</v>
      </c>
    </row>
    <row r="16411" spans="26:26" x14ac:dyDescent="0.25">
      <c r="Z16411">
        <v>400000</v>
      </c>
    </row>
    <row r="16412" spans="26:26" x14ac:dyDescent="0.25">
      <c r="Z16412">
        <v>400000</v>
      </c>
    </row>
    <row r="16413" spans="26:26" x14ac:dyDescent="0.25">
      <c r="Z16413">
        <v>400000</v>
      </c>
    </row>
    <row r="16414" spans="26:26" x14ac:dyDescent="0.25">
      <c r="Z16414">
        <v>400000</v>
      </c>
    </row>
    <row r="16415" spans="26:26" x14ac:dyDescent="0.25">
      <c r="Z16415">
        <v>400000</v>
      </c>
    </row>
    <row r="16416" spans="26:26" x14ac:dyDescent="0.25">
      <c r="Z16416">
        <v>400000</v>
      </c>
    </row>
    <row r="16417" spans="26:26" x14ac:dyDescent="0.25">
      <c r="Z16417">
        <v>400000</v>
      </c>
    </row>
    <row r="16418" spans="26:26" x14ac:dyDescent="0.25">
      <c r="Z16418">
        <v>400000</v>
      </c>
    </row>
    <row r="16419" spans="26:26" x14ac:dyDescent="0.25">
      <c r="Z16419">
        <v>400000</v>
      </c>
    </row>
    <row r="16420" spans="26:26" x14ac:dyDescent="0.25">
      <c r="Z16420">
        <v>400000</v>
      </c>
    </row>
    <row r="16421" spans="26:26" x14ac:dyDescent="0.25">
      <c r="Z16421">
        <v>400000</v>
      </c>
    </row>
    <row r="16422" spans="26:26" x14ac:dyDescent="0.25">
      <c r="Z16422">
        <v>400000</v>
      </c>
    </row>
    <row r="16423" spans="26:26" x14ac:dyDescent="0.25">
      <c r="Z16423">
        <v>400000</v>
      </c>
    </row>
    <row r="16424" spans="26:26" x14ac:dyDescent="0.25">
      <c r="Z16424">
        <v>400000</v>
      </c>
    </row>
    <row r="16425" spans="26:26" x14ac:dyDescent="0.25">
      <c r="Z16425">
        <v>400000</v>
      </c>
    </row>
    <row r="16426" spans="26:26" x14ac:dyDescent="0.25">
      <c r="Z16426">
        <v>400000</v>
      </c>
    </row>
    <row r="16427" spans="26:26" x14ac:dyDescent="0.25">
      <c r="Z16427">
        <v>400000</v>
      </c>
    </row>
    <row r="16428" spans="26:26" x14ac:dyDescent="0.25">
      <c r="Z16428">
        <v>400000</v>
      </c>
    </row>
    <row r="16429" spans="26:26" x14ac:dyDescent="0.25">
      <c r="Z16429">
        <v>400000</v>
      </c>
    </row>
    <row r="16430" spans="26:26" x14ac:dyDescent="0.25">
      <c r="Z16430">
        <v>400000</v>
      </c>
    </row>
    <row r="16431" spans="26:26" x14ac:dyDescent="0.25">
      <c r="Z16431">
        <v>400000</v>
      </c>
    </row>
    <row r="16432" spans="26:26" x14ac:dyDescent="0.25">
      <c r="Z16432">
        <v>400000</v>
      </c>
    </row>
    <row r="16433" spans="26:26" x14ac:dyDescent="0.25">
      <c r="Z16433">
        <v>400000</v>
      </c>
    </row>
    <row r="16434" spans="26:26" x14ac:dyDescent="0.25">
      <c r="Z16434">
        <v>400000</v>
      </c>
    </row>
    <row r="16435" spans="26:26" x14ac:dyDescent="0.25">
      <c r="Z16435">
        <v>400000</v>
      </c>
    </row>
    <row r="16436" spans="26:26" x14ac:dyDescent="0.25">
      <c r="Z16436">
        <v>400000</v>
      </c>
    </row>
    <row r="16437" spans="26:26" x14ac:dyDescent="0.25">
      <c r="Z16437">
        <v>400000</v>
      </c>
    </row>
    <row r="16438" spans="26:26" x14ac:dyDescent="0.25">
      <c r="Z16438">
        <v>400000</v>
      </c>
    </row>
    <row r="16439" spans="26:26" x14ac:dyDescent="0.25">
      <c r="Z16439">
        <v>400000</v>
      </c>
    </row>
    <row r="16440" spans="26:26" x14ac:dyDescent="0.25">
      <c r="Z16440">
        <v>400000</v>
      </c>
    </row>
    <row r="16441" spans="26:26" x14ac:dyDescent="0.25">
      <c r="Z16441">
        <v>400000</v>
      </c>
    </row>
    <row r="16442" spans="26:26" x14ac:dyDescent="0.25">
      <c r="Z16442">
        <v>400000</v>
      </c>
    </row>
    <row r="16443" spans="26:26" x14ac:dyDescent="0.25">
      <c r="Z16443">
        <v>400000</v>
      </c>
    </row>
    <row r="16444" spans="26:26" x14ac:dyDescent="0.25">
      <c r="Z16444">
        <v>400000</v>
      </c>
    </row>
    <row r="16445" spans="26:26" x14ac:dyDescent="0.25">
      <c r="Z16445">
        <v>400000</v>
      </c>
    </row>
    <row r="16446" spans="26:26" x14ac:dyDescent="0.25">
      <c r="Z16446">
        <v>400000</v>
      </c>
    </row>
    <row r="16447" spans="26:26" x14ac:dyDescent="0.25">
      <c r="Z16447">
        <v>400000</v>
      </c>
    </row>
    <row r="16448" spans="26:26" x14ac:dyDescent="0.25">
      <c r="Z16448">
        <v>400000</v>
      </c>
    </row>
    <row r="16449" spans="26:26" x14ac:dyDescent="0.25">
      <c r="Z16449">
        <v>400000</v>
      </c>
    </row>
    <row r="16450" spans="26:26" x14ac:dyDescent="0.25">
      <c r="Z16450">
        <v>400000</v>
      </c>
    </row>
    <row r="16451" spans="26:26" x14ac:dyDescent="0.25">
      <c r="Z16451">
        <v>400000</v>
      </c>
    </row>
    <row r="16452" spans="26:26" x14ac:dyDescent="0.25">
      <c r="Z16452">
        <v>400000</v>
      </c>
    </row>
    <row r="16453" spans="26:26" x14ac:dyDescent="0.25">
      <c r="Z16453">
        <v>400000</v>
      </c>
    </row>
    <row r="16454" spans="26:26" x14ac:dyDescent="0.25">
      <c r="Z16454">
        <v>400000</v>
      </c>
    </row>
    <row r="16455" spans="26:26" x14ac:dyDescent="0.25">
      <c r="Z16455">
        <v>400000</v>
      </c>
    </row>
    <row r="16456" spans="26:26" x14ac:dyDescent="0.25">
      <c r="Z16456">
        <v>400000</v>
      </c>
    </row>
    <row r="16457" spans="26:26" x14ac:dyDescent="0.25">
      <c r="Z16457">
        <v>400000</v>
      </c>
    </row>
    <row r="16458" spans="26:26" x14ac:dyDescent="0.25">
      <c r="Z16458">
        <v>400000</v>
      </c>
    </row>
    <row r="16459" spans="26:26" x14ac:dyDescent="0.25">
      <c r="Z16459">
        <v>400000</v>
      </c>
    </row>
    <row r="16460" spans="26:26" x14ac:dyDescent="0.25">
      <c r="Z16460">
        <v>400000</v>
      </c>
    </row>
    <row r="16461" spans="26:26" x14ac:dyDescent="0.25">
      <c r="Z16461">
        <v>400000</v>
      </c>
    </row>
    <row r="16462" spans="26:26" x14ac:dyDescent="0.25">
      <c r="Z16462">
        <v>400000</v>
      </c>
    </row>
    <row r="16463" spans="26:26" x14ac:dyDescent="0.25">
      <c r="Z16463">
        <v>400000</v>
      </c>
    </row>
    <row r="16464" spans="26:26" x14ac:dyDescent="0.25">
      <c r="Z16464">
        <v>400000</v>
      </c>
    </row>
    <row r="16465" spans="26:26" x14ac:dyDescent="0.25">
      <c r="Z16465">
        <v>400000</v>
      </c>
    </row>
    <row r="16466" spans="26:26" x14ac:dyDescent="0.25">
      <c r="Z16466">
        <v>400000</v>
      </c>
    </row>
    <row r="16467" spans="26:26" x14ac:dyDescent="0.25">
      <c r="Z16467">
        <v>400000</v>
      </c>
    </row>
    <row r="16468" spans="26:26" x14ac:dyDescent="0.25">
      <c r="Z16468">
        <v>400000</v>
      </c>
    </row>
    <row r="16469" spans="26:26" x14ac:dyDescent="0.25">
      <c r="Z16469">
        <v>400000</v>
      </c>
    </row>
    <row r="16470" spans="26:26" x14ac:dyDescent="0.25">
      <c r="Z16470">
        <v>400000</v>
      </c>
    </row>
    <row r="16471" spans="26:26" x14ac:dyDescent="0.25">
      <c r="Z16471">
        <v>400000</v>
      </c>
    </row>
    <row r="16472" spans="26:26" x14ac:dyDescent="0.25">
      <c r="Z16472">
        <v>400000</v>
      </c>
    </row>
    <row r="16473" spans="26:26" x14ac:dyDescent="0.25">
      <c r="Z16473">
        <v>400000</v>
      </c>
    </row>
    <row r="16474" spans="26:26" x14ac:dyDescent="0.25">
      <c r="Z16474">
        <v>400000</v>
      </c>
    </row>
    <row r="16475" spans="26:26" x14ac:dyDescent="0.25">
      <c r="Z16475">
        <v>400000</v>
      </c>
    </row>
    <row r="16476" spans="26:26" x14ac:dyDescent="0.25">
      <c r="Z16476">
        <v>400000</v>
      </c>
    </row>
    <row r="16477" spans="26:26" x14ac:dyDescent="0.25">
      <c r="Z16477">
        <v>400000</v>
      </c>
    </row>
    <row r="16478" spans="26:26" x14ac:dyDescent="0.25">
      <c r="Z16478">
        <v>400000</v>
      </c>
    </row>
    <row r="16479" spans="26:26" x14ac:dyDescent="0.25">
      <c r="Z16479">
        <v>400000</v>
      </c>
    </row>
    <row r="16480" spans="26:26" x14ac:dyDescent="0.25">
      <c r="Z16480">
        <v>400000</v>
      </c>
    </row>
    <row r="16481" spans="26:26" x14ac:dyDescent="0.25">
      <c r="Z16481">
        <v>400000</v>
      </c>
    </row>
    <row r="16482" spans="26:26" x14ac:dyDescent="0.25">
      <c r="Z16482">
        <v>400000</v>
      </c>
    </row>
    <row r="16483" spans="26:26" x14ac:dyDescent="0.25">
      <c r="Z16483">
        <v>400000</v>
      </c>
    </row>
    <row r="16484" spans="26:26" x14ac:dyDescent="0.25">
      <c r="Z16484">
        <v>400000</v>
      </c>
    </row>
    <row r="16485" spans="26:26" x14ac:dyDescent="0.25">
      <c r="Z16485">
        <v>400000</v>
      </c>
    </row>
    <row r="16486" spans="26:26" x14ac:dyDescent="0.25">
      <c r="Z16486">
        <v>400000</v>
      </c>
    </row>
    <row r="16487" spans="26:26" x14ac:dyDescent="0.25">
      <c r="Z16487">
        <v>400000</v>
      </c>
    </row>
    <row r="16488" spans="26:26" x14ac:dyDescent="0.25">
      <c r="Z16488">
        <v>400000</v>
      </c>
    </row>
    <row r="16489" spans="26:26" x14ac:dyDescent="0.25">
      <c r="Z16489">
        <v>400000</v>
      </c>
    </row>
    <row r="16490" spans="26:26" x14ac:dyDescent="0.25">
      <c r="Z16490">
        <v>400000</v>
      </c>
    </row>
    <row r="16491" spans="26:26" x14ac:dyDescent="0.25">
      <c r="Z16491">
        <v>400000</v>
      </c>
    </row>
    <row r="16492" spans="26:26" x14ac:dyDescent="0.25">
      <c r="Z16492">
        <v>400000</v>
      </c>
    </row>
    <row r="16493" spans="26:26" x14ac:dyDescent="0.25">
      <c r="Z16493">
        <v>400000</v>
      </c>
    </row>
    <row r="16494" spans="26:26" x14ac:dyDescent="0.25">
      <c r="Z16494">
        <v>400000</v>
      </c>
    </row>
    <row r="16495" spans="26:26" x14ac:dyDescent="0.25">
      <c r="Z16495">
        <v>400000</v>
      </c>
    </row>
    <row r="16496" spans="26:26" x14ac:dyDescent="0.25">
      <c r="Z16496">
        <v>400000</v>
      </c>
    </row>
    <row r="16497" spans="26:26" x14ac:dyDescent="0.25">
      <c r="Z16497">
        <v>400000</v>
      </c>
    </row>
    <row r="16498" spans="26:26" x14ac:dyDescent="0.25">
      <c r="Z16498">
        <v>400000</v>
      </c>
    </row>
    <row r="16499" spans="26:26" x14ac:dyDescent="0.25">
      <c r="Z16499">
        <v>400000</v>
      </c>
    </row>
    <row r="16500" spans="26:26" x14ac:dyDescent="0.25">
      <c r="Z16500">
        <v>400000</v>
      </c>
    </row>
    <row r="16501" spans="26:26" x14ac:dyDescent="0.25">
      <c r="Z16501">
        <v>400000</v>
      </c>
    </row>
    <row r="16502" spans="26:26" x14ac:dyDescent="0.25">
      <c r="Z16502">
        <v>400000</v>
      </c>
    </row>
    <row r="16503" spans="26:26" x14ac:dyDescent="0.25">
      <c r="Z16503">
        <v>400000</v>
      </c>
    </row>
    <row r="16504" spans="26:26" x14ac:dyDescent="0.25">
      <c r="Z16504">
        <v>400000</v>
      </c>
    </row>
    <row r="16505" spans="26:26" x14ac:dyDescent="0.25">
      <c r="Z16505">
        <v>400000</v>
      </c>
    </row>
    <row r="16506" spans="26:26" x14ac:dyDescent="0.25">
      <c r="Z16506">
        <v>400000</v>
      </c>
    </row>
    <row r="16507" spans="26:26" x14ac:dyDescent="0.25">
      <c r="Z16507">
        <v>400000</v>
      </c>
    </row>
    <row r="16508" spans="26:26" x14ac:dyDescent="0.25">
      <c r="Z16508">
        <v>400000</v>
      </c>
    </row>
    <row r="16509" spans="26:26" x14ac:dyDescent="0.25">
      <c r="Z16509">
        <v>400000</v>
      </c>
    </row>
    <row r="16510" spans="26:26" x14ac:dyDescent="0.25">
      <c r="Z16510">
        <v>400000</v>
      </c>
    </row>
    <row r="16511" spans="26:26" x14ac:dyDescent="0.25">
      <c r="Z16511">
        <v>400000</v>
      </c>
    </row>
    <row r="16512" spans="26:26" x14ac:dyDescent="0.25">
      <c r="Z16512">
        <v>400000</v>
      </c>
    </row>
    <row r="16513" spans="26:26" x14ac:dyDescent="0.25">
      <c r="Z16513">
        <v>400000</v>
      </c>
    </row>
    <row r="16514" spans="26:26" x14ac:dyDescent="0.25">
      <c r="Z16514">
        <v>400000</v>
      </c>
    </row>
    <row r="16515" spans="26:26" x14ac:dyDescent="0.25">
      <c r="Z16515">
        <v>400000</v>
      </c>
    </row>
    <row r="16516" spans="26:26" x14ac:dyDescent="0.25">
      <c r="Z16516">
        <v>400000</v>
      </c>
    </row>
    <row r="16517" spans="26:26" x14ac:dyDescent="0.25">
      <c r="Z16517">
        <v>400000</v>
      </c>
    </row>
    <row r="16518" spans="26:26" x14ac:dyDescent="0.25">
      <c r="Z16518">
        <v>400000</v>
      </c>
    </row>
    <row r="16519" spans="26:26" x14ac:dyDescent="0.25">
      <c r="Z16519">
        <v>400000</v>
      </c>
    </row>
    <row r="16520" spans="26:26" x14ac:dyDescent="0.25">
      <c r="Z16520">
        <v>400000</v>
      </c>
    </row>
    <row r="16521" spans="26:26" x14ac:dyDescent="0.25">
      <c r="Z16521">
        <v>400000</v>
      </c>
    </row>
    <row r="16522" spans="26:26" x14ac:dyDescent="0.25">
      <c r="Z16522">
        <v>400000</v>
      </c>
    </row>
    <row r="16523" spans="26:26" x14ac:dyDescent="0.25">
      <c r="Z16523">
        <v>400000</v>
      </c>
    </row>
    <row r="16524" spans="26:26" x14ac:dyDescent="0.25">
      <c r="Z16524">
        <v>400000</v>
      </c>
    </row>
    <row r="16525" spans="26:26" x14ac:dyDescent="0.25">
      <c r="Z16525">
        <v>400000</v>
      </c>
    </row>
    <row r="16526" spans="26:26" x14ac:dyDescent="0.25">
      <c r="Z16526">
        <v>400000</v>
      </c>
    </row>
    <row r="16527" spans="26:26" x14ac:dyDescent="0.25">
      <c r="Z16527">
        <v>400000</v>
      </c>
    </row>
    <row r="16528" spans="26:26" x14ac:dyDescent="0.25">
      <c r="Z16528">
        <v>400000</v>
      </c>
    </row>
    <row r="16529" spans="26:26" x14ac:dyDescent="0.25">
      <c r="Z16529">
        <v>400000</v>
      </c>
    </row>
    <row r="16530" spans="26:26" x14ac:dyDescent="0.25">
      <c r="Z16530">
        <v>400000</v>
      </c>
    </row>
    <row r="16531" spans="26:26" x14ac:dyDescent="0.25">
      <c r="Z16531">
        <v>400000</v>
      </c>
    </row>
    <row r="16532" spans="26:26" x14ac:dyDescent="0.25">
      <c r="Z16532">
        <v>400000</v>
      </c>
    </row>
    <row r="16533" spans="26:26" x14ac:dyDescent="0.25">
      <c r="Z16533">
        <v>400000</v>
      </c>
    </row>
    <row r="16534" spans="26:26" x14ac:dyDescent="0.25">
      <c r="Z16534">
        <v>400000</v>
      </c>
    </row>
    <row r="16535" spans="26:26" x14ac:dyDescent="0.25">
      <c r="Z16535">
        <v>400000</v>
      </c>
    </row>
    <row r="16536" spans="26:26" x14ac:dyDescent="0.25">
      <c r="Z16536">
        <v>400000</v>
      </c>
    </row>
    <row r="16537" spans="26:26" x14ac:dyDescent="0.25">
      <c r="Z16537">
        <v>400000</v>
      </c>
    </row>
    <row r="16538" spans="26:26" x14ac:dyDescent="0.25">
      <c r="Z16538">
        <v>400000</v>
      </c>
    </row>
    <row r="16539" spans="26:26" x14ac:dyDescent="0.25">
      <c r="Z16539">
        <v>400000</v>
      </c>
    </row>
    <row r="16540" spans="26:26" x14ac:dyDescent="0.25">
      <c r="Z16540">
        <v>400000</v>
      </c>
    </row>
    <row r="16541" spans="26:26" x14ac:dyDescent="0.25">
      <c r="Z16541">
        <v>400000</v>
      </c>
    </row>
    <row r="16542" spans="26:26" x14ac:dyDescent="0.25">
      <c r="Z16542">
        <v>400000</v>
      </c>
    </row>
    <row r="16543" spans="26:26" x14ac:dyDescent="0.25">
      <c r="Z16543">
        <v>400000</v>
      </c>
    </row>
    <row r="16544" spans="26:26" x14ac:dyDescent="0.25">
      <c r="Z16544">
        <v>400000</v>
      </c>
    </row>
    <row r="16545" spans="26:26" x14ac:dyDescent="0.25">
      <c r="Z16545">
        <v>400000</v>
      </c>
    </row>
    <row r="16546" spans="26:26" x14ac:dyDescent="0.25">
      <c r="Z16546">
        <v>400000</v>
      </c>
    </row>
    <row r="16547" spans="26:26" x14ac:dyDescent="0.25">
      <c r="Z16547">
        <v>400000</v>
      </c>
    </row>
    <row r="16548" spans="26:26" x14ac:dyDescent="0.25">
      <c r="Z16548">
        <v>400000</v>
      </c>
    </row>
    <row r="16549" spans="26:26" x14ac:dyDescent="0.25">
      <c r="Z16549">
        <v>400000</v>
      </c>
    </row>
    <row r="16550" spans="26:26" x14ac:dyDescent="0.25">
      <c r="Z16550">
        <v>400000</v>
      </c>
    </row>
    <row r="16551" spans="26:26" x14ac:dyDescent="0.25">
      <c r="Z16551">
        <v>400000</v>
      </c>
    </row>
    <row r="16552" spans="26:26" x14ac:dyDescent="0.25">
      <c r="Z16552">
        <v>400000</v>
      </c>
    </row>
    <row r="16553" spans="26:26" x14ac:dyDescent="0.25">
      <c r="Z16553">
        <v>400000</v>
      </c>
    </row>
    <row r="16554" spans="26:26" x14ac:dyDescent="0.25">
      <c r="Z16554">
        <v>400000</v>
      </c>
    </row>
    <row r="16555" spans="26:26" x14ac:dyDescent="0.25">
      <c r="Z16555">
        <v>400000</v>
      </c>
    </row>
    <row r="16556" spans="26:26" x14ac:dyDescent="0.25">
      <c r="Z16556">
        <v>400000</v>
      </c>
    </row>
    <row r="16557" spans="26:26" x14ac:dyDescent="0.25">
      <c r="Z16557">
        <v>400000</v>
      </c>
    </row>
    <row r="16558" spans="26:26" x14ac:dyDescent="0.25">
      <c r="Z16558">
        <v>400000</v>
      </c>
    </row>
    <row r="16559" spans="26:26" x14ac:dyDescent="0.25">
      <c r="Z16559">
        <v>400000</v>
      </c>
    </row>
    <row r="16560" spans="26:26" x14ac:dyDescent="0.25">
      <c r="Z16560">
        <v>400000</v>
      </c>
    </row>
    <row r="16561" spans="26:26" x14ac:dyDescent="0.25">
      <c r="Z16561">
        <v>400000</v>
      </c>
    </row>
    <row r="16562" spans="26:26" x14ac:dyDescent="0.25">
      <c r="Z16562">
        <v>400000</v>
      </c>
    </row>
    <row r="16563" spans="26:26" x14ac:dyDescent="0.25">
      <c r="Z16563">
        <v>400000</v>
      </c>
    </row>
    <row r="16564" spans="26:26" x14ac:dyDescent="0.25">
      <c r="Z16564">
        <v>400000</v>
      </c>
    </row>
    <row r="16565" spans="26:26" x14ac:dyDescent="0.25">
      <c r="Z16565">
        <v>400000</v>
      </c>
    </row>
    <row r="16566" spans="26:26" x14ac:dyDescent="0.25">
      <c r="Z16566">
        <v>400000</v>
      </c>
    </row>
    <row r="16567" spans="26:26" x14ac:dyDescent="0.25">
      <c r="Z16567">
        <v>400000</v>
      </c>
    </row>
    <row r="16568" spans="26:26" x14ac:dyDescent="0.25">
      <c r="Z16568">
        <v>400000</v>
      </c>
    </row>
    <row r="16569" spans="26:26" x14ac:dyDescent="0.25">
      <c r="Z16569">
        <v>400000</v>
      </c>
    </row>
    <row r="16570" spans="26:26" x14ac:dyDescent="0.25">
      <c r="Z16570">
        <v>400000</v>
      </c>
    </row>
    <row r="16571" spans="26:26" x14ac:dyDescent="0.25">
      <c r="Z16571">
        <v>400000</v>
      </c>
    </row>
    <row r="16572" spans="26:26" x14ac:dyDescent="0.25">
      <c r="Z16572">
        <v>400000</v>
      </c>
    </row>
    <row r="16573" spans="26:26" x14ac:dyDescent="0.25">
      <c r="Z16573">
        <v>400000</v>
      </c>
    </row>
    <row r="16574" spans="26:26" x14ac:dyDescent="0.25">
      <c r="Z16574">
        <v>400000</v>
      </c>
    </row>
    <row r="16575" spans="26:26" x14ac:dyDescent="0.25">
      <c r="Z16575">
        <v>400000</v>
      </c>
    </row>
    <row r="16576" spans="26:26" x14ac:dyDescent="0.25">
      <c r="Z16576">
        <v>400000</v>
      </c>
    </row>
    <row r="16577" spans="26:26" x14ac:dyDescent="0.25">
      <c r="Z16577">
        <v>400000</v>
      </c>
    </row>
    <row r="16578" spans="26:26" x14ac:dyDescent="0.25">
      <c r="Z16578">
        <v>400000</v>
      </c>
    </row>
    <row r="16579" spans="26:26" x14ac:dyDescent="0.25">
      <c r="Z16579">
        <v>400000</v>
      </c>
    </row>
    <row r="16580" spans="26:26" x14ac:dyDescent="0.25">
      <c r="Z16580">
        <v>400000</v>
      </c>
    </row>
    <row r="16581" spans="26:26" x14ac:dyDescent="0.25">
      <c r="Z16581">
        <v>400000</v>
      </c>
    </row>
    <row r="16582" spans="26:26" x14ac:dyDescent="0.25">
      <c r="Z16582">
        <v>400000</v>
      </c>
    </row>
    <row r="16583" spans="26:26" x14ac:dyDescent="0.25">
      <c r="Z16583">
        <v>400000</v>
      </c>
    </row>
    <row r="16584" spans="26:26" x14ac:dyDescent="0.25">
      <c r="Z16584">
        <v>400000</v>
      </c>
    </row>
    <row r="16585" spans="26:26" x14ac:dyDescent="0.25">
      <c r="Z16585">
        <v>400000</v>
      </c>
    </row>
    <row r="16586" spans="26:26" x14ac:dyDescent="0.25">
      <c r="Z16586">
        <v>400000</v>
      </c>
    </row>
    <row r="16587" spans="26:26" x14ac:dyDescent="0.25">
      <c r="Z16587">
        <v>400000</v>
      </c>
    </row>
    <row r="16588" spans="26:26" x14ac:dyDescent="0.25">
      <c r="Z16588">
        <v>400000</v>
      </c>
    </row>
    <row r="16589" spans="26:26" x14ac:dyDescent="0.25">
      <c r="Z16589">
        <v>400000</v>
      </c>
    </row>
    <row r="16590" spans="26:26" x14ac:dyDescent="0.25">
      <c r="Z16590">
        <v>400000</v>
      </c>
    </row>
    <row r="16591" spans="26:26" x14ac:dyDescent="0.25">
      <c r="Z16591">
        <v>400000</v>
      </c>
    </row>
    <row r="16592" spans="26:26" x14ac:dyDescent="0.25">
      <c r="Z16592">
        <v>400000</v>
      </c>
    </row>
    <row r="16593" spans="26:26" x14ac:dyDescent="0.25">
      <c r="Z16593">
        <v>400000</v>
      </c>
    </row>
    <row r="16594" spans="26:26" x14ac:dyDescent="0.25">
      <c r="Z16594">
        <v>400000</v>
      </c>
    </row>
    <row r="16595" spans="26:26" x14ac:dyDescent="0.25">
      <c r="Z16595">
        <v>400000</v>
      </c>
    </row>
    <row r="16596" spans="26:26" x14ac:dyDescent="0.25">
      <c r="Z16596">
        <v>400000</v>
      </c>
    </row>
    <row r="16597" spans="26:26" x14ac:dyDescent="0.25">
      <c r="Z16597">
        <v>400000</v>
      </c>
    </row>
    <row r="16598" spans="26:26" x14ac:dyDescent="0.25">
      <c r="Z16598">
        <v>400000</v>
      </c>
    </row>
    <row r="16599" spans="26:26" x14ac:dyDescent="0.25">
      <c r="Z16599">
        <v>400000</v>
      </c>
    </row>
    <row r="16600" spans="26:26" x14ac:dyDescent="0.25">
      <c r="Z16600">
        <v>400000</v>
      </c>
    </row>
    <row r="16601" spans="26:26" x14ac:dyDescent="0.25">
      <c r="Z16601">
        <v>400000</v>
      </c>
    </row>
    <row r="16602" spans="26:26" x14ac:dyDescent="0.25">
      <c r="Z16602">
        <v>400000</v>
      </c>
    </row>
    <row r="16603" spans="26:26" x14ac:dyDescent="0.25">
      <c r="Z16603">
        <v>400000</v>
      </c>
    </row>
    <row r="16604" spans="26:26" x14ac:dyDescent="0.25">
      <c r="Z16604">
        <v>400000</v>
      </c>
    </row>
    <row r="16605" spans="26:26" x14ac:dyDescent="0.25">
      <c r="Z16605">
        <v>400000</v>
      </c>
    </row>
    <row r="16606" spans="26:26" x14ac:dyDescent="0.25">
      <c r="Z16606">
        <v>400000</v>
      </c>
    </row>
    <row r="16607" spans="26:26" x14ac:dyDescent="0.25">
      <c r="Z16607">
        <v>400000</v>
      </c>
    </row>
    <row r="16608" spans="26:26" x14ac:dyDescent="0.25">
      <c r="Z16608">
        <v>400000</v>
      </c>
    </row>
    <row r="16609" spans="26:26" x14ac:dyDescent="0.25">
      <c r="Z16609">
        <v>400000</v>
      </c>
    </row>
    <row r="16610" spans="26:26" x14ac:dyDescent="0.25">
      <c r="Z16610">
        <v>400000</v>
      </c>
    </row>
    <row r="16611" spans="26:26" x14ac:dyDescent="0.25">
      <c r="Z16611">
        <v>400000</v>
      </c>
    </row>
    <row r="16612" spans="26:26" x14ac:dyDescent="0.25">
      <c r="Z16612">
        <v>400000</v>
      </c>
    </row>
    <row r="16613" spans="26:26" x14ac:dyDescent="0.25">
      <c r="Z16613">
        <v>400000</v>
      </c>
    </row>
    <row r="16614" spans="26:26" x14ac:dyDescent="0.25">
      <c r="Z16614">
        <v>400000</v>
      </c>
    </row>
    <row r="16615" spans="26:26" x14ac:dyDescent="0.25">
      <c r="Z16615">
        <v>400000</v>
      </c>
    </row>
    <row r="16616" spans="26:26" x14ac:dyDescent="0.25">
      <c r="Z16616">
        <v>400000</v>
      </c>
    </row>
    <row r="16617" spans="26:26" x14ac:dyDescent="0.25">
      <c r="Z16617">
        <v>400000</v>
      </c>
    </row>
    <row r="16618" spans="26:26" x14ac:dyDescent="0.25">
      <c r="Z16618">
        <v>400000</v>
      </c>
    </row>
    <row r="16619" spans="26:26" x14ac:dyDescent="0.25">
      <c r="Z16619">
        <v>400000</v>
      </c>
    </row>
    <row r="16620" spans="26:26" x14ac:dyDescent="0.25">
      <c r="Z16620">
        <v>400000</v>
      </c>
    </row>
    <row r="16621" spans="26:26" x14ac:dyDescent="0.25">
      <c r="Z16621">
        <v>400000</v>
      </c>
    </row>
    <row r="16622" spans="26:26" x14ac:dyDescent="0.25">
      <c r="Z16622">
        <v>400000</v>
      </c>
    </row>
    <row r="16623" spans="26:26" x14ac:dyDescent="0.25">
      <c r="Z16623">
        <v>400000</v>
      </c>
    </row>
    <row r="16624" spans="26:26" x14ac:dyDescent="0.25">
      <c r="Z16624">
        <v>400000</v>
      </c>
    </row>
    <row r="16625" spans="26:26" x14ac:dyDescent="0.25">
      <c r="Z16625">
        <v>400000</v>
      </c>
    </row>
    <row r="16626" spans="26:26" x14ac:dyDescent="0.25">
      <c r="Z16626">
        <v>400000</v>
      </c>
    </row>
    <row r="16627" spans="26:26" x14ac:dyDescent="0.25">
      <c r="Z16627">
        <v>400000</v>
      </c>
    </row>
    <row r="16628" spans="26:26" x14ac:dyDescent="0.25">
      <c r="Z16628">
        <v>400000</v>
      </c>
    </row>
    <row r="16629" spans="26:26" x14ac:dyDescent="0.25">
      <c r="Z16629">
        <v>400000</v>
      </c>
    </row>
    <row r="16630" spans="26:26" x14ac:dyDescent="0.25">
      <c r="Z16630">
        <v>400000</v>
      </c>
    </row>
    <row r="16631" spans="26:26" x14ac:dyDescent="0.25">
      <c r="Z16631">
        <v>400000</v>
      </c>
    </row>
    <row r="16632" spans="26:26" x14ac:dyDescent="0.25">
      <c r="Z16632">
        <v>400000</v>
      </c>
    </row>
    <row r="16633" spans="26:26" x14ac:dyDescent="0.25">
      <c r="Z16633">
        <v>400000</v>
      </c>
    </row>
    <row r="16634" spans="26:26" x14ac:dyDescent="0.25">
      <c r="Z16634">
        <v>400000</v>
      </c>
    </row>
    <row r="16635" spans="26:26" x14ac:dyDescent="0.25">
      <c r="Z16635">
        <v>400000</v>
      </c>
    </row>
    <row r="16636" spans="26:26" x14ac:dyDescent="0.25">
      <c r="Z16636">
        <v>400000</v>
      </c>
    </row>
    <row r="16637" spans="26:26" x14ac:dyDescent="0.25">
      <c r="Z16637">
        <v>400000</v>
      </c>
    </row>
    <row r="16638" spans="26:26" x14ac:dyDescent="0.25">
      <c r="Z16638">
        <v>400000</v>
      </c>
    </row>
    <row r="16639" spans="26:26" x14ac:dyDescent="0.25">
      <c r="Z16639">
        <v>400000</v>
      </c>
    </row>
    <row r="16640" spans="26:26" x14ac:dyDescent="0.25">
      <c r="Z16640">
        <v>400000</v>
      </c>
    </row>
    <row r="16641" spans="26:26" x14ac:dyDescent="0.25">
      <c r="Z16641">
        <v>400000</v>
      </c>
    </row>
    <row r="16642" spans="26:26" x14ac:dyDescent="0.25">
      <c r="Z16642">
        <v>400000</v>
      </c>
    </row>
    <row r="16643" spans="26:26" x14ac:dyDescent="0.25">
      <c r="Z16643">
        <v>400000</v>
      </c>
    </row>
    <row r="16644" spans="26:26" x14ac:dyDescent="0.25">
      <c r="Z16644">
        <v>400000</v>
      </c>
    </row>
    <row r="16645" spans="26:26" x14ac:dyDescent="0.25">
      <c r="Z16645">
        <v>400000</v>
      </c>
    </row>
    <row r="16646" spans="26:26" x14ac:dyDescent="0.25">
      <c r="Z16646">
        <v>400000</v>
      </c>
    </row>
    <row r="16647" spans="26:26" x14ac:dyDescent="0.25">
      <c r="Z16647">
        <v>400000</v>
      </c>
    </row>
    <row r="16648" spans="26:26" x14ac:dyDescent="0.25">
      <c r="Z16648">
        <v>400000</v>
      </c>
    </row>
    <row r="16649" spans="26:26" x14ac:dyDescent="0.25">
      <c r="Z16649">
        <v>400000</v>
      </c>
    </row>
    <row r="16650" spans="26:26" x14ac:dyDescent="0.25">
      <c r="Z16650">
        <v>400000</v>
      </c>
    </row>
    <row r="16651" spans="26:26" x14ac:dyDescent="0.25">
      <c r="Z16651">
        <v>400000</v>
      </c>
    </row>
    <row r="16652" spans="26:26" x14ac:dyDescent="0.25">
      <c r="Z16652">
        <v>400000</v>
      </c>
    </row>
    <row r="16653" spans="26:26" x14ac:dyDescent="0.25">
      <c r="Z16653">
        <v>400000</v>
      </c>
    </row>
    <row r="16654" spans="26:26" x14ac:dyDescent="0.25">
      <c r="Z16654">
        <v>400000</v>
      </c>
    </row>
    <row r="16655" spans="26:26" x14ac:dyDescent="0.25">
      <c r="Z16655">
        <v>400000</v>
      </c>
    </row>
    <row r="16656" spans="26:26" x14ac:dyDescent="0.25">
      <c r="Z16656">
        <v>400000</v>
      </c>
    </row>
    <row r="16657" spans="26:26" x14ac:dyDescent="0.25">
      <c r="Z16657">
        <v>400000</v>
      </c>
    </row>
    <row r="16658" spans="26:26" x14ac:dyDescent="0.25">
      <c r="Z16658">
        <v>400000</v>
      </c>
    </row>
    <row r="16659" spans="26:26" x14ac:dyDescent="0.25">
      <c r="Z16659">
        <v>400000</v>
      </c>
    </row>
    <row r="16660" spans="26:26" x14ac:dyDescent="0.25">
      <c r="Z16660">
        <v>400000</v>
      </c>
    </row>
    <row r="16661" spans="26:26" x14ac:dyDescent="0.25">
      <c r="Z16661">
        <v>400000</v>
      </c>
    </row>
    <row r="16662" spans="26:26" x14ac:dyDescent="0.25">
      <c r="Z16662">
        <v>400000</v>
      </c>
    </row>
    <row r="16663" spans="26:26" x14ac:dyDescent="0.25">
      <c r="Z16663">
        <v>400000</v>
      </c>
    </row>
    <row r="16664" spans="26:26" x14ac:dyDescent="0.25">
      <c r="Z16664">
        <v>400000</v>
      </c>
    </row>
    <row r="16665" spans="26:26" x14ac:dyDescent="0.25">
      <c r="Z16665">
        <v>400000</v>
      </c>
    </row>
    <row r="16666" spans="26:26" x14ac:dyDescent="0.25">
      <c r="Z16666">
        <v>400000</v>
      </c>
    </row>
    <row r="16667" spans="26:26" x14ac:dyDescent="0.25">
      <c r="Z16667">
        <v>400000</v>
      </c>
    </row>
    <row r="16668" spans="26:26" x14ac:dyDescent="0.25">
      <c r="Z16668">
        <v>400000</v>
      </c>
    </row>
    <row r="16669" spans="26:26" x14ac:dyDescent="0.25">
      <c r="Z16669">
        <v>400000</v>
      </c>
    </row>
    <row r="16670" spans="26:26" x14ac:dyDescent="0.25">
      <c r="Z16670">
        <v>400000</v>
      </c>
    </row>
    <row r="16671" spans="26:26" x14ac:dyDescent="0.25">
      <c r="Z16671">
        <v>400000</v>
      </c>
    </row>
    <row r="16672" spans="26:26" x14ac:dyDescent="0.25">
      <c r="Z16672">
        <v>400000</v>
      </c>
    </row>
    <row r="16673" spans="26:26" x14ac:dyDescent="0.25">
      <c r="Z16673">
        <v>400000</v>
      </c>
    </row>
    <row r="16674" spans="26:26" x14ac:dyDescent="0.25">
      <c r="Z16674">
        <v>400000</v>
      </c>
    </row>
    <row r="16675" spans="26:26" x14ac:dyDescent="0.25">
      <c r="Z16675">
        <v>400000</v>
      </c>
    </row>
    <row r="16676" spans="26:26" x14ac:dyDescent="0.25">
      <c r="Z16676">
        <v>400000</v>
      </c>
    </row>
    <row r="16677" spans="26:26" x14ac:dyDescent="0.25">
      <c r="Z16677">
        <v>400000</v>
      </c>
    </row>
    <row r="16678" spans="26:26" x14ac:dyDescent="0.25">
      <c r="Z16678">
        <v>400000</v>
      </c>
    </row>
    <row r="16679" spans="26:26" x14ac:dyDescent="0.25">
      <c r="Z16679">
        <v>400000</v>
      </c>
    </row>
    <row r="16680" spans="26:26" x14ac:dyDescent="0.25">
      <c r="Z16680">
        <v>400000</v>
      </c>
    </row>
    <row r="16681" spans="26:26" x14ac:dyDescent="0.25">
      <c r="Z16681">
        <v>400000</v>
      </c>
    </row>
    <row r="16682" spans="26:26" x14ac:dyDescent="0.25">
      <c r="Z16682">
        <v>400000</v>
      </c>
    </row>
    <row r="16683" spans="26:26" x14ac:dyDescent="0.25">
      <c r="Z16683">
        <v>400000</v>
      </c>
    </row>
    <row r="16684" spans="26:26" x14ac:dyDescent="0.25">
      <c r="Z16684">
        <v>400000</v>
      </c>
    </row>
    <row r="16685" spans="26:26" x14ac:dyDescent="0.25">
      <c r="Z16685">
        <v>400000</v>
      </c>
    </row>
    <row r="16686" spans="26:26" x14ac:dyDescent="0.25">
      <c r="Z16686">
        <v>400000</v>
      </c>
    </row>
    <row r="16687" spans="26:26" x14ac:dyDescent="0.25">
      <c r="Z16687">
        <v>400000</v>
      </c>
    </row>
    <row r="16688" spans="26:26" x14ac:dyDescent="0.25">
      <c r="Z16688">
        <v>400000</v>
      </c>
    </row>
    <row r="16689" spans="26:26" x14ac:dyDescent="0.25">
      <c r="Z16689">
        <v>400000</v>
      </c>
    </row>
    <row r="16690" spans="26:26" x14ac:dyDescent="0.25">
      <c r="Z16690">
        <v>400000</v>
      </c>
    </row>
    <row r="16691" spans="26:26" x14ac:dyDescent="0.25">
      <c r="Z16691">
        <v>400000</v>
      </c>
    </row>
    <row r="16692" spans="26:26" x14ac:dyDescent="0.25">
      <c r="Z16692">
        <v>400000</v>
      </c>
    </row>
    <row r="16693" spans="26:26" x14ac:dyDescent="0.25">
      <c r="Z16693">
        <v>400000</v>
      </c>
    </row>
    <row r="16694" spans="26:26" x14ac:dyDescent="0.25">
      <c r="Z16694">
        <v>400000</v>
      </c>
    </row>
    <row r="16695" spans="26:26" x14ac:dyDescent="0.25">
      <c r="Z16695">
        <v>400000</v>
      </c>
    </row>
    <row r="16696" spans="26:26" x14ac:dyDescent="0.25">
      <c r="Z16696">
        <v>400000</v>
      </c>
    </row>
    <row r="16697" spans="26:26" x14ac:dyDescent="0.25">
      <c r="Z16697">
        <v>400000</v>
      </c>
    </row>
    <row r="16698" spans="26:26" x14ac:dyDescent="0.25">
      <c r="Z16698">
        <v>400000</v>
      </c>
    </row>
    <row r="16699" spans="26:26" x14ac:dyDescent="0.25">
      <c r="Z16699">
        <v>400000</v>
      </c>
    </row>
    <row r="16700" spans="26:26" x14ac:dyDescent="0.25">
      <c r="Z16700">
        <v>400000</v>
      </c>
    </row>
    <row r="16701" spans="26:26" x14ac:dyDescent="0.25">
      <c r="Z16701">
        <v>400000</v>
      </c>
    </row>
    <row r="16702" spans="26:26" x14ac:dyDescent="0.25">
      <c r="Z16702">
        <v>400000</v>
      </c>
    </row>
    <row r="16703" spans="26:26" x14ac:dyDescent="0.25">
      <c r="Z16703">
        <v>400000</v>
      </c>
    </row>
    <row r="16704" spans="26:26" x14ac:dyDescent="0.25">
      <c r="Z16704">
        <v>400000</v>
      </c>
    </row>
    <row r="16705" spans="26:26" x14ac:dyDescent="0.25">
      <c r="Z16705">
        <v>400000</v>
      </c>
    </row>
    <row r="16706" spans="26:26" x14ac:dyDescent="0.25">
      <c r="Z16706">
        <v>400000</v>
      </c>
    </row>
    <row r="16707" spans="26:26" x14ac:dyDescent="0.25">
      <c r="Z16707">
        <v>400000</v>
      </c>
    </row>
    <row r="16708" spans="26:26" x14ac:dyDescent="0.25">
      <c r="Z16708">
        <v>400000</v>
      </c>
    </row>
    <row r="16709" spans="26:26" x14ac:dyDescent="0.25">
      <c r="Z16709">
        <v>400000</v>
      </c>
    </row>
    <row r="16710" spans="26:26" x14ac:dyDescent="0.25">
      <c r="Z16710">
        <v>400000</v>
      </c>
    </row>
    <row r="16711" spans="26:26" x14ac:dyDescent="0.25">
      <c r="Z16711">
        <v>400000</v>
      </c>
    </row>
    <row r="16712" spans="26:26" x14ac:dyDescent="0.25">
      <c r="Z16712">
        <v>400000</v>
      </c>
    </row>
    <row r="16713" spans="26:26" x14ac:dyDescent="0.25">
      <c r="Z16713">
        <v>400000</v>
      </c>
    </row>
    <row r="16714" spans="26:26" x14ac:dyDescent="0.25">
      <c r="Z16714">
        <v>400000</v>
      </c>
    </row>
    <row r="16715" spans="26:26" x14ac:dyDescent="0.25">
      <c r="Z16715">
        <v>400000</v>
      </c>
    </row>
    <row r="16716" spans="26:26" x14ac:dyDescent="0.25">
      <c r="Z16716">
        <v>400000</v>
      </c>
    </row>
    <row r="16717" spans="26:26" x14ac:dyDescent="0.25">
      <c r="Z16717">
        <v>400000</v>
      </c>
    </row>
    <row r="16718" spans="26:26" x14ac:dyDescent="0.25">
      <c r="Z16718">
        <v>400000</v>
      </c>
    </row>
    <row r="16719" spans="26:26" x14ac:dyDescent="0.25">
      <c r="Z16719">
        <v>400000</v>
      </c>
    </row>
    <row r="16720" spans="26:26" x14ac:dyDescent="0.25">
      <c r="Z16720">
        <v>400000</v>
      </c>
    </row>
    <row r="16721" spans="26:26" x14ac:dyDescent="0.25">
      <c r="Z16721">
        <v>400000</v>
      </c>
    </row>
    <row r="16722" spans="26:26" x14ac:dyDescent="0.25">
      <c r="Z16722">
        <v>400000</v>
      </c>
    </row>
    <row r="16723" spans="26:26" x14ac:dyDescent="0.25">
      <c r="Z16723">
        <v>400000</v>
      </c>
    </row>
    <row r="16724" spans="26:26" x14ac:dyDescent="0.25">
      <c r="Z16724">
        <v>400000</v>
      </c>
    </row>
    <row r="16725" spans="26:26" x14ac:dyDescent="0.25">
      <c r="Z16725">
        <v>400000</v>
      </c>
    </row>
    <row r="16726" spans="26:26" x14ac:dyDescent="0.25">
      <c r="Z16726">
        <v>400000</v>
      </c>
    </row>
    <row r="16727" spans="26:26" x14ac:dyDescent="0.25">
      <c r="Z16727">
        <v>400000</v>
      </c>
    </row>
    <row r="16728" spans="26:26" x14ac:dyDescent="0.25">
      <c r="Z16728">
        <v>400000</v>
      </c>
    </row>
    <row r="16729" spans="26:26" x14ac:dyDescent="0.25">
      <c r="Z16729">
        <v>400000</v>
      </c>
    </row>
    <row r="16730" spans="26:26" x14ac:dyDescent="0.25">
      <c r="Z16730">
        <v>400000</v>
      </c>
    </row>
    <row r="16731" spans="26:26" x14ac:dyDescent="0.25">
      <c r="Z16731">
        <v>400000</v>
      </c>
    </row>
    <row r="16732" spans="26:26" x14ac:dyDescent="0.25">
      <c r="Z16732">
        <v>400000</v>
      </c>
    </row>
    <row r="16733" spans="26:26" x14ac:dyDescent="0.25">
      <c r="Z16733">
        <v>400000</v>
      </c>
    </row>
    <row r="16734" spans="26:26" x14ac:dyDescent="0.25">
      <c r="Z16734">
        <v>400000</v>
      </c>
    </row>
    <row r="16735" spans="26:26" x14ac:dyDescent="0.25">
      <c r="Z16735">
        <v>400000</v>
      </c>
    </row>
    <row r="16736" spans="26:26" x14ac:dyDescent="0.25">
      <c r="Z16736">
        <v>400000</v>
      </c>
    </row>
    <row r="16737" spans="26:26" x14ac:dyDescent="0.25">
      <c r="Z16737">
        <v>400000</v>
      </c>
    </row>
    <row r="16738" spans="26:26" x14ac:dyDescent="0.25">
      <c r="Z16738">
        <v>400000</v>
      </c>
    </row>
    <row r="16739" spans="26:26" x14ac:dyDescent="0.25">
      <c r="Z16739">
        <v>400000</v>
      </c>
    </row>
    <row r="16740" spans="26:26" x14ac:dyDescent="0.25">
      <c r="Z16740">
        <v>400000</v>
      </c>
    </row>
    <row r="16741" spans="26:26" x14ac:dyDescent="0.25">
      <c r="Z16741">
        <v>400000</v>
      </c>
    </row>
    <row r="16742" spans="26:26" x14ac:dyDescent="0.25">
      <c r="Z16742">
        <v>400000</v>
      </c>
    </row>
    <row r="16743" spans="26:26" x14ac:dyDescent="0.25">
      <c r="Z16743">
        <v>400000</v>
      </c>
    </row>
    <row r="16744" spans="26:26" x14ac:dyDescent="0.25">
      <c r="Z16744">
        <v>400000</v>
      </c>
    </row>
    <row r="16745" spans="26:26" x14ac:dyDescent="0.25">
      <c r="Z16745">
        <v>400000</v>
      </c>
    </row>
    <row r="16746" spans="26:26" x14ac:dyDescent="0.25">
      <c r="Z16746">
        <v>400000</v>
      </c>
    </row>
    <row r="16747" spans="26:26" x14ac:dyDescent="0.25">
      <c r="Z16747">
        <v>400000</v>
      </c>
    </row>
    <row r="16748" spans="26:26" x14ac:dyDescent="0.25">
      <c r="Z16748">
        <v>400000</v>
      </c>
    </row>
    <row r="16749" spans="26:26" x14ac:dyDescent="0.25">
      <c r="Z16749">
        <v>400000</v>
      </c>
    </row>
    <row r="16750" spans="26:26" x14ac:dyDescent="0.25">
      <c r="Z16750">
        <v>400000</v>
      </c>
    </row>
    <row r="16751" spans="26:26" x14ac:dyDescent="0.25">
      <c r="Z16751">
        <v>400000</v>
      </c>
    </row>
    <row r="16752" spans="26:26" x14ac:dyDescent="0.25">
      <c r="Z16752">
        <v>400000</v>
      </c>
    </row>
    <row r="16753" spans="26:26" x14ac:dyDescent="0.25">
      <c r="Z16753">
        <v>400000</v>
      </c>
    </row>
    <row r="16754" spans="26:26" x14ac:dyDescent="0.25">
      <c r="Z16754">
        <v>400000</v>
      </c>
    </row>
    <row r="16755" spans="26:26" x14ac:dyDescent="0.25">
      <c r="Z16755">
        <v>400000</v>
      </c>
    </row>
    <row r="16756" spans="26:26" x14ac:dyDescent="0.25">
      <c r="Z16756">
        <v>400000</v>
      </c>
    </row>
    <row r="16757" spans="26:26" x14ac:dyDescent="0.25">
      <c r="Z16757">
        <v>400000</v>
      </c>
    </row>
    <row r="16758" spans="26:26" x14ac:dyDescent="0.25">
      <c r="Z16758">
        <v>400000</v>
      </c>
    </row>
    <row r="16759" spans="26:26" x14ac:dyDescent="0.25">
      <c r="Z16759">
        <v>400000</v>
      </c>
    </row>
    <row r="16760" spans="26:26" x14ac:dyDescent="0.25">
      <c r="Z16760">
        <v>400000</v>
      </c>
    </row>
    <row r="16761" spans="26:26" x14ac:dyDescent="0.25">
      <c r="Z16761">
        <v>400000</v>
      </c>
    </row>
    <row r="16762" spans="26:26" x14ac:dyDescent="0.25">
      <c r="Z16762">
        <v>400000</v>
      </c>
    </row>
    <row r="16763" spans="26:26" x14ac:dyDescent="0.25">
      <c r="Z16763">
        <v>400000</v>
      </c>
    </row>
    <row r="16764" spans="26:26" x14ac:dyDescent="0.25">
      <c r="Z16764">
        <v>400000</v>
      </c>
    </row>
    <row r="16765" spans="26:26" x14ac:dyDescent="0.25">
      <c r="Z16765">
        <v>400000</v>
      </c>
    </row>
    <row r="16766" spans="26:26" x14ac:dyDescent="0.25">
      <c r="Z16766">
        <v>400000</v>
      </c>
    </row>
    <row r="16767" spans="26:26" x14ac:dyDescent="0.25">
      <c r="Z16767">
        <v>400000</v>
      </c>
    </row>
    <row r="16768" spans="26:26" x14ac:dyDescent="0.25">
      <c r="Z16768">
        <v>400000</v>
      </c>
    </row>
    <row r="16769" spans="26:26" x14ac:dyDescent="0.25">
      <c r="Z16769">
        <v>400000</v>
      </c>
    </row>
    <row r="16770" spans="26:26" x14ac:dyDescent="0.25">
      <c r="Z16770">
        <v>400000</v>
      </c>
    </row>
    <row r="16771" spans="26:26" x14ac:dyDescent="0.25">
      <c r="Z16771">
        <v>400000</v>
      </c>
    </row>
    <row r="16772" spans="26:26" x14ac:dyDescent="0.25">
      <c r="Z16772">
        <v>400000</v>
      </c>
    </row>
    <row r="16773" spans="26:26" x14ac:dyDescent="0.25">
      <c r="Z16773">
        <v>400000</v>
      </c>
    </row>
    <row r="16774" spans="26:26" x14ac:dyDescent="0.25">
      <c r="Z16774">
        <v>400000</v>
      </c>
    </row>
    <row r="16775" spans="26:26" x14ac:dyDescent="0.25">
      <c r="Z16775">
        <v>400000</v>
      </c>
    </row>
    <row r="16776" spans="26:26" x14ac:dyDescent="0.25">
      <c r="Z16776">
        <v>400000</v>
      </c>
    </row>
    <row r="16777" spans="26:26" x14ac:dyDescent="0.25">
      <c r="Z16777">
        <v>400000</v>
      </c>
    </row>
    <row r="16778" spans="26:26" x14ac:dyDescent="0.25">
      <c r="Z16778">
        <v>400000</v>
      </c>
    </row>
    <row r="16779" spans="26:26" x14ac:dyDescent="0.25">
      <c r="Z16779">
        <v>400000</v>
      </c>
    </row>
    <row r="16780" spans="26:26" x14ac:dyDescent="0.25">
      <c r="Z16780">
        <v>400000</v>
      </c>
    </row>
    <row r="16781" spans="26:26" x14ac:dyDescent="0.25">
      <c r="Z16781">
        <v>400000</v>
      </c>
    </row>
    <row r="16782" spans="26:26" x14ac:dyDescent="0.25">
      <c r="Z16782">
        <v>400000</v>
      </c>
    </row>
    <row r="16783" spans="26:26" x14ac:dyDescent="0.25">
      <c r="Z16783">
        <v>400000</v>
      </c>
    </row>
    <row r="16784" spans="26:26" x14ac:dyDescent="0.25">
      <c r="Z16784">
        <v>400000</v>
      </c>
    </row>
    <row r="16785" spans="26:26" x14ac:dyDescent="0.25">
      <c r="Z16785">
        <v>400000</v>
      </c>
    </row>
    <row r="16786" spans="26:26" x14ac:dyDescent="0.25">
      <c r="Z16786">
        <v>400000</v>
      </c>
    </row>
    <row r="16787" spans="26:26" x14ac:dyDescent="0.25">
      <c r="Z16787">
        <v>400000</v>
      </c>
    </row>
    <row r="16788" spans="26:26" x14ac:dyDescent="0.25">
      <c r="Z16788">
        <v>400000</v>
      </c>
    </row>
    <row r="16789" spans="26:26" x14ac:dyDescent="0.25">
      <c r="Z16789">
        <v>400000</v>
      </c>
    </row>
    <row r="16790" spans="26:26" x14ac:dyDescent="0.25">
      <c r="Z16790">
        <v>400000</v>
      </c>
    </row>
    <row r="16791" spans="26:26" x14ac:dyDescent="0.25">
      <c r="Z16791">
        <v>400000</v>
      </c>
    </row>
    <row r="16792" spans="26:26" x14ac:dyDescent="0.25">
      <c r="Z16792">
        <v>400000</v>
      </c>
    </row>
    <row r="16793" spans="26:26" x14ac:dyDescent="0.25">
      <c r="Z16793">
        <v>400000</v>
      </c>
    </row>
    <row r="16794" spans="26:26" x14ac:dyDescent="0.25">
      <c r="Z16794">
        <v>400000</v>
      </c>
    </row>
    <row r="16795" spans="26:26" x14ac:dyDescent="0.25">
      <c r="Z16795">
        <v>400000</v>
      </c>
    </row>
    <row r="16796" spans="26:26" x14ac:dyDescent="0.25">
      <c r="Z16796">
        <v>400000</v>
      </c>
    </row>
    <row r="16797" spans="26:26" x14ac:dyDescent="0.25">
      <c r="Z16797">
        <v>400000</v>
      </c>
    </row>
    <row r="16798" spans="26:26" x14ac:dyDescent="0.25">
      <c r="Z16798">
        <v>400000</v>
      </c>
    </row>
    <row r="16799" spans="26:26" x14ac:dyDescent="0.25">
      <c r="Z16799">
        <v>400000</v>
      </c>
    </row>
    <row r="16800" spans="26:26" x14ac:dyDescent="0.25">
      <c r="Z16800">
        <v>400000</v>
      </c>
    </row>
    <row r="16801" spans="26:26" x14ac:dyDescent="0.25">
      <c r="Z16801">
        <v>400000</v>
      </c>
    </row>
    <row r="16802" spans="26:26" x14ac:dyDescent="0.25">
      <c r="Z16802">
        <v>400000</v>
      </c>
    </row>
    <row r="16803" spans="26:26" x14ac:dyDescent="0.25">
      <c r="Z16803">
        <v>400000</v>
      </c>
    </row>
    <row r="16804" spans="26:26" x14ac:dyDescent="0.25">
      <c r="Z16804">
        <v>400000</v>
      </c>
    </row>
    <row r="16805" spans="26:26" x14ac:dyDescent="0.25">
      <c r="Z16805">
        <v>400000</v>
      </c>
    </row>
    <row r="16806" spans="26:26" x14ac:dyDescent="0.25">
      <c r="Z16806">
        <v>400000</v>
      </c>
    </row>
    <row r="16807" spans="26:26" x14ac:dyDescent="0.25">
      <c r="Z16807">
        <v>400000</v>
      </c>
    </row>
    <row r="16808" spans="26:26" x14ac:dyDescent="0.25">
      <c r="Z16808">
        <v>400000</v>
      </c>
    </row>
    <row r="16809" spans="26:26" x14ac:dyDescent="0.25">
      <c r="Z16809">
        <v>400000</v>
      </c>
    </row>
    <row r="16810" spans="26:26" x14ac:dyDescent="0.25">
      <c r="Z16810">
        <v>400000</v>
      </c>
    </row>
    <row r="16811" spans="26:26" x14ac:dyDescent="0.25">
      <c r="Z16811">
        <v>400000</v>
      </c>
    </row>
    <row r="16812" spans="26:26" x14ac:dyDescent="0.25">
      <c r="Z16812">
        <v>400000</v>
      </c>
    </row>
    <row r="16813" spans="26:26" x14ac:dyDescent="0.25">
      <c r="Z16813">
        <v>400000</v>
      </c>
    </row>
    <row r="16814" spans="26:26" x14ac:dyDescent="0.25">
      <c r="Z16814">
        <v>400000</v>
      </c>
    </row>
    <row r="16815" spans="26:26" x14ac:dyDescent="0.25">
      <c r="Z16815">
        <v>400000</v>
      </c>
    </row>
    <row r="16816" spans="26:26" x14ac:dyDescent="0.25">
      <c r="Z16816">
        <v>400000</v>
      </c>
    </row>
    <row r="16817" spans="26:26" x14ac:dyDescent="0.25">
      <c r="Z16817">
        <v>400000</v>
      </c>
    </row>
    <row r="16818" spans="26:26" x14ac:dyDescent="0.25">
      <c r="Z16818">
        <v>400000</v>
      </c>
    </row>
    <row r="16819" spans="26:26" x14ac:dyDescent="0.25">
      <c r="Z16819">
        <v>400000</v>
      </c>
    </row>
    <row r="16820" spans="26:26" x14ac:dyDescent="0.25">
      <c r="Z16820">
        <v>400000</v>
      </c>
    </row>
    <row r="16821" spans="26:26" x14ac:dyDescent="0.25">
      <c r="Z16821">
        <v>400000</v>
      </c>
    </row>
    <row r="16822" spans="26:26" x14ac:dyDescent="0.25">
      <c r="Z16822">
        <v>400000</v>
      </c>
    </row>
    <row r="16823" spans="26:26" x14ac:dyDescent="0.25">
      <c r="Z16823">
        <v>400000</v>
      </c>
    </row>
    <row r="16824" spans="26:26" x14ac:dyDescent="0.25">
      <c r="Z16824">
        <v>400000</v>
      </c>
    </row>
    <row r="16825" spans="26:26" x14ac:dyDescent="0.25">
      <c r="Z16825">
        <v>400000</v>
      </c>
    </row>
    <row r="16826" spans="26:26" x14ac:dyDescent="0.25">
      <c r="Z16826">
        <v>400000</v>
      </c>
    </row>
    <row r="16827" spans="26:26" x14ac:dyDescent="0.25">
      <c r="Z16827">
        <v>400000</v>
      </c>
    </row>
    <row r="16828" spans="26:26" x14ac:dyDescent="0.25">
      <c r="Z16828">
        <v>400000</v>
      </c>
    </row>
    <row r="16829" spans="26:26" x14ac:dyDescent="0.25">
      <c r="Z16829">
        <v>400000</v>
      </c>
    </row>
    <row r="16830" spans="26:26" x14ac:dyDescent="0.25">
      <c r="Z16830">
        <v>400000</v>
      </c>
    </row>
    <row r="16831" spans="26:26" x14ac:dyDescent="0.25">
      <c r="Z16831">
        <v>400000</v>
      </c>
    </row>
    <row r="16832" spans="26:26" x14ac:dyDescent="0.25">
      <c r="Z16832">
        <v>400000</v>
      </c>
    </row>
    <row r="16833" spans="26:26" x14ac:dyDescent="0.25">
      <c r="Z16833">
        <v>400000</v>
      </c>
    </row>
    <row r="16834" spans="26:26" x14ac:dyDescent="0.25">
      <c r="Z16834">
        <v>400000</v>
      </c>
    </row>
    <row r="16835" spans="26:26" x14ac:dyDescent="0.25">
      <c r="Z16835">
        <v>400000</v>
      </c>
    </row>
    <row r="16836" spans="26:26" x14ac:dyDescent="0.25">
      <c r="Z16836">
        <v>400000</v>
      </c>
    </row>
    <row r="16837" spans="26:26" x14ac:dyDescent="0.25">
      <c r="Z16837">
        <v>400000</v>
      </c>
    </row>
    <row r="16838" spans="26:26" x14ac:dyDescent="0.25">
      <c r="Z16838">
        <v>400000</v>
      </c>
    </row>
    <row r="16839" spans="26:26" x14ac:dyDescent="0.25">
      <c r="Z16839">
        <v>400000</v>
      </c>
    </row>
    <row r="16840" spans="26:26" x14ac:dyDescent="0.25">
      <c r="Z16840">
        <v>400000</v>
      </c>
    </row>
    <row r="16841" spans="26:26" x14ac:dyDescent="0.25">
      <c r="Z16841">
        <v>400000</v>
      </c>
    </row>
    <row r="16842" spans="26:26" x14ac:dyDescent="0.25">
      <c r="Z16842">
        <v>400000</v>
      </c>
    </row>
    <row r="16843" spans="26:26" x14ac:dyDescent="0.25">
      <c r="Z16843">
        <v>400000</v>
      </c>
    </row>
    <row r="16844" spans="26:26" x14ac:dyDescent="0.25">
      <c r="Z16844">
        <v>400000</v>
      </c>
    </row>
    <row r="16845" spans="26:26" x14ac:dyDescent="0.25">
      <c r="Z16845">
        <v>400000</v>
      </c>
    </row>
    <row r="16846" spans="26:26" x14ac:dyDescent="0.25">
      <c r="Z16846">
        <v>400000</v>
      </c>
    </row>
    <row r="16847" spans="26:26" x14ac:dyDescent="0.25">
      <c r="Z16847">
        <v>400000</v>
      </c>
    </row>
    <row r="16848" spans="26:26" x14ac:dyDescent="0.25">
      <c r="Z16848">
        <v>400000</v>
      </c>
    </row>
    <row r="16849" spans="26:26" x14ac:dyDescent="0.25">
      <c r="Z16849">
        <v>400000</v>
      </c>
    </row>
    <row r="16850" spans="26:26" x14ac:dyDescent="0.25">
      <c r="Z16850">
        <v>400000</v>
      </c>
    </row>
    <row r="16851" spans="26:26" x14ac:dyDescent="0.25">
      <c r="Z16851">
        <v>400000</v>
      </c>
    </row>
    <row r="16852" spans="26:26" x14ac:dyDescent="0.25">
      <c r="Z16852">
        <v>400000</v>
      </c>
    </row>
    <row r="16853" spans="26:26" x14ac:dyDescent="0.25">
      <c r="Z16853">
        <v>400000</v>
      </c>
    </row>
    <row r="16854" spans="26:26" x14ac:dyDescent="0.25">
      <c r="Z16854">
        <v>400000</v>
      </c>
    </row>
    <row r="16855" spans="26:26" x14ac:dyDescent="0.25">
      <c r="Z16855">
        <v>400000</v>
      </c>
    </row>
    <row r="16856" spans="26:26" x14ac:dyDescent="0.25">
      <c r="Z16856">
        <v>400000</v>
      </c>
    </row>
    <row r="16857" spans="26:26" x14ac:dyDescent="0.25">
      <c r="Z16857">
        <v>400000</v>
      </c>
    </row>
    <row r="16858" spans="26:26" x14ac:dyDescent="0.25">
      <c r="Z16858">
        <v>400000</v>
      </c>
    </row>
    <row r="16859" spans="26:26" x14ac:dyDescent="0.25">
      <c r="Z16859">
        <v>400000</v>
      </c>
    </row>
    <row r="16860" spans="26:26" x14ac:dyDescent="0.25">
      <c r="Z16860">
        <v>400000</v>
      </c>
    </row>
    <row r="16861" spans="26:26" x14ac:dyDescent="0.25">
      <c r="Z16861">
        <v>400000</v>
      </c>
    </row>
    <row r="16862" spans="26:26" x14ac:dyDescent="0.25">
      <c r="Z16862">
        <v>400000</v>
      </c>
    </row>
    <row r="16863" spans="26:26" x14ac:dyDescent="0.25">
      <c r="Z16863">
        <v>400000</v>
      </c>
    </row>
    <row r="16864" spans="26:26" x14ac:dyDescent="0.25">
      <c r="Z16864">
        <v>400000</v>
      </c>
    </row>
    <row r="16865" spans="26:26" x14ac:dyDescent="0.25">
      <c r="Z16865">
        <v>400000</v>
      </c>
    </row>
    <row r="16866" spans="26:26" x14ac:dyDescent="0.25">
      <c r="Z16866">
        <v>400000</v>
      </c>
    </row>
    <row r="16867" spans="26:26" x14ac:dyDescent="0.25">
      <c r="Z16867">
        <v>400000</v>
      </c>
    </row>
    <row r="16868" spans="26:26" x14ac:dyDescent="0.25">
      <c r="Z16868">
        <v>400000</v>
      </c>
    </row>
    <row r="16869" spans="26:26" x14ac:dyDescent="0.25">
      <c r="Z16869">
        <v>400000</v>
      </c>
    </row>
    <row r="16870" spans="26:26" x14ac:dyDescent="0.25">
      <c r="Z16870">
        <v>400000</v>
      </c>
    </row>
    <row r="16871" spans="26:26" x14ac:dyDescent="0.25">
      <c r="Z16871">
        <v>400000</v>
      </c>
    </row>
    <row r="16872" spans="26:26" x14ac:dyDescent="0.25">
      <c r="Z16872">
        <v>400000</v>
      </c>
    </row>
    <row r="16873" spans="26:26" x14ac:dyDescent="0.25">
      <c r="Z16873">
        <v>400000</v>
      </c>
    </row>
    <row r="16874" spans="26:26" x14ac:dyDescent="0.25">
      <c r="Z16874">
        <v>400000</v>
      </c>
    </row>
    <row r="16875" spans="26:26" x14ac:dyDescent="0.25">
      <c r="Z16875">
        <v>400000</v>
      </c>
    </row>
    <row r="16876" spans="26:26" x14ac:dyDescent="0.25">
      <c r="Z16876">
        <v>400000</v>
      </c>
    </row>
    <row r="16877" spans="26:26" x14ac:dyDescent="0.25">
      <c r="Z16877">
        <v>400000</v>
      </c>
    </row>
    <row r="16878" spans="26:26" x14ac:dyDescent="0.25">
      <c r="Z16878">
        <v>400000</v>
      </c>
    </row>
    <row r="16879" spans="26:26" x14ac:dyDescent="0.25">
      <c r="Z16879">
        <v>400000</v>
      </c>
    </row>
    <row r="16880" spans="26:26" x14ac:dyDescent="0.25">
      <c r="Z16880">
        <v>400000</v>
      </c>
    </row>
    <row r="16881" spans="26:26" x14ac:dyDescent="0.25">
      <c r="Z16881">
        <v>400000</v>
      </c>
    </row>
    <row r="16882" spans="26:26" x14ac:dyDescent="0.25">
      <c r="Z16882">
        <v>400000</v>
      </c>
    </row>
    <row r="16883" spans="26:26" x14ac:dyDescent="0.25">
      <c r="Z16883">
        <v>400000</v>
      </c>
    </row>
    <row r="16884" spans="26:26" x14ac:dyDescent="0.25">
      <c r="Z16884">
        <v>400000</v>
      </c>
    </row>
    <row r="16885" spans="26:26" x14ac:dyDescent="0.25">
      <c r="Z16885">
        <v>400000</v>
      </c>
    </row>
    <row r="16886" spans="26:26" x14ac:dyDescent="0.25">
      <c r="Z16886">
        <v>400000</v>
      </c>
    </row>
    <row r="16887" spans="26:26" x14ac:dyDescent="0.25">
      <c r="Z16887">
        <v>400000</v>
      </c>
    </row>
    <row r="16888" spans="26:26" x14ac:dyDescent="0.25">
      <c r="Z16888">
        <v>400000</v>
      </c>
    </row>
    <row r="16889" spans="26:26" x14ac:dyDescent="0.25">
      <c r="Z16889">
        <v>400000</v>
      </c>
    </row>
    <row r="16890" spans="26:26" x14ac:dyDescent="0.25">
      <c r="Z16890">
        <v>400000</v>
      </c>
    </row>
    <row r="16891" spans="26:26" x14ac:dyDescent="0.25">
      <c r="Z16891">
        <v>400000</v>
      </c>
    </row>
    <row r="16892" spans="26:26" x14ac:dyDescent="0.25">
      <c r="Z16892">
        <v>400000</v>
      </c>
    </row>
    <row r="16893" spans="26:26" x14ac:dyDescent="0.25">
      <c r="Z16893">
        <v>400000</v>
      </c>
    </row>
    <row r="16894" spans="26:26" x14ac:dyDescent="0.25">
      <c r="Z16894">
        <v>400000</v>
      </c>
    </row>
    <row r="16895" spans="26:26" x14ac:dyDescent="0.25">
      <c r="Z16895">
        <v>400000</v>
      </c>
    </row>
    <row r="16896" spans="26:26" x14ac:dyDescent="0.25">
      <c r="Z16896">
        <v>400000</v>
      </c>
    </row>
    <row r="16897" spans="26:26" x14ac:dyDescent="0.25">
      <c r="Z16897">
        <v>400000</v>
      </c>
    </row>
    <row r="16898" spans="26:26" x14ac:dyDescent="0.25">
      <c r="Z16898">
        <v>400000</v>
      </c>
    </row>
    <row r="16899" spans="26:26" x14ac:dyDescent="0.25">
      <c r="Z16899">
        <v>400000</v>
      </c>
    </row>
    <row r="16900" spans="26:26" x14ac:dyDescent="0.25">
      <c r="Z16900">
        <v>400000</v>
      </c>
    </row>
    <row r="16901" spans="26:26" x14ac:dyDescent="0.25">
      <c r="Z16901">
        <v>400000</v>
      </c>
    </row>
    <row r="16902" spans="26:26" x14ac:dyDescent="0.25">
      <c r="Z16902">
        <v>400000</v>
      </c>
    </row>
    <row r="16903" spans="26:26" x14ac:dyDescent="0.25">
      <c r="Z16903">
        <v>400000</v>
      </c>
    </row>
    <row r="16904" spans="26:26" x14ac:dyDescent="0.25">
      <c r="Z16904">
        <v>400000</v>
      </c>
    </row>
    <row r="16905" spans="26:26" x14ac:dyDescent="0.25">
      <c r="Z16905">
        <v>400000</v>
      </c>
    </row>
    <row r="16906" spans="26:26" x14ac:dyDescent="0.25">
      <c r="Z16906">
        <v>400000</v>
      </c>
    </row>
    <row r="16907" spans="26:26" x14ac:dyDescent="0.25">
      <c r="Z16907">
        <v>400000</v>
      </c>
    </row>
    <row r="16908" spans="26:26" x14ac:dyDescent="0.25">
      <c r="Z16908">
        <v>400000</v>
      </c>
    </row>
    <row r="16909" spans="26:26" x14ac:dyDescent="0.25">
      <c r="Z16909">
        <v>400000</v>
      </c>
    </row>
    <row r="16910" spans="26:26" x14ac:dyDescent="0.25">
      <c r="Z16910">
        <v>400000</v>
      </c>
    </row>
    <row r="16911" spans="26:26" x14ac:dyDescent="0.25">
      <c r="Z16911">
        <v>400000</v>
      </c>
    </row>
    <row r="16912" spans="26:26" x14ac:dyDescent="0.25">
      <c r="Z16912">
        <v>400000</v>
      </c>
    </row>
    <row r="16913" spans="26:26" x14ac:dyDescent="0.25">
      <c r="Z16913">
        <v>400000</v>
      </c>
    </row>
    <row r="16914" spans="26:26" x14ac:dyDescent="0.25">
      <c r="Z16914">
        <v>400000</v>
      </c>
    </row>
    <row r="16915" spans="26:26" x14ac:dyDescent="0.25">
      <c r="Z16915">
        <v>400000</v>
      </c>
    </row>
    <row r="16916" spans="26:26" x14ac:dyDescent="0.25">
      <c r="Z16916">
        <v>400000</v>
      </c>
    </row>
    <row r="16917" spans="26:26" x14ac:dyDescent="0.25">
      <c r="Z16917">
        <v>400000</v>
      </c>
    </row>
    <row r="16918" spans="26:26" x14ac:dyDescent="0.25">
      <c r="Z16918">
        <v>400000</v>
      </c>
    </row>
    <row r="16919" spans="26:26" x14ac:dyDescent="0.25">
      <c r="Z16919">
        <v>400000</v>
      </c>
    </row>
    <row r="16920" spans="26:26" x14ac:dyDescent="0.25">
      <c r="Z16920">
        <v>400000</v>
      </c>
    </row>
    <row r="16921" spans="26:26" x14ac:dyDescent="0.25">
      <c r="Z16921">
        <v>400000</v>
      </c>
    </row>
    <row r="16922" spans="26:26" x14ac:dyDescent="0.25">
      <c r="Z16922">
        <v>400000</v>
      </c>
    </row>
    <row r="16923" spans="26:26" x14ac:dyDescent="0.25">
      <c r="Z16923">
        <v>400000</v>
      </c>
    </row>
    <row r="16924" spans="26:26" x14ac:dyDescent="0.25">
      <c r="Z16924">
        <v>400000</v>
      </c>
    </row>
    <row r="16925" spans="26:26" x14ac:dyDescent="0.25">
      <c r="Z16925">
        <v>400000</v>
      </c>
    </row>
    <row r="16926" spans="26:26" x14ac:dyDescent="0.25">
      <c r="Z16926">
        <v>400000</v>
      </c>
    </row>
    <row r="16927" spans="26:26" x14ac:dyDescent="0.25">
      <c r="Z16927">
        <v>400000</v>
      </c>
    </row>
    <row r="16928" spans="26:26" x14ac:dyDescent="0.25">
      <c r="Z16928">
        <v>400000</v>
      </c>
    </row>
    <row r="16929" spans="26:26" x14ac:dyDescent="0.25">
      <c r="Z16929">
        <v>400000</v>
      </c>
    </row>
    <row r="16930" spans="26:26" x14ac:dyDescent="0.25">
      <c r="Z16930">
        <v>400000</v>
      </c>
    </row>
    <row r="16931" spans="26:26" x14ac:dyDescent="0.25">
      <c r="Z16931">
        <v>400000</v>
      </c>
    </row>
    <row r="16932" spans="26:26" x14ac:dyDescent="0.25">
      <c r="Z16932">
        <v>400000</v>
      </c>
    </row>
    <row r="16933" spans="26:26" x14ac:dyDescent="0.25">
      <c r="Z16933">
        <v>400000</v>
      </c>
    </row>
    <row r="16934" spans="26:26" x14ac:dyDescent="0.25">
      <c r="Z16934">
        <v>400000</v>
      </c>
    </row>
    <row r="16935" spans="26:26" x14ac:dyDescent="0.25">
      <c r="Z16935">
        <v>400000</v>
      </c>
    </row>
    <row r="16936" spans="26:26" x14ac:dyDescent="0.25">
      <c r="Z16936">
        <v>400000</v>
      </c>
    </row>
    <row r="16937" spans="26:26" x14ac:dyDescent="0.25">
      <c r="Z16937">
        <v>400000</v>
      </c>
    </row>
    <row r="16938" spans="26:26" x14ac:dyDescent="0.25">
      <c r="Z16938">
        <v>400000</v>
      </c>
    </row>
    <row r="16939" spans="26:26" x14ac:dyDescent="0.25">
      <c r="Z16939">
        <v>400000</v>
      </c>
    </row>
    <row r="16940" spans="26:26" x14ac:dyDescent="0.25">
      <c r="Z16940">
        <v>400000</v>
      </c>
    </row>
    <row r="16941" spans="26:26" x14ac:dyDescent="0.25">
      <c r="Z16941">
        <v>400000</v>
      </c>
    </row>
    <row r="16942" spans="26:26" x14ac:dyDescent="0.25">
      <c r="Z16942">
        <v>400000</v>
      </c>
    </row>
    <row r="16943" spans="26:26" x14ac:dyDescent="0.25">
      <c r="Z16943">
        <v>400000</v>
      </c>
    </row>
    <row r="16944" spans="26:26" x14ac:dyDescent="0.25">
      <c r="Z16944">
        <v>400000</v>
      </c>
    </row>
    <row r="16945" spans="26:26" x14ac:dyDescent="0.25">
      <c r="Z16945">
        <v>400000</v>
      </c>
    </row>
    <row r="16946" spans="26:26" x14ac:dyDescent="0.25">
      <c r="Z16946">
        <v>400000</v>
      </c>
    </row>
    <row r="16947" spans="26:26" x14ac:dyDescent="0.25">
      <c r="Z16947">
        <v>400000</v>
      </c>
    </row>
    <row r="16948" spans="26:26" x14ac:dyDescent="0.25">
      <c r="Z16948">
        <v>400000</v>
      </c>
    </row>
    <row r="16949" spans="26:26" x14ac:dyDescent="0.25">
      <c r="Z16949">
        <v>400000</v>
      </c>
    </row>
    <row r="16950" spans="26:26" x14ac:dyDescent="0.25">
      <c r="Z16950">
        <v>400000</v>
      </c>
    </row>
    <row r="16951" spans="26:26" x14ac:dyDescent="0.25">
      <c r="Z16951">
        <v>400000</v>
      </c>
    </row>
    <row r="16952" spans="26:26" x14ac:dyDescent="0.25">
      <c r="Z16952">
        <v>400000</v>
      </c>
    </row>
    <row r="16953" spans="26:26" x14ac:dyDescent="0.25">
      <c r="Z16953">
        <v>400000</v>
      </c>
    </row>
    <row r="16954" spans="26:26" x14ac:dyDescent="0.25">
      <c r="Z16954">
        <v>400000</v>
      </c>
    </row>
    <row r="16955" spans="26:26" x14ac:dyDescent="0.25">
      <c r="Z16955">
        <v>400000</v>
      </c>
    </row>
    <row r="16956" spans="26:26" x14ac:dyDescent="0.25">
      <c r="Z16956">
        <v>400000</v>
      </c>
    </row>
    <row r="16957" spans="26:26" x14ac:dyDescent="0.25">
      <c r="Z16957">
        <v>400000</v>
      </c>
    </row>
    <row r="16958" spans="26:26" x14ac:dyDescent="0.25">
      <c r="Z16958">
        <v>400000</v>
      </c>
    </row>
    <row r="16959" spans="26:26" x14ac:dyDescent="0.25">
      <c r="Z16959">
        <v>400000</v>
      </c>
    </row>
    <row r="16960" spans="26:26" x14ac:dyDescent="0.25">
      <c r="Z16960">
        <v>400000</v>
      </c>
    </row>
    <row r="16961" spans="26:26" x14ac:dyDescent="0.25">
      <c r="Z16961">
        <v>400000</v>
      </c>
    </row>
    <row r="16962" spans="26:26" x14ac:dyDescent="0.25">
      <c r="Z16962">
        <v>400000</v>
      </c>
    </row>
    <row r="16963" spans="26:26" x14ac:dyDescent="0.25">
      <c r="Z16963">
        <v>400000</v>
      </c>
    </row>
    <row r="16964" spans="26:26" x14ac:dyDescent="0.25">
      <c r="Z16964">
        <v>400000</v>
      </c>
    </row>
    <row r="16965" spans="26:26" x14ac:dyDescent="0.25">
      <c r="Z16965">
        <v>400000</v>
      </c>
    </row>
    <row r="16966" spans="26:26" x14ac:dyDescent="0.25">
      <c r="Z16966">
        <v>400000</v>
      </c>
    </row>
    <row r="16967" spans="26:26" x14ac:dyDescent="0.25">
      <c r="Z16967">
        <v>400000</v>
      </c>
    </row>
    <row r="16968" spans="26:26" x14ac:dyDescent="0.25">
      <c r="Z16968">
        <v>400000</v>
      </c>
    </row>
    <row r="16969" spans="26:26" x14ac:dyDescent="0.25">
      <c r="Z16969">
        <v>400000</v>
      </c>
    </row>
    <row r="16970" spans="26:26" x14ac:dyDescent="0.25">
      <c r="Z16970">
        <v>400000</v>
      </c>
    </row>
    <row r="16971" spans="26:26" x14ac:dyDescent="0.25">
      <c r="Z16971">
        <v>400000</v>
      </c>
    </row>
    <row r="16972" spans="26:26" x14ac:dyDescent="0.25">
      <c r="Z16972">
        <v>400000</v>
      </c>
    </row>
    <row r="16973" spans="26:26" x14ac:dyDescent="0.25">
      <c r="Z16973">
        <v>400000</v>
      </c>
    </row>
    <row r="16974" spans="26:26" x14ac:dyDescent="0.25">
      <c r="Z16974">
        <v>400000</v>
      </c>
    </row>
    <row r="16975" spans="26:26" x14ac:dyDescent="0.25">
      <c r="Z16975">
        <v>400000</v>
      </c>
    </row>
    <row r="16976" spans="26:26" x14ac:dyDescent="0.25">
      <c r="Z16976">
        <v>400000</v>
      </c>
    </row>
    <row r="16977" spans="26:26" x14ac:dyDescent="0.25">
      <c r="Z16977">
        <v>400000</v>
      </c>
    </row>
    <row r="16978" spans="26:26" x14ac:dyDescent="0.25">
      <c r="Z16978">
        <v>400000</v>
      </c>
    </row>
    <row r="16979" spans="26:26" x14ac:dyDescent="0.25">
      <c r="Z16979">
        <v>400000</v>
      </c>
    </row>
    <row r="16980" spans="26:26" x14ac:dyDescent="0.25">
      <c r="Z16980">
        <v>400000</v>
      </c>
    </row>
    <row r="16981" spans="26:26" x14ac:dyDescent="0.25">
      <c r="Z16981">
        <v>400000</v>
      </c>
    </row>
    <row r="16982" spans="26:26" x14ac:dyDescent="0.25">
      <c r="Z16982">
        <v>400000</v>
      </c>
    </row>
    <row r="16983" spans="26:26" x14ac:dyDescent="0.25">
      <c r="Z16983">
        <v>400000</v>
      </c>
    </row>
    <row r="16984" spans="26:26" x14ac:dyDescent="0.25">
      <c r="Z16984">
        <v>400000</v>
      </c>
    </row>
    <row r="16985" spans="26:26" x14ac:dyDescent="0.25">
      <c r="Z16985">
        <v>400000</v>
      </c>
    </row>
    <row r="16986" spans="26:26" x14ac:dyDescent="0.25">
      <c r="Z16986">
        <v>400000</v>
      </c>
    </row>
    <row r="16987" spans="26:26" x14ac:dyDescent="0.25">
      <c r="Z16987">
        <v>400000</v>
      </c>
    </row>
    <row r="16988" spans="26:26" x14ac:dyDescent="0.25">
      <c r="Z16988">
        <v>400000</v>
      </c>
    </row>
    <row r="16989" spans="26:26" x14ac:dyDescent="0.25">
      <c r="Z16989">
        <v>400000</v>
      </c>
    </row>
    <row r="16990" spans="26:26" x14ac:dyDescent="0.25">
      <c r="Z16990">
        <v>400000</v>
      </c>
    </row>
    <row r="16991" spans="26:26" x14ac:dyDescent="0.25">
      <c r="Z16991">
        <v>400000</v>
      </c>
    </row>
    <row r="16992" spans="26:26" x14ac:dyDescent="0.25">
      <c r="Z16992">
        <v>400000</v>
      </c>
    </row>
    <row r="16993" spans="26:26" x14ac:dyDescent="0.25">
      <c r="Z16993">
        <v>400000</v>
      </c>
    </row>
    <row r="16994" spans="26:26" x14ac:dyDescent="0.25">
      <c r="Z16994">
        <v>400000</v>
      </c>
    </row>
    <row r="16995" spans="26:26" x14ac:dyDescent="0.25">
      <c r="Z16995">
        <v>400000</v>
      </c>
    </row>
    <row r="16996" spans="26:26" x14ac:dyDescent="0.25">
      <c r="Z16996">
        <v>400000</v>
      </c>
    </row>
    <row r="16997" spans="26:26" x14ac:dyDescent="0.25">
      <c r="Z16997">
        <v>400000</v>
      </c>
    </row>
    <row r="16998" spans="26:26" x14ac:dyDescent="0.25">
      <c r="Z16998">
        <v>400000</v>
      </c>
    </row>
    <row r="16999" spans="26:26" x14ac:dyDescent="0.25">
      <c r="Z16999">
        <v>400000</v>
      </c>
    </row>
    <row r="17000" spans="26:26" x14ac:dyDescent="0.25">
      <c r="Z17000">
        <v>400000</v>
      </c>
    </row>
    <row r="17001" spans="26:26" x14ac:dyDescent="0.25">
      <c r="Z17001">
        <v>400000</v>
      </c>
    </row>
    <row r="17002" spans="26:26" x14ac:dyDescent="0.25">
      <c r="Z17002">
        <v>400000</v>
      </c>
    </row>
    <row r="17003" spans="26:26" x14ac:dyDescent="0.25">
      <c r="Z17003">
        <v>400000</v>
      </c>
    </row>
    <row r="17004" spans="26:26" x14ac:dyDescent="0.25">
      <c r="Z17004">
        <v>400000</v>
      </c>
    </row>
    <row r="17005" spans="26:26" x14ac:dyDescent="0.25">
      <c r="Z17005">
        <v>400000</v>
      </c>
    </row>
    <row r="17006" spans="26:26" x14ac:dyDescent="0.25">
      <c r="Z17006">
        <v>400000</v>
      </c>
    </row>
    <row r="17007" spans="26:26" x14ac:dyDescent="0.25">
      <c r="Z17007">
        <v>400000</v>
      </c>
    </row>
    <row r="17008" spans="26:26" x14ac:dyDescent="0.25">
      <c r="Z17008">
        <v>400000</v>
      </c>
    </row>
    <row r="17009" spans="26:26" x14ac:dyDescent="0.25">
      <c r="Z17009">
        <v>400000</v>
      </c>
    </row>
    <row r="17010" spans="26:26" x14ac:dyDescent="0.25">
      <c r="Z17010">
        <v>400000</v>
      </c>
    </row>
    <row r="17011" spans="26:26" x14ac:dyDescent="0.25">
      <c r="Z17011">
        <v>400000</v>
      </c>
    </row>
    <row r="17012" spans="26:26" x14ac:dyDescent="0.25">
      <c r="Z17012">
        <v>400000</v>
      </c>
    </row>
    <row r="17013" spans="26:26" x14ac:dyDescent="0.25">
      <c r="Z17013">
        <v>400000</v>
      </c>
    </row>
    <row r="17014" spans="26:26" x14ac:dyDescent="0.25">
      <c r="Z17014">
        <v>400000</v>
      </c>
    </row>
    <row r="17015" spans="26:26" x14ac:dyDescent="0.25">
      <c r="Z17015">
        <v>400000</v>
      </c>
    </row>
    <row r="17016" spans="26:26" x14ac:dyDescent="0.25">
      <c r="Z17016">
        <v>400000</v>
      </c>
    </row>
    <row r="17017" spans="26:26" x14ac:dyDescent="0.25">
      <c r="Z17017">
        <v>400000</v>
      </c>
    </row>
    <row r="17018" spans="26:26" x14ac:dyDescent="0.25">
      <c r="Z17018">
        <v>400000</v>
      </c>
    </row>
    <row r="17019" spans="26:26" x14ac:dyDescent="0.25">
      <c r="Z17019">
        <v>400000</v>
      </c>
    </row>
    <row r="17020" spans="26:26" x14ac:dyDescent="0.25">
      <c r="Z17020">
        <v>400000</v>
      </c>
    </row>
    <row r="17021" spans="26:26" x14ac:dyDescent="0.25">
      <c r="Z17021">
        <v>400000</v>
      </c>
    </row>
    <row r="17022" spans="26:26" x14ac:dyDescent="0.25">
      <c r="Z17022">
        <v>400000</v>
      </c>
    </row>
    <row r="17023" spans="26:26" x14ac:dyDescent="0.25">
      <c r="Z17023">
        <v>400000</v>
      </c>
    </row>
    <row r="17024" spans="26:26" x14ac:dyDescent="0.25">
      <c r="Z17024">
        <v>400000</v>
      </c>
    </row>
    <row r="17025" spans="26:26" x14ac:dyDescent="0.25">
      <c r="Z17025">
        <v>400000</v>
      </c>
    </row>
    <row r="17026" spans="26:26" x14ac:dyDescent="0.25">
      <c r="Z17026">
        <v>400000</v>
      </c>
    </row>
    <row r="17027" spans="26:26" x14ac:dyDescent="0.25">
      <c r="Z17027">
        <v>400000</v>
      </c>
    </row>
    <row r="17028" spans="26:26" x14ac:dyDescent="0.25">
      <c r="Z17028">
        <v>400000</v>
      </c>
    </row>
    <row r="17029" spans="26:26" x14ac:dyDescent="0.25">
      <c r="Z17029">
        <v>400000</v>
      </c>
    </row>
    <row r="17030" spans="26:26" x14ac:dyDescent="0.25">
      <c r="Z17030">
        <v>400000</v>
      </c>
    </row>
    <row r="17031" spans="26:26" x14ac:dyDescent="0.25">
      <c r="Z17031">
        <v>400000</v>
      </c>
    </row>
    <row r="17032" spans="26:26" x14ac:dyDescent="0.25">
      <c r="Z17032">
        <v>400000</v>
      </c>
    </row>
    <row r="17033" spans="26:26" x14ac:dyDescent="0.25">
      <c r="Z17033">
        <v>400000</v>
      </c>
    </row>
    <row r="17034" spans="26:26" x14ac:dyDescent="0.25">
      <c r="Z17034">
        <v>400000</v>
      </c>
    </row>
    <row r="17035" spans="26:26" x14ac:dyDescent="0.25">
      <c r="Z17035">
        <v>400000</v>
      </c>
    </row>
    <row r="17036" spans="26:26" x14ac:dyDescent="0.25">
      <c r="Z17036">
        <v>400000</v>
      </c>
    </row>
    <row r="17037" spans="26:26" x14ac:dyDescent="0.25">
      <c r="Z17037">
        <v>400000</v>
      </c>
    </row>
    <row r="17038" spans="26:26" x14ac:dyDescent="0.25">
      <c r="Z17038">
        <v>400000</v>
      </c>
    </row>
    <row r="17039" spans="26:26" x14ac:dyDescent="0.25">
      <c r="Z17039">
        <v>400000</v>
      </c>
    </row>
    <row r="17040" spans="26:26" x14ac:dyDescent="0.25">
      <c r="Z17040">
        <v>400000</v>
      </c>
    </row>
    <row r="17041" spans="26:26" x14ac:dyDescent="0.25">
      <c r="Z17041">
        <v>400000</v>
      </c>
    </row>
    <row r="17042" spans="26:26" x14ac:dyDescent="0.25">
      <c r="Z17042">
        <v>400000</v>
      </c>
    </row>
    <row r="17043" spans="26:26" x14ac:dyDescent="0.25">
      <c r="Z17043">
        <v>400000</v>
      </c>
    </row>
    <row r="17044" spans="26:26" x14ac:dyDescent="0.25">
      <c r="Z17044">
        <v>400000</v>
      </c>
    </row>
    <row r="17045" spans="26:26" x14ac:dyDescent="0.25">
      <c r="Z17045">
        <v>400000</v>
      </c>
    </row>
    <row r="17046" spans="26:26" x14ac:dyDescent="0.25">
      <c r="Z17046">
        <v>400000</v>
      </c>
    </row>
    <row r="17047" spans="26:26" x14ac:dyDescent="0.25">
      <c r="Z17047">
        <v>400000</v>
      </c>
    </row>
    <row r="17048" spans="26:26" x14ac:dyDescent="0.25">
      <c r="Z17048">
        <v>400000</v>
      </c>
    </row>
    <row r="17049" spans="26:26" x14ac:dyDescent="0.25">
      <c r="Z17049">
        <v>400000</v>
      </c>
    </row>
    <row r="17050" spans="26:26" x14ac:dyDescent="0.25">
      <c r="Z17050">
        <v>400000</v>
      </c>
    </row>
    <row r="17051" spans="26:26" x14ac:dyDescent="0.25">
      <c r="Z17051">
        <v>400000</v>
      </c>
    </row>
    <row r="17052" spans="26:26" x14ac:dyDescent="0.25">
      <c r="Z17052">
        <v>400000</v>
      </c>
    </row>
    <row r="17053" spans="26:26" x14ac:dyDescent="0.25">
      <c r="Z17053">
        <v>400000</v>
      </c>
    </row>
    <row r="17054" spans="26:26" x14ac:dyDescent="0.25">
      <c r="Z17054">
        <v>400000</v>
      </c>
    </row>
    <row r="17055" spans="26:26" x14ac:dyDescent="0.25">
      <c r="Z17055">
        <v>400000</v>
      </c>
    </row>
    <row r="17056" spans="26:26" x14ac:dyDescent="0.25">
      <c r="Z17056">
        <v>400000</v>
      </c>
    </row>
    <row r="17057" spans="26:26" x14ac:dyDescent="0.25">
      <c r="Z17057">
        <v>400000</v>
      </c>
    </row>
    <row r="17058" spans="26:26" x14ac:dyDescent="0.25">
      <c r="Z17058">
        <v>400000</v>
      </c>
    </row>
    <row r="17059" spans="26:26" x14ac:dyDescent="0.25">
      <c r="Z17059">
        <v>400000</v>
      </c>
    </row>
    <row r="17060" spans="26:26" x14ac:dyDescent="0.25">
      <c r="Z17060">
        <v>400000</v>
      </c>
    </row>
    <row r="17061" spans="26:26" x14ac:dyDescent="0.25">
      <c r="Z17061">
        <v>400000</v>
      </c>
    </row>
    <row r="17062" spans="26:26" x14ac:dyDescent="0.25">
      <c r="Z17062">
        <v>400000</v>
      </c>
    </row>
    <row r="17063" spans="26:26" x14ac:dyDescent="0.25">
      <c r="Z17063">
        <v>400000</v>
      </c>
    </row>
    <row r="17064" spans="26:26" x14ac:dyDescent="0.25">
      <c r="Z17064">
        <v>400000</v>
      </c>
    </row>
    <row r="17065" spans="26:26" x14ac:dyDescent="0.25">
      <c r="Z17065">
        <v>400000</v>
      </c>
    </row>
    <row r="17066" spans="26:26" x14ac:dyDescent="0.25">
      <c r="Z17066">
        <v>400000</v>
      </c>
    </row>
    <row r="17067" spans="26:26" x14ac:dyDescent="0.25">
      <c r="Z17067">
        <v>400000</v>
      </c>
    </row>
    <row r="17068" spans="26:26" x14ac:dyDescent="0.25">
      <c r="Z17068">
        <v>400000</v>
      </c>
    </row>
    <row r="17069" spans="26:26" x14ac:dyDescent="0.25">
      <c r="Z17069">
        <v>400000</v>
      </c>
    </row>
    <row r="17070" spans="26:26" x14ac:dyDescent="0.25">
      <c r="Z17070">
        <v>400000</v>
      </c>
    </row>
    <row r="17071" spans="26:26" x14ac:dyDescent="0.25">
      <c r="Z17071">
        <v>400000</v>
      </c>
    </row>
    <row r="17072" spans="26:26" x14ac:dyDescent="0.25">
      <c r="Z17072">
        <v>400000</v>
      </c>
    </row>
    <row r="17073" spans="26:26" x14ac:dyDescent="0.25">
      <c r="Z17073">
        <v>400000</v>
      </c>
    </row>
    <row r="17074" spans="26:26" x14ac:dyDescent="0.25">
      <c r="Z17074">
        <v>400000</v>
      </c>
    </row>
    <row r="17075" spans="26:26" x14ac:dyDescent="0.25">
      <c r="Z17075">
        <v>400000</v>
      </c>
    </row>
    <row r="17076" spans="26:26" x14ac:dyDescent="0.25">
      <c r="Z17076">
        <v>400000</v>
      </c>
    </row>
    <row r="17077" spans="26:26" x14ac:dyDescent="0.25">
      <c r="Z17077">
        <v>400000</v>
      </c>
    </row>
    <row r="17078" spans="26:26" x14ac:dyDescent="0.25">
      <c r="Z17078">
        <v>400000</v>
      </c>
    </row>
    <row r="17079" spans="26:26" x14ac:dyDescent="0.25">
      <c r="Z17079">
        <v>400000</v>
      </c>
    </row>
    <row r="17080" spans="26:26" x14ac:dyDescent="0.25">
      <c r="Z17080">
        <v>400000</v>
      </c>
    </row>
    <row r="17081" spans="26:26" x14ac:dyDescent="0.25">
      <c r="Z17081">
        <v>400000</v>
      </c>
    </row>
    <row r="17082" spans="26:26" x14ac:dyDescent="0.25">
      <c r="Z17082">
        <v>400000</v>
      </c>
    </row>
    <row r="17083" spans="26:26" x14ac:dyDescent="0.25">
      <c r="Z17083">
        <v>400000</v>
      </c>
    </row>
    <row r="17084" spans="26:26" x14ac:dyDescent="0.25">
      <c r="Z17084">
        <v>400000</v>
      </c>
    </row>
    <row r="17085" spans="26:26" x14ac:dyDescent="0.25">
      <c r="Z17085">
        <v>400000</v>
      </c>
    </row>
    <row r="17086" spans="26:26" x14ac:dyDescent="0.25">
      <c r="Z17086">
        <v>400000</v>
      </c>
    </row>
    <row r="17087" spans="26:26" x14ac:dyDescent="0.25">
      <c r="Z17087">
        <v>400000</v>
      </c>
    </row>
    <row r="17088" spans="26:26" x14ac:dyDescent="0.25">
      <c r="Z17088">
        <v>400000</v>
      </c>
    </row>
    <row r="17089" spans="26:26" x14ac:dyDescent="0.25">
      <c r="Z17089">
        <v>400000</v>
      </c>
    </row>
    <row r="17090" spans="26:26" x14ac:dyDescent="0.25">
      <c r="Z17090">
        <v>400000</v>
      </c>
    </row>
    <row r="17091" spans="26:26" x14ac:dyDescent="0.25">
      <c r="Z17091">
        <v>400000</v>
      </c>
    </row>
    <row r="17092" spans="26:26" x14ac:dyDescent="0.25">
      <c r="Z17092">
        <v>400000</v>
      </c>
    </row>
    <row r="17093" spans="26:26" x14ac:dyDescent="0.25">
      <c r="Z17093">
        <v>400000</v>
      </c>
    </row>
    <row r="17094" spans="26:26" x14ac:dyDescent="0.25">
      <c r="Z17094">
        <v>400000</v>
      </c>
    </row>
    <row r="17095" spans="26:26" x14ac:dyDescent="0.25">
      <c r="Z17095">
        <v>400000</v>
      </c>
    </row>
    <row r="17096" spans="26:26" x14ac:dyDescent="0.25">
      <c r="Z17096">
        <v>400000</v>
      </c>
    </row>
    <row r="17097" spans="26:26" x14ac:dyDescent="0.25">
      <c r="Z17097">
        <v>400000</v>
      </c>
    </row>
    <row r="17098" spans="26:26" x14ac:dyDescent="0.25">
      <c r="Z17098">
        <v>400000</v>
      </c>
    </row>
    <row r="17099" spans="26:26" x14ac:dyDescent="0.25">
      <c r="Z17099">
        <v>400000</v>
      </c>
    </row>
    <row r="17100" spans="26:26" x14ac:dyDescent="0.25">
      <c r="Z17100">
        <v>400000</v>
      </c>
    </row>
    <row r="17101" spans="26:26" x14ac:dyDescent="0.25">
      <c r="Z17101">
        <v>400000</v>
      </c>
    </row>
    <row r="17102" spans="26:26" x14ac:dyDescent="0.25">
      <c r="Z17102">
        <v>400000</v>
      </c>
    </row>
    <row r="17103" spans="26:26" x14ac:dyDescent="0.25">
      <c r="Z17103">
        <v>400000</v>
      </c>
    </row>
    <row r="17104" spans="26:26" x14ac:dyDescent="0.25">
      <c r="Z17104">
        <v>400000</v>
      </c>
    </row>
    <row r="17105" spans="26:26" x14ac:dyDescent="0.25">
      <c r="Z17105">
        <v>400000</v>
      </c>
    </row>
    <row r="17106" spans="26:26" x14ac:dyDescent="0.25">
      <c r="Z17106">
        <v>400000</v>
      </c>
    </row>
    <row r="17107" spans="26:26" x14ac:dyDescent="0.25">
      <c r="Z17107">
        <v>400000</v>
      </c>
    </row>
    <row r="17108" spans="26:26" x14ac:dyDescent="0.25">
      <c r="Z17108">
        <v>400000</v>
      </c>
    </row>
    <row r="17109" spans="26:26" x14ac:dyDescent="0.25">
      <c r="Z17109">
        <v>400000</v>
      </c>
    </row>
    <row r="17110" spans="26:26" x14ac:dyDescent="0.25">
      <c r="Z17110">
        <v>400000</v>
      </c>
    </row>
    <row r="17111" spans="26:26" x14ac:dyDescent="0.25">
      <c r="Z17111">
        <v>400000</v>
      </c>
    </row>
    <row r="17112" spans="26:26" x14ac:dyDescent="0.25">
      <c r="Z17112">
        <v>400000</v>
      </c>
    </row>
    <row r="17113" spans="26:26" x14ac:dyDescent="0.25">
      <c r="Z17113">
        <v>400000</v>
      </c>
    </row>
    <row r="17114" spans="26:26" x14ac:dyDescent="0.25">
      <c r="Z17114">
        <v>400000</v>
      </c>
    </row>
    <row r="17115" spans="26:26" x14ac:dyDescent="0.25">
      <c r="Z17115">
        <v>400000</v>
      </c>
    </row>
    <row r="17116" spans="26:26" x14ac:dyDescent="0.25">
      <c r="Z17116">
        <v>400000</v>
      </c>
    </row>
    <row r="17117" spans="26:26" x14ac:dyDescent="0.25">
      <c r="Z17117">
        <v>400000</v>
      </c>
    </row>
    <row r="17118" spans="26:26" x14ac:dyDescent="0.25">
      <c r="Z17118">
        <v>400000</v>
      </c>
    </row>
    <row r="17119" spans="26:26" x14ac:dyDescent="0.25">
      <c r="Z17119">
        <v>400000</v>
      </c>
    </row>
    <row r="17120" spans="26:26" x14ac:dyDescent="0.25">
      <c r="Z17120">
        <v>400000</v>
      </c>
    </row>
    <row r="17121" spans="26:26" x14ac:dyDescent="0.25">
      <c r="Z17121">
        <v>400000</v>
      </c>
    </row>
    <row r="17122" spans="26:26" x14ac:dyDescent="0.25">
      <c r="Z17122">
        <v>400000</v>
      </c>
    </row>
    <row r="17123" spans="26:26" x14ac:dyDescent="0.25">
      <c r="Z17123">
        <v>400000</v>
      </c>
    </row>
    <row r="17124" spans="26:26" x14ac:dyDescent="0.25">
      <c r="Z17124">
        <v>400000</v>
      </c>
    </row>
    <row r="17125" spans="26:26" x14ac:dyDescent="0.25">
      <c r="Z17125">
        <v>400000</v>
      </c>
    </row>
    <row r="17126" spans="26:26" x14ac:dyDescent="0.25">
      <c r="Z17126">
        <v>400000</v>
      </c>
    </row>
    <row r="17127" spans="26:26" x14ac:dyDescent="0.25">
      <c r="Z17127">
        <v>400000</v>
      </c>
    </row>
    <row r="17128" spans="26:26" x14ac:dyDescent="0.25">
      <c r="Z17128">
        <v>400000</v>
      </c>
    </row>
    <row r="17129" spans="26:26" x14ac:dyDescent="0.25">
      <c r="Z17129">
        <v>400000</v>
      </c>
    </row>
    <row r="17130" spans="26:26" x14ac:dyDescent="0.25">
      <c r="Z17130">
        <v>400000</v>
      </c>
    </row>
    <row r="17131" spans="26:26" x14ac:dyDescent="0.25">
      <c r="Z17131">
        <v>400000</v>
      </c>
    </row>
    <row r="17132" spans="26:26" x14ac:dyDescent="0.25">
      <c r="Z17132">
        <v>400000</v>
      </c>
    </row>
    <row r="17133" spans="26:26" x14ac:dyDescent="0.25">
      <c r="Z17133">
        <v>400000</v>
      </c>
    </row>
    <row r="17134" spans="26:26" x14ac:dyDescent="0.25">
      <c r="Z17134">
        <v>400000</v>
      </c>
    </row>
    <row r="17135" spans="26:26" x14ac:dyDescent="0.25">
      <c r="Z17135">
        <v>400000</v>
      </c>
    </row>
    <row r="17136" spans="26:26" x14ac:dyDescent="0.25">
      <c r="Z17136">
        <v>400000</v>
      </c>
    </row>
    <row r="17137" spans="26:26" x14ac:dyDescent="0.25">
      <c r="Z17137">
        <v>400000</v>
      </c>
    </row>
    <row r="17138" spans="26:26" x14ac:dyDescent="0.25">
      <c r="Z17138">
        <v>400000</v>
      </c>
    </row>
    <row r="17139" spans="26:26" x14ac:dyDescent="0.25">
      <c r="Z17139">
        <v>400000</v>
      </c>
    </row>
    <row r="17140" spans="26:26" x14ac:dyDescent="0.25">
      <c r="Z17140">
        <v>400000</v>
      </c>
    </row>
    <row r="17141" spans="26:26" x14ac:dyDescent="0.25">
      <c r="Z17141">
        <v>400000</v>
      </c>
    </row>
    <row r="17142" spans="26:26" x14ac:dyDescent="0.25">
      <c r="Z17142">
        <v>400000</v>
      </c>
    </row>
    <row r="17143" spans="26:26" x14ac:dyDescent="0.25">
      <c r="Z17143">
        <v>400000</v>
      </c>
    </row>
    <row r="17144" spans="26:26" x14ac:dyDescent="0.25">
      <c r="Z17144">
        <v>400000</v>
      </c>
    </row>
    <row r="17145" spans="26:26" x14ac:dyDescent="0.25">
      <c r="Z17145">
        <v>400000</v>
      </c>
    </row>
    <row r="17146" spans="26:26" x14ac:dyDescent="0.25">
      <c r="Z17146">
        <v>400000</v>
      </c>
    </row>
    <row r="17147" spans="26:26" x14ac:dyDescent="0.25">
      <c r="Z17147">
        <v>400000</v>
      </c>
    </row>
    <row r="17148" spans="26:26" x14ac:dyDescent="0.25">
      <c r="Z17148">
        <v>400000</v>
      </c>
    </row>
    <row r="17149" spans="26:26" x14ac:dyDescent="0.25">
      <c r="Z17149">
        <v>400000</v>
      </c>
    </row>
    <row r="17150" spans="26:26" x14ac:dyDescent="0.25">
      <c r="Z17150">
        <v>400000</v>
      </c>
    </row>
    <row r="17151" spans="26:26" x14ac:dyDescent="0.25">
      <c r="Z17151">
        <v>400000</v>
      </c>
    </row>
    <row r="17152" spans="26:26" x14ac:dyDescent="0.25">
      <c r="Z17152">
        <v>400000</v>
      </c>
    </row>
    <row r="17153" spans="26:26" x14ac:dyDescent="0.25">
      <c r="Z17153">
        <v>400000</v>
      </c>
    </row>
    <row r="17154" spans="26:26" x14ac:dyDescent="0.25">
      <c r="Z17154">
        <v>400000</v>
      </c>
    </row>
    <row r="17155" spans="26:26" x14ac:dyDescent="0.25">
      <c r="Z17155">
        <v>400000</v>
      </c>
    </row>
    <row r="17156" spans="26:26" x14ac:dyDescent="0.25">
      <c r="Z17156">
        <v>400000</v>
      </c>
    </row>
    <row r="17157" spans="26:26" x14ac:dyDescent="0.25">
      <c r="Z17157">
        <v>400000</v>
      </c>
    </row>
    <row r="17158" spans="26:26" x14ac:dyDescent="0.25">
      <c r="Z17158">
        <v>400000</v>
      </c>
    </row>
    <row r="17159" spans="26:26" x14ac:dyDescent="0.25">
      <c r="Z17159">
        <v>400000</v>
      </c>
    </row>
    <row r="17160" spans="26:26" x14ac:dyDescent="0.25">
      <c r="Z17160">
        <v>400000</v>
      </c>
    </row>
    <row r="17161" spans="26:26" x14ac:dyDescent="0.25">
      <c r="Z17161">
        <v>400000</v>
      </c>
    </row>
    <row r="17162" spans="26:26" x14ac:dyDescent="0.25">
      <c r="Z17162">
        <v>400000</v>
      </c>
    </row>
    <row r="17163" spans="26:26" x14ac:dyDescent="0.25">
      <c r="Z17163">
        <v>400000</v>
      </c>
    </row>
    <row r="17164" spans="26:26" x14ac:dyDescent="0.25">
      <c r="Z17164">
        <v>400000</v>
      </c>
    </row>
    <row r="17165" spans="26:26" x14ac:dyDescent="0.25">
      <c r="Z17165">
        <v>400000</v>
      </c>
    </row>
    <row r="17166" spans="26:26" x14ac:dyDescent="0.25">
      <c r="Z17166">
        <v>400000</v>
      </c>
    </row>
    <row r="17167" spans="26:26" x14ac:dyDescent="0.25">
      <c r="Z17167">
        <v>400000</v>
      </c>
    </row>
    <row r="17168" spans="26:26" x14ac:dyDescent="0.25">
      <c r="Z17168">
        <v>400000</v>
      </c>
    </row>
    <row r="17169" spans="26:26" x14ac:dyDescent="0.25">
      <c r="Z17169">
        <v>400000</v>
      </c>
    </row>
    <row r="17170" spans="26:26" x14ac:dyDescent="0.25">
      <c r="Z17170">
        <v>400000</v>
      </c>
    </row>
    <row r="17171" spans="26:26" x14ac:dyDescent="0.25">
      <c r="Z17171">
        <v>400000</v>
      </c>
    </row>
    <row r="17172" spans="26:26" x14ac:dyDescent="0.25">
      <c r="Z17172">
        <v>400000</v>
      </c>
    </row>
    <row r="17173" spans="26:26" x14ac:dyDescent="0.25">
      <c r="Z17173">
        <v>400000</v>
      </c>
    </row>
    <row r="17174" spans="26:26" x14ac:dyDescent="0.25">
      <c r="Z17174">
        <v>400000</v>
      </c>
    </row>
    <row r="17175" spans="26:26" x14ac:dyDescent="0.25">
      <c r="Z17175">
        <v>400000</v>
      </c>
    </row>
    <row r="17176" spans="26:26" x14ac:dyDescent="0.25">
      <c r="Z17176">
        <v>400000</v>
      </c>
    </row>
    <row r="17177" spans="26:26" x14ac:dyDescent="0.25">
      <c r="Z17177">
        <v>400000</v>
      </c>
    </row>
    <row r="17178" spans="26:26" x14ac:dyDescent="0.25">
      <c r="Z17178">
        <v>400000</v>
      </c>
    </row>
    <row r="17179" spans="26:26" x14ac:dyDescent="0.25">
      <c r="Z17179">
        <v>400000</v>
      </c>
    </row>
    <row r="17180" spans="26:26" x14ac:dyDescent="0.25">
      <c r="Z17180">
        <v>400000</v>
      </c>
    </row>
    <row r="17181" spans="26:26" x14ac:dyDescent="0.25">
      <c r="Z17181">
        <v>400000</v>
      </c>
    </row>
    <row r="17182" spans="26:26" x14ac:dyDescent="0.25">
      <c r="Z17182">
        <v>400000</v>
      </c>
    </row>
    <row r="17183" spans="26:26" x14ac:dyDescent="0.25">
      <c r="Z17183">
        <v>400000</v>
      </c>
    </row>
    <row r="17184" spans="26:26" x14ac:dyDescent="0.25">
      <c r="Z17184">
        <v>400000</v>
      </c>
    </row>
    <row r="17185" spans="26:26" x14ac:dyDescent="0.25">
      <c r="Z17185">
        <v>400000</v>
      </c>
    </row>
    <row r="17186" spans="26:26" x14ac:dyDescent="0.25">
      <c r="Z17186">
        <v>400000</v>
      </c>
    </row>
    <row r="17187" spans="26:26" x14ac:dyDescent="0.25">
      <c r="Z17187">
        <v>400000</v>
      </c>
    </row>
    <row r="17188" spans="26:26" x14ac:dyDescent="0.25">
      <c r="Z17188">
        <v>400000</v>
      </c>
    </row>
    <row r="17189" spans="26:26" x14ac:dyDescent="0.25">
      <c r="Z17189">
        <v>400000</v>
      </c>
    </row>
    <row r="17190" spans="26:26" x14ac:dyDescent="0.25">
      <c r="Z17190">
        <v>400000</v>
      </c>
    </row>
    <row r="17191" spans="26:26" x14ac:dyDescent="0.25">
      <c r="Z17191">
        <v>400000</v>
      </c>
    </row>
    <row r="17192" spans="26:26" x14ac:dyDescent="0.25">
      <c r="Z17192">
        <v>400000</v>
      </c>
    </row>
    <row r="17193" spans="26:26" x14ac:dyDescent="0.25">
      <c r="Z17193">
        <v>400000</v>
      </c>
    </row>
    <row r="17194" spans="26:26" x14ac:dyDescent="0.25">
      <c r="Z17194">
        <v>400000</v>
      </c>
    </row>
    <row r="17195" spans="26:26" x14ac:dyDescent="0.25">
      <c r="Z17195">
        <v>400000</v>
      </c>
    </row>
    <row r="17196" spans="26:26" x14ac:dyDescent="0.25">
      <c r="Z17196">
        <v>400000</v>
      </c>
    </row>
    <row r="17197" spans="26:26" x14ac:dyDescent="0.25">
      <c r="Z17197">
        <v>400000</v>
      </c>
    </row>
    <row r="17198" spans="26:26" x14ac:dyDescent="0.25">
      <c r="Z17198">
        <v>400000</v>
      </c>
    </row>
    <row r="17199" spans="26:26" x14ac:dyDescent="0.25">
      <c r="Z17199">
        <v>400000</v>
      </c>
    </row>
    <row r="17200" spans="26:26" x14ac:dyDescent="0.25">
      <c r="Z17200">
        <v>400000</v>
      </c>
    </row>
    <row r="17201" spans="26:26" x14ac:dyDescent="0.25">
      <c r="Z17201">
        <v>400000</v>
      </c>
    </row>
    <row r="17202" spans="26:26" x14ac:dyDescent="0.25">
      <c r="Z17202">
        <v>400000</v>
      </c>
    </row>
    <row r="17203" spans="26:26" x14ac:dyDescent="0.25">
      <c r="Z17203">
        <v>400000</v>
      </c>
    </row>
    <row r="17204" spans="26:26" x14ac:dyDescent="0.25">
      <c r="Z17204">
        <v>400000</v>
      </c>
    </row>
    <row r="17205" spans="26:26" x14ac:dyDescent="0.25">
      <c r="Z17205">
        <v>400000</v>
      </c>
    </row>
    <row r="17206" spans="26:26" x14ac:dyDescent="0.25">
      <c r="Z17206">
        <v>400000</v>
      </c>
    </row>
    <row r="17207" spans="26:26" x14ac:dyDescent="0.25">
      <c r="Z17207">
        <v>400000</v>
      </c>
    </row>
    <row r="17208" spans="26:26" x14ac:dyDescent="0.25">
      <c r="Z17208">
        <v>400000</v>
      </c>
    </row>
    <row r="17209" spans="26:26" x14ac:dyDescent="0.25">
      <c r="Z17209">
        <v>400000</v>
      </c>
    </row>
    <row r="17210" spans="26:26" x14ac:dyDescent="0.25">
      <c r="Z17210">
        <v>400000</v>
      </c>
    </row>
    <row r="17211" spans="26:26" x14ac:dyDescent="0.25">
      <c r="Z17211">
        <v>400000</v>
      </c>
    </row>
    <row r="17212" spans="26:26" x14ac:dyDescent="0.25">
      <c r="Z17212">
        <v>400000</v>
      </c>
    </row>
    <row r="17213" spans="26:26" x14ac:dyDescent="0.25">
      <c r="Z17213">
        <v>400000</v>
      </c>
    </row>
    <row r="17214" spans="26:26" x14ac:dyDescent="0.25">
      <c r="Z17214">
        <v>400000</v>
      </c>
    </row>
    <row r="17215" spans="26:26" x14ac:dyDescent="0.25">
      <c r="Z17215">
        <v>400000</v>
      </c>
    </row>
    <row r="17216" spans="26:26" x14ac:dyDescent="0.25">
      <c r="Z17216">
        <v>400000</v>
      </c>
    </row>
    <row r="17217" spans="26:26" x14ac:dyDescent="0.25">
      <c r="Z17217">
        <v>400000</v>
      </c>
    </row>
    <row r="17218" spans="26:26" x14ac:dyDescent="0.25">
      <c r="Z17218">
        <v>400000</v>
      </c>
    </row>
    <row r="17219" spans="26:26" x14ac:dyDescent="0.25">
      <c r="Z17219">
        <v>400000</v>
      </c>
    </row>
    <row r="17220" spans="26:26" x14ac:dyDescent="0.25">
      <c r="Z17220">
        <v>400000</v>
      </c>
    </row>
    <row r="17221" spans="26:26" x14ac:dyDescent="0.25">
      <c r="Z17221">
        <v>400000</v>
      </c>
    </row>
    <row r="17222" spans="26:26" x14ac:dyDescent="0.25">
      <c r="Z17222">
        <v>400000</v>
      </c>
    </row>
    <row r="17223" spans="26:26" x14ac:dyDescent="0.25">
      <c r="Z17223">
        <v>400000</v>
      </c>
    </row>
    <row r="17224" spans="26:26" x14ac:dyDescent="0.25">
      <c r="Z17224">
        <v>400000</v>
      </c>
    </row>
    <row r="17225" spans="26:26" x14ac:dyDescent="0.25">
      <c r="Z17225">
        <v>400000</v>
      </c>
    </row>
    <row r="17226" spans="26:26" x14ac:dyDescent="0.25">
      <c r="Z17226">
        <v>400000</v>
      </c>
    </row>
    <row r="17227" spans="26:26" x14ac:dyDescent="0.25">
      <c r="Z17227">
        <v>400000</v>
      </c>
    </row>
    <row r="17228" spans="26:26" x14ac:dyDescent="0.25">
      <c r="Z17228">
        <v>400000</v>
      </c>
    </row>
    <row r="17229" spans="26:26" x14ac:dyDescent="0.25">
      <c r="Z17229">
        <v>400000</v>
      </c>
    </row>
    <row r="17230" spans="26:26" x14ac:dyDescent="0.25">
      <c r="Z17230">
        <v>400000</v>
      </c>
    </row>
    <row r="17231" spans="26:26" x14ac:dyDescent="0.25">
      <c r="Z17231">
        <v>400000</v>
      </c>
    </row>
    <row r="17232" spans="26:26" x14ac:dyDescent="0.25">
      <c r="Z17232">
        <v>400000</v>
      </c>
    </row>
    <row r="17233" spans="26:26" x14ac:dyDescent="0.25">
      <c r="Z17233">
        <v>400000</v>
      </c>
    </row>
    <row r="17234" spans="26:26" x14ac:dyDescent="0.25">
      <c r="Z17234">
        <v>400000</v>
      </c>
    </row>
    <row r="17235" spans="26:26" x14ac:dyDescent="0.25">
      <c r="Z17235">
        <v>400000</v>
      </c>
    </row>
    <row r="17236" spans="26:26" x14ac:dyDescent="0.25">
      <c r="Z17236">
        <v>400000</v>
      </c>
    </row>
    <row r="17237" spans="26:26" x14ac:dyDescent="0.25">
      <c r="Z17237">
        <v>400000</v>
      </c>
    </row>
    <row r="17238" spans="26:26" x14ac:dyDescent="0.25">
      <c r="Z17238">
        <v>400000</v>
      </c>
    </row>
    <row r="17239" spans="26:26" x14ac:dyDescent="0.25">
      <c r="Z17239">
        <v>400000</v>
      </c>
    </row>
    <row r="17240" spans="26:26" x14ac:dyDescent="0.25">
      <c r="Z17240">
        <v>400000</v>
      </c>
    </row>
    <row r="17241" spans="26:26" x14ac:dyDescent="0.25">
      <c r="Z17241">
        <v>400000</v>
      </c>
    </row>
    <row r="17242" spans="26:26" x14ac:dyDescent="0.25">
      <c r="Z17242">
        <v>400000</v>
      </c>
    </row>
    <row r="17243" spans="26:26" x14ac:dyDescent="0.25">
      <c r="Z17243">
        <v>400000</v>
      </c>
    </row>
    <row r="17244" spans="26:26" x14ac:dyDescent="0.25">
      <c r="Z17244">
        <v>400000</v>
      </c>
    </row>
    <row r="17245" spans="26:26" x14ac:dyDescent="0.25">
      <c r="Z17245">
        <v>400000</v>
      </c>
    </row>
    <row r="17246" spans="26:26" x14ac:dyDescent="0.25">
      <c r="Z17246">
        <v>400000</v>
      </c>
    </row>
    <row r="17247" spans="26:26" x14ac:dyDescent="0.25">
      <c r="Z17247">
        <v>400000</v>
      </c>
    </row>
    <row r="17248" spans="26:26" x14ac:dyDescent="0.25">
      <c r="Z17248">
        <v>400000</v>
      </c>
    </row>
    <row r="17249" spans="26:26" x14ac:dyDescent="0.25">
      <c r="Z17249">
        <v>400000</v>
      </c>
    </row>
    <row r="17250" spans="26:26" x14ac:dyDescent="0.25">
      <c r="Z17250">
        <v>400000</v>
      </c>
    </row>
    <row r="17251" spans="26:26" x14ac:dyDescent="0.25">
      <c r="Z17251">
        <v>400000</v>
      </c>
    </row>
    <row r="17252" spans="26:26" x14ac:dyDescent="0.25">
      <c r="Z17252">
        <v>400000</v>
      </c>
    </row>
    <row r="17253" spans="26:26" x14ac:dyDescent="0.25">
      <c r="Z17253">
        <v>400000</v>
      </c>
    </row>
    <row r="17254" spans="26:26" x14ac:dyDescent="0.25">
      <c r="Z17254">
        <v>400000</v>
      </c>
    </row>
    <row r="17255" spans="26:26" x14ac:dyDescent="0.25">
      <c r="Z17255">
        <v>400000</v>
      </c>
    </row>
    <row r="17256" spans="26:26" x14ac:dyDescent="0.25">
      <c r="Z17256">
        <v>400000</v>
      </c>
    </row>
    <row r="17257" spans="26:26" x14ac:dyDescent="0.25">
      <c r="Z17257">
        <v>400000</v>
      </c>
    </row>
    <row r="17258" spans="26:26" x14ac:dyDescent="0.25">
      <c r="Z17258">
        <v>400000</v>
      </c>
    </row>
    <row r="17259" spans="26:26" x14ac:dyDescent="0.25">
      <c r="Z17259">
        <v>400000</v>
      </c>
    </row>
    <row r="17260" spans="26:26" x14ac:dyDescent="0.25">
      <c r="Z17260">
        <v>400000</v>
      </c>
    </row>
    <row r="17261" spans="26:26" x14ac:dyDescent="0.25">
      <c r="Z17261">
        <v>400000</v>
      </c>
    </row>
    <row r="17262" spans="26:26" x14ac:dyDescent="0.25">
      <c r="Z17262">
        <v>400000</v>
      </c>
    </row>
    <row r="17263" spans="26:26" x14ac:dyDescent="0.25">
      <c r="Z17263">
        <v>400000</v>
      </c>
    </row>
    <row r="17264" spans="26:26" x14ac:dyDescent="0.25">
      <c r="Z17264">
        <v>400000</v>
      </c>
    </row>
    <row r="17265" spans="26:26" x14ac:dyDescent="0.25">
      <c r="Z17265">
        <v>400000</v>
      </c>
    </row>
    <row r="17266" spans="26:26" x14ac:dyDescent="0.25">
      <c r="Z17266">
        <v>400000</v>
      </c>
    </row>
    <row r="17267" spans="26:26" x14ac:dyDescent="0.25">
      <c r="Z17267">
        <v>400000</v>
      </c>
    </row>
    <row r="17268" spans="26:26" x14ac:dyDescent="0.25">
      <c r="Z17268">
        <v>400000</v>
      </c>
    </row>
    <row r="17269" spans="26:26" x14ac:dyDescent="0.25">
      <c r="Z17269">
        <v>400000</v>
      </c>
    </row>
    <row r="17270" spans="26:26" x14ac:dyDescent="0.25">
      <c r="Z17270">
        <v>400000</v>
      </c>
    </row>
    <row r="17271" spans="26:26" x14ac:dyDescent="0.25">
      <c r="Z17271">
        <v>400000</v>
      </c>
    </row>
    <row r="17272" spans="26:26" x14ac:dyDescent="0.25">
      <c r="Z17272">
        <v>400000</v>
      </c>
    </row>
    <row r="17273" spans="26:26" x14ac:dyDescent="0.25">
      <c r="Z17273">
        <v>400000</v>
      </c>
    </row>
    <row r="17274" spans="26:26" x14ac:dyDescent="0.25">
      <c r="Z17274">
        <v>400000</v>
      </c>
    </row>
    <row r="17275" spans="26:26" x14ac:dyDescent="0.25">
      <c r="Z17275">
        <v>400000</v>
      </c>
    </row>
    <row r="17276" spans="26:26" x14ac:dyDescent="0.25">
      <c r="Z17276">
        <v>400000</v>
      </c>
    </row>
    <row r="17277" spans="26:26" x14ac:dyDescent="0.25">
      <c r="Z17277">
        <v>400000</v>
      </c>
    </row>
    <row r="17278" spans="26:26" x14ac:dyDescent="0.25">
      <c r="Z17278">
        <v>400000</v>
      </c>
    </row>
    <row r="17279" spans="26:26" x14ac:dyDescent="0.25">
      <c r="Z17279">
        <v>400000</v>
      </c>
    </row>
    <row r="17280" spans="26:26" x14ac:dyDescent="0.25">
      <c r="Z17280">
        <v>400000</v>
      </c>
    </row>
    <row r="17281" spans="26:26" x14ac:dyDescent="0.25">
      <c r="Z17281">
        <v>400000</v>
      </c>
    </row>
    <row r="17282" spans="26:26" x14ac:dyDescent="0.25">
      <c r="Z17282">
        <v>400000</v>
      </c>
    </row>
    <row r="17283" spans="26:26" x14ac:dyDescent="0.25">
      <c r="Z17283">
        <v>400000</v>
      </c>
    </row>
    <row r="17284" spans="26:26" x14ac:dyDescent="0.25">
      <c r="Z17284">
        <v>400000</v>
      </c>
    </row>
    <row r="17285" spans="26:26" x14ac:dyDescent="0.25">
      <c r="Z17285">
        <v>400000</v>
      </c>
    </row>
    <row r="17286" spans="26:26" x14ac:dyDescent="0.25">
      <c r="Z17286">
        <v>400000</v>
      </c>
    </row>
    <row r="17287" spans="26:26" x14ac:dyDescent="0.25">
      <c r="Z17287">
        <v>400000</v>
      </c>
    </row>
    <row r="17288" spans="26:26" x14ac:dyDescent="0.25">
      <c r="Z17288">
        <v>400000</v>
      </c>
    </row>
    <row r="17289" spans="26:26" x14ac:dyDescent="0.25">
      <c r="Z17289">
        <v>400000</v>
      </c>
    </row>
    <row r="17290" spans="26:26" x14ac:dyDescent="0.25">
      <c r="Z17290">
        <v>400000</v>
      </c>
    </row>
    <row r="17291" spans="26:26" x14ac:dyDescent="0.25">
      <c r="Z17291">
        <v>400000</v>
      </c>
    </row>
    <row r="17292" spans="26:26" x14ac:dyDescent="0.25">
      <c r="Z17292">
        <v>400000</v>
      </c>
    </row>
    <row r="17293" spans="26:26" x14ac:dyDescent="0.25">
      <c r="Z17293">
        <v>400000</v>
      </c>
    </row>
    <row r="17294" spans="26:26" x14ac:dyDescent="0.25">
      <c r="Z17294">
        <v>400000</v>
      </c>
    </row>
    <row r="17295" spans="26:26" x14ac:dyDescent="0.25">
      <c r="Z17295">
        <v>400000</v>
      </c>
    </row>
    <row r="17296" spans="26:26" x14ac:dyDescent="0.25">
      <c r="Z17296">
        <v>400000</v>
      </c>
    </row>
    <row r="17297" spans="26:26" x14ac:dyDescent="0.25">
      <c r="Z17297">
        <v>400000</v>
      </c>
    </row>
    <row r="17298" spans="26:26" x14ac:dyDescent="0.25">
      <c r="Z17298">
        <v>400000</v>
      </c>
    </row>
    <row r="17299" spans="26:26" x14ac:dyDescent="0.25">
      <c r="Z17299">
        <v>400000</v>
      </c>
    </row>
    <row r="17300" spans="26:26" x14ac:dyDescent="0.25">
      <c r="Z17300">
        <v>400000</v>
      </c>
    </row>
    <row r="17301" spans="26:26" x14ac:dyDescent="0.25">
      <c r="Z17301">
        <v>400000</v>
      </c>
    </row>
    <row r="17302" spans="26:26" x14ac:dyDescent="0.25">
      <c r="Z17302">
        <v>400000</v>
      </c>
    </row>
    <row r="17303" spans="26:26" x14ac:dyDescent="0.25">
      <c r="Z17303">
        <v>400000</v>
      </c>
    </row>
    <row r="17304" spans="26:26" x14ac:dyDescent="0.25">
      <c r="Z17304">
        <v>400000</v>
      </c>
    </row>
    <row r="17305" spans="26:26" x14ac:dyDescent="0.25">
      <c r="Z17305">
        <v>400000</v>
      </c>
    </row>
    <row r="17306" spans="26:26" x14ac:dyDescent="0.25">
      <c r="Z17306">
        <v>400000</v>
      </c>
    </row>
    <row r="17307" spans="26:26" x14ac:dyDescent="0.25">
      <c r="Z17307">
        <v>400000</v>
      </c>
    </row>
    <row r="17308" spans="26:26" x14ac:dyDescent="0.25">
      <c r="Z17308">
        <v>400000</v>
      </c>
    </row>
    <row r="17309" spans="26:26" x14ac:dyDescent="0.25">
      <c r="Z17309">
        <v>400000</v>
      </c>
    </row>
    <row r="17310" spans="26:26" x14ac:dyDescent="0.25">
      <c r="Z17310">
        <v>400000</v>
      </c>
    </row>
    <row r="17311" spans="26:26" x14ac:dyDescent="0.25">
      <c r="Z17311">
        <v>400000</v>
      </c>
    </row>
    <row r="17312" spans="26:26" x14ac:dyDescent="0.25">
      <c r="Z17312">
        <v>400000</v>
      </c>
    </row>
    <row r="17313" spans="26:26" x14ac:dyDescent="0.25">
      <c r="Z17313">
        <v>400000</v>
      </c>
    </row>
    <row r="17314" spans="26:26" x14ac:dyDescent="0.25">
      <c r="Z17314">
        <v>400000</v>
      </c>
    </row>
    <row r="17315" spans="26:26" x14ac:dyDescent="0.25">
      <c r="Z17315">
        <v>400000</v>
      </c>
    </row>
    <row r="17316" spans="26:26" x14ac:dyDescent="0.25">
      <c r="Z17316">
        <v>400000</v>
      </c>
    </row>
    <row r="17317" spans="26:26" x14ac:dyDescent="0.25">
      <c r="Z17317">
        <v>400000</v>
      </c>
    </row>
    <row r="17318" spans="26:26" x14ac:dyDescent="0.25">
      <c r="Z17318">
        <v>400000</v>
      </c>
    </row>
    <row r="17319" spans="26:26" x14ac:dyDescent="0.25">
      <c r="Z17319">
        <v>400000</v>
      </c>
    </row>
    <row r="17320" spans="26:26" x14ac:dyDescent="0.25">
      <c r="Z17320">
        <v>400000</v>
      </c>
    </row>
    <row r="17321" spans="26:26" x14ac:dyDescent="0.25">
      <c r="Z17321">
        <v>400000</v>
      </c>
    </row>
    <row r="17322" spans="26:26" x14ac:dyDescent="0.25">
      <c r="Z17322">
        <v>400000</v>
      </c>
    </row>
    <row r="17323" spans="26:26" x14ac:dyDescent="0.25">
      <c r="Z17323">
        <v>400000</v>
      </c>
    </row>
    <row r="17324" spans="26:26" x14ac:dyDescent="0.25">
      <c r="Z17324">
        <v>400000</v>
      </c>
    </row>
    <row r="17325" spans="26:26" x14ac:dyDescent="0.25">
      <c r="Z17325">
        <v>400000</v>
      </c>
    </row>
    <row r="17326" spans="26:26" x14ac:dyDescent="0.25">
      <c r="Z17326">
        <v>400000</v>
      </c>
    </row>
    <row r="17327" spans="26:26" x14ac:dyDescent="0.25">
      <c r="Z17327">
        <v>400000</v>
      </c>
    </row>
    <row r="17328" spans="26:26" x14ac:dyDescent="0.25">
      <c r="Z17328">
        <v>400000</v>
      </c>
    </row>
    <row r="17329" spans="26:26" x14ac:dyDescent="0.25">
      <c r="Z17329">
        <v>400000</v>
      </c>
    </row>
    <row r="17330" spans="26:26" x14ac:dyDescent="0.25">
      <c r="Z17330">
        <v>400000</v>
      </c>
    </row>
    <row r="17331" spans="26:26" x14ac:dyDescent="0.25">
      <c r="Z17331">
        <v>400000</v>
      </c>
    </row>
    <row r="17332" spans="26:26" x14ac:dyDescent="0.25">
      <c r="Z17332">
        <v>400000</v>
      </c>
    </row>
    <row r="17333" spans="26:26" x14ac:dyDescent="0.25">
      <c r="Z17333">
        <v>400000</v>
      </c>
    </row>
    <row r="17334" spans="26:26" x14ac:dyDescent="0.25">
      <c r="Z17334">
        <v>400000</v>
      </c>
    </row>
    <row r="17335" spans="26:26" x14ac:dyDescent="0.25">
      <c r="Z17335">
        <v>400000</v>
      </c>
    </row>
    <row r="17336" spans="26:26" x14ac:dyDescent="0.25">
      <c r="Z17336">
        <v>400000</v>
      </c>
    </row>
    <row r="17337" spans="26:26" x14ac:dyDescent="0.25">
      <c r="Z17337">
        <v>400000</v>
      </c>
    </row>
    <row r="17338" spans="26:26" x14ac:dyDescent="0.25">
      <c r="Z17338">
        <v>400000</v>
      </c>
    </row>
    <row r="17339" spans="26:26" x14ac:dyDescent="0.25">
      <c r="Z17339">
        <v>400000</v>
      </c>
    </row>
    <row r="17340" spans="26:26" x14ac:dyDescent="0.25">
      <c r="Z17340">
        <v>400000</v>
      </c>
    </row>
    <row r="17341" spans="26:26" x14ac:dyDescent="0.25">
      <c r="Z17341">
        <v>400000</v>
      </c>
    </row>
    <row r="17342" spans="26:26" x14ac:dyDescent="0.25">
      <c r="Z17342">
        <v>400000</v>
      </c>
    </row>
    <row r="17343" spans="26:26" x14ac:dyDescent="0.25">
      <c r="Z17343">
        <v>400000</v>
      </c>
    </row>
    <row r="17344" spans="26:26" x14ac:dyDescent="0.25">
      <c r="Z17344">
        <v>400000</v>
      </c>
    </row>
    <row r="17345" spans="26:26" x14ac:dyDescent="0.25">
      <c r="Z17345">
        <v>400000</v>
      </c>
    </row>
    <row r="17346" spans="26:26" x14ac:dyDescent="0.25">
      <c r="Z17346">
        <v>400000</v>
      </c>
    </row>
    <row r="17347" spans="26:26" x14ac:dyDescent="0.25">
      <c r="Z17347">
        <v>400000</v>
      </c>
    </row>
    <row r="17348" spans="26:26" x14ac:dyDescent="0.25">
      <c r="Z17348">
        <v>400000</v>
      </c>
    </row>
    <row r="17349" spans="26:26" x14ac:dyDescent="0.25">
      <c r="Z17349">
        <v>400000</v>
      </c>
    </row>
    <row r="17350" spans="26:26" x14ac:dyDescent="0.25">
      <c r="Z17350">
        <v>400000</v>
      </c>
    </row>
    <row r="17351" spans="26:26" x14ac:dyDescent="0.25">
      <c r="Z17351">
        <v>400000</v>
      </c>
    </row>
    <row r="17352" spans="26:26" x14ac:dyDescent="0.25">
      <c r="Z17352">
        <v>400000</v>
      </c>
    </row>
    <row r="17353" spans="26:26" x14ac:dyDescent="0.25">
      <c r="Z17353">
        <v>400000</v>
      </c>
    </row>
    <row r="17354" spans="26:26" x14ac:dyDescent="0.25">
      <c r="Z17354">
        <v>400000</v>
      </c>
    </row>
    <row r="17355" spans="26:26" x14ac:dyDescent="0.25">
      <c r="Z17355">
        <v>400000</v>
      </c>
    </row>
    <row r="17356" spans="26:26" x14ac:dyDescent="0.25">
      <c r="Z17356">
        <v>400000</v>
      </c>
    </row>
    <row r="17357" spans="26:26" x14ac:dyDescent="0.25">
      <c r="Z17357">
        <v>400000</v>
      </c>
    </row>
    <row r="17358" spans="26:26" x14ac:dyDescent="0.25">
      <c r="Z17358">
        <v>400000</v>
      </c>
    </row>
    <row r="17359" spans="26:26" x14ac:dyDescent="0.25">
      <c r="Z17359">
        <v>400000</v>
      </c>
    </row>
    <row r="17360" spans="26:26" x14ac:dyDescent="0.25">
      <c r="Z17360">
        <v>400000</v>
      </c>
    </row>
    <row r="17361" spans="26:26" x14ac:dyDescent="0.25">
      <c r="Z17361">
        <v>400000</v>
      </c>
    </row>
    <row r="17362" spans="26:26" x14ac:dyDescent="0.25">
      <c r="Z17362">
        <v>400000</v>
      </c>
    </row>
    <row r="17363" spans="26:26" x14ac:dyDescent="0.25">
      <c r="Z17363">
        <v>400000</v>
      </c>
    </row>
    <row r="17364" spans="26:26" x14ac:dyDescent="0.25">
      <c r="Z17364">
        <v>400000</v>
      </c>
    </row>
    <row r="17365" spans="26:26" x14ac:dyDescent="0.25">
      <c r="Z17365">
        <v>400000</v>
      </c>
    </row>
    <row r="17366" spans="26:26" x14ac:dyDescent="0.25">
      <c r="Z17366">
        <v>400000</v>
      </c>
    </row>
    <row r="17367" spans="26:26" x14ac:dyDescent="0.25">
      <c r="Z17367">
        <v>400000</v>
      </c>
    </row>
    <row r="17368" spans="26:26" x14ac:dyDescent="0.25">
      <c r="Z17368">
        <v>400000</v>
      </c>
    </row>
    <row r="17369" spans="26:26" x14ac:dyDescent="0.25">
      <c r="Z17369">
        <v>400000</v>
      </c>
    </row>
    <row r="17370" spans="26:26" x14ac:dyDescent="0.25">
      <c r="Z17370">
        <v>400000</v>
      </c>
    </row>
    <row r="17371" spans="26:26" x14ac:dyDescent="0.25">
      <c r="Z17371">
        <v>400000</v>
      </c>
    </row>
    <row r="17372" spans="26:26" x14ac:dyDescent="0.25">
      <c r="Z17372">
        <v>400000</v>
      </c>
    </row>
    <row r="17373" spans="26:26" x14ac:dyDescent="0.25">
      <c r="Z17373">
        <v>400000</v>
      </c>
    </row>
    <row r="17374" spans="26:26" x14ac:dyDescent="0.25">
      <c r="Z17374">
        <v>400000</v>
      </c>
    </row>
    <row r="17375" spans="26:26" x14ac:dyDescent="0.25">
      <c r="Z17375">
        <v>400000</v>
      </c>
    </row>
    <row r="17376" spans="26:26" x14ac:dyDescent="0.25">
      <c r="Z17376">
        <v>400000</v>
      </c>
    </row>
    <row r="17377" spans="26:26" x14ac:dyDescent="0.25">
      <c r="Z17377">
        <v>400000</v>
      </c>
    </row>
    <row r="17378" spans="26:26" x14ac:dyDescent="0.25">
      <c r="Z17378">
        <v>400000</v>
      </c>
    </row>
    <row r="17379" spans="26:26" x14ac:dyDescent="0.25">
      <c r="Z17379">
        <v>400000</v>
      </c>
    </row>
    <row r="17380" spans="26:26" x14ac:dyDescent="0.25">
      <c r="Z17380">
        <v>400000</v>
      </c>
    </row>
    <row r="17381" spans="26:26" x14ac:dyDescent="0.25">
      <c r="Z17381">
        <v>400000</v>
      </c>
    </row>
    <row r="17382" spans="26:26" x14ac:dyDescent="0.25">
      <c r="Z17382">
        <v>400000</v>
      </c>
    </row>
    <row r="17383" spans="26:26" x14ac:dyDescent="0.25">
      <c r="Z17383">
        <v>400000</v>
      </c>
    </row>
    <row r="17384" spans="26:26" x14ac:dyDescent="0.25">
      <c r="Z17384">
        <v>400000</v>
      </c>
    </row>
    <row r="17385" spans="26:26" x14ac:dyDescent="0.25">
      <c r="Z17385">
        <v>400000</v>
      </c>
    </row>
    <row r="17386" spans="26:26" x14ac:dyDescent="0.25">
      <c r="Z17386">
        <v>400000</v>
      </c>
    </row>
    <row r="17387" spans="26:26" x14ac:dyDescent="0.25">
      <c r="Z17387">
        <v>400000</v>
      </c>
    </row>
    <row r="17388" spans="26:26" x14ac:dyDescent="0.25">
      <c r="Z17388">
        <v>400000</v>
      </c>
    </row>
    <row r="17389" spans="26:26" x14ac:dyDescent="0.25">
      <c r="Z17389">
        <v>400000</v>
      </c>
    </row>
    <row r="17390" spans="26:26" x14ac:dyDescent="0.25">
      <c r="Z17390">
        <v>400000</v>
      </c>
    </row>
    <row r="17391" spans="26:26" x14ac:dyDescent="0.25">
      <c r="Z17391">
        <v>400000</v>
      </c>
    </row>
    <row r="17392" spans="26:26" x14ac:dyDescent="0.25">
      <c r="Z17392">
        <v>400000</v>
      </c>
    </row>
    <row r="17393" spans="26:26" x14ac:dyDescent="0.25">
      <c r="Z17393">
        <v>400000</v>
      </c>
    </row>
    <row r="17394" spans="26:26" x14ac:dyDescent="0.25">
      <c r="Z17394">
        <v>400000</v>
      </c>
    </row>
    <row r="17395" spans="26:26" x14ac:dyDescent="0.25">
      <c r="Z17395">
        <v>400000</v>
      </c>
    </row>
    <row r="17396" spans="26:26" x14ac:dyDescent="0.25">
      <c r="Z17396">
        <v>400000</v>
      </c>
    </row>
    <row r="17397" spans="26:26" x14ac:dyDescent="0.25">
      <c r="Z17397">
        <v>400000</v>
      </c>
    </row>
    <row r="17398" spans="26:26" x14ac:dyDescent="0.25">
      <c r="Z17398">
        <v>400000</v>
      </c>
    </row>
    <row r="17399" spans="26:26" x14ac:dyDescent="0.25">
      <c r="Z17399">
        <v>400000</v>
      </c>
    </row>
    <row r="17400" spans="26:26" x14ac:dyDescent="0.25">
      <c r="Z17400">
        <v>400000</v>
      </c>
    </row>
    <row r="17401" spans="26:26" x14ac:dyDescent="0.25">
      <c r="Z17401">
        <v>400000</v>
      </c>
    </row>
    <row r="17402" spans="26:26" x14ac:dyDescent="0.25">
      <c r="Z17402">
        <v>400000</v>
      </c>
    </row>
    <row r="17403" spans="26:26" x14ac:dyDescent="0.25">
      <c r="Z17403">
        <v>400000</v>
      </c>
    </row>
    <row r="17404" spans="26:26" x14ac:dyDescent="0.25">
      <c r="Z17404">
        <v>400000</v>
      </c>
    </row>
    <row r="17405" spans="26:26" x14ac:dyDescent="0.25">
      <c r="Z17405">
        <v>400000</v>
      </c>
    </row>
    <row r="17406" spans="26:26" x14ac:dyDescent="0.25">
      <c r="Z17406">
        <v>400000</v>
      </c>
    </row>
    <row r="17407" spans="26:26" x14ac:dyDescent="0.25">
      <c r="Z17407">
        <v>400000</v>
      </c>
    </row>
    <row r="17408" spans="26:26" x14ac:dyDescent="0.25">
      <c r="Z17408">
        <v>400000</v>
      </c>
    </row>
    <row r="17409" spans="26:26" x14ac:dyDescent="0.25">
      <c r="Z17409">
        <v>400000</v>
      </c>
    </row>
    <row r="17410" spans="26:26" x14ac:dyDescent="0.25">
      <c r="Z17410">
        <v>400000</v>
      </c>
    </row>
    <row r="17411" spans="26:26" x14ac:dyDescent="0.25">
      <c r="Z17411">
        <v>400000</v>
      </c>
    </row>
    <row r="17412" spans="26:26" x14ac:dyDescent="0.25">
      <c r="Z17412">
        <v>400000</v>
      </c>
    </row>
    <row r="17413" spans="26:26" x14ac:dyDescent="0.25">
      <c r="Z17413">
        <v>400000</v>
      </c>
    </row>
    <row r="17414" spans="26:26" x14ac:dyDescent="0.25">
      <c r="Z17414">
        <v>400000</v>
      </c>
    </row>
    <row r="17415" spans="26:26" x14ac:dyDescent="0.25">
      <c r="Z17415">
        <v>400000</v>
      </c>
    </row>
    <row r="17416" spans="26:26" x14ac:dyDescent="0.25">
      <c r="Z17416">
        <v>400000</v>
      </c>
    </row>
    <row r="17417" spans="26:26" x14ac:dyDescent="0.25">
      <c r="Z17417">
        <v>400000</v>
      </c>
    </row>
    <row r="17418" spans="26:26" x14ac:dyDescent="0.25">
      <c r="Z17418">
        <v>400000</v>
      </c>
    </row>
    <row r="17419" spans="26:26" x14ac:dyDescent="0.25">
      <c r="Z17419">
        <v>400000</v>
      </c>
    </row>
    <row r="17420" spans="26:26" x14ac:dyDescent="0.25">
      <c r="Z17420">
        <v>400000</v>
      </c>
    </row>
    <row r="17421" spans="26:26" x14ac:dyDescent="0.25">
      <c r="Z17421">
        <v>400000</v>
      </c>
    </row>
    <row r="17422" spans="26:26" x14ac:dyDescent="0.25">
      <c r="Z17422">
        <v>400000</v>
      </c>
    </row>
    <row r="17423" spans="26:26" x14ac:dyDescent="0.25">
      <c r="Z17423">
        <v>400000</v>
      </c>
    </row>
    <row r="17424" spans="26:26" x14ac:dyDescent="0.25">
      <c r="Z17424">
        <v>400000</v>
      </c>
    </row>
    <row r="17425" spans="26:26" x14ac:dyDescent="0.25">
      <c r="Z17425">
        <v>400000</v>
      </c>
    </row>
    <row r="17426" spans="26:26" x14ac:dyDescent="0.25">
      <c r="Z17426">
        <v>400000</v>
      </c>
    </row>
    <row r="17427" spans="26:26" x14ac:dyDescent="0.25">
      <c r="Z17427">
        <v>400000</v>
      </c>
    </row>
    <row r="17428" spans="26:26" x14ac:dyDescent="0.25">
      <c r="Z17428">
        <v>400000</v>
      </c>
    </row>
    <row r="17429" spans="26:26" x14ac:dyDescent="0.25">
      <c r="Z17429">
        <v>400000</v>
      </c>
    </row>
    <row r="17430" spans="26:26" x14ac:dyDescent="0.25">
      <c r="Z17430">
        <v>400000</v>
      </c>
    </row>
    <row r="17431" spans="26:26" x14ac:dyDescent="0.25">
      <c r="Z17431">
        <v>400000</v>
      </c>
    </row>
    <row r="17432" spans="26:26" x14ac:dyDescent="0.25">
      <c r="Z17432">
        <v>400000</v>
      </c>
    </row>
    <row r="17433" spans="26:26" x14ac:dyDescent="0.25">
      <c r="Z17433">
        <v>400000</v>
      </c>
    </row>
    <row r="17434" spans="26:26" x14ac:dyDescent="0.25">
      <c r="Z17434">
        <v>400000</v>
      </c>
    </row>
    <row r="17435" spans="26:26" x14ac:dyDescent="0.25">
      <c r="Z17435">
        <v>400000</v>
      </c>
    </row>
    <row r="17436" spans="26:26" x14ac:dyDescent="0.25">
      <c r="Z17436">
        <v>400000</v>
      </c>
    </row>
    <row r="17437" spans="26:26" x14ac:dyDescent="0.25">
      <c r="Z17437">
        <v>400000</v>
      </c>
    </row>
    <row r="17438" spans="26:26" x14ac:dyDescent="0.25">
      <c r="Z17438">
        <v>400000</v>
      </c>
    </row>
    <row r="17439" spans="26:26" x14ac:dyDescent="0.25">
      <c r="Z17439">
        <v>400000</v>
      </c>
    </row>
    <row r="17440" spans="26:26" x14ac:dyDescent="0.25">
      <c r="Z17440">
        <v>400000</v>
      </c>
    </row>
    <row r="17441" spans="26:26" x14ac:dyDescent="0.25">
      <c r="Z17441">
        <v>400000</v>
      </c>
    </row>
    <row r="17442" spans="26:26" x14ac:dyDescent="0.25">
      <c r="Z17442">
        <v>400000</v>
      </c>
    </row>
    <row r="17443" spans="26:26" x14ac:dyDescent="0.25">
      <c r="Z17443">
        <v>400000</v>
      </c>
    </row>
    <row r="17444" spans="26:26" x14ac:dyDescent="0.25">
      <c r="Z17444">
        <v>400000</v>
      </c>
    </row>
    <row r="17445" spans="26:26" x14ac:dyDescent="0.25">
      <c r="Z17445">
        <v>400000</v>
      </c>
    </row>
    <row r="17446" spans="26:26" x14ac:dyDescent="0.25">
      <c r="Z17446">
        <v>400000</v>
      </c>
    </row>
    <row r="17447" spans="26:26" x14ac:dyDescent="0.25">
      <c r="Z17447">
        <v>400000</v>
      </c>
    </row>
    <row r="17448" spans="26:26" x14ac:dyDescent="0.25">
      <c r="Z17448">
        <v>400000</v>
      </c>
    </row>
    <row r="17449" spans="26:26" x14ac:dyDescent="0.25">
      <c r="Z17449">
        <v>400000</v>
      </c>
    </row>
    <row r="17450" spans="26:26" x14ac:dyDescent="0.25">
      <c r="Z17450">
        <v>400000</v>
      </c>
    </row>
    <row r="17451" spans="26:26" x14ac:dyDescent="0.25">
      <c r="Z17451">
        <v>400000</v>
      </c>
    </row>
    <row r="17452" spans="26:26" x14ac:dyDescent="0.25">
      <c r="Z17452">
        <v>400000</v>
      </c>
    </row>
    <row r="17453" spans="26:26" x14ac:dyDescent="0.25">
      <c r="Z17453">
        <v>400000</v>
      </c>
    </row>
    <row r="17454" spans="26:26" x14ac:dyDescent="0.25">
      <c r="Z17454">
        <v>400000</v>
      </c>
    </row>
    <row r="17455" spans="26:26" x14ac:dyDescent="0.25">
      <c r="Z17455">
        <v>400000</v>
      </c>
    </row>
    <row r="17456" spans="26:26" x14ac:dyDescent="0.25">
      <c r="Z17456">
        <v>400000</v>
      </c>
    </row>
    <row r="17457" spans="26:26" x14ac:dyDescent="0.25">
      <c r="Z17457">
        <v>400000</v>
      </c>
    </row>
    <row r="17458" spans="26:26" x14ac:dyDescent="0.25">
      <c r="Z17458">
        <v>400000</v>
      </c>
    </row>
    <row r="17459" spans="26:26" x14ac:dyDescent="0.25">
      <c r="Z17459">
        <v>400000</v>
      </c>
    </row>
    <row r="17460" spans="26:26" x14ac:dyDescent="0.25">
      <c r="Z17460">
        <v>400000</v>
      </c>
    </row>
    <row r="17461" spans="26:26" x14ac:dyDescent="0.25">
      <c r="Z17461">
        <v>400000</v>
      </c>
    </row>
    <row r="17462" spans="26:26" x14ac:dyDescent="0.25">
      <c r="Z17462">
        <v>400000</v>
      </c>
    </row>
    <row r="17463" spans="26:26" x14ac:dyDescent="0.25">
      <c r="Z17463">
        <v>400000</v>
      </c>
    </row>
    <row r="17464" spans="26:26" x14ac:dyDescent="0.25">
      <c r="Z17464">
        <v>400000</v>
      </c>
    </row>
    <row r="17465" spans="26:26" x14ac:dyDescent="0.25">
      <c r="Z17465">
        <v>400000</v>
      </c>
    </row>
    <row r="17466" spans="26:26" x14ac:dyDescent="0.25">
      <c r="Z17466">
        <v>400000</v>
      </c>
    </row>
    <row r="17467" spans="26:26" x14ac:dyDescent="0.25">
      <c r="Z17467">
        <v>400000</v>
      </c>
    </row>
    <row r="17468" spans="26:26" x14ac:dyDescent="0.25">
      <c r="Z17468">
        <v>400000</v>
      </c>
    </row>
    <row r="17469" spans="26:26" x14ac:dyDescent="0.25">
      <c r="Z17469">
        <v>400000</v>
      </c>
    </row>
    <row r="17470" spans="26:26" x14ac:dyDescent="0.25">
      <c r="Z17470">
        <v>400000</v>
      </c>
    </row>
    <row r="17471" spans="26:26" x14ac:dyDescent="0.25">
      <c r="Z17471">
        <v>400000</v>
      </c>
    </row>
    <row r="17472" spans="26:26" x14ac:dyDescent="0.25">
      <c r="Z17472">
        <v>400000</v>
      </c>
    </row>
    <row r="17473" spans="26:26" x14ac:dyDescent="0.25">
      <c r="Z17473">
        <v>400000</v>
      </c>
    </row>
    <row r="17474" spans="26:26" x14ac:dyDescent="0.25">
      <c r="Z17474">
        <v>400000</v>
      </c>
    </row>
    <row r="17475" spans="26:26" x14ac:dyDescent="0.25">
      <c r="Z17475">
        <v>400000</v>
      </c>
    </row>
    <row r="17476" spans="26:26" x14ac:dyDescent="0.25">
      <c r="Z17476">
        <v>400000</v>
      </c>
    </row>
    <row r="17477" spans="26:26" x14ac:dyDescent="0.25">
      <c r="Z17477">
        <v>400000</v>
      </c>
    </row>
    <row r="17478" spans="26:26" x14ac:dyDescent="0.25">
      <c r="Z17478">
        <v>400000</v>
      </c>
    </row>
    <row r="17479" spans="26:26" x14ac:dyDescent="0.25">
      <c r="Z17479">
        <v>400000</v>
      </c>
    </row>
    <row r="17480" spans="26:26" x14ac:dyDescent="0.25">
      <c r="Z17480">
        <v>400000</v>
      </c>
    </row>
    <row r="17481" spans="26:26" x14ac:dyDescent="0.25">
      <c r="Z17481">
        <v>400000</v>
      </c>
    </row>
    <row r="17482" spans="26:26" x14ac:dyDescent="0.25">
      <c r="Z17482">
        <v>400000</v>
      </c>
    </row>
    <row r="17483" spans="26:26" x14ac:dyDescent="0.25">
      <c r="Z17483">
        <v>400000</v>
      </c>
    </row>
    <row r="17484" spans="26:26" x14ac:dyDescent="0.25">
      <c r="Z17484">
        <v>400000</v>
      </c>
    </row>
    <row r="17485" spans="26:26" x14ac:dyDescent="0.25">
      <c r="Z17485">
        <v>400000</v>
      </c>
    </row>
    <row r="17486" spans="26:26" x14ac:dyDescent="0.25">
      <c r="Z17486">
        <v>400000</v>
      </c>
    </row>
    <row r="17487" spans="26:26" x14ac:dyDescent="0.25">
      <c r="Z17487">
        <v>400000</v>
      </c>
    </row>
    <row r="17488" spans="26:26" x14ac:dyDescent="0.25">
      <c r="Z17488">
        <v>400000</v>
      </c>
    </row>
    <row r="17489" spans="26:26" x14ac:dyDescent="0.25">
      <c r="Z17489">
        <v>400000</v>
      </c>
    </row>
    <row r="17490" spans="26:26" x14ac:dyDescent="0.25">
      <c r="Z17490">
        <v>400000</v>
      </c>
    </row>
    <row r="17491" spans="26:26" x14ac:dyDescent="0.25">
      <c r="Z17491">
        <v>400000</v>
      </c>
    </row>
    <row r="17492" spans="26:26" x14ac:dyDescent="0.25">
      <c r="Z17492">
        <v>400000</v>
      </c>
    </row>
    <row r="17493" spans="26:26" x14ac:dyDescent="0.25">
      <c r="Z17493">
        <v>400000</v>
      </c>
    </row>
    <row r="17494" spans="26:26" x14ac:dyDescent="0.25">
      <c r="Z17494">
        <v>400000</v>
      </c>
    </row>
    <row r="17495" spans="26:26" x14ac:dyDescent="0.25">
      <c r="Z17495">
        <v>400000</v>
      </c>
    </row>
    <row r="17496" spans="26:26" x14ac:dyDescent="0.25">
      <c r="Z17496">
        <v>400000</v>
      </c>
    </row>
    <row r="17497" spans="26:26" x14ac:dyDescent="0.25">
      <c r="Z17497">
        <v>400000</v>
      </c>
    </row>
    <row r="17498" spans="26:26" x14ac:dyDescent="0.25">
      <c r="Z17498">
        <v>400000</v>
      </c>
    </row>
    <row r="17499" spans="26:26" x14ac:dyDescent="0.25">
      <c r="Z17499">
        <v>400000</v>
      </c>
    </row>
    <row r="17500" spans="26:26" x14ac:dyDescent="0.25">
      <c r="Z17500">
        <v>400000</v>
      </c>
    </row>
    <row r="17501" spans="26:26" x14ac:dyDescent="0.25">
      <c r="Z17501">
        <v>400000</v>
      </c>
    </row>
    <row r="17502" spans="26:26" x14ac:dyDescent="0.25">
      <c r="Z17502">
        <v>400000</v>
      </c>
    </row>
    <row r="17503" spans="26:26" x14ac:dyDescent="0.25">
      <c r="Z17503">
        <v>400000</v>
      </c>
    </row>
    <row r="17504" spans="26:26" x14ac:dyDescent="0.25">
      <c r="Z17504">
        <v>400000</v>
      </c>
    </row>
    <row r="17505" spans="26:26" x14ac:dyDescent="0.25">
      <c r="Z17505">
        <v>400000</v>
      </c>
    </row>
    <row r="17506" spans="26:26" x14ac:dyDescent="0.25">
      <c r="Z17506">
        <v>400000</v>
      </c>
    </row>
    <row r="17507" spans="26:26" x14ac:dyDescent="0.25">
      <c r="Z17507">
        <v>400000</v>
      </c>
    </row>
    <row r="17508" spans="26:26" x14ac:dyDescent="0.25">
      <c r="Z17508">
        <v>400000</v>
      </c>
    </row>
    <row r="17509" spans="26:26" x14ac:dyDescent="0.25">
      <c r="Z17509">
        <v>400000</v>
      </c>
    </row>
    <row r="17510" spans="26:26" x14ac:dyDescent="0.25">
      <c r="Z17510">
        <v>400000</v>
      </c>
    </row>
    <row r="17511" spans="26:26" x14ac:dyDescent="0.25">
      <c r="Z17511">
        <v>400000</v>
      </c>
    </row>
    <row r="17512" spans="26:26" x14ac:dyDescent="0.25">
      <c r="Z17512">
        <v>400000</v>
      </c>
    </row>
    <row r="17513" spans="26:26" x14ac:dyDescent="0.25">
      <c r="Z17513">
        <v>400000</v>
      </c>
    </row>
    <row r="17514" spans="26:26" x14ac:dyDescent="0.25">
      <c r="Z17514">
        <v>400000</v>
      </c>
    </row>
    <row r="17515" spans="26:26" x14ac:dyDescent="0.25">
      <c r="Z17515">
        <v>400000</v>
      </c>
    </row>
    <row r="17516" spans="26:26" x14ac:dyDescent="0.25">
      <c r="Z17516">
        <v>400000</v>
      </c>
    </row>
    <row r="17517" spans="26:26" x14ac:dyDescent="0.25">
      <c r="Z17517">
        <v>400000</v>
      </c>
    </row>
    <row r="17518" spans="26:26" x14ac:dyDescent="0.25">
      <c r="Z17518">
        <v>400000</v>
      </c>
    </row>
    <row r="17519" spans="26:26" x14ac:dyDescent="0.25">
      <c r="Z17519">
        <v>400000</v>
      </c>
    </row>
    <row r="17520" spans="26:26" x14ac:dyDescent="0.25">
      <c r="Z17520">
        <v>400000</v>
      </c>
    </row>
    <row r="17521" spans="26:26" x14ac:dyDescent="0.25">
      <c r="Z17521">
        <v>400000</v>
      </c>
    </row>
    <row r="17522" spans="26:26" x14ac:dyDescent="0.25">
      <c r="Z17522">
        <v>400000</v>
      </c>
    </row>
    <row r="17523" spans="26:26" x14ac:dyDescent="0.25">
      <c r="Z17523">
        <v>400000</v>
      </c>
    </row>
    <row r="17524" spans="26:26" x14ac:dyDescent="0.25">
      <c r="Z17524">
        <v>400000</v>
      </c>
    </row>
    <row r="17525" spans="26:26" x14ac:dyDescent="0.25">
      <c r="Z17525">
        <v>400000</v>
      </c>
    </row>
    <row r="17526" spans="26:26" x14ac:dyDescent="0.25">
      <c r="Z17526">
        <v>400000</v>
      </c>
    </row>
    <row r="17527" spans="26:26" x14ac:dyDescent="0.25">
      <c r="Z17527">
        <v>400000</v>
      </c>
    </row>
    <row r="17528" spans="26:26" x14ac:dyDescent="0.25">
      <c r="Z17528">
        <v>400000</v>
      </c>
    </row>
    <row r="17529" spans="26:26" x14ac:dyDescent="0.25">
      <c r="Z17529">
        <v>400000</v>
      </c>
    </row>
    <row r="17530" spans="26:26" x14ac:dyDescent="0.25">
      <c r="Z17530">
        <v>400000</v>
      </c>
    </row>
    <row r="17531" spans="26:26" x14ac:dyDescent="0.25">
      <c r="Z17531">
        <v>400000</v>
      </c>
    </row>
    <row r="17532" spans="26:26" x14ac:dyDescent="0.25">
      <c r="Z17532">
        <v>400000</v>
      </c>
    </row>
    <row r="17533" spans="26:26" x14ac:dyDescent="0.25">
      <c r="Z17533">
        <v>400000</v>
      </c>
    </row>
    <row r="17534" spans="26:26" x14ac:dyDescent="0.25">
      <c r="Z17534">
        <v>400000</v>
      </c>
    </row>
    <row r="17535" spans="26:26" x14ac:dyDescent="0.25">
      <c r="Z17535">
        <v>400000</v>
      </c>
    </row>
    <row r="17536" spans="26:26" x14ac:dyDescent="0.25">
      <c r="Z17536">
        <v>400000</v>
      </c>
    </row>
    <row r="17537" spans="26:26" x14ac:dyDescent="0.25">
      <c r="Z17537">
        <v>400000</v>
      </c>
    </row>
    <row r="17538" spans="26:26" x14ac:dyDescent="0.25">
      <c r="Z17538">
        <v>400000</v>
      </c>
    </row>
    <row r="17539" spans="26:26" x14ac:dyDescent="0.25">
      <c r="Z17539">
        <v>400000</v>
      </c>
    </row>
    <row r="17540" spans="26:26" x14ac:dyDescent="0.25">
      <c r="Z17540">
        <v>400000</v>
      </c>
    </row>
    <row r="17541" spans="26:26" x14ac:dyDescent="0.25">
      <c r="Z17541">
        <v>400000</v>
      </c>
    </row>
    <row r="17542" spans="26:26" x14ac:dyDescent="0.25">
      <c r="Z17542">
        <v>400000</v>
      </c>
    </row>
    <row r="17543" spans="26:26" x14ac:dyDescent="0.25">
      <c r="Z17543">
        <v>400000</v>
      </c>
    </row>
    <row r="17544" spans="26:26" x14ac:dyDescent="0.25">
      <c r="Z17544">
        <v>400000</v>
      </c>
    </row>
    <row r="17545" spans="26:26" x14ac:dyDescent="0.25">
      <c r="Z17545">
        <v>400000</v>
      </c>
    </row>
    <row r="17546" spans="26:26" x14ac:dyDescent="0.25">
      <c r="Z17546">
        <v>400000</v>
      </c>
    </row>
    <row r="17547" spans="26:26" x14ac:dyDescent="0.25">
      <c r="Z17547">
        <v>400000</v>
      </c>
    </row>
    <row r="17548" spans="26:26" x14ac:dyDescent="0.25">
      <c r="Z17548">
        <v>400000</v>
      </c>
    </row>
    <row r="17549" spans="26:26" x14ac:dyDescent="0.25">
      <c r="Z17549">
        <v>400000</v>
      </c>
    </row>
    <row r="17550" spans="26:26" x14ac:dyDescent="0.25">
      <c r="Z17550">
        <v>400000</v>
      </c>
    </row>
    <row r="17551" spans="26:26" x14ac:dyDescent="0.25">
      <c r="Z17551">
        <v>400000</v>
      </c>
    </row>
    <row r="17552" spans="26:26" x14ac:dyDescent="0.25">
      <c r="Z17552">
        <v>400000</v>
      </c>
    </row>
    <row r="17553" spans="26:26" x14ac:dyDescent="0.25">
      <c r="Z17553">
        <v>400000</v>
      </c>
    </row>
    <row r="17554" spans="26:26" x14ac:dyDescent="0.25">
      <c r="Z17554">
        <v>400000</v>
      </c>
    </row>
    <row r="17555" spans="26:26" x14ac:dyDescent="0.25">
      <c r="Z17555">
        <v>400000</v>
      </c>
    </row>
    <row r="17556" spans="26:26" x14ac:dyDescent="0.25">
      <c r="Z17556">
        <v>400000</v>
      </c>
    </row>
    <row r="17557" spans="26:26" x14ac:dyDescent="0.25">
      <c r="Z17557">
        <v>400000</v>
      </c>
    </row>
    <row r="17558" spans="26:26" x14ac:dyDescent="0.25">
      <c r="Z17558">
        <v>400000</v>
      </c>
    </row>
    <row r="17559" spans="26:26" x14ac:dyDescent="0.25">
      <c r="Z17559">
        <v>400000</v>
      </c>
    </row>
    <row r="17560" spans="26:26" x14ac:dyDescent="0.25">
      <c r="Z17560">
        <v>400000</v>
      </c>
    </row>
    <row r="17561" spans="26:26" x14ac:dyDescent="0.25">
      <c r="Z17561">
        <v>400000</v>
      </c>
    </row>
    <row r="17562" spans="26:26" x14ac:dyDescent="0.25">
      <c r="Z17562">
        <v>400000</v>
      </c>
    </row>
    <row r="17563" spans="26:26" x14ac:dyDescent="0.25">
      <c r="Z17563">
        <v>400000</v>
      </c>
    </row>
    <row r="17564" spans="26:26" x14ac:dyDescent="0.25">
      <c r="Z17564">
        <v>400000</v>
      </c>
    </row>
    <row r="17565" spans="26:26" x14ac:dyDescent="0.25">
      <c r="Z17565">
        <v>400000</v>
      </c>
    </row>
    <row r="17566" spans="26:26" x14ac:dyDescent="0.25">
      <c r="Z17566">
        <v>400000</v>
      </c>
    </row>
    <row r="17567" spans="26:26" x14ac:dyDescent="0.25">
      <c r="Z17567">
        <v>400000</v>
      </c>
    </row>
    <row r="17568" spans="26:26" x14ac:dyDescent="0.25">
      <c r="Z17568">
        <v>400000</v>
      </c>
    </row>
    <row r="17569" spans="26:26" x14ac:dyDescent="0.25">
      <c r="Z17569">
        <v>400000</v>
      </c>
    </row>
    <row r="17570" spans="26:26" x14ac:dyDescent="0.25">
      <c r="Z17570">
        <v>400000</v>
      </c>
    </row>
    <row r="17571" spans="26:26" x14ac:dyDescent="0.25">
      <c r="Z17571">
        <v>400000</v>
      </c>
    </row>
    <row r="17572" spans="26:26" x14ac:dyDescent="0.25">
      <c r="Z17572">
        <v>400000</v>
      </c>
    </row>
    <row r="17573" spans="26:26" x14ac:dyDescent="0.25">
      <c r="Z17573">
        <v>400000</v>
      </c>
    </row>
    <row r="17574" spans="26:26" x14ac:dyDescent="0.25">
      <c r="Z17574">
        <v>400000</v>
      </c>
    </row>
    <row r="17575" spans="26:26" x14ac:dyDescent="0.25">
      <c r="Z17575">
        <v>400000</v>
      </c>
    </row>
    <row r="17576" spans="26:26" x14ac:dyDescent="0.25">
      <c r="Z17576">
        <v>400000</v>
      </c>
    </row>
    <row r="17577" spans="26:26" x14ac:dyDescent="0.25">
      <c r="Z17577">
        <v>400000</v>
      </c>
    </row>
    <row r="17578" spans="26:26" x14ac:dyDescent="0.25">
      <c r="Z17578">
        <v>400000</v>
      </c>
    </row>
    <row r="17579" spans="26:26" x14ac:dyDescent="0.25">
      <c r="Z17579">
        <v>400000</v>
      </c>
    </row>
    <row r="17580" spans="26:26" x14ac:dyDescent="0.25">
      <c r="Z17580">
        <v>400000</v>
      </c>
    </row>
    <row r="17581" spans="26:26" x14ac:dyDescent="0.25">
      <c r="Z17581">
        <v>400000</v>
      </c>
    </row>
    <row r="17582" spans="26:26" x14ac:dyDescent="0.25">
      <c r="Z17582">
        <v>400000</v>
      </c>
    </row>
    <row r="17583" spans="26:26" x14ac:dyDescent="0.25">
      <c r="Z17583">
        <v>400000</v>
      </c>
    </row>
    <row r="17584" spans="26:26" x14ac:dyDescent="0.25">
      <c r="Z17584">
        <v>400000</v>
      </c>
    </row>
    <row r="17585" spans="26:26" x14ac:dyDescent="0.25">
      <c r="Z17585">
        <v>400000</v>
      </c>
    </row>
    <row r="17586" spans="26:26" x14ac:dyDescent="0.25">
      <c r="Z17586">
        <v>400000</v>
      </c>
    </row>
    <row r="17587" spans="26:26" x14ac:dyDescent="0.25">
      <c r="Z17587">
        <v>400000</v>
      </c>
    </row>
    <row r="17588" spans="26:26" x14ac:dyDescent="0.25">
      <c r="Z17588">
        <v>400000</v>
      </c>
    </row>
    <row r="17589" spans="26:26" x14ac:dyDescent="0.25">
      <c r="Z17589">
        <v>400000</v>
      </c>
    </row>
    <row r="17590" spans="26:26" x14ac:dyDescent="0.25">
      <c r="Z17590">
        <v>400000</v>
      </c>
    </row>
    <row r="17591" spans="26:26" x14ac:dyDescent="0.25">
      <c r="Z17591">
        <v>400000</v>
      </c>
    </row>
    <row r="17592" spans="26:26" x14ac:dyDescent="0.25">
      <c r="Z17592">
        <v>400000</v>
      </c>
    </row>
    <row r="17593" spans="26:26" x14ac:dyDescent="0.25">
      <c r="Z17593">
        <v>400000</v>
      </c>
    </row>
    <row r="17594" spans="26:26" x14ac:dyDescent="0.25">
      <c r="Z17594">
        <v>400000</v>
      </c>
    </row>
    <row r="17595" spans="26:26" x14ac:dyDescent="0.25">
      <c r="Z17595">
        <v>400000</v>
      </c>
    </row>
    <row r="17596" spans="26:26" x14ac:dyDescent="0.25">
      <c r="Z17596">
        <v>400000</v>
      </c>
    </row>
    <row r="17597" spans="26:26" x14ac:dyDescent="0.25">
      <c r="Z17597">
        <v>400000</v>
      </c>
    </row>
    <row r="17598" spans="26:26" x14ac:dyDescent="0.25">
      <c r="Z17598">
        <v>400000</v>
      </c>
    </row>
    <row r="17599" spans="26:26" x14ac:dyDescent="0.25">
      <c r="Z17599">
        <v>400000</v>
      </c>
    </row>
    <row r="17600" spans="26:26" x14ac:dyDescent="0.25">
      <c r="Z17600">
        <v>400000</v>
      </c>
    </row>
    <row r="17601" spans="26:26" x14ac:dyDescent="0.25">
      <c r="Z17601">
        <v>400000</v>
      </c>
    </row>
    <row r="17602" spans="26:26" x14ac:dyDescent="0.25">
      <c r="Z17602">
        <v>400000</v>
      </c>
    </row>
    <row r="17603" spans="26:26" x14ac:dyDescent="0.25">
      <c r="Z17603">
        <v>400000</v>
      </c>
    </row>
    <row r="17604" spans="26:26" x14ac:dyDescent="0.25">
      <c r="Z17604">
        <v>400000</v>
      </c>
    </row>
    <row r="17605" spans="26:26" x14ac:dyDescent="0.25">
      <c r="Z17605">
        <v>400000</v>
      </c>
    </row>
    <row r="17606" spans="26:26" x14ac:dyDescent="0.25">
      <c r="Z17606">
        <v>400000</v>
      </c>
    </row>
    <row r="17607" spans="26:26" x14ac:dyDescent="0.25">
      <c r="Z17607">
        <v>400000</v>
      </c>
    </row>
    <row r="17608" spans="26:26" x14ac:dyDescent="0.25">
      <c r="Z17608">
        <v>400000</v>
      </c>
    </row>
    <row r="17609" spans="26:26" x14ac:dyDescent="0.25">
      <c r="Z17609">
        <v>400000</v>
      </c>
    </row>
    <row r="17610" spans="26:26" x14ac:dyDescent="0.25">
      <c r="Z17610">
        <v>400000</v>
      </c>
    </row>
    <row r="17611" spans="26:26" x14ac:dyDescent="0.25">
      <c r="Z17611">
        <v>400000</v>
      </c>
    </row>
    <row r="17612" spans="26:26" x14ac:dyDescent="0.25">
      <c r="Z17612">
        <v>400000</v>
      </c>
    </row>
    <row r="17613" spans="26:26" x14ac:dyDescent="0.25">
      <c r="Z17613">
        <v>400000</v>
      </c>
    </row>
    <row r="17614" spans="26:26" x14ac:dyDescent="0.25">
      <c r="Z17614">
        <v>400000</v>
      </c>
    </row>
    <row r="17615" spans="26:26" x14ac:dyDescent="0.25">
      <c r="Z17615">
        <v>400000</v>
      </c>
    </row>
    <row r="17616" spans="26:26" x14ac:dyDescent="0.25">
      <c r="Z17616">
        <v>400000</v>
      </c>
    </row>
    <row r="17617" spans="26:26" x14ac:dyDescent="0.25">
      <c r="Z17617">
        <v>400000</v>
      </c>
    </row>
    <row r="17618" spans="26:26" x14ac:dyDescent="0.25">
      <c r="Z17618">
        <v>400000</v>
      </c>
    </row>
    <row r="17619" spans="26:26" x14ac:dyDescent="0.25">
      <c r="Z17619">
        <v>400000</v>
      </c>
    </row>
    <row r="17620" spans="26:26" x14ac:dyDescent="0.25">
      <c r="Z17620">
        <v>400000</v>
      </c>
    </row>
    <row r="17621" spans="26:26" x14ac:dyDescent="0.25">
      <c r="Z17621">
        <v>400000</v>
      </c>
    </row>
    <row r="17622" spans="26:26" x14ac:dyDescent="0.25">
      <c r="Z17622">
        <v>400000</v>
      </c>
    </row>
    <row r="17623" spans="26:26" x14ac:dyDescent="0.25">
      <c r="Z17623">
        <v>400000</v>
      </c>
    </row>
    <row r="17624" spans="26:26" x14ac:dyDescent="0.25">
      <c r="Z17624">
        <v>400000</v>
      </c>
    </row>
    <row r="17625" spans="26:26" x14ac:dyDescent="0.25">
      <c r="Z17625">
        <v>400000</v>
      </c>
    </row>
    <row r="17626" spans="26:26" x14ac:dyDescent="0.25">
      <c r="Z17626">
        <v>400000</v>
      </c>
    </row>
    <row r="17627" spans="26:26" x14ac:dyDescent="0.25">
      <c r="Z17627">
        <v>400000</v>
      </c>
    </row>
    <row r="17628" spans="26:26" x14ac:dyDescent="0.25">
      <c r="Z17628">
        <v>400000</v>
      </c>
    </row>
    <row r="17629" spans="26:26" x14ac:dyDescent="0.25">
      <c r="Z17629">
        <v>400000</v>
      </c>
    </row>
    <row r="17630" spans="26:26" x14ac:dyDescent="0.25">
      <c r="Z17630">
        <v>400000</v>
      </c>
    </row>
    <row r="17631" spans="26:26" x14ac:dyDescent="0.25">
      <c r="Z17631">
        <v>400000</v>
      </c>
    </row>
    <row r="17632" spans="26:26" x14ac:dyDescent="0.25">
      <c r="Z17632">
        <v>400000</v>
      </c>
    </row>
    <row r="17633" spans="26:26" x14ac:dyDescent="0.25">
      <c r="Z17633">
        <v>400000</v>
      </c>
    </row>
    <row r="17634" spans="26:26" x14ac:dyDescent="0.25">
      <c r="Z17634">
        <v>400000</v>
      </c>
    </row>
    <row r="17635" spans="26:26" x14ac:dyDescent="0.25">
      <c r="Z17635">
        <v>400000</v>
      </c>
    </row>
    <row r="17636" spans="26:26" x14ac:dyDescent="0.25">
      <c r="Z17636">
        <v>400000</v>
      </c>
    </row>
    <row r="17637" spans="26:26" x14ac:dyDescent="0.25">
      <c r="Z17637">
        <v>400000</v>
      </c>
    </row>
    <row r="17638" spans="26:26" x14ac:dyDescent="0.25">
      <c r="Z17638">
        <v>400000</v>
      </c>
    </row>
    <row r="17639" spans="26:26" x14ac:dyDescent="0.25">
      <c r="Z17639">
        <v>400000</v>
      </c>
    </row>
    <row r="17640" spans="26:26" x14ac:dyDescent="0.25">
      <c r="Z17640">
        <v>400000</v>
      </c>
    </row>
    <row r="17641" spans="26:26" x14ac:dyDescent="0.25">
      <c r="Z17641">
        <v>400000</v>
      </c>
    </row>
    <row r="17642" spans="26:26" x14ac:dyDescent="0.25">
      <c r="Z17642">
        <v>400000</v>
      </c>
    </row>
    <row r="17643" spans="26:26" x14ac:dyDescent="0.25">
      <c r="Z17643">
        <v>400000</v>
      </c>
    </row>
    <row r="17644" spans="26:26" x14ac:dyDescent="0.25">
      <c r="Z17644">
        <v>400000</v>
      </c>
    </row>
    <row r="17645" spans="26:26" x14ac:dyDescent="0.25">
      <c r="Z17645">
        <v>400000</v>
      </c>
    </row>
    <row r="17646" spans="26:26" x14ac:dyDescent="0.25">
      <c r="Z17646">
        <v>400000</v>
      </c>
    </row>
    <row r="17647" spans="26:26" x14ac:dyDescent="0.25">
      <c r="Z17647">
        <v>400000</v>
      </c>
    </row>
    <row r="17648" spans="26:26" x14ac:dyDescent="0.25">
      <c r="Z17648">
        <v>400000</v>
      </c>
    </row>
    <row r="17649" spans="26:26" x14ac:dyDescent="0.25">
      <c r="Z17649">
        <v>400000</v>
      </c>
    </row>
    <row r="17650" spans="26:26" x14ac:dyDescent="0.25">
      <c r="Z17650">
        <v>400000</v>
      </c>
    </row>
    <row r="17651" spans="26:26" x14ac:dyDescent="0.25">
      <c r="Z17651">
        <v>400000</v>
      </c>
    </row>
    <row r="17652" spans="26:26" x14ac:dyDescent="0.25">
      <c r="Z17652">
        <v>400000</v>
      </c>
    </row>
    <row r="17653" spans="26:26" x14ac:dyDescent="0.25">
      <c r="Z17653">
        <v>400000</v>
      </c>
    </row>
    <row r="17654" spans="26:26" x14ac:dyDescent="0.25">
      <c r="Z17654">
        <v>400000</v>
      </c>
    </row>
    <row r="17655" spans="26:26" x14ac:dyDescent="0.25">
      <c r="Z17655">
        <v>400000</v>
      </c>
    </row>
    <row r="17656" spans="26:26" x14ac:dyDescent="0.25">
      <c r="Z17656">
        <v>400000</v>
      </c>
    </row>
    <row r="17657" spans="26:26" x14ac:dyDescent="0.25">
      <c r="Z17657">
        <v>400000</v>
      </c>
    </row>
    <row r="17658" spans="26:26" x14ac:dyDescent="0.25">
      <c r="Z17658">
        <v>400000</v>
      </c>
    </row>
    <row r="17659" spans="26:26" x14ac:dyDescent="0.25">
      <c r="Z17659">
        <v>400000</v>
      </c>
    </row>
    <row r="17660" spans="26:26" x14ac:dyDescent="0.25">
      <c r="Z17660">
        <v>400000</v>
      </c>
    </row>
    <row r="17661" spans="26:26" x14ac:dyDescent="0.25">
      <c r="Z17661">
        <v>400000</v>
      </c>
    </row>
    <row r="17662" spans="26:26" x14ac:dyDescent="0.25">
      <c r="Z17662">
        <v>400000</v>
      </c>
    </row>
    <row r="17663" spans="26:26" x14ac:dyDescent="0.25">
      <c r="Z17663">
        <v>400000</v>
      </c>
    </row>
    <row r="17664" spans="26:26" x14ac:dyDescent="0.25">
      <c r="Z17664">
        <v>400000</v>
      </c>
    </row>
    <row r="17665" spans="26:26" x14ac:dyDescent="0.25">
      <c r="Z17665">
        <v>400000</v>
      </c>
    </row>
    <row r="17666" spans="26:26" x14ac:dyDescent="0.25">
      <c r="Z17666">
        <v>400000</v>
      </c>
    </row>
    <row r="17667" spans="26:26" x14ac:dyDescent="0.25">
      <c r="Z17667">
        <v>400000</v>
      </c>
    </row>
    <row r="17668" spans="26:26" x14ac:dyDescent="0.25">
      <c r="Z17668">
        <v>400000</v>
      </c>
    </row>
    <row r="17669" spans="26:26" x14ac:dyDescent="0.25">
      <c r="Z17669">
        <v>400000</v>
      </c>
    </row>
    <row r="17670" spans="26:26" x14ac:dyDescent="0.25">
      <c r="Z17670">
        <v>400000</v>
      </c>
    </row>
    <row r="17671" spans="26:26" x14ac:dyDescent="0.25">
      <c r="Z17671">
        <v>400000</v>
      </c>
    </row>
    <row r="17672" spans="26:26" x14ac:dyDescent="0.25">
      <c r="Z17672">
        <v>400000</v>
      </c>
    </row>
    <row r="17673" spans="26:26" x14ac:dyDescent="0.25">
      <c r="Z17673">
        <v>400000</v>
      </c>
    </row>
    <row r="17674" spans="26:26" x14ac:dyDescent="0.25">
      <c r="Z17674">
        <v>400000</v>
      </c>
    </row>
    <row r="17675" spans="26:26" x14ac:dyDescent="0.25">
      <c r="Z17675">
        <v>400000</v>
      </c>
    </row>
    <row r="17676" spans="26:26" x14ac:dyDescent="0.25">
      <c r="Z17676">
        <v>400000</v>
      </c>
    </row>
    <row r="17677" spans="26:26" x14ac:dyDescent="0.25">
      <c r="Z17677">
        <v>400000</v>
      </c>
    </row>
    <row r="17678" spans="26:26" x14ac:dyDescent="0.25">
      <c r="Z17678">
        <v>400000</v>
      </c>
    </row>
    <row r="17679" spans="26:26" x14ac:dyDescent="0.25">
      <c r="Z17679">
        <v>400000</v>
      </c>
    </row>
    <row r="17680" spans="26:26" x14ac:dyDescent="0.25">
      <c r="Z17680">
        <v>400000</v>
      </c>
    </row>
    <row r="17681" spans="26:26" x14ac:dyDescent="0.25">
      <c r="Z17681">
        <v>400000</v>
      </c>
    </row>
    <row r="17682" spans="26:26" x14ac:dyDescent="0.25">
      <c r="Z17682">
        <v>400000</v>
      </c>
    </row>
    <row r="17683" spans="26:26" x14ac:dyDescent="0.25">
      <c r="Z17683">
        <v>400000</v>
      </c>
    </row>
    <row r="17684" spans="26:26" x14ac:dyDescent="0.25">
      <c r="Z17684">
        <v>400000</v>
      </c>
    </row>
    <row r="17685" spans="26:26" x14ac:dyDescent="0.25">
      <c r="Z17685">
        <v>400000</v>
      </c>
    </row>
    <row r="17686" spans="26:26" x14ac:dyDescent="0.25">
      <c r="Z17686">
        <v>400000</v>
      </c>
    </row>
    <row r="17687" spans="26:26" x14ac:dyDescent="0.25">
      <c r="Z17687">
        <v>400000</v>
      </c>
    </row>
    <row r="17688" spans="26:26" x14ac:dyDescent="0.25">
      <c r="Z17688">
        <v>400000</v>
      </c>
    </row>
    <row r="17689" spans="26:26" x14ac:dyDescent="0.25">
      <c r="Z17689">
        <v>400000</v>
      </c>
    </row>
    <row r="17690" spans="26:26" x14ac:dyDescent="0.25">
      <c r="Z17690">
        <v>400000</v>
      </c>
    </row>
    <row r="17691" spans="26:26" x14ac:dyDescent="0.25">
      <c r="Z17691">
        <v>400000</v>
      </c>
    </row>
    <row r="17692" spans="26:26" x14ac:dyDescent="0.25">
      <c r="Z17692">
        <v>400000</v>
      </c>
    </row>
    <row r="17693" spans="26:26" x14ac:dyDescent="0.25">
      <c r="Z17693">
        <v>400000</v>
      </c>
    </row>
    <row r="17694" spans="26:26" x14ac:dyDescent="0.25">
      <c r="Z17694">
        <v>400000</v>
      </c>
    </row>
    <row r="17695" spans="26:26" x14ac:dyDescent="0.25">
      <c r="Z17695">
        <v>400000</v>
      </c>
    </row>
    <row r="17696" spans="26:26" x14ac:dyDescent="0.25">
      <c r="Z17696">
        <v>400000</v>
      </c>
    </row>
    <row r="17697" spans="26:26" x14ac:dyDescent="0.25">
      <c r="Z17697">
        <v>400000</v>
      </c>
    </row>
    <row r="17698" spans="26:26" x14ac:dyDescent="0.25">
      <c r="Z17698">
        <v>400000</v>
      </c>
    </row>
    <row r="17699" spans="26:26" x14ac:dyDescent="0.25">
      <c r="Z17699">
        <v>400000</v>
      </c>
    </row>
    <row r="17700" spans="26:26" x14ac:dyDescent="0.25">
      <c r="Z17700">
        <v>400000</v>
      </c>
    </row>
    <row r="17701" spans="26:26" x14ac:dyDescent="0.25">
      <c r="Z17701">
        <v>400000</v>
      </c>
    </row>
    <row r="17702" spans="26:26" x14ac:dyDescent="0.25">
      <c r="Z17702">
        <v>400000</v>
      </c>
    </row>
    <row r="17703" spans="26:26" x14ac:dyDescent="0.25">
      <c r="Z17703">
        <v>400000</v>
      </c>
    </row>
    <row r="17704" spans="26:26" x14ac:dyDescent="0.25">
      <c r="Z17704">
        <v>400000</v>
      </c>
    </row>
    <row r="17705" spans="26:26" x14ac:dyDescent="0.25">
      <c r="Z17705">
        <v>400000</v>
      </c>
    </row>
    <row r="17706" spans="26:26" x14ac:dyDescent="0.25">
      <c r="Z17706">
        <v>400000</v>
      </c>
    </row>
    <row r="17707" spans="26:26" x14ac:dyDescent="0.25">
      <c r="Z17707">
        <v>400000</v>
      </c>
    </row>
    <row r="17708" spans="26:26" x14ac:dyDescent="0.25">
      <c r="Z17708">
        <v>400000</v>
      </c>
    </row>
    <row r="17709" spans="26:26" x14ac:dyDescent="0.25">
      <c r="Z17709">
        <v>400000</v>
      </c>
    </row>
    <row r="17710" spans="26:26" x14ac:dyDescent="0.25">
      <c r="Z17710">
        <v>400000</v>
      </c>
    </row>
    <row r="17711" spans="26:26" x14ac:dyDescent="0.25">
      <c r="Z17711">
        <v>400000</v>
      </c>
    </row>
    <row r="17712" spans="26:26" x14ac:dyDescent="0.25">
      <c r="Z17712">
        <v>400000</v>
      </c>
    </row>
    <row r="17713" spans="26:26" x14ac:dyDescent="0.25">
      <c r="Z17713">
        <v>400000</v>
      </c>
    </row>
    <row r="17714" spans="26:26" x14ac:dyDescent="0.25">
      <c r="Z17714">
        <v>400000</v>
      </c>
    </row>
    <row r="17715" spans="26:26" x14ac:dyDescent="0.25">
      <c r="Z17715">
        <v>400000</v>
      </c>
    </row>
    <row r="17716" spans="26:26" x14ac:dyDescent="0.25">
      <c r="Z17716">
        <v>400000</v>
      </c>
    </row>
    <row r="17717" spans="26:26" x14ac:dyDescent="0.25">
      <c r="Z17717">
        <v>400000</v>
      </c>
    </row>
    <row r="17718" spans="26:26" x14ac:dyDescent="0.25">
      <c r="Z17718">
        <v>400000</v>
      </c>
    </row>
    <row r="17719" spans="26:26" x14ac:dyDescent="0.25">
      <c r="Z17719">
        <v>400000</v>
      </c>
    </row>
    <row r="17720" spans="26:26" x14ac:dyDescent="0.25">
      <c r="Z17720">
        <v>400000</v>
      </c>
    </row>
    <row r="17721" spans="26:26" x14ac:dyDescent="0.25">
      <c r="Z17721">
        <v>400000</v>
      </c>
    </row>
    <row r="17722" spans="26:26" x14ac:dyDescent="0.25">
      <c r="Z17722">
        <v>400000</v>
      </c>
    </row>
    <row r="17723" spans="26:26" x14ac:dyDescent="0.25">
      <c r="Z17723">
        <v>400000</v>
      </c>
    </row>
    <row r="17724" spans="26:26" x14ac:dyDescent="0.25">
      <c r="Z17724">
        <v>400000</v>
      </c>
    </row>
    <row r="17725" spans="26:26" x14ac:dyDescent="0.25">
      <c r="Z17725">
        <v>400000</v>
      </c>
    </row>
    <row r="17726" spans="26:26" x14ac:dyDescent="0.25">
      <c r="Z17726">
        <v>400000</v>
      </c>
    </row>
    <row r="17727" spans="26:26" x14ac:dyDescent="0.25">
      <c r="Z17727">
        <v>400000</v>
      </c>
    </row>
    <row r="17728" spans="26:26" x14ac:dyDescent="0.25">
      <c r="Z17728">
        <v>400000</v>
      </c>
    </row>
    <row r="17729" spans="26:26" x14ac:dyDescent="0.25">
      <c r="Z17729">
        <v>400000</v>
      </c>
    </row>
    <row r="17730" spans="26:26" x14ac:dyDescent="0.25">
      <c r="Z17730">
        <v>400000</v>
      </c>
    </row>
    <row r="17731" spans="26:26" x14ac:dyDescent="0.25">
      <c r="Z17731">
        <v>400000</v>
      </c>
    </row>
    <row r="17732" spans="26:26" x14ac:dyDescent="0.25">
      <c r="Z17732">
        <v>400000</v>
      </c>
    </row>
    <row r="17733" spans="26:26" x14ac:dyDescent="0.25">
      <c r="Z17733">
        <v>400000</v>
      </c>
    </row>
    <row r="17734" spans="26:26" x14ac:dyDescent="0.25">
      <c r="Z17734">
        <v>400000</v>
      </c>
    </row>
    <row r="17735" spans="26:26" x14ac:dyDescent="0.25">
      <c r="Z17735">
        <v>400000</v>
      </c>
    </row>
    <row r="17736" spans="26:26" x14ac:dyDescent="0.25">
      <c r="Z17736">
        <v>400000</v>
      </c>
    </row>
    <row r="17737" spans="26:26" x14ac:dyDescent="0.25">
      <c r="Z17737">
        <v>400000</v>
      </c>
    </row>
    <row r="17738" spans="26:26" x14ac:dyDescent="0.25">
      <c r="Z17738">
        <v>400000</v>
      </c>
    </row>
    <row r="17739" spans="26:26" x14ac:dyDescent="0.25">
      <c r="Z17739">
        <v>400000</v>
      </c>
    </row>
    <row r="17740" spans="26:26" x14ac:dyDescent="0.25">
      <c r="Z17740">
        <v>400000</v>
      </c>
    </row>
    <row r="17741" spans="26:26" x14ac:dyDescent="0.25">
      <c r="Z17741">
        <v>400000</v>
      </c>
    </row>
    <row r="17742" spans="26:26" x14ac:dyDescent="0.25">
      <c r="Z17742">
        <v>400000</v>
      </c>
    </row>
    <row r="17743" spans="26:26" x14ac:dyDescent="0.25">
      <c r="Z17743">
        <v>400000</v>
      </c>
    </row>
    <row r="17744" spans="26:26" x14ac:dyDescent="0.25">
      <c r="Z17744">
        <v>400000</v>
      </c>
    </row>
    <row r="17745" spans="26:26" x14ac:dyDescent="0.25">
      <c r="Z17745">
        <v>400000</v>
      </c>
    </row>
    <row r="17746" spans="26:26" x14ac:dyDescent="0.25">
      <c r="Z17746">
        <v>400000</v>
      </c>
    </row>
    <row r="17747" spans="26:26" x14ac:dyDescent="0.25">
      <c r="Z17747">
        <v>400000</v>
      </c>
    </row>
    <row r="17748" spans="26:26" x14ac:dyDescent="0.25">
      <c r="Z17748">
        <v>400000</v>
      </c>
    </row>
    <row r="17749" spans="26:26" x14ac:dyDescent="0.25">
      <c r="Z17749">
        <v>400000</v>
      </c>
    </row>
    <row r="17750" spans="26:26" x14ac:dyDescent="0.25">
      <c r="Z17750">
        <v>400000</v>
      </c>
    </row>
    <row r="17751" spans="26:26" x14ac:dyDescent="0.25">
      <c r="Z17751">
        <v>400000</v>
      </c>
    </row>
    <row r="17752" spans="26:26" x14ac:dyDescent="0.25">
      <c r="Z17752">
        <v>400000</v>
      </c>
    </row>
    <row r="17753" spans="26:26" x14ac:dyDescent="0.25">
      <c r="Z17753">
        <v>400000</v>
      </c>
    </row>
    <row r="17754" spans="26:26" x14ac:dyDescent="0.25">
      <c r="Z17754">
        <v>400000</v>
      </c>
    </row>
    <row r="17755" spans="26:26" x14ac:dyDescent="0.25">
      <c r="Z17755">
        <v>400000</v>
      </c>
    </row>
    <row r="17756" spans="26:26" x14ac:dyDescent="0.25">
      <c r="Z17756">
        <v>400000</v>
      </c>
    </row>
    <row r="17757" spans="26:26" x14ac:dyDescent="0.25">
      <c r="Z17757">
        <v>400000</v>
      </c>
    </row>
    <row r="17758" spans="26:26" x14ac:dyDescent="0.25">
      <c r="Z17758">
        <v>400000</v>
      </c>
    </row>
    <row r="17759" spans="26:26" x14ac:dyDescent="0.25">
      <c r="Z17759">
        <v>400000</v>
      </c>
    </row>
    <row r="17760" spans="26:26" x14ac:dyDescent="0.25">
      <c r="Z17760">
        <v>400000</v>
      </c>
    </row>
    <row r="17761" spans="26:26" x14ac:dyDescent="0.25">
      <c r="Z17761">
        <v>400000</v>
      </c>
    </row>
    <row r="17762" spans="26:26" x14ac:dyDescent="0.25">
      <c r="Z17762">
        <v>400000</v>
      </c>
    </row>
    <row r="17763" spans="26:26" x14ac:dyDescent="0.25">
      <c r="Z17763">
        <v>400000</v>
      </c>
    </row>
    <row r="17764" spans="26:26" x14ac:dyDescent="0.25">
      <c r="Z17764">
        <v>400000</v>
      </c>
    </row>
    <row r="17765" spans="26:26" x14ac:dyDescent="0.25">
      <c r="Z17765">
        <v>400000</v>
      </c>
    </row>
    <row r="17766" spans="26:26" x14ac:dyDescent="0.25">
      <c r="Z17766">
        <v>400000</v>
      </c>
    </row>
    <row r="17767" spans="26:26" x14ac:dyDescent="0.25">
      <c r="Z17767">
        <v>400000</v>
      </c>
    </row>
    <row r="17768" spans="26:26" x14ac:dyDescent="0.25">
      <c r="Z17768">
        <v>400000</v>
      </c>
    </row>
    <row r="17769" spans="26:26" x14ac:dyDescent="0.25">
      <c r="Z17769">
        <v>400000</v>
      </c>
    </row>
    <row r="17770" spans="26:26" x14ac:dyDescent="0.25">
      <c r="Z17770">
        <v>400000</v>
      </c>
    </row>
    <row r="17771" spans="26:26" x14ac:dyDescent="0.25">
      <c r="Z17771">
        <v>400000</v>
      </c>
    </row>
    <row r="17772" spans="26:26" x14ac:dyDescent="0.25">
      <c r="Z17772">
        <v>400000</v>
      </c>
    </row>
    <row r="17773" spans="26:26" x14ac:dyDescent="0.25">
      <c r="Z17773">
        <v>400000</v>
      </c>
    </row>
    <row r="17774" spans="26:26" x14ac:dyDescent="0.25">
      <c r="Z17774">
        <v>400000</v>
      </c>
    </row>
    <row r="17775" spans="26:26" x14ac:dyDescent="0.25">
      <c r="Z17775">
        <v>400000</v>
      </c>
    </row>
    <row r="17776" spans="26:26" x14ac:dyDescent="0.25">
      <c r="Z17776">
        <v>400000</v>
      </c>
    </row>
    <row r="17777" spans="26:26" x14ac:dyDescent="0.25">
      <c r="Z17777">
        <v>400000</v>
      </c>
    </row>
    <row r="17778" spans="26:26" x14ac:dyDescent="0.25">
      <c r="Z17778">
        <v>400000</v>
      </c>
    </row>
    <row r="17779" spans="26:26" x14ac:dyDescent="0.25">
      <c r="Z17779">
        <v>400000</v>
      </c>
    </row>
    <row r="17780" spans="26:26" x14ac:dyDescent="0.25">
      <c r="Z17780">
        <v>400000</v>
      </c>
    </row>
    <row r="17781" spans="26:26" x14ac:dyDescent="0.25">
      <c r="Z17781">
        <v>400000</v>
      </c>
    </row>
    <row r="17782" spans="26:26" x14ac:dyDescent="0.25">
      <c r="Z17782">
        <v>400000</v>
      </c>
    </row>
    <row r="17783" spans="26:26" x14ac:dyDescent="0.25">
      <c r="Z17783">
        <v>400000</v>
      </c>
    </row>
    <row r="17784" spans="26:26" x14ac:dyDescent="0.25">
      <c r="Z17784">
        <v>400000</v>
      </c>
    </row>
    <row r="17785" spans="26:26" x14ac:dyDescent="0.25">
      <c r="Z17785">
        <v>400000</v>
      </c>
    </row>
    <row r="17786" spans="26:26" x14ac:dyDescent="0.25">
      <c r="Z17786">
        <v>400000</v>
      </c>
    </row>
    <row r="17787" spans="26:26" x14ac:dyDescent="0.25">
      <c r="Z17787">
        <v>400000</v>
      </c>
    </row>
    <row r="17788" spans="26:26" x14ac:dyDescent="0.25">
      <c r="Z17788">
        <v>400000</v>
      </c>
    </row>
    <row r="17789" spans="26:26" x14ac:dyDescent="0.25">
      <c r="Z17789">
        <v>400000</v>
      </c>
    </row>
    <row r="17790" spans="26:26" x14ac:dyDescent="0.25">
      <c r="Z17790">
        <v>400000</v>
      </c>
    </row>
    <row r="17791" spans="26:26" x14ac:dyDescent="0.25">
      <c r="Z17791">
        <v>400000</v>
      </c>
    </row>
    <row r="17792" spans="26:26" x14ac:dyDescent="0.25">
      <c r="Z17792">
        <v>400000</v>
      </c>
    </row>
    <row r="17793" spans="26:26" x14ac:dyDescent="0.25">
      <c r="Z17793">
        <v>400000</v>
      </c>
    </row>
    <row r="17794" spans="26:26" x14ac:dyDescent="0.25">
      <c r="Z17794">
        <v>400000</v>
      </c>
    </row>
    <row r="17795" spans="26:26" x14ac:dyDescent="0.25">
      <c r="Z17795">
        <v>400000</v>
      </c>
    </row>
    <row r="17796" spans="26:26" x14ac:dyDescent="0.25">
      <c r="Z17796">
        <v>400000</v>
      </c>
    </row>
    <row r="17797" spans="26:26" x14ac:dyDescent="0.25">
      <c r="Z17797">
        <v>400000</v>
      </c>
    </row>
    <row r="17798" spans="26:26" x14ac:dyDescent="0.25">
      <c r="Z17798">
        <v>400000</v>
      </c>
    </row>
    <row r="17799" spans="26:26" x14ac:dyDescent="0.25">
      <c r="Z17799">
        <v>400000</v>
      </c>
    </row>
    <row r="17800" spans="26:26" x14ac:dyDescent="0.25">
      <c r="Z17800">
        <v>400000</v>
      </c>
    </row>
    <row r="17801" spans="26:26" x14ac:dyDescent="0.25">
      <c r="Z17801">
        <v>400000</v>
      </c>
    </row>
    <row r="17802" spans="26:26" x14ac:dyDescent="0.25">
      <c r="Z17802">
        <v>400000</v>
      </c>
    </row>
    <row r="17803" spans="26:26" x14ac:dyDescent="0.25">
      <c r="Z17803">
        <v>400000</v>
      </c>
    </row>
    <row r="17804" spans="26:26" x14ac:dyDescent="0.25">
      <c r="Z17804">
        <v>400000</v>
      </c>
    </row>
    <row r="17805" spans="26:26" x14ac:dyDescent="0.25">
      <c r="Z17805">
        <v>400000</v>
      </c>
    </row>
    <row r="17806" spans="26:26" x14ac:dyDescent="0.25">
      <c r="Z17806">
        <v>400000</v>
      </c>
    </row>
    <row r="17807" spans="26:26" x14ac:dyDescent="0.25">
      <c r="Z17807">
        <v>400000</v>
      </c>
    </row>
    <row r="17808" spans="26:26" x14ac:dyDescent="0.25">
      <c r="Z17808">
        <v>400000</v>
      </c>
    </row>
    <row r="17809" spans="26:26" x14ac:dyDescent="0.25">
      <c r="Z17809">
        <v>400000</v>
      </c>
    </row>
    <row r="17810" spans="26:26" x14ac:dyDescent="0.25">
      <c r="Z17810">
        <v>400000</v>
      </c>
    </row>
    <row r="17811" spans="26:26" x14ac:dyDescent="0.25">
      <c r="Z17811">
        <v>400000</v>
      </c>
    </row>
    <row r="17812" spans="26:26" x14ac:dyDescent="0.25">
      <c r="Z17812">
        <v>400000</v>
      </c>
    </row>
    <row r="17813" spans="26:26" x14ac:dyDescent="0.25">
      <c r="Z17813">
        <v>400000</v>
      </c>
    </row>
    <row r="17814" spans="26:26" x14ac:dyDescent="0.25">
      <c r="Z17814">
        <v>400000</v>
      </c>
    </row>
    <row r="17815" spans="26:26" x14ac:dyDescent="0.25">
      <c r="Z17815">
        <v>400000</v>
      </c>
    </row>
    <row r="17816" spans="26:26" x14ac:dyDescent="0.25">
      <c r="Z17816">
        <v>400000</v>
      </c>
    </row>
    <row r="17817" spans="26:26" x14ac:dyDescent="0.25">
      <c r="Z17817">
        <v>400000</v>
      </c>
    </row>
    <row r="17818" spans="26:26" x14ac:dyDescent="0.25">
      <c r="Z17818">
        <v>400000</v>
      </c>
    </row>
    <row r="17819" spans="26:26" x14ac:dyDescent="0.25">
      <c r="Z17819">
        <v>400000</v>
      </c>
    </row>
    <row r="17820" spans="26:26" x14ac:dyDescent="0.25">
      <c r="Z17820">
        <v>400000</v>
      </c>
    </row>
    <row r="17821" spans="26:26" x14ac:dyDescent="0.25">
      <c r="Z17821">
        <v>400000</v>
      </c>
    </row>
    <row r="17822" spans="26:26" x14ac:dyDescent="0.25">
      <c r="Z17822">
        <v>400000</v>
      </c>
    </row>
    <row r="17823" spans="26:26" x14ac:dyDescent="0.25">
      <c r="Z17823">
        <v>400000</v>
      </c>
    </row>
    <row r="17824" spans="26:26" x14ac:dyDescent="0.25">
      <c r="Z17824">
        <v>400000</v>
      </c>
    </row>
    <row r="17825" spans="26:26" x14ac:dyDescent="0.25">
      <c r="Z17825">
        <v>400000</v>
      </c>
    </row>
    <row r="17826" spans="26:26" x14ac:dyDescent="0.25">
      <c r="Z17826">
        <v>400000</v>
      </c>
    </row>
    <row r="17827" spans="26:26" x14ac:dyDescent="0.25">
      <c r="Z17827">
        <v>400000</v>
      </c>
    </row>
    <row r="17828" spans="26:26" x14ac:dyDescent="0.25">
      <c r="Z17828">
        <v>400000</v>
      </c>
    </row>
    <row r="17829" spans="26:26" x14ac:dyDescent="0.25">
      <c r="Z17829">
        <v>400000</v>
      </c>
    </row>
    <row r="17830" spans="26:26" x14ac:dyDescent="0.25">
      <c r="Z17830">
        <v>400000</v>
      </c>
    </row>
    <row r="17831" spans="26:26" x14ac:dyDescent="0.25">
      <c r="Z17831">
        <v>400000</v>
      </c>
    </row>
    <row r="17832" spans="26:26" x14ac:dyDescent="0.25">
      <c r="Z17832">
        <v>400000</v>
      </c>
    </row>
    <row r="17833" spans="26:26" x14ac:dyDescent="0.25">
      <c r="Z17833">
        <v>400000</v>
      </c>
    </row>
    <row r="17834" spans="26:26" x14ac:dyDescent="0.25">
      <c r="Z17834">
        <v>400000</v>
      </c>
    </row>
    <row r="17835" spans="26:26" x14ac:dyDescent="0.25">
      <c r="Z17835">
        <v>400000</v>
      </c>
    </row>
    <row r="17836" spans="26:26" x14ac:dyDescent="0.25">
      <c r="Z17836">
        <v>400000</v>
      </c>
    </row>
    <row r="17837" spans="26:26" x14ac:dyDescent="0.25">
      <c r="Z17837">
        <v>400000</v>
      </c>
    </row>
    <row r="17838" spans="26:26" x14ac:dyDescent="0.25">
      <c r="Z17838">
        <v>400000</v>
      </c>
    </row>
    <row r="17839" spans="26:26" x14ac:dyDescent="0.25">
      <c r="Z17839">
        <v>400000</v>
      </c>
    </row>
    <row r="17840" spans="26:26" x14ac:dyDescent="0.25">
      <c r="Z17840">
        <v>400000</v>
      </c>
    </row>
    <row r="17841" spans="26:26" x14ac:dyDescent="0.25">
      <c r="Z17841">
        <v>400000</v>
      </c>
    </row>
    <row r="17842" spans="26:26" x14ac:dyDescent="0.25">
      <c r="Z17842">
        <v>400000</v>
      </c>
    </row>
    <row r="17843" spans="26:26" x14ac:dyDescent="0.25">
      <c r="Z17843">
        <v>400000</v>
      </c>
    </row>
    <row r="17844" spans="26:26" x14ac:dyDescent="0.25">
      <c r="Z17844">
        <v>400000</v>
      </c>
    </row>
    <row r="17845" spans="26:26" x14ac:dyDescent="0.25">
      <c r="Z17845">
        <v>400000</v>
      </c>
    </row>
    <row r="17846" spans="26:26" x14ac:dyDescent="0.25">
      <c r="Z17846">
        <v>400000</v>
      </c>
    </row>
    <row r="17847" spans="26:26" x14ac:dyDescent="0.25">
      <c r="Z17847">
        <v>400000</v>
      </c>
    </row>
    <row r="17848" spans="26:26" x14ac:dyDescent="0.25">
      <c r="Z17848">
        <v>400000</v>
      </c>
    </row>
    <row r="17849" spans="26:26" x14ac:dyDescent="0.25">
      <c r="Z17849">
        <v>400000</v>
      </c>
    </row>
    <row r="17850" spans="26:26" x14ac:dyDescent="0.25">
      <c r="Z17850">
        <v>400000</v>
      </c>
    </row>
    <row r="17851" spans="26:26" x14ac:dyDescent="0.25">
      <c r="Z17851">
        <v>400000</v>
      </c>
    </row>
    <row r="17852" spans="26:26" x14ac:dyDescent="0.25">
      <c r="Z17852">
        <v>400000</v>
      </c>
    </row>
    <row r="17853" spans="26:26" x14ac:dyDescent="0.25">
      <c r="Z17853">
        <v>400000</v>
      </c>
    </row>
    <row r="17854" spans="26:26" x14ac:dyDescent="0.25">
      <c r="Z17854">
        <v>400000</v>
      </c>
    </row>
    <row r="17855" spans="26:26" x14ac:dyDescent="0.25">
      <c r="Z17855">
        <v>400000</v>
      </c>
    </row>
    <row r="17856" spans="26:26" x14ac:dyDescent="0.25">
      <c r="Z17856">
        <v>400000</v>
      </c>
    </row>
    <row r="17857" spans="26:26" x14ac:dyDescent="0.25">
      <c r="Z17857">
        <v>400000</v>
      </c>
    </row>
    <row r="17858" spans="26:26" x14ac:dyDescent="0.25">
      <c r="Z17858">
        <v>400000</v>
      </c>
    </row>
    <row r="17859" spans="26:26" x14ac:dyDescent="0.25">
      <c r="Z17859">
        <v>400000</v>
      </c>
    </row>
    <row r="17860" spans="26:26" x14ac:dyDescent="0.25">
      <c r="Z17860">
        <v>400000</v>
      </c>
    </row>
    <row r="17861" spans="26:26" x14ac:dyDescent="0.25">
      <c r="Z17861">
        <v>400000</v>
      </c>
    </row>
    <row r="17862" spans="26:26" x14ac:dyDescent="0.25">
      <c r="Z17862">
        <v>400000</v>
      </c>
    </row>
    <row r="17863" spans="26:26" x14ac:dyDescent="0.25">
      <c r="Z17863">
        <v>400000</v>
      </c>
    </row>
    <row r="17864" spans="26:26" x14ac:dyDescent="0.25">
      <c r="Z17864">
        <v>400000</v>
      </c>
    </row>
    <row r="17865" spans="26:26" x14ac:dyDescent="0.25">
      <c r="Z17865">
        <v>400000</v>
      </c>
    </row>
    <row r="17866" spans="26:26" x14ac:dyDescent="0.25">
      <c r="Z17866">
        <v>400000</v>
      </c>
    </row>
    <row r="17867" spans="26:26" x14ac:dyDescent="0.25">
      <c r="Z17867">
        <v>400000</v>
      </c>
    </row>
    <row r="17868" spans="26:26" x14ac:dyDescent="0.25">
      <c r="Z17868">
        <v>400000</v>
      </c>
    </row>
    <row r="17869" spans="26:26" x14ac:dyDescent="0.25">
      <c r="Z17869">
        <v>400000</v>
      </c>
    </row>
    <row r="17870" spans="26:26" x14ac:dyDescent="0.25">
      <c r="Z17870">
        <v>400000</v>
      </c>
    </row>
    <row r="17871" spans="26:26" x14ac:dyDescent="0.25">
      <c r="Z17871">
        <v>400000</v>
      </c>
    </row>
    <row r="17872" spans="26:26" x14ac:dyDescent="0.25">
      <c r="Z17872">
        <v>400000</v>
      </c>
    </row>
    <row r="17873" spans="26:26" x14ac:dyDescent="0.25">
      <c r="Z17873">
        <v>400000</v>
      </c>
    </row>
    <row r="17874" spans="26:26" x14ac:dyDescent="0.25">
      <c r="Z17874">
        <v>400000</v>
      </c>
    </row>
    <row r="17875" spans="26:26" x14ac:dyDescent="0.25">
      <c r="Z17875">
        <v>400000</v>
      </c>
    </row>
    <row r="17876" spans="26:26" x14ac:dyDescent="0.25">
      <c r="Z17876">
        <v>400000</v>
      </c>
    </row>
    <row r="17877" spans="26:26" x14ac:dyDescent="0.25">
      <c r="Z17877">
        <v>400000</v>
      </c>
    </row>
    <row r="17878" spans="26:26" x14ac:dyDescent="0.25">
      <c r="Z17878">
        <v>400000</v>
      </c>
    </row>
    <row r="17879" spans="26:26" x14ac:dyDescent="0.25">
      <c r="Z17879">
        <v>400000</v>
      </c>
    </row>
    <row r="17880" spans="26:26" x14ac:dyDescent="0.25">
      <c r="Z17880">
        <v>400000</v>
      </c>
    </row>
    <row r="17881" spans="26:26" x14ac:dyDescent="0.25">
      <c r="Z17881">
        <v>400000</v>
      </c>
    </row>
    <row r="17882" spans="26:26" x14ac:dyDescent="0.25">
      <c r="Z17882">
        <v>400000</v>
      </c>
    </row>
    <row r="17883" spans="26:26" x14ac:dyDescent="0.25">
      <c r="Z17883">
        <v>400000</v>
      </c>
    </row>
    <row r="17884" spans="26:26" x14ac:dyDescent="0.25">
      <c r="Z17884">
        <v>400000</v>
      </c>
    </row>
    <row r="17885" spans="26:26" x14ac:dyDescent="0.25">
      <c r="Z17885">
        <v>400000</v>
      </c>
    </row>
    <row r="17886" spans="26:26" x14ac:dyDescent="0.25">
      <c r="Z17886">
        <v>400000</v>
      </c>
    </row>
    <row r="17887" spans="26:26" x14ac:dyDescent="0.25">
      <c r="Z17887">
        <v>400000</v>
      </c>
    </row>
    <row r="17888" spans="26:26" x14ac:dyDescent="0.25">
      <c r="Z17888">
        <v>400000</v>
      </c>
    </row>
    <row r="17889" spans="26:26" x14ac:dyDescent="0.25">
      <c r="Z17889">
        <v>400000</v>
      </c>
    </row>
    <row r="17890" spans="26:26" x14ac:dyDescent="0.25">
      <c r="Z17890">
        <v>400000</v>
      </c>
    </row>
    <row r="17891" spans="26:26" x14ac:dyDescent="0.25">
      <c r="Z17891">
        <v>400000</v>
      </c>
    </row>
    <row r="17892" spans="26:26" x14ac:dyDescent="0.25">
      <c r="Z17892">
        <v>400000</v>
      </c>
    </row>
    <row r="17893" spans="26:26" x14ac:dyDescent="0.25">
      <c r="Z17893">
        <v>400000</v>
      </c>
    </row>
    <row r="17894" spans="26:26" x14ac:dyDescent="0.25">
      <c r="Z17894">
        <v>400000</v>
      </c>
    </row>
    <row r="17895" spans="26:26" x14ac:dyDescent="0.25">
      <c r="Z17895">
        <v>400000</v>
      </c>
    </row>
    <row r="17896" spans="26:26" x14ac:dyDescent="0.25">
      <c r="Z17896">
        <v>400000</v>
      </c>
    </row>
    <row r="17897" spans="26:26" x14ac:dyDescent="0.25">
      <c r="Z17897">
        <v>400000</v>
      </c>
    </row>
    <row r="17898" spans="26:26" x14ac:dyDescent="0.25">
      <c r="Z17898">
        <v>400000</v>
      </c>
    </row>
    <row r="17899" spans="26:26" x14ac:dyDescent="0.25">
      <c r="Z17899">
        <v>400000</v>
      </c>
    </row>
    <row r="17900" spans="26:26" x14ac:dyDescent="0.25">
      <c r="Z17900">
        <v>400000</v>
      </c>
    </row>
    <row r="17901" spans="26:26" x14ac:dyDescent="0.25">
      <c r="Z17901">
        <v>400000</v>
      </c>
    </row>
    <row r="17902" spans="26:26" x14ac:dyDescent="0.25">
      <c r="Z17902">
        <v>400000</v>
      </c>
    </row>
    <row r="17903" spans="26:26" x14ac:dyDescent="0.25">
      <c r="Z17903">
        <v>400000</v>
      </c>
    </row>
    <row r="17904" spans="26:26" x14ac:dyDescent="0.25">
      <c r="Z17904">
        <v>400000</v>
      </c>
    </row>
    <row r="17905" spans="26:26" x14ac:dyDescent="0.25">
      <c r="Z17905">
        <v>400000</v>
      </c>
    </row>
    <row r="17906" spans="26:26" x14ac:dyDescent="0.25">
      <c r="Z17906">
        <v>400000</v>
      </c>
    </row>
    <row r="17907" spans="26:26" x14ac:dyDescent="0.25">
      <c r="Z17907">
        <v>400000</v>
      </c>
    </row>
    <row r="17908" spans="26:26" x14ac:dyDescent="0.25">
      <c r="Z17908">
        <v>400000</v>
      </c>
    </row>
    <row r="17909" spans="26:26" x14ac:dyDescent="0.25">
      <c r="Z17909">
        <v>400000</v>
      </c>
    </row>
    <row r="17910" spans="26:26" x14ac:dyDescent="0.25">
      <c r="Z17910">
        <v>400000</v>
      </c>
    </row>
    <row r="17911" spans="26:26" x14ac:dyDescent="0.25">
      <c r="Z17911">
        <v>400000</v>
      </c>
    </row>
    <row r="17912" spans="26:26" x14ac:dyDescent="0.25">
      <c r="Z17912">
        <v>400000</v>
      </c>
    </row>
    <row r="17913" spans="26:26" x14ac:dyDescent="0.25">
      <c r="Z17913">
        <v>400000</v>
      </c>
    </row>
    <row r="17914" spans="26:26" x14ac:dyDescent="0.25">
      <c r="Z17914">
        <v>400000</v>
      </c>
    </row>
    <row r="17915" spans="26:26" x14ac:dyDescent="0.25">
      <c r="Z17915">
        <v>400000</v>
      </c>
    </row>
    <row r="17916" spans="26:26" x14ac:dyDescent="0.25">
      <c r="Z17916">
        <v>400000</v>
      </c>
    </row>
    <row r="17917" spans="26:26" x14ac:dyDescent="0.25">
      <c r="Z17917">
        <v>400000</v>
      </c>
    </row>
    <row r="17918" spans="26:26" x14ac:dyDescent="0.25">
      <c r="Z17918">
        <v>400000</v>
      </c>
    </row>
    <row r="17919" spans="26:26" x14ac:dyDescent="0.25">
      <c r="Z17919">
        <v>400000</v>
      </c>
    </row>
    <row r="17920" spans="26:26" x14ac:dyDescent="0.25">
      <c r="Z17920">
        <v>400000</v>
      </c>
    </row>
    <row r="17921" spans="26:26" x14ac:dyDescent="0.25">
      <c r="Z17921">
        <v>400000</v>
      </c>
    </row>
    <row r="17922" spans="26:26" x14ac:dyDescent="0.25">
      <c r="Z17922">
        <v>400000</v>
      </c>
    </row>
    <row r="17923" spans="26:26" x14ac:dyDescent="0.25">
      <c r="Z17923">
        <v>400000</v>
      </c>
    </row>
    <row r="17924" spans="26:26" x14ac:dyDescent="0.25">
      <c r="Z17924">
        <v>400000</v>
      </c>
    </row>
    <row r="17925" spans="26:26" x14ac:dyDescent="0.25">
      <c r="Z17925">
        <v>400000</v>
      </c>
    </row>
    <row r="17926" spans="26:26" x14ac:dyDescent="0.25">
      <c r="Z17926">
        <v>400000</v>
      </c>
    </row>
    <row r="17927" spans="26:26" x14ac:dyDescent="0.25">
      <c r="Z17927">
        <v>400000</v>
      </c>
    </row>
    <row r="17928" spans="26:26" x14ac:dyDescent="0.25">
      <c r="Z17928">
        <v>400000</v>
      </c>
    </row>
    <row r="17929" spans="26:26" x14ac:dyDescent="0.25">
      <c r="Z17929">
        <v>400000</v>
      </c>
    </row>
    <row r="17930" spans="26:26" x14ac:dyDescent="0.25">
      <c r="Z17930">
        <v>400000</v>
      </c>
    </row>
    <row r="17931" spans="26:26" x14ac:dyDescent="0.25">
      <c r="Z17931">
        <v>400000</v>
      </c>
    </row>
    <row r="17932" spans="26:26" x14ac:dyDescent="0.25">
      <c r="Z17932">
        <v>400000</v>
      </c>
    </row>
    <row r="17933" spans="26:26" x14ac:dyDescent="0.25">
      <c r="Z17933">
        <v>400000</v>
      </c>
    </row>
    <row r="17934" spans="26:26" x14ac:dyDescent="0.25">
      <c r="Z17934">
        <v>400000</v>
      </c>
    </row>
    <row r="17935" spans="26:26" x14ac:dyDescent="0.25">
      <c r="Z17935">
        <v>400000</v>
      </c>
    </row>
    <row r="17936" spans="26:26" x14ac:dyDescent="0.25">
      <c r="Z17936">
        <v>400000</v>
      </c>
    </row>
    <row r="17937" spans="26:26" x14ac:dyDescent="0.25">
      <c r="Z17937">
        <v>400000</v>
      </c>
    </row>
    <row r="17938" spans="26:26" x14ac:dyDescent="0.25">
      <c r="Z17938">
        <v>400000</v>
      </c>
    </row>
    <row r="17939" spans="26:26" x14ac:dyDescent="0.25">
      <c r="Z17939">
        <v>400000</v>
      </c>
    </row>
    <row r="17940" spans="26:26" x14ac:dyDescent="0.25">
      <c r="Z17940">
        <v>400000</v>
      </c>
    </row>
    <row r="17941" spans="26:26" x14ac:dyDescent="0.25">
      <c r="Z17941">
        <v>400000</v>
      </c>
    </row>
    <row r="17942" spans="26:26" x14ac:dyDescent="0.25">
      <c r="Z17942">
        <v>400000</v>
      </c>
    </row>
    <row r="17943" spans="26:26" x14ac:dyDescent="0.25">
      <c r="Z17943">
        <v>400000</v>
      </c>
    </row>
    <row r="17944" spans="26:26" x14ac:dyDescent="0.25">
      <c r="Z17944">
        <v>400000</v>
      </c>
    </row>
    <row r="17945" spans="26:26" x14ac:dyDescent="0.25">
      <c r="Z17945">
        <v>400000</v>
      </c>
    </row>
    <row r="17946" spans="26:26" x14ac:dyDescent="0.25">
      <c r="Z17946">
        <v>400000</v>
      </c>
    </row>
    <row r="17947" spans="26:26" x14ac:dyDescent="0.25">
      <c r="Z17947">
        <v>400000</v>
      </c>
    </row>
    <row r="17948" spans="26:26" x14ac:dyDescent="0.25">
      <c r="Z17948">
        <v>400000</v>
      </c>
    </row>
    <row r="17949" spans="26:26" x14ac:dyDescent="0.25">
      <c r="Z17949">
        <v>400000</v>
      </c>
    </row>
    <row r="17950" spans="26:26" x14ac:dyDescent="0.25">
      <c r="Z17950">
        <v>400000</v>
      </c>
    </row>
    <row r="17951" spans="26:26" x14ac:dyDescent="0.25">
      <c r="Z17951">
        <v>400000</v>
      </c>
    </row>
    <row r="17952" spans="26:26" x14ac:dyDescent="0.25">
      <c r="Z17952">
        <v>400000</v>
      </c>
    </row>
    <row r="17953" spans="26:26" x14ac:dyDescent="0.25">
      <c r="Z17953">
        <v>400000</v>
      </c>
    </row>
    <row r="17954" spans="26:26" x14ac:dyDescent="0.25">
      <c r="Z17954">
        <v>400000</v>
      </c>
    </row>
    <row r="17955" spans="26:26" x14ac:dyDescent="0.25">
      <c r="Z17955">
        <v>400000</v>
      </c>
    </row>
    <row r="17956" spans="26:26" x14ac:dyDescent="0.25">
      <c r="Z17956">
        <v>400000</v>
      </c>
    </row>
    <row r="17957" spans="26:26" x14ac:dyDescent="0.25">
      <c r="Z17957">
        <v>400000</v>
      </c>
    </row>
    <row r="17958" spans="26:26" x14ac:dyDescent="0.25">
      <c r="Z17958">
        <v>400000</v>
      </c>
    </row>
    <row r="17959" spans="26:26" x14ac:dyDescent="0.25">
      <c r="Z17959">
        <v>400000</v>
      </c>
    </row>
    <row r="17960" spans="26:26" x14ac:dyDescent="0.25">
      <c r="Z17960">
        <v>400000</v>
      </c>
    </row>
    <row r="17961" spans="26:26" x14ac:dyDescent="0.25">
      <c r="Z17961">
        <v>400000</v>
      </c>
    </row>
    <row r="17962" spans="26:26" x14ac:dyDescent="0.25">
      <c r="Z17962">
        <v>400000</v>
      </c>
    </row>
    <row r="17963" spans="26:26" x14ac:dyDescent="0.25">
      <c r="Z17963">
        <v>400000</v>
      </c>
    </row>
    <row r="17964" spans="26:26" x14ac:dyDescent="0.25">
      <c r="Z17964">
        <v>400000</v>
      </c>
    </row>
    <row r="17965" spans="26:26" x14ac:dyDescent="0.25">
      <c r="Z17965">
        <v>400000</v>
      </c>
    </row>
    <row r="17966" spans="26:26" x14ac:dyDescent="0.25">
      <c r="Z17966">
        <v>400000</v>
      </c>
    </row>
    <row r="17967" spans="26:26" x14ac:dyDescent="0.25">
      <c r="Z17967">
        <v>400000</v>
      </c>
    </row>
    <row r="17968" spans="26:26" x14ac:dyDescent="0.25">
      <c r="Z17968">
        <v>400000</v>
      </c>
    </row>
    <row r="17969" spans="26:26" x14ac:dyDescent="0.25">
      <c r="Z17969">
        <v>400000</v>
      </c>
    </row>
    <row r="17970" spans="26:26" x14ac:dyDescent="0.25">
      <c r="Z17970">
        <v>400000</v>
      </c>
    </row>
    <row r="17971" spans="26:26" x14ac:dyDescent="0.25">
      <c r="Z17971">
        <v>400000</v>
      </c>
    </row>
    <row r="17972" spans="26:26" x14ac:dyDescent="0.25">
      <c r="Z17972">
        <v>400000</v>
      </c>
    </row>
    <row r="17973" spans="26:26" x14ac:dyDescent="0.25">
      <c r="Z17973">
        <v>400000</v>
      </c>
    </row>
    <row r="17974" spans="26:26" x14ac:dyDescent="0.25">
      <c r="Z17974">
        <v>400000</v>
      </c>
    </row>
    <row r="17975" spans="26:26" x14ac:dyDescent="0.25">
      <c r="Z17975">
        <v>400000</v>
      </c>
    </row>
    <row r="17976" spans="26:26" x14ac:dyDescent="0.25">
      <c r="Z17976">
        <v>400000</v>
      </c>
    </row>
    <row r="17977" spans="26:26" x14ac:dyDescent="0.25">
      <c r="Z17977">
        <v>400000</v>
      </c>
    </row>
    <row r="17978" spans="26:26" x14ac:dyDescent="0.25">
      <c r="Z17978">
        <v>400000</v>
      </c>
    </row>
    <row r="17979" spans="26:26" x14ac:dyDescent="0.25">
      <c r="Z17979">
        <v>400000</v>
      </c>
    </row>
    <row r="17980" spans="26:26" x14ac:dyDescent="0.25">
      <c r="Z17980">
        <v>400000</v>
      </c>
    </row>
    <row r="17981" spans="26:26" x14ac:dyDescent="0.25">
      <c r="Z17981">
        <v>400000</v>
      </c>
    </row>
    <row r="17982" spans="26:26" x14ac:dyDescent="0.25">
      <c r="Z17982">
        <v>400000</v>
      </c>
    </row>
    <row r="17983" spans="26:26" x14ac:dyDescent="0.25">
      <c r="Z17983">
        <v>400000</v>
      </c>
    </row>
    <row r="17984" spans="26:26" x14ac:dyDescent="0.25">
      <c r="Z17984">
        <v>400000</v>
      </c>
    </row>
    <row r="17985" spans="26:26" x14ac:dyDescent="0.25">
      <c r="Z17985">
        <v>400000</v>
      </c>
    </row>
    <row r="17986" spans="26:26" x14ac:dyDescent="0.25">
      <c r="Z17986">
        <v>400000</v>
      </c>
    </row>
    <row r="17987" spans="26:26" x14ac:dyDescent="0.25">
      <c r="Z17987">
        <v>400000</v>
      </c>
    </row>
    <row r="17988" spans="26:26" x14ac:dyDescent="0.25">
      <c r="Z17988">
        <v>400000</v>
      </c>
    </row>
    <row r="17989" spans="26:26" x14ac:dyDescent="0.25">
      <c r="Z17989">
        <v>400000</v>
      </c>
    </row>
    <row r="17990" spans="26:26" x14ac:dyDescent="0.25">
      <c r="Z17990">
        <v>400000</v>
      </c>
    </row>
    <row r="17991" spans="26:26" x14ac:dyDescent="0.25">
      <c r="Z17991">
        <v>400000</v>
      </c>
    </row>
    <row r="17992" spans="26:26" x14ac:dyDescent="0.25">
      <c r="Z17992">
        <v>400000</v>
      </c>
    </row>
    <row r="17993" spans="26:26" x14ac:dyDescent="0.25">
      <c r="Z17993">
        <v>400000</v>
      </c>
    </row>
    <row r="17994" spans="26:26" x14ac:dyDescent="0.25">
      <c r="Z17994">
        <v>400000</v>
      </c>
    </row>
    <row r="17995" spans="26:26" x14ac:dyDescent="0.25">
      <c r="Z17995">
        <v>400000</v>
      </c>
    </row>
    <row r="17996" spans="26:26" x14ac:dyDescent="0.25">
      <c r="Z17996">
        <v>400000</v>
      </c>
    </row>
    <row r="17997" spans="26:26" x14ac:dyDescent="0.25">
      <c r="Z17997">
        <v>400000</v>
      </c>
    </row>
    <row r="17998" spans="26:26" x14ac:dyDescent="0.25">
      <c r="Z17998">
        <v>400000</v>
      </c>
    </row>
    <row r="17999" spans="26:26" x14ac:dyDescent="0.25">
      <c r="Z17999">
        <v>400000</v>
      </c>
    </row>
    <row r="18000" spans="26:26" x14ac:dyDescent="0.25">
      <c r="Z18000">
        <v>400000</v>
      </c>
    </row>
    <row r="18001" spans="26:26" x14ac:dyDescent="0.25">
      <c r="Z18001">
        <v>400000</v>
      </c>
    </row>
    <row r="18002" spans="26:26" x14ac:dyDescent="0.25">
      <c r="Z18002">
        <v>400000</v>
      </c>
    </row>
    <row r="18003" spans="26:26" x14ac:dyDescent="0.25">
      <c r="Z18003">
        <v>400000</v>
      </c>
    </row>
    <row r="18004" spans="26:26" x14ac:dyDescent="0.25">
      <c r="Z18004">
        <v>400000</v>
      </c>
    </row>
    <row r="18005" spans="26:26" x14ac:dyDescent="0.25">
      <c r="Z18005">
        <v>400000</v>
      </c>
    </row>
    <row r="18006" spans="26:26" x14ac:dyDescent="0.25">
      <c r="Z18006">
        <v>400000</v>
      </c>
    </row>
    <row r="18007" spans="26:26" x14ac:dyDescent="0.25">
      <c r="Z18007">
        <v>400000</v>
      </c>
    </row>
    <row r="18008" spans="26:26" x14ac:dyDescent="0.25">
      <c r="Z18008">
        <v>400000</v>
      </c>
    </row>
    <row r="18009" spans="26:26" x14ac:dyDescent="0.25">
      <c r="Z18009">
        <v>400000</v>
      </c>
    </row>
    <row r="18010" spans="26:26" x14ac:dyDescent="0.25">
      <c r="Z18010">
        <v>400000</v>
      </c>
    </row>
    <row r="18011" spans="26:26" x14ac:dyDescent="0.25">
      <c r="Z18011">
        <v>400000</v>
      </c>
    </row>
    <row r="18012" spans="26:26" x14ac:dyDescent="0.25">
      <c r="Z18012">
        <v>400000</v>
      </c>
    </row>
    <row r="18013" spans="26:26" x14ac:dyDescent="0.25">
      <c r="Z18013">
        <v>400000</v>
      </c>
    </row>
    <row r="18014" spans="26:26" x14ac:dyDescent="0.25">
      <c r="Z18014">
        <v>400000</v>
      </c>
    </row>
    <row r="18015" spans="26:26" x14ac:dyDescent="0.25">
      <c r="Z18015">
        <v>400000</v>
      </c>
    </row>
    <row r="18016" spans="26:26" x14ac:dyDescent="0.25">
      <c r="Z18016">
        <v>400000</v>
      </c>
    </row>
    <row r="18017" spans="26:26" x14ac:dyDescent="0.25">
      <c r="Z18017">
        <v>400000</v>
      </c>
    </row>
    <row r="18018" spans="26:26" x14ac:dyDescent="0.25">
      <c r="Z18018">
        <v>400000</v>
      </c>
    </row>
    <row r="18019" spans="26:26" x14ac:dyDescent="0.25">
      <c r="Z18019">
        <v>400000</v>
      </c>
    </row>
    <row r="18020" spans="26:26" x14ac:dyDescent="0.25">
      <c r="Z18020">
        <v>400000</v>
      </c>
    </row>
    <row r="18021" spans="26:26" x14ac:dyDescent="0.25">
      <c r="Z18021">
        <v>400000</v>
      </c>
    </row>
    <row r="18022" spans="26:26" x14ac:dyDescent="0.25">
      <c r="Z18022">
        <v>400000</v>
      </c>
    </row>
    <row r="18023" spans="26:26" x14ac:dyDescent="0.25">
      <c r="Z18023">
        <v>400000</v>
      </c>
    </row>
    <row r="18024" spans="26:26" x14ac:dyDescent="0.25">
      <c r="Z18024">
        <v>400000</v>
      </c>
    </row>
    <row r="18025" spans="26:26" x14ac:dyDescent="0.25">
      <c r="Z18025">
        <v>400000</v>
      </c>
    </row>
    <row r="18026" spans="26:26" x14ac:dyDescent="0.25">
      <c r="Z18026">
        <v>400000</v>
      </c>
    </row>
    <row r="18027" spans="26:26" x14ac:dyDescent="0.25">
      <c r="Z18027">
        <v>400000</v>
      </c>
    </row>
    <row r="18028" spans="26:26" x14ac:dyDescent="0.25">
      <c r="Z18028">
        <v>400000</v>
      </c>
    </row>
    <row r="18029" spans="26:26" x14ac:dyDescent="0.25">
      <c r="Z18029">
        <v>400000</v>
      </c>
    </row>
    <row r="18030" spans="26:26" x14ac:dyDescent="0.25">
      <c r="Z18030">
        <v>400000</v>
      </c>
    </row>
    <row r="18031" spans="26:26" x14ac:dyDescent="0.25">
      <c r="Z18031">
        <v>400000</v>
      </c>
    </row>
    <row r="18032" spans="26:26" x14ac:dyDescent="0.25">
      <c r="Z18032">
        <v>400000</v>
      </c>
    </row>
    <row r="18033" spans="26:26" x14ac:dyDescent="0.25">
      <c r="Z18033">
        <v>400000</v>
      </c>
    </row>
    <row r="18034" spans="26:26" x14ac:dyDescent="0.25">
      <c r="Z18034">
        <v>400000</v>
      </c>
    </row>
    <row r="18035" spans="26:26" x14ac:dyDescent="0.25">
      <c r="Z18035">
        <v>400000</v>
      </c>
    </row>
    <row r="18036" spans="26:26" x14ac:dyDescent="0.25">
      <c r="Z18036">
        <v>400000</v>
      </c>
    </row>
    <row r="18037" spans="26:26" x14ac:dyDescent="0.25">
      <c r="Z18037">
        <v>400000</v>
      </c>
    </row>
    <row r="18038" spans="26:26" x14ac:dyDescent="0.25">
      <c r="Z18038">
        <v>400000</v>
      </c>
    </row>
    <row r="18039" spans="26:26" x14ac:dyDescent="0.25">
      <c r="Z18039">
        <v>400000</v>
      </c>
    </row>
    <row r="18040" spans="26:26" x14ac:dyDescent="0.25">
      <c r="Z18040">
        <v>400000</v>
      </c>
    </row>
    <row r="18041" spans="26:26" x14ac:dyDescent="0.25">
      <c r="Z18041">
        <v>400000</v>
      </c>
    </row>
    <row r="18042" spans="26:26" x14ac:dyDescent="0.25">
      <c r="Z18042">
        <v>400000</v>
      </c>
    </row>
    <row r="18043" spans="26:26" x14ac:dyDescent="0.25">
      <c r="Z18043">
        <v>400000</v>
      </c>
    </row>
    <row r="18044" spans="26:26" x14ac:dyDescent="0.25">
      <c r="Z18044">
        <v>400000</v>
      </c>
    </row>
    <row r="18045" spans="26:26" x14ac:dyDescent="0.25">
      <c r="Z18045">
        <v>400000</v>
      </c>
    </row>
    <row r="18046" spans="26:26" x14ac:dyDescent="0.25">
      <c r="Z18046">
        <v>400000</v>
      </c>
    </row>
    <row r="18047" spans="26:26" x14ac:dyDescent="0.25">
      <c r="Z18047">
        <v>400000</v>
      </c>
    </row>
    <row r="18048" spans="26:26" x14ac:dyDescent="0.25">
      <c r="Z18048">
        <v>400000</v>
      </c>
    </row>
    <row r="18049" spans="26:26" x14ac:dyDescent="0.25">
      <c r="Z18049">
        <v>400000</v>
      </c>
    </row>
    <row r="18050" spans="26:26" x14ac:dyDescent="0.25">
      <c r="Z18050">
        <v>400000</v>
      </c>
    </row>
    <row r="18051" spans="26:26" x14ac:dyDescent="0.25">
      <c r="Z18051">
        <v>400000</v>
      </c>
    </row>
    <row r="18052" spans="26:26" x14ac:dyDescent="0.25">
      <c r="Z18052">
        <v>400000</v>
      </c>
    </row>
    <row r="18053" spans="26:26" x14ac:dyDescent="0.25">
      <c r="Z18053">
        <v>400000</v>
      </c>
    </row>
    <row r="18054" spans="26:26" x14ac:dyDescent="0.25">
      <c r="Z18054">
        <v>400000</v>
      </c>
    </row>
    <row r="18055" spans="26:26" x14ac:dyDescent="0.25">
      <c r="Z18055">
        <v>400000</v>
      </c>
    </row>
    <row r="18056" spans="26:26" x14ac:dyDescent="0.25">
      <c r="Z18056">
        <v>400000</v>
      </c>
    </row>
    <row r="18057" spans="26:26" x14ac:dyDescent="0.25">
      <c r="Z18057">
        <v>400000</v>
      </c>
    </row>
    <row r="18058" spans="26:26" x14ac:dyDescent="0.25">
      <c r="Z18058">
        <v>400000</v>
      </c>
    </row>
    <row r="18059" spans="26:26" x14ac:dyDescent="0.25">
      <c r="Z18059">
        <v>400000</v>
      </c>
    </row>
    <row r="18060" spans="26:26" x14ac:dyDescent="0.25">
      <c r="Z18060">
        <v>400000</v>
      </c>
    </row>
    <row r="18061" spans="26:26" x14ac:dyDescent="0.25">
      <c r="Z18061">
        <v>400000</v>
      </c>
    </row>
    <row r="18062" spans="26:26" x14ac:dyDescent="0.25">
      <c r="Z18062">
        <v>400000</v>
      </c>
    </row>
    <row r="18063" spans="26:26" x14ac:dyDescent="0.25">
      <c r="Z18063">
        <v>400000</v>
      </c>
    </row>
    <row r="18064" spans="26:26" x14ac:dyDescent="0.25">
      <c r="Z18064">
        <v>400000</v>
      </c>
    </row>
    <row r="18065" spans="26:26" x14ac:dyDescent="0.25">
      <c r="Z18065">
        <v>400000</v>
      </c>
    </row>
    <row r="18066" spans="26:26" x14ac:dyDescent="0.25">
      <c r="Z18066">
        <v>400000</v>
      </c>
    </row>
    <row r="18067" spans="26:26" x14ac:dyDescent="0.25">
      <c r="Z18067">
        <v>400000</v>
      </c>
    </row>
    <row r="18068" spans="26:26" x14ac:dyDescent="0.25">
      <c r="Z18068">
        <v>400000</v>
      </c>
    </row>
    <row r="18069" spans="26:26" x14ac:dyDescent="0.25">
      <c r="Z18069">
        <v>400000</v>
      </c>
    </row>
    <row r="18070" spans="26:26" x14ac:dyDescent="0.25">
      <c r="Z18070">
        <v>400000</v>
      </c>
    </row>
    <row r="18071" spans="26:26" x14ac:dyDescent="0.25">
      <c r="Z18071">
        <v>400000</v>
      </c>
    </row>
    <row r="18072" spans="26:26" x14ac:dyDescent="0.25">
      <c r="Z18072">
        <v>400000</v>
      </c>
    </row>
    <row r="18073" spans="26:26" x14ac:dyDescent="0.25">
      <c r="Z18073">
        <v>400000</v>
      </c>
    </row>
    <row r="18074" spans="26:26" x14ac:dyDescent="0.25">
      <c r="Z18074">
        <v>400000</v>
      </c>
    </row>
    <row r="18075" spans="26:26" x14ac:dyDescent="0.25">
      <c r="Z18075">
        <v>400000</v>
      </c>
    </row>
    <row r="18076" spans="26:26" x14ac:dyDescent="0.25">
      <c r="Z18076">
        <v>400000</v>
      </c>
    </row>
    <row r="18077" spans="26:26" x14ac:dyDescent="0.25">
      <c r="Z18077">
        <v>400000</v>
      </c>
    </row>
    <row r="18078" spans="26:26" x14ac:dyDescent="0.25">
      <c r="Z18078">
        <v>400000</v>
      </c>
    </row>
    <row r="18079" spans="26:26" x14ac:dyDescent="0.25">
      <c r="Z18079">
        <v>400000</v>
      </c>
    </row>
    <row r="18080" spans="26:26" x14ac:dyDescent="0.25">
      <c r="Z18080">
        <v>400000</v>
      </c>
    </row>
    <row r="18081" spans="26:26" x14ac:dyDescent="0.25">
      <c r="Z18081">
        <v>400000</v>
      </c>
    </row>
    <row r="18082" spans="26:26" x14ac:dyDescent="0.25">
      <c r="Z18082">
        <v>400000</v>
      </c>
    </row>
    <row r="18083" spans="26:26" x14ac:dyDescent="0.25">
      <c r="Z18083">
        <v>400000</v>
      </c>
    </row>
    <row r="18084" spans="26:26" x14ac:dyDescent="0.25">
      <c r="Z18084">
        <v>400000</v>
      </c>
    </row>
    <row r="18085" spans="26:26" x14ac:dyDescent="0.25">
      <c r="Z18085">
        <v>400000</v>
      </c>
    </row>
    <row r="18086" spans="26:26" x14ac:dyDescent="0.25">
      <c r="Z18086">
        <v>400000</v>
      </c>
    </row>
    <row r="18087" spans="26:26" x14ac:dyDescent="0.25">
      <c r="Z18087">
        <v>400000</v>
      </c>
    </row>
    <row r="18088" spans="26:26" x14ac:dyDescent="0.25">
      <c r="Z18088">
        <v>400000</v>
      </c>
    </row>
    <row r="18089" spans="26:26" x14ac:dyDescent="0.25">
      <c r="Z18089">
        <v>400000</v>
      </c>
    </row>
    <row r="18090" spans="26:26" x14ac:dyDescent="0.25">
      <c r="Z18090">
        <v>400000</v>
      </c>
    </row>
    <row r="18091" spans="26:26" x14ac:dyDescent="0.25">
      <c r="Z18091">
        <v>400000</v>
      </c>
    </row>
    <row r="18092" spans="26:26" x14ac:dyDescent="0.25">
      <c r="Z18092">
        <v>400000</v>
      </c>
    </row>
    <row r="18093" spans="26:26" x14ac:dyDescent="0.25">
      <c r="Z18093">
        <v>400000</v>
      </c>
    </row>
    <row r="18094" spans="26:26" x14ac:dyDescent="0.25">
      <c r="Z18094">
        <v>400000</v>
      </c>
    </row>
    <row r="18095" spans="26:26" x14ac:dyDescent="0.25">
      <c r="Z18095">
        <v>400000</v>
      </c>
    </row>
    <row r="18096" spans="26:26" x14ac:dyDescent="0.25">
      <c r="Z18096">
        <v>400000</v>
      </c>
    </row>
    <row r="18097" spans="26:26" x14ac:dyDescent="0.25">
      <c r="Z18097">
        <v>400000</v>
      </c>
    </row>
    <row r="18098" spans="26:26" x14ac:dyDescent="0.25">
      <c r="Z18098">
        <v>400000</v>
      </c>
    </row>
    <row r="18099" spans="26:26" x14ac:dyDescent="0.25">
      <c r="Z18099">
        <v>400000</v>
      </c>
    </row>
    <row r="18100" spans="26:26" x14ac:dyDescent="0.25">
      <c r="Z18100">
        <v>400000</v>
      </c>
    </row>
    <row r="18101" spans="26:26" x14ac:dyDescent="0.25">
      <c r="Z18101">
        <v>400000</v>
      </c>
    </row>
    <row r="18102" spans="26:26" x14ac:dyDescent="0.25">
      <c r="Z18102">
        <v>400000</v>
      </c>
    </row>
    <row r="18103" spans="26:26" x14ac:dyDescent="0.25">
      <c r="Z18103">
        <v>400000</v>
      </c>
    </row>
    <row r="18104" spans="26:26" x14ac:dyDescent="0.25">
      <c r="Z18104">
        <v>400000</v>
      </c>
    </row>
    <row r="18105" spans="26:26" x14ac:dyDescent="0.25">
      <c r="Z18105">
        <v>400000</v>
      </c>
    </row>
    <row r="18106" spans="26:26" x14ac:dyDescent="0.25">
      <c r="Z18106">
        <v>400000</v>
      </c>
    </row>
    <row r="18107" spans="26:26" x14ac:dyDescent="0.25">
      <c r="Z18107">
        <v>400000</v>
      </c>
    </row>
    <row r="18108" spans="26:26" x14ac:dyDescent="0.25">
      <c r="Z18108">
        <v>400000</v>
      </c>
    </row>
    <row r="18109" spans="26:26" x14ac:dyDescent="0.25">
      <c r="Z18109">
        <v>400000</v>
      </c>
    </row>
    <row r="18110" spans="26:26" x14ac:dyDescent="0.25">
      <c r="Z18110">
        <v>400000</v>
      </c>
    </row>
    <row r="18111" spans="26:26" x14ac:dyDescent="0.25">
      <c r="Z18111">
        <v>400000</v>
      </c>
    </row>
    <row r="18112" spans="26:26" x14ac:dyDescent="0.25">
      <c r="Z18112">
        <v>400000</v>
      </c>
    </row>
    <row r="18113" spans="26:26" x14ac:dyDescent="0.25">
      <c r="Z18113">
        <v>400000</v>
      </c>
    </row>
    <row r="18114" spans="26:26" x14ac:dyDescent="0.25">
      <c r="Z18114">
        <v>400000</v>
      </c>
    </row>
    <row r="18115" spans="26:26" x14ac:dyDescent="0.25">
      <c r="Z18115">
        <v>400000</v>
      </c>
    </row>
    <row r="18116" spans="26:26" x14ac:dyDescent="0.25">
      <c r="Z18116">
        <v>400000</v>
      </c>
    </row>
    <row r="18117" spans="26:26" x14ac:dyDescent="0.25">
      <c r="Z18117">
        <v>400000</v>
      </c>
    </row>
    <row r="18118" spans="26:26" x14ac:dyDescent="0.25">
      <c r="Z18118">
        <v>400000</v>
      </c>
    </row>
    <row r="18119" spans="26:26" x14ac:dyDescent="0.25">
      <c r="Z18119">
        <v>400000</v>
      </c>
    </row>
    <row r="18120" spans="26:26" x14ac:dyDescent="0.25">
      <c r="Z18120">
        <v>400000</v>
      </c>
    </row>
    <row r="18121" spans="26:26" x14ac:dyDescent="0.25">
      <c r="Z18121">
        <v>400000</v>
      </c>
    </row>
    <row r="18122" spans="26:26" x14ac:dyDescent="0.25">
      <c r="Z18122">
        <v>400000</v>
      </c>
    </row>
    <row r="18123" spans="26:26" x14ac:dyDescent="0.25">
      <c r="Z18123">
        <v>400000</v>
      </c>
    </row>
    <row r="18124" spans="26:26" x14ac:dyDescent="0.25">
      <c r="Z18124">
        <v>400000</v>
      </c>
    </row>
    <row r="18125" spans="26:26" x14ac:dyDescent="0.25">
      <c r="Z18125">
        <v>400000</v>
      </c>
    </row>
    <row r="18126" spans="26:26" x14ac:dyDescent="0.25">
      <c r="Z18126">
        <v>400000</v>
      </c>
    </row>
    <row r="18127" spans="26:26" x14ac:dyDescent="0.25">
      <c r="Z18127">
        <v>400000</v>
      </c>
    </row>
    <row r="18128" spans="26:26" x14ac:dyDescent="0.25">
      <c r="Z18128">
        <v>400000</v>
      </c>
    </row>
    <row r="18129" spans="26:26" x14ac:dyDescent="0.25">
      <c r="Z18129">
        <v>400000</v>
      </c>
    </row>
    <row r="18130" spans="26:26" x14ac:dyDescent="0.25">
      <c r="Z18130">
        <v>400000</v>
      </c>
    </row>
    <row r="18131" spans="26:26" x14ac:dyDescent="0.25">
      <c r="Z18131">
        <v>400000</v>
      </c>
    </row>
    <row r="18132" spans="26:26" x14ac:dyDescent="0.25">
      <c r="Z18132">
        <v>400000</v>
      </c>
    </row>
    <row r="18133" spans="26:26" x14ac:dyDescent="0.25">
      <c r="Z18133">
        <v>400000</v>
      </c>
    </row>
    <row r="18134" spans="26:26" x14ac:dyDescent="0.25">
      <c r="Z18134">
        <v>400000</v>
      </c>
    </row>
    <row r="18135" spans="26:26" x14ac:dyDescent="0.25">
      <c r="Z18135">
        <v>400000</v>
      </c>
    </row>
    <row r="18136" spans="26:26" x14ac:dyDescent="0.25">
      <c r="Z18136">
        <v>400000</v>
      </c>
    </row>
    <row r="18137" spans="26:26" x14ac:dyDescent="0.25">
      <c r="Z18137">
        <v>400000</v>
      </c>
    </row>
    <row r="18138" spans="26:26" x14ac:dyDescent="0.25">
      <c r="Z18138">
        <v>400000</v>
      </c>
    </row>
    <row r="18139" spans="26:26" x14ac:dyDescent="0.25">
      <c r="Z18139">
        <v>400000</v>
      </c>
    </row>
    <row r="18140" spans="26:26" x14ac:dyDescent="0.25">
      <c r="Z18140">
        <v>400000</v>
      </c>
    </row>
    <row r="18141" spans="26:26" x14ac:dyDescent="0.25">
      <c r="Z18141">
        <v>400000</v>
      </c>
    </row>
    <row r="18142" spans="26:26" x14ac:dyDescent="0.25">
      <c r="Z18142">
        <v>400000</v>
      </c>
    </row>
    <row r="18143" spans="26:26" x14ac:dyDescent="0.25">
      <c r="Z18143">
        <v>400000</v>
      </c>
    </row>
    <row r="18144" spans="26:26" x14ac:dyDescent="0.25">
      <c r="Z18144">
        <v>400000</v>
      </c>
    </row>
    <row r="18145" spans="26:26" x14ac:dyDescent="0.25">
      <c r="Z18145">
        <v>400000</v>
      </c>
    </row>
    <row r="18146" spans="26:26" x14ac:dyDescent="0.25">
      <c r="Z18146">
        <v>400000</v>
      </c>
    </row>
    <row r="18147" spans="26:26" x14ac:dyDescent="0.25">
      <c r="Z18147">
        <v>400000</v>
      </c>
    </row>
    <row r="18148" spans="26:26" x14ac:dyDescent="0.25">
      <c r="Z18148">
        <v>400000</v>
      </c>
    </row>
    <row r="18149" spans="26:26" x14ac:dyDescent="0.25">
      <c r="Z18149">
        <v>400000</v>
      </c>
    </row>
    <row r="18150" spans="26:26" x14ac:dyDescent="0.25">
      <c r="Z18150">
        <v>400000</v>
      </c>
    </row>
    <row r="18151" spans="26:26" x14ac:dyDescent="0.25">
      <c r="Z18151">
        <v>400000</v>
      </c>
    </row>
    <row r="18152" spans="26:26" x14ac:dyDescent="0.25">
      <c r="Z18152">
        <v>400000</v>
      </c>
    </row>
    <row r="18153" spans="26:26" x14ac:dyDescent="0.25">
      <c r="Z18153">
        <v>400000</v>
      </c>
    </row>
    <row r="18154" spans="26:26" x14ac:dyDescent="0.25">
      <c r="Z18154">
        <v>400000</v>
      </c>
    </row>
    <row r="18155" spans="26:26" x14ac:dyDescent="0.25">
      <c r="Z18155">
        <v>400000</v>
      </c>
    </row>
    <row r="18156" spans="26:26" x14ac:dyDescent="0.25">
      <c r="Z18156">
        <v>400000</v>
      </c>
    </row>
    <row r="18157" spans="26:26" x14ac:dyDescent="0.25">
      <c r="Z18157">
        <v>400000</v>
      </c>
    </row>
    <row r="18158" spans="26:26" x14ac:dyDescent="0.25">
      <c r="Z18158">
        <v>400000</v>
      </c>
    </row>
    <row r="18159" spans="26:26" x14ac:dyDescent="0.25">
      <c r="Z18159">
        <v>400000</v>
      </c>
    </row>
    <row r="18160" spans="26:26" x14ac:dyDescent="0.25">
      <c r="Z18160">
        <v>400000</v>
      </c>
    </row>
    <row r="18161" spans="26:26" x14ac:dyDescent="0.25">
      <c r="Z18161">
        <v>400000</v>
      </c>
    </row>
    <row r="18162" spans="26:26" x14ac:dyDescent="0.25">
      <c r="Z18162">
        <v>400000</v>
      </c>
    </row>
    <row r="18163" spans="26:26" x14ac:dyDescent="0.25">
      <c r="Z18163">
        <v>400000</v>
      </c>
    </row>
    <row r="18164" spans="26:26" x14ac:dyDescent="0.25">
      <c r="Z18164">
        <v>400000</v>
      </c>
    </row>
    <row r="18165" spans="26:26" x14ac:dyDescent="0.25">
      <c r="Z18165">
        <v>400000</v>
      </c>
    </row>
    <row r="18166" spans="26:26" x14ac:dyDescent="0.25">
      <c r="Z18166">
        <v>400000</v>
      </c>
    </row>
    <row r="18167" spans="26:26" x14ac:dyDescent="0.25">
      <c r="Z18167">
        <v>400000</v>
      </c>
    </row>
    <row r="18168" spans="26:26" x14ac:dyDescent="0.25">
      <c r="Z18168">
        <v>400000</v>
      </c>
    </row>
    <row r="18169" spans="26:26" x14ac:dyDescent="0.25">
      <c r="Z18169">
        <v>400000</v>
      </c>
    </row>
    <row r="18170" spans="26:26" x14ac:dyDescent="0.25">
      <c r="Z18170">
        <v>400000</v>
      </c>
    </row>
    <row r="18171" spans="26:26" x14ac:dyDescent="0.25">
      <c r="Z18171">
        <v>400000</v>
      </c>
    </row>
    <row r="18172" spans="26:26" x14ac:dyDescent="0.25">
      <c r="Z18172">
        <v>400000</v>
      </c>
    </row>
    <row r="18173" spans="26:26" x14ac:dyDescent="0.25">
      <c r="Z18173">
        <v>400000</v>
      </c>
    </row>
    <row r="18174" spans="26:26" x14ac:dyDescent="0.25">
      <c r="Z18174">
        <v>400000</v>
      </c>
    </row>
    <row r="18175" spans="26:26" x14ac:dyDescent="0.25">
      <c r="Z18175">
        <v>400000</v>
      </c>
    </row>
    <row r="18176" spans="26:26" x14ac:dyDescent="0.25">
      <c r="Z18176">
        <v>400000</v>
      </c>
    </row>
    <row r="18177" spans="26:26" x14ac:dyDescent="0.25">
      <c r="Z18177">
        <v>400000</v>
      </c>
    </row>
    <row r="18178" spans="26:26" x14ac:dyDescent="0.25">
      <c r="Z18178">
        <v>400000</v>
      </c>
    </row>
    <row r="18179" spans="26:26" x14ac:dyDescent="0.25">
      <c r="Z18179">
        <v>400000</v>
      </c>
    </row>
    <row r="18180" spans="26:26" x14ac:dyDescent="0.25">
      <c r="Z18180">
        <v>400000</v>
      </c>
    </row>
    <row r="18181" spans="26:26" x14ac:dyDescent="0.25">
      <c r="Z18181">
        <v>400000</v>
      </c>
    </row>
    <row r="18182" spans="26:26" x14ac:dyDescent="0.25">
      <c r="Z18182">
        <v>400000</v>
      </c>
    </row>
    <row r="18183" spans="26:26" x14ac:dyDescent="0.25">
      <c r="Z18183">
        <v>400000</v>
      </c>
    </row>
    <row r="18184" spans="26:26" x14ac:dyDescent="0.25">
      <c r="Z18184">
        <v>400000</v>
      </c>
    </row>
    <row r="18185" spans="26:26" x14ac:dyDescent="0.25">
      <c r="Z18185">
        <v>400000</v>
      </c>
    </row>
    <row r="18186" spans="26:26" x14ac:dyDescent="0.25">
      <c r="Z18186">
        <v>400000</v>
      </c>
    </row>
    <row r="18187" spans="26:26" x14ac:dyDescent="0.25">
      <c r="Z18187">
        <v>400000</v>
      </c>
    </row>
    <row r="18188" spans="26:26" x14ac:dyDescent="0.25">
      <c r="Z18188">
        <v>400000</v>
      </c>
    </row>
    <row r="18189" spans="26:26" x14ac:dyDescent="0.25">
      <c r="Z18189">
        <v>400000</v>
      </c>
    </row>
    <row r="18190" spans="26:26" x14ac:dyDescent="0.25">
      <c r="Z18190">
        <v>400000</v>
      </c>
    </row>
    <row r="18191" spans="26:26" x14ac:dyDescent="0.25">
      <c r="Z18191">
        <v>400000</v>
      </c>
    </row>
    <row r="18192" spans="26:26" x14ac:dyDescent="0.25">
      <c r="Z18192">
        <v>400000</v>
      </c>
    </row>
    <row r="18193" spans="26:26" x14ac:dyDescent="0.25">
      <c r="Z18193">
        <v>400000</v>
      </c>
    </row>
    <row r="18194" spans="26:26" x14ac:dyDescent="0.25">
      <c r="Z18194">
        <v>400000</v>
      </c>
    </row>
    <row r="18195" spans="26:26" x14ac:dyDescent="0.25">
      <c r="Z18195">
        <v>400000</v>
      </c>
    </row>
    <row r="18196" spans="26:26" x14ac:dyDescent="0.25">
      <c r="Z18196">
        <v>400000</v>
      </c>
    </row>
    <row r="18197" spans="26:26" x14ac:dyDescent="0.25">
      <c r="Z18197">
        <v>400000</v>
      </c>
    </row>
    <row r="18198" spans="26:26" x14ac:dyDescent="0.25">
      <c r="Z18198">
        <v>400000</v>
      </c>
    </row>
    <row r="18199" spans="26:26" x14ac:dyDescent="0.25">
      <c r="Z18199">
        <v>400000</v>
      </c>
    </row>
    <row r="18200" spans="26:26" x14ac:dyDescent="0.25">
      <c r="Z18200">
        <v>400000</v>
      </c>
    </row>
    <row r="18201" spans="26:26" x14ac:dyDescent="0.25">
      <c r="Z18201">
        <v>400000</v>
      </c>
    </row>
    <row r="18202" spans="26:26" x14ac:dyDescent="0.25">
      <c r="Z18202">
        <v>400000</v>
      </c>
    </row>
    <row r="18203" spans="26:26" x14ac:dyDescent="0.25">
      <c r="Z18203">
        <v>400000</v>
      </c>
    </row>
    <row r="18204" spans="26:26" x14ac:dyDescent="0.25">
      <c r="Z18204">
        <v>400000</v>
      </c>
    </row>
    <row r="18205" spans="26:26" x14ac:dyDescent="0.25">
      <c r="Z18205">
        <v>400000</v>
      </c>
    </row>
    <row r="18206" spans="26:26" x14ac:dyDescent="0.25">
      <c r="Z18206">
        <v>400000</v>
      </c>
    </row>
    <row r="18207" spans="26:26" x14ac:dyDescent="0.25">
      <c r="Z18207">
        <v>400000</v>
      </c>
    </row>
    <row r="18208" spans="26:26" x14ac:dyDescent="0.25">
      <c r="Z18208">
        <v>400000</v>
      </c>
    </row>
    <row r="18209" spans="26:26" x14ac:dyDescent="0.25">
      <c r="Z18209">
        <v>400000</v>
      </c>
    </row>
    <row r="18210" spans="26:26" x14ac:dyDescent="0.25">
      <c r="Z18210">
        <v>400000</v>
      </c>
    </row>
    <row r="18211" spans="26:26" x14ac:dyDescent="0.25">
      <c r="Z18211">
        <v>400000</v>
      </c>
    </row>
    <row r="18212" spans="26:26" x14ac:dyDescent="0.25">
      <c r="Z18212">
        <v>400000</v>
      </c>
    </row>
    <row r="18213" spans="26:26" x14ac:dyDescent="0.25">
      <c r="Z18213">
        <v>400000</v>
      </c>
    </row>
    <row r="18214" spans="26:26" x14ac:dyDescent="0.25">
      <c r="Z18214">
        <v>400000</v>
      </c>
    </row>
    <row r="18215" spans="26:26" x14ac:dyDescent="0.25">
      <c r="Z18215">
        <v>400000</v>
      </c>
    </row>
    <row r="18216" spans="26:26" x14ac:dyDescent="0.25">
      <c r="Z18216">
        <v>400000</v>
      </c>
    </row>
    <row r="18217" spans="26:26" x14ac:dyDescent="0.25">
      <c r="Z18217">
        <v>400000</v>
      </c>
    </row>
    <row r="18218" spans="26:26" x14ac:dyDescent="0.25">
      <c r="Z18218">
        <v>400000</v>
      </c>
    </row>
    <row r="18219" spans="26:26" x14ac:dyDescent="0.25">
      <c r="Z18219">
        <v>400000</v>
      </c>
    </row>
    <row r="18220" spans="26:26" x14ac:dyDescent="0.25">
      <c r="Z18220">
        <v>400000</v>
      </c>
    </row>
    <row r="18221" spans="26:26" x14ac:dyDescent="0.25">
      <c r="Z18221">
        <v>400000</v>
      </c>
    </row>
    <row r="18222" spans="26:26" x14ac:dyDescent="0.25">
      <c r="Z18222">
        <v>400000</v>
      </c>
    </row>
    <row r="18223" spans="26:26" x14ac:dyDescent="0.25">
      <c r="Z18223">
        <v>400000</v>
      </c>
    </row>
    <row r="18224" spans="26:26" x14ac:dyDescent="0.25">
      <c r="Z18224">
        <v>400000</v>
      </c>
    </row>
    <row r="18225" spans="26:26" x14ac:dyDescent="0.25">
      <c r="Z18225">
        <v>400000</v>
      </c>
    </row>
    <row r="18226" spans="26:26" x14ac:dyDescent="0.25">
      <c r="Z18226">
        <v>400000</v>
      </c>
    </row>
    <row r="18227" spans="26:26" x14ac:dyDescent="0.25">
      <c r="Z18227">
        <v>400000</v>
      </c>
    </row>
    <row r="18228" spans="26:26" x14ac:dyDescent="0.25">
      <c r="Z18228">
        <v>400000</v>
      </c>
    </row>
    <row r="18229" spans="26:26" x14ac:dyDescent="0.25">
      <c r="Z18229">
        <v>400000</v>
      </c>
    </row>
    <row r="18230" spans="26:26" x14ac:dyDescent="0.25">
      <c r="Z18230">
        <v>400000</v>
      </c>
    </row>
    <row r="18231" spans="26:26" x14ac:dyDescent="0.25">
      <c r="Z18231">
        <v>400000</v>
      </c>
    </row>
    <row r="18232" spans="26:26" x14ac:dyDescent="0.25">
      <c r="Z18232">
        <v>400000</v>
      </c>
    </row>
    <row r="18233" spans="26:26" x14ac:dyDescent="0.25">
      <c r="Z18233">
        <v>400000</v>
      </c>
    </row>
    <row r="18234" spans="26:26" x14ac:dyDescent="0.25">
      <c r="Z18234">
        <v>400000</v>
      </c>
    </row>
    <row r="18235" spans="26:26" x14ac:dyDescent="0.25">
      <c r="Z18235">
        <v>400000</v>
      </c>
    </row>
    <row r="18236" spans="26:26" x14ac:dyDescent="0.25">
      <c r="Z18236">
        <v>400000</v>
      </c>
    </row>
    <row r="18237" spans="26:26" x14ac:dyDescent="0.25">
      <c r="Z18237">
        <v>400000</v>
      </c>
    </row>
    <row r="18238" spans="26:26" x14ac:dyDescent="0.25">
      <c r="Z18238">
        <v>400000</v>
      </c>
    </row>
    <row r="18239" spans="26:26" x14ac:dyDescent="0.25">
      <c r="Z18239">
        <v>400000</v>
      </c>
    </row>
    <row r="18240" spans="26:26" x14ac:dyDescent="0.25">
      <c r="Z18240">
        <v>400000</v>
      </c>
    </row>
    <row r="18241" spans="26:26" x14ac:dyDescent="0.25">
      <c r="Z18241">
        <v>400000</v>
      </c>
    </row>
    <row r="18242" spans="26:26" x14ac:dyDescent="0.25">
      <c r="Z18242">
        <v>400000</v>
      </c>
    </row>
    <row r="18243" spans="26:26" x14ac:dyDescent="0.25">
      <c r="Z18243">
        <v>400000</v>
      </c>
    </row>
    <row r="18244" spans="26:26" x14ac:dyDescent="0.25">
      <c r="Z18244">
        <v>400000</v>
      </c>
    </row>
    <row r="18245" spans="26:26" x14ac:dyDescent="0.25">
      <c r="Z18245">
        <v>400000</v>
      </c>
    </row>
    <row r="18246" spans="26:26" x14ac:dyDescent="0.25">
      <c r="Z18246">
        <v>400000</v>
      </c>
    </row>
    <row r="18247" spans="26:26" x14ac:dyDescent="0.25">
      <c r="Z18247">
        <v>400000</v>
      </c>
    </row>
    <row r="18248" spans="26:26" x14ac:dyDescent="0.25">
      <c r="Z18248">
        <v>400000</v>
      </c>
    </row>
    <row r="18249" spans="26:26" x14ac:dyDescent="0.25">
      <c r="Z18249">
        <v>400000</v>
      </c>
    </row>
    <row r="18250" spans="26:26" x14ac:dyDescent="0.25">
      <c r="Z18250">
        <v>400000</v>
      </c>
    </row>
    <row r="18251" spans="26:26" x14ac:dyDescent="0.25">
      <c r="Z18251">
        <v>400000</v>
      </c>
    </row>
    <row r="18252" spans="26:26" x14ac:dyDescent="0.25">
      <c r="Z18252">
        <v>400000</v>
      </c>
    </row>
    <row r="18253" spans="26:26" x14ac:dyDescent="0.25">
      <c r="Z18253">
        <v>400000</v>
      </c>
    </row>
    <row r="18254" spans="26:26" x14ac:dyDescent="0.25">
      <c r="Z18254">
        <v>400000</v>
      </c>
    </row>
    <row r="18255" spans="26:26" x14ac:dyDescent="0.25">
      <c r="Z18255">
        <v>400000</v>
      </c>
    </row>
    <row r="18256" spans="26:26" x14ac:dyDescent="0.25">
      <c r="Z18256">
        <v>400000</v>
      </c>
    </row>
    <row r="18257" spans="26:26" x14ac:dyDescent="0.25">
      <c r="Z18257">
        <v>400000</v>
      </c>
    </row>
    <row r="18258" spans="26:26" x14ac:dyDescent="0.25">
      <c r="Z18258">
        <v>400000</v>
      </c>
    </row>
    <row r="18259" spans="26:26" x14ac:dyDescent="0.25">
      <c r="Z18259">
        <v>400000</v>
      </c>
    </row>
    <row r="18260" spans="26:26" x14ac:dyDescent="0.25">
      <c r="Z18260">
        <v>400000</v>
      </c>
    </row>
    <row r="18261" spans="26:26" x14ac:dyDescent="0.25">
      <c r="Z18261">
        <v>400000</v>
      </c>
    </row>
    <row r="18262" spans="26:26" x14ac:dyDescent="0.25">
      <c r="Z18262">
        <v>400000</v>
      </c>
    </row>
    <row r="18263" spans="26:26" x14ac:dyDescent="0.25">
      <c r="Z18263">
        <v>400000</v>
      </c>
    </row>
    <row r="18264" spans="26:26" x14ac:dyDescent="0.25">
      <c r="Z18264">
        <v>400000</v>
      </c>
    </row>
    <row r="18265" spans="26:26" x14ac:dyDescent="0.25">
      <c r="Z18265">
        <v>400000</v>
      </c>
    </row>
    <row r="18266" spans="26:26" x14ac:dyDescent="0.25">
      <c r="Z18266">
        <v>400000</v>
      </c>
    </row>
    <row r="18267" spans="26:26" x14ac:dyDescent="0.25">
      <c r="Z18267">
        <v>400000</v>
      </c>
    </row>
    <row r="18268" spans="26:26" x14ac:dyDescent="0.25">
      <c r="Z18268">
        <v>400000</v>
      </c>
    </row>
    <row r="18269" spans="26:26" x14ac:dyDescent="0.25">
      <c r="Z18269">
        <v>400000</v>
      </c>
    </row>
    <row r="18270" spans="26:26" x14ac:dyDescent="0.25">
      <c r="Z18270">
        <v>400000</v>
      </c>
    </row>
    <row r="18271" spans="26:26" x14ac:dyDescent="0.25">
      <c r="Z18271">
        <v>400000</v>
      </c>
    </row>
    <row r="18272" spans="26:26" x14ac:dyDescent="0.25">
      <c r="Z18272">
        <v>400000</v>
      </c>
    </row>
    <row r="18273" spans="26:26" x14ac:dyDescent="0.25">
      <c r="Z18273">
        <v>400000</v>
      </c>
    </row>
    <row r="18274" spans="26:26" x14ac:dyDescent="0.25">
      <c r="Z18274">
        <v>400000</v>
      </c>
    </row>
    <row r="18275" spans="26:26" x14ac:dyDescent="0.25">
      <c r="Z18275">
        <v>400000</v>
      </c>
    </row>
    <row r="18276" spans="26:26" x14ac:dyDescent="0.25">
      <c r="Z18276">
        <v>400000</v>
      </c>
    </row>
    <row r="18277" spans="26:26" x14ac:dyDescent="0.25">
      <c r="Z18277">
        <v>400000</v>
      </c>
    </row>
    <row r="18278" spans="26:26" x14ac:dyDescent="0.25">
      <c r="Z18278">
        <v>400000</v>
      </c>
    </row>
    <row r="18279" spans="26:26" x14ac:dyDescent="0.25">
      <c r="Z18279">
        <v>400000</v>
      </c>
    </row>
    <row r="18280" spans="26:26" x14ac:dyDescent="0.25">
      <c r="Z18280">
        <v>400000</v>
      </c>
    </row>
    <row r="18281" spans="26:26" x14ac:dyDescent="0.25">
      <c r="Z18281">
        <v>400000</v>
      </c>
    </row>
    <row r="18282" spans="26:26" x14ac:dyDescent="0.25">
      <c r="Z18282">
        <v>400000</v>
      </c>
    </row>
    <row r="18283" spans="26:26" x14ac:dyDescent="0.25">
      <c r="Z18283">
        <v>400000</v>
      </c>
    </row>
    <row r="18284" spans="26:26" x14ac:dyDescent="0.25">
      <c r="Z18284">
        <v>400000</v>
      </c>
    </row>
    <row r="18285" spans="26:26" x14ac:dyDescent="0.25">
      <c r="Z18285">
        <v>400000</v>
      </c>
    </row>
    <row r="18286" spans="26:26" x14ac:dyDescent="0.25">
      <c r="Z18286">
        <v>400000</v>
      </c>
    </row>
    <row r="18287" spans="26:26" x14ac:dyDescent="0.25">
      <c r="Z18287">
        <v>400000</v>
      </c>
    </row>
    <row r="18288" spans="26:26" x14ac:dyDescent="0.25">
      <c r="Z18288">
        <v>400000</v>
      </c>
    </row>
    <row r="18289" spans="26:26" x14ac:dyDescent="0.25">
      <c r="Z18289">
        <v>400000</v>
      </c>
    </row>
    <row r="18290" spans="26:26" x14ac:dyDescent="0.25">
      <c r="Z18290">
        <v>400000</v>
      </c>
    </row>
    <row r="18291" spans="26:26" x14ac:dyDescent="0.25">
      <c r="Z18291">
        <v>400000</v>
      </c>
    </row>
    <row r="18292" spans="26:26" x14ac:dyDescent="0.25">
      <c r="Z18292">
        <v>400000</v>
      </c>
    </row>
    <row r="18293" spans="26:26" x14ac:dyDescent="0.25">
      <c r="Z18293">
        <v>400000</v>
      </c>
    </row>
    <row r="18294" spans="26:26" x14ac:dyDescent="0.25">
      <c r="Z18294">
        <v>400000</v>
      </c>
    </row>
    <row r="18295" spans="26:26" x14ac:dyDescent="0.25">
      <c r="Z18295">
        <v>400000</v>
      </c>
    </row>
    <row r="18296" spans="26:26" x14ac:dyDescent="0.25">
      <c r="Z18296">
        <v>400000</v>
      </c>
    </row>
    <row r="18297" spans="26:26" x14ac:dyDescent="0.25">
      <c r="Z18297">
        <v>400000</v>
      </c>
    </row>
    <row r="18298" spans="26:26" x14ac:dyDescent="0.25">
      <c r="Z18298">
        <v>400000</v>
      </c>
    </row>
    <row r="18299" spans="26:26" x14ac:dyDescent="0.25">
      <c r="Z18299">
        <v>400000</v>
      </c>
    </row>
    <row r="18300" spans="26:26" x14ac:dyDescent="0.25">
      <c r="Z18300">
        <v>400000</v>
      </c>
    </row>
    <row r="18301" spans="26:26" x14ac:dyDescent="0.25">
      <c r="Z18301">
        <v>400000</v>
      </c>
    </row>
    <row r="18302" spans="26:26" x14ac:dyDescent="0.25">
      <c r="Z18302">
        <v>400000</v>
      </c>
    </row>
    <row r="18303" spans="26:26" x14ac:dyDescent="0.25">
      <c r="Z18303">
        <v>400000</v>
      </c>
    </row>
    <row r="18304" spans="26:26" x14ac:dyDescent="0.25">
      <c r="Z18304">
        <v>400000</v>
      </c>
    </row>
    <row r="18305" spans="26:26" x14ac:dyDescent="0.25">
      <c r="Z18305">
        <v>400000</v>
      </c>
    </row>
    <row r="18306" spans="26:26" x14ac:dyDescent="0.25">
      <c r="Z18306">
        <v>400000</v>
      </c>
    </row>
    <row r="18307" spans="26:26" x14ac:dyDescent="0.25">
      <c r="Z18307">
        <v>400000</v>
      </c>
    </row>
    <row r="18308" spans="26:26" x14ac:dyDescent="0.25">
      <c r="Z18308">
        <v>400000</v>
      </c>
    </row>
    <row r="18309" spans="26:26" x14ac:dyDescent="0.25">
      <c r="Z18309">
        <v>400000</v>
      </c>
    </row>
    <row r="18310" spans="26:26" x14ac:dyDescent="0.25">
      <c r="Z18310">
        <v>400000</v>
      </c>
    </row>
    <row r="18311" spans="26:26" x14ac:dyDescent="0.25">
      <c r="Z18311">
        <v>400000</v>
      </c>
    </row>
    <row r="18312" spans="26:26" x14ac:dyDescent="0.25">
      <c r="Z18312">
        <v>400000</v>
      </c>
    </row>
    <row r="18313" spans="26:26" x14ac:dyDescent="0.25">
      <c r="Z18313">
        <v>400000</v>
      </c>
    </row>
    <row r="18314" spans="26:26" x14ac:dyDescent="0.25">
      <c r="Z18314">
        <v>400000</v>
      </c>
    </row>
    <row r="18315" spans="26:26" x14ac:dyDescent="0.25">
      <c r="Z18315">
        <v>400000</v>
      </c>
    </row>
    <row r="18316" spans="26:26" x14ac:dyDescent="0.25">
      <c r="Z18316">
        <v>400000</v>
      </c>
    </row>
    <row r="18317" spans="26:26" x14ac:dyDescent="0.25">
      <c r="Z18317">
        <v>400000</v>
      </c>
    </row>
    <row r="18318" spans="26:26" x14ac:dyDescent="0.25">
      <c r="Z18318">
        <v>400000</v>
      </c>
    </row>
    <row r="18319" spans="26:26" x14ac:dyDescent="0.25">
      <c r="Z18319">
        <v>400000</v>
      </c>
    </row>
    <row r="18320" spans="26:26" x14ac:dyDescent="0.25">
      <c r="Z18320">
        <v>400000</v>
      </c>
    </row>
    <row r="18321" spans="26:26" x14ac:dyDescent="0.25">
      <c r="Z18321">
        <v>400000</v>
      </c>
    </row>
    <row r="18322" spans="26:26" x14ac:dyDescent="0.25">
      <c r="Z18322">
        <v>400000</v>
      </c>
    </row>
    <row r="18323" spans="26:26" x14ac:dyDescent="0.25">
      <c r="Z18323">
        <v>400000</v>
      </c>
    </row>
    <row r="18324" spans="26:26" x14ac:dyDescent="0.25">
      <c r="Z18324">
        <v>400000</v>
      </c>
    </row>
    <row r="18325" spans="26:26" x14ac:dyDescent="0.25">
      <c r="Z18325">
        <v>400000</v>
      </c>
    </row>
    <row r="18326" spans="26:26" x14ac:dyDescent="0.25">
      <c r="Z18326">
        <v>400000</v>
      </c>
    </row>
    <row r="18327" spans="26:26" x14ac:dyDescent="0.25">
      <c r="Z18327">
        <v>400000</v>
      </c>
    </row>
    <row r="18328" spans="26:26" x14ac:dyDescent="0.25">
      <c r="Z18328">
        <v>400000</v>
      </c>
    </row>
    <row r="18329" spans="26:26" x14ac:dyDescent="0.25">
      <c r="Z18329">
        <v>400000</v>
      </c>
    </row>
    <row r="18330" spans="26:26" x14ac:dyDescent="0.25">
      <c r="Z18330">
        <v>400000</v>
      </c>
    </row>
    <row r="18331" spans="26:26" x14ac:dyDescent="0.25">
      <c r="Z18331">
        <v>400000</v>
      </c>
    </row>
    <row r="18332" spans="26:26" x14ac:dyDescent="0.25">
      <c r="Z18332">
        <v>400000</v>
      </c>
    </row>
    <row r="18333" spans="26:26" x14ac:dyDescent="0.25">
      <c r="Z18333">
        <v>400000</v>
      </c>
    </row>
    <row r="18334" spans="26:26" x14ac:dyDescent="0.25">
      <c r="Z18334">
        <v>400000</v>
      </c>
    </row>
    <row r="18335" spans="26:26" x14ac:dyDescent="0.25">
      <c r="Z18335">
        <v>400000</v>
      </c>
    </row>
    <row r="18336" spans="26:26" x14ac:dyDescent="0.25">
      <c r="Z18336">
        <v>400000</v>
      </c>
    </row>
    <row r="18337" spans="26:26" x14ac:dyDescent="0.25">
      <c r="Z18337">
        <v>400000</v>
      </c>
    </row>
    <row r="18338" spans="26:26" x14ac:dyDescent="0.25">
      <c r="Z18338">
        <v>400000</v>
      </c>
    </row>
    <row r="18339" spans="26:26" x14ac:dyDescent="0.25">
      <c r="Z18339">
        <v>400000</v>
      </c>
    </row>
    <row r="18340" spans="26:26" x14ac:dyDescent="0.25">
      <c r="Z18340">
        <v>400000</v>
      </c>
    </row>
    <row r="18341" spans="26:26" x14ac:dyDescent="0.25">
      <c r="Z18341">
        <v>400000</v>
      </c>
    </row>
    <row r="18342" spans="26:26" x14ac:dyDescent="0.25">
      <c r="Z18342">
        <v>400000</v>
      </c>
    </row>
    <row r="18343" spans="26:26" x14ac:dyDescent="0.25">
      <c r="Z18343">
        <v>400000</v>
      </c>
    </row>
    <row r="18344" spans="26:26" x14ac:dyDescent="0.25">
      <c r="Z18344">
        <v>400000</v>
      </c>
    </row>
    <row r="18345" spans="26:26" x14ac:dyDescent="0.25">
      <c r="Z18345">
        <v>400000</v>
      </c>
    </row>
    <row r="18346" spans="26:26" x14ac:dyDescent="0.25">
      <c r="Z18346">
        <v>400000</v>
      </c>
    </row>
    <row r="18347" spans="26:26" x14ac:dyDescent="0.25">
      <c r="Z18347">
        <v>400000</v>
      </c>
    </row>
    <row r="18348" spans="26:26" x14ac:dyDescent="0.25">
      <c r="Z18348">
        <v>400000</v>
      </c>
    </row>
    <row r="18349" spans="26:26" x14ac:dyDescent="0.25">
      <c r="Z18349">
        <v>400000</v>
      </c>
    </row>
    <row r="18350" spans="26:26" x14ac:dyDescent="0.25">
      <c r="Z18350">
        <v>400000</v>
      </c>
    </row>
    <row r="18351" spans="26:26" x14ac:dyDescent="0.25">
      <c r="Z18351">
        <v>400000</v>
      </c>
    </row>
    <row r="18352" spans="26:26" x14ac:dyDescent="0.25">
      <c r="Z18352">
        <v>400000</v>
      </c>
    </row>
    <row r="18353" spans="26:26" x14ac:dyDescent="0.25">
      <c r="Z18353">
        <v>400000</v>
      </c>
    </row>
    <row r="18354" spans="26:26" x14ac:dyDescent="0.25">
      <c r="Z18354">
        <v>400000</v>
      </c>
    </row>
    <row r="18355" spans="26:26" x14ac:dyDescent="0.25">
      <c r="Z18355">
        <v>400000</v>
      </c>
    </row>
    <row r="18356" spans="26:26" x14ac:dyDescent="0.25">
      <c r="Z18356">
        <v>400000</v>
      </c>
    </row>
    <row r="18357" spans="26:26" x14ac:dyDescent="0.25">
      <c r="Z18357">
        <v>400000</v>
      </c>
    </row>
    <row r="18358" spans="26:26" x14ac:dyDescent="0.25">
      <c r="Z18358">
        <v>400000</v>
      </c>
    </row>
    <row r="18359" spans="26:26" x14ac:dyDescent="0.25">
      <c r="Z18359">
        <v>400000</v>
      </c>
    </row>
    <row r="18360" spans="26:26" x14ac:dyDescent="0.25">
      <c r="Z18360">
        <v>400000</v>
      </c>
    </row>
    <row r="18361" spans="26:26" x14ac:dyDescent="0.25">
      <c r="Z18361">
        <v>400000</v>
      </c>
    </row>
    <row r="18362" spans="26:26" x14ac:dyDescent="0.25">
      <c r="Z18362">
        <v>400000</v>
      </c>
    </row>
    <row r="18363" spans="26:26" x14ac:dyDescent="0.25">
      <c r="Z18363">
        <v>400000</v>
      </c>
    </row>
    <row r="18364" spans="26:26" x14ac:dyDescent="0.25">
      <c r="Z18364">
        <v>400000</v>
      </c>
    </row>
    <row r="18365" spans="26:26" x14ac:dyDescent="0.25">
      <c r="Z18365">
        <v>400000</v>
      </c>
    </row>
    <row r="18366" spans="26:26" x14ac:dyDescent="0.25">
      <c r="Z18366">
        <v>400000</v>
      </c>
    </row>
    <row r="18367" spans="26:26" x14ac:dyDescent="0.25">
      <c r="Z18367">
        <v>400000</v>
      </c>
    </row>
    <row r="18368" spans="26:26" x14ac:dyDescent="0.25">
      <c r="Z18368">
        <v>400000</v>
      </c>
    </row>
    <row r="18369" spans="26:26" x14ac:dyDescent="0.25">
      <c r="Z18369">
        <v>400000</v>
      </c>
    </row>
    <row r="18370" spans="26:26" x14ac:dyDescent="0.25">
      <c r="Z18370">
        <v>400000</v>
      </c>
    </row>
    <row r="18371" spans="26:26" x14ac:dyDescent="0.25">
      <c r="Z18371">
        <v>400000</v>
      </c>
    </row>
    <row r="18372" spans="26:26" x14ac:dyDescent="0.25">
      <c r="Z18372">
        <v>400000</v>
      </c>
    </row>
    <row r="18373" spans="26:26" x14ac:dyDescent="0.25">
      <c r="Z18373">
        <v>400000</v>
      </c>
    </row>
    <row r="18374" spans="26:26" x14ac:dyDescent="0.25">
      <c r="Z18374">
        <v>400000</v>
      </c>
    </row>
    <row r="18375" spans="26:26" x14ac:dyDescent="0.25">
      <c r="Z18375">
        <v>400000</v>
      </c>
    </row>
    <row r="18376" spans="26:26" x14ac:dyDescent="0.25">
      <c r="Z18376">
        <v>400000</v>
      </c>
    </row>
    <row r="18377" spans="26:26" x14ac:dyDescent="0.25">
      <c r="Z18377">
        <v>400000</v>
      </c>
    </row>
    <row r="18378" spans="26:26" x14ac:dyDescent="0.25">
      <c r="Z18378">
        <v>400000</v>
      </c>
    </row>
    <row r="18379" spans="26:26" x14ac:dyDescent="0.25">
      <c r="Z18379">
        <v>400000</v>
      </c>
    </row>
    <row r="18380" spans="26:26" x14ac:dyDescent="0.25">
      <c r="Z18380">
        <v>400000</v>
      </c>
    </row>
    <row r="18381" spans="26:26" x14ac:dyDescent="0.25">
      <c r="Z18381">
        <v>400000</v>
      </c>
    </row>
    <row r="18382" spans="26:26" x14ac:dyDescent="0.25">
      <c r="Z18382">
        <v>400000</v>
      </c>
    </row>
    <row r="18383" spans="26:26" x14ac:dyDescent="0.25">
      <c r="Z18383">
        <v>400000</v>
      </c>
    </row>
    <row r="18384" spans="26:26" x14ac:dyDescent="0.25">
      <c r="Z18384">
        <v>400000</v>
      </c>
    </row>
    <row r="18385" spans="26:26" x14ac:dyDescent="0.25">
      <c r="Z18385">
        <v>400000</v>
      </c>
    </row>
    <row r="18386" spans="26:26" x14ac:dyDescent="0.25">
      <c r="Z18386">
        <v>400000</v>
      </c>
    </row>
    <row r="18387" spans="26:26" x14ac:dyDescent="0.25">
      <c r="Z18387">
        <v>400000</v>
      </c>
    </row>
    <row r="18388" spans="26:26" x14ac:dyDescent="0.25">
      <c r="Z18388">
        <v>400000</v>
      </c>
    </row>
    <row r="18389" spans="26:26" x14ac:dyDescent="0.25">
      <c r="Z18389">
        <v>400000</v>
      </c>
    </row>
    <row r="18390" spans="26:26" x14ac:dyDescent="0.25">
      <c r="Z18390">
        <v>400000</v>
      </c>
    </row>
    <row r="18391" spans="26:26" x14ac:dyDescent="0.25">
      <c r="Z18391">
        <v>400000</v>
      </c>
    </row>
    <row r="18392" spans="26:26" x14ac:dyDescent="0.25">
      <c r="Z18392">
        <v>400000</v>
      </c>
    </row>
    <row r="18393" spans="26:26" x14ac:dyDescent="0.25">
      <c r="Z18393">
        <v>400000</v>
      </c>
    </row>
    <row r="18394" spans="26:26" x14ac:dyDescent="0.25">
      <c r="Z18394">
        <v>400000</v>
      </c>
    </row>
    <row r="18395" spans="26:26" x14ac:dyDescent="0.25">
      <c r="Z18395">
        <v>400000</v>
      </c>
    </row>
    <row r="18396" spans="26:26" x14ac:dyDescent="0.25">
      <c r="Z18396">
        <v>400000</v>
      </c>
    </row>
    <row r="18397" spans="26:26" x14ac:dyDescent="0.25">
      <c r="Z18397">
        <v>400000</v>
      </c>
    </row>
    <row r="18398" spans="26:26" x14ac:dyDescent="0.25">
      <c r="Z18398">
        <v>400000</v>
      </c>
    </row>
    <row r="18399" spans="26:26" x14ac:dyDescent="0.25">
      <c r="Z18399">
        <v>400000</v>
      </c>
    </row>
    <row r="18400" spans="26:26" x14ac:dyDescent="0.25">
      <c r="Z18400">
        <v>400000</v>
      </c>
    </row>
    <row r="18401" spans="26:26" x14ac:dyDescent="0.25">
      <c r="Z18401">
        <v>400000</v>
      </c>
    </row>
    <row r="18402" spans="26:26" x14ac:dyDescent="0.25">
      <c r="Z18402">
        <v>400000</v>
      </c>
    </row>
    <row r="18403" spans="26:26" x14ac:dyDescent="0.25">
      <c r="Z18403">
        <v>400000</v>
      </c>
    </row>
    <row r="18404" spans="26:26" x14ac:dyDescent="0.25">
      <c r="Z18404">
        <v>400000</v>
      </c>
    </row>
    <row r="18405" spans="26:26" x14ac:dyDescent="0.25">
      <c r="Z18405">
        <v>400000</v>
      </c>
    </row>
    <row r="18406" spans="26:26" x14ac:dyDescent="0.25">
      <c r="Z18406">
        <v>400000</v>
      </c>
    </row>
    <row r="18407" spans="26:26" x14ac:dyDescent="0.25">
      <c r="Z18407">
        <v>400000</v>
      </c>
    </row>
    <row r="18408" spans="26:26" x14ac:dyDescent="0.25">
      <c r="Z18408">
        <v>400000</v>
      </c>
    </row>
    <row r="18409" spans="26:26" x14ac:dyDescent="0.25">
      <c r="Z18409">
        <v>400000</v>
      </c>
    </row>
    <row r="18410" spans="26:26" x14ac:dyDescent="0.25">
      <c r="Z18410">
        <v>400000</v>
      </c>
    </row>
    <row r="18411" spans="26:26" x14ac:dyDescent="0.25">
      <c r="Z18411">
        <v>400000</v>
      </c>
    </row>
    <row r="18412" spans="26:26" x14ac:dyDescent="0.25">
      <c r="Z18412">
        <v>400000</v>
      </c>
    </row>
    <row r="18413" spans="26:26" x14ac:dyDescent="0.25">
      <c r="Z18413">
        <v>400000</v>
      </c>
    </row>
    <row r="18414" spans="26:26" x14ac:dyDescent="0.25">
      <c r="Z18414">
        <v>400000</v>
      </c>
    </row>
    <row r="18415" spans="26:26" x14ac:dyDescent="0.25">
      <c r="Z18415">
        <v>400000</v>
      </c>
    </row>
    <row r="18416" spans="26:26" x14ac:dyDescent="0.25">
      <c r="Z18416">
        <v>400000</v>
      </c>
    </row>
    <row r="18417" spans="26:26" x14ac:dyDescent="0.25">
      <c r="Z18417">
        <v>400000</v>
      </c>
    </row>
    <row r="18418" spans="26:26" x14ac:dyDescent="0.25">
      <c r="Z18418">
        <v>400000</v>
      </c>
    </row>
    <row r="18419" spans="26:26" x14ac:dyDescent="0.25">
      <c r="Z18419">
        <v>400000</v>
      </c>
    </row>
    <row r="18420" spans="26:26" x14ac:dyDescent="0.25">
      <c r="Z18420">
        <v>400000</v>
      </c>
    </row>
    <row r="18421" spans="26:26" x14ac:dyDescent="0.25">
      <c r="Z18421">
        <v>400000</v>
      </c>
    </row>
    <row r="18422" spans="26:26" x14ac:dyDescent="0.25">
      <c r="Z18422">
        <v>400000</v>
      </c>
    </row>
    <row r="18423" spans="26:26" x14ac:dyDescent="0.25">
      <c r="Z18423">
        <v>400000</v>
      </c>
    </row>
    <row r="18424" spans="26:26" x14ac:dyDescent="0.25">
      <c r="Z18424">
        <v>400000</v>
      </c>
    </row>
    <row r="18425" spans="26:26" x14ac:dyDescent="0.25">
      <c r="Z18425">
        <v>400000</v>
      </c>
    </row>
    <row r="18426" spans="26:26" x14ac:dyDescent="0.25">
      <c r="Z18426">
        <v>400000</v>
      </c>
    </row>
    <row r="18427" spans="26:26" x14ac:dyDescent="0.25">
      <c r="Z18427">
        <v>400000</v>
      </c>
    </row>
    <row r="18428" spans="26:26" x14ac:dyDescent="0.25">
      <c r="Z18428">
        <v>400000</v>
      </c>
    </row>
    <row r="18429" spans="26:26" x14ac:dyDescent="0.25">
      <c r="Z18429">
        <v>400000</v>
      </c>
    </row>
    <row r="18430" spans="26:26" x14ac:dyDescent="0.25">
      <c r="Z18430">
        <v>400000</v>
      </c>
    </row>
    <row r="18431" spans="26:26" x14ac:dyDescent="0.25">
      <c r="Z18431">
        <v>400000</v>
      </c>
    </row>
    <row r="18432" spans="26:26" x14ac:dyDescent="0.25">
      <c r="Z18432">
        <v>400000</v>
      </c>
    </row>
    <row r="18433" spans="26:26" x14ac:dyDescent="0.25">
      <c r="Z18433">
        <v>400000</v>
      </c>
    </row>
    <row r="18434" spans="26:26" x14ac:dyDescent="0.25">
      <c r="Z18434">
        <v>400000</v>
      </c>
    </row>
    <row r="18435" spans="26:26" x14ac:dyDescent="0.25">
      <c r="Z18435">
        <v>400000</v>
      </c>
    </row>
    <row r="18436" spans="26:26" x14ac:dyDescent="0.25">
      <c r="Z18436">
        <v>400000</v>
      </c>
    </row>
    <row r="18437" spans="26:26" x14ac:dyDescent="0.25">
      <c r="Z18437">
        <v>400000</v>
      </c>
    </row>
    <row r="18438" spans="26:26" x14ac:dyDescent="0.25">
      <c r="Z18438">
        <v>400000</v>
      </c>
    </row>
    <row r="18439" spans="26:26" x14ac:dyDescent="0.25">
      <c r="Z18439">
        <v>400000</v>
      </c>
    </row>
    <row r="18440" spans="26:26" x14ac:dyDescent="0.25">
      <c r="Z18440">
        <v>400000</v>
      </c>
    </row>
    <row r="18441" spans="26:26" x14ac:dyDescent="0.25">
      <c r="Z18441">
        <v>400000</v>
      </c>
    </row>
    <row r="18442" spans="26:26" x14ac:dyDescent="0.25">
      <c r="Z18442">
        <v>400000</v>
      </c>
    </row>
    <row r="18443" spans="26:26" x14ac:dyDescent="0.25">
      <c r="Z18443">
        <v>400000</v>
      </c>
    </row>
    <row r="18444" spans="26:26" x14ac:dyDescent="0.25">
      <c r="Z18444">
        <v>400000</v>
      </c>
    </row>
    <row r="18445" spans="26:26" x14ac:dyDescent="0.25">
      <c r="Z18445">
        <v>400000</v>
      </c>
    </row>
    <row r="18446" spans="26:26" x14ac:dyDescent="0.25">
      <c r="Z18446">
        <v>400000</v>
      </c>
    </row>
    <row r="18447" spans="26:26" x14ac:dyDescent="0.25">
      <c r="Z18447">
        <v>400000</v>
      </c>
    </row>
    <row r="18448" spans="26:26" x14ac:dyDescent="0.25">
      <c r="Z18448">
        <v>400000</v>
      </c>
    </row>
    <row r="18449" spans="26:26" x14ac:dyDescent="0.25">
      <c r="Z18449">
        <v>400000</v>
      </c>
    </row>
    <row r="18450" spans="26:26" x14ac:dyDescent="0.25">
      <c r="Z18450">
        <v>400000</v>
      </c>
    </row>
    <row r="18451" spans="26:26" x14ac:dyDescent="0.25">
      <c r="Z18451">
        <v>400000</v>
      </c>
    </row>
    <row r="18452" spans="26:26" x14ac:dyDescent="0.25">
      <c r="Z18452">
        <v>400000</v>
      </c>
    </row>
    <row r="18453" spans="26:26" x14ac:dyDescent="0.25">
      <c r="Z18453">
        <v>400000</v>
      </c>
    </row>
    <row r="18454" spans="26:26" x14ac:dyDescent="0.25">
      <c r="Z18454">
        <v>400000</v>
      </c>
    </row>
    <row r="18455" spans="26:26" x14ac:dyDescent="0.25">
      <c r="Z18455">
        <v>400000</v>
      </c>
    </row>
    <row r="18456" spans="26:26" x14ac:dyDescent="0.25">
      <c r="Z18456">
        <v>400000</v>
      </c>
    </row>
    <row r="18457" spans="26:26" x14ac:dyDescent="0.25">
      <c r="Z18457">
        <v>400000</v>
      </c>
    </row>
    <row r="18458" spans="26:26" x14ac:dyDescent="0.25">
      <c r="Z18458">
        <v>400000</v>
      </c>
    </row>
    <row r="18459" spans="26:26" x14ac:dyDescent="0.25">
      <c r="Z18459">
        <v>400000</v>
      </c>
    </row>
    <row r="18460" spans="26:26" x14ac:dyDescent="0.25">
      <c r="Z18460">
        <v>400000</v>
      </c>
    </row>
    <row r="18461" spans="26:26" x14ac:dyDescent="0.25">
      <c r="Z18461">
        <v>400000</v>
      </c>
    </row>
    <row r="18462" spans="26:26" x14ac:dyDescent="0.25">
      <c r="Z18462">
        <v>400000</v>
      </c>
    </row>
    <row r="18463" spans="26:26" x14ac:dyDescent="0.25">
      <c r="Z18463">
        <v>400000</v>
      </c>
    </row>
    <row r="18464" spans="26:26" x14ac:dyDescent="0.25">
      <c r="Z18464">
        <v>400000</v>
      </c>
    </row>
    <row r="18465" spans="26:26" x14ac:dyDescent="0.25">
      <c r="Z18465">
        <v>400000</v>
      </c>
    </row>
    <row r="18466" spans="26:26" x14ac:dyDescent="0.25">
      <c r="Z18466">
        <v>400000</v>
      </c>
    </row>
    <row r="18467" spans="26:26" x14ac:dyDescent="0.25">
      <c r="Z18467">
        <v>400000</v>
      </c>
    </row>
    <row r="18468" spans="26:26" x14ac:dyDescent="0.25">
      <c r="Z18468">
        <v>400000</v>
      </c>
    </row>
    <row r="18469" spans="26:26" x14ac:dyDescent="0.25">
      <c r="Z18469">
        <v>400000</v>
      </c>
    </row>
    <row r="18470" spans="26:26" x14ac:dyDescent="0.25">
      <c r="Z18470">
        <v>400000</v>
      </c>
    </row>
    <row r="18471" spans="26:26" x14ac:dyDescent="0.25">
      <c r="Z18471">
        <v>400000</v>
      </c>
    </row>
    <row r="18472" spans="26:26" x14ac:dyDescent="0.25">
      <c r="Z18472">
        <v>400000</v>
      </c>
    </row>
    <row r="18473" spans="26:26" x14ac:dyDescent="0.25">
      <c r="Z18473">
        <v>400000</v>
      </c>
    </row>
    <row r="18474" spans="26:26" x14ac:dyDescent="0.25">
      <c r="Z18474">
        <v>400000</v>
      </c>
    </row>
    <row r="18475" spans="26:26" x14ac:dyDescent="0.25">
      <c r="Z18475">
        <v>400000</v>
      </c>
    </row>
    <row r="18476" spans="26:26" x14ac:dyDescent="0.25">
      <c r="Z18476">
        <v>400000</v>
      </c>
    </row>
    <row r="18477" spans="26:26" x14ac:dyDescent="0.25">
      <c r="Z18477">
        <v>400000</v>
      </c>
    </row>
    <row r="18478" spans="26:26" x14ac:dyDescent="0.25">
      <c r="Z18478">
        <v>400000</v>
      </c>
    </row>
    <row r="18479" spans="26:26" x14ac:dyDescent="0.25">
      <c r="Z18479">
        <v>400000</v>
      </c>
    </row>
    <row r="18480" spans="26:26" x14ac:dyDescent="0.25">
      <c r="Z18480">
        <v>400000</v>
      </c>
    </row>
    <row r="18481" spans="26:26" x14ac:dyDescent="0.25">
      <c r="Z18481">
        <v>400000</v>
      </c>
    </row>
    <row r="18482" spans="26:26" x14ac:dyDescent="0.25">
      <c r="Z18482">
        <v>400000</v>
      </c>
    </row>
    <row r="18483" spans="26:26" x14ac:dyDescent="0.25">
      <c r="Z18483">
        <v>400000</v>
      </c>
    </row>
    <row r="18484" spans="26:26" x14ac:dyDescent="0.25">
      <c r="Z18484">
        <v>400000</v>
      </c>
    </row>
    <row r="18485" spans="26:26" x14ac:dyDescent="0.25">
      <c r="Z18485">
        <v>400000</v>
      </c>
    </row>
    <row r="18486" spans="26:26" x14ac:dyDescent="0.25">
      <c r="Z18486">
        <v>400000</v>
      </c>
    </row>
    <row r="18487" spans="26:26" x14ac:dyDescent="0.25">
      <c r="Z18487">
        <v>400000</v>
      </c>
    </row>
    <row r="18488" spans="26:26" x14ac:dyDescent="0.25">
      <c r="Z18488">
        <v>400000</v>
      </c>
    </row>
    <row r="18489" spans="26:26" x14ac:dyDescent="0.25">
      <c r="Z18489">
        <v>400000</v>
      </c>
    </row>
    <row r="18490" spans="26:26" x14ac:dyDescent="0.25">
      <c r="Z18490">
        <v>400000</v>
      </c>
    </row>
    <row r="18491" spans="26:26" x14ac:dyDescent="0.25">
      <c r="Z18491">
        <v>400000</v>
      </c>
    </row>
    <row r="18492" spans="26:26" x14ac:dyDescent="0.25">
      <c r="Z18492">
        <v>400000</v>
      </c>
    </row>
    <row r="18493" spans="26:26" x14ac:dyDescent="0.25">
      <c r="Z18493">
        <v>400000</v>
      </c>
    </row>
    <row r="18494" spans="26:26" x14ac:dyDescent="0.25">
      <c r="Z18494">
        <v>400000</v>
      </c>
    </row>
    <row r="18495" spans="26:26" x14ac:dyDescent="0.25">
      <c r="Z18495">
        <v>400000</v>
      </c>
    </row>
    <row r="18496" spans="26:26" x14ac:dyDescent="0.25">
      <c r="Z18496">
        <v>400000</v>
      </c>
    </row>
    <row r="18497" spans="26:26" x14ac:dyDescent="0.25">
      <c r="Z18497">
        <v>400000</v>
      </c>
    </row>
    <row r="18498" spans="26:26" x14ac:dyDescent="0.25">
      <c r="Z18498">
        <v>400000</v>
      </c>
    </row>
    <row r="18499" spans="26:26" x14ac:dyDescent="0.25">
      <c r="Z18499">
        <v>400000</v>
      </c>
    </row>
    <row r="18500" spans="26:26" x14ac:dyDescent="0.25">
      <c r="Z18500">
        <v>400000</v>
      </c>
    </row>
    <row r="18501" spans="26:26" x14ac:dyDescent="0.25">
      <c r="Z18501">
        <v>400000</v>
      </c>
    </row>
    <row r="18502" spans="26:26" x14ac:dyDescent="0.25">
      <c r="Z18502">
        <v>400000</v>
      </c>
    </row>
    <row r="18503" spans="26:26" x14ac:dyDescent="0.25">
      <c r="Z18503">
        <v>400000</v>
      </c>
    </row>
    <row r="18504" spans="26:26" x14ac:dyDescent="0.25">
      <c r="Z18504">
        <v>400000</v>
      </c>
    </row>
    <row r="18505" spans="26:26" x14ac:dyDescent="0.25">
      <c r="Z18505">
        <v>400000</v>
      </c>
    </row>
    <row r="18506" spans="26:26" x14ac:dyDescent="0.25">
      <c r="Z18506">
        <v>400000</v>
      </c>
    </row>
    <row r="18507" spans="26:26" x14ac:dyDescent="0.25">
      <c r="Z18507">
        <v>400000</v>
      </c>
    </row>
    <row r="18508" spans="26:26" x14ac:dyDescent="0.25">
      <c r="Z18508">
        <v>400000</v>
      </c>
    </row>
    <row r="18509" spans="26:26" x14ac:dyDescent="0.25">
      <c r="Z18509">
        <v>400000</v>
      </c>
    </row>
    <row r="18510" spans="26:26" x14ac:dyDescent="0.25">
      <c r="Z18510">
        <v>400000</v>
      </c>
    </row>
    <row r="18511" spans="26:26" x14ac:dyDescent="0.25">
      <c r="Z18511">
        <v>400000</v>
      </c>
    </row>
    <row r="18512" spans="26:26" x14ac:dyDescent="0.25">
      <c r="Z18512">
        <v>400000</v>
      </c>
    </row>
    <row r="18513" spans="26:26" x14ac:dyDescent="0.25">
      <c r="Z18513">
        <v>400000</v>
      </c>
    </row>
    <row r="18514" spans="26:26" x14ac:dyDescent="0.25">
      <c r="Z18514">
        <v>400000</v>
      </c>
    </row>
    <row r="18515" spans="26:26" x14ac:dyDescent="0.25">
      <c r="Z18515">
        <v>400000</v>
      </c>
    </row>
    <row r="18516" spans="26:26" x14ac:dyDescent="0.25">
      <c r="Z18516">
        <v>400000</v>
      </c>
    </row>
    <row r="18517" spans="26:26" x14ac:dyDescent="0.25">
      <c r="Z18517">
        <v>400000</v>
      </c>
    </row>
    <row r="18518" spans="26:26" x14ac:dyDescent="0.25">
      <c r="Z18518">
        <v>400000</v>
      </c>
    </row>
    <row r="18519" spans="26:26" x14ac:dyDescent="0.25">
      <c r="Z18519">
        <v>400000</v>
      </c>
    </row>
    <row r="18520" spans="26:26" x14ac:dyDescent="0.25">
      <c r="Z18520">
        <v>400000</v>
      </c>
    </row>
    <row r="18521" spans="26:26" x14ac:dyDescent="0.25">
      <c r="Z18521">
        <v>400000</v>
      </c>
    </row>
    <row r="18522" spans="26:26" x14ac:dyDescent="0.25">
      <c r="Z18522">
        <v>400000</v>
      </c>
    </row>
    <row r="18523" spans="26:26" x14ac:dyDescent="0.25">
      <c r="Z18523">
        <v>400000</v>
      </c>
    </row>
    <row r="18524" spans="26:26" x14ac:dyDescent="0.25">
      <c r="Z18524">
        <v>400000</v>
      </c>
    </row>
    <row r="18525" spans="26:26" x14ac:dyDescent="0.25">
      <c r="Z18525">
        <v>400000</v>
      </c>
    </row>
    <row r="18526" spans="26:26" x14ac:dyDescent="0.25">
      <c r="Z18526">
        <v>400000</v>
      </c>
    </row>
    <row r="18527" spans="26:26" x14ac:dyDescent="0.25">
      <c r="Z18527">
        <v>400000</v>
      </c>
    </row>
    <row r="18528" spans="26:26" x14ac:dyDescent="0.25">
      <c r="Z18528">
        <v>400000</v>
      </c>
    </row>
    <row r="18529" spans="26:26" x14ac:dyDescent="0.25">
      <c r="Z18529">
        <v>400000</v>
      </c>
    </row>
    <row r="18530" spans="26:26" x14ac:dyDescent="0.25">
      <c r="Z18530">
        <v>400000</v>
      </c>
    </row>
    <row r="18531" spans="26:26" x14ac:dyDescent="0.25">
      <c r="Z18531">
        <v>400000</v>
      </c>
    </row>
    <row r="18532" spans="26:26" x14ac:dyDescent="0.25">
      <c r="Z18532">
        <v>400000</v>
      </c>
    </row>
    <row r="18533" spans="26:26" x14ac:dyDescent="0.25">
      <c r="Z18533">
        <v>400000</v>
      </c>
    </row>
    <row r="18534" spans="26:26" x14ac:dyDescent="0.25">
      <c r="Z18534">
        <v>400000</v>
      </c>
    </row>
    <row r="18535" spans="26:26" x14ac:dyDescent="0.25">
      <c r="Z18535">
        <v>400000</v>
      </c>
    </row>
    <row r="18536" spans="26:26" x14ac:dyDescent="0.25">
      <c r="Z18536">
        <v>400000</v>
      </c>
    </row>
    <row r="18537" spans="26:26" x14ac:dyDescent="0.25">
      <c r="Z18537">
        <v>400000</v>
      </c>
    </row>
    <row r="18538" spans="26:26" x14ac:dyDescent="0.25">
      <c r="Z18538">
        <v>400000</v>
      </c>
    </row>
    <row r="18539" spans="26:26" x14ac:dyDescent="0.25">
      <c r="Z18539">
        <v>400000</v>
      </c>
    </row>
    <row r="18540" spans="26:26" x14ac:dyDescent="0.25">
      <c r="Z18540">
        <v>400000</v>
      </c>
    </row>
    <row r="18541" spans="26:26" x14ac:dyDescent="0.25">
      <c r="Z18541">
        <v>400000</v>
      </c>
    </row>
    <row r="18542" spans="26:26" x14ac:dyDescent="0.25">
      <c r="Z18542">
        <v>400000</v>
      </c>
    </row>
    <row r="18543" spans="26:26" x14ac:dyDescent="0.25">
      <c r="Z18543">
        <v>400000</v>
      </c>
    </row>
    <row r="18544" spans="26:26" x14ac:dyDescent="0.25">
      <c r="Z18544">
        <v>400000</v>
      </c>
    </row>
    <row r="18545" spans="26:26" x14ac:dyDescent="0.25">
      <c r="Z18545">
        <v>400000</v>
      </c>
    </row>
    <row r="18546" spans="26:26" x14ac:dyDescent="0.25">
      <c r="Z18546">
        <v>400000</v>
      </c>
    </row>
    <row r="18547" spans="26:26" x14ac:dyDescent="0.25">
      <c r="Z18547">
        <v>400000</v>
      </c>
    </row>
    <row r="18548" spans="26:26" x14ac:dyDescent="0.25">
      <c r="Z18548">
        <v>400000</v>
      </c>
    </row>
    <row r="18549" spans="26:26" x14ac:dyDescent="0.25">
      <c r="Z18549">
        <v>400000</v>
      </c>
    </row>
    <row r="18550" spans="26:26" x14ac:dyDescent="0.25">
      <c r="Z18550">
        <v>400000</v>
      </c>
    </row>
    <row r="18551" spans="26:26" x14ac:dyDescent="0.25">
      <c r="Z18551">
        <v>400000</v>
      </c>
    </row>
    <row r="18552" spans="26:26" x14ac:dyDescent="0.25">
      <c r="Z18552">
        <v>400000</v>
      </c>
    </row>
    <row r="18553" spans="26:26" x14ac:dyDescent="0.25">
      <c r="Z18553">
        <v>400000</v>
      </c>
    </row>
    <row r="18554" spans="26:26" x14ac:dyDescent="0.25">
      <c r="Z18554">
        <v>400000</v>
      </c>
    </row>
    <row r="18555" spans="26:26" x14ac:dyDescent="0.25">
      <c r="Z18555">
        <v>400000</v>
      </c>
    </row>
    <row r="18556" spans="26:26" x14ac:dyDescent="0.25">
      <c r="Z18556">
        <v>400000</v>
      </c>
    </row>
    <row r="18557" spans="26:26" x14ac:dyDescent="0.25">
      <c r="Z18557">
        <v>400000</v>
      </c>
    </row>
    <row r="18558" spans="26:26" x14ac:dyDescent="0.25">
      <c r="Z18558">
        <v>400000</v>
      </c>
    </row>
    <row r="18559" spans="26:26" x14ac:dyDescent="0.25">
      <c r="Z18559">
        <v>400000</v>
      </c>
    </row>
    <row r="18560" spans="26:26" x14ac:dyDescent="0.25">
      <c r="Z18560">
        <v>400000</v>
      </c>
    </row>
    <row r="18561" spans="26:26" x14ac:dyDescent="0.25">
      <c r="Z18561">
        <v>400000</v>
      </c>
    </row>
    <row r="18562" spans="26:26" x14ac:dyDescent="0.25">
      <c r="Z18562">
        <v>400000</v>
      </c>
    </row>
    <row r="18563" spans="26:26" x14ac:dyDescent="0.25">
      <c r="Z18563">
        <v>400000</v>
      </c>
    </row>
    <row r="18564" spans="26:26" x14ac:dyDescent="0.25">
      <c r="Z18564">
        <v>400000</v>
      </c>
    </row>
    <row r="18565" spans="26:26" x14ac:dyDescent="0.25">
      <c r="Z18565">
        <v>400000</v>
      </c>
    </row>
    <row r="18566" spans="26:26" x14ac:dyDescent="0.25">
      <c r="Z18566">
        <v>400000</v>
      </c>
    </row>
    <row r="18567" spans="26:26" x14ac:dyDescent="0.25">
      <c r="Z18567">
        <v>400000</v>
      </c>
    </row>
    <row r="18568" spans="26:26" x14ac:dyDescent="0.25">
      <c r="Z18568">
        <v>400000</v>
      </c>
    </row>
    <row r="18569" spans="26:26" x14ac:dyDescent="0.25">
      <c r="Z18569">
        <v>400000</v>
      </c>
    </row>
    <row r="18570" spans="26:26" x14ac:dyDescent="0.25">
      <c r="Z18570">
        <v>400000</v>
      </c>
    </row>
    <row r="18571" spans="26:26" x14ac:dyDescent="0.25">
      <c r="Z18571">
        <v>400000</v>
      </c>
    </row>
    <row r="18572" spans="26:26" x14ac:dyDescent="0.25">
      <c r="Z18572">
        <v>400000</v>
      </c>
    </row>
    <row r="18573" spans="26:26" x14ac:dyDescent="0.25">
      <c r="Z18573">
        <v>400000</v>
      </c>
    </row>
    <row r="18574" spans="26:26" x14ac:dyDescent="0.25">
      <c r="Z18574">
        <v>400000</v>
      </c>
    </row>
    <row r="18575" spans="26:26" x14ac:dyDescent="0.25">
      <c r="Z18575">
        <v>400000</v>
      </c>
    </row>
    <row r="18576" spans="26:26" x14ac:dyDescent="0.25">
      <c r="Z18576">
        <v>400000</v>
      </c>
    </row>
    <row r="18577" spans="26:26" x14ac:dyDescent="0.25">
      <c r="Z18577">
        <v>400000</v>
      </c>
    </row>
    <row r="18578" spans="26:26" x14ac:dyDescent="0.25">
      <c r="Z18578">
        <v>400000</v>
      </c>
    </row>
    <row r="18579" spans="26:26" x14ac:dyDescent="0.25">
      <c r="Z18579">
        <v>400000</v>
      </c>
    </row>
    <row r="18580" spans="26:26" x14ac:dyDescent="0.25">
      <c r="Z18580">
        <v>400000</v>
      </c>
    </row>
    <row r="18581" spans="26:26" x14ac:dyDescent="0.25">
      <c r="Z18581">
        <v>400000</v>
      </c>
    </row>
    <row r="18582" spans="26:26" x14ac:dyDescent="0.25">
      <c r="Z18582">
        <v>400000</v>
      </c>
    </row>
    <row r="18583" spans="26:26" x14ac:dyDescent="0.25">
      <c r="Z18583">
        <v>400000</v>
      </c>
    </row>
    <row r="18584" spans="26:26" x14ac:dyDescent="0.25">
      <c r="Z18584">
        <v>400000</v>
      </c>
    </row>
    <row r="18585" spans="26:26" x14ac:dyDescent="0.25">
      <c r="Z18585">
        <v>400000</v>
      </c>
    </row>
    <row r="18586" spans="26:26" x14ac:dyDescent="0.25">
      <c r="Z18586">
        <v>400000</v>
      </c>
    </row>
    <row r="18587" spans="26:26" x14ac:dyDescent="0.25">
      <c r="Z18587">
        <v>400000</v>
      </c>
    </row>
    <row r="18588" spans="26:26" x14ac:dyDescent="0.25">
      <c r="Z18588">
        <v>400000</v>
      </c>
    </row>
    <row r="18589" spans="26:26" x14ac:dyDescent="0.25">
      <c r="Z18589">
        <v>400000</v>
      </c>
    </row>
    <row r="18590" spans="26:26" x14ac:dyDescent="0.25">
      <c r="Z18590">
        <v>400000</v>
      </c>
    </row>
    <row r="18591" spans="26:26" x14ac:dyDescent="0.25">
      <c r="Z18591">
        <v>400000</v>
      </c>
    </row>
    <row r="18592" spans="26:26" x14ac:dyDescent="0.25">
      <c r="Z18592">
        <v>400000</v>
      </c>
    </row>
    <row r="18593" spans="26:26" x14ac:dyDescent="0.25">
      <c r="Z18593">
        <v>400000</v>
      </c>
    </row>
    <row r="18594" spans="26:26" x14ac:dyDescent="0.25">
      <c r="Z18594">
        <v>400000</v>
      </c>
    </row>
    <row r="18595" spans="26:26" x14ac:dyDescent="0.25">
      <c r="Z18595">
        <v>400000</v>
      </c>
    </row>
    <row r="18596" spans="26:26" x14ac:dyDescent="0.25">
      <c r="Z18596">
        <v>400000</v>
      </c>
    </row>
    <row r="18597" spans="26:26" x14ac:dyDescent="0.25">
      <c r="Z18597">
        <v>400000</v>
      </c>
    </row>
    <row r="18598" spans="26:26" x14ac:dyDescent="0.25">
      <c r="Z18598">
        <v>400000</v>
      </c>
    </row>
    <row r="18599" spans="26:26" x14ac:dyDescent="0.25">
      <c r="Z18599">
        <v>400000</v>
      </c>
    </row>
    <row r="18600" spans="26:26" x14ac:dyDescent="0.25">
      <c r="Z18600">
        <v>400000</v>
      </c>
    </row>
    <row r="18601" spans="26:26" x14ac:dyDescent="0.25">
      <c r="Z18601">
        <v>400000</v>
      </c>
    </row>
    <row r="18602" spans="26:26" x14ac:dyDescent="0.25">
      <c r="Z18602">
        <v>400000</v>
      </c>
    </row>
    <row r="18603" spans="26:26" x14ac:dyDescent="0.25">
      <c r="Z18603">
        <v>400000</v>
      </c>
    </row>
    <row r="18604" spans="26:26" x14ac:dyDescent="0.25">
      <c r="Z18604">
        <v>400000</v>
      </c>
    </row>
    <row r="18605" spans="26:26" x14ac:dyDescent="0.25">
      <c r="Z18605">
        <v>400000</v>
      </c>
    </row>
    <row r="18606" spans="26:26" x14ac:dyDescent="0.25">
      <c r="Z18606">
        <v>400000</v>
      </c>
    </row>
    <row r="18607" spans="26:26" x14ac:dyDescent="0.25">
      <c r="Z18607">
        <v>400000</v>
      </c>
    </row>
    <row r="18608" spans="26:26" x14ac:dyDescent="0.25">
      <c r="Z18608">
        <v>400000</v>
      </c>
    </row>
    <row r="18609" spans="26:26" x14ac:dyDescent="0.25">
      <c r="Z18609">
        <v>400000</v>
      </c>
    </row>
    <row r="18610" spans="26:26" x14ac:dyDescent="0.25">
      <c r="Z18610">
        <v>400000</v>
      </c>
    </row>
    <row r="18611" spans="26:26" x14ac:dyDescent="0.25">
      <c r="Z18611">
        <v>400000</v>
      </c>
    </row>
    <row r="18612" spans="26:26" x14ac:dyDescent="0.25">
      <c r="Z18612">
        <v>400000</v>
      </c>
    </row>
    <row r="18613" spans="26:26" x14ac:dyDescent="0.25">
      <c r="Z18613">
        <v>400000</v>
      </c>
    </row>
    <row r="18614" spans="26:26" x14ac:dyDescent="0.25">
      <c r="Z18614">
        <v>400000</v>
      </c>
    </row>
    <row r="18615" spans="26:26" x14ac:dyDescent="0.25">
      <c r="Z18615">
        <v>400000</v>
      </c>
    </row>
    <row r="18616" spans="26:26" x14ac:dyDescent="0.25">
      <c r="Z18616">
        <v>400000</v>
      </c>
    </row>
    <row r="18617" spans="26:26" x14ac:dyDescent="0.25">
      <c r="Z18617">
        <v>400000</v>
      </c>
    </row>
    <row r="18618" spans="26:26" x14ac:dyDescent="0.25">
      <c r="Z18618">
        <v>400000</v>
      </c>
    </row>
    <row r="18619" spans="26:26" x14ac:dyDescent="0.25">
      <c r="Z18619">
        <v>400000</v>
      </c>
    </row>
    <row r="18620" spans="26:26" x14ac:dyDescent="0.25">
      <c r="Z18620">
        <v>400000</v>
      </c>
    </row>
    <row r="18621" spans="26:26" x14ac:dyDescent="0.25">
      <c r="Z18621">
        <v>400000</v>
      </c>
    </row>
    <row r="18622" spans="26:26" x14ac:dyDescent="0.25">
      <c r="Z18622">
        <v>400000</v>
      </c>
    </row>
    <row r="18623" spans="26:26" x14ac:dyDescent="0.25">
      <c r="Z18623">
        <v>400000</v>
      </c>
    </row>
    <row r="18624" spans="26:26" x14ac:dyDescent="0.25">
      <c r="Z18624">
        <v>400000</v>
      </c>
    </row>
    <row r="18625" spans="26:26" x14ac:dyDescent="0.25">
      <c r="Z18625">
        <v>400000</v>
      </c>
    </row>
    <row r="18626" spans="26:26" x14ac:dyDescent="0.25">
      <c r="Z18626">
        <v>400000</v>
      </c>
    </row>
    <row r="18627" spans="26:26" x14ac:dyDescent="0.25">
      <c r="Z18627">
        <v>400000</v>
      </c>
    </row>
    <row r="18628" spans="26:26" x14ac:dyDescent="0.25">
      <c r="Z18628">
        <v>400000</v>
      </c>
    </row>
    <row r="18629" spans="26:26" x14ac:dyDescent="0.25">
      <c r="Z18629">
        <v>400000</v>
      </c>
    </row>
    <row r="18630" spans="26:26" x14ac:dyDescent="0.25">
      <c r="Z18630">
        <v>400000</v>
      </c>
    </row>
    <row r="18631" spans="26:26" x14ac:dyDescent="0.25">
      <c r="Z18631">
        <v>400000</v>
      </c>
    </row>
    <row r="18632" spans="26:26" x14ac:dyDescent="0.25">
      <c r="Z18632">
        <v>400000</v>
      </c>
    </row>
    <row r="18633" spans="26:26" x14ac:dyDescent="0.25">
      <c r="Z18633">
        <v>400000</v>
      </c>
    </row>
    <row r="18634" spans="26:26" x14ac:dyDescent="0.25">
      <c r="Z18634">
        <v>400000</v>
      </c>
    </row>
    <row r="18635" spans="26:26" x14ac:dyDescent="0.25">
      <c r="Z18635">
        <v>400000</v>
      </c>
    </row>
    <row r="18636" spans="26:26" x14ac:dyDescent="0.25">
      <c r="Z18636">
        <v>400000</v>
      </c>
    </row>
    <row r="18637" spans="26:26" x14ac:dyDescent="0.25">
      <c r="Z18637">
        <v>400000</v>
      </c>
    </row>
    <row r="18638" spans="26:26" x14ac:dyDescent="0.25">
      <c r="Z18638">
        <v>400000</v>
      </c>
    </row>
    <row r="18639" spans="26:26" x14ac:dyDescent="0.25">
      <c r="Z18639">
        <v>400000</v>
      </c>
    </row>
    <row r="18640" spans="26:26" x14ac:dyDescent="0.25">
      <c r="Z18640">
        <v>400000</v>
      </c>
    </row>
    <row r="18641" spans="26:26" x14ac:dyDescent="0.25">
      <c r="Z18641">
        <v>400000</v>
      </c>
    </row>
    <row r="18642" spans="26:26" x14ac:dyDescent="0.25">
      <c r="Z18642">
        <v>400000</v>
      </c>
    </row>
    <row r="18643" spans="26:26" x14ac:dyDescent="0.25">
      <c r="Z18643">
        <v>400000</v>
      </c>
    </row>
    <row r="18644" spans="26:26" x14ac:dyDescent="0.25">
      <c r="Z18644">
        <v>400000</v>
      </c>
    </row>
    <row r="18645" spans="26:26" x14ac:dyDescent="0.25">
      <c r="Z18645">
        <v>400000</v>
      </c>
    </row>
    <row r="18646" spans="26:26" x14ac:dyDescent="0.25">
      <c r="Z18646">
        <v>400000</v>
      </c>
    </row>
    <row r="18647" spans="26:26" x14ac:dyDescent="0.25">
      <c r="Z18647">
        <v>400000</v>
      </c>
    </row>
    <row r="18648" spans="26:26" x14ac:dyDescent="0.25">
      <c r="Z18648">
        <v>400000</v>
      </c>
    </row>
    <row r="18649" spans="26:26" x14ac:dyDescent="0.25">
      <c r="Z18649">
        <v>400000</v>
      </c>
    </row>
    <row r="18650" spans="26:26" x14ac:dyDescent="0.25">
      <c r="Z18650">
        <v>400000</v>
      </c>
    </row>
    <row r="18651" spans="26:26" x14ac:dyDescent="0.25">
      <c r="Z18651">
        <v>400000</v>
      </c>
    </row>
    <row r="18652" spans="26:26" x14ac:dyDescent="0.25">
      <c r="Z18652">
        <v>400000</v>
      </c>
    </row>
    <row r="18653" spans="26:26" x14ac:dyDescent="0.25">
      <c r="Z18653">
        <v>400000</v>
      </c>
    </row>
    <row r="18654" spans="26:26" x14ac:dyDescent="0.25">
      <c r="Z18654">
        <v>400000</v>
      </c>
    </row>
    <row r="18655" spans="26:26" x14ac:dyDescent="0.25">
      <c r="Z18655">
        <v>400000</v>
      </c>
    </row>
    <row r="18656" spans="26:26" x14ac:dyDescent="0.25">
      <c r="Z18656">
        <v>400000</v>
      </c>
    </row>
    <row r="18657" spans="26:26" x14ac:dyDescent="0.25">
      <c r="Z18657">
        <v>400000</v>
      </c>
    </row>
    <row r="18658" spans="26:26" x14ac:dyDescent="0.25">
      <c r="Z18658">
        <v>400000</v>
      </c>
    </row>
    <row r="18659" spans="26:26" x14ac:dyDescent="0.25">
      <c r="Z18659">
        <v>400000</v>
      </c>
    </row>
    <row r="18660" spans="26:26" x14ac:dyDescent="0.25">
      <c r="Z18660">
        <v>400000</v>
      </c>
    </row>
    <row r="18661" spans="26:26" x14ac:dyDescent="0.25">
      <c r="Z18661">
        <v>400000</v>
      </c>
    </row>
    <row r="18662" spans="26:26" x14ac:dyDescent="0.25">
      <c r="Z18662">
        <v>400000</v>
      </c>
    </row>
    <row r="18663" spans="26:26" x14ac:dyDescent="0.25">
      <c r="Z18663">
        <v>400000</v>
      </c>
    </row>
    <row r="18664" spans="26:26" x14ac:dyDescent="0.25">
      <c r="Z18664">
        <v>400000</v>
      </c>
    </row>
    <row r="18665" spans="26:26" x14ac:dyDescent="0.25">
      <c r="Z18665">
        <v>400000</v>
      </c>
    </row>
    <row r="18666" spans="26:26" x14ac:dyDescent="0.25">
      <c r="Z18666">
        <v>400000</v>
      </c>
    </row>
    <row r="18667" spans="26:26" x14ac:dyDescent="0.25">
      <c r="Z18667">
        <v>400000</v>
      </c>
    </row>
    <row r="18668" spans="26:26" x14ac:dyDescent="0.25">
      <c r="Z18668">
        <v>400000</v>
      </c>
    </row>
    <row r="18669" spans="26:26" x14ac:dyDescent="0.25">
      <c r="Z18669">
        <v>400000</v>
      </c>
    </row>
    <row r="18670" spans="26:26" x14ac:dyDescent="0.25">
      <c r="Z18670">
        <v>400000</v>
      </c>
    </row>
    <row r="18671" spans="26:26" x14ac:dyDescent="0.25">
      <c r="Z18671">
        <v>400000</v>
      </c>
    </row>
    <row r="18672" spans="26:26" x14ac:dyDescent="0.25">
      <c r="Z18672">
        <v>400000</v>
      </c>
    </row>
    <row r="18673" spans="26:26" x14ac:dyDescent="0.25">
      <c r="Z18673">
        <v>400000</v>
      </c>
    </row>
    <row r="18674" spans="26:26" x14ac:dyDescent="0.25">
      <c r="Z18674">
        <v>400000</v>
      </c>
    </row>
    <row r="18675" spans="26:26" x14ac:dyDescent="0.25">
      <c r="Z18675">
        <v>400000</v>
      </c>
    </row>
    <row r="18676" spans="26:26" x14ac:dyDescent="0.25">
      <c r="Z18676">
        <v>400000</v>
      </c>
    </row>
    <row r="18677" spans="26:26" x14ac:dyDescent="0.25">
      <c r="Z18677">
        <v>400000</v>
      </c>
    </row>
    <row r="18678" spans="26:26" x14ac:dyDescent="0.25">
      <c r="Z18678">
        <v>400000</v>
      </c>
    </row>
    <row r="18679" spans="26:26" x14ac:dyDescent="0.25">
      <c r="Z18679">
        <v>400000</v>
      </c>
    </row>
    <row r="18680" spans="26:26" x14ac:dyDescent="0.25">
      <c r="Z18680">
        <v>400000</v>
      </c>
    </row>
    <row r="18681" spans="26:26" x14ac:dyDescent="0.25">
      <c r="Z18681">
        <v>400000</v>
      </c>
    </row>
    <row r="18682" spans="26:26" x14ac:dyDescent="0.25">
      <c r="Z18682">
        <v>400000</v>
      </c>
    </row>
    <row r="18683" spans="26:26" x14ac:dyDescent="0.25">
      <c r="Z18683">
        <v>400000</v>
      </c>
    </row>
    <row r="18684" spans="26:26" x14ac:dyDescent="0.25">
      <c r="Z18684">
        <v>400000</v>
      </c>
    </row>
    <row r="18685" spans="26:26" x14ac:dyDescent="0.25">
      <c r="Z18685">
        <v>400000</v>
      </c>
    </row>
    <row r="18686" spans="26:26" x14ac:dyDescent="0.25">
      <c r="Z18686">
        <v>400000</v>
      </c>
    </row>
    <row r="18687" spans="26:26" x14ac:dyDescent="0.25">
      <c r="Z18687">
        <v>400000</v>
      </c>
    </row>
    <row r="18688" spans="26:26" x14ac:dyDescent="0.25">
      <c r="Z18688">
        <v>400000</v>
      </c>
    </row>
    <row r="18689" spans="26:26" x14ac:dyDescent="0.25">
      <c r="Z18689">
        <v>400000</v>
      </c>
    </row>
    <row r="18690" spans="26:26" x14ac:dyDescent="0.25">
      <c r="Z18690">
        <v>400000</v>
      </c>
    </row>
    <row r="18691" spans="26:26" x14ac:dyDescent="0.25">
      <c r="Z18691">
        <v>400000</v>
      </c>
    </row>
    <row r="18692" spans="26:26" x14ac:dyDescent="0.25">
      <c r="Z18692">
        <v>400000</v>
      </c>
    </row>
    <row r="18693" spans="26:26" x14ac:dyDescent="0.25">
      <c r="Z18693">
        <v>400000</v>
      </c>
    </row>
    <row r="18694" spans="26:26" x14ac:dyDescent="0.25">
      <c r="Z18694">
        <v>400000</v>
      </c>
    </row>
    <row r="18695" spans="26:26" x14ac:dyDescent="0.25">
      <c r="Z18695">
        <v>400000</v>
      </c>
    </row>
    <row r="18696" spans="26:26" x14ac:dyDescent="0.25">
      <c r="Z18696">
        <v>400000</v>
      </c>
    </row>
    <row r="18697" spans="26:26" x14ac:dyDescent="0.25">
      <c r="Z18697">
        <v>400000</v>
      </c>
    </row>
    <row r="18698" spans="26:26" x14ac:dyDescent="0.25">
      <c r="Z18698">
        <v>400000</v>
      </c>
    </row>
    <row r="18699" spans="26:26" x14ac:dyDescent="0.25">
      <c r="Z18699">
        <v>400000</v>
      </c>
    </row>
    <row r="18700" spans="26:26" x14ac:dyDescent="0.25">
      <c r="Z18700">
        <v>400000</v>
      </c>
    </row>
    <row r="18701" spans="26:26" x14ac:dyDescent="0.25">
      <c r="Z18701">
        <v>400000</v>
      </c>
    </row>
    <row r="18702" spans="26:26" x14ac:dyDescent="0.25">
      <c r="Z18702">
        <v>400000</v>
      </c>
    </row>
    <row r="18703" spans="26:26" x14ac:dyDescent="0.25">
      <c r="Z18703">
        <v>400000</v>
      </c>
    </row>
    <row r="18704" spans="26:26" x14ac:dyDescent="0.25">
      <c r="Z18704">
        <v>400000</v>
      </c>
    </row>
    <row r="18705" spans="26:26" x14ac:dyDescent="0.25">
      <c r="Z18705">
        <v>400000</v>
      </c>
    </row>
    <row r="18706" spans="26:26" x14ac:dyDescent="0.25">
      <c r="Z18706">
        <v>400000</v>
      </c>
    </row>
    <row r="18707" spans="26:26" x14ac:dyDescent="0.25">
      <c r="Z18707">
        <v>400000</v>
      </c>
    </row>
    <row r="18708" spans="26:26" x14ac:dyDescent="0.25">
      <c r="Z18708">
        <v>400000</v>
      </c>
    </row>
    <row r="18709" spans="26:26" x14ac:dyDescent="0.25">
      <c r="Z18709">
        <v>400000</v>
      </c>
    </row>
    <row r="18710" spans="26:26" x14ac:dyDescent="0.25">
      <c r="Z18710">
        <v>400000</v>
      </c>
    </row>
    <row r="18711" spans="26:26" x14ac:dyDescent="0.25">
      <c r="Z18711">
        <v>400000</v>
      </c>
    </row>
    <row r="18712" spans="26:26" x14ac:dyDescent="0.25">
      <c r="Z18712">
        <v>400000</v>
      </c>
    </row>
    <row r="18713" spans="26:26" x14ac:dyDescent="0.25">
      <c r="Z18713">
        <v>400000</v>
      </c>
    </row>
    <row r="18714" spans="26:26" x14ac:dyDescent="0.25">
      <c r="Z18714">
        <v>400000</v>
      </c>
    </row>
    <row r="18715" spans="26:26" x14ac:dyDescent="0.25">
      <c r="Z18715">
        <v>400000</v>
      </c>
    </row>
    <row r="18716" spans="26:26" x14ac:dyDescent="0.25">
      <c r="Z18716">
        <v>400000</v>
      </c>
    </row>
    <row r="18717" spans="26:26" x14ac:dyDescent="0.25">
      <c r="Z18717">
        <v>400000</v>
      </c>
    </row>
    <row r="18718" spans="26:26" x14ac:dyDescent="0.25">
      <c r="Z18718">
        <v>400000</v>
      </c>
    </row>
    <row r="18719" spans="26:26" x14ac:dyDescent="0.25">
      <c r="Z18719">
        <v>400000</v>
      </c>
    </row>
    <row r="18720" spans="26:26" x14ac:dyDescent="0.25">
      <c r="Z18720">
        <v>400000</v>
      </c>
    </row>
    <row r="18721" spans="26:26" x14ac:dyDescent="0.25">
      <c r="Z18721">
        <v>400000</v>
      </c>
    </row>
    <row r="18722" spans="26:26" x14ac:dyDescent="0.25">
      <c r="Z18722">
        <v>400000</v>
      </c>
    </row>
    <row r="18723" spans="26:26" x14ac:dyDescent="0.25">
      <c r="Z18723">
        <v>400000</v>
      </c>
    </row>
    <row r="18724" spans="26:26" x14ac:dyDescent="0.25">
      <c r="Z18724">
        <v>400000</v>
      </c>
    </row>
    <row r="18725" spans="26:26" x14ac:dyDescent="0.25">
      <c r="Z18725">
        <v>400000</v>
      </c>
    </row>
    <row r="18726" spans="26:26" x14ac:dyDescent="0.25">
      <c r="Z18726">
        <v>400000</v>
      </c>
    </row>
    <row r="18727" spans="26:26" x14ac:dyDescent="0.25">
      <c r="Z18727">
        <v>400000</v>
      </c>
    </row>
    <row r="18728" spans="26:26" x14ac:dyDescent="0.25">
      <c r="Z18728">
        <v>400000</v>
      </c>
    </row>
    <row r="18729" spans="26:26" x14ac:dyDescent="0.25">
      <c r="Z18729">
        <v>400000</v>
      </c>
    </row>
    <row r="18730" spans="26:26" x14ac:dyDescent="0.25">
      <c r="Z18730">
        <v>400000</v>
      </c>
    </row>
    <row r="18731" spans="26:26" x14ac:dyDescent="0.25">
      <c r="Z18731">
        <v>400000</v>
      </c>
    </row>
    <row r="18732" spans="26:26" x14ac:dyDescent="0.25">
      <c r="Z18732">
        <v>400000</v>
      </c>
    </row>
    <row r="18733" spans="26:26" x14ac:dyDescent="0.25">
      <c r="Z18733">
        <v>400000</v>
      </c>
    </row>
    <row r="18734" spans="26:26" x14ac:dyDescent="0.25">
      <c r="Z18734">
        <v>400000</v>
      </c>
    </row>
    <row r="18735" spans="26:26" x14ac:dyDescent="0.25">
      <c r="Z18735">
        <v>400000</v>
      </c>
    </row>
    <row r="18736" spans="26:26" x14ac:dyDescent="0.25">
      <c r="Z18736">
        <v>400000</v>
      </c>
    </row>
    <row r="18737" spans="26:26" x14ac:dyDescent="0.25">
      <c r="Z18737">
        <v>400000</v>
      </c>
    </row>
    <row r="18738" spans="26:26" x14ac:dyDescent="0.25">
      <c r="Z18738">
        <v>400000</v>
      </c>
    </row>
    <row r="18739" spans="26:26" x14ac:dyDescent="0.25">
      <c r="Z18739">
        <v>400000</v>
      </c>
    </row>
    <row r="18740" spans="26:26" x14ac:dyDescent="0.25">
      <c r="Z18740">
        <v>400000</v>
      </c>
    </row>
    <row r="18741" spans="26:26" x14ac:dyDescent="0.25">
      <c r="Z18741">
        <v>400000</v>
      </c>
    </row>
    <row r="18742" spans="26:26" x14ac:dyDescent="0.25">
      <c r="Z18742">
        <v>400000</v>
      </c>
    </row>
    <row r="18743" spans="26:26" x14ac:dyDescent="0.25">
      <c r="Z18743">
        <v>400000</v>
      </c>
    </row>
    <row r="18744" spans="26:26" x14ac:dyDescent="0.25">
      <c r="Z18744">
        <v>400000</v>
      </c>
    </row>
    <row r="18745" spans="26:26" x14ac:dyDescent="0.25">
      <c r="Z18745">
        <v>400000</v>
      </c>
    </row>
    <row r="18746" spans="26:26" x14ac:dyDescent="0.25">
      <c r="Z18746">
        <v>400000</v>
      </c>
    </row>
    <row r="18747" spans="26:26" x14ac:dyDescent="0.25">
      <c r="Z18747">
        <v>400000</v>
      </c>
    </row>
    <row r="18748" spans="26:26" x14ac:dyDescent="0.25">
      <c r="Z18748">
        <v>400000</v>
      </c>
    </row>
    <row r="18749" spans="26:26" x14ac:dyDescent="0.25">
      <c r="Z18749">
        <v>400000</v>
      </c>
    </row>
    <row r="18750" spans="26:26" x14ac:dyDescent="0.25">
      <c r="Z18750">
        <v>400000</v>
      </c>
    </row>
    <row r="18751" spans="26:26" x14ac:dyDescent="0.25">
      <c r="Z18751">
        <v>400000</v>
      </c>
    </row>
    <row r="18752" spans="26:26" x14ac:dyDescent="0.25">
      <c r="Z18752">
        <v>400000</v>
      </c>
    </row>
    <row r="18753" spans="26:26" x14ac:dyDescent="0.25">
      <c r="Z18753">
        <v>400000</v>
      </c>
    </row>
    <row r="18754" spans="26:26" x14ac:dyDescent="0.25">
      <c r="Z18754">
        <v>400000</v>
      </c>
    </row>
    <row r="18755" spans="26:26" x14ac:dyDescent="0.25">
      <c r="Z18755">
        <v>400000</v>
      </c>
    </row>
    <row r="18756" spans="26:26" x14ac:dyDescent="0.25">
      <c r="Z18756">
        <v>400000</v>
      </c>
    </row>
    <row r="18757" spans="26:26" x14ac:dyDescent="0.25">
      <c r="Z18757">
        <v>400000</v>
      </c>
    </row>
    <row r="18758" spans="26:26" x14ac:dyDescent="0.25">
      <c r="Z18758">
        <v>400000</v>
      </c>
    </row>
    <row r="18759" spans="26:26" x14ac:dyDescent="0.25">
      <c r="Z18759">
        <v>400000</v>
      </c>
    </row>
    <row r="18760" spans="26:26" x14ac:dyDescent="0.25">
      <c r="Z18760">
        <v>400000</v>
      </c>
    </row>
    <row r="18761" spans="26:26" x14ac:dyDescent="0.25">
      <c r="Z18761">
        <v>400000</v>
      </c>
    </row>
    <row r="18762" spans="26:26" x14ac:dyDescent="0.25">
      <c r="Z18762">
        <v>400000</v>
      </c>
    </row>
    <row r="18763" spans="26:26" x14ac:dyDescent="0.25">
      <c r="Z18763">
        <v>400000</v>
      </c>
    </row>
    <row r="18764" spans="26:26" x14ac:dyDescent="0.25">
      <c r="Z18764">
        <v>400000</v>
      </c>
    </row>
    <row r="18765" spans="26:26" x14ac:dyDescent="0.25">
      <c r="Z18765">
        <v>400000</v>
      </c>
    </row>
    <row r="18766" spans="26:26" x14ac:dyDescent="0.25">
      <c r="Z18766">
        <v>400000</v>
      </c>
    </row>
    <row r="18767" spans="26:26" x14ac:dyDescent="0.25">
      <c r="Z18767">
        <v>400000</v>
      </c>
    </row>
    <row r="18768" spans="26:26" x14ac:dyDescent="0.25">
      <c r="Z18768">
        <v>400000</v>
      </c>
    </row>
    <row r="18769" spans="26:26" x14ac:dyDescent="0.25">
      <c r="Z18769">
        <v>400000</v>
      </c>
    </row>
    <row r="18770" spans="26:26" x14ac:dyDescent="0.25">
      <c r="Z18770">
        <v>400000</v>
      </c>
    </row>
    <row r="18771" spans="26:26" x14ac:dyDescent="0.25">
      <c r="Z18771">
        <v>400000</v>
      </c>
    </row>
    <row r="18772" spans="26:26" x14ac:dyDescent="0.25">
      <c r="Z18772">
        <v>400000</v>
      </c>
    </row>
    <row r="18773" spans="26:26" x14ac:dyDescent="0.25">
      <c r="Z18773">
        <v>400000</v>
      </c>
    </row>
    <row r="18774" spans="26:26" x14ac:dyDescent="0.25">
      <c r="Z18774">
        <v>400000</v>
      </c>
    </row>
    <row r="18775" spans="26:26" x14ac:dyDescent="0.25">
      <c r="Z18775">
        <v>400000</v>
      </c>
    </row>
    <row r="18776" spans="26:26" x14ac:dyDescent="0.25">
      <c r="Z18776">
        <v>400000</v>
      </c>
    </row>
    <row r="18777" spans="26:26" x14ac:dyDescent="0.25">
      <c r="Z18777">
        <v>400000</v>
      </c>
    </row>
    <row r="18778" spans="26:26" x14ac:dyDescent="0.25">
      <c r="Z18778">
        <v>400000</v>
      </c>
    </row>
    <row r="18779" spans="26:26" x14ac:dyDescent="0.25">
      <c r="Z18779">
        <v>400000</v>
      </c>
    </row>
    <row r="18780" spans="26:26" x14ac:dyDescent="0.25">
      <c r="Z18780">
        <v>400000</v>
      </c>
    </row>
    <row r="18781" spans="26:26" x14ac:dyDescent="0.25">
      <c r="Z18781">
        <v>400000</v>
      </c>
    </row>
    <row r="18782" spans="26:26" x14ac:dyDescent="0.25">
      <c r="Z18782">
        <v>400000</v>
      </c>
    </row>
    <row r="18783" spans="26:26" x14ac:dyDescent="0.25">
      <c r="Z18783">
        <v>400000</v>
      </c>
    </row>
    <row r="18784" spans="26:26" x14ac:dyDescent="0.25">
      <c r="Z18784">
        <v>400000</v>
      </c>
    </row>
    <row r="18785" spans="26:26" x14ac:dyDescent="0.25">
      <c r="Z18785">
        <v>400000</v>
      </c>
    </row>
    <row r="18786" spans="26:26" x14ac:dyDescent="0.25">
      <c r="Z18786">
        <v>400000</v>
      </c>
    </row>
    <row r="18787" spans="26:26" x14ac:dyDescent="0.25">
      <c r="Z18787">
        <v>400000</v>
      </c>
    </row>
    <row r="18788" spans="26:26" x14ac:dyDescent="0.25">
      <c r="Z18788">
        <v>400000</v>
      </c>
    </row>
    <row r="18789" spans="26:26" x14ac:dyDescent="0.25">
      <c r="Z18789">
        <v>400000</v>
      </c>
    </row>
    <row r="18790" spans="26:26" x14ac:dyDescent="0.25">
      <c r="Z18790">
        <v>400000</v>
      </c>
    </row>
    <row r="18791" spans="26:26" x14ac:dyDescent="0.25">
      <c r="Z18791">
        <v>400000</v>
      </c>
    </row>
    <row r="18792" spans="26:26" x14ac:dyDescent="0.25">
      <c r="Z18792">
        <v>400000</v>
      </c>
    </row>
    <row r="18793" spans="26:26" x14ac:dyDescent="0.25">
      <c r="Z18793">
        <v>400000</v>
      </c>
    </row>
    <row r="18794" spans="26:26" x14ac:dyDescent="0.25">
      <c r="Z18794">
        <v>400000</v>
      </c>
    </row>
    <row r="18795" spans="26:26" x14ac:dyDescent="0.25">
      <c r="Z18795">
        <v>400000</v>
      </c>
    </row>
    <row r="18796" spans="26:26" x14ac:dyDescent="0.25">
      <c r="Z18796">
        <v>400000</v>
      </c>
    </row>
    <row r="18797" spans="26:26" x14ac:dyDescent="0.25">
      <c r="Z18797">
        <v>400000</v>
      </c>
    </row>
    <row r="18798" spans="26:26" x14ac:dyDescent="0.25">
      <c r="Z18798">
        <v>400000</v>
      </c>
    </row>
    <row r="18799" spans="26:26" x14ac:dyDescent="0.25">
      <c r="Z18799">
        <v>400000</v>
      </c>
    </row>
    <row r="18800" spans="26:26" x14ac:dyDescent="0.25">
      <c r="Z18800">
        <v>400000</v>
      </c>
    </row>
    <row r="18801" spans="26:26" x14ac:dyDescent="0.25">
      <c r="Z18801">
        <v>400000</v>
      </c>
    </row>
    <row r="18802" spans="26:26" x14ac:dyDescent="0.25">
      <c r="Z18802">
        <v>400000</v>
      </c>
    </row>
    <row r="18803" spans="26:26" x14ac:dyDescent="0.25">
      <c r="Z18803">
        <v>400000</v>
      </c>
    </row>
    <row r="18804" spans="26:26" x14ac:dyDescent="0.25">
      <c r="Z18804">
        <v>400000</v>
      </c>
    </row>
    <row r="18805" spans="26:26" x14ac:dyDescent="0.25">
      <c r="Z18805">
        <v>400000</v>
      </c>
    </row>
    <row r="18806" spans="26:26" x14ac:dyDescent="0.25">
      <c r="Z18806">
        <v>400000</v>
      </c>
    </row>
    <row r="18807" spans="26:26" x14ac:dyDescent="0.25">
      <c r="Z18807">
        <v>400000</v>
      </c>
    </row>
    <row r="18808" spans="26:26" x14ac:dyDescent="0.25">
      <c r="Z18808">
        <v>400000</v>
      </c>
    </row>
    <row r="18809" spans="26:26" x14ac:dyDescent="0.25">
      <c r="Z18809">
        <v>400000</v>
      </c>
    </row>
    <row r="18810" spans="26:26" x14ac:dyDescent="0.25">
      <c r="Z18810">
        <v>400000</v>
      </c>
    </row>
    <row r="18811" spans="26:26" x14ac:dyDescent="0.25">
      <c r="Z18811">
        <v>400000</v>
      </c>
    </row>
    <row r="18812" spans="26:26" x14ac:dyDescent="0.25">
      <c r="Z18812">
        <v>400000</v>
      </c>
    </row>
    <row r="18813" spans="26:26" x14ac:dyDescent="0.25">
      <c r="Z18813">
        <v>400000</v>
      </c>
    </row>
    <row r="18814" spans="26:26" x14ac:dyDescent="0.25">
      <c r="Z18814">
        <v>400000</v>
      </c>
    </row>
    <row r="18815" spans="26:26" x14ac:dyDescent="0.25">
      <c r="Z18815">
        <v>400000</v>
      </c>
    </row>
    <row r="18816" spans="26:26" x14ac:dyDescent="0.25">
      <c r="Z18816">
        <v>400000</v>
      </c>
    </row>
    <row r="18817" spans="26:26" x14ac:dyDescent="0.25">
      <c r="Z18817">
        <v>400000</v>
      </c>
    </row>
    <row r="18818" spans="26:26" x14ac:dyDescent="0.25">
      <c r="Z18818">
        <v>400000</v>
      </c>
    </row>
    <row r="18819" spans="26:26" x14ac:dyDescent="0.25">
      <c r="Z18819">
        <v>400000</v>
      </c>
    </row>
    <row r="18820" spans="26:26" x14ac:dyDescent="0.25">
      <c r="Z18820">
        <v>400000</v>
      </c>
    </row>
    <row r="18821" spans="26:26" x14ac:dyDescent="0.25">
      <c r="Z18821">
        <v>400000</v>
      </c>
    </row>
    <row r="18822" spans="26:26" x14ac:dyDescent="0.25">
      <c r="Z18822">
        <v>400000</v>
      </c>
    </row>
    <row r="18823" spans="26:26" x14ac:dyDescent="0.25">
      <c r="Z18823">
        <v>400000</v>
      </c>
    </row>
    <row r="18824" spans="26:26" x14ac:dyDescent="0.25">
      <c r="Z18824">
        <v>400000</v>
      </c>
    </row>
    <row r="18825" spans="26:26" x14ac:dyDescent="0.25">
      <c r="Z18825">
        <v>400000</v>
      </c>
    </row>
    <row r="18826" spans="26:26" x14ac:dyDescent="0.25">
      <c r="Z18826">
        <v>400000</v>
      </c>
    </row>
    <row r="18827" spans="26:26" x14ac:dyDescent="0.25">
      <c r="Z18827">
        <v>400000</v>
      </c>
    </row>
    <row r="18828" spans="26:26" x14ac:dyDescent="0.25">
      <c r="Z18828">
        <v>400000</v>
      </c>
    </row>
    <row r="18829" spans="26:26" x14ac:dyDescent="0.25">
      <c r="Z18829">
        <v>400000</v>
      </c>
    </row>
    <row r="18830" spans="26:26" x14ac:dyDescent="0.25">
      <c r="Z18830">
        <v>400000</v>
      </c>
    </row>
    <row r="18831" spans="26:26" x14ac:dyDescent="0.25">
      <c r="Z18831">
        <v>400000</v>
      </c>
    </row>
    <row r="18832" spans="26:26" x14ac:dyDescent="0.25">
      <c r="Z18832">
        <v>400000</v>
      </c>
    </row>
    <row r="18833" spans="26:26" x14ac:dyDescent="0.25">
      <c r="Z18833">
        <v>400000</v>
      </c>
    </row>
    <row r="18834" spans="26:26" x14ac:dyDescent="0.25">
      <c r="Z18834">
        <v>400000</v>
      </c>
    </row>
    <row r="18835" spans="26:26" x14ac:dyDescent="0.25">
      <c r="Z18835">
        <v>400000</v>
      </c>
    </row>
    <row r="18836" spans="26:26" x14ac:dyDescent="0.25">
      <c r="Z18836">
        <v>400000</v>
      </c>
    </row>
    <row r="18837" spans="26:26" x14ac:dyDescent="0.25">
      <c r="Z18837">
        <v>400000</v>
      </c>
    </row>
    <row r="18838" spans="26:26" x14ac:dyDescent="0.25">
      <c r="Z18838">
        <v>400000</v>
      </c>
    </row>
    <row r="18839" spans="26:26" x14ac:dyDescent="0.25">
      <c r="Z18839">
        <v>400000</v>
      </c>
    </row>
    <row r="18840" spans="26:26" x14ac:dyDescent="0.25">
      <c r="Z18840">
        <v>400000</v>
      </c>
    </row>
    <row r="18841" spans="26:26" x14ac:dyDescent="0.25">
      <c r="Z18841">
        <v>400000</v>
      </c>
    </row>
    <row r="18842" spans="26:26" x14ac:dyDescent="0.25">
      <c r="Z18842">
        <v>400000</v>
      </c>
    </row>
    <row r="18843" spans="26:26" x14ac:dyDescent="0.25">
      <c r="Z18843">
        <v>400000</v>
      </c>
    </row>
    <row r="18844" spans="26:26" x14ac:dyDescent="0.25">
      <c r="Z18844">
        <v>400000</v>
      </c>
    </row>
    <row r="18845" spans="26:26" x14ac:dyDescent="0.25">
      <c r="Z18845">
        <v>400000</v>
      </c>
    </row>
    <row r="18846" spans="26:26" x14ac:dyDescent="0.25">
      <c r="Z18846">
        <v>400000</v>
      </c>
    </row>
    <row r="18847" spans="26:26" x14ac:dyDescent="0.25">
      <c r="Z18847">
        <v>400000</v>
      </c>
    </row>
    <row r="18848" spans="26:26" x14ac:dyDescent="0.25">
      <c r="Z18848">
        <v>400000</v>
      </c>
    </row>
    <row r="18849" spans="26:26" x14ac:dyDescent="0.25">
      <c r="Z18849">
        <v>400000</v>
      </c>
    </row>
    <row r="18850" spans="26:26" x14ac:dyDescent="0.25">
      <c r="Z18850">
        <v>400000</v>
      </c>
    </row>
    <row r="18851" spans="26:26" x14ac:dyDescent="0.25">
      <c r="Z18851">
        <v>400000</v>
      </c>
    </row>
    <row r="18852" spans="26:26" x14ac:dyDescent="0.25">
      <c r="Z18852">
        <v>400000</v>
      </c>
    </row>
    <row r="18853" spans="26:26" x14ac:dyDescent="0.25">
      <c r="Z18853">
        <v>400000</v>
      </c>
    </row>
    <row r="18854" spans="26:26" x14ac:dyDescent="0.25">
      <c r="Z18854">
        <v>400000</v>
      </c>
    </row>
    <row r="18855" spans="26:26" x14ac:dyDescent="0.25">
      <c r="Z18855">
        <v>400000</v>
      </c>
    </row>
    <row r="18856" spans="26:26" x14ac:dyDescent="0.25">
      <c r="Z18856">
        <v>400000</v>
      </c>
    </row>
    <row r="18857" spans="26:26" x14ac:dyDescent="0.25">
      <c r="Z18857">
        <v>400000</v>
      </c>
    </row>
    <row r="18858" spans="26:26" x14ac:dyDescent="0.25">
      <c r="Z18858">
        <v>400000</v>
      </c>
    </row>
    <row r="18859" spans="26:26" x14ac:dyDescent="0.25">
      <c r="Z18859">
        <v>400000</v>
      </c>
    </row>
    <row r="18860" spans="26:26" x14ac:dyDescent="0.25">
      <c r="Z18860">
        <v>400000</v>
      </c>
    </row>
    <row r="18861" spans="26:26" x14ac:dyDescent="0.25">
      <c r="Z18861">
        <v>400000</v>
      </c>
    </row>
    <row r="18862" spans="26:26" x14ac:dyDescent="0.25">
      <c r="Z18862">
        <v>400000</v>
      </c>
    </row>
    <row r="18863" spans="26:26" x14ac:dyDescent="0.25">
      <c r="Z18863">
        <v>400000</v>
      </c>
    </row>
    <row r="18864" spans="26:26" x14ac:dyDescent="0.25">
      <c r="Z18864">
        <v>400000</v>
      </c>
    </row>
    <row r="18865" spans="26:26" x14ac:dyDescent="0.25">
      <c r="Z18865">
        <v>400000</v>
      </c>
    </row>
    <row r="18866" spans="26:26" x14ac:dyDescent="0.25">
      <c r="Z18866">
        <v>400000</v>
      </c>
    </row>
    <row r="18867" spans="26:26" x14ac:dyDescent="0.25">
      <c r="Z18867">
        <v>400000</v>
      </c>
    </row>
    <row r="18868" spans="26:26" x14ac:dyDescent="0.25">
      <c r="Z18868">
        <v>400000</v>
      </c>
    </row>
    <row r="18869" spans="26:26" x14ac:dyDescent="0.25">
      <c r="Z18869">
        <v>400000</v>
      </c>
    </row>
    <row r="18870" spans="26:26" x14ac:dyDescent="0.25">
      <c r="Z18870">
        <v>400000</v>
      </c>
    </row>
    <row r="18871" spans="26:26" x14ac:dyDescent="0.25">
      <c r="Z18871">
        <v>400000</v>
      </c>
    </row>
    <row r="18872" spans="26:26" x14ac:dyDescent="0.25">
      <c r="Z18872">
        <v>400000</v>
      </c>
    </row>
    <row r="18873" spans="26:26" x14ac:dyDescent="0.25">
      <c r="Z18873">
        <v>400000</v>
      </c>
    </row>
    <row r="18874" spans="26:26" x14ac:dyDescent="0.25">
      <c r="Z18874">
        <v>400000</v>
      </c>
    </row>
    <row r="18875" spans="26:26" x14ac:dyDescent="0.25">
      <c r="Z18875">
        <v>400000</v>
      </c>
    </row>
    <row r="18876" spans="26:26" x14ac:dyDescent="0.25">
      <c r="Z18876">
        <v>400000</v>
      </c>
    </row>
    <row r="18877" spans="26:26" x14ac:dyDescent="0.25">
      <c r="Z18877">
        <v>400000</v>
      </c>
    </row>
    <row r="18878" spans="26:26" x14ac:dyDescent="0.25">
      <c r="Z18878">
        <v>400000</v>
      </c>
    </row>
    <row r="18879" spans="26:26" x14ac:dyDescent="0.25">
      <c r="Z18879">
        <v>400000</v>
      </c>
    </row>
    <row r="18880" spans="26:26" x14ac:dyDescent="0.25">
      <c r="Z18880">
        <v>400000</v>
      </c>
    </row>
    <row r="18881" spans="26:26" x14ac:dyDescent="0.25">
      <c r="Z18881">
        <v>400000</v>
      </c>
    </row>
    <row r="18882" spans="26:26" x14ac:dyDescent="0.25">
      <c r="Z18882">
        <v>400000</v>
      </c>
    </row>
    <row r="18883" spans="26:26" x14ac:dyDescent="0.25">
      <c r="Z18883">
        <v>400000</v>
      </c>
    </row>
    <row r="18884" spans="26:26" x14ac:dyDescent="0.25">
      <c r="Z18884">
        <v>400000</v>
      </c>
    </row>
    <row r="18885" spans="26:26" x14ac:dyDescent="0.25">
      <c r="Z18885">
        <v>400000</v>
      </c>
    </row>
    <row r="18886" spans="26:26" x14ac:dyDescent="0.25">
      <c r="Z18886">
        <v>400000</v>
      </c>
    </row>
    <row r="18887" spans="26:26" x14ac:dyDescent="0.25">
      <c r="Z18887">
        <v>400000</v>
      </c>
    </row>
    <row r="18888" spans="26:26" x14ac:dyDescent="0.25">
      <c r="Z18888">
        <v>400000</v>
      </c>
    </row>
    <row r="18889" spans="26:26" x14ac:dyDescent="0.25">
      <c r="Z18889">
        <v>400000</v>
      </c>
    </row>
    <row r="18890" spans="26:26" x14ac:dyDescent="0.25">
      <c r="Z18890">
        <v>400000</v>
      </c>
    </row>
    <row r="18891" spans="26:26" x14ac:dyDescent="0.25">
      <c r="Z18891">
        <v>400000</v>
      </c>
    </row>
    <row r="18892" spans="26:26" x14ac:dyDescent="0.25">
      <c r="Z18892">
        <v>400000</v>
      </c>
    </row>
    <row r="18893" spans="26:26" x14ac:dyDescent="0.25">
      <c r="Z18893">
        <v>400000</v>
      </c>
    </row>
    <row r="18894" spans="26:26" x14ac:dyDescent="0.25">
      <c r="Z18894">
        <v>400000</v>
      </c>
    </row>
    <row r="18895" spans="26:26" x14ac:dyDescent="0.25">
      <c r="Z18895">
        <v>400000</v>
      </c>
    </row>
    <row r="18896" spans="26:26" x14ac:dyDescent="0.25">
      <c r="Z18896">
        <v>400000</v>
      </c>
    </row>
    <row r="18897" spans="26:26" x14ac:dyDescent="0.25">
      <c r="Z18897">
        <v>400000</v>
      </c>
    </row>
    <row r="18898" spans="26:26" x14ac:dyDescent="0.25">
      <c r="Z18898">
        <v>400000</v>
      </c>
    </row>
    <row r="18899" spans="26:26" x14ac:dyDescent="0.25">
      <c r="Z18899">
        <v>400000</v>
      </c>
    </row>
    <row r="18900" spans="26:26" x14ac:dyDescent="0.25">
      <c r="Z18900">
        <v>400000</v>
      </c>
    </row>
    <row r="18901" spans="26:26" x14ac:dyDescent="0.25">
      <c r="Z18901">
        <v>400000</v>
      </c>
    </row>
    <row r="18902" spans="26:26" x14ac:dyDescent="0.25">
      <c r="Z18902">
        <v>400000</v>
      </c>
    </row>
    <row r="18903" spans="26:26" x14ac:dyDescent="0.25">
      <c r="Z18903">
        <v>400000</v>
      </c>
    </row>
    <row r="18904" spans="26:26" x14ac:dyDescent="0.25">
      <c r="Z18904">
        <v>400000</v>
      </c>
    </row>
    <row r="18905" spans="26:26" x14ac:dyDescent="0.25">
      <c r="Z18905">
        <v>400000</v>
      </c>
    </row>
    <row r="18906" spans="26:26" x14ac:dyDescent="0.25">
      <c r="Z18906">
        <v>400000</v>
      </c>
    </row>
    <row r="18907" spans="26:26" x14ac:dyDescent="0.25">
      <c r="Z18907">
        <v>400000</v>
      </c>
    </row>
    <row r="18908" spans="26:26" x14ac:dyDescent="0.25">
      <c r="Z18908">
        <v>400000</v>
      </c>
    </row>
    <row r="18909" spans="26:26" x14ac:dyDescent="0.25">
      <c r="Z18909">
        <v>400000</v>
      </c>
    </row>
    <row r="18910" spans="26:26" x14ac:dyDescent="0.25">
      <c r="Z18910">
        <v>400000</v>
      </c>
    </row>
    <row r="18911" spans="26:26" x14ac:dyDescent="0.25">
      <c r="Z18911">
        <v>400000</v>
      </c>
    </row>
    <row r="18912" spans="26:26" x14ac:dyDescent="0.25">
      <c r="Z18912">
        <v>400000</v>
      </c>
    </row>
    <row r="18913" spans="26:26" x14ac:dyDescent="0.25">
      <c r="Z18913">
        <v>400000</v>
      </c>
    </row>
    <row r="18914" spans="26:26" x14ac:dyDescent="0.25">
      <c r="Z18914">
        <v>400000</v>
      </c>
    </row>
    <row r="18915" spans="26:26" x14ac:dyDescent="0.25">
      <c r="Z18915">
        <v>400000</v>
      </c>
    </row>
    <row r="18916" spans="26:26" x14ac:dyDescent="0.25">
      <c r="Z18916">
        <v>400000</v>
      </c>
    </row>
    <row r="18917" spans="26:26" x14ac:dyDescent="0.25">
      <c r="Z18917">
        <v>400000</v>
      </c>
    </row>
    <row r="18918" spans="26:26" x14ac:dyDescent="0.25">
      <c r="Z18918">
        <v>400000</v>
      </c>
    </row>
    <row r="18919" spans="26:26" x14ac:dyDescent="0.25">
      <c r="Z18919">
        <v>400000</v>
      </c>
    </row>
    <row r="18920" spans="26:26" x14ac:dyDescent="0.25">
      <c r="Z18920">
        <v>400000</v>
      </c>
    </row>
    <row r="18921" spans="26:26" x14ac:dyDescent="0.25">
      <c r="Z18921">
        <v>400000</v>
      </c>
    </row>
    <row r="18922" spans="26:26" x14ac:dyDescent="0.25">
      <c r="Z18922">
        <v>400000</v>
      </c>
    </row>
    <row r="18923" spans="26:26" x14ac:dyDescent="0.25">
      <c r="Z18923">
        <v>400000</v>
      </c>
    </row>
    <row r="18924" spans="26:26" x14ac:dyDescent="0.25">
      <c r="Z18924">
        <v>400000</v>
      </c>
    </row>
    <row r="18925" spans="26:26" x14ac:dyDescent="0.25">
      <c r="Z18925">
        <v>400000</v>
      </c>
    </row>
    <row r="18926" spans="26:26" x14ac:dyDescent="0.25">
      <c r="Z18926">
        <v>400000</v>
      </c>
    </row>
    <row r="18927" spans="26:26" x14ac:dyDescent="0.25">
      <c r="Z18927">
        <v>400000</v>
      </c>
    </row>
    <row r="18928" spans="26:26" x14ac:dyDescent="0.25">
      <c r="Z18928">
        <v>400000</v>
      </c>
    </row>
    <row r="18929" spans="26:26" x14ac:dyDescent="0.25">
      <c r="Z18929">
        <v>400000</v>
      </c>
    </row>
    <row r="18930" spans="26:26" x14ac:dyDescent="0.25">
      <c r="Z18930">
        <v>400000</v>
      </c>
    </row>
    <row r="18931" spans="26:26" x14ac:dyDescent="0.25">
      <c r="Z18931">
        <v>400000</v>
      </c>
    </row>
    <row r="18932" spans="26:26" x14ac:dyDescent="0.25">
      <c r="Z18932">
        <v>400000</v>
      </c>
    </row>
    <row r="18933" spans="26:26" x14ac:dyDescent="0.25">
      <c r="Z18933">
        <v>400000</v>
      </c>
    </row>
    <row r="18934" spans="26:26" x14ac:dyDescent="0.25">
      <c r="Z18934">
        <v>400000</v>
      </c>
    </row>
    <row r="18935" spans="26:26" x14ac:dyDescent="0.25">
      <c r="Z18935">
        <v>400000</v>
      </c>
    </row>
    <row r="18936" spans="26:26" x14ac:dyDescent="0.25">
      <c r="Z18936">
        <v>400000</v>
      </c>
    </row>
    <row r="18937" spans="26:26" x14ac:dyDescent="0.25">
      <c r="Z18937">
        <v>400000</v>
      </c>
    </row>
    <row r="18938" spans="26:26" x14ac:dyDescent="0.25">
      <c r="Z18938">
        <v>400000</v>
      </c>
    </row>
    <row r="18939" spans="26:26" x14ac:dyDescent="0.25">
      <c r="Z18939">
        <v>400000</v>
      </c>
    </row>
    <row r="18940" spans="26:26" x14ac:dyDescent="0.25">
      <c r="Z18940">
        <v>400000</v>
      </c>
    </row>
    <row r="18941" spans="26:26" x14ac:dyDescent="0.25">
      <c r="Z18941">
        <v>400000</v>
      </c>
    </row>
    <row r="18942" spans="26:26" x14ac:dyDescent="0.25">
      <c r="Z18942">
        <v>400000</v>
      </c>
    </row>
    <row r="18943" spans="26:26" x14ac:dyDescent="0.25">
      <c r="Z18943">
        <v>400000</v>
      </c>
    </row>
    <row r="18944" spans="26:26" x14ac:dyDescent="0.25">
      <c r="Z18944">
        <v>400000</v>
      </c>
    </row>
    <row r="18945" spans="26:26" x14ac:dyDescent="0.25">
      <c r="Z18945">
        <v>400000</v>
      </c>
    </row>
    <row r="18946" spans="26:26" x14ac:dyDescent="0.25">
      <c r="Z18946">
        <v>400000</v>
      </c>
    </row>
    <row r="18947" spans="26:26" x14ac:dyDescent="0.25">
      <c r="Z18947">
        <v>400000</v>
      </c>
    </row>
    <row r="18948" spans="26:26" x14ac:dyDescent="0.25">
      <c r="Z18948">
        <v>400000</v>
      </c>
    </row>
    <row r="18949" spans="26:26" x14ac:dyDescent="0.25">
      <c r="Z18949">
        <v>400000</v>
      </c>
    </row>
    <row r="18950" spans="26:26" x14ac:dyDescent="0.25">
      <c r="Z18950">
        <v>400000</v>
      </c>
    </row>
    <row r="18951" spans="26:26" x14ac:dyDescent="0.25">
      <c r="Z18951">
        <v>400000</v>
      </c>
    </row>
    <row r="18952" spans="26:26" x14ac:dyDescent="0.25">
      <c r="Z18952">
        <v>400000</v>
      </c>
    </row>
    <row r="18953" spans="26:26" x14ac:dyDescent="0.25">
      <c r="Z18953">
        <v>400000</v>
      </c>
    </row>
    <row r="18954" spans="26:26" x14ac:dyDescent="0.25">
      <c r="Z18954">
        <v>400000</v>
      </c>
    </row>
    <row r="18955" spans="26:26" x14ac:dyDescent="0.25">
      <c r="Z18955">
        <v>400000</v>
      </c>
    </row>
    <row r="18956" spans="26:26" x14ac:dyDescent="0.25">
      <c r="Z18956">
        <v>400000</v>
      </c>
    </row>
    <row r="18957" spans="26:26" x14ac:dyDescent="0.25">
      <c r="Z18957">
        <v>400000</v>
      </c>
    </row>
    <row r="18958" spans="26:26" x14ac:dyDescent="0.25">
      <c r="Z18958">
        <v>400000</v>
      </c>
    </row>
    <row r="18959" spans="26:26" x14ac:dyDescent="0.25">
      <c r="Z18959">
        <v>400000</v>
      </c>
    </row>
    <row r="18960" spans="26:26" x14ac:dyDescent="0.25">
      <c r="Z18960">
        <v>400000</v>
      </c>
    </row>
    <row r="18961" spans="26:26" x14ac:dyDescent="0.25">
      <c r="Z18961">
        <v>400000</v>
      </c>
    </row>
    <row r="18962" spans="26:26" x14ac:dyDescent="0.25">
      <c r="Z18962">
        <v>400000</v>
      </c>
    </row>
    <row r="18963" spans="26:26" x14ac:dyDescent="0.25">
      <c r="Z18963">
        <v>400000</v>
      </c>
    </row>
    <row r="18964" spans="26:26" x14ac:dyDescent="0.25">
      <c r="Z18964">
        <v>400000</v>
      </c>
    </row>
    <row r="18965" spans="26:26" x14ac:dyDescent="0.25">
      <c r="Z18965">
        <v>400000</v>
      </c>
    </row>
    <row r="18966" spans="26:26" x14ac:dyDescent="0.25">
      <c r="Z18966">
        <v>400000</v>
      </c>
    </row>
    <row r="18967" spans="26:26" x14ac:dyDescent="0.25">
      <c r="Z18967">
        <v>400000</v>
      </c>
    </row>
    <row r="18968" spans="26:26" x14ac:dyDescent="0.25">
      <c r="Z18968">
        <v>400000</v>
      </c>
    </row>
    <row r="18969" spans="26:26" x14ac:dyDescent="0.25">
      <c r="Z18969">
        <v>400000</v>
      </c>
    </row>
    <row r="18970" spans="26:26" x14ac:dyDescent="0.25">
      <c r="Z18970">
        <v>400000</v>
      </c>
    </row>
    <row r="18971" spans="26:26" x14ac:dyDescent="0.25">
      <c r="Z18971">
        <v>400000</v>
      </c>
    </row>
    <row r="18972" spans="26:26" x14ac:dyDescent="0.25">
      <c r="Z18972">
        <v>400000</v>
      </c>
    </row>
    <row r="18973" spans="26:26" x14ac:dyDescent="0.25">
      <c r="Z18973">
        <v>400000</v>
      </c>
    </row>
    <row r="18974" spans="26:26" x14ac:dyDescent="0.25">
      <c r="Z18974">
        <v>400000</v>
      </c>
    </row>
    <row r="18975" spans="26:26" x14ac:dyDescent="0.25">
      <c r="Z18975">
        <v>400000</v>
      </c>
    </row>
    <row r="18976" spans="26:26" x14ac:dyDescent="0.25">
      <c r="Z18976">
        <v>400000</v>
      </c>
    </row>
    <row r="18977" spans="26:26" x14ac:dyDescent="0.25">
      <c r="Z18977">
        <v>400000</v>
      </c>
    </row>
    <row r="18978" spans="26:26" x14ac:dyDescent="0.25">
      <c r="Z18978">
        <v>400000</v>
      </c>
    </row>
    <row r="18979" spans="26:26" x14ac:dyDescent="0.25">
      <c r="Z18979">
        <v>400000</v>
      </c>
    </row>
    <row r="18980" spans="26:26" x14ac:dyDescent="0.25">
      <c r="Z18980">
        <v>400000</v>
      </c>
    </row>
    <row r="18981" spans="26:26" x14ac:dyDescent="0.25">
      <c r="Z18981">
        <v>400000</v>
      </c>
    </row>
    <row r="18982" spans="26:26" x14ac:dyDescent="0.25">
      <c r="Z18982">
        <v>400000</v>
      </c>
    </row>
    <row r="18983" spans="26:26" x14ac:dyDescent="0.25">
      <c r="Z18983">
        <v>400000</v>
      </c>
    </row>
    <row r="18984" spans="26:26" x14ac:dyDescent="0.25">
      <c r="Z18984">
        <v>400000</v>
      </c>
    </row>
    <row r="18985" spans="26:26" x14ac:dyDescent="0.25">
      <c r="Z18985">
        <v>400000</v>
      </c>
    </row>
    <row r="18986" spans="26:26" x14ac:dyDescent="0.25">
      <c r="Z18986">
        <v>400000</v>
      </c>
    </row>
    <row r="18987" spans="26:26" x14ac:dyDescent="0.25">
      <c r="Z18987">
        <v>400000</v>
      </c>
    </row>
    <row r="18988" spans="26:26" x14ac:dyDescent="0.25">
      <c r="Z18988">
        <v>400000</v>
      </c>
    </row>
    <row r="18989" spans="26:26" x14ac:dyDescent="0.25">
      <c r="Z18989">
        <v>400000</v>
      </c>
    </row>
    <row r="18990" spans="26:26" x14ac:dyDescent="0.25">
      <c r="Z18990">
        <v>400000</v>
      </c>
    </row>
    <row r="18991" spans="26:26" x14ac:dyDescent="0.25">
      <c r="Z18991">
        <v>400000</v>
      </c>
    </row>
    <row r="18992" spans="26:26" x14ac:dyDescent="0.25">
      <c r="Z18992">
        <v>400000</v>
      </c>
    </row>
    <row r="18993" spans="26:26" x14ac:dyDescent="0.25">
      <c r="Z18993">
        <v>400000</v>
      </c>
    </row>
    <row r="18994" spans="26:26" x14ac:dyDescent="0.25">
      <c r="Z18994">
        <v>400000</v>
      </c>
    </row>
    <row r="18995" spans="26:26" x14ac:dyDescent="0.25">
      <c r="Z18995">
        <v>400000</v>
      </c>
    </row>
    <row r="18996" spans="26:26" x14ac:dyDescent="0.25">
      <c r="Z18996">
        <v>400000</v>
      </c>
    </row>
    <row r="18997" spans="26:26" x14ac:dyDescent="0.25">
      <c r="Z18997">
        <v>400000</v>
      </c>
    </row>
    <row r="18998" spans="26:26" x14ac:dyDescent="0.25">
      <c r="Z18998">
        <v>400000</v>
      </c>
    </row>
    <row r="18999" spans="26:26" x14ac:dyDescent="0.25">
      <c r="Z18999">
        <v>400000</v>
      </c>
    </row>
    <row r="19000" spans="26:26" x14ac:dyDescent="0.25">
      <c r="Z19000">
        <v>400000</v>
      </c>
    </row>
    <row r="19001" spans="26:26" x14ac:dyDescent="0.25">
      <c r="Z19001">
        <v>400000</v>
      </c>
    </row>
    <row r="19002" spans="26:26" x14ac:dyDescent="0.25">
      <c r="Z19002">
        <v>400000</v>
      </c>
    </row>
    <row r="19003" spans="26:26" x14ac:dyDescent="0.25">
      <c r="Z19003">
        <v>400000</v>
      </c>
    </row>
    <row r="19004" spans="26:26" x14ac:dyDescent="0.25">
      <c r="Z19004">
        <v>400000</v>
      </c>
    </row>
    <row r="19005" spans="26:26" x14ac:dyDescent="0.25">
      <c r="Z19005">
        <v>400000</v>
      </c>
    </row>
    <row r="19006" spans="26:26" x14ac:dyDescent="0.25">
      <c r="Z19006">
        <v>400000</v>
      </c>
    </row>
    <row r="19007" spans="26:26" x14ac:dyDescent="0.25">
      <c r="Z19007">
        <v>400000</v>
      </c>
    </row>
    <row r="19008" spans="26:26" x14ac:dyDescent="0.25">
      <c r="Z19008">
        <v>400000</v>
      </c>
    </row>
    <row r="19009" spans="26:26" x14ac:dyDescent="0.25">
      <c r="Z19009">
        <v>400000</v>
      </c>
    </row>
    <row r="19010" spans="26:26" x14ac:dyDescent="0.25">
      <c r="Z19010">
        <v>400000</v>
      </c>
    </row>
    <row r="19011" spans="26:26" x14ac:dyDescent="0.25">
      <c r="Z19011">
        <v>400000</v>
      </c>
    </row>
    <row r="19012" spans="26:26" x14ac:dyDescent="0.25">
      <c r="Z19012">
        <v>400000</v>
      </c>
    </row>
    <row r="19013" spans="26:26" x14ac:dyDescent="0.25">
      <c r="Z19013">
        <v>400000</v>
      </c>
    </row>
    <row r="19014" spans="26:26" x14ac:dyDescent="0.25">
      <c r="Z19014">
        <v>400000</v>
      </c>
    </row>
    <row r="19015" spans="26:26" x14ac:dyDescent="0.25">
      <c r="Z19015">
        <v>400000</v>
      </c>
    </row>
    <row r="19016" spans="26:26" x14ac:dyDescent="0.25">
      <c r="Z19016">
        <v>400000</v>
      </c>
    </row>
    <row r="19017" spans="26:26" x14ac:dyDescent="0.25">
      <c r="Z19017">
        <v>400000</v>
      </c>
    </row>
    <row r="19018" spans="26:26" x14ac:dyDescent="0.25">
      <c r="Z19018">
        <v>400000</v>
      </c>
    </row>
    <row r="19019" spans="26:26" x14ac:dyDescent="0.25">
      <c r="Z19019">
        <v>400000</v>
      </c>
    </row>
    <row r="19020" spans="26:26" x14ac:dyDescent="0.25">
      <c r="Z19020">
        <v>400000</v>
      </c>
    </row>
    <row r="19021" spans="26:26" x14ac:dyDescent="0.25">
      <c r="Z19021">
        <v>400000</v>
      </c>
    </row>
    <row r="19022" spans="26:26" x14ac:dyDescent="0.25">
      <c r="Z19022">
        <v>400000</v>
      </c>
    </row>
    <row r="19023" spans="26:26" x14ac:dyDescent="0.25">
      <c r="Z19023">
        <v>400000</v>
      </c>
    </row>
    <row r="19024" spans="26:26" x14ac:dyDescent="0.25">
      <c r="Z19024">
        <v>400000</v>
      </c>
    </row>
    <row r="19025" spans="26:26" x14ac:dyDescent="0.25">
      <c r="Z19025">
        <v>400000</v>
      </c>
    </row>
    <row r="19026" spans="26:26" x14ac:dyDescent="0.25">
      <c r="Z19026">
        <v>400000</v>
      </c>
    </row>
    <row r="19027" spans="26:26" x14ac:dyDescent="0.25">
      <c r="Z19027">
        <v>400000</v>
      </c>
    </row>
    <row r="19028" spans="26:26" x14ac:dyDescent="0.25">
      <c r="Z19028">
        <v>400000</v>
      </c>
    </row>
    <row r="19029" spans="26:26" x14ac:dyDescent="0.25">
      <c r="Z19029">
        <v>400000</v>
      </c>
    </row>
    <row r="19030" spans="26:26" x14ac:dyDescent="0.25">
      <c r="Z19030">
        <v>400000</v>
      </c>
    </row>
    <row r="19031" spans="26:26" x14ac:dyDescent="0.25">
      <c r="Z19031">
        <v>400000</v>
      </c>
    </row>
    <row r="19032" spans="26:26" x14ac:dyDescent="0.25">
      <c r="Z19032">
        <v>400000</v>
      </c>
    </row>
    <row r="19033" spans="26:26" x14ac:dyDescent="0.25">
      <c r="Z19033">
        <v>400000</v>
      </c>
    </row>
    <row r="19034" spans="26:26" x14ac:dyDescent="0.25">
      <c r="Z19034">
        <v>400000</v>
      </c>
    </row>
    <row r="19035" spans="26:26" x14ac:dyDescent="0.25">
      <c r="Z19035">
        <v>400000</v>
      </c>
    </row>
    <row r="19036" spans="26:26" x14ac:dyDescent="0.25">
      <c r="Z19036">
        <v>400000</v>
      </c>
    </row>
    <row r="19037" spans="26:26" x14ac:dyDescent="0.25">
      <c r="Z19037">
        <v>400000</v>
      </c>
    </row>
    <row r="19038" spans="26:26" x14ac:dyDescent="0.25">
      <c r="Z19038">
        <v>400000</v>
      </c>
    </row>
    <row r="19039" spans="26:26" x14ac:dyDescent="0.25">
      <c r="Z19039">
        <v>400000</v>
      </c>
    </row>
    <row r="19040" spans="26:26" x14ac:dyDescent="0.25">
      <c r="Z19040">
        <v>400000</v>
      </c>
    </row>
    <row r="19041" spans="26:26" x14ac:dyDescent="0.25">
      <c r="Z19041">
        <v>400000</v>
      </c>
    </row>
    <row r="19042" spans="26:26" x14ac:dyDescent="0.25">
      <c r="Z19042">
        <v>400000</v>
      </c>
    </row>
    <row r="19043" spans="26:26" x14ac:dyDescent="0.25">
      <c r="Z19043">
        <v>400000</v>
      </c>
    </row>
    <row r="19044" spans="26:26" x14ac:dyDescent="0.25">
      <c r="Z19044">
        <v>400000</v>
      </c>
    </row>
    <row r="19045" spans="26:26" x14ac:dyDescent="0.25">
      <c r="Z19045">
        <v>400000</v>
      </c>
    </row>
    <row r="19046" spans="26:26" x14ac:dyDescent="0.25">
      <c r="Z19046">
        <v>400000</v>
      </c>
    </row>
    <row r="19047" spans="26:26" x14ac:dyDescent="0.25">
      <c r="Z19047">
        <v>400000</v>
      </c>
    </row>
    <row r="19048" spans="26:26" x14ac:dyDescent="0.25">
      <c r="Z19048">
        <v>400000</v>
      </c>
    </row>
    <row r="19049" spans="26:26" x14ac:dyDescent="0.25">
      <c r="Z19049">
        <v>400000</v>
      </c>
    </row>
    <row r="19050" spans="26:26" x14ac:dyDescent="0.25">
      <c r="Z19050">
        <v>400000</v>
      </c>
    </row>
    <row r="19051" spans="26:26" x14ac:dyDescent="0.25">
      <c r="Z19051">
        <v>400000</v>
      </c>
    </row>
    <row r="19052" spans="26:26" x14ac:dyDescent="0.25">
      <c r="Z19052">
        <v>400000</v>
      </c>
    </row>
    <row r="19053" spans="26:26" x14ac:dyDescent="0.25">
      <c r="Z19053">
        <v>400000</v>
      </c>
    </row>
    <row r="19054" spans="26:26" x14ac:dyDescent="0.25">
      <c r="Z19054">
        <v>400000</v>
      </c>
    </row>
    <row r="19055" spans="26:26" x14ac:dyDescent="0.25">
      <c r="Z19055">
        <v>400000</v>
      </c>
    </row>
    <row r="19056" spans="26:26" x14ac:dyDescent="0.25">
      <c r="Z19056">
        <v>400000</v>
      </c>
    </row>
    <row r="19057" spans="26:26" x14ac:dyDescent="0.25">
      <c r="Z19057">
        <v>400000</v>
      </c>
    </row>
    <row r="19058" spans="26:26" x14ac:dyDescent="0.25">
      <c r="Z19058">
        <v>400000</v>
      </c>
    </row>
    <row r="19059" spans="26:26" x14ac:dyDescent="0.25">
      <c r="Z19059">
        <v>400000</v>
      </c>
    </row>
    <row r="19060" spans="26:26" x14ac:dyDescent="0.25">
      <c r="Z19060">
        <v>400000</v>
      </c>
    </row>
    <row r="19061" spans="26:26" x14ac:dyDescent="0.25">
      <c r="Z19061">
        <v>400000</v>
      </c>
    </row>
    <row r="19062" spans="26:26" x14ac:dyDescent="0.25">
      <c r="Z19062">
        <v>400000</v>
      </c>
    </row>
    <row r="19063" spans="26:26" x14ac:dyDescent="0.25">
      <c r="Z19063">
        <v>400000</v>
      </c>
    </row>
    <row r="19064" spans="26:26" x14ac:dyDescent="0.25">
      <c r="Z19064">
        <v>400000</v>
      </c>
    </row>
    <row r="19065" spans="26:26" x14ac:dyDescent="0.25">
      <c r="Z19065">
        <v>400000</v>
      </c>
    </row>
    <row r="19066" spans="26:26" x14ac:dyDescent="0.25">
      <c r="Z19066">
        <v>400000</v>
      </c>
    </row>
    <row r="19067" spans="26:26" x14ac:dyDescent="0.25">
      <c r="Z19067">
        <v>400000</v>
      </c>
    </row>
    <row r="19068" spans="26:26" x14ac:dyDescent="0.25">
      <c r="Z19068">
        <v>400000</v>
      </c>
    </row>
    <row r="19069" spans="26:26" x14ac:dyDescent="0.25">
      <c r="Z19069">
        <v>400000</v>
      </c>
    </row>
    <row r="19070" spans="26:26" x14ac:dyDescent="0.25">
      <c r="Z19070">
        <v>400000</v>
      </c>
    </row>
    <row r="19071" spans="26:26" x14ac:dyDescent="0.25">
      <c r="Z19071">
        <v>400000</v>
      </c>
    </row>
    <row r="19072" spans="26:26" x14ac:dyDescent="0.25">
      <c r="Z19072">
        <v>400000</v>
      </c>
    </row>
    <row r="19073" spans="26:26" x14ac:dyDescent="0.25">
      <c r="Z19073">
        <v>400000</v>
      </c>
    </row>
    <row r="19074" spans="26:26" x14ac:dyDescent="0.25">
      <c r="Z19074">
        <v>400000</v>
      </c>
    </row>
    <row r="19075" spans="26:26" x14ac:dyDescent="0.25">
      <c r="Z19075">
        <v>400000</v>
      </c>
    </row>
    <row r="19076" spans="26:26" x14ac:dyDescent="0.25">
      <c r="Z19076">
        <v>400000</v>
      </c>
    </row>
    <row r="19077" spans="26:26" x14ac:dyDescent="0.25">
      <c r="Z19077">
        <v>400000</v>
      </c>
    </row>
    <row r="19078" spans="26:26" x14ac:dyDescent="0.25">
      <c r="Z19078">
        <v>400000</v>
      </c>
    </row>
    <row r="19079" spans="26:26" x14ac:dyDescent="0.25">
      <c r="Z19079">
        <v>400000</v>
      </c>
    </row>
    <row r="19080" spans="26:26" x14ac:dyDescent="0.25">
      <c r="Z19080">
        <v>400000</v>
      </c>
    </row>
    <row r="19081" spans="26:26" x14ac:dyDescent="0.25">
      <c r="Z19081">
        <v>400000</v>
      </c>
    </row>
    <row r="19082" spans="26:26" x14ac:dyDescent="0.25">
      <c r="Z19082">
        <v>400000</v>
      </c>
    </row>
    <row r="19083" spans="26:26" x14ac:dyDescent="0.25">
      <c r="Z19083">
        <v>400000</v>
      </c>
    </row>
    <row r="19084" spans="26:26" x14ac:dyDescent="0.25">
      <c r="Z19084">
        <v>400000</v>
      </c>
    </row>
    <row r="19085" spans="26:26" x14ac:dyDescent="0.25">
      <c r="Z19085">
        <v>400000</v>
      </c>
    </row>
    <row r="19086" spans="26:26" x14ac:dyDescent="0.25">
      <c r="Z19086">
        <v>400000</v>
      </c>
    </row>
    <row r="19087" spans="26:26" x14ac:dyDescent="0.25">
      <c r="Z19087">
        <v>400000</v>
      </c>
    </row>
    <row r="19088" spans="26:26" x14ac:dyDescent="0.25">
      <c r="Z19088">
        <v>400000</v>
      </c>
    </row>
    <row r="19089" spans="26:26" x14ac:dyDescent="0.25">
      <c r="Z19089">
        <v>400000</v>
      </c>
    </row>
    <row r="19090" spans="26:26" x14ac:dyDescent="0.25">
      <c r="Z19090">
        <v>400000</v>
      </c>
    </row>
    <row r="19091" spans="26:26" x14ac:dyDescent="0.25">
      <c r="Z19091">
        <v>400000</v>
      </c>
    </row>
    <row r="19092" spans="26:26" x14ac:dyDescent="0.25">
      <c r="Z19092">
        <v>400000</v>
      </c>
    </row>
    <row r="19093" spans="26:26" x14ac:dyDescent="0.25">
      <c r="Z19093">
        <v>400000</v>
      </c>
    </row>
    <row r="19094" spans="26:26" x14ac:dyDescent="0.25">
      <c r="Z19094">
        <v>400000</v>
      </c>
    </row>
    <row r="19095" spans="26:26" x14ac:dyDescent="0.25">
      <c r="Z19095">
        <v>400000</v>
      </c>
    </row>
    <row r="19096" spans="26:26" x14ac:dyDescent="0.25">
      <c r="Z19096">
        <v>400000</v>
      </c>
    </row>
    <row r="19097" spans="26:26" x14ac:dyDescent="0.25">
      <c r="Z19097">
        <v>400000</v>
      </c>
    </row>
    <row r="19098" spans="26:26" x14ac:dyDescent="0.25">
      <c r="Z19098">
        <v>400000</v>
      </c>
    </row>
    <row r="19099" spans="26:26" x14ac:dyDescent="0.25">
      <c r="Z19099">
        <v>400000</v>
      </c>
    </row>
    <row r="19100" spans="26:26" x14ac:dyDescent="0.25">
      <c r="Z19100">
        <v>400000</v>
      </c>
    </row>
    <row r="19101" spans="26:26" x14ac:dyDescent="0.25">
      <c r="Z19101">
        <v>400000</v>
      </c>
    </row>
    <row r="19102" spans="26:26" x14ac:dyDescent="0.25">
      <c r="Z19102">
        <v>400000</v>
      </c>
    </row>
    <row r="19103" spans="26:26" x14ac:dyDescent="0.25">
      <c r="Z19103">
        <v>400000</v>
      </c>
    </row>
    <row r="19104" spans="26:26" x14ac:dyDescent="0.25">
      <c r="Z19104">
        <v>400000</v>
      </c>
    </row>
    <row r="19105" spans="26:26" x14ac:dyDescent="0.25">
      <c r="Z19105">
        <v>400000</v>
      </c>
    </row>
    <row r="19106" spans="26:26" x14ac:dyDescent="0.25">
      <c r="Z19106">
        <v>400000</v>
      </c>
    </row>
    <row r="19107" spans="26:26" x14ac:dyDescent="0.25">
      <c r="Z19107">
        <v>400000</v>
      </c>
    </row>
    <row r="19108" spans="26:26" x14ac:dyDescent="0.25">
      <c r="Z19108">
        <v>400000</v>
      </c>
    </row>
    <row r="19109" spans="26:26" x14ac:dyDescent="0.25">
      <c r="Z19109">
        <v>400000</v>
      </c>
    </row>
    <row r="19110" spans="26:26" x14ac:dyDescent="0.25">
      <c r="Z19110">
        <v>400000</v>
      </c>
    </row>
    <row r="19111" spans="26:26" x14ac:dyDescent="0.25">
      <c r="Z19111">
        <v>400000</v>
      </c>
    </row>
    <row r="19112" spans="26:26" x14ac:dyDescent="0.25">
      <c r="Z19112">
        <v>400000</v>
      </c>
    </row>
    <row r="19113" spans="26:26" x14ac:dyDescent="0.25">
      <c r="Z19113">
        <v>400000</v>
      </c>
    </row>
    <row r="19114" spans="26:26" x14ac:dyDescent="0.25">
      <c r="Z19114">
        <v>400000</v>
      </c>
    </row>
    <row r="19115" spans="26:26" x14ac:dyDescent="0.25">
      <c r="Z19115">
        <v>400000</v>
      </c>
    </row>
    <row r="19116" spans="26:26" x14ac:dyDescent="0.25">
      <c r="Z19116">
        <v>400000</v>
      </c>
    </row>
    <row r="19117" spans="26:26" x14ac:dyDescent="0.25">
      <c r="Z19117">
        <v>400000</v>
      </c>
    </row>
    <row r="19118" spans="26:26" x14ac:dyDescent="0.25">
      <c r="Z19118">
        <v>400000</v>
      </c>
    </row>
    <row r="19119" spans="26:26" x14ac:dyDescent="0.25">
      <c r="Z19119">
        <v>400000</v>
      </c>
    </row>
    <row r="19120" spans="26:26" x14ac:dyDescent="0.25">
      <c r="Z19120">
        <v>400000</v>
      </c>
    </row>
    <row r="19121" spans="26:26" x14ac:dyDescent="0.25">
      <c r="Z19121">
        <v>400000</v>
      </c>
    </row>
    <row r="19122" spans="26:26" x14ac:dyDescent="0.25">
      <c r="Z19122">
        <v>400000</v>
      </c>
    </row>
    <row r="19123" spans="26:26" x14ac:dyDescent="0.25">
      <c r="Z19123">
        <v>400000</v>
      </c>
    </row>
    <row r="19124" spans="26:26" x14ac:dyDescent="0.25">
      <c r="Z19124">
        <v>400000</v>
      </c>
    </row>
    <row r="19125" spans="26:26" x14ac:dyDescent="0.25">
      <c r="Z19125">
        <v>400000</v>
      </c>
    </row>
    <row r="19126" spans="26:26" x14ac:dyDescent="0.25">
      <c r="Z19126">
        <v>400000</v>
      </c>
    </row>
    <row r="19127" spans="26:26" x14ac:dyDescent="0.25">
      <c r="Z19127">
        <v>400000</v>
      </c>
    </row>
    <row r="19128" spans="26:26" x14ac:dyDescent="0.25">
      <c r="Z19128">
        <v>400000</v>
      </c>
    </row>
    <row r="19129" spans="26:26" x14ac:dyDescent="0.25">
      <c r="Z19129">
        <v>400000</v>
      </c>
    </row>
    <row r="19130" spans="26:26" x14ac:dyDescent="0.25">
      <c r="Z19130">
        <v>400000</v>
      </c>
    </row>
    <row r="19131" spans="26:26" x14ac:dyDescent="0.25">
      <c r="Z19131">
        <v>400000</v>
      </c>
    </row>
    <row r="19132" spans="26:26" x14ac:dyDescent="0.25">
      <c r="Z19132">
        <v>400000</v>
      </c>
    </row>
    <row r="19133" spans="26:26" x14ac:dyDescent="0.25">
      <c r="Z19133">
        <v>400000</v>
      </c>
    </row>
    <row r="19134" spans="26:26" x14ac:dyDescent="0.25">
      <c r="Z19134">
        <v>400000</v>
      </c>
    </row>
    <row r="19135" spans="26:26" x14ac:dyDescent="0.25">
      <c r="Z19135">
        <v>400000</v>
      </c>
    </row>
    <row r="19136" spans="26:26" x14ac:dyDescent="0.25">
      <c r="Z19136">
        <v>400000</v>
      </c>
    </row>
    <row r="19137" spans="26:26" x14ac:dyDescent="0.25">
      <c r="Z19137">
        <v>400000</v>
      </c>
    </row>
    <row r="19138" spans="26:26" x14ac:dyDescent="0.25">
      <c r="Z19138">
        <v>400000</v>
      </c>
    </row>
    <row r="19139" spans="26:26" x14ac:dyDescent="0.25">
      <c r="Z19139">
        <v>400000</v>
      </c>
    </row>
    <row r="19140" spans="26:26" x14ac:dyDescent="0.25">
      <c r="Z19140">
        <v>400000</v>
      </c>
    </row>
    <row r="19141" spans="26:26" x14ac:dyDescent="0.25">
      <c r="Z19141">
        <v>400000</v>
      </c>
    </row>
    <row r="19142" spans="26:26" x14ac:dyDescent="0.25">
      <c r="Z19142">
        <v>400000</v>
      </c>
    </row>
    <row r="19143" spans="26:26" x14ac:dyDescent="0.25">
      <c r="Z19143">
        <v>400000</v>
      </c>
    </row>
    <row r="19144" spans="26:26" x14ac:dyDescent="0.25">
      <c r="Z19144">
        <v>400000</v>
      </c>
    </row>
    <row r="19145" spans="26:26" x14ac:dyDescent="0.25">
      <c r="Z19145">
        <v>400000</v>
      </c>
    </row>
    <row r="19146" spans="26:26" x14ac:dyDescent="0.25">
      <c r="Z19146">
        <v>400000</v>
      </c>
    </row>
    <row r="19147" spans="26:26" x14ac:dyDescent="0.25">
      <c r="Z19147">
        <v>400000</v>
      </c>
    </row>
    <row r="19148" spans="26:26" x14ac:dyDescent="0.25">
      <c r="Z19148">
        <v>400000</v>
      </c>
    </row>
    <row r="19149" spans="26:26" x14ac:dyDescent="0.25">
      <c r="Z19149">
        <v>400000</v>
      </c>
    </row>
    <row r="19150" spans="26:26" x14ac:dyDescent="0.25">
      <c r="Z19150">
        <v>400000</v>
      </c>
    </row>
    <row r="19151" spans="26:26" x14ac:dyDescent="0.25">
      <c r="Z19151">
        <v>400000</v>
      </c>
    </row>
    <row r="19152" spans="26:26" x14ac:dyDescent="0.25">
      <c r="Z19152">
        <v>400000</v>
      </c>
    </row>
    <row r="19153" spans="26:26" x14ac:dyDescent="0.25">
      <c r="Z19153">
        <v>400000</v>
      </c>
    </row>
    <row r="19154" spans="26:26" x14ac:dyDescent="0.25">
      <c r="Z19154">
        <v>400000</v>
      </c>
    </row>
    <row r="19155" spans="26:26" x14ac:dyDescent="0.25">
      <c r="Z19155">
        <v>400000</v>
      </c>
    </row>
    <row r="19156" spans="26:26" x14ac:dyDescent="0.25">
      <c r="Z19156">
        <v>400000</v>
      </c>
    </row>
    <row r="19157" spans="26:26" x14ac:dyDescent="0.25">
      <c r="Z19157">
        <v>400000</v>
      </c>
    </row>
    <row r="19158" spans="26:26" x14ac:dyDescent="0.25">
      <c r="Z19158">
        <v>400000</v>
      </c>
    </row>
    <row r="19159" spans="26:26" x14ac:dyDescent="0.25">
      <c r="Z19159">
        <v>400000</v>
      </c>
    </row>
    <row r="19160" spans="26:26" x14ac:dyDescent="0.25">
      <c r="Z19160">
        <v>400000</v>
      </c>
    </row>
    <row r="19161" spans="26:26" x14ac:dyDescent="0.25">
      <c r="Z19161">
        <v>400000</v>
      </c>
    </row>
    <row r="19162" spans="26:26" x14ac:dyDescent="0.25">
      <c r="Z19162">
        <v>400000</v>
      </c>
    </row>
    <row r="19163" spans="26:26" x14ac:dyDescent="0.25">
      <c r="Z19163">
        <v>400000</v>
      </c>
    </row>
    <row r="19164" spans="26:26" x14ac:dyDescent="0.25">
      <c r="Z19164">
        <v>400000</v>
      </c>
    </row>
    <row r="19165" spans="26:26" x14ac:dyDescent="0.25">
      <c r="Z19165">
        <v>400000</v>
      </c>
    </row>
    <row r="19166" spans="26:26" x14ac:dyDescent="0.25">
      <c r="Z19166">
        <v>400000</v>
      </c>
    </row>
    <row r="19167" spans="26:26" x14ac:dyDescent="0.25">
      <c r="Z19167">
        <v>400000</v>
      </c>
    </row>
    <row r="19168" spans="26:26" x14ac:dyDescent="0.25">
      <c r="Z19168">
        <v>400000</v>
      </c>
    </row>
    <row r="19169" spans="26:26" x14ac:dyDescent="0.25">
      <c r="Z19169">
        <v>400000</v>
      </c>
    </row>
    <row r="19170" spans="26:26" x14ac:dyDescent="0.25">
      <c r="Z19170">
        <v>400000</v>
      </c>
    </row>
    <row r="19171" spans="26:26" x14ac:dyDescent="0.25">
      <c r="Z19171">
        <v>400000</v>
      </c>
    </row>
    <row r="19172" spans="26:26" x14ac:dyDescent="0.25">
      <c r="Z19172">
        <v>400000</v>
      </c>
    </row>
    <row r="19173" spans="26:26" x14ac:dyDescent="0.25">
      <c r="Z19173">
        <v>400000</v>
      </c>
    </row>
    <row r="19174" spans="26:26" x14ac:dyDescent="0.25">
      <c r="Z19174">
        <v>400000</v>
      </c>
    </row>
    <row r="19175" spans="26:26" x14ac:dyDescent="0.25">
      <c r="Z19175">
        <v>400000</v>
      </c>
    </row>
    <row r="19176" spans="26:26" x14ac:dyDescent="0.25">
      <c r="Z19176">
        <v>400000</v>
      </c>
    </row>
    <row r="19177" spans="26:26" x14ac:dyDescent="0.25">
      <c r="Z19177">
        <v>400000</v>
      </c>
    </row>
    <row r="19178" spans="26:26" x14ac:dyDescent="0.25">
      <c r="Z19178">
        <v>400000</v>
      </c>
    </row>
    <row r="19179" spans="26:26" x14ac:dyDescent="0.25">
      <c r="Z19179">
        <v>400000</v>
      </c>
    </row>
    <row r="19180" spans="26:26" x14ac:dyDescent="0.25">
      <c r="Z19180">
        <v>400000</v>
      </c>
    </row>
    <row r="19181" spans="26:26" x14ac:dyDescent="0.25">
      <c r="Z19181">
        <v>400000</v>
      </c>
    </row>
    <row r="19182" spans="26:26" x14ac:dyDescent="0.25">
      <c r="Z19182">
        <v>400000</v>
      </c>
    </row>
    <row r="19183" spans="26:26" x14ac:dyDescent="0.25">
      <c r="Z19183">
        <v>400000</v>
      </c>
    </row>
    <row r="19184" spans="26:26" x14ac:dyDescent="0.25">
      <c r="Z19184">
        <v>400000</v>
      </c>
    </row>
    <row r="19185" spans="26:26" x14ac:dyDescent="0.25">
      <c r="Z19185">
        <v>400000</v>
      </c>
    </row>
    <row r="19186" spans="26:26" x14ac:dyDescent="0.25">
      <c r="Z19186">
        <v>400000</v>
      </c>
    </row>
    <row r="19187" spans="26:26" x14ac:dyDescent="0.25">
      <c r="Z19187">
        <v>400000</v>
      </c>
    </row>
    <row r="19188" spans="26:26" x14ac:dyDescent="0.25">
      <c r="Z19188">
        <v>400000</v>
      </c>
    </row>
    <row r="19189" spans="26:26" x14ac:dyDescent="0.25">
      <c r="Z19189">
        <v>400000</v>
      </c>
    </row>
    <row r="19190" spans="26:26" x14ac:dyDescent="0.25">
      <c r="Z19190">
        <v>400000</v>
      </c>
    </row>
    <row r="19191" spans="26:26" x14ac:dyDescent="0.25">
      <c r="Z19191">
        <v>400000</v>
      </c>
    </row>
    <row r="19192" spans="26:26" x14ac:dyDescent="0.25">
      <c r="Z19192">
        <v>400000</v>
      </c>
    </row>
    <row r="19193" spans="26:26" x14ac:dyDescent="0.25">
      <c r="Z19193">
        <v>400000</v>
      </c>
    </row>
    <row r="19194" spans="26:26" x14ac:dyDescent="0.25">
      <c r="Z19194">
        <v>400000</v>
      </c>
    </row>
    <row r="19195" spans="26:26" x14ac:dyDescent="0.25">
      <c r="Z19195">
        <v>400000</v>
      </c>
    </row>
    <row r="19196" spans="26:26" x14ac:dyDescent="0.25">
      <c r="Z19196">
        <v>400000</v>
      </c>
    </row>
    <row r="19197" spans="26:26" x14ac:dyDescent="0.25">
      <c r="Z19197">
        <v>400000</v>
      </c>
    </row>
    <row r="19198" spans="26:26" x14ac:dyDescent="0.25">
      <c r="Z19198">
        <v>400000</v>
      </c>
    </row>
    <row r="19199" spans="26:26" x14ac:dyDescent="0.25">
      <c r="Z19199">
        <v>400000</v>
      </c>
    </row>
    <row r="19200" spans="26:26" x14ac:dyDescent="0.25">
      <c r="Z19200">
        <v>400000</v>
      </c>
    </row>
    <row r="19201" spans="26:26" x14ac:dyDescent="0.25">
      <c r="Z19201">
        <v>400000</v>
      </c>
    </row>
    <row r="19202" spans="26:26" x14ac:dyDescent="0.25">
      <c r="Z19202">
        <v>400000</v>
      </c>
    </row>
    <row r="19203" spans="26:26" x14ac:dyDescent="0.25">
      <c r="Z19203">
        <v>400000</v>
      </c>
    </row>
    <row r="19204" spans="26:26" x14ac:dyDescent="0.25">
      <c r="Z19204">
        <v>400000</v>
      </c>
    </row>
    <row r="19205" spans="26:26" x14ac:dyDescent="0.25">
      <c r="Z19205">
        <v>400000</v>
      </c>
    </row>
    <row r="19206" spans="26:26" x14ac:dyDescent="0.25">
      <c r="Z19206">
        <v>400000</v>
      </c>
    </row>
    <row r="19207" spans="26:26" x14ac:dyDescent="0.25">
      <c r="Z19207">
        <v>400000</v>
      </c>
    </row>
    <row r="19208" spans="26:26" x14ac:dyDescent="0.25">
      <c r="Z19208">
        <v>400000</v>
      </c>
    </row>
    <row r="19209" spans="26:26" x14ac:dyDescent="0.25">
      <c r="Z19209">
        <v>400000</v>
      </c>
    </row>
    <row r="19210" spans="26:26" x14ac:dyDescent="0.25">
      <c r="Z19210">
        <v>400000</v>
      </c>
    </row>
    <row r="19211" spans="26:26" x14ac:dyDescent="0.25">
      <c r="Z19211">
        <v>400000</v>
      </c>
    </row>
    <row r="19212" spans="26:26" x14ac:dyDescent="0.25">
      <c r="Z19212">
        <v>400000</v>
      </c>
    </row>
    <row r="19213" spans="26:26" x14ac:dyDescent="0.25">
      <c r="Z19213">
        <v>400000</v>
      </c>
    </row>
    <row r="19214" spans="26:26" x14ac:dyDescent="0.25">
      <c r="Z19214">
        <v>400000</v>
      </c>
    </row>
    <row r="19215" spans="26:26" x14ac:dyDescent="0.25">
      <c r="Z19215">
        <v>400000</v>
      </c>
    </row>
    <row r="19216" spans="26:26" x14ac:dyDescent="0.25">
      <c r="Z19216">
        <v>400000</v>
      </c>
    </row>
    <row r="19217" spans="26:26" x14ac:dyDescent="0.25">
      <c r="Z19217">
        <v>400000</v>
      </c>
    </row>
    <row r="19218" spans="26:26" x14ac:dyDescent="0.25">
      <c r="Z19218">
        <v>400000</v>
      </c>
    </row>
    <row r="19219" spans="26:26" x14ac:dyDescent="0.25">
      <c r="Z19219">
        <v>400000</v>
      </c>
    </row>
    <row r="19220" spans="26:26" x14ac:dyDescent="0.25">
      <c r="Z19220">
        <v>400000</v>
      </c>
    </row>
    <row r="19221" spans="26:26" x14ac:dyDescent="0.25">
      <c r="Z19221">
        <v>400000</v>
      </c>
    </row>
    <row r="19222" spans="26:26" x14ac:dyDescent="0.25">
      <c r="Z19222">
        <v>400000</v>
      </c>
    </row>
    <row r="19223" spans="26:26" x14ac:dyDescent="0.25">
      <c r="Z19223">
        <v>400000</v>
      </c>
    </row>
    <row r="19224" spans="26:26" x14ac:dyDescent="0.25">
      <c r="Z19224">
        <v>400000</v>
      </c>
    </row>
    <row r="19225" spans="26:26" x14ac:dyDescent="0.25">
      <c r="Z19225">
        <v>400000</v>
      </c>
    </row>
    <row r="19226" spans="26:26" x14ac:dyDescent="0.25">
      <c r="Z19226">
        <v>400000</v>
      </c>
    </row>
    <row r="19227" spans="26:26" x14ac:dyDescent="0.25">
      <c r="Z19227">
        <v>400000</v>
      </c>
    </row>
    <row r="19228" spans="26:26" x14ac:dyDescent="0.25">
      <c r="Z19228">
        <v>400000</v>
      </c>
    </row>
    <row r="19229" spans="26:26" x14ac:dyDescent="0.25">
      <c r="Z19229">
        <v>400000</v>
      </c>
    </row>
    <row r="19230" spans="26:26" x14ac:dyDescent="0.25">
      <c r="Z19230">
        <v>400000</v>
      </c>
    </row>
    <row r="19231" spans="26:26" x14ac:dyDescent="0.25">
      <c r="Z19231">
        <v>400000</v>
      </c>
    </row>
    <row r="19232" spans="26:26" x14ac:dyDescent="0.25">
      <c r="Z19232">
        <v>400000</v>
      </c>
    </row>
    <row r="19233" spans="26:26" x14ac:dyDescent="0.25">
      <c r="Z19233">
        <v>400000</v>
      </c>
    </row>
    <row r="19234" spans="26:26" x14ac:dyDescent="0.25">
      <c r="Z19234">
        <v>400000</v>
      </c>
    </row>
    <row r="19235" spans="26:26" x14ac:dyDescent="0.25">
      <c r="Z19235">
        <v>400000</v>
      </c>
    </row>
    <row r="19236" spans="26:26" x14ac:dyDescent="0.25">
      <c r="Z19236">
        <v>400000</v>
      </c>
    </row>
    <row r="19237" spans="26:26" x14ac:dyDescent="0.25">
      <c r="Z19237">
        <v>400000</v>
      </c>
    </row>
    <row r="19238" spans="26:26" x14ac:dyDescent="0.25">
      <c r="Z19238">
        <v>400000</v>
      </c>
    </row>
    <row r="19239" spans="26:26" x14ac:dyDescent="0.25">
      <c r="Z19239">
        <v>400000</v>
      </c>
    </row>
    <row r="19240" spans="26:26" x14ac:dyDescent="0.25">
      <c r="Z19240">
        <v>400000</v>
      </c>
    </row>
    <row r="19241" spans="26:26" x14ac:dyDescent="0.25">
      <c r="Z19241">
        <v>400000</v>
      </c>
    </row>
    <row r="19242" spans="26:26" x14ac:dyDescent="0.25">
      <c r="Z19242">
        <v>400000</v>
      </c>
    </row>
    <row r="19243" spans="26:26" x14ac:dyDescent="0.25">
      <c r="Z19243">
        <v>400000</v>
      </c>
    </row>
    <row r="19244" spans="26:26" x14ac:dyDescent="0.25">
      <c r="Z19244">
        <v>400000</v>
      </c>
    </row>
    <row r="19245" spans="26:26" x14ac:dyDescent="0.25">
      <c r="Z19245">
        <v>400000</v>
      </c>
    </row>
    <row r="19246" spans="26:26" x14ac:dyDescent="0.25">
      <c r="Z19246">
        <v>400000</v>
      </c>
    </row>
    <row r="19247" spans="26:26" x14ac:dyDescent="0.25">
      <c r="Z19247">
        <v>400000</v>
      </c>
    </row>
    <row r="19248" spans="26:26" x14ac:dyDescent="0.25">
      <c r="Z19248">
        <v>400000</v>
      </c>
    </row>
    <row r="19249" spans="26:26" x14ac:dyDescent="0.25">
      <c r="Z19249">
        <v>400000</v>
      </c>
    </row>
    <row r="19250" spans="26:26" x14ac:dyDescent="0.25">
      <c r="Z19250">
        <v>400000</v>
      </c>
    </row>
    <row r="19251" spans="26:26" x14ac:dyDescent="0.25">
      <c r="Z19251">
        <v>400000</v>
      </c>
    </row>
    <row r="19252" spans="26:26" x14ac:dyDescent="0.25">
      <c r="Z19252">
        <v>400000</v>
      </c>
    </row>
    <row r="19253" spans="26:26" x14ac:dyDescent="0.25">
      <c r="Z19253">
        <v>400000</v>
      </c>
    </row>
    <row r="19254" spans="26:26" x14ac:dyDescent="0.25">
      <c r="Z19254">
        <v>400000</v>
      </c>
    </row>
    <row r="19255" spans="26:26" x14ac:dyDescent="0.25">
      <c r="Z19255">
        <v>400000</v>
      </c>
    </row>
    <row r="19256" spans="26:26" x14ac:dyDescent="0.25">
      <c r="Z19256">
        <v>400000</v>
      </c>
    </row>
    <row r="19257" spans="26:26" x14ac:dyDescent="0.25">
      <c r="Z19257">
        <v>400000</v>
      </c>
    </row>
    <row r="19258" spans="26:26" x14ac:dyDescent="0.25">
      <c r="Z19258">
        <v>400000</v>
      </c>
    </row>
    <row r="19259" spans="26:26" x14ac:dyDescent="0.25">
      <c r="Z19259">
        <v>400000</v>
      </c>
    </row>
    <row r="19260" spans="26:26" x14ac:dyDescent="0.25">
      <c r="Z19260">
        <v>400000</v>
      </c>
    </row>
    <row r="19261" spans="26:26" x14ac:dyDescent="0.25">
      <c r="Z19261">
        <v>400000</v>
      </c>
    </row>
    <row r="19262" spans="26:26" x14ac:dyDescent="0.25">
      <c r="Z19262">
        <v>400000</v>
      </c>
    </row>
    <row r="19263" spans="26:26" x14ac:dyDescent="0.25">
      <c r="Z19263">
        <v>400000</v>
      </c>
    </row>
    <row r="19264" spans="26:26" x14ac:dyDescent="0.25">
      <c r="Z19264">
        <v>400000</v>
      </c>
    </row>
    <row r="19265" spans="26:26" x14ac:dyDescent="0.25">
      <c r="Z19265">
        <v>400000</v>
      </c>
    </row>
    <row r="19266" spans="26:26" x14ac:dyDescent="0.25">
      <c r="Z19266">
        <v>400000</v>
      </c>
    </row>
    <row r="19267" spans="26:26" x14ac:dyDescent="0.25">
      <c r="Z19267">
        <v>400000</v>
      </c>
    </row>
    <row r="19268" spans="26:26" x14ac:dyDescent="0.25">
      <c r="Z19268">
        <v>400000</v>
      </c>
    </row>
    <row r="19269" spans="26:26" x14ac:dyDescent="0.25">
      <c r="Z19269">
        <v>400000</v>
      </c>
    </row>
    <row r="19270" spans="26:26" x14ac:dyDescent="0.25">
      <c r="Z19270">
        <v>400000</v>
      </c>
    </row>
    <row r="19271" spans="26:26" x14ac:dyDescent="0.25">
      <c r="Z19271">
        <v>400000</v>
      </c>
    </row>
    <row r="19272" spans="26:26" x14ac:dyDescent="0.25">
      <c r="Z19272">
        <v>400000</v>
      </c>
    </row>
    <row r="19273" spans="26:26" x14ac:dyDescent="0.25">
      <c r="Z19273">
        <v>400000</v>
      </c>
    </row>
    <row r="19274" spans="26:26" x14ac:dyDescent="0.25">
      <c r="Z19274">
        <v>400000</v>
      </c>
    </row>
    <row r="19275" spans="26:26" x14ac:dyDescent="0.25">
      <c r="Z19275">
        <v>400000</v>
      </c>
    </row>
    <row r="19276" spans="26:26" x14ac:dyDescent="0.25">
      <c r="Z19276">
        <v>400000</v>
      </c>
    </row>
    <row r="19277" spans="26:26" x14ac:dyDescent="0.25">
      <c r="Z19277">
        <v>400000</v>
      </c>
    </row>
    <row r="19278" spans="26:26" x14ac:dyDescent="0.25">
      <c r="Z19278">
        <v>400000</v>
      </c>
    </row>
    <row r="19279" spans="26:26" x14ac:dyDescent="0.25">
      <c r="Z19279">
        <v>400000</v>
      </c>
    </row>
    <row r="19280" spans="26:26" x14ac:dyDescent="0.25">
      <c r="Z19280">
        <v>400000</v>
      </c>
    </row>
    <row r="19281" spans="26:26" x14ac:dyDescent="0.25">
      <c r="Z19281">
        <v>400000</v>
      </c>
    </row>
    <row r="19282" spans="26:26" x14ac:dyDescent="0.25">
      <c r="Z19282">
        <v>400000</v>
      </c>
    </row>
    <row r="19283" spans="26:26" x14ac:dyDescent="0.25">
      <c r="Z19283">
        <v>400000</v>
      </c>
    </row>
    <row r="19284" spans="26:26" x14ac:dyDescent="0.25">
      <c r="Z19284">
        <v>400000</v>
      </c>
    </row>
    <row r="19285" spans="26:26" x14ac:dyDescent="0.25">
      <c r="Z19285">
        <v>400000</v>
      </c>
    </row>
    <row r="19286" spans="26:26" x14ac:dyDescent="0.25">
      <c r="Z19286">
        <v>400000</v>
      </c>
    </row>
    <row r="19287" spans="26:26" x14ac:dyDescent="0.25">
      <c r="Z19287">
        <v>400000</v>
      </c>
    </row>
    <row r="19288" spans="26:26" x14ac:dyDescent="0.25">
      <c r="Z19288">
        <v>400000</v>
      </c>
    </row>
    <row r="19289" spans="26:26" x14ac:dyDescent="0.25">
      <c r="Z19289">
        <v>400000</v>
      </c>
    </row>
    <row r="19290" spans="26:26" x14ac:dyDescent="0.25">
      <c r="Z19290">
        <v>400000</v>
      </c>
    </row>
    <row r="19291" spans="26:26" x14ac:dyDescent="0.25">
      <c r="Z19291">
        <v>400000</v>
      </c>
    </row>
    <row r="19292" spans="26:26" x14ac:dyDescent="0.25">
      <c r="Z19292">
        <v>400000</v>
      </c>
    </row>
    <row r="19293" spans="26:26" x14ac:dyDescent="0.25">
      <c r="Z19293">
        <v>400000</v>
      </c>
    </row>
    <row r="19294" spans="26:26" x14ac:dyDescent="0.25">
      <c r="Z19294">
        <v>400000</v>
      </c>
    </row>
    <row r="19295" spans="26:26" x14ac:dyDescent="0.25">
      <c r="Z19295">
        <v>400000</v>
      </c>
    </row>
    <row r="19296" spans="26:26" x14ac:dyDescent="0.25">
      <c r="Z19296">
        <v>400000</v>
      </c>
    </row>
    <row r="19297" spans="26:26" x14ac:dyDescent="0.25">
      <c r="Z19297">
        <v>400000</v>
      </c>
    </row>
    <row r="19298" spans="26:26" x14ac:dyDescent="0.25">
      <c r="Z19298">
        <v>400000</v>
      </c>
    </row>
    <row r="19299" spans="26:26" x14ac:dyDescent="0.25">
      <c r="Z19299">
        <v>400000</v>
      </c>
    </row>
    <row r="19300" spans="26:26" x14ac:dyDescent="0.25">
      <c r="Z19300">
        <v>400000</v>
      </c>
    </row>
    <row r="19301" spans="26:26" x14ac:dyDescent="0.25">
      <c r="Z19301">
        <v>400000</v>
      </c>
    </row>
    <row r="19302" spans="26:26" x14ac:dyDescent="0.25">
      <c r="Z19302">
        <v>400000</v>
      </c>
    </row>
    <row r="19303" spans="26:26" x14ac:dyDescent="0.25">
      <c r="Z19303">
        <v>400000</v>
      </c>
    </row>
    <row r="19304" spans="26:26" x14ac:dyDescent="0.25">
      <c r="Z19304">
        <v>400000</v>
      </c>
    </row>
    <row r="19305" spans="26:26" x14ac:dyDescent="0.25">
      <c r="Z19305">
        <v>400000</v>
      </c>
    </row>
    <row r="19306" spans="26:26" x14ac:dyDescent="0.25">
      <c r="Z19306">
        <v>400000</v>
      </c>
    </row>
    <row r="19307" spans="26:26" x14ac:dyDescent="0.25">
      <c r="Z19307">
        <v>400000</v>
      </c>
    </row>
    <row r="19308" spans="26:26" x14ac:dyDescent="0.25">
      <c r="Z19308">
        <v>400000</v>
      </c>
    </row>
    <row r="19309" spans="26:26" x14ac:dyDescent="0.25">
      <c r="Z19309">
        <v>400000</v>
      </c>
    </row>
    <row r="19310" spans="26:26" x14ac:dyDescent="0.25">
      <c r="Z19310">
        <v>400000</v>
      </c>
    </row>
    <row r="19311" spans="26:26" x14ac:dyDescent="0.25">
      <c r="Z19311">
        <v>400000</v>
      </c>
    </row>
    <row r="19312" spans="26:26" x14ac:dyDescent="0.25">
      <c r="Z19312">
        <v>400000</v>
      </c>
    </row>
    <row r="19313" spans="26:26" x14ac:dyDescent="0.25">
      <c r="Z19313">
        <v>400000</v>
      </c>
    </row>
    <row r="19314" spans="26:26" x14ac:dyDescent="0.25">
      <c r="Z19314">
        <v>400000</v>
      </c>
    </row>
    <row r="19315" spans="26:26" x14ac:dyDescent="0.25">
      <c r="Z19315">
        <v>400000</v>
      </c>
    </row>
    <row r="19316" spans="26:26" x14ac:dyDescent="0.25">
      <c r="Z19316">
        <v>400000</v>
      </c>
    </row>
    <row r="19317" spans="26:26" x14ac:dyDescent="0.25">
      <c r="Z19317">
        <v>400000</v>
      </c>
    </row>
    <row r="19318" spans="26:26" x14ac:dyDescent="0.25">
      <c r="Z19318">
        <v>400000</v>
      </c>
    </row>
    <row r="19319" spans="26:26" x14ac:dyDescent="0.25">
      <c r="Z19319">
        <v>400000</v>
      </c>
    </row>
    <row r="19320" spans="26:26" x14ac:dyDescent="0.25">
      <c r="Z19320">
        <v>400000</v>
      </c>
    </row>
    <row r="19321" spans="26:26" x14ac:dyDescent="0.25">
      <c r="Z19321">
        <v>400000</v>
      </c>
    </row>
    <row r="19322" spans="26:26" x14ac:dyDescent="0.25">
      <c r="Z19322">
        <v>400000</v>
      </c>
    </row>
    <row r="19323" spans="26:26" x14ac:dyDescent="0.25">
      <c r="Z19323">
        <v>400000</v>
      </c>
    </row>
    <row r="19324" spans="26:26" x14ac:dyDescent="0.25">
      <c r="Z19324">
        <v>400000</v>
      </c>
    </row>
    <row r="19325" spans="26:26" x14ac:dyDescent="0.25">
      <c r="Z19325">
        <v>400000</v>
      </c>
    </row>
    <row r="19326" spans="26:26" x14ac:dyDescent="0.25">
      <c r="Z19326">
        <v>400000</v>
      </c>
    </row>
    <row r="19327" spans="26:26" x14ac:dyDescent="0.25">
      <c r="Z19327">
        <v>400000</v>
      </c>
    </row>
    <row r="19328" spans="26:26" x14ac:dyDescent="0.25">
      <c r="Z19328">
        <v>400000</v>
      </c>
    </row>
    <row r="19329" spans="26:26" x14ac:dyDescent="0.25">
      <c r="Z19329">
        <v>400000</v>
      </c>
    </row>
    <row r="19330" spans="26:26" x14ac:dyDescent="0.25">
      <c r="Z19330">
        <v>400000</v>
      </c>
    </row>
    <row r="19331" spans="26:26" x14ac:dyDescent="0.25">
      <c r="Z19331">
        <v>400000</v>
      </c>
    </row>
    <row r="19332" spans="26:26" x14ac:dyDescent="0.25">
      <c r="Z19332">
        <v>400000</v>
      </c>
    </row>
    <row r="19333" spans="26:26" x14ac:dyDescent="0.25">
      <c r="Z19333">
        <v>400000</v>
      </c>
    </row>
    <row r="19334" spans="26:26" x14ac:dyDescent="0.25">
      <c r="Z19334">
        <v>400000</v>
      </c>
    </row>
    <row r="19335" spans="26:26" x14ac:dyDescent="0.25">
      <c r="Z19335">
        <v>400000</v>
      </c>
    </row>
    <row r="19336" spans="26:26" x14ac:dyDescent="0.25">
      <c r="Z19336">
        <v>400000</v>
      </c>
    </row>
    <row r="19337" spans="26:26" x14ac:dyDescent="0.25">
      <c r="Z19337">
        <v>400000</v>
      </c>
    </row>
    <row r="19338" spans="26:26" x14ac:dyDescent="0.25">
      <c r="Z19338">
        <v>400000</v>
      </c>
    </row>
    <row r="19339" spans="26:26" x14ac:dyDescent="0.25">
      <c r="Z19339">
        <v>400000</v>
      </c>
    </row>
    <row r="19340" spans="26:26" x14ac:dyDescent="0.25">
      <c r="Z19340">
        <v>400000</v>
      </c>
    </row>
    <row r="19341" spans="26:26" x14ac:dyDescent="0.25">
      <c r="Z19341">
        <v>400000</v>
      </c>
    </row>
    <row r="19342" spans="26:26" x14ac:dyDescent="0.25">
      <c r="Z19342">
        <v>400000</v>
      </c>
    </row>
    <row r="19343" spans="26:26" x14ac:dyDescent="0.25">
      <c r="Z19343">
        <v>400000</v>
      </c>
    </row>
    <row r="19344" spans="26:26" x14ac:dyDescent="0.25">
      <c r="Z19344">
        <v>400000</v>
      </c>
    </row>
    <row r="19345" spans="26:26" x14ac:dyDescent="0.25">
      <c r="Z19345">
        <v>400000</v>
      </c>
    </row>
    <row r="19346" spans="26:26" x14ac:dyDescent="0.25">
      <c r="Z19346">
        <v>400000</v>
      </c>
    </row>
    <row r="19347" spans="26:26" x14ac:dyDescent="0.25">
      <c r="Z19347">
        <v>400000</v>
      </c>
    </row>
    <row r="19348" spans="26:26" x14ac:dyDescent="0.25">
      <c r="Z19348">
        <v>400000</v>
      </c>
    </row>
    <row r="19349" spans="26:26" x14ac:dyDescent="0.25">
      <c r="Z19349">
        <v>400000</v>
      </c>
    </row>
    <row r="19350" spans="26:26" x14ac:dyDescent="0.25">
      <c r="Z19350">
        <v>400000</v>
      </c>
    </row>
    <row r="19351" spans="26:26" x14ac:dyDescent="0.25">
      <c r="Z19351">
        <v>400000</v>
      </c>
    </row>
    <row r="19352" spans="26:26" x14ac:dyDescent="0.25">
      <c r="Z19352">
        <v>400000</v>
      </c>
    </row>
    <row r="19353" spans="26:26" x14ac:dyDescent="0.25">
      <c r="Z19353">
        <v>400000</v>
      </c>
    </row>
    <row r="19354" spans="26:26" x14ac:dyDescent="0.25">
      <c r="Z19354">
        <v>400000</v>
      </c>
    </row>
    <row r="19355" spans="26:26" x14ac:dyDescent="0.25">
      <c r="Z19355">
        <v>400000</v>
      </c>
    </row>
    <row r="19356" spans="26:26" x14ac:dyDescent="0.25">
      <c r="Z19356">
        <v>400000</v>
      </c>
    </row>
    <row r="19357" spans="26:26" x14ac:dyDescent="0.25">
      <c r="Z19357">
        <v>400000</v>
      </c>
    </row>
    <row r="19358" spans="26:26" x14ac:dyDescent="0.25">
      <c r="Z19358">
        <v>400000</v>
      </c>
    </row>
    <row r="19359" spans="26:26" x14ac:dyDescent="0.25">
      <c r="Z19359">
        <v>400000</v>
      </c>
    </row>
    <row r="19360" spans="26:26" x14ac:dyDescent="0.25">
      <c r="Z19360">
        <v>400000</v>
      </c>
    </row>
    <row r="19361" spans="26:26" x14ac:dyDescent="0.25">
      <c r="Z19361">
        <v>400000</v>
      </c>
    </row>
    <row r="19362" spans="26:26" x14ac:dyDescent="0.25">
      <c r="Z19362">
        <v>400000</v>
      </c>
    </row>
    <row r="19363" spans="26:26" x14ac:dyDescent="0.25">
      <c r="Z19363">
        <v>400000</v>
      </c>
    </row>
    <row r="19364" spans="26:26" x14ac:dyDescent="0.25">
      <c r="Z19364">
        <v>400000</v>
      </c>
    </row>
    <row r="19365" spans="26:26" x14ac:dyDescent="0.25">
      <c r="Z19365">
        <v>400000</v>
      </c>
    </row>
    <row r="19366" spans="26:26" x14ac:dyDescent="0.25">
      <c r="Z19366">
        <v>400000</v>
      </c>
    </row>
    <row r="19367" spans="26:26" x14ac:dyDescent="0.25">
      <c r="Z19367">
        <v>400000</v>
      </c>
    </row>
    <row r="19368" spans="26:26" x14ac:dyDescent="0.25">
      <c r="Z19368">
        <v>400000</v>
      </c>
    </row>
    <row r="19369" spans="26:26" x14ac:dyDescent="0.25">
      <c r="Z19369">
        <v>400000</v>
      </c>
    </row>
    <row r="19370" spans="26:26" x14ac:dyDescent="0.25">
      <c r="Z19370">
        <v>400000</v>
      </c>
    </row>
    <row r="19371" spans="26:26" x14ac:dyDescent="0.25">
      <c r="Z19371">
        <v>400000</v>
      </c>
    </row>
    <row r="19372" spans="26:26" x14ac:dyDescent="0.25">
      <c r="Z19372">
        <v>400000</v>
      </c>
    </row>
    <row r="19373" spans="26:26" x14ac:dyDescent="0.25">
      <c r="Z19373">
        <v>400000</v>
      </c>
    </row>
    <row r="19374" spans="26:26" x14ac:dyDescent="0.25">
      <c r="Z19374">
        <v>400000</v>
      </c>
    </row>
    <row r="19375" spans="26:26" x14ac:dyDescent="0.25">
      <c r="Z19375">
        <v>400000</v>
      </c>
    </row>
    <row r="19376" spans="26:26" x14ac:dyDescent="0.25">
      <c r="Z19376">
        <v>400000</v>
      </c>
    </row>
    <row r="19377" spans="26:26" x14ac:dyDescent="0.25">
      <c r="Z19377">
        <v>400000</v>
      </c>
    </row>
    <row r="19378" spans="26:26" x14ac:dyDescent="0.25">
      <c r="Z19378">
        <v>400000</v>
      </c>
    </row>
    <row r="19379" spans="26:26" x14ac:dyDescent="0.25">
      <c r="Z19379">
        <v>400000</v>
      </c>
    </row>
    <row r="19380" spans="26:26" x14ac:dyDescent="0.25">
      <c r="Z19380">
        <v>400000</v>
      </c>
    </row>
    <row r="19381" spans="26:26" x14ac:dyDescent="0.25">
      <c r="Z19381">
        <v>400000</v>
      </c>
    </row>
    <row r="19382" spans="26:26" x14ac:dyDescent="0.25">
      <c r="Z19382">
        <v>400000</v>
      </c>
    </row>
    <row r="19383" spans="26:26" x14ac:dyDescent="0.25">
      <c r="Z19383">
        <v>400000</v>
      </c>
    </row>
    <row r="19384" spans="26:26" x14ac:dyDescent="0.25">
      <c r="Z19384">
        <v>400000</v>
      </c>
    </row>
    <row r="19385" spans="26:26" x14ac:dyDescent="0.25">
      <c r="Z19385">
        <v>400000</v>
      </c>
    </row>
    <row r="19386" spans="26:26" x14ac:dyDescent="0.25">
      <c r="Z19386">
        <v>400000</v>
      </c>
    </row>
    <row r="19387" spans="26:26" x14ac:dyDescent="0.25">
      <c r="Z19387">
        <v>400000</v>
      </c>
    </row>
    <row r="19388" spans="26:26" x14ac:dyDescent="0.25">
      <c r="Z19388">
        <v>400000</v>
      </c>
    </row>
    <row r="19389" spans="26:26" x14ac:dyDescent="0.25">
      <c r="Z19389">
        <v>400000</v>
      </c>
    </row>
    <row r="19390" spans="26:26" x14ac:dyDescent="0.25">
      <c r="Z19390">
        <v>400000</v>
      </c>
    </row>
    <row r="19391" spans="26:26" x14ac:dyDescent="0.25">
      <c r="Z19391">
        <v>400000</v>
      </c>
    </row>
    <row r="19392" spans="26:26" x14ac:dyDescent="0.25">
      <c r="Z19392">
        <v>400000</v>
      </c>
    </row>
    <row r="19393" spans="26:26" x14ac:dyDescent="0.25">
      <c r="Z19393">
        <v>400000</v>
      </c>
    </row>
    <row r="19394" spans="26:26" x14ac:dyDescent="0.25">
      <c r="Z19394">
        <v>400000</v>
      </c>
    </row>
    <row r="19395" spans="26:26" x14ac:dyDescent="0.25">
      <c r="Z19395">
        <v>400000</v>
      </c>
    </row>
    <row r="19396" spans="26:26" x14ac:dyDescent="0.25">
      <c r="Z19396">
        <v>400000</v>
      </c>
    </row>
    <row r="19397" spans="26:26" x14ac:dyDescent="0.25">
      <c r="Z19397">
        <v>400000</v>
      </c>
    </row>
    <row r="19398" spans="26:26" x14ac:dyDescent="0.25">
      <c r="Z19398">
        <v>400000</v>
      </c>
    </row>
    <row r="19399" spans="26:26" x14ac:dyDescent="0.25">
      <c r="Z19399">
        <v>400000</v>
      </c>
    </row>
    <row r="19400" spans="26:26" x14ac:dyDescent="0.25">
      <c r="Z19400">
        <v>400000</v>
      </c>
    </row>
    <row r="19401" spans="26:26" x14ac:dyDescent="0.25">
      <c r="Z19401">
        <v>400000</v>
      </c>
    </row>
    <row r="19402" spans="26:26" x14ac:dyDescent="0.25">
      <c r="Z19402">
        <v>400000</v>
      </c>
    </row>
    <row r="19403" spans="26:26" x14ac:dyDescent="0.25">
      <c r="Z19403">
        <v>400000</v>
      </c>
    </row>
    <row r="19404" spans="26:26" x14ac:dyDescent="0.25">
      <c r="Z19404">
        <v>400000</v>
      </c>
    </row>
    <row r="19405" spans="26:26" x14ac:dyDescent="0.25">
      <c r="Z19405">
        <v>400000</v>
      </c>
    </row>
    <row r="19406" spans="26:26" x14ac:dyDescent="0.25">
      <c r="Z19406">
        <v>400000</v>
      </c>
    </row>
    <row r="19407" spans="26:26" x14ac:dyDescent="0.25">
      <c r="Z19407">
        <v>400000</v>
      </c>
    </row>
    <row r="19408" spans="26:26" x14ac:dyDescent="0.25">
      <c r="Z19408">
        <v>400000</v>
      </c>
    </row>
    <row r="19409" spans="26:26" x14ac:dyDescent="0.25">
      <c r="Z19409">
        <v>400000</v>
      </c>
    </row>
    <row r="19410" spans="26:26" x14ac:dyDescent="0.25">
      <c r="Z19410">
        <v>400000</v>
      </c>
    </row>
    <row r="19411" spans="26:26" x14ac:dyDescent="0.25">
      <c r="Z19411">
        <v>400000</v>
      </c>
    </row>
    <row r="19412" spans="26:26" x14ac:dyDescent="0.25">
      <c r="Z19412">
        <v>400000</v>
      </c>
    </row>
    <row r="19413" spans="26:26" x14ac:dyDescent="0.25">
      <c r="Z19413">
        <v>400000</v>
      </c>
    </row>
    <row r="19414" spans="26:26" x14ac:dyDescent="0.25">
      <c r="Z19414">
        <v>400000</v>
      </c>
    </row>
    <row r="19415" spans="26:26" x14ac:dyDescent="0.25">
      <c r="Z19415">
        <v>400000</v>
      </c>
    </row>
    <row r="19416" spans="26:26" x14ac:dyDescent="0.25">
      <c r="Z19416">
        <v>400000</v>
      </c>
    </row>
    <row r="19417" spans="26:26" x14ac:dyDescent="0.25">
      <c r="Z19417">
        <v>400000</v>
      </c>
    </row>
    <row r="19418" spans="26:26" x14ac:dyDescent="0.25">
      <c r="Z19418">
        <v>400000</v>
      </c>
    </row>
    <row r="19419" spans="26:26" x14ac:dyDescent="0.25">
      <c r="Z19419">
        <v>400000</v>
      </c>
    </row>
    <row r="19420" spans="26:26" x14ac:dyDescent="0.25">
      <c r="Z19420">
        <v>400000</v>
      </c>
    </row>
    <row r="19421" spans="26:26" x14ac:dyDescent="0.25">
      <c r="Z19421">
        <v>400000</v>
      </c>
    </row>
    <row r="19422" spans="26:26" x14ac:dyDescent="0.25">
      <c r="Z19422">
        <v>400000</v>
      </c>
    </row>
    <row r="19423" spans="26:26" x14ac:dyDescent="0.25">
      <c r="Z19423">
        <v>400000</v>
      </c>
    </row>
    <row r="19424" spans="26:26" x14ac:dyDescent="0.25">
      <c r="Z19424">
        <v>400000</v>
      </c>
    </row>
    <row r="19425" spans="26:26" x14ac:dyDescent="0.25">
      <c r="Z19425">
        <v>400000</v>
      </c>
    </row>
    <row r="19426" spans="26:26" x14ac:dyDescent="0.25">
      <c r="Z19426">
        <v>400000</v>
      </c>
    </row>
    <row r="19427" spans="26:26" x14ac:dyDescent="0.25">
      <c r="Z19427">
        <v>400000</v>
      </c>
    </row>
    <row r="19428" spans="26:26" x14ac:dyDescent="0.25">
      <c r="Z19428">
        <v>400000</v>
      </c>
    </row>
    <row r="19429" spans="26:26" x14ac:dyDescent="0.25">
      <c r="Z19429">
        <v>400000</v>
      </c>
    </row>
    <row r="19430" spans="26:26" x14ac:dyDescent="0.25">
      <c r="Z19430">
        <v>400000</v>
      </c>
    </row>
    <row r="19431" spans="26:26" x14ac:dyDescent="0.25">
      <c r="Z19431">
        <v>400000</v>
      </c>
    </row>
    <row r="19432" spans="26:26" x14ac:dyDescent="0.25">
      <c r="Z19432">
        <v>400000</v>
      </c>
    </row>
    <row r="19433" spans="26:26" x14ac:dyDescent="0.25">
      <c r="Z19433">
        <v>400000</v>
      </c>
    </row>
    <row r="19434" spans="26:26" x14ac:dyDescent="0.25">
      <c r="Z19434">
        <v>400000</v>
      </c>
    </row>
    <row r="19435" spans="26:26" x14ac:dyDescent="0.25">
      <c r="Z19435">
        <v>400000</v>
      </c>
    </row>
    <row r="19436" spans="26:26" x14ac:dyDescent="0.25">
      <c r="Z19436">
        <v>400000</v>
      </c>
    </row>
    <row r="19437" spans="26:26" x14ac:dyDescent="0.25">
      <c r="Z19437">
        <v>400000</v>
      </c>
    </row>
    <row r="19438" spans="26:26" x14ac:dyDescent="0.25">
      <c r="Z19438">
        <v>400000</v>
      </c>
    </row>
    <row r="19439" spans="26:26" x14ac:dyDescent="0.25">
      <c r="Z19439">
        <v>400000</v>
      </c>
    </row>
    <row r="19440" spans="26:26" x14ac:dyDescent="0.25">
      <c r="Z19440">
        <v>400000</v>
      </c>
    </row>
    <row r="19441" spans="26:26" x14ac:dyDescent="0.25">
      <c r="Z19441">
        <v>400000</v>
      </c>
    </row>
    <row r="19442" spans="26:26" x14ac:dyDescent="0.25">
      <c r="Z19442">
        <v>400000</v>
      </c>
    </row>
    <row r="19443" spans="26:26" x14ac:dyDescent="0.25">
      <c r="Z19443">
        <v>400000</v>
      </c>
    </row>
    <row r="19444" spans="26:26" x14ac:dyDescent="0.25">
      <c r="Z19444">
        <v>400000</v>
      </c>
    </row>
    <row r="19445" spans="26:26" x14ac:dyDescent="0.25">
      <c r="Z19445">
        <v>400000</v>
      </c>
    </row>
    <row r="19446" spans="26:26" x14ac:dyDescent="0.25">
      <c r="Z19446">
        <v>400000</v>
      </c>
    </row>
    <row r="19447" spans="26:26" x14ac:dyDescent="0.25">
      <c r="Z19447">
        <v>400000</v>
      </c>
    </row>
    <row r="19448" spans="26:26" x14ac:dyDescent="0.25">
      <c r="Z19448">
        <v>400000</v>
      </c>
    </row>
    <row r="19449" spans="26:26" x14ac:dyDescent="0.25">
      <c r="Z19449">
        <v>400000</v>
      </c>
    </row>
    <row r="19450" spans="26:26" x14ac:dyDescent="0.25">
      <c r="Z19450">
        <v>400000</v>
      </c>
    </row>
    <row r="19451" spans="26:26" x14ac:dyDescent="0.25">
      <c r="Z19451">
        <v>400000</v>
      </c>
    </row>
    <row r="19452" spans="26:26" x14ac:dyDescent="0.25">
      <c r="Z19452">
        <v>400000</v>
      </c>
    </row>
    <row r="19453" spans="26:26" x14ac:dyDescent="0.25">
      <c r="Z19453">
        <v>400000</v>
      </c>
    </row>
    <row r="19454" spans="26:26" x14ac:dyDescent="0.25">
      <c r="Z19454">
        <v>400000</v>
      </c>
    </row>
    <row r="19455" spans="26:26" x14ac:dyDescent="0.25">
      <c r="Z19455">
        <v>400000</v>
      </c>
    </row>
    <row r="19456" spans="26:26" x14ac:dyDescent="0.25">
      <c r="Z19456">
        <v>400000</v>
      </c>
    </row>
    <row r="19457" spans="26:26" x14ac:dyDescent="0.25">
      <c r="Z19457">
        <v>400000</v>
      </c>
    </row>
    <row r="19458" spans="26:26" x14ac:dyDescent="0.25">
      <c r="Z19458">
        <v>400000</v>
      </c>
    </row>
    <row r="19459" spans="26:26" x14ac:dyDescent="0.25">
      <c r="Z19459">
        <v>400000</v>
      </c>
    </row>
    <row r="19460" spans="26:26" x14ac:dyDescent="0.25">
      <c r="Z19460">
        <v>400000</v>
      </c>
    </row>
    <row r="19461" spans="26:26" x14ac:dyDescent="0.25">
      <c r="Z19461">
        <v>400000</v>
      </c>
    </row>
    <row r="19462" spans="26:26" x14ac:dyDescent="0.25">
      <c r="Z19462">
        <v>400000</v>
      </c>
    </row>
    <row r="19463" spans="26:26" x14ac:dyDescent="0.25">
      <c r="Z19463">
        <v>400000</v>
      </c>
    </row>
    <row r="19464" spans="26:26" x14ac:dyDescent="0.25">
      <c r="Z19464">
        <v>400000</v>
      </c>
    </row>
    <row r="19465" spans="26:26" x14ac:dyDescent="0.25">
      <c r="Z19465">
        <v>400000</v>
      </c>
    </row>
    <row r="19466" spans="26:26" x14ac:dyDescent="0.25">
      <c r="Z19466">
        <v>400000</v>
      </c>
    </row>
    <row r="19467" spans="26:26" x14ac:dyDescent="0.25">
      <c r="Z19467">
        <v>400000</v>
      </c>
    </row>
    <row r="19468" spans="26:26" x14ac:dyDescent="0.25">
      <c r="Z19468">
        <v>400000</v>
      </c>
    </row>
    <row r="19469" spans="26:26" x14ac:dyDescent="0.25">
      <c r="Z19469">
        <v>400000</v>
      </c>
    </row>
    <row r="19470" spans="26:26" x14ac:dyDescent="0.25">
      <c r="Z19470">
        <v>400000</v>
      </c>
    </row>
    <row r="19471" spans="26:26" x14ac:dyDescent="0.25">
      <c r="Z19471">
        <v>400000</v>
      </c>
    </row>
    <row r="19472" spans="26:26" x14ac:dyDescent="0.25">
      <c r="Z19472">
        <v>400000</v>
      </c>
    </row>
    <row r="19473" spans="26:26" x14ac:dyDescent="0.25">
      <c r="Z19473">
        <v>400000</v>
      </c>
    </row>
    <row r="19474" spans="26:26" x14ac:dyDescent="0.25">
      <c r="Z19474">
        <v>400000</v>
      </c>
    </row>
    <row r="19475" spans="26:26" x14ac:dyDescent="0.25">
      <c r="Z19475">
        <v>400000</v>
      </c>
    </row>
    <row r="19476" spans="26:26" x14ac:dyDescent="0.25">
      <c r="Z19476">
        <v>400000</v>
      </c>
    </row>
    <row r="19477" spans="26:26" x14ac:dyDescent="0.25">
      <c r="Z19477">
        <v>400000</v>
      </c>
    </row>
    <row r="19478" spans="26:26" x14ac:dyDescent="0.25">
      <c r="Z19478">
        <v>400000</v>
      </c>
    </row>
    <row r="19479" spans="26:26" x14ac:dyDescent="0.25">
      <c r="Z19479">
        <v>400000</v>
      </c>
    </row>
    <row r="19480" spans="26:26" x14ac:dyDescent="0.25">
      <c r="Z19480">
        <v>400000</v>
      </c>
    </row>
    <row r="19481" spans="26:26" x14ac:dyDescent="0.25">
      <c r="Z19481">
        <v>400000</v>
      </c>
    </row>
    <row r="19482" spans="26:26" x14ac:dyDescent="0.25">
      <c r="Z19482">
        <v>400000</v>
      </c>
    </row>
    <row r="19483" spans="26:26" x14ac:dyDescent="0.25">
      <c r="Z19483">
        <v>400000</v>
      </c>
    </row>
    <row r="19484" spans="26:26" x14ac:dyDescent="0.25">
      <c r="Z19484">
        <v>400000</v>
      </c>
    </row>
    <row r="19485" spans="26:26" x14ac:dyDescent="0.25">
      <c r="Z19485">
        <v>400000</v>
      </c>
    </row>
    <row r="19486" spans="26:26" x14ac:dyDescent="0.25">
      <c r="Z19486">
        <v>400000</v>
      </c>
    </row>
    <row r="19487" spans="26:26" x14ac:dyDescent="0.25">
      <c r="Z19487">
        <v>400000</v>
      </c>
    </row>
    <row r="19488" spans="26:26" x14ac:dyDescent="0.25">
      <c r="Z19488">
        <v>400000</v>
      </c>
    </row>
    <row r="19489" spans="26:26" x14ac:dyDescent="0.25">
      <c r="Z19489">
        <v>400000</v>
      </c>
    </row>
    <row r="19490" spans="26:26" x14ac:dyDescent="0.25">
      <c r="Z19490">
        <v>400000</v>
      </c>
    </row>
    <row r="19491" spans="26:26" x14ac:dyDescent="0.25">
      <c r="Z19491">
        <v>400000</v>
      </c>
    </row>
    <row r="19492" spans="26:26" x14ac:dyDescent="0.25">
      <c r="Z19492">
        <v>400000</v>
      </c>
    </row>
    <row r="19493" spans="26:26" x14ac:dyDescent="0.25">
      <c r="Z19493">
        <v>400000</v>
      </c>
    </row>
    <row r="19494" spans="26:26" x14ac:dyDescent="0.25">
      <c r="Z19494">
        <v>400000</v>
      </c>
    </row>
    <row r="19495" spans="26:26" x14ac:dyDescent="0.25">
      <c r="Z19495">
        <v>400000</v>
      </c>
    </row>
    <row r="19496" spans="26:26" x14ac:dyDescent="0.25">
      <c r="Z19496">
        <v>400000</v>
      </c>
    </row>
    <row r="19497" spans="26:26" x14ac:dyDescent="0.25">
      <c r="Z19497">
        <v>400000</v>
      </c>
    </row>
    <row r="19498" spans="26:26" x14ac:dyDescent="0.25">
      <c r="Z19498">
        <v>400000</v>
      </c>
    </row>
    <row r="19499" spans="26:26" x14ac:dyDescent="0.25">
      <c r="Z19499">
        <v>400000</v>
      </c>
    </row>
    <row r="19500" spans="26:26" x14ac:dyDescent="0.25">
      <c r="Z19500">
        <v>400000</v>
      </c>
    </row>
    <row r="19501" spans="26:26" x14ac:dyDescent="0.25">
      <c r="Z19501">
        <v>400000</v>
      </c>
    </row>
    <row r="19502" spans="26:26" x14ac:dyDescent="0.25">
      <c r="Z19502">
        <v>400000</v>
      </c>
    </row>
    <row r="19503" spans="26:26" x14ac:dyDescent="0.25">
      <c r="Z19503">
        <v>400000</v>
      </c>
    </row>
    <row r="19504" spans="26:26" x14ac:dyDescent="0.25">
      <c r="Z19504">
        <v>400000</v>
      </c>
    </row>
    <row r="19505" spans="26:26" x14ac:dyDescent="0.25">
      <c r="Z19505">
        <v>400000</v>
      </c>
    </row>
    <row r="19506" spans="26:26" x14ac:dyDescent="0.25">
      <c r="Z19506">
        <v>400000</v>
      </c>
    </row>
    <row r="19507" spans="26:26" x14ac:dyDescent="0.25">
      <c r="Z19507">
        <v>400000</v>
      </c>
    </row>
    <row r="19508" spans="26:26" x14ac:dyDescent="0.25">
      <c r="Z19508">
        <v>400000</v>
      </c>
    </row>
    <row r="19509" spans="26:26" x14ac:dyDescent="0.25">
      <c r="Z19509">
        <v>400000</v>
      </c>
    </row>
    <row r="19510" spans="26:26" x14ac:dyDescent="0.25">
      <c r="Z19510">
        <v>400000</v>
      </c>
    </row>
    <row r="19511" spans="26:26" x14ac:dyDescent="0.25">
      <c r="Z19511">
        <v>400000</v>
      </c>
    </row>
    <row r="19512" spans="26:26" x14ac:dyDescent="0.25">
      <c r="Z19512">
        <v>400000</v>
      </c>
    </row>
    <row r="19513" spans="26:26" x14ac:dyDescent="0.25">
      <c r="Z19513">
        <v>400000</v>
      </c>
    </row>
    <row r="19514" spans="26:26" x14ac:dyDescent="0.25">
      <c r="Z19514">
        <v>400000</v>
      </c>
    </row>
    <row r="19515" spans="26:26" x14ac:dyDescent="0.25">
      <c r="Z19515">
        <v>400000</v>
      </c>
    </row>
    <row r="19516" spans="26:26" x14ac:dyDescent="0.25">
      <c r="Z19516">
        <v>400000</v>
      </c>
    </row>
    <row r="19517" spans="26:26" x14ac:dyDescent="0.25">
      <c r="Z19517">
        <v>400000</v>
      </c>
    </row>
    <row r="19518" spans="26:26" x14ac:dyDescent="0.25">
      <c r="Z19518">
        <v>400000</v>
      </c>
    </row>
    <row r="19519" spans="26:26" x14ac:dyDescent="0.25">
      <c r="Z19519">
        <v>400000</v>
      </c>
    </row>
    <row r="19520" spans="26:26" x14ac:dyDescent="0.25">
      <c r="Z19520">
        <v>400000</v>
      </c>
    </row>
    <row r="19521" spans="26:26" x14ac:dyDescent="0.25">
      <c r="Z19521">
        <v>400000</v>
      </c>
    </row>
    <row r="19522" spans="26:26" x14ac:dyDescent="0.25">
      <c r="Z19522">
        <v>400000</v>
      </c>
    </row>
    <row r="19523" spans="26:26" x14ac:dyDescent="0.25">
      <c r="Z19523">
        <v>400000</v>
      </c>
    </row>
    <row r="19524" spans="26:26" x14ac:dyDescent="0.25">
      <c r="Z19524">
        <v>400000</v>
      </c>
    </row>
    <row r="19525" spans="26:26" x14ac:dyDescent="0.25">
      <c r="Z19525">
        <v>400000</v>
      </c>
    </row>
    <row r="19526" spans="26:26" x14ac:dyDescent="0.25">
      <c r="Z19526">
        <v>400000</v>
      </c>
    </row>
    <row r="19527" spans="26:26" x14ac:dyDescent="0.25">
      <c r="Z19527">
        <v>400000</v>
      </c>
    </row>
    <row r="19528" spans="26:26" x14ac:dyDescent="0.25">
      <c r="Z19528">
        <v>400000</v>
      </c>
    </row>
    <row r="19529" spans="26:26" x14ac:dyDescent="0.25">
      <c r="Z19529">
        <v>400000</v>
      </c>
    </row>
    <row r="19530" spans="26:26" x14ac:dyDescent="0.25">
      <c r="Z19530">
        <v>400000</v>
      </c>
    </row>
    <row r="19531" spans="26:26" x14ac:dyDescent="0.25">
      <c r="Z19531">
        <v>400000</v>
      </c>
    </row>
    <row r="19532" spans="26:26" x14ac:dyDescent="0.25">
      <c r="Z19532">
        <v>400000</v>
      </c>
    </row>
    <row r="19533" spans="26:26" x14ac:dyDescent="0.25">
      <c r="Z19533">
        <v>400000</v>
      </c>
    </row>
    <row r="19534" spans="26:26" x14ac:dyDescent="0.25">
      <c r="Z19534">
        <v>400000</v>
      </c>
    </row>
    <row r="19535" spans="26:26" x14ac:dyDescent="0.25">
      <c r="Z19535">
        <v>400000</v>
      </c>
    </row>
    <row r="19536" spans="26:26" x14ac:dyDescent="0.25">
      <c r="Z19536">
        <v>400000</v>
      </c>
    </row>
    <row r="19537" spans="26:26" x14ac:dyDescent="0.25">
      <c r="Z19537">
        <v>400000</v>
      </c>
    </row>
    <row r="19538" spans="26:26" x14ac:dyDescent="0.25">
      <c r="Z19538">
        <v>400000</v>
      </c>
    </row>
    <row r="19539" spans="26:26" x14ac:dyDescent="0.25">
      <c r="Z19539">
        <v>400000</v>
      </c>
    </row>
    <row r="19540" spans="26:26" x14ac:dyDescent="0.25">
      <c r="Z19540">
        <v>400000</v>
      </c>
    </row>
    <row r="19541" spans="26:26" x14ac:dyDescent="0.25">
      <c r="Z19541">
        <v>400000</v>
      </c>
    </row>
    <row r="19542" spans="26:26" x14ac:dyDescent="0.25">
      <c r="Z19542">
        <v>400000</v>
      </c>
    </row>
    <row r="19543" spans="26:26" x14ac:dyDescent="0.25">
      <c r="Z19543">
        <v>400000</v>
      </c>
    </row>
    <row r="19544" spans="26:26" x14ac:dyDescent="0.25">
      <c r="Z19544">
        <v>400000</v>
      </c>
    </row>
    <row r="19545" spans="26:26" x14ac:dyDescent="0.25">
      <c r="Z19545">
        <v>400000</v>
      </c>
    </row>
    <row r="19546" spans="26:26" x14ac:dyDescent="0.25">
      <c r="Z19546">
        <v>400000</v>
      </c>
    </row>
    <row r="19547" spans="26:26" x14ac:dyDescent="0.25">
      <c r="Z19547">
        <v>400000</v>
      </c>
    </row>
    <row r="19548" spans="26:26" x14ac:dyDescent="0.25">
      <c r="Z19548">
        <v>400000</v>
      </c>
    </row>
    <row r="19549" spans="26:26" x14ac:dyDescent="0.25">
      <c r="Z19549">
        <v>400000</v>
      </c>
    </row>
    <row r="19550" spans="26:26" x14ac:dyDescent="0.25">
      <c r="Z19550">
        <v>400000</v>
      </c>
    </row>
    <row r="19551" spans="26:26" x14ac:dyDescent="0.25">
      <c r="Z19551">
        <v>400000</v>
      </c>
    </row>
    <row r="19552" spans="26:26" x14ac:dyDescent="0.25">
      <c r="Z19552">
        <v>400000</v>
      </c>
    </row>
    <row r="19553" spans="26:26" x14ac:dyDescent="0.25">
      <c r="Z19553">
        <v>400000</v>
      </c>
    </row>
    <row r="19554" spans="26:26" x14ac:dyDescent="0.25">
      <c r="Z19554">
        <v>400000</v>
      </c>
    </row>
    <row r="19555" spans="26:26" x14ac:dyDescent="0.25">
      <c r="Z19555">
        <v>400000</v>
      </c>
    </row>
    <row r="19556" spans="26:26" x14ac:dyDescent="0.25">
      <c r="Z19556">
        <v>400000</v>
      </c>
    </row>
    <row r="19557" spans="26:26" x14ac:dyDescent="0.25">
      <c r="Z19557">
        <v>400000</v>
      </c>
    </row>
    <row r="19558" spans="26:26" x14ac:dyDescent="0.25">
      <c r="Z19558">
        <v>400000</v>
      </c>
    </row>
    <row r="19559" spans="26:26" x14ac:dyDescent="0.25">
      <c r="Z19559">
        <v>400000</v>
      </c>
    </row>
    <row r="19560" spans="26:26" x14ac:dyDescent="0.25">
      <c r="Z19560">
        <v>400000</v>
      </c>
    </row>
    <row r="19561" spans="26:26" x14ac:dyDescent="0.25">
      <c r="Z19561">
        <v>400000</v>
      </c>
    </row>
    <row r="19562" spans="26:26" x14ac:dyDescent="0.25">
      <c r="Z19562">
        <v>400000</v>
      </c>
    </row>
    <row r="19563" spans="26:26" x14ac:dyDescent="0.25">
      <c r="Z19563">
        <v>400000</v>
      </c>
    </row>
    <row r="19564" spans="26:26" x14ac:dyDescent="0.25">
      <c r="Z19564">
        <v>400000</v>
      </c>
    </row>
    <row r="19565" spans="26:26" x14ac:dyDescent="0.25">
      <c r="Z19565">
        <v>400000</v>
      </c>
    </row>
    <row r="19566" spans="26:26" x14ac:dyDescent="0.25">
      <c r="Z19566">
        <v>400000</v>
      </c>
    </row>
    <row r="19567" spans="26:26" x14ac:dyDescent="0.25">
      <c r="Z19567">
        <v>400000</v>
      </c>
    </row>
    <row r="19568" spans="26:26" x14ac:dyDescent="0.25">
      <c r="Z19568">
        <v>400000</v>
      </c>
    </row>
    <row r="19569" spans="26:26" x14ac:dyDescent="0.25">
      <c r="Z19569">
        <v>400000</v>
      </c>
    </row>
    <row r="19570" spans="26:26" x14ac:dyDescent="0.25">
      <c r="Z19570">
        <v>400000</v>
      </c>
    </row>
    <row r="19571" spans="26:26" x14ac:dyDescent="0.25">
      <c r="Z19571">
        <v>400000</v>
      </c>
    </row>
    <row r="19572" spans="26:26" x14ac:dyDescent="0.25">
      <c r="Z19572">
        <v>400000</v>
      </c>
    </row>
    <row r="19573" spans="26:26" x14ac:dyDescent="0.25">
      <c r="Z19573">
        <v>400000</v>
      </c>
    </row>
    <row r="19574" spans="26:26" x14ac:dyDescent="0.25">
      <c r="Z19574">
        <v>400000</v>
      </c>
    </row>
    <row r="19575" spans="26:26" x14ac:dyDescent="0.25">
      <c r="Z19575">
        <v>400000</v>
      </c>
    </row>
    <row r="19576" spans="26:26" x14ac:dyDescent="0.25">
      <c r="Z19576">
        <v>400000</v>
      </c>
    </row>
    <row r="19577" spans="26:26" x14ac:dyDescent="0.25">
      <c r="Z19577">
        <v>400000</v>
      </c>
    </row>
    <row r="19578" spans="26:26" x14ac:dyDescent="0.25">
      <c r="Z19578">
        <v>400000</v>
      </c>
    </row>
    <row r="19579" spans="26:26" x14ac:dyDescent="0.25">
      <c r="Z19579">
        <v>400000</v>
      </c>
    </row>
    <row r="19580" spans="26:26" x14ac:dyDescent="0.25">
      <c r="Z19580">
        <v>400000</v>
      </c>
    </row>
    <row r="19581" spans="26:26" x14ac:dyDescent="0.25">
      <c r="Z19581">
        <v>400000</v>
      </c>
    </row>
    <row r="19582" spans="26:26" x14ac:dyDescent="0.25">
      <c r="Z19582">
        <v>400000</v>
      </c>
    </row>
    <row r="19583" spans="26:26" x14ac:dyDescent="0.25">
      <c r="Z19583">
        <v>400000</v>
      </c>
    </row>
    <row r="19584" spans="26:26" x14ac:dyDescent="0.25">
      <c r="Z19584">
        <v>400000</v>
      </c>
    </row>
    <row r="19585" spans="26:26" x14ac:dyDescent="0.25">
      <c r="Z19585">
        <v>400000</v>
      </c>
    </row>
    <row r="19586" spans="26:26" x14ac:dyDescent="0.25">
      <c r="Z19586">
        <v>400000</v>
      </c>
    </row>
    <row r="19587" spans="26:26" x14ac:dyDescent="0.25">
      <c r="Z19587">
        <v>400000</v>
      </c>
    </row>
    <row r="19588" spans="26:26" x14ac:dyDescent="0.25">
      <c r="Z19588">
        <v>400000</v>
      </c>
    </row>
    <row r="19589" spans="26:26" x14ac:dyDescent="0.25">
      <c r="Z19589">
        <v>400000</v>
      </c>
    </row>
    <row r="19590" spans="26:26" x14ac:dyDescent="0.25">
      <c r="Z19590">
        <v>400000</v>
      </c>
    </row>
    <row r="19591" spans="26:26" x14ac:dyDescent="0.25">
      <c r="Z19591">
        <v>400000</v>
      </c>
    </row>
    <row r="19592" spans="26:26" x14ac:dyDescent="0.25">
      <c r="Z19592">
        <v>400000</v>
      </c>
    </row>
    <row r="19593" spans="26:26" x14ac:dyDescent="0.25">
      <c r="Z19593">
        <v>400000</v>
      </c>
    </row>
    <row r="19594" spans="26:26" x14ac:dyDescent="0.25">
      <c r="Z19594">
        <v>400000</v>
      </c>
    </row>
    <row r="19595" spans="26:26" x14ac:dyDescent="0.25">
      <c r="Z19595">
        <v>400000</v>
      </c>
    </row>
    <row r="19596" spans="26:26" x14ac:dyDescent="0.25">
      <c r="Z19596">
        <v>400000</v>
      </c>
    </row>
    <row r="19597" spans="26:26" x14ac:dyDescent="0.25">
      <c r="Z19597">
        <v>400000</v>
      </c>
    </row>
    <row r="19598" spans="26:26" x14ac:dyDescent="0.25">
      <c r="Z19598">
        <v>400000</v>
      </c>
    </row>
    <row r="19599" spans="26:26" x14ac:dyDescent="0.25">
      <c r="Z19599">
        <v>400000</v>
      </c>
    </row>
    <row r="19600" spans="26:26" x14ac:dyDescent="0.25">
      <c r="Z19600">
        <v>400000</v>
      </c>
    </row>
    <row r="19601" spans="26:26" x14ac:dyDescent="0.25">
      <c r="Z19601">
        <v>400000</v>
      </c>
    </row>
    <row r="19602" spans="26:26" x14ac:dyDescent="0.25">
      <c r="Z19602">
        <v>400000</v>
      </c>
    </row>
    <row r="19603" spans="26:26" x14ac:dyDescent="0.25">
      <c r="Z19603">
        <v>400000</v>
      </c>
    </row>
    <row r="19604" spans="26:26" x14ac:dyDescent="0.25">
      <c r="Z19604">
        <v>400000</v>
      </c>
    </row>
    <row r="19605" spans="26:26" x14ac:dyDescent="0.25">
      <c r="Z19605">
        <v>400000</v>
      </c>
    </row>
    <row r="19606" spans="26:26" x14ac:dyDescent="0.25">
      <c r="Z19606">
        <v>400000</v>
      </c>
    </row>
    <row r="19607" spans="26:26" x14ac:dyDescent="0.25">
      <c r="Z19607">
        <v>400000</v>
      </c>
    </row>
    <row r="19608" spans="26:26" x14ac:dyDescent="0.25">
      <c r="Z19608">
        <v>400000</v>
      </c>
    </row>
    <row r="19609" spans="26:26" x14ac:dyDescent="0.25">
      <c r="Z19609">
        <v>400000</v>
      </c>
    </row>
    <row r="19610" spans="26:26" x14ac:dyDescent="0.25">
      <c r="Z19610">
        <v>400000</v>
      </c>
    </row>
    <row r="19611" spans="26:26" x14ac:dyDescent="0.25">
      <c r="Z19611">
        <v>400000</v>
      </c>
    </row>
    <row r="19612" spans="26:26" x14ac:dyDescent="0.25">
      <c r="Z19612">
        <v>400000</v>
      </c>
    </row>
    <row r="19613" spans="26:26" x14ac:dyDescent="0.25">
      <c r="Z19613">
        <v>400000</v>
      </c>
    </row>
    <row r="19614" spans="26:26" x14ac:dyDescent="0.25">
      <c r="Z19614">
        <v>400000</v>
      </c>
    </row>
    <row r="19615" spans="26:26" x14ac:dyDescent="0.25">
      <c r="Z19615">
        <v>400000</v>
      </c>
    </row>
    <row r="19616" spans="26:26" x14ac:dyDescent="0.25">
      <c r="Z19616">
        <v>400000</v>
      </c>
    </row>
    <row r="19617" spans="26:26" x14ac:dyDescent="0.25">
      <c r="Z19617">
        <v>400000</v>
      </c>
    </row>
    <row r="19618" spans="26:26" x14ac:dyDescent="0.25">
      <c r="Z19618">
        <v>400000</v>
      </c>
    </row>
    <row r="19619" spans="26:26" x14ac:dyDescent="0.25">
      <c r="Z19619">
        <v>400000</v>
      </c>
    </row>
    <row r="19620" spans="26:26" x14ac:dyDescent="0.25">
      <c r="Z19620">
        <v>400000</v>
      </c>
    </row>
    <row r="19621" spans="26:26" x14ac:dyDescent="0.25">
      <c r="Z19621">
        <v>400000</v>
      </c>
    </row>
    <row r="19622" spans="26:26" x14ac:dyDescent="0.25">
      <c r="Z19622">
        <v>400000</v>
      </c>
    </row>
    <row r="19623" spans="26:26" x14ac:dyDescent="0.25">
      <c r="Z19623">
        <v>400000</v>
      </c>
    </row>
    <row r="19624" spans="26:26" x14ac:dyDescent="0.25">
      <c r="Z19624">
        <v>400000</v>
      </c>
    </row>
    <row r="19625" spans="26:26" x14ac:dyDescent="0.25">
      <c r="Z19625">
        <v>400000</v>
      </c>
    </row>
    <row r="19626" spans="26:26" x14ac:dyDescent="0.25">
      <c r="Z19626">
        <v>400000</v>
      </c>
    </row>
    <row r="19627" spans="26:26" x14ac:dyDescent="0.25">
      <c r="Z19627">
        <v>400000</v>
      </c>
    </row>
    <row r="19628" spans="26:26" x14ac:dyDescent="0.25">
      <c r="Z19628">
        <v>400000</v>
      </c>
    </row>
    <row r="19629" spans="26:26" x14ac:dyDescent="0.25">
      <c r="Z19629">
        <v>400000</v>
      </c>
    </row>
    <row r="19630" spans="26:26" x14ac:dyDescent="0.25">
      <c r="Z19630">
        <v>400000</v>
      </c>
    </row>
    <row r="19631" spans="26:26" x14ac:dyDescent="0.25">
      <c r="Z19631">
        <v>400000</v>
      </c>
    </row>
    <row r="19632" spans="26:26" x14ac:dyDescent="0.25">
      <c r="Z19632">
        <v>400000</v>
      </c>
    </row>
    <row r="19633" spans="26:26" x14ac:dyDescent="0.25">
      <c r="Z19633">
        <v>400000</v>
      </c>
    </row>
    <row r="19634" spans="26:26" x14ac:dyDescent="0.25">
      <c r="Z19634">
        <v>400000</v>
      </c>
    </row>
    <row r="19635" spans="26:26" x14ac:dyDescent="0.25">
      <c r="Z19635">
        <v>400000</v>
      </c>
    </row>
    <row r="19636" spans="26:26" x14ac:dyDescent="0.25">
      <c r="Z19636">
        <v>400000</v>
      </c>
    </row>
    <row r="19637" spans="26:26" x14ac:dyDescent="0.25">
      <c r="Z19637">
        <v>400000</v>
      </c>
    </row>
    <row r="19638" spans="26:26" x14ac:dyDescent="0.25">
      <c r="Z19638">
        <v>400000</v>
      </c>
    </row>
    <row r="19639" spans="26:26" x14ac:dyDescent="0.25">
      <c r="Z19639">
        <v>400000</v>
      </c>
    </row>
    <row r="19640" spans="26:26" x14ac:dyDescent="0.25">
      <c r="Z19640">
        <v>400000</v>
      </c>
    </row>
    <row r="19641" spans="26:26" x14ac:dyDescent="0.25">
      <c r="Z19641">
        <v>400000</v>
      </c>
    </row>
    <row r="19642" spans="26:26" x14ac:dyDescent="0.25">
      <c r="Z19642">
        <v>400000</v>
      </c>
    </row>
    <row r="19643" spans="26:26" x14ac:dyDescent="0.25">
      <c r="Z19643">
        <v>400000</v>
      </c>
    </row>
    <row r="19644" spans="26:26" x14ac:dyDescent="0.25">
      <c r="Z19644">
        <v>400000</v>
      </c>
    </row>
    <row r="19645" spans="26:26" x14ac:dyDescent="0.25">
      <c r="Z19645">
        <v>400000</v>
      </c>
    </row>
    <row r="19646" spans="26:26" x14ac:dyDescent="0.25">
      <c r="Z19646">
        <v>400000</v>
      </c>
    </row>
    <row r="19647" spans="26:26" x14ac:dyDescent="0.25">
      <c r="Z19647">
        <v>400000</v>
      </c>
    </row>
    <row r="19648" spans="26:26" x14ac:dyDescent="0.25">
      <c r="Z19648">
        <v>400000</v>
      </c>
    </row>
    <row r="19649" spans="26:26" x14ac:dyDescent="0.25">
      <c r="Z19649">
        <v>400000</v>
      </c>
    </row>
    <row r="19650" spans="26:26" x14ac:dyDescent="0.25">
      <c r="Z19650">
        <v>400000</v>
      </c>
    </row>
    <row r="19651" spans="26:26" x14ac:dyDescent="0.25">
      <c r="Z19651">
        <v>400000</v>
      </c>
    </row>
    <row r="19652" spans="26:26" x14ac:dyDescent="0.25">
      <c r="Z19652">
        <v>400000</v>
      </c>
    </row>
    <row r="19653" spans="26:26" x14ac:dyDescent="0.25">
      <c r="Z19653">
        <v>400000</v>
      </c>
    </row>
    <row r="19654" spans="26:26" x14ac:dyDescent="0.25">
      <c r="Z19654">
        <v>400000</v>
      </c>
    </row>
    <row r="19655" spans="26:26" x14ac:dyDescent="0.25">
      <c r="Z19655">
        <v>400000</v>
      </c>
    </row>
    <row r="19656" spans="26:26" x14ac:dyDescent="0.25">
      <c r="Z19656">
        <v>400000</v>
      </c>
    </row>
    <row r="19657" spans="26:26" x14ac:dyDescent="0.25">
      <c r="Z19657">
        <v>400000</v>
      </c>
    </row>
    <row r="19658" spans="26:26" x14ac:dyDescent="0.25">
      <c r="Z19658">
        <v>400000</v>
      </c>
    </row>
    <row r="19659" spans="26:26" x14ac:dyDescent="0.25">
      <c r="Z19659">
        <v>400000</v>
      </c>
    </row>
    <row r="19660" spans="26:26" x14ac:dyDescent="0.25">
      <c r="Z19660">
        <v>400000</v>
      </c>
    </row>
    <row r="19661" spans="26:26" x14ac:dyDescent="0.25">
      <c r="Z19661">
        <v>400000</v>
      </c>
    </row>
    <row r="19662" spans="26:26" x14ac:dyDescent="0.25">
      <c r="Z19662">
        <v>400000</v>
      </c>
    </row>
    <row r="19663" spans="26:26" x14ac:dyDescent="0.25">
      <c r="Z19663">
        <v>400000</v>
      </c>
    </row>
    <row r="19664" spans="26:26" x14ac:dyDescent="0.25">
      <c r="Z19664">
        <v>400000</v>
      </c>
    </row>
    <row r="19665" spans="26:26" x14ac:dyDescent="0.25">
      <c r="Z19665">
        <v>400000</v>
      </c>
    </row>
    <row r="19666" spans="26:26" x14ac:dyDescent="0.25">
      <c r="Z19666">
        <v>400000</v>
      </c>
    </row>
    <row r="19667" spans="26:26" x14ac:dyDescent="0.25">
      <c r="Z19667">
        <v>400000</v>
      </c>
    </row>
    <row r="19668" spans="26:26" x14ac:dyDescent="0.25">
      <c r="Z19668">
        <v>400000</v>
      </c>
    </row>
    <row r="19669" spans="26:26" x14ac:dyDescent="0.25">
      <c r="Z19669">
        <v>400000</v>
      </c>
    </row>
    <row r="19670" spans="26:26" x14ac:dyDescent="0.25">
      <c r="Z19670">
        <v>400000</v>
      </c>
    </row>
    <row r="19671" spans="26:26" x14ac:dyDescent="0.25">
      <c r="Z19671">
        <v>400000</v>
      </c>
    </row>
    <row r="19672" spans="26:26" x14ac:dyDescent="0.25">
      <c r="Z19672">
        <v>400000</v>
      </c>
    </row>
    <row r="19673" spans="26:26" x14ac:dyDescent="0.25">
      <c r="Z19673">
        <v>400000</v>
      </c>
    </row>
    <row r="19674" spans="26:26" x14ac:dyDescent="0.25">
      <c r="Z19674">
        <v>400000</v>
      </c>
    </row>
    <row r="19675" spans="26:26" x14ac:dyDescent="0.25">
      <c r="Z19675">
        <v>400000</v>
      </c>
    </row>
    <row r="19676" spans="26:26" x14ac:dyDescent="0.25">
      <c r="Z19676">
        <v>400000</v>
      </c>
    </row>
    <row r="19677" spans="26:26" x14ac:dyDescent="0.25">
      <c r="Z19677">
        <v>400000</v>
      </c>
    </row>
    <row r="19678" spans="26:26" x14ac:dyDescent="0.25">
      <c r="Z19678">
        <v>400000</v>
      </c>
    </row>
    <row r="19679" spans="26:26" x14ac:dyDescent="0.25">
      <c r="Z19679">
        <v>400000</v>
      </c>
    </row>
    <row r="19680" spans="26:26" x14ac:dyDescent="0.25">
      <c r="Z19680">
        <v>400000</v>
      </c>
    </row>
    <row r="19681" spans="26:26" x14ac:dyDescent="0.25">
      <c r="Z19681">
        <v>400000</v>
      </c>
    </row>
    <row r="19682" spans="26:26" x14ac:dyDescent="0.25">
      <c r="Z19682">
        <v>400000</v>
      </c>
    </row>
    <row r="19683" spans="26:26" x14ac:dyDescent="0.25">
      <c r="Z19683">
        <v>400000</v>
      </c>
    </row>
    <row r="19684" spans="26:26" x14ac:dyDescent="0.25">
      <c r="Z19684">
        <v>400000</v>
      </c>
    </row>
    <row r="19685" spans="26:26" x14ac:dyDescent="0.25">
      <c r="Z19685">
        <v>400000</v>
      </c>
    </row>
    <row r="19686" spans="26:26" x14ac:dyDescent="0.25">
      <c r="Z19686">
        <v>400000</v>
      </c>
    </row>
    <row r="19687" spans="26:26" x14ac:dyDescent="0.25">
      <c r="Z19687">
        <v>400000</v>
      </c>
    </row>
    <row r="19688" spans="26:26" x14ac:dyDescent="0.25">
      <c r="Z19688">
        <v>400000</v>
      </c>
    </row>
    <row r="19689" spans="26:26" x14ac:dyDescent="0.25">
      <c r="Z19689">
        <v>400000</v>
      </c>
    </row>
    <row r="19690" spans="26:26" x14ac:dyDescent="0.25">
      <c r="Z19690">
        <v>400000</v>
      </c>
    </row>
    <row r="19691" spans="26:26" x14ac:dyDescent="0.25">
      <c r="Z19691">
        <v>400000</v>
      </c>
    </row>
    <row r="19692" spans="26:26" x14ac:dyDescent="0.25">
      <c r="Z19692">
        <v>400000</v>
      </c>
    </row>
    <row r="19693" spans="26:26" x14ac:dyDescent="0.25">
      <c r="Z19693">
        <v>400000</v>
      </c>
    </row>
    <row r="19694" spans="26:26" x14ac:dyDescent="0.25">
      <c r="Z19694">
        <v>400000</v>
      </c>
    </row>
    <row r="19695" spans="26:26" x14ac:dyDescent="0.25">
      <c r="Z19695">
        <v>400000</v>
      </c>
    </row>
    <row r="19696" spans="26:26" x14ac:dyDescent="0.25">
      <c r="Z19696">
        <v>400000</v>
      </c>
    </row>
    <row r="19697" spans="26:26" x14ac:dyDescent="0.25">
      <c r="Z19697">
        <v>400000</v>
      </c>
    </row>
    <row r="19698" spans="26:26" x14ac:dyDescent="0.25">
      <c r="Z19698">
        <v>400000</v>
      </c>
    </row>
    <row r="19699" spans="26:26" x14ac:dyDescent="0.25">
      <c r="Z19699">
        <v>400000</v>
      </c>
    </row>
    <row r="19700" spans="26:26" x14ac:dyDescent="0.25">
      <c r="Z19700">
        <v>400000</v>
      </c>
    </row>
    <row r="19701" spans="26:26" x14ac:dyDescent="0.25">
      <c r="Z19701">
        <v>400000</v>
      </c>
    </row>
    <row r="19702" spans="26:26" x14ac:dyDescent="0.25">
      <c r="Z19702">
        <v>400000</v>
      </c>
    </row>
    <row r="19703" spans="26:26" x14ac:dyDescent="0.25">
      <c r="Z19703">
        <v>400000</v>
      </c>
    </row>
    <row r="19704" spans="26:26" x14ac:dyDescent="0.25">
      <c r="Z19704">
        <v>400000</v>
      </c>
    </row>
    <row r="19705" spans="26:26" x14ac:dyDescent="0.25">
      <c r="Z19705">
        <v>400000</v>
      </c>
    </row>
    <row r="19706" spans="26:26" x14ac:dyDescent="0.25">
      <c r="Z19706">
        <v>400000</v>
      </c>
    </row>
    <row r="19707" spans="26:26" x14ac:dyDescent="0.25">
      <c r="Z19707">
        <v>400000</v>
      </c>
    </row>
    <row r="19708" spans="26:26" x14ac:dyDescent="0.25">
      <c r="Z19708">
        <v>400000</v>
      </c>
    </row>
    <row r="19709" spans="26:26" x14ac:dyDescent="0.25">
      <c r="Z19709">
        <v>400000</v>
      </c>
    </row>
    <row r="19710" spans="26:26" x14ac:dyDescent="0.25">
      <c r="Z19710">
        <v>400000</v>
      </c>
    </row>
    <row r="19711" spans="26:26" x14ac:dyDescent="0.25">
      <c r="Z19711">
        <v>400000</v>
      </c>
    </row>
    <row r="19712" spans="26:26" x14ac:dyDescent="0.25">
      <c r="Z19712">
        <v>400000</v>
      </c>
    </row>
    <row r="19713" spans="26:26" x14ac:dyDescent="0.25">
      <c r="Z19713">
        <v>400000</v>
      </c>
    </row>
    <row r="19714" spans="26:26" x14ac:dyDescent="0.25">
      <c r="Z19714">
        <v>400000</v>
      </c>
    </row>
    <row r="19715" spans="26:26" x14ac:dyDescent="0.25">
      <c r="Z19715">
        <v>400000</v>
      </c>
    </row>
    <row r="19716" spans="26:26" x14ac:dyDescent="0.25">
      <c r="Z19716">
        <v>400000</v>
      </c>
    </row>
    <row r="19717" spans="26:26" x14ac:dyDescent="0.25">
      <c r="Z19717">
        <v>400000</v>
      </c>
    </row>
    <row r="19718" spans="26:26" x14ac:dyDescent="0.25">
      <c r="Z19718">
        <v>400000</v>
      </c>
    </row>
    <row r="19719" spans="26:26" x14ac:dyDescent="0.25">
      <c r="Z19719">
        <v>400000</v>
      </c>
    </row>
    <row r="19720" spans="26:26" x14ac:dyDescent="0.25">
      <c r="Z19720">
        <v>400000</v>
      </c>
    </row>
    <row r="19721" spans="26:26" x14ac:dyDescent="0.25">
      <c r="Z19721">
        <v>400000</v>
      </c>
    </row>
    <row r="19722" spans="26:26" x14ac:dyDescent="0.25">
      <c r="Z19722">
        <v>400000</v>
      </c>
    </row>
    <row r="19723" spans="26:26" x14ac:dyDescent="0.25">
      <c r="Z19723">
        <v>400000</v>
      </c>
    </row>
    <row r="19724" spans="26:26" x14ac:dyDescent="0.25">
      <c r="Z19724">
        <v>400000</v>
      </c>
    </row>
    <row r="19725" spans="26:26" x14ac:dyDescent="0.25">
      <c r="Z19725">
        <v>400000</v>
      </c>
    </row>
    <row r="19726" spans="26:26" x14ac:dyDescent="0.25">
      <c r="Z19726">
        <v>400000</v>
      </c>
    </row>
    <row r="19727" spans="26:26" x14ac:dyDescent="0.25">
      <c r="Z19727">
        <v>400000</v>
      </c>
    </row>
    <row r="19728" spans="26:26" x14ac:dyDescent="0.25">
      <c r="Z19728">
        <v>400000</v>
      </c>
    </row>
    <row r="19729" spans="26:26" x14ac:dyDescent="0.25">
      <c r="Z19729">
        <v>400000</v>
      </c>
    </row>
    <row r="19730" spans="26:26" x14ac:dyDescent="0.25">
      <c r="Z19730">
        <v>400000</v>
      </c>
    </row>
    <row r="19731" spans="26:26" x14ac:dyDescent="0.25">
      <c r="Z19731">
        <v>400000</v>
      </c>
    </row>
    <row r="19732" spans="26:26" x14ac:dyDescent="0.25">
      <c r="Z19732">
        <v>400000</v>
      </c>
    </row>
    <row r="19733" spans="26:26" x14ac:dyDescent="0.25">
      <c r="Z19733">
        <v>400000</v>
      </c>
    </row>
    <row r="19734" spans="26:26" x14ac:dyDescent="0.25">
      <c r="Z19734">
        <v>400000</v>
      </c>
    </row>
    <row r="19735" spans="26:26" x14ac:dyDescent="0.25">
      <c r="Z19735">
        <v>400000</v>
      </c>
    </row>
    <row r="19736" spans="26:26" x14ac:dyDescent="0.25">
      <c r="Z19736">
        <v>400000</v>
      </c>
    </row>
    <row r="19737" spans="26:26" x14ac:dyDescent="0.25">
      <c r="Z19737">
        <v>400000</v>
      </c>
    </row>
    <row r="19738" spans="26:26" x14ac:dyDescent="0.25">
      <c r="Z19738">
        <v>400000</v>
      </c>
    </row>
    <row r="19739" spans="26:26" x14ac:dyDescent="0.25">
      <c r="Z19739">
        <v>400000</v>
      </c>
    </row>
    <row r="19740" spans="26:26" x14ac:dyDescent="0.25">
      <c r="Z19740">
        <v>400000</v>
      </c>
    </row>
    <row r="19741" spans="26:26" x14ac:dyDescent="0.25">
      <c r="Z19741">
        <v>400000</v>
      </c>
    </row>
    <row r="19742" spans="26:26" x14ac:dyDescent="0.25">
      <c r="Z19742">
        <v>400000</v>
      </c>
    </row>
    <row r="19743" spans="26:26" x14ac:dyDescent="0.25">
      <c r="Z19743">
        <v>400000</v>
      </c>
    </row>
    <row r="19744" spans="26:26" x14ac:dyDescent="0.25">
      <c r="Z19744">
        <v>400000</v>
      </c>
    </row>
    <row r="19745" spans="26:26" x14ac:dyDescent="0.25">
      <c r="Z19745">
        <v>400000</v>
      </c>
    </row>
    <row r="19746" spans="26:26" x14ac:dyDescent="0.25">
      <c r="Z19746">
        <v>400000</v>
      </c>
    </row>
    <row r="19747" spans="26:26" x14ac:dyDescent="0.25">
      <c r="Z19747">
        <v>400000</v>
      </c>
    </row>
    <row r="19748" spans="26:26" x14ac:dyDescent="0.25">
      <c r="Z19748">
        <v>400000</v>
      </c>
    </row>
    <row r="19749" spans="26:26" x14ac:dyDescent="0.25">
      <c r="Z19749">
        <v>400000</v>
      </c>
    </row>
    <row r="19750" spans="26:26" x14ac:dyDescent="0.25">
      <c r="Z19750">
        <v>400000</v>
      </c>
    </row>
    <row r="19751" spans="26:26" x14ac:dyDescent="0.25">
      <c r="Z19751">
        <v>400000</v>
      </c>
    </row>
    <row r="19752" spans="26:26" x14ac:dyDescent="0.25">
      <c r="Z19752">
        <v>400000</v>
      </c>
    </row>
    <row r="19753" spans="26:26" x14ac:dyDescent="0.25">
      <c r="Z19753">
        <v>400000</v>
      </c>
    </row>
    <row r="19754" spans="26:26" x14ac:dyDescent="0.25">
      <c r="Z19754">
        <v>400000</v>
      </c>
    </row>
    <row r="19755" spans="26:26" x14ac:dyDescent="0.25">
      <c r="Z19755">
        <v>400000</v>
      </c>
    </row>
    <row r="19756" spans="26:26" x14ac:dyDescent="0.25">
      <c r="Z19756">
        <v>400000</v>
      </c>
    </row>
    <row r="19757" spans="26:26" x14ac:dyDescent="0.25">
      <c r="Z19757">
        <v>400000</v>
      </c>
    </row>
    <row r="19758" spans="26:26" x14ac:dyDescent="0.25">
      <c r="Z19758">
        <v>400000</v>
      </c>
    </row>
    <row r="19759" spans="26:26" x14ac:dyDescent="0.25">
      <c r="Z19759">
        <v>400000</v>
      </c>
    </row>
    <row r="19760" spans="26:26" x14ac:dyDescent="0.25">
      <c r="Z19760">
        <v>400000</v>
      </c>
    </row>
    <row r="19761" spans="26:26" x14ac:dyDescent="0.25">
      <c r="Z19761">
        <v>400000</v>
      </c>
    </row>
    <row r="19762" spans="26:26" x14ac:dyDescent="0.25">
      <c r="Z19762">
        <v>400000</v>
      </c>
    </row>
    <row r="19763" spans="26:26" x14ac:dyDescent="0.25">
      <c r="Z19763">
        <v>400000</v>
      </c>
    </row>
    <row r="19764" spans="26:26" x14ac:dyDescent="0.25">
      <c r="Z19764">
        <v>400000</v>
      </c>
    </row>
    <row r="19765" spans="26:26" x14ac:dyDescent="0.25">
      <c r="Z19765">
        <v>400000</v>
      </c>
    </row>
    <row r="19766" spans="26:26" x14ac:dyDescent="0.25">
      <c r="Z19766">
        <v>400000</v>
      </c>
    </row>
    <row r="19767" spans="26:26" x14ac:dyDescent="0.25">
      <c r="Z19767">
        <v>400000</v>
      </c>
    </row>
    <row r="19768" spans="26:26" x14ac:dyDescent="0.25">
      <c r="Z19768">
        <v>400000</v>
      </c>
    </row>
    <row r="19769" spans="26:26" x14ac:dyDescent="0.25">
      <c r="Z19769">
        <v>400000</v>
      </c>
    </row>
    <row r="19770" spans="26:26" x14ac:dyDescent="0.25">
      <c r="Z19770">
        <v>400000</v>
      </c>
    </row>
    <row r="19771" spans="26:26" x14ac:dyDescent="0.25">
      <c r="Z19771">
        <v>400000</v>
      </c>
    </row>
    <row r="19772" spans="26:26" x14ac:dyDescent="0.25">
      <c r="Z19772">
        <v>400000</v>
      </c>
    </row>
    <row r="19773" spans="26:26" x14ac:dyDescent="0.25">
      <c r="Z19773">
        <v>400000</v>
      </c>
    </row>
    <row r="19774" spans="26:26" x14ac:dyDescent="0.25">
      <c r="Z19774">
        <v>400000</v>
      </c>
    </row>
    <row r="19775" spans="26:26" x14ac:dyDescent="0.25">
      <c r="Z19775">
        <v>400000</v>
      </c>
    </row>
    <row r="19776" spans="26:26" x14ac:dyDescent="0.25">
      <c r="Z19776">
        <v>400000</v>
      </c>
    </row>
    <row r="19777" spans="26:26" x14ac:dyDescent="0.25">
      <c r="Z19777">
        <v>400000</v>
      </c>
    </row>
    <row r="19778" spans="26:26" x14ac:dyDescent="0.25">
      <c r="Z19778">
        <v>400000</v>
      </c>
    </row>
    <row r="19779" spans="26:26" x14ac:dyDescent="0.25">
      <c r="Z19779">
        <v>400000</v>
      </c>
    </row>
    <row r="19780" spans="26:26" x14ac:dyDescent="0.25">
      <c r="Z19780">
        <v>400000</v>
      </c>
    </row>
    <row r="19781" spans="26:26" x14ac:dyDescent="0.25">
      <c r="Z19781">
        <v>400000</v>
      </c>
    </row>
    <row r="19782" spans="26:26" x14ac:dyDescent="0.25">
      <c r="Z19782">
        <v>400000</v>
      </c>
    </row>
    <row r="19783" spans="26:26" x14ac:dyDescent="0.25">
      <c r="Z19783">
        <v>400000</v>
      </c>
    </row>
    <row r="19784" spans="26:26" x14ac:dyDescent="0.25">
      <c r="Z19784">
        <v>400000</v>
      </c>
    </row>
    <row r="19785" spans="26:26" x14ac:dyDescent="0.25">
      <c r="Z19785">
        <v>400000</v>
      </c>
    </row>
    <row r="19786" spans="26:26" x14ac:dyDescent="0.25">
      <c r="Z19786">
        <v>400000</v>
      </c>
    </row>
    <row r="19787" spans="26:26" x14ac:dyDescent="0.25">
      <c r="Z19787">
        <v>400000</v>
      </c>
    </row>
    <row r="19788" spans="26:26" x14ac:dyDescent="0.25">
      <c r="Z19788">
        <v>400000</v>
      </c>
    </row>
    <row r="19789" spans="26:26" x14ac:dyDescent="0.25">
      <c r="Z19789">
        <v>400000</v>
      </c>
    </row>
    <row r="19790" spans="26:26" x14ac:dyDescent="0.25">
      <c r="Z19790">
        <v>400000</v>
      </c>
    </row>
    <row r="19791" spans="26:26" x14ac:dyDescent="0.25">
      <c r="Z19791">
        <v>400000</v>
      </c>
    </row>
    <row r="19792" spans="26:26" x14ac:dyDescent="0.25">
      <c r="Z19792">
        <v>400000</v>
      </c>
    </row>
    <row r="19793" spans="26:26" x14ac:dyDescent="0.25">
      <c r="Z19793">
        <v>400000</v>
      </c>
    </row>
    <row r="19794" spans="26:26" x14ac:dyDescent="0.25">
      <c r="Z19794">
        <v>400000</v>
      </c>
    </row>
    <row r="19795" spans="26:26" x14ac:dyDescent="0.25">
      <c r="Z19795">
        <v>400000</v>
      </c>
    </row>
    <row r="19796" spans="26:26" x14ac:dyDescent="0.25">
      <c r="Z19796">
        <v>400000</v>
      </c>
    </row>
    <row r="19797" spans="26:26" x14ac:dyDescent="0.25">
      <c r="Z19797">
        <v>400000</v>
      </c>
    </row>
    <row r="19798" spans="26:26" x14ac:dyDescent="0.25">
      <c r="Z19798">
        <v>400000</v>
      </c>
    </row>
    <row r="19799" spans="26:26" x14ac:dyDescent="0.25">
      <c r="Z19799">
        <v>400000</v>
      </c>
    </row>
    <row r="19800" spans="26:26" x14ac:dyDescent="0.25">
      <c r="Z19800">
        <v>400000</v>
      </c>
    </row>
    <row r="19801" spans="26:26" x14ac:dyDescent="0.25">
      <c r="Z19801">
        <v>400000</v>
      </c>
    </row>
    <row r="19802" spans="26:26" x14ac:dyDescent="0.25">
      <c r="Z19802">
        <v>400000</v>
      </c>
    </row>
    <row r="19803" spans="26:26" x14ac:dyDescent="0.25">
      <c r="Z19803">
        <v>400000</v>
      </c>
    </row>
    <row r="19804" spans="26:26" x14ac:dyDescent="0.25">
      <c r="Z19804">
        <v>400000</v>
      </c>
    </row>
    <row r="19805" spans="26:26" x14ac:dyDescent="0.25">
      <c r="Z19805">
        <v>400000</v>
      </c>
    </row>
    <row r="19806" spans="26:26" x14ac:dyDescent="0.25">
      <c r="Z19806">
        <v>400000</v>
      </c>
    </row>
    <row r="19807" spans="26:26" x14ac:dyDescent="0.25">
      <c r="Z19807">
        <v>400000</v>
      </c>
    </row>
    <row r="19808" spans="26:26" x14ac:dyDescent="0.25">
      <c r="Z19808">
        <v>400000</v>
      </c>
    </row>
    <row r="19809" spans="26:26" x14ac:dyDescent="0.25">
      <c r="Z19809">
        <v>400000</v>
      </c>
    </row>
    <row r="19810" spans="26:26" x14ac:dyDescent="0.25">
      <c r="Z19810">
        <v>400000</v>
      </c>
    </row>
    <row r="19811" spans="26:26" x14ac:dyDescent="0.25">
      <c r="Z19811">
        <v>400000</v>
      </c>
    </row>
    <row r="19812" spans="26:26" x14ac:dyDescent="0.25">
      <c r="Z19812">
        <v>400000</v>
      </c>
    </row>
    <row r="19813" spans="26:26" x14ac:dyDescent="0.25">
      <c r="Z19813">
        <v>400000</v>
      </c>
    </row>
    <row r="19814" spans="26:26" x14ac:dyDescent="0.25">
      <c r="Z19814">
        <v>400000</v>
      </c>
    </row>
    <row r="19815" spans="26:26" x14ac:dyDescent="0.25">
      <c r="Z19815">
        <v>400000</v>
      </c>
    </row>
    <row r="19816" spans="26:26" x14ac:dyDescent="0.25">
      <c r="Z19816">
        <v>400000</v>
      </c>
    </row>
    <row r="19817" spans="26:26" x14ac:dyDescent="0.25">
      <c r="Z19817">
        <v>400000</v>
      </c>
    </row>
    <row r="19818" spans="26:26" x14ac:dyDescent="0.25">
      <c r="Z19818">
        <v>400000</v>
      </c>
    </row>
    <row r="19819" spans="26:26" x14ac:dyDescent="0.25">
      <c r="Z19819">
        <v>400000</v>
      </c>
    </row>
    <row r="19820" spans="26:26" x14ac:dyDescent="0.25">
      <c r="Z19820">
        <v>400000</v>
      </c>
    </row>
    <row r="19821" spans="26:26" x14ac:dyDescent="0.25">
      <c r="Z19821">
        <v>400000</v>
      </c>
    </row>
    <row r="19822" spans="26:26" x14ac:dyDescent="0.25">
      <c r="Z19822">
        <v>400000</v>
      </c>
    </row>
    <row r="19823" spans="26:26" x14ac:dyDescent="0.25">
      <c r="Z19823">
        <v>400000</v>
      </c>
    </row>
    <row r="19824" spans="26:26" x14ac:dyDescent="0.25">
      <c r="Z19824">
        <v>400000</v>
      </c>
    </row>
    <row r="19825" spans="26:26" x14ac:dyDescent="0.25">
      <c r="Z19825">
        <v>400000</v>
      </c>
    </row>
    <row r="19826" spans="26:26" x14ac:dyDescent="0.25">
      <c r="Z19826">
        <v>400000</v>
      </c>
    </row>
    <row r="19827" spans="26:26" x14ac:dyDescent="0.25">
      <c r="Z19827">
        <v>400000</v>
      </c>
    </row>
    <row r="19828" spans="26:26" x14ac:dyDescent="0.25">
      <c r="Z19828">
        <v>400000</v>
      </c>
    </row>
    <row r="19829" spans="26:26" x14ac:dyDescent="0.25">
      <c r="Z19829">
        <v>400000</v>
      </c>
    </row>
    <row r="19830" spans="26:26" x14ac:dyDescent="0.25">
      <c r="Z19830">
        <v>400000</v>
      </c>
    </row>
    <row r="19831" spans="26:26" x14ac:dyDescent="0.25">
      <c r="Z19831">
        <v>400000</v>
      </c>
    </row>
    <row r="19832" spans="26:26" x14ac:dyDescent="0.25">
      <c r="Z19832">
        <v>400000</v>
      </c>
    </row>
    <row r="19833" spans="26:26" x14ac:dyDescent="0.25">
      <c r="Z19833">
        <v>400000</v>
      </c>
    </row>
    <row r="19834" spans="26:26" x14ac:dyDescent="0.25">
      <c r="Z19834">
        <v>400000</v>
      </c>
    </row>
    <row r="19835" spans="26:26" x14ac:dyDescent="0.25">
      <c r="Z19835">
        <v>400000</v>
      </c>
    </row>
    <row r="19836" spans="26:26" x14ac:dyDescent="0.25">
      <c r="Z19836">
        <v>400000</v>
      </c>
    </row>
    <row r="19837" spans="26:26" x14ac:dyDescent="0.25">
      <c r="Z19837">
        <v>400000</v>
      </c>
    </row>
    <row r="19838" spans="26:26" x14ac:dyDescent="0.25">
      <c r="Z19838">
        <v>400000</v>
      </c>
    </row>
    <row r="19839" spans="26:26" x14ac:dyDescent="0.25">
      <c r="Z19839">
        <v>400000</v>
      </c>
    </row>
    <row r="19840" spans="26:26" x14ac:dyDescent="0.25">
      <c r="Z19840">
        <v>400000</v>
      </c>
    </row>
    <row r="19841" spans="26:26" x14ac:dyDescent="0.25">
      <c r="Z19841">
        <v>400000</v>
      </c>
    </row>
    <row r="19842" spans="26:26" x14ac:dyDescent="0.25">
      <c r="Z19842">
        <v>400000</v>
      </c>
    </row>
    <row r="19843" spans="26:26" x14ac:dyDescent="0.25">
      <c r="Z19843">
        <v>400000</v>
      </c>
    </row>
    <row r="19844" spans="26:26" x14ac:dyDescent="0.25">
      <c r="Z19844">
        <v>400000</v>
      </c>
    </row>
    <row r="19845" spans="26:26" x14ac:dyDescent="0.25">
      <c r="Z19845">
        <v>400000</v>
      </c>
    </row>
    <row r="19846" spans="26:26" x14ac:dyDescent="0.25">
      <c r="Z19846">
        <v>400000</v>
      </c>
    </row>
    <row r="19847" spans="26:26" x14ac:dyDescent="0.25">
      <c r="Z19847">
        <v>400000</v>
      </c>
    </row>
    <row r="19848" spans="26:26" x14ac:dyDescent="0.25">
      <c r="Z19848">
        <v>400000</v>
      </c>
    </row>
    <row r="19849" spans="26:26" x14ac:dyDescent="0.25">
      <c r="Z19849">
        <v>400000</v>
      </c>
    </row>
    <row r="19850" spans="26:26" x14ac:dyDescent="0.25">
      <c r="Z19850">
        <v>400000</v>
      </c>
    </row>
    <row r="19851" spans="26:26" x14ac:dyDescent="0.25">
      <c r="Z19851">
        <v>400000</v>
      </c>
    </row>
    <row r="19852" spans="26:26" x14ac:dyDescent="0.25">
      <c r="Z19852">
        <v>400000</v>
      </c>
    </row>
    <row r="19853" spans="26:26" x14ac:dyDescent="0.25">
      <c r="Z19853">
        <v>400000</v>
      </c>
    </row>
    <row r="19854" spans="26:26" x14ac:dyDescent="0.25">
      <c r="Z19854">
        <v>400000</v>
      </c>
    </row>
    <row r="19855" spans="26:26" x14ac:dyDescent="0.25">
      <c r="Z19855">
        <v>400000</v>
      </c>
    </row>
    <row r="19856" spans="26:26" x14ac:dyDescent="0.25">
      <c r="Z19856">
        <v>400000</v>
      </c>
    </row>
    <row r="19857" spans="26:26" x14ac:dyDescent="0.25">
      <c r="Z19857">
        <v>400000</v>
      </c>
    </row>
    <row r="19858" spans="26:26" x14ac:dyDescent="0.25">
      <c r="Z19858">
        <v>400000</v>
      </c>
    </row>
    <row r="19859" spans="26:26" x14ac:dyDescent="0.25">
      <c r="Z19859">
        <v>400000</v>
      </c>
    </row>
    <row r="19860" spans="26:26" x14ac:dyDescent="0.25">
      <c r="Z19860">
        <v>400000</v>
      </c>
    </row>
    <row r="19861" spans="26:26" x14ac:dyDescent="0.25">
      <c r="Z19861">
        <v>400000</v>
      </c>
    </row>
    <row r="19862" spans="26:26" x14ac:dyDescent="0.25">
      <c r="Z19862">
        <v>400000</v>
      </c>
    </row>
    <row r="19863" spans="26:26" x14ac:dyDescent="0.25">
      <c r="Z19863">
        <v>400000</v>
      </c>
    </row>
    <row r="19864" spans="26:26" x14ac:dyDescent="0.25">
      <c r="Z19864">
        <v>400000</v>
      </c>
    </row>
    <row r="19865" spans="26:26" x14ac:dyDescent="0.25">
      <c r="Z19865">
        <v>400000</v>
      </c>
    </row>
    <row r="19866" spans="26:26" x14ac:dyDescent="0.25">
      <c r="Z19866">
        <v>400000</v>
      </c>
    </row>
    <row r="19867" spans="26:26" x14ac:dyDescent="0.25">
      <c r="Z19867">
        <v>400000</v>
      </c>
    </row>
    <row r="19868" spans="26:26" x14ac:dyDescent="0.25">
      <c r="Z19868">
        <v>400000</v>
      </c>
    </row>
    <row r="19869" spans="26:26" x14ac:dyDescent="0.25">
      <c r="Z19869">
        <v>400000</v>
      </c>
    </row>
    <row r="19870" spans="26:26" x14ac:dyDescent="0.25">
      <c r="Z19870">
        <v>400000</v>
      </c>
    </row>
    <row r="19871" spans="26:26" x14ac:dyDescent="0.25">
      <c r="Z19871">
        <v>400000</v>
      </c>
    </row>
    <row r="19872" spans="26:26" x14ac:dyDescent="0.25">
      <c r="Z19872">
        <v>400000</v>
      </c>
    </row>
    <row r="19873" spans="26:26" x14ac:dyDescent="0.25">
      <c r="Z19873">
        <v>400000</v>
      </c>
    </row>
    <row r="19874" spans="26:26" x14ac:dyDescent="0.25">
      <c r="Z19874">
        <v>400000</v>
      </c>
    </row>
    <row r="19875" spans="26:26" x14ac:dyDescent="0.25">
      <c r="Z19875">
        <v>400000</v>
      </c>
    </row>
    <row r="19876" spans="26:26" x14ac:dyDescent="0.25">
      <c r="Z19876">
        <v>400000</v>
      </c>
    </row>
    <row r="19877" spans="26:26" x14ac:dyDescent="0.25">
      <c r="Z19877">
        <v>400000</v>
      </c>
    </row>
    <row r="19878" spans="26:26" x14ac:dyDescent="0.25">
      <c r="Z19878">
        <v>400000</v>
      </c>
    </row>
    <row r="19879" spans="26:26" x14ac:dyDescent="0.25">
      <c r="Z19879">
        <v>400000</v>
      </c>
    </row>
    <row r="19880" spans="26:26" x14ac:dyDescent="0.25">
      <c r="Z19880">
        <v>400000</v>
      </c>
    </row>
    <row r="19881" spans="26:26" x14ac:dyDescent="0.25">
      <c r="Z19881">
        <v>400000</v>
      </c>
    </row>
    <row r="19882" spans="26:26" x14ac:dyDescent="0.25">
      <c r="Z19882">
        <v>400000</v>
      </c>
    </row>
    <row r="19883" spans="26:26" x14ac:dyDescent="0.25">
      <c r="Z19883">
        <v>400000</v>
      </c>
    </row>
    <row r="19884" spans="26:26" x14ac:dyDescent="0.25">
      <c r="Z19884">
        <v>400000</v>
      </c>
    </row>
    <row r="19885" spans="26:26" x14ac:dyDescent="0.25">
      <c r="Z19885">
        <v>400000</v>
      </c>
    </row>
    <row r="19886" spans="26:26" x14ac:dyDescent="0.25">
      <c r="Z19886">
        <v>400000</v>
      </c>
    </row>
    <row r="19887" spans="26:26" x14ac:dyDescent="0.25">
      <c r="Z19887">
        <v>400000</v>
      </c>
    </row>
    <row r="19888" spans="26:26" x14ac:dyDescent="0.25">
      <c r="Z19888">
        <v>400000</v>
      </c>
    </row>
    <row r="19889" spans="26:26" x14ac:dyDescent="0.25">
      <c r="Z19889">
        <v>400000</v>
      </c>
    </row>
    <row r="19890" spans="26:26" x14ac:dyDescent="0.25">
      <c r="Z19890">
        <v>400000</v>
      </c>
    </row>
    <row r="19891" spans="26:26" x14ac:dyDescent="0.25">
      <c r="Z19891">
        <v>400000</v>
      </c>
    </row>
    <row r="19892" spans="26:26" x14ac:dyDescent="0.25">
      <c r="Z19892">
        <v>400000</v>
      </c>
    </row>
    <row r="19893" spans="26:26" x14ac:dyDescent="0.25">
      <c r="Z19893">
        <v>400000</v>
      </c>
    </row>
    <row r="19894" spans="26:26" x14ac:dyDescent="0.25">
      <c r="Z19894">
        <v>400000</v>
      </c>
    </row>
    <row r="19895" spans="26:26" x14ac:dyDescent="0.25">
      <c r="Z19895">
        <v>400000</v>
      </c>
    </row>
    <row r="19896" spans="26:26" x14ac:dyDescent="0.25">
      <c r="Z19896">
        <v>400000</v>
      </c>
    </row>
    <row r="19897" spans="26:26" x14ac:dyDescent="0.25">
      <c r="Z19897">
        <v>400000</v>
      </c>
    </row>
    <row r="19898" spans="26:26" x14ac:dyDescent="0.25">
      <c r="Z19898">
        <v>400000</v>
      </c>
    </row>
    <row r="19899" spans="26:26" x14ac:dyDescent="0.25">
      <c r="Z19899">
        <v>400000</v>
      </c>
    </row>
    <row r="19900" spans="26:26" x14ac:dyDescent="0.25">
      <c r="Z19900">
        <v>400000</v>
      </c>
    </row>
    <row r="19901" spans="26:26" x14ac:dyDescent="0.25">
      <c r="Z19901">
        <v>400000</v>
      </c>
    </row>
    <row r="19902" spans="26:26" x14ac:dyDescent="0.25">
      <c r="Z19902">
        <v>400000</v>
      </c>
    </row>
    <row r="19903" spans="26:26" x14ac:dyDescent="0.25">
      <c r="Z19903">
        <v>400000</v>
      </c>
    </row>
    <row r="19904" spans="26:26" x14ac:dyDescent="0.25">
      <c r="Z19904">
        <v>400000</v>
      </c>
    </row>
    <row r="19905" spans="26:26" x14ac:dyDescent="0.25">
      <c r="Z19905">
        <v>400000</v>
      </c>
    </row>
    <row r="19906" spans="26:26" x14ac:dyDescent="0.25">
      <c r="Z19906">
        <v>400000</v>
      </c>
    </row>
    <row r="19907" spans="26:26" x14ac:dyDescent="0.25">
      <c r="Z19907">
        <v>400000</v>
      </c>
    </row>
    <row r="19908" spans="26:26" x14ac:dyDescent="0.25">
      <c r="Z19908">
        <v>400000</v>
      </c>
    </row>
    <row r="19909" spans="26:26" x14ac:dyDescent="0.25">
      <c r="Z19909">
        <v>400000</v>
      </c>
    </row>
    <row r="19910" spans="26:26" x14ac:dyDescent="0.25">
      <c r="Z19910">
        <v>400000</v>
      </c>
    </row>
    <row r="19911" spans="26:26" x14ac:dyDescent="0.25">
      <c r="Z19911">
        <v>400000</v>
      </c>
    </row>
    <row r="19912" spans="26:26" x14ac:dyDescent="0.25">
      <c r="Z19912">
        <v>400000</v>
      </c>
    </row>
    <row r="19913" spans="26:26" x14ac:dyDescent="0.25">
      <c r="Z19913">
        <v>400000</v>
      </c>
    </row>
    <row r="19914" spans="26:26" x14ac:dyDescent="0.25">
      <c r="Z19914">
        <v>400000</v>
      </c>
    </row>
    <row r="19915" spans="26:26" x14ac:dyDescent="0.25">
      <c r="Z19915">
        <v>400000</v>
      </c>
    </row>
    <row r="19916" spans="26:26" x14ac:dyDescent="0.25">
      <c r="Z19916">
        <v>400000</v>
      </c>
    </row>
    <row r="19917" spans="26:26" x14ac:dyDescent="0.25">
      <c r="Z19917">
        <v>400000</v>
      </c>
    </row>
    <row r="19918" spans="26:26" x14ac:dyDescent="0.25">
      <c r="Z19918">
        <v>400000</v>
      </c>
    </row>
    <row r="19919" spans="26:26" x14ac:dyDescent="0.25">
      <c r="Z19919">
        <v>400000</v>
      </c>
    </row>
    <row r="19920" spans="26:26" x14ac:dyDescent="0.25">
      <c r="Z19920">
        <v>400000</v>
      </c>
    </row>
    <row r="19921" spans="26:26" x14ac:dyDescent="0.25">
      <c r="Z19921">
        <v>400000</v>
      </c>
    </row>
    <row r="19922" spans="26:26" x14ac:dyDescent="0.25">
      <c r="Z19922">
        <v>400000</v>
      </c>
    </row>
    <row r="19923" spans="26:26" x14ac:dyDescent="0.25">
      <c r="Z19923">
        <v>400000</v>
      </c>
    </row>
    <row r="19924" spans="26:26" x14ac:dyDescent="0.25">
      <c r="Z19924">
        <v>400000</v>
      </c>
    </row>
    <row r="19925" spans="26:26" x14ac:dyDescent="0.25">
      <c r="Z19925">
        <v>400000</v>
      </c>
    </row>
    <row r="19926" spans="26:26" x14ac:dyDescent="0.25">
      <c r="Z19926">
        <v>400000</v>
      </c>
    </row>
    <row r="19927" spans="26:26" x14ac:dyDescent="0.25">
      <c r="Z19927">
        <v>400000</v>
      </c>
    </row>
    <row r="19928" spans="26:26" x14ac:dyDescent="0.25">
      <c r="Z19928">
        <v>400000</v>
      </c>
    </row>
    <row r="19929" spans="26:26" x14ac:dyDescent="0.25">
      <c r="Z19929">
        <v>400000</v>
      </c>
    </row>
    <row r="19930" spans="26:26" x14ac:dyDescent="0.25">
      <c r="Z19930">
        <v>400000</v>
      </c>
    </row>
    <row r="19931" spans="26:26" x14ac:dyDescent="0.25">
      <c r="Z19931">
        <v>400000</v>
      </c>
    </row>
    <row r="19932" spans="26:26" x14ac:dyDescent="0.25">
      <c r="Z19932">
        <v>400000</v>
      </c>
    </row>
    <row r="19933" spans="26:26" x14ac:dyDescent="0.25">
      <c r="Z19933">
        <v>400000</v>
      </c>
    </row>
    <row r="19934" spans="26:26" x14ac:dyDescent="0.25">
      <c r="Z19934">
        <v>400000</v>
      </c>
    </row>
    <row r="19935" spans="26:26" x14ac:dyDescent="0.25">
      <c r="Z19935">
        <v>400000</v>
      </c>
    </row>
    <row r="19936" spans="26:26" x14ac:dyDescent="0.25">
      <c r="Z19936">
        <v>400000</v>
      </c>
    </row>
    <row r="19937" spans="26:26" x14ac:dyDescent="0.25">
      <c r="Z19937">
        <v>400000</v>
      </c>
    </row>
    <row r="19938" spans="26:26" x14ac:dyDescent="0.25">
      <c r="Z19938">
        <v>400000</v>
      </c>
    </row>
    <row r="19939" spans="26:26" x14ac:dyDescent="0.25">
      <c r="Z19939">
        <v>400000</v>
      </c>
    </row>
    <row r="19940" spans="26:26" x14ac:dyDescent="0.25">
      <c r="Z19940">
        <v>400000</v>
      </c>
    </row>
    <row r="19941" spans="26:26" x14ac:dyDescent="0.25">
      <c r="Z19941">
        <v>400000</v>
      </c>
    </row>
    <row r="19942" spans="26:26" x14ac:dyDescent="0.25">
      <c r="Z19942">
        <v>400000</v>
      </c>
    </row>
    <row r="19943" spans="26:26" x14ac:dyDescent="0.25">
      <c r="Z19943">
        <v>400000</v>
      </c>
    </row>
    <row r="19944" spans="26:26" x14ac:dyDescent="0.25">
      <c r="Z19944">
        <v>400000</v>
      </c>
    </row>
    <row r="19945" spans="26:26" x14ac:dyDescent="0.25">
      <c r="Z19945">
        <v>400000</v>
      </c>
    </row>
    <row r="19946" spans="26:26" x14ac:dyDescent="0.25">
      <c r="Z19946">
        <v>400000</v>
      </c>
    </row>
    <row r="19947" spans="26:26" x14ac:dyDescent="0.25">
      <c r="Z19947">
        <v>400000</v>
      </c>
    </row>
    <row r="19948" spans="26:26" x14ac:dyDescent="0.25">
      <c r="Z19948">
        <v>400000</v>
      </c>
    </row>
    <row r="19949" spans="26:26" x14ac:dyDescent="0.25">
      <c r="Z19949">
        <v>400000</v>
      </c>
    </row>
    <row r="19950" spans="26:26" x14ac:dyDescent="0.25">
      <c r="Z19950">
        <v>400000</v>
      </c>
    </row>
    <row r="19951" spans="26:26" x14ac:dyDescent="0.25">
      <c r="Z19951">
        <v>400000</v>
      </c>
    </row>
    <row r="19952" spans="26:26" x14ac:dyDescent="0.25">
      <c r="Z19952">
        <v>400000</v>
      </c>
    </row>
    <row r="19953" spans="26:26" x14ac:dyDescent="0.25">
      <c r="Z19953">
        <v>400000</v>
      </c>
    </row>
    <row r="19954" spans="26:26" x14ac:dyDescent="0.25">
      <c r="Z19954">
        <v>400000</v>
      </c>
    </row>
    <row r="19955" spans="26:26" x14ac:dyDescent="0.25">
      <c r="Z19955">
        <v>400000</v>
      </c>
    </row>
    <row r="19956" spans="26:26" x14ac:dyDescent="0.25">
      <c r="Z19956">
        <v>400000</v>
      </c>
    </row>
    <row r="19957" spans="26:26" x14ac:dyDescent="0.25">
      <c r="Z19957">
        <v>400000</v>
      </c>
    </row>
    <row r="19958" spans="26:26" x14ac:dyDescent="0.25">
      <c r="Z19958">
        <v>400000</v>
      </c>
    </row>
    <row r="19959" spans="26:26" x14ac:dyDescent="0.25">
      <c r="Z19959">
        <v>400000</v>
      </c>
    </row>
    <row r="19960" spans="26:26" x14ac:dyDescent="0.25">
      <c r="Z19960">
        <v>400000</v>
      </c>
    </row>
    <row r="19961" spans="26:26" x14ac:dyDescent="0.25">
      <c r="Z19961">
        <v>400000</v>
      </c>
    </row>
    <row r="19962" spans="26:26" x14ac:dyDescent="0.25">
      <c r="Z19962">
        <v>400000</v>
      </c>
    </row>
    <row r="19963" spans="26:26" x14ac:dyDescent="0.25">
      <c r="Z19963">
        <v>400000</v>
      </c>
    </row>
    <row r="19964" spans="26:26" x14ac:dyDescent="0.25">
      <c r="Z19964">
        <v>400000</v>
      </c>
    </row>
    <row r="19965" spans="26:26" x14ac:dyDescent="0.25">
      <c r="Z19965">
        <v>400000</v>
      </c>
    </row>
    <row r="19966" spans="26:26" x14ac:dyDescent="0.25">
      <c r="Z19966">
        <v>400000</v>
      </c>
    </row>
    <row r="19967" spans="26:26" x14ac:dyDescent="0.25">
      <c r="Z19967">
        <v>400000</v>
      </c>
    </row>
    <row r="19968" spans="26:26" x14ac:dyDescent="0.25">
      <c r="Z19968">
        <v>400000</v>
      </c>
    </row>
    <row r="19969" spans="26:26" x14ac:dyDescent="0.25">
      <c r="Z19969">
        <v>400000</v>
      </c>
    </row>
    <row r="19970" spans="26:26" x14ac:dyDescent="0.25">
      <c r="Z19970">
        <v>400000</v>
      </c>
    </row>
    <row r="19971" spans="26:26" x14ac:dyDescent="0.25">
      <c r="Z19971">
        <v>400000</v>
      </c>
    </row>
    <row r="19972" spans="26:26" x14ac:dyDescent="0.25">
      <c r="Z19972">
        <v>400000</v>
      </c>
    </row>
    <row r="19973" spans="26:26" x14ac:dyDescent="0.25">
      <c r="Z19973">
        <v>400000</v>
      </c>
    </row>
    <row r="19974" spans="26:26" x14ac:dyDescent="0.25">
      <c r="Z19974">
        <v>400000</v>
      </c>
    </row>
    <row r="19975" spans="26:26" x14ac:dyDescent="0.25">
      <c r="Z19975">
        <v>400000</v>
      </c>
    </row>
    <row r="19976" spans="26:26" x14ac:dyDescent="0.25">
      <c r="Z19976">
        <v>400000</v>
      </c>
    </row>
    <row r="19977" spans="26:26" x14ac:dyDescent="0.25">
      <c r="Z19977">
        <v>400000</v>
      </c>
    </row>
    <row r="19978" spans="26:26" x14ac:dyDescent="0.25">
      <c r="Z19978">
        <v>400000</v>
      </c>
    </row>
    <row r="19979" spans="26:26" x14ac:dyDescent="0.25">
      <c r="Z19979">
        <v>400000</v>
      </c>
    </row>
    <row r="19980" spans="26:26" x14ac:dyDescent="0.25">
      <c r="Z19980">
        <v>400000</v>
      </c>
    </row>
    <row r="19981" spans="26:26" x14ac:dyDescent="0.25">
      <c r="Z19981">
        <v>400000</v>
      </c>
    </row>
    <row r="19982" spans="26:26" x14ac:dyDescent="0.25">
      <c r="Z19982">
        <v>400000</v>
      </c>
    </row>
    <row r="19983" spans="26:26" x14ac:dyDescent="0.25">
      <c r="Z19983">
        <v>400000</v>
      </c>
    </row>
    <row r="19984" spans="26:26" x14ac:dyDescent="0.25">
      <c r="Z19984">
        <v>400000</v>
      </c>
    </row>
    <row r="19985" spans="26:26" x14ac:dyDescent="0.25">
      <c r="Z19985">
        <v>400000</v>
      </c>
    </row>
    <row r="19986" spans="26:26" x14ac:dyDescent="0.25">
      <c r="Z19986">
        <v>400000</v>
      </c>
    </row>
    <row r="19987" spans="26:26" x14ac:dyDescent="0.25">
      <c r="Z19987">
        <v>400000</v>
      </c>
    </row>
    <row r="19988" spans="26:26" x14ac:dyDescent="0.25">
      <c r="Z19988">
        <v>400000</v>
      </c>
    </row>
    <row r="19989" spans="26:26" x14ac:dyDescent="0.25">
      <c r="Z19989">
        <v>400000</v>
      </c>
    </row>
    <row r="19990" spans="26:26" x14ac:dyDescent="0.25">
      <c r="Z19990">
        <v>400000</v>
      </c>
    </row>
    <row r="19991" spans="26:26" x14ac:dyDescent="0.25">
      <c r="Z19991">
        <v>400000</v>
      </c>
    </row>
    <row r="19992" spans="26:26" x14ac:dyDescent="0.25">
      <c r="Z19992">
        <v>400000</v>
      </c>
    </row>
    <row r="19993" spans="26:26" x14ac:dyDescent="0.25">
      <c r="Z19993">
        <v>400000</v>
      </c>
    </row>
    <row r="19994" spans="26:26" x14ac:dyDescent="0.25">
      <c r="Z19994">
        <v>400000</v>
      </c>
    </row>
    <row r="19995" spans="26:26" x14ac:dyDescent="0.25">
      <c r="Z19995">
        <v>400000</v>
      </c>
    </row>
    <row r="19996" spans="26:26" x14ac:dyDescent="0.25">
      <c r="Z19996">
        <v>400000</v>
      </c>
    </row>
    <row r="19997" spans="26:26" x14ac:dyDescent="0.25">
      <c r="Z19997">
        <v>400000</v>
      </c>
    </row>
    <row r="19998" spans="26:26" x14ac:dyDescent="0.25">
      <c r="Z19998">
        <v>400000</v>
      </c>
    </row>
    <row r="19999" spans="26:26" x14ac:dyDescent="0.25">
      <c r="Z19999">
        <v>400000</v>
      </c>
    </row>
    <row r="20000" spans="26:26" x14ac:dyDescent="0.25">
      <c r="Z20000">
        <v>400000</v>
      </c>
    </row>
    <row r="20001" spans="26:26" x14ac:dyDescent="0.25">
      <c r="Z20001">
        <v>400000</v>
      </c>
    </row>
    <row r="20002" spans="26:26" x14ac:dyDescent="0.25">
      <c r="Z20002">
        <v>400000</v>
      </c>
    </row>
    <row r="20003" spans="26:26" x14ac:dyDescent="0.25">
      <c r="Z20003">
        <v>400000</v>
      </c>
    </row>
    <row r="20004" spans="26:26" x14ac:dyDescent="0.25">
      <c r="Z20004">
        <v>400000</v>
      </c>
    </row>
    <row r="20005" spans="26:26" x14ac:dyDescent="0.25">
      <c r="Z20005">
        <v>400000</v>
      </c>
    </row>
    <row r="20006" spans="26:26" x14ac:dyDescent="0.25">
      <c r="Z20006">
        <v>400000</v>
      </c>
    </row>
    <row r="20007" spans="26:26" x14ac:dyDescent="0.25">
      <c r="Z20007">
        <v>400000</v>
      </c>
    </row>
    <row r="20008" spans="26:26" x14ac:dyDescent="0.25">
      <c r="Z20008">
        <v>400000</v>
      </c>
    </row>
    <row r="20009" spans="26:26" x14ac:dyDescent="0.25">
      <c r="Z20009">
        <v>400000</v>
      </c>
    </row>
    <row r="20010" spans="26:26" x14ac:dyDescent="0.25">
      <c r="Z20010">
        <v>400000</v>
      </c>
    </row>
    <row r="20011" spans="26:26" x14ac:dyDescent="0.25">
      <c r="Z20011">
        <v>400000</v>
      </c>
    </row>
    <row r="20012" spans="26:26" x14ac:dyDescent="0.25">
      <c r="Z20012">
        <v>400000</v>
      </c>
    </row>
    <row r="20013" spans="26:26" x14ac:dyDescent="0.25">
      <c r="Z20013">
        <v>400000</v>
      </c>
    </row>
    <row r="20014" spans="26:26" x14ac:dyDescent="0.25">
      <c r="Z20014">
        <v>400000</v>
      </c>
    </row>
    <row r="20015" spans="26:26" x14ac:dyDescent="0.25">
      <c r="Z20015">
        <v>400000</v>
      </c>
    </row>
    <row r="20016" spans="26:26" x14ac:dyDescent="0.25">
      <c r="Z20016">
        <v>400000</v>
      </c>
    </row>
    <row r="20017" spans="26:26" x14ac:dyDescent="0.25">
      <c r="Z20017">
        <v>400000</v>
      </c>
    </row>
    <row r="20018" spans="26:26" x14ac:dyDescent="0.25">
      <c r="Z20018">
        <v>400000</v>
      </c>
    </row>
    <row r="20019" spans="26:26" x14ac:dyDescent="0.25">
      <c r="Z20019">
        <v>400000</v>
      </c>
    </row>
    <row r="20020" spans="26:26" x14ac:dyDescent="0.25">
      <c r="Z20020">
        <v>400000</v>
      </c>
    </row>
    <row r="20021" spans="26:26" x14ac:dyDescent="0.25">
      <c r="Z20021">
        <v>400000</v>
      </c>
    </row>
    <row r="20022" spans="26:26" x14ac:dyDescent="0.25">
      <c r="Z20022">
        <v>400000</v>
      </c>
    </row>
    <row r="20023" spans="26:26" x14ac:dyDescent="0.25">
      <c r="Z20023">
        <v>400000</v>
      </c>
    </row>
    <row r="20024" spans="26:26" x14ac:dyDescent="0.25">
      <c r="Z20024">
        <v>400000</v>
      </c>
    </row>
    <row r="20025" spans="26:26" x14ac:dyDescent="0.25">
      <c r="Z20025">
        <v>400000</v>
      </c>
    </row>
    <row r="20026" spans="26:26" x14ac:dyDescent="0.25">
      <c r="Z20026">
        <v>400000</v>
      </c>
    </row>
    <row r="20027" spans="26:26" x14ac:dyDescent="0.25">
      <c r="Z20027">
        <v>400000</v>
      </c>
    </row>
    <row r="20028" spans="26:26" x14ac:dyDescent="0.25">
      <c r="Z20028">
        <v>400000</v>
      </c>
    </row>
    <row r="20029" spans="26:26" x14ac:dyDescent="0.25">
      <c r="Z20029">
        <v>400000</v>
      </c>
    </row>
    <row r="20030" spans="26:26" x14ac:dyDescent="0.25">
      <c r="Z20030">
        <v>400000</v>
      </c>
    </row>
    <row r="20031" spans="26:26" x14ac:dyDescent="0.25">
      <c r="Z20031">
        <v>400000</v>
      </c>
    </row>
    <row r="20032" spans="26:26" x14ac:dyDescent="0.25">
      <c r="Z20032">
        <v>400000</v>
      </c>
    </row>
    <row r="20033" spans="26:26" x14ac:dyDescent="0.25">
      <c r="Z20033">
        <v>400000</v>
      </c>
    </row>
    <row r="20034" spans="26:26" x14ac:dyDescent="0.25">
      <c r="Z20034">
        <v>400000</v>
      </c>
    </row>
    <row r="20035" spans="26:26" x14ac:dyDescent="0.25">
      <c r="Z20035">
        <v>400000</v>
      </c>
    </row>
    <row r="20036" spans="26:26" x14ac:dyDescent="0.25">
      <c r="Z20036">
        <v>400000</v>
      </c>
    </row>
    <row r="20037" spans="26:26" x14ac:dyDescent="0.25">
      <c r="Z20037">
        <v>400000</v>
      </c>
    </row>
    <row r="20038" spans="26:26" x14ac:dyDescent="0.25">
      <c r="Z20038">
        <v>400000</v>
      </c>
    </row>
    <row r="20039" spans="26:26" x14ac:dyDescent="0.25">
      <c r="Z20039">
        <v>400000</v>
      </c>
    </row>
    <row r="20040" spans="26:26" x14ac:dyDescent="0.25">
      <c r="Z20040">
        <v>400000</v>
      </c>
    </row>
    <row r="20041" spans="26:26" x14ac:dyDescent="0.25">
      <c r="Z20041">
        <v>400000</v>
      </c>
    </row>
    <row r="20042" spans="26:26" x14ac:dyDescent="0.25">
      <c r="Z20042">
        <v>400000</v>
      </c>
    </row>
    <row r="20043" spans="26:26" x14ac:dyDescent="0.25">
      <c r="Z20043">
        <v>400000</v>
      </c>
    </row>
    <row r="20044" spans="26:26" x14ac:dyDescent="0.25">
      <c r="Z20044">
        <v>400000</v>
      </c>
    </row>
    <row r="20045" spans="26:26" x14ac:dyDescent="0.25">
      <c r="Z20045">
        <v>400000</v>
      </c>
    </row>
    <row r="20046" spans="26:26" x14ac:dyDescent="0.25">
      <c r="Z20046">
        <v>400000</v>
      </c>
    </row>
    <row r="20047" spans="26:26" x14ac:dyDescent="0.25">
      <c r="Z20047">
        <v>400000</v>
      </c>
    </row>
    <row r="20048" spans="26:26" x14ac:dyDescent="0.25">
      <c r="Z20048">
        <v>400000</v>
      </c>
    </row>
    <row r="20049" spans="26:26" x14ac:dyDescent="0.25">
      <c r="Z20049">
        <v>400000</v>
      </c>
    </row>
    <row r="20050" spans="26:26" x14ac:dyDescent="0.25">
      <c r="Z20050">
        <v>400000</v>
      </c>
    </row>
    <row r="20051" spans="26:26" x14ac:dyDescent="0.25">
      <c r="Z20051">
        <v>400000</v>
      </c>
    </row>
    <row r="20052" spans="26:26" x14ac:dyDescent="0.25">
      <c r="Z20052">
        <v>400000</v>
      </c>
    </row>
    <row r="20053" spans="26:26" x14ac:dyDescent="0.25">
      <c r="Z20053">
        <v>400000</v>
      </c>
    </row>
    <row r="20054" spans="26:26" x14ac:dyDescent="0.25">
      <c r="Z20054">
        <v>400000</v>
      </c>
    </row>
    <row r="20055" spans="26:26" x14ac:dyDescent="0.25">
      <c r="Z20055">
        <v>400000</v>
      </c>
    </row>
    <row r="20056" spans="26:26" x14ac:dyDescent="0.25">
      <c r="Z20056">
        <v>400000</v>
      </c>
    </row>
    <row r="20057" spans="26:26" x14ac:dyDescent="0.25">
      <c r="Z20057">
        <v>400000</v>
      </c>
    </row>
    <row r="20058" spans="26:26" x14ac:dyDescent="0.25">
      <c r="Z20058">
        <v>400000</v>
      </c>
    </row>
    <row r="20059" spans="26:26" x14ac:dyDescent="0.25">
      <c r="Z20059">
        <v>400000</v>
      </c>
    </row>
    <row r="20060" spans="26:26" x14ac:dyDescent="0.25">
      <c r="Z20060">
        <v>400000</v>
      </c>
    </row>
    <row r="20061" spans="26:26" x14ac:dyDescent="0.25">
      <c r="Z20061">
        <v>400000</v>
      </c>
    </row>
    <row r="20062" spans="26:26" x14ac:dyDescent="0.25">
      <c r="Z20062">
        <v>400000</v>
      </c>
    </row>
    <row r="20063" spans="26:26" x14ac:dyDescent="0.25">
      <c r="Z20063">
        <v>400000</v>
      </c>
    </row>
    <row r="20064" spans="26:26" x14ac:dyDescent="0.25">
      <c r="Z20064">
        <v>400000</v>
      </c>
    </row>
    <row r="20065" spans="26:26" x14ac:dyDescent="0.25">
      <c r="Z20065">
        <v>400000</v>
      </c>
    </row>
    <row r="20066" spans="26:26" x14ac:dyDescent="0.25">
      <c r="Z20066">
        <v>400000</v>
      </c>
    </row>
    <row r="20067" spans="26:26" x14ac:dyDescent="0.25">
      <c r="Z20067">
        <v>400000</v>
      </c>
    </row>
    <row r="20068" spans="26:26" x14ac:dyDescent="0.25">
      <c r="Z20068">
        <v>400000</v>
      </c>
    </row>
    <row r="20069" spans="26:26" x14ac:dyDescent="0.25">
      <c r="Z20069">
        <v>400000</v>
      </c>
    </row>
    <row r="20070" spans="26:26" x14ac:dyDescent="0.25">
      <c r="Z20070">
        <v>400000</v>
      </c>
    </row>
    <row r="20071" spans="26:26" x14ac:dyDescent="0.25">
      <c r="Z20071">
        <v>400000</v>
      </c>
    </row>
    <row r="20072" spans="26:26" x14ac:dyDescent="0.25">
      <c r="Z20072">
        <v>400000</v>
      </c>
    </row>
    <row r="20073" spans="26:26" x14ac:dyDescent="0.25">
      <c r="Z20073">
        <v>400000</v>
      </c>
    </row>
    <row r="20074" spans="26:26" x14ac:dyDescent="0.25">
      <c r="Z20074">
        <v>400000</v>
      </c>
    </row>
    <row r="20075" spans="26:26" x14ac:dyDescent="0.25">
      <c r="Z20075">
        <v>400000</v>
      </c>
    </row>
    <row r="20076" spans="26:26" x14ac:dyDescent="0.25">
      <c r="Z20076">
        <v>400000</v>
      </c>
    </row>
    <row r="20077" spans="26:26" x14ac:dyDescent="0.25">
      <c r="Z20077">
        <v>400000</v>
      </c>
    </row>
    <row r="20078" spans="26:26" x14ac:dyDescent="0.25">
      <c r="Z20078">
        <v>400000</v>
      </c>
    </row>
    <row r="20079" spans="26:26" x14ac:dyDescent="0.25">
      <c r="Z20079">
        <v>400000</v>
      </c>
    </row>
    <row r="20080" spans="26:26" x14ac:dyDescent="0.25">
      <c r="Z20080">
        <v>400000</v>
      </c>
    </row>
    <row r="20081" spans="26:26" x14ac:dyDescent="0.25">
      <c r="Z20081">
        <v>400000</v>
      </c>
    </row>
    <row r="20082" spans="26:26" x14ac:dyDescent="0.25">
      <c r="Z20082">
        <v>400000</v>
      </c>
    </row>
    <row r="20083" spans="26:26" x14ac:dyDescent="0.25">
      <c r="Z20083">
        <v>400000</v>
      </c>
    </row>
    <row r="20084" spans="26:26" x14ac:dyDescent="0.25">
      <c r="Z20084">
        <v>400000</v>
      </c>
    </row>
    <row r="20085" spans="26:26" x14ac:dyDescent="0.25">
      <c r="Z20085">
        <v>400000</v>
      </c>
    </row>
    <row r="20086" spans="26:26" x14ac:dyDescent="0.25">
      <c r="Z20086">
        <v>400000</v>
      </c>
    </row>
    <row r="20087" spans="26:26" x14ac:dyDescent="0.25">
      <c r="Z20087">
        <v>400000</v>
      </c>
    </row>
    <row r="20088" spans="26:26" x14ac:dyDescent="0.25">
      <c r="Z20088">
        <v>400000</v>
      </c>
    </row>
    <row r="20089" spans="26:26" x14ac:dyDescent="0.25">
      <c r="Z20089">
        <v>400000</v>
      </c>
    </row>
    <row r="20090" spans="26:26" x14ac:dyDescent="0.25">
      <c r="Z20090">
        <v>400000</v>
      </c>
    </row>
    <row r="20091" spans="26:26" x14ac:dyDescent="0.25">
      <c r="Z20091">
        <v>400000</v>
      </c>
    </row>
    <row r="20092" spans="26:26" x14ac:dyDescent="0.25">
      <c r="Z20092">
        <v>400000</v>
      </c>
    </row>
    <row r="20093" spans="26:26" x14ac:dyDescent="0.25">
      <c r="Z20093">
        <v>400000</v>
      </c>
    </row>
    <row r="20094" spans="26:26" x14ac:dyDescent="0.25">
      <c r="Z20094">
        <v>400000</v>
      </c>
    </row>
    <row r="20095" spans="26:26" x14ac:dyDescent="0.25">
      <c r="Z20095">
        <v>400000</v>
      </c>
    </row>
    <row r="20096" spans="26:26" x14ac:dyDescent="0.25">
      <c r="Z20096">
        <v>400000</v>
      </c>
    </row>
    <row r="20097" spans="26:26" x14ac:dyDescent="0.25">
      <c r="Z20097">
        <v>400000</v>
      </c>
    </row>
    <row r="20098" spans="26:26" x14ac:dyDescent="0.25">
      <c r="Z20098">
        <v>400000</v>
      </c>
    </row>
    <row r="20099" spans="26:26" x14ac:dyDescent="0.25">
      <c r="Z20099">
        <v>400000</v>
      </c>
    </row>
    <row r="20100" spans="26:26" x14ac:dyDescent="0.25">
      <c r="Z20100">
        <v>400000</v>
      </c>
    </row>
    <row r="20101" spans="26:26" x14ac:dyDescent="0.25">
      <c r="Z20101">
        <v>400000</v>
      </c>
    </row>
    <row r="20102" spans="26:26" x14ac:dyDescent="0.25">
      <c r="Z20102">
        <v>400000</v>
      </c>
    </row>
    <row r="20103" spans="26:26" x14ac:dyDescent="0.25">
      <c r="Z20103">
        <v>400000</v>
      </c>
    </row>
    <row r="20104" spans="26:26" x14ac:dyDescent="0.25">
      <c r="Z20104">
        <v>400000</v>
      </c>
    </row>
    <row r="20105" spans="26:26" x14ac:dyDescent="0.25">
      <c r="Z20105">
        <v>400000</v>
      </c>
    </row>
    <row r="20106" spans="26:26" x14ac:dyDescent="0.25">
      <c r="Z20106">
        <v>400000</v>
      </c>
    </row>
    <row r="20107" spans="26:26" x14ac:dyDescent="0.25">
      <c r="Z20107">
        <v>400000</v>
      </c>
    </row>
    <row r="20108" spans="26:26" x14ac:dyDescent="0.25">
      <c r="Z20108">
        <v>400000</v>
      </c>
    </row>
    <row r="20109" spans="26:26" x14ac:dyDescent="0.25">
      <c r="Z20109">
        <v>400000</v>
      </c>
    </row>
    <row r="20110" spans="26:26" x14ac:dyDescent="0.25">
      <c r="Z20110">
        <v>400000</v>
      </c>
    </row>
    <row r="20111" spans="26:26" x14ac:dyDescent="0.25">
      <c r="Z20111">
        <v>400000</v>
      </c>
    </row>
    <row r="20112" spans="26:26" x14ac:dyDescent="0.25">
      <c r="Z20112">
        <v>400000</v>
      </c>
    </row>
    <row r="20113" spans="26:26" x14ac:dyDescent="0.25">
      <c r="Z20113">
        <v>400000</v>
      </c>
    </row>
    <row r="20114" spans="26:26" x14ac:dyDescent="0.25">
      <c r="Z20114">
        <v>400000</v>
      </c>
    </row>
    <row r="20115" spans="26:26" x14ac:dyDescent="0.25">
      <c r="Z20115">
        <v>400000</v>
      </c>
    </row>
    <row r="20116" spans="26:26" x14ac:dyDescent="0.25">
      <c r="Z20116">
        <v>400000</v>
      </c>
    </row>
    <row r="20117" spans="26:26" x14ac:dyDescent="0.25">
      <c r="Z20117">
        <v>400000</v>
      </c>
    </row>
    <row r="20118" spans="26:26" x14ac:dyDescent="0.25">
      <c r="Z20118">
        <v>400000</v>
      </c>
    </row>
    <row r="20119" spans="26:26" x14ac:dyDescent="0.25">
      <c r="Z20119">
        <v>400000</v>
      </c>
    </row>
    <row r="20120" spans="26:26" x14ac:dyDescent="0.25">
      <c r="Z20120">
        <v>400000</v>
      </c>
    </row>
    <row r="20121" spans="26:26" x14ac:dyDescent="0.25">
      <c r="Z20121">
        <v>400000</v>
      </c>
    </row>
    <row r="20122" spans="26:26" x14ac:dyDescent="0.25">
      <c r="Z20122">
        <v>400000</v>
      </c>
    </row>
    <row r="20123" spans="26:26" x14ac:dyDescent="0.25">
      <c r="Z20123">
        <v>400000</v>
      </c>
    </row>
    <row r="20124" spans="26:26" x14ac:dyDescent="0.25">
      <c r="Z20124">
        <v>400000</v>
      </c>
    </row>
    <row r="20125" spans="26:26" x14ac:dyDescent="0.25">
      <c r="Z20125">
        <v>400000</v>
      </c>
    </row>
    <row r="20126" spans="26:26" x14ac:dyDescent="0.25">
      <c r="Z20126">
        <v>400000</v>
      </c>
    </row>
    <row r="20127" spans="26:26" x14ac:dyDescent="0.25">
      <c r="Z20127">
        <v>400000</v>
      </c>
    </row>
    <row r="20128" spans="26:26" x14ac:dyDescent="0.25">
      <c r="Z20128">
        <v>400000</v>
      </c>
    </row>
    <row r="20129" spans="26:26" x14ac:dyDescent="0.25">
      <c r="Z20129">
        <v>400000</v>
      </c>
    </row>
    <row r="20130" spans="26:26" x14ac:dyDescent="0.25">
      <c r="Z20130">
        <v>400000</v>
      </c>
    </row>
    <row r="20131" spans="26:26" x14ac:dyDescent="0.25">
      <c r="Z20131">
        <v>400000</v>
      </c>
    </row>
    <row r="20132" spans="26:26" x14ac:dyDescent="0.25">
      <c r="Z20132">
        <v>400000</v>
      </c>
    </row>
    <row r="20133" spans="26:26" x14ac:dyDescent="0.25">
      <c r="Z20133">
        <v>400000</v>
      </c>
    </row>
    <row r="20134" spans="26:26" x14ac:dyDescent="0.25">
      <c r="Z20134">
        <v>400000</v>
      </c>
    </row>
    <row r="20135" spans="26:26" x14ac:dyDescent="0.25">
      <c r="Z20135">
        <v>400000</v>
      </c>
    </row>
    <row r="20136" spans="26:26" x14ac:dyDescent="0.25">
      <c r="Z20136">
        <v>400000</v>
      </c>
    </row>
    <row r="20137" spans="26:26" x14ac:dyDescent="0.25">
      <c r="Z20137">
        <v>400000</v>
      </c>
    </row>
    <row r="20138" spans="26:26" x14ac:dyDescent="0.25">
      <c r="Z20138">
        <v>400000</v>
      </c>
    </row>
    <row r="20139" spans="26:26" x14ac:dyDescent="0.25">
      <c r="Z20139">
        <v>400000</v>
      </c>
    </row>
    <row r="20140" spans="26:26" x14ac:dyDescent="0.25">
      <c r="Z20140">
        <v>400000</v>
      </c>
    </row>
    <row r="20141" spans="26:26" x14ac:dyDescent="0.25">
      <c r="Z20141">
        <v>400000</v>
      </c>
    </row>
    <row r="20142" spans="26:26" x14ac:dyDescent="0.25">
      <c r="Z20142">
        <v>400000</v>
      </c>
    </row>
    <row r="20143" spans="26:26" x14ac:dyDescent="0.25">
      <c r="Z20143">
        <v>400000</v>
      </c>
    </row>
    <row r="20144" spans="26:26" x14ac:dyDescent="0.25">
      <c r="Z20144">
        <v>400000</v>
      </c>
    </row>
    <row r="20145" spans="26:26" x14ac:dyDescent="0.25">
      <c r="Z20145">
        <v>400000</v>
      </c>
    </row>
    <row r="20146" spans="26:26" x14ac:dyDescent="0.25">
      <c r="Z20146">
        <v>400000</v>
      </c>
    </row>
    <row r="20147" spans="26:26" x14ac:dyDescent="0.25">
      <c r="Z20147">
        <v>400000</v>
      </c>
    </row>
    <row r="20148" spans="26:26" x14ac:dyDescent="0.25">
      <c r="Z20148">
        <v>400000</v>
      </c>
    </row>
    <row r="20149" spans="26:26" x14ac:dyDescent="0.25">
      <c r="Z20149">
        <v>400000</v>
      </c>
    </row>
    <row r="20150" spans="26:26" x14ac:dyDescent="0.25">
      <c r="Z20150">
        <v>400000</v>
      </c>
    </row>
    <row r="20151" spans="26:26" x14ac:dyDescent="0.25">
      <c r="Z20151">
        <v>400000</v>
      </c>
    </row>
    <row r="20152" spans="26:26" x14ac:dyDescent="0.25">
      <c r="Z20152">
        <v>400000</v>
      </c>
    </row>
    <row r="20153" spans="26:26" x14ac:dyDescent="0.25">
      <c r="Z20153">
        <v>400000</v>
      </c>
    </row>
    <row r="20154" spans="26:26" x14ac:dyDescent="0.25">
      <c r="Z20154">
        <v>400000</v>
      </c>
    </row>
    <row r="20155" spans="26:26" x14ac:dyDescent="0.25">
      <c r="Z20155">
        <v>400000</v>
      </c>
    </row>
    <row r="20156" spans="26:26" x14ac:dyDescent="0.25">
      <c r="Z20156">
        <v>400000</v>
      </c>
    </row>
    <row r="20157" spans="26:26" x14ac:dyDescent="0.25">
      <c r="Z20157">
        <v>400000</v>
      </c>
    </row>
    <row r="20158" spans="26:26" x14ac:dyDescent="0.25">
      <c r="Z20158">
        <v>400000</v>
      </c>
    </row>
    <row r="20159" spans="26:26" x14ac:dyDescent="0.25">
      <c r="Z20159">
        <v>400000</v>
      </c>
    </row>
    <row r="20160" spans="26:26" x14ac:dyDescent="0.25">
      <c r="Z20160">
        <v>400000</v>
      </c>
    </row>
    <row r="20161" spans="26:26" x14ac:dyDescent="0.25">
      <c r="Z20161">
        <v>400000</v>
      </c>
    </row>
    <row r="20162" spans="26:26" x14ac:dyDescent="0.25">
      <c r="Z20162">
        <v>400000</v>
      </c>
    </row>
    <row r="20163" spans="26:26" x14ac:dyDescent="0.25">
      <c r="Z20163">
        <v>400000</v>
      </c>
    </row>
    <row r="20164" spans="26:26" x14ac:dyDescent="0.25">
      <c r="Z20164">
        <v>400000</v>
      </c>
    </row>
    <row r="20165" spans="26:26" x14ac:dyDescent="0.25">
      <c r="Z20165">
        <v>400000</v>
      </c>
    </row>
    <row r="20166" spans="26:26" x14ac:dyDescent="0.25">
      <c r="Z20166">
        <v>400000</v>
      </c>
    </row>
    <row r="20167" spans="26:26" x14ac:dyDescent="0.25">
      <c r="Z20167">
        <v>400000</v>
      </c>
    </row>
    <row r="20168" spans="26:26" x14ac:dyDescent="0.25">
      <c r="Z20168">
        <v>400000</v>
      </c>
    </row>
    <row r="20169" spans="26:26" x14ac:dyDescent="0.25">
      <c r="Z20169">
        <v>400000</v>
      </c>
    </row>
    <row r="20170" spans="26:26" x14ac:dyDescent="0.25">
      <c r="Z20170">
        <v>400000</v>
      </c>
    </row>
    <row r="20171" spans="26:26" x14ac:dyDescent="0.25">
      <c r="Z20171">
        <v>400000</v>
      </c>
    </row>
    <row r="20172" spans="26:26" x14ac:dyDescent="0.25">
      <c r="Z20172">
        <v>400000</v>
      </c>
    </row>
    <row r="20173" spans="26:26" x14ac:dyDescent="0.25">
      <c r="Z20173">
        <v>400000</v>
      </c>
    </row>
    <row r="20174" spans="26:26" x14ac:dyDescent="0.25">
      <c r="Z20174">
        <v>400000</v>
      </c>
    </row>
    <row r="20175" spans="26:26" x14ac:dyDescent="0.25">
      <c r="Z20175">
        <v>400000</v>
      </c>
    </row>
    <row r="20176" spans="26:26" x14ac:dyDescent="0.25">
      <c r="Z20176">
        <v>400000</v>
      </c>
    </row>
    <row r="20177" spans="26:26" x14ac:dyDescent="0.25">
      <c r="Z20177">
        <v>400000</v>
      </c>
    </row>
    <row r="20178" spans="26:26" x14ac:dyDescent="0.25">
      <c r="Z20178">
        <v>400000</v>
      </c>
    </row>
    <row r="20179" spans="26:26" x14ac:dyDescent="0.25">
      <c r="Z20179">
        <v>400000</v>
      </c>
    </row>
    <row r="20180" spans="26:26" x14ac:dyDescent="0.25">
      <c r="Z20180">
        <v>400000</v>
      </c>
    </row>
    <row r="20181" spans="26:26" x14ac:dyDescent="0.25">
      <c r="Z20181">
        <v>400000</v>
      </c>
    </row>
    <row r="20182" spans="26:26" x14ac:dyDescent="0.25">
      <c r="Z20182">
        <v>400000</v>
      </c>
    </row>
    <row r="20183" spans="26:26" x14ac:dyDescent="0.25">
      <c r="Z20183">
        <v>400000</v>
      </c>
    </row>
    <row r="20184" spans="26:26" x14ac:dyDescent="0.25">
      <c r="Z20184">
        <v>400000</v>
      </c>
    </row>
    <row r="20185" spans="26:26" x14ac:dyDescent="0.25">
      <c r="Z20185">
        <v>400000</v>
      </c>
    </row>
    <row r="20186" spans="26:26" x14ac:dyDescent="0.25">
      <c r="Z20186">
        <v>400000</v>
      </c>
    </row>
    <row r="20187" spans="26:26" x14ac:dyDescent="0.25">
      <c r="Z20187">
        <v>400000</v>
      </c>
    </row>
    <row r="20188" spans="26:26" x14ac:dyDescent="0.25">
      <c r="Z20188">
        <v>400000</v>
      </c>
    </row>
    <row r="20189" spans="26:26" x14ac:dyDescent="0.25">
      <c r="Z20189">
        <v>400000</v>
      </c>
    </row>
    <row r="20190" spans="26:26" x14ac:dyDescent="0.25">
      <c r="Z20190">
        <v>400000</v>
      </c>
    </row>
    <row r="20191" spans="26:26" x14ac:dyDescent="0.25">
      <c r="Z20191">
        <v>400000</v>
      </c>
    </row>
    <row r="20192" spans="26:26" x14ac:dyDescent="0.25">
      <c r="Z20192">
        <v>400000</v>
      </c>
    </row>
    <row r="20193" spans="26:26" x14ac:dyDescent="0.25">
      <c r="Z20193">
        <v>400000</v>
      </c>
    </row>
    <row r="20194" spans="26:26" x14ac:dyDescent="0.25">
      <c r="Z20194">
        <v>400000</v>
      </c>
    </row>
    <row r="20195" spans="26:26" x14ac:dyDescent="0.25">
      <c r="Z20195">
        <v>400000</v>
      </c>
    </row>
    <row r="20196" spans="26:26" x14ac:dyDescent="0.25">
      <c r="Z20196">
        <v>400000</v>
      </c>
    </row>
    <row r="20197" spans="26:26" x14ac:dyDescent="0.25">
      <c r="Z20197">
        <v>400000</v>
      </c>
    </row>
    <row r="20198" spans="26:26" x14ac:dyDescent="0.25">
      <c r="Z20198">
        <v>400000</v>
      </c>
    </row>
    <row r="20199" spans="26:26" x14ac:dyDescent="0.25">
      <c r="Z20199">
        <v>400000</v>
      </c>
    </row>
    <row r="20200" spans="26:26" x14ac:dyDescent="0.25">
      <c r="Z20200">
        <v>400000</v>
      </c>
    </row>
    <row r="20201" spans="26:26" x14ac:dyDescent="0.25">
      <c r="Z20201">
        <v>400000</v>
      </c>
    </row>
    <row r="20202" spans="26:26" x14ac:dyDescent="0.25">
      <c r="Z20202">
        <v>400000</v>
      </c>
    </row>
    <row r="20203" spans="26:26" x14ac:dyDescent="0.25">
      <c r="Z20203">
        <v>400000</v>
      </c>
    </row>
    <row r="20204" spans="26:26" x14ac:dyDescent="0.25">
      <c r="Z20204">
        <v>400000</v>
      </c>
    </row>
    <row r="20205" spans="26:26" x14ac:dyDescent="0.25">
      <c r="Z20205">
        <v>400000</v>
      </c>
    </row>
    <row r="20206" spans="26:26" x14ac:dyDescent="0.25">
      <c r="Z20206">
        <v>400000</v>
      </c>
    </row>
    <row r="20207" spans="26:26" x14ac:dyDescent="0.25">
      <c r="Z20207">
        <v>400000</v>
      </c>
    </row>
    <row r="20208" spans="26:26" x14ac:dyDescent="0.25">
      <c r="Z20208">
        <v>400000</v>
      </c>
    </row>
    <row r="20209" spans="26:26" x14ac:dyDescent="0.25">
      <c r="Z20209">
        <v>400000</v>
      </c>
    </row>
    <row r="20210" spans="26:26" x14ac:dyDescent="0.25">
      <c r="Z20210">
        <v>400000</v>
      </c>
    </row>
    <row r="20211" spans="26:26" x14ac:dyDescent="0.25">
      <c r="Z20211">
        <v>400000</v>
      </c>
    </row>
    <row r="20212" spans="26:26" x14ac:dyDescent="0.25">
      <c r="Z20212">
        <v>400000</v>
      </c>
    </row>
    <row r="20213" spans="26:26" x14ac:dyDescent="0.25">
      <c r="Z20213">
        <v>400000</v>
      </c>
    </row>
    <row r="20214" spans="26:26" x14ac:dyDescent="0.25">
      <c r="Z20214">
        <v>400000</v>
      </c>
    </row>
    <row r="20215" spans="26:26" x14ac:dyDescent="0.25">
      <c r="Z20215">
        <v>400000</v>
      </c>
    </row>
    <row r="20216" spans="26:26" x14ac:dyDescent="0.25">
      <c r="Z20216">
        <v>400000</v>
      </c>
    </row>
    <row r="20217" spans="26:26" x14ac:dyDescent="0.25">
      <c r="Z20217">
        <v>400000</v>
      </c>
    </row>
    <row r="20218" spans="26:26" x14ac:dyDescent="0.25">
      <c r="Z20218">
        <v>400000</v>
      </c>
    </row>
    <row r="20219" spans="26:26" x14ac:dyDescent="0.25">
      <c r="Z20219">
        <v>400000</v>
      </c>
    </row>
    <row r="20220" spans="26:26" x14ac:dyDescent="0.25">
      <c r="Z20220">
        <v>400000</v>
      </c>
    </row>
    <row r="20221" spans="26:26" x14ac:dyDescent="0.25">
      <c r="Z20221">
        <v>400000</v>
      </c>
    </row>
    <row r="20222" spans="26:26" x14ac:dyDescent="0.25">
      <c r="Z20222">
        <v>400000</v>
      </c>
    </row>
    <row r="20223" spans="26:26" x14ac:dyDescent="0.25">
      <c r="Z20223">
        <v>400000</v>
      </c>
    </row>
    <row r="20224" spans="26:26" x14ac:dyDescent="0.25">
      <c r="Z20224">
        <v>400000</v>
      </c>
    </row>
    <row r="20225" spans="26:26" x14ac:dyDescent="0.25">
      <c r="Z20225">
        <v>400000</v>
      </c>
    </row>
    <row r="20226" spans="26:26" x14ac:dyDescent="0.25">
      <c r="Z20226">
        <v>400000</v>
      </c>
    </row>
    <row r="20227" spans="26:26" x14ac:dyDescent="0.25">
      <c r="Z20227">
        <v>400000</v>
      </c>
    </row>
    <row r="20228" spans="26:26" x14ac:dyDescent="0.25">
      <c r="Z20228">
        <v>400000</v>
      </c>
    </row>
    <row r="20229" spans="26:26" x14ac:dyDescent="0.25">
      <c r="Z20229">
        <v>400000</v>
      </c>
    </row>
    <row r="20230" spans="26:26" x14ac:dyDescent="0.25">
      <c r="Z20230">
        <v>400000</v>
      </c>
    </row>
    <row r="20231" spans="26:26" x14ac:dyDescent="0.25">
      <c r="Z20231">
        <v>400000</v>
      </c>
    </row>
    <row r="20232" spans="26:26" x14ac:dyDescent="0.25">
      <c r="Z20232">
        <v>400000</v>
      </c>
    </row>
    <row r="20233" spans="26:26" x14ac:dyDescent="0.25">
      <c r="Z20233">
        <v>400000</v>
      </c>
    </row>
    <row r="20234" spans="26:26" x14ac:dyDescent="0.25">
      <c r="Z20234">
        <v>400000</v>
      </c>
    </row>
    <row r="20235" spans="26:26" x14ac:dyDescent="0.25">
      <c r="Z20235">
        <v>400000</v>
      </c>
    </row>
    <row r="20236" spans="26:26" x14ac:dyDescent="0.25">
      <c r="Z20236">
        <v>400000</v>
      </c>
    </row>
    <row r="20237" spans="26:26" x14ac:dyDescent="0.25">
      <c r="Z20237">
        <v>400000</v>
      </c>
    </row>
    <row r="20238" spans="26:26" x14ac:dyDescent="0.25">
      <c r="Z20238">
        <v>400000</v>
      </c>
    </row>
    <row r="20239" spans="26:26" x14ac:dyDescent="0.25">
      <c r="Z20239">
        <v>400000</v>
      </c>
    </row>
    <row r="20240" spans="26:26" x14ac:dyDescent="0.25">
      <c r="Z20240">
        <v>400000</v>
      </c>
    </row>
    <row r="20241" spans="26:26" x14ac:dyDescent="0.25">
      <c r="Z20241">
        <v>400000</v>
      </c>
    </row>
    <row r="20242" spans="26:26" x14ac:dyDescent="0.25">
      <c r="Z20242">
        <v>400000</v>
      </c>
    </row>
    <row r="20243" spans="26:26" x14ac:dyDescent="0.25">
      <c r="Z20243">
        <v>400000</v>
      </c>
    </row>
    <row r="20244" spans="26:26" x14ac:dyDescent="0.25">
      <c r="Z20244">
        <v>400000</v>
      </c>
    </row>
    <row r="20245" spans="26:26" x14ac:dyDescent="0.25">
      <c r="Z20245">
        <v>400000</v>
      </c>
    </row>
    <row r="20246" spans="26:26" x14ac:dyDescent="0.25">
      <c r="Z20246">
        <v>400000</v>
      </c>
    </row>
    <row r="20247" spans="26:26" x14ac:dyDescent="0.25">
      <c r="Z20247">
        <v>400000</v>
      </c>
    </row>
    <row r="20248" spans="26:26" x14ac:dyDescent="0.25">
      <c r="Z20248">
        <v>400000</v>
      </c>
    </row>
    <row r="20249" spans="26:26" x14ac:dyDescent="0.25">
      <c r="Z20249">
        <v>400000</v>
      </c>
    </row>
    <row r="20250" spans="26:26" x14ac:dyDescent="0.25">
      <c r="Z20250">
        <v>400000</v>
      </c>
    </row>
    <row r="20251" spans="26:26" x14ac:dyDescent="0.25">
      <c r="Z20251">
        <v>400000</v>
      </c>
    </row>
    <row r="20252" spans="26:26" x14ac:dyDescent="0.25">
      <c r="Z20252">
        <v>400000</v>
      </c>
    </row>
    <row r="20253" spans="26:26" x14ac:dyDescent="0.25">
      <c r="Z20253">
        <v>400000</v>
      </c>
    </row>
    <row r="20254" spans="26:26" x14ac:dyDescent="0.25">
      <c r="Z20254">
        <v>400000</v>
      </c>
    </row>
    <row r="20255" spans="26:26" x14ac:dyDescent="0.25">
      <c r="Z20255">
        <v>400000</v>
      </c>
    </row>
    <row r="20256" spans="26:26" x14ac:dyDescent="0.25">
      <c r="Z20256">
        <v>400000</v>
      </c>
    </row>
    <row r="20257" spans="26:26" x14ac:dyDescent="0.25">
      <c r="Z20257">
        <v>400000</v>
      </c>
    </row>
    <row r="20258" spans="26:26" x14ac:dyDescent="0.25">
      <c r="Z20258">
        <v>400000</v>
      </c>
    </row>
    <row r="20259" spans="26:26" x14ac:dyDescent="0.25">
      <c r="Z20259">
        <v>400000</v>
      </c>
    </row>
    <row r="20260" spans="26:26" x14ac:dyDescent="0.25">
      <c r="Z20260">
        <v>400000</v>
      </c>
    </row>
    <row r="20261" spans="26:26" x14ac:dyDescent="0.25">
      <c r="Z20261">
        <v>400000</v>
      </c>
    </row>
    <row r="20262" spans="26:26" x14ac:dyDescent="0.25">
      <c r="Z20262">
        <v>400000</v>
      </c>
    </row>
    <row r="20263" spans="26:26" x14ac:dyDescent="0.25">
      <c r="Z20263">
        <v>400000</v>
      </c>
    </row>
    <row r="20264" spans="26:26" x14ac:dyDescent="0.25">
      <c r="Z20264">
        <v>400000</v>
      </c>
    </row>
    <row r="20265" spans="26:26" x14ac:dyDescent="0.25">
      <c r="Z20265">
        <v>400000</v>
      </c>
    </row>
    <row r="20266" spans="26:26" x14ac:dyDescent="0.25">
      <c r="Z20266">
        <v>400000</v>
      </c>
    </row>
    <row r="20267" spans="26:26" x14ac:dyDescent="0.25">
      <c r="Z20267">
        <v>400000</v>
      </c>
    </row>
    <row r="20268" spans="26:26" x14ac:dyDescent="0.25">
      <c r="Z20268">
        <v>400000</v>
      </c>
    </row>
    <row r="20269" spans="26:26" x14ac:dyDescent="0.25">
      <c r="Z20269">
        <v>400000</v>
      </c>
    </row>
    <row r="20270" spans="26:26" x14ac:dyDescent="0.25">
      <c r="Z20270">
        <v>400000</v>
      </c>
    </row>
    <row r="20271" spans="26:26" x14ac:dyDescent="0.25">
      <c r="Z20271">
        <v>400000</v>
      </c>
    </row>
    <row r="20272" spans="26:26" x14ac:dyDescent="0.25">
      <c r="Z20272">
        <v>400000</v>
      </c>
    </row>
    <row r="20273" spans="26:26" x14ac:dyDescent="0.25">
      <c r="Z20273">
        <v>400000</v>
      </c>
    </row>
    <row r="20274" spans="26:26" x14ac:dyDescent="0.25">
      <c r="Z20274">
        <v>400000</v>
      </c>
    </row>
    <row r="20275" spans="26:26" x14ac:dyDescent="0.25">
      <c r="Z20275">
        <v>400000</v>
      </c>
    </row>
    <row r="20276" spans="26:26" x14ac:dyDescent="0.25">
      <c r="Z20276">
        <v>400000</v>
      </c>
    </row>
    <row r="20277" spans="26:26" x14ac:dyDescent="0.25">
      <c r="Z20277">
        <v>400000</v>
      </c>
    </row>
    <row r="20278" spans="26:26" x14ac:dyDescent="0.25">
      <c r="Z20278">
        <v>400000</v>
      </c>
    </row>
    <row r="20279" spans="26:26" x14ac:dyDescent="0.25">
      <c r="Z20279">
        <v>400000</v>
      </c>
    </row>
    <row r="20280" spans="26:26" x14ac:dyDescent="0.25">
      <c r="Z20280">
        <v>400000</v>
      </c>
    </row>
    <row r="20281" spans="26:26" x14ac:dyDescent="0.25">
      <c r="Z20281">
        <v>400000</v>
      </c>
    </row>
    <row r="20282" spans="26:26" x14ac:dyDescent="0.25">
      <c r="Z20282">
        <v>400000</v>
      </c>
    </row>
    <row r="20283" spans="26:26" x14ac:dyDescent="0.25">
      <c r="Z20283">
        <v>400000</v>
      </c>
    </row>
    <row r="20284" spans="26:26" x14ac:dyDescent="0.25">
      <c r="Z20284">
        <v>400000</v>
      </c>
    </row>
    <row r="20285" spans="26:26" x14ac:dyDescent="0.25">
      <c r="Z20285">
        <v>400000</v>
      </c>
    </row>
    <row r="20286" spans="26:26" x14ac:dyDescent="0.25">
      <c r="Z20286">
        <v>400000</v>
      </c>
    </row>
    <row r="20287" spans="26:26" x14ac:dyDescent="0.25">
      <c r="Z20287">
        <v>400000</v>
      </c>
    </row>
    <row r="20288" spans="26:26" x14ac:dyDescent="0.25">
      <c r="Z20288">
        <v>400000</v>
      </c>
    </row>
    <row r="20289" spans="26:26" x14ac:dyDescent="0.25">
      <c r="Z20289">
        <v>400000</v>
      </c>
    </row>
    <row r="20290" spans="26:26" x14ac:dyDescent="0.25">
      <c r="Z20290">
        <v>400000</v>
      </c>
    </row>
    <row r="20291" spans="26:26" x14ac:dyDescent="0.25">
      <c r="Z20291">
        <v>400000</v>
      </c>
    </row>
    <row r="20292" spans="26:26" x14ac:dyDescent="0.25">
      <c r="Z20292">
        <v>400000</v>
      </c>
    </row>
    <row r="20293" spans="26:26" x14ac:dyDescent="0.25">
      <c r="Z20293">
        <v>400000</v>
      </c>
    </row>
    <row r="20294" spans="26:26" x14ac:dyDescent="0.25">
      <c r="Z20294">
        <v>400000</v>
      </c>
    </row>
    <row r="20295" spans="26:26" x14ac:dyDescent="0.25">
      <c r="Z20295">
        <v>400000</v>
      </c>
    </row>
    <row r="20296" spans="26:26" x14ac:dyDescent="0.25">
      <c r="Z20296">
        <v>400000</v>
      </c>
    </row>
    <row r="20297" spans="26:26" x14ac:dyDescent="0.25">
      <c r="Z20297">
        <v>400000</v>
      </c>
    </row>
    <row r="20298" spans="26:26" x14ac:dyDescent="0.25">
      <c r="Z20298">
        <v>400000</v>
      </c>
    </row>
    <row r="20299" spans="26:26" x14ac:dyDescent="0.25">
      <c r="Z20299">
        <v>400000</v>
      </c>
    </row>
    <row r="20300" spans="26:26" x14ac:dyDescent="0.25">
      <c r="Z20300">
        <v>400000</v>
      </c>
    </row>
    <row r="20301" spans="26:26" x14ac:dyDescent="0.25">
      <c r="Z20301">
        <v>400000</v>
      </c>
    </row>
    <row r="20302" spans="26:26" x14ac:dyDescent="0.25">
      <c r="Z20302">
        <v>400000</v>
      </c>
    </row>
    <row r="20303" spans="26:26" x14ac:dyDescent="0.25">
      <c r="Z20303">
        <v>400000</v>
      </c>
    </row>
    <row r="20304" spans="26:26" x14ac:dyDescent="0.25">
      <c r="Z20304">
        <v>400000</v>
      </c>
    </row>
    <row r="20305" spans="26:26" x14ac:dyDescent="0.25">
      <c r="Z20305">
        <v>400000</v>
      </c>
    </row>
    <row r="20306" spans="26:26" x14ac:dyDescent="0.25">
      <c r="Z20306">
        <v>400000</v>
      </c>
    </row>
    <row r="20307" spans="26:26" x14ac:dyDescent="0.25">
      <c r="Z20307">
        <v>400000</v>
      </c>
    </row>
    <row r="20308" spans="26:26" x14ac:dyDescent="0.25">
      <c r="Z20308">
        <v>400000</v>
      </c>
    </row>
    <row r="20309" spans="26:26" x14ac:dyDescent="0.25">
      <c r="Z20309">
        <v>400000</v>
      </c>
    </row>
    <row r="20310" spans="26:26" x14ac:dyDescent="0.25">
      <c r="Z20310">
        <v>400000</v>
      </c>
    </row>
    <row r="20311" spans="26:26" x14ac:dyDescent="0.25">
      <c r="Z20311">
        <v>400000</v>
      </c>
    </row>
    <row r="20312" spans="26:26" x14ac:dyDescent="0.25">
      <c r="Z20312">
        <v>400000</v>
      </c>
    </row>
    <row r="20313" spans="26:26" x14ac:dyDescent="0.25">
      <c r="Z20313">
        <v>400000</v>
      </c>
    </row>
    <row r="20314" spans="26:26" x14ac:dyDescent="0.25">
      <c r="Z20314">
        <v>400000</v>
      </c>
    </row>
    <row r="20315" spans="26:26" x14ac:dyDescent="0.25">
      <c r="Z20315">
        <v>400000</v>
      </c>
    </row>
    <row r="20316" spans="26:26" x14ac:dyDescent="0.25">
      <c r="Z20316">
        <v>400000</v>
      </c>
    </row>
    <row r="20317" spans="26:26" x14ac:dyDescent="0.25">
      <c r="Z20317">
        <v>400000</v>
      </c>
    </row>
    <row r="20318" spans="26:26" x14ac:dyDescent="0.25">
      <c r="Z20318">
        <v>400000</v>
      </c>
    </row>
    <row r="20319" spans="26:26" x14ac:dyDescent="0.25">
      <c r="Z20319">
        <v>400000</v>
      </c>
    </row>
    <row r="20320" spans="26:26" x14ac:dyDescent="0.25">
      <c r="Z20320">
        <v>400000</v>
      </c>
    </row>
    <row r="20321" spans="26:26" x14ac:dyDescent="0.25">
      <c r="Z20321">
        <v>400000</v>
      </c>
    </row>
    <row r="20322" spans="26:26" x14ac:dyDescent="0.25">
      <c r="Z20322">
        <v>400000</v>
      </c>
    </row>
    <row r="20323" spans="26:26" x14ac:dyDescent="0.25">
      <c r="Z20323">
        <v>400000</v>
      </c>
    </row>
    <row r="20324" spans="26:26" x14ac:dyDescent="0.25">
      <c r="Z20324">
        <v>400000</v>
      </c>
    </row>
    <row r="20325" spans="26:26" x14ac:dyDescent="0.25">
      <c r="Z20325">
        <v>400000</v>
      </c>
    </row>
    <row r="20326" spans="26:26" x14ac:dyDescent="0.25">
      <c r="Z20326">
        <v>400000</v>
      </c>
    </row>
    <row r="20327" spans="26:26" x14ac:dyDescent="0.25">
      <c r="Z20327">
        <v>400000</v>
      </c>
    </row>
    <row r="20328" spans="26:26" x14ac:dyDescent="0.25">
      <c r="Z20328">
        <v>400000</v>
      </c>
    </row>
    <row r="20329" spans="26:26" x14ac:dyDescent="0.25">
      <c r="Z20329">
        <v>400000</v>
      </c>
    </row>
    <row r="20330" spans="26:26" x14ac:dyDescent="0.25">
      <c r="Z20330">
        <v>400000</v>
      </c>
    </row>
    <row r="20331" spans="26:26" x14ac:dyDescent="0.25">
      <c r="Z20331">
        <v>400000</v>
      </c>
    </row>
    <row r="20332" spans="26:26" x14ac:dyDescent="0.25">
      <c r="Z20332">
        <v>400000</v>
      </c>
    </row>
    <row r="20333" spans="26:26" x14ac:dyDescent="0.25">
      <c r="Z20333">
        <v>400000</v>
      </c>
    </row>
    <row r="20334" spans="26:26" x14ac:dyDescent="0.25">
      <c r="Z20334">
        <v>400000</v>
      </c>
    </row>
    <row r="20335" spans="26:26" x14ac:dyDescent="0.25">
      <c r="Z20335">
        <v>400000</v>
      </c>
    </row>
    <row r="20336" spans="26:26" x14ac:dyDescent="0.25">
      <c r="Z20336">
        <v>400000</v>
      </c>
    </row>
    <row r="20337" spans="26:26" x14ac:dyDescent="0.25">
      <c r="Z20337">
        <v>400000</v>
      </c>
    </row>
    <row r="20338" spans="26:26" x14ac:dyDescent="0.25">
      <c r="Z20338">
        <v>400000</v>
      </c>
    </row>
    <row r="20339" spans="26:26" x14ac:dyDescent="0.25">
      <c r="Z20339">
        <v>400000</v>
      </c>
    </row>
    <row r="20340" spans="26:26" x14ac:dyDescent="0.25">
      <c r="Z20340">
        <v>400000</v>
      </c>
    </row>
    <row r="20341" spans="26:26" x14ac:dyDescent="0.25">
      <c r="Z20341">
        <v>400000</v>
      </c>
    </row>
    <row r="20342" spans="26:26" x14ac:dyDescent="0.25">
      <c r="Z20342">
        <v>400000</v>
      </c>
    </row>
    <row r="20343" spans="26:26" x14ac:dyDescent="0.25">
      <c r="Z20343">
        <v>400000</v>
      </c>
    </row>
    <row r="20344" spans="26:26" x14ac:dyDescent="0.25">
      <c r="Z20344">
        <v>400000</v>
      </c>
    </row>
    <row r="20345" spans="26:26" x14ac:dyDescent="0.25">
      <c r="Z20345">
        <v>400000</v>
      </c>
    </row>
    <row r="20346" spans="26:26" x14ac:dyDescent="0.25">
      <c r="Z20346">
        <v>400000</v>
      </c>
    </row>
    <row r="20347" spans="26:26" x14ac:dyDescent="0.25">
      <c r="Z20347">
        <v>400000</v>
      </c>
    </row>
    <row r="20348" spans="26:26" x14ac:dyDescent="0.25">
      <c r="Z20348">
        <v>400000</v>
      </c>
    </row>
    <row r="20349" spans="26:26" x14ac:dyDescent="0.25">
      <c r="Z20349">
        <v>400000</v>
      </c>
    </row>
    <row r="20350" spans="26:26" x14ac:dyDescent="0.25">
      <c r="Z20350">
        <v>400000</v>
      </c>
    </row>
    <row r="20351" spans="26:26" x14ac:dyDescent="0.25">
      <c r="Z20351">
        <v>400000</v>
      </c>
    </row>
    <row r="20352" spans="26:26" x14ac:dyDescent="0.25">
      <c r="Z20352">
        <v>400000</v>
      </c>
    </row>
    <row r="20353" spans="26:26" x14ac:dyDescent="0.25">
      <c r="Z20353">
        <v>400000</v>
      </c>
    </row>
    <row r="20354" spans="26:26" x14ac:dyDescent="0.25">
      <c r="Z20354">
        <v>400000</v>
      </c>
    </row>
    <row r="20355" spans="26:26" x14ac:dyDescent="0.25">
      <c r="Z20355">
        <v>400000</v>
      </c>
    </row>
    <row r="20356" spans="26:26" x14ac:dyDescent="0.25">
      <c r="Z20356">
        <v>400000</v>
      </c>
    </row>
    <row r="20357" spans="26:26" x14ac:dyDescent="0.25">
      <c r="Z20357">
        <v>400000</v>
      </c>
    </row>
    <row r="20358" spans="26:26" x14ac:dyDescent="0.25">
      <c r="Z20358">
        <v>400000</v>
      </c>
    </row>
    <row r="20359" spans="26:26" x14ac:dyDescent="0.25">
      <c r="Z20359">
        <v>400000</v>
      </c>
    </row>
    <row r="20360" spans="26:26" x14ac:dyDescent="0.25">
      <c r="Z20360">
        <v>400000</v>
      </c>
    </row>
    <row r="20361" spans="26:26" x14ac:dyDescent="0.25">
      <c r="Z20361">
        <v>400000</v>
      </c>
    </row>
    <row r="20362" spans="26:26" x14ac:dyDescent="0.25">
      <c r="Z20362">
        <v>400000</v>
      </c>
    </row>
    <row r="20363" spans="26:26" x14ac:dyDescent="0.25">
      <c r="Z20363">
        <v>400000</v>
      </c>
    </row>
    <row r="20364" spans="26:26" x14ac:dyDescent="0.25">
      <c r="Z20364">
        <v>400000</v>
      </c>
    </row>
    <row r="20365" spans="26:26" x14ac:dyDescent="0.25">
      <c r="Z20365">
        <v>400000</v>
      </c>
    </row>
    <row r="20366" spans="26:26" x14ac:dyDescent="0.25">
      <c r="Z20366">
        <v>400000</v>
      </c>
    </row>
    <row r="20367" spans="26:26" x14ac:dyDescent="0.25">
      <c r="Z20367">
        <v>400000</v>
      </c>
    </row>
    <row r="20368" spans="26:26" x14ac:dyDescent="0.25">
      <c r="Z20368">
        <v>400000</v>
      </c>
    </row>
    <row r="20369" spans="26:26" x14ac:dyDescent="0.25">
      <c r="Z20369">
        <v>400000</v>
      </c>
    </row>
    <row r="20370" spans="26:26" x14ac:dyDescent="0.25">
      <c r="Z20370">
        <v>400000</v>
      </c>
    </row>
    <row r="20371" spans="26:26" x14ac:dyDescent="0.25">
      <c r="Z20371">
        <v>400000</v>
      </c>
    </row>
    <row r="20372" spans="26:26" x14ac:dyDescent="0.25">
      <c r="Z20372">
        <v>400000</v>
      </c>
    </row>
    <row r="20373" spans="26:26" x14ac:dyDescent="0.25">
      <c r="Z20373">
        <v>400000</v>
      </c>
    </row>
    <row r="20374" spans="26:26" x14ac:dyDescent="0.25">
      <c r="Z20374">
        <v>400000</v>
      </c>
    </row>
    <row r="20375" spans="26:26" x14ac:dyDescent="0.25">
      <c r="Z20375">
        <v>400000</v>
      </c>
    </row>
    <row r="20376" spans="26:26" x14ac:dyDescent="0.25">
      <c r="Z20376">
        <v>400000</v>
      </c>
    </row>
    <row r="20377" spans="26:26" x14ac:dyDescent="0.25">
      <c r="Z20377">
        <v>400000</v>
      </c>
    </row>
    <row r="20378" spans="26:26" x14ac:dyDescent="0.25">
      <c r="Z20378">
        <v>400000</v>
      </c>
    </row>
    <row r="20379" spans="26:26" x14ac:dyDescent="0.25">
      <c r="Z20379">
        <v>400000</v>
      </c>
    </row>
    <row r="20380" spans="26:26" x14ac:dyDescent="0.25">
      <c r="Z20380">
        <v>400000</v>
      </c>
    </row>
    <row r="20381" spans="26:26" x14ac:dyDescent="0.25">
      <c r="Z20381">
        <v>400000</v>
      </c>
    </row>
    <row r="20382" spans="26:26" x14ac:dyDescent="0.25">
      <c r="Z20382">
        <v>400000</v>
      </c>
    </row>
    <row r="20383" spans="26:26" x14ac:dyDescent="0.25">
      <c r="Z20383">
        <v>400000</v>
      </c>
    </row>
    <row r="20384" spans="26:26" x14ac:dyDescent="0.25">
      <c r="Z20384">
        <v>400000</v>
      </c>
    </row>
    <row r="20385" spans="26:26" x14ac:dyDescent="0.25">
      <c r="Z20385">
        <v>400000</v>
      </c>
    </row>
    <row r="20386" spans="26:26" x14ac:dyDescent="0.25">
      <c r="Z20386">
        <v>400000</v>
      </c>
    </row>
    <row r="20387" spans="26:26" x14ac:dyDescent="0.25">
      <c r="Z20387">
        <v>400000</v>
      </c>
    </row>
    <row r="20388" spans="26:26" x14ac:dyDescent="0.25">
      <c r="Z20388">
        <v>400000</v>
      </c>
    </row>
    <row r="20389" spans="26:26" x14ac:dyDescent="0.25">
      <c r="Z20389">
        <v>400000</v>
      </c>
    </row>
    <row r="20390" spans="26:26" x14ac:dyDescent="0.25">
      <c r="Z20390">
        <v>400000</v>
      </c>
    </row>
    <row r="20391" spans="26:26" x14ac:dyDescent="0.25">
      <c r="Z20391">
        <v>400000</v>
      </c>
    </row>
    <row r="20392" spans="26:26" x14ac:dyDescent="0.25">
      <c r="Z20392">
        <v>400000</v>
      </c>
    </row>
    <row r="20393" spans="26:26" x14ac:dyDescent="0.25">
      <c r="Z20393">
        <v>400000</v>
      </c>
    </row>
    <row r="20394" spans="26:26" x14ac:dyDescent="0.25">
      <c r="Z20394">
        <v>400000</v>
      </c>
    </row>
    <row r="20395" spans="26:26" x14ac:dyDescent="0.25">
      <c r="Z20395">
        <v>400000</v>
      </c>
    </row>
    <row r="20396" spans="26:26" x14ac:dyDescent="0.25">
      <c r="Z20396">
        <v>400000</v>
      </c>
    </row>
    <row r="20397" spans="26:26" x14ac:dyDescent="0.25">
      <c r="Z20397">
        <v>400000</v>
      </c>
    </row>
    <row r="20398" spans="26:26" x14ac:dyDescent="0.25">
      <c r="Z20398">
        <v>400000</v>
      </c>
    </row>
    <row r="20399" spans="26:26" x14ac:dyDescent="0.25">
      <c r="Z20399">
        <v>400000</v>
      </c>
    </row>
    <row r="20400" spans="26:26" x14ac:dyDescent="0.25">
      <c r="Z20400">
        <v>400000</v>
      </c>
    </row>
    <row r="20401" spans="26:26" x14ac:dyDescent="0.25">
      <c r="Z20401">
        <v>400000</v>
      </c>
    </row>
    <row r="20402" spans="26:26" x14ac:dyDescent="0.25">
      <c r="Z20402">
        <v>400000</v>
      </c>
    </row>
    <row r="20403" spans="26:26" x14ac:dyDescent="0.25">
      <c r="Z20403">
        <v>400000</v>
      </c>
    </row>
    <row r="20404" spans="26:26" x14ac:dyDescent="0.25">
      <c r="Z20404">
        <v>400000</v>
      </c>
    </row>
    <row r="20405" spans="26:26" x14ac:dyDescent="0.25">
      <c r="Z20405">
        <v>400000</v>
      </c>
    </row>
    <row r="20406" spans="26:26" x14ac:dyDescent="0.25">
      <c r="Z20406">
        <v>400000</v>
      </c>
    </row>
    <row r="20407" spans="26:26" x14ac:dyDescent="0.25">
      <c r="Z20407">
        <v>400000</v>
      </c>
    </row>
    <row r="20408" spans="26:26" x14ac:dyDescent="0.25">
      <c r="Z20408">
        <v>400000</v>
      </c>
    </row>
    <row r="20409" spans="26:26" x14ac:dyDescent="0.25">
      <c r="Z20409">
        <v>400000</v>
      </c>
    </row>
    <row r="20410" spans="26:26" x14ac:dyDescent="0.25">
      <c r="Z20410">
        <v>400000</v>
      </c>
    </row>
    <row r="20411" spans="26:26" x14ac:dyDescent="0.25">
      <c r="Z20411">
        <v>400000</v>
      </c>
    </row>
    <row r="20412" spans="26:26" x14ac:dyDescent="0.25">
      <c r="Z20412">
        <v>400000</v>
      </c>
    </row>
    <row r="20413" spans="26:26" x14ac:dyDescent="0.25">
      <c r="Z20413">
        <v>400000</v>
      </c>
    </row>
    <row r="20414" spans="26:26" x14ac:dyDescent="0.25">
      <c r="Z20414">
        <v>400000</v>
      </c>
    </row>
    <row r="20415" spans="26:26" x14ac:dyDescent="0.25">
      <c r="Z20415">
        <v>400000</v>
      </c>
    </row>
    <row r="20416" spans="26:26" x14ac:dyDescent="0.25">
      <c r="Z20416">
        <v>400000</v>
      </c>
    </row>
    <row r="20417" spans="26:26" x14ac:dyDescent="0.25">
      <c r="Z20417">
        <v>400000</v>
      </c>
    </row>
    <row r="20418" spans="26:26" x14ac:dyDescent="0.25">
      <c r="Z20418">
        <v>400000</v>
      </c>
    </row>
    <row r="20419" spans="26:26" x14ac:dyDescent="0.25">
      <c r="Z20419">
        <v>400000</v>
      </c>
    </row>
    <row r="20420" spans="26:26" x14ac:dyDescent="0.25">
      <c r="Z20420">
        <v>400000</v>
      </c>
    </row>
    <row r="20421" spans="26:26" x14ac:dyDescent="0.25">
      <c r="Z20421">
        <v>400000</v>
      </c>
    </row>
    <row r="20422" spans="26:26" x14ac:dyDescent="0.25">
      <c r="Z20422">
        <v>400000</v>
      </c>
    </row>
    <row r="20423" spans="26:26" x14ac:dyDescent="0.25">
      <c r="Z20423">
        <v>400000</v>
      </c>
    </row>
    <row r="20424" spans="26:26" x14ac:dyDescent="0.25">
      <c r="Z20424">
        <v>400000</v>
      </c>
    </row>
    <row r="20425" spans="26:26" x14ac:dyDescent="0.25">
      <c r="Z20425">
        <v>400000</v>
      </c>
    </row>
    <row r="20426" spans="26:26" x14ac:dyDescent="0.25">
      <c r="Z20426">
        <v>400000</v>
      </c>
    </row>
    <row r="20427" spans="26:26" x14ac:dyDescent="0.25">
      <c r="Z20427">
        <v>400000</v>
      </c>
    </row>
    <row r="20428" spans="26:26" x14ac:dyDescent="0.25">
      <c r="Z20428">
        <v>400000</v>
      </c>
    </row>
    <row r="20429" spans="26:26" x14ac:dyDescent="0.25">
      <c r="Z20429">
        <v>400000</v>
      </c>
    </row>
    <row r="20430" spans="26:26" x14ac:dyDescent="0.25">
      <c r="Z20430">
        <v>400000</v>
      </c>
    </row>
    <row r="20431" spans="26:26" x14ac:dyDescent="0.25">
      <c r="Z20431">
        <v>400000</v>
      </c>
    </row>
    <row r="20432" spans="26:26" x14ac:dyDescent="0.25">
      <c r="Z20432">
        <v>400000</v>
      </c>
    </row>
    <row r="20433" spans="26:26" x14ac:dyDescent="0.25">
      <c r="Z20433">
        <v>400000</v>
      </c>
    </row>
    <row r="20434" spans="26:26" x14ac:dyDescent="0.25">
      <c r="Z20434">
        <v>400000</v>
      </c>
    </row>
    <row r="20435" spans="26:26" x14ac:dyDescent="0.25">
      <c r="Z20435">
        <v>400000</v>
      </c>
    </row>
    <row r="20436" spans="26:26" x14ac:dyDescent="0.25">
      <c r="Z20436">
        <v>400000</v>
      </c>
    </row>
    <row r="20437" spans="26:26" x14ac:dyDescent="0.25">
      <c r="Z20437">
        <v>400000</v>
      </c>
    </row>
    <row r="20438" spans="26:26" x14ac:dyDescent="0.25">
      <c r="Z20438">
        <v>400000</v>
      </c>
    </row>
    <row r="20439" spans="26:26" x14ac:dyDescent="0.25">
      <c r="Z20439">
        <v>400000</v>
      </c>
    </row>
    <row r="20440" spans="26:26" x14ac:dyDescent="0.25">
      <c r="Z20440">
        <v>400000</v>
      </c>
    </row>
    <row r="20441" spans="26:26" x14ac:dyDescent="0.25">
      <c r="Z20441">
        <v>400000</v>
      </c>
    </row>
    <row r="20442" spans="26:26" x14ac:dyDescent="0.25">
      <c r="Z20442">
        <v>400000</v>
      </c>
    </row>
    <row r="20443" spans="26:26" x14ac:dyDescent="0.25">
      <c r="Z20443">
        <v>400000</v>
      </c>
    </row>
    <row r="20444" spans="26:26" x14ac:dyDescent="0.25">
      <c r="Z20444">
        <v>400000</v>
      </c>
    </row>
    <row r="20445" spans="26:26" x14ac:dyDescent="0.25">
      <c r="Z20445">
        <v>400000</v>
      </c>
    </row>
    <row r="20446" spans="26:26" x14ac:dyDescent="0.25">
      <c r="Z20446">
        <v>400000</v>
      </c>
    </row>
    <row r="20447" spans="26:26" x14ac:dyDescent="0.25">
      <c r="Z20447">
        <v>400000</v>
      </c>
    </row>
    <row r="20448" spans="26:26" x14ac:dyDescent="0.25">
      <c r="Z20448">
        <v>400000</v>
      </c>
    </row>
    <row r="20449" spans="26:26" x14ac:dyDescent="0.25">
      <c r="Z20449">
        <v>400000</v>
      </c>
    </row>
    <row r="20450" spans="26:26" x14ac:dyDescent="0.25">
      <c r="Z20450">
        <v>400000</v>
      </c>
    </row>
    <row r="20451" spans="26:26" x14ac:dyDescent="0.25">
      <c r="Z20451">
        <v>400000</v>
      </c>
    </row>
    <row r="20452" spans="26:26" x14ac:dyDescent="0.25">
      <c r="Z20452">
        <v>400000</v>
      </c>
    </row>
    <row r="20453" spans="26:26" x14ac:dyDescent="0.25">
      <c r="Z20453">
        <v>400000</v>
      </c>
    </row>
    <row r="20454" spans="26:26" x14ac:dyDescent="0.25">
      <c r="Z20454">
        <v>400000</v>
      </c>
    </row>
    <row r="20455" spans="26:26" x14ac:dyDescent="0.25">
      <c r="Z20455">
        <v>400000</v>
      </c>
    </row>
    <row r="20456" spans="26:26" x14ac:dyDescent="0.25">
      <c r="Z20456">
        <v>400000</v>
      </c>
    </row>
    <row r="20457" spans="26:26" x14ac:dyDescent="0.25">
      <c r="Z20457">
        <v>400000</v>
      </c>
    </row>
    <row r="20458" spans="26:26" x14ac:dyDescent="0.25">
      <c r="Z20458">
        <v>400000</v>
      </c>
    </row>
    <row r="20459" spans="26:26" x14ac:dyDescent="0.25">
      <c r="Z20459">
        <v>400000</v>
      </c>
    </row>
    <row r="20460" spans="26:26" x14ac:dyDescent="0.25">
      <c r="Z20460">
        <v>400000</v>
      </c>
    </row>
    <row r="20461" spans="26:26" x14ac:dyDescent="0.25">
      <c r="Z20461">
        <v>400000</v>
      </c>
    </row>
    <row r="20462" spans="26:26" x14ac:dyDescent="0.25">
      <c r="Z20462">
        <v>400000</v>
      </c>
    </row>
    <row r="20463" spans="26:26" x14ac:dyDescent="0.25">
      <c r="Z20463">
        <v>400000</v>
      </c>
    </row>
    <row r="20464" spans="26:26" x14ac:dyDescent="0.25">
      <c r="Z20464">
        <v>400000</v>
      </c>
    </row>
    <row r="20465" spans="26:26" x14ac:dyDescent="0.25">
      <c r="Z20465">
        <v>400000</v>
      </c>
    </row>
    <row r="20466" spans="26:26" x14ac:dyDescent="0.25">
      <c r="Z20466">
        <v>400000</v>
      </c>
    </row>
    <row r="20467" spans="26:26" x14ac:dyDescent="0.25">
      <c r="Z20467">
        <v>400000</v>
      </c>
    </row>
    <row r="20468" spans="26:26" x14ac:dyDescent="0.25">
      <c r="Z20468">
        <v>400000</v>
      </c>
    </row>
    <row r="20469" spans="26:26" x14ac:dyDescent="0.25">
      <c r="Z20469">
        <v>400000</v>
      </c>
    </row>
    <row r="20470" spans="26:26" x14ac:dyDescent="0.25">
      <c r="Z20470">
        <v>400000</v>
      </c>
    </row>
    <row r="20471" spans="26:26" x14ac:dyDescent="0.25">
      <c r="Z20471">
        <v>400000</v>
      </c>
    </row>
    <row r="20472" spans="26:26" x14ac:dyDescent="0.25">
      <c r="Z20472">
        <v>400000</v>
      </c>
    </row>
    <row r="20473" spans="26:26" x14ac:dyDescent="0.25">
      <c r="Z20473">
        <v>400000</v>
      </c>
    </row>
    <row r="20474" spans="26:26" x14ac:dyDescent="0.25">
      <c r="Z20474">
        <v>400000</v>
      </c>
    </row>
    <row r="20475" spans="26:26" x14ac:dyDescent="0.25">
      <c r="Z20475">
        <v>400000</v>
      </c>
    </row>
    <row r="20476" spans="26:26" x14ac:dyDescent="0.25">
      <c r="Z20476">
        <v>400000</v>
      </c>
    </row>
    <row r="20477" spans="26:26" x14ac:dyDescent="0.25">
      <c r="Z20477">
        <v>400000</v>
      </c>
    </row>
    <row r="20478" spans="26:26" x14ac:dyDescent="0.25">
      <c r="Z20478">
        <v>400000</v>
      </c>
    </row>
    <row r="20479" spans="26:26" x14ac:dyDescent="0.25">
      <c r="Z20479">
        <v>400000</v>
      </c>
    </row>
    <row r="20480" spans="26:26" x14ac:dyDescent="0.25">
      <c r="Z20480">
        <v>400000</v>
      </c>
    </row>
    <row r="20481" spans="26:26" x14ac:dyDescent="0.25">
      <c r="Z20481">
        <v>400000</v>
      </c>
    </row>
    <row r="20482" spans="26:26" x14ac:dyDescent="0.25">
      <c r="Z20482">
        <v>400000</v>
      </c>
    </row>
    <row r="20483" spans="26:26" x14ac:dyDescent="0.25">
      <c r="Z20483">
        <v>400000</v>
      </c>
    </row>
    <row r="20484" spans="26:26" x14ac:dyDescent="0.25">
      <c r="Z20484">
        <v>400000</v>
      </c>
    </row>
    <row r="20485" spans="26:26" x14ac:dyDescent="0.25">
      <c r="Z20485">
        <v>400000</v>
      </c>
    </row>
    <row r="20486" spans="26:26" x14ac:dyDescent="0.25">
      <c r="Z20486">
        <v>400000</v>
      </c>
    </row>
    <row r="20487" spans="26:26" x14ac:dyDescent="0.25">
      <c r="Z20487">
        <v>400000</v>
      </c>
    </row>
    <row r="20488" spans="26:26" x14ac:dyDescent="0.25">
      <c r="Z20488">
        <v>400000</v>
      </c>
    </row>
    <row r="20489" spans="26:26" x14ac:dyDescent="0.25">
      <c r="Z20489">
        <v>400000</v>
      </c>
    </row>
    <row r="20490" spans="26:26" x14ac:dyDescent="0.25">
      <c r="Z20490">
        <v>400000</v>
      </c>
    </row>
    <row r="20491" spans="26:26" x14ac:dyDescent="0.25">
      <c r="Z20491">
        <v>400000</v>
      </c>
    </row>
    <row r="20492" spans="26:26" x14ac:dyDescent="0.25">
      <c r="Z20492">
        <v>400000</v>
      </c>
    </row>
    <row r="20493" spans="26:26" x14ac:dyDescent="0.25">
      <c r="Z20493">
        <v>400000</v>
      </c>
    </row>
    <row r="20494" spans="26:26" x14ac:dyDescent="0.25">
      <c r="Z20494">
        <v>400000</v>
      </c>
    </row>
    <row r="20495" spans="26:26" x14ac:dyDescent="0.25">
      <c r="Z20495">
        <v>400000</v>
      </c>
    </row>
    <row r="20496" spans="26:26" x14ac:dyDescent="0.25">
      <c r="Z20496">
        <v>400000</v>
      </c>
    </row>
    <row r="20497" spans="26:26" x14ac:dyDescent="0.25">
      <c r="Z20497">
        <v>400000</v>
      </c>
    </row>
    <row r="20498" spans="26:26" x14ac:dyDescent="0.25">
      <c r="Z20498">
        <v>400000</v>
      </c>
    </row>
    <row r="20499" spans="26:26" x14ac:dyDescent="0.25">
      <c r="Z20499">
        <v>400000</v>
      </c>
    </row>
    <row r="20500" spans="26:26" x14ac:dyDescent="0.25">
      <c r="Z20500">
        <v>400000</v>
      </c>
    </row>
    <row r="20501" spans="26:26" x14ac:dyDescent="0.25">
      <c r="Z20501">
        <v>400000</v>
      </c>
    </row>
    <row r="20502" spans="26:26" x14ac:dyDescent="0.25">
      <c r="Z20502">
        <v>400000</v>
      </c>
    </row>
    <row r="20503" spans="26:26" x14ac:dyDescent="0.25">
      <c r="Z20503">
        <v>400000</v>
      </c>
    </row>
    <row r="20504" spans="26:26" x14ac:dyDescent="0.25">
      <c r="Z20504">
        <v>400000</v>
      </c>
    </row>
    <row r="20505" spans="26:26" x14ac:dyDescent="0.25">
      <c r="Z20505">
        <v>400000</v>
      </c>
    </row>
    <row r="20506" spans="26:26" x14ac:dyDescent="0.25">
      <c r="Z20506">
        <v>400000</v>
      </c>
    </row>
    <row r="20507" spans="26:26" x14ac:dyDescent="0.25">
      <c r="Z20507">
        <v>400000</v>
      </c>
    </row>
    <row r="20508" spans="26:26" x14ac:dyDescent="0.25">
      <c r="Z20508">
        <v>400000</v>
      </c>
    </row>
    <row r="20509" spans="26:26" x14ac:dyDescent="0.25">
      <c r="Z20509">
        <v>400000</v>
      </c>
    </row>
    <row r="20510" spans="26:26" x14ac:dyDescent="0.25">
      <c r="Z20510">
        <v>400000</v>
      </c>
    </row>
    <row r="20511" spans="26:26" x14ac:dyDescent="0.25">
      <c r="Z20511">
        <v>400000</v>
      </c>
    </row>
    <row r="20512" spans="26:26" x14ac:dyDescent="0.25">
      <c r="Z20512">
        <v>400000</v>
      </c>
    </row>
    <row r="20513" spans="26:26" x14ac:dyDescent="0.25">
      <c r="Z20513">
        <v>400000</v>
      </c>
    </row>
    <row r="20514" spans="26:26" x14ac:dyDescent="0.25">
      <c r="Z20514">
        <v>400000</v>
      </c>
    </row>
    <row r="20515" spans="26:26" x14ac:dyDescent="0.25">
      <c r="Z20515">
        <v>400000</v>
      </c>
    </row>
    <row r="20516" spans="26:26" x14ac:dyDescent="0.25">
      <c r="Z20516">
        <v>400000</v>
      </c>
    </row>
    <row r="20517" spans="26:26" x14ac:dyDescent="0.25">
      <c r="Z20517">
        <v>400000</v>
      </c>
    </row>
    <row r="20518" spans="26:26" x14ac:dyDescent="0.25">
      <c r="Z20518">
        <v>400000</v>
      </c>
    </row>
    <row r="20519" spans="26:26" x14ac:dyDescent="0.25">
      <c r="Z20519">
        <v>400000</v>
      </c>
    </row>
    <row r="20520" spans="26:26" x14ac:dyDescent="0.25">
      <c r="Z20520">
        <v>400000</v>
      </c>
    </row>
    <row r="20521" spans="26:26" x14ac:dyDescent="0.25">
      <c r="Z20521">
        <v>400000</v>
      </c>
    </row>
    <row r="20522" spans="26:26" x14ac:dyDescent="0.25">
      <c r="Z20522">
        <v>400000</v>
      </c>
    </row>
    <row r="20523" spans="26:26" x14ac:dyDescent="0.25">
      <c r="Z20523">
        <v>400000</v>
      </c>
    </row>
    <row r="20524" spans="26:26" x14ac:dyDescent="0.25">
      <c r="Z20524">
        <v>400000</v>
      </c>
    </row>
    <row r="20525" spans="26:26" x14ac:dyDescent="0.25">
      <c r="Z20525">
        <v>400000</v>
      </c>
    </row>
    <row r="20526" spans="26:26" x14ac:dyDescent="0.25">
      <c r="Z20526">
        <v>400000</v>
      </c>
    </row>
    <row r="20527" spans="26:26" x14ac:dyDescent="0.25">
      <c r="Z20527">
        <v>400000</v>
      </c>
    </row>
    <row r="20528" spans="26:26" x14ac:dyDescent="0.25">
      <c r="Z20528">
        <v>400000</v>
      </c>
    </row>
    <row r="20529" spans="26:26" x14ac:dyDescent="0.25">
      <c r="Z20529">
        <v>400000</v>
      </c>
    </row>
    <row r="20530" spans="26:26" x14ac:dyDescent="0.25">
      <c r="Z20530">
        <v>400000</v>
      </c>
    </row>
    <row r="20531" spans="26:26" x14ac:dyDescent="0.25">
      <c r="Z20531">
        <v>400000</v>
      </c>
    </row>
    <row r="20532" spans="26:26" x14ac:dyDescent="0.25">
      <c r="Z20532">
        <v>400000</v>
      </c>
    </row>
    <row r="20533" spans="26:26" x14ac:dyDescent="0.25">
      <c r="Z20533">
        <v>400000</v>
      </c>
    </row>
    <row r="20534" spans="26:26" x14ac:dyDescent="0.25">
      <c r="Z20534">
        <v>400000</v>
      </c>
    </row>
    <row r="20535" spans="26:26" x14ac:dyDescent="0.25">
      <c r="Z20535">
        <v>400000</v>
      </c>
    </row>
    <row r="20536" spans="26:26" x14ac:dyDescent="0.25">
      <c r="Z20536">
        <v>400000</v>
      </c>
    </row>
    <row r="20537" spans="26:26" x14ac:dyDescent="0.25">
      <c r="Z20537">
        <v>400000</v>
      </c>
    </row>
    <row r="20538" spans="26:26" x14ac:dyDescent="0.25">
      <c r="Z20538">
        <v>400000</v>
      </c>
    </row>
    <row r="20539" spans="26:26" x14ac:dyDescent="0.25">
      <c r="Z20539">
        <v>400000</v>
      </c>
    </row>
    <row r="20540" spans="26:26" x14ac:dyDescent="0.25">
      <c r="Z20540">
        <v>400000</v>
      </c>
    </row>
    <row r="20541" spans="26:26" x14ac:dyDescent="0.25">
      <c r="Z20541">
        <v>400000</v>
      </c>
    </row>
    <row r="20542" spans="26:26" x14ac:dyDescent="0.25">
      <c r="Z20542">
        <v>400000</v>
      </c>
    </row>
    <row r="20543" spans="26:26" x14ac:dyDescent="0.25">
      <c r="Z20543">
        <v>400000</v>
      </c>
    </row>
    <row r="20544" spans="26:26" x14ac:dyDescent="0.25">
      <c r="Z20544">
        <v>400000</v>
      </c>
    </row>
    <row r="20545" spans="26:26" x14ac:dyDescent="0.25">
      <c r="Z20545">
        <v>400000</v>
      </c>
    </row>
    <row r="20546" spans="26:26" x14ac:dyDescent="0.25">
      <c r="Z20546">
        <v>400000</v>
      </c>
    </row>
    <row r="20547" spans="26:26" x14ac:dyDescent="0.25">
      <c r="Z20547">
        <v>400000</v>
      </c>
    </row>
    <row r="20548" spans="26:26" x14ac:dyDescent="0.25">
      <c r="Z20548">
        <v>400000</v>
      </c>
    </row>
    <row r="20549" spans="26:26" x14ac:dyDescent="0.25">
      <c r="Z20549">
        <v>400000</v>
      </c>
    </row>
    <row r="20550" spans="26:26" x14ac:dyDescent="0.25">
      <c r="Z20550">
        <v>400000</v>
      </c>
    </row>
    <row r="20551" spans="26:26" x14ac:dyDescent="0.25">
      <c r="Z20551">
        <v>400000</v>
      </c>
    </row>
    <row r="20552" spans="26:26" x14ac:dyDescent="0.25">
      <c r="Z20552">
        <v>400000</v>
      </c>
    </row>
    <row r="20553" spans="26:26" x14ac:dyDescent="0.25">
      <c r="Z20553">
        <v>400000</v>
      </c>
    </row>
    <row r="20554" spans="26:26" x14ac:dyDescent="0.25">
      <c r="Z20554">
        <v>400000</v>
      </c>
    </row>
    <row r="20555" spans="26:26" x14ac:dyDescent="0.25">
      <c r="Z20555">
        <v>400000</v>
      </c>
    </row>
    <row r="20556" spans="26:26" x14ac:dyDescent="0.25">
      <c r="Z20556">
        <v>400000</v>
      </c>
    </row>
    <row r="20557" spans="26:26" x14ac:dyDescent="0.25">
      <c r="Z20557">
        <v>400000</v>
      </c>
    </row>
    <row r="20558" spans="26:26" x14ac:dyDescent="0.25">
      <c r="Z20558">
        <v>400000</v>
      </c>
    </row>
    <row r="20559" spans="26:26" x14ac:dyDescent="0.25">
      <c r="Z20559">
        <v>400000</v>
      </c>
    </row>
    <row r="20560" spans="26:26" x14ac:dyDescent="0.25">
      <c r="Z20560">
        <v>400000</v>
      </c>
    </row>
    <row r="20561" spans="26:26" x14ac:dyDescent="0.25">
      <c r="Z20561">
        <v>400000</v>
      </c>
    </row>
    <row r="20562" spans="26:26" x14ac:dyDescent="0.25">
      <c r="Z20562">
        <v>400000</v>
      </c>
    </row>
    <row r="20563" spans="26:26" x14ac:dyDescent="0.25">
      <c r="Z20563">
        <v>400000</v>
      </c>
    </row>
    <row r="20564" spans="26:26" x14ac:dyDescent="0.25">
      <c r="Z20564">
        <v>400000</v>
      </c>
    </row>
    <row r="20565" spans="26:26" x14ac:dyDescent="0.25">
      <c r="Z20565">
        <v>400000</v>
      </c>
    </row>
    <row r="20566" spans="26:26" x14ac:dyDescent="0.25">
      <c r="Z20566">
        <v>400000</v>
      </c>
    </row>
    <row r="20567" spans="26:26" x14ac:dyDescent="0.25">
      <c r="Z20567">
        <v>400000</v>
      </c>
    </row>
    <row r="20568" spans="26:26" x14ac:dyDescent="0.25">
      <c r="Z20568">
        <v>400000</v>
      </c>
    </row>
    <row r="20569" spans="26:26" x14ac:dyDescent="0.25">
      <c r="Z20569">
        <v>400000</v>
      </c>
    </row>
    <row r="20570" spans="26:26" x14ac:dyDescent="0.25">
      <c r="Z20570">
        <v>400000</v>
      </c>
    </row>
    <row r="20571" spans="26:26" x14ac:dyDescent="0.25">
      <c r="Z20571">
        <v>400000</v>
      </c>
    </row>
    <row r="20572" spans="26:26" x14ac:dyDescent="0.25">
      <c r="Z20572">
        <v>400000</v>
      </c>
    </row>
    <row r="20573" spans="26:26" x14ac:dyDescent="0.25">
      <c r="Z20573">
        <v>400000</v>
      </c>
    </row>
    <row r="20574" spans="26:26" x14ac:dyDescent="0.25">
      <c r="Z20574">
        <v>400000</v>
      </c>
    </row>
    <row r="20575" spans="26:26" x14ac:dyDescent="0.25">
      <c r="Z20575">
        <v>400000</v>
      </c>
    </row>
    <row r="20576" spans="26:26" x14ac:dyDescent="0.25">
      <c r="Z20576">
        <v>400000</v>
      </c>
    </row>
    <row r="20577" spans="26:26" x14ac:dyDescent="0.25">
      <c r="Z20577">
        <v>400000</v>
      </c>
    </row>
    <row r="20578" spans="26:26" x14ac:dyDescent="0.25">
      <c r="Z20578">
        <v>400000</v>
      </c>
    </row>
    <row r="20579" spans="26:26" x14ac:dyDescent="0.25">
      <c r="Z20579">
        <v>400000</v>
      </c>
    </row>
    <row r="20580" spans="26:26" x14ac:dyDescent="0.25">
      <c r="Z20580">
        <v>400000</v>
      </c>
    </row>
    <row r="20581" spans="26:26" x14ac:dyDescent="0.25">
      <c r="Z20581">
        <v>400000</v>
      </c>
    </row>
    <row r="20582" spans="26:26" x14ac:dyDescent="0.25">
      <c r="Z20582">
        <v>400000</v>
      </c>
    </row>
    <row r="20583" spans="26:26" x14ac:dyDescent="0.25">
      <c r="Z20583">
        <v>400000</v>
      </c>
    </row>
    <row r="20584" spans="26:26" x14ac:dyDescent="0.25">
      <c r="Z20584">
        <v>400000</v>
      </c>
    </row>
    <row r="20585" spans="26:26" x14ac:dyDescent="0.25">
      <c r="Z20585">
        <v>400000</v>
      </c>
    </row>
    <row r="20586" spans="26:26" x14ac:dyDescent="0.25">
      <c r="Z20586">
        <v>400000</v>
      </c>
    </row>
    <row r="20587" spans="26:26" x14ac:dyDescent="0.25">
      <c r="Z20587">
        <v>400000</v>
      </c>
    </row>
    <row r="20588" spans="26:26" x14ac:dyDescent="0.25">
      <c r="Z20588">
        <v>400000</v>
      </c>
    </row>
    <row r="20589" spans="26:26" x14ac:dyDescent="0.25">
      <c r="Z20589">
        <v>400000</v>
      </c>
    </row>
    <row r="20590" spans="26:26" x14ac:dyDescent="0.25">
      <c r="Z20590">
        <v>400000</v>
      </c>
    </row>
    <row r="20591" spans="26:26" x14ac:dyDescent="0.25">
      <c r="Z20591">
        <v>400000</v>
      </c>
    </row>
    <row r="20592" spans="26:26" x14ac:dyDescent="0.25">
      <c r="Z20592">
        <v>400000</v>
      </c>
    </row>
    <row r="20593" spans="26:26" x14ac:dyDescent="0.25">
      <c r="Z20593">
        <v>400000</v>
      </c>
    </row>
    <row r="20594" spans="26:26" x14ac:dyDescent="0.25">
      <c r="Z20594">
        <v>400000</v>
      </c>
    </row>
    <row r="20595" spans="26:26" x14ac:dyDescent="0.25">
      <c r="Z20595">
        <v>400000</v>
      </c>
    </row>
    <row r="20596" spans="26:26" x14ac:dyDescent="0.25">
      <c r="Z20596">
        <v>400000</v>
      </c>
    </row>
    <row r="20597" spans="26:26" x14ac:dyDescent="0.25">
      <c r="Z20597">
        <v>400000</v>
      </c>
    </row>
    <row r="20598" spans="26:26" x14ac:dyDescent="0.25">
      <c r="Z20598">
        <v>400000</v>
      </c>
    </row>
    <row r="20599" spans="26:26" x14ac:dyDescent="0.25">
      <c r="Z20599">
        <v>400000</v>
      </c>
    </row>
    <row r="20600" spans="26:26" x14ac:dyDescent="0.25">
      <c r="Z20600">
        <v>400000</v>
      </c>
    </row>
    <row r="20601" spans="26:26" x14ac:dyDescent="0.25">
      <c r="Z20601">
        <v>400000</v>
      </c>
    </row>
    <row r="20602" spans="26:26" x14ac:dyDescent="0.25">
      <c r="Z20602">
        <v>400000</v>
      </c>
    </row>
    <row r="20603" spans="26:26" x14ac:dyDescent="0.25">
      <c r="Z20603">
        <v>400000</v>
      </c>
    </row>
    <row r="20604" spans="26:26" x14ac:dyDescent="0.25">
      <c r="Z20604">
        <v>400000</v>
      </c>
    </row>
    <row r="20605" spans="26:26" x14ac:dyDescent="0.25">
      <c r="Z20605">
        <v>400000</v>
      </c>
    </row>
    <row r="20606" spans="26:26" x14ac:dyDescent="0.25">
      <c r="Z20606">
        <v>400000</v>
      </c>
    </row>
    <row r="20607" spans="26:26" x14ac:dyDescent="0.25">
      <c r="Z20607">
        <v>400000</v>
      </c>
    </row>
    <row r="20608" spans="26:26" x14ac:dyDescent="0.25">
      <c r="Z20608">
        <v>400000</v>
      </c>
    </row>
    <row r="20609" spans="26:26" x14ac:dyDescent="0.25">
      <c r="Z20609">
        <v>400000</v>
      </c>
    </row>
    <row r="20610" spans="26:26" x14ac:dyDescent="0.25">
      <c r="Z20610">
        <v>400000</v>
      </c>
    </row>
    <row r="20611" spans="26:26" x14ac:dyDescent="0.25">
      <c r="Z20611">
        <v>400000</v>
      </c>
    </row>
    <row r="20612" spans="26:26" x14ac:dyDescent="0.25">
      <c r="Z20612">
        <v>400000</v>
      </c>
    </row>
    <row r="20613" spans="26:26" x14ac:dyDescent="0.25">
      <c r="Z20613">
        <v>400000</v>
      </c>
    </row>
    <row r="20614" spans="26:26" x14ac:dyDescent="0.25">
      <c r="Z20614">
        <v>400000</v>
      </c>
    </row>
    <row r="20615" spans="26:26" x14ac:dyDescent="0.25">
      <c r="Z20615">
        <v>400000</v>
      </c>
    </row>
    <row r="20616" spans="26:26" x14ac:dyDescent="0.25">
      <c r="Z20616">
        <v>400000</v>
      </c>
    </row>
    <row r="20617" spans="26:26" x14ac:dyDescent="0.25">
      <c r="Z20617">
        <v>400000</v>
      </c>
    </row>
    <row r="20618" spans="26:26" x14ac:dyDescent="0.25">
      <c r="Z20618">
        <v>400000</v>
      </c>
    </row>
    <row r="20619" spans="26:26" x14ac:dyDescent="0.25">
      <c r="Z20619">
        <v>400000</v>
      </c>
    </row>
    <row r="20620" spans="26:26" x14ac:dyDescent="0.25">
      <c r="Z20620">
        <v>400000</v>
      </c>
    </row>
    <row r="20621" spans="26:26" x14ac:dyDescent="0.25">
      <c r="Z20621">
        <v>400000</v>
      </c>
    </row>
    <row r="20622" spans="26:26" x14ac:dyDescent="0.25">
      <c r="Z20622">
        <v>400000</v>
      </c>
    </row>
    <row r="20623" spans="26:26" x14ac:dyDescent="0.25">
      <c r="Z20623">
        <v>400000</v>
      </c>
    </row>
    <row r="20624" spans="26:26" x14ac:dyDescent="0.25">
      <c r="Z20624">
        <v>400000</v>
      </c>
    </row>
    <row r="20625" spans="26:26" x14ac:dyDescent="0.25">
      <c r="Z20625">
        <v>400000</v>
      </c>
    </row>
    <row r="20626" spans="26:26" x14ac:dyDescent="0.25">
      <c r="Z20626">
        <v>400000</v>
      </c>
    </row>
    <row r="20627" spans="26:26" x14ac:dyDescent="0.25">
      <c r="Z20627">
        <v>400000</v>
      </c>
    </row>
    <row r="20628" spans="26:26" x14ac:dyDescent="0.25">
      <c r="Z20628">
        <v>400000</v>
      </c>
    </row>
    <row r="20629" spans="26:26" x14ac:dyDescent="0.25">
      <c r="Z20629">
        <v>400000</v>
      </c>
    </row>
    <row r="20630" spans="26:26" x14ac:dyDescent="0.25">
      <c r="Z20630">
        <v>400000</v>
      </c>
    </row>
    <row r="20631" spans="26:26" x14ac:dyDescent="0.25">
      <c r="Z20631">
        <v>400000</v>
      </c>
    </row>
    <row r="20632" spans="26:26" x14ac:dyDescent="0.25">
      <c r="Z20632">
        <v>400000</v>
      </c>
    </row>
    <row r="20633" spans="26:26" x14ac:dyDescent="0.25">
      <c r="Z20633">
        <v>400000</v>
      </c>
    </row>
    <row r="20634" spans="26:26" x14ac:dyDescent="0.25">
      <c r="Z20634">
        <v>400000</v>
      </c>
    </row>
    <row r="20635" spans="26:26" x14ac:dyDescent="0.25">
      <c r="Z20635">
        <v>400000</v>
      </c>
    </row>
    <row r="20636" spans="26:26" x14ac:dyDescent="0.25">
      <c r="Z20636">
        <v>400000</v>
      </c>
    </row>
    <row r="20637" spans="26:26" x14ac:dyDescent="0.25">
      <c r="Z20637">
        <v>400000</v>
      </c>
    </row>
    <row r="20638" spans="26:26" x14ac:dyDescent="0.25">
      <c r="Z20638">
        <v>400000</v>
      </c>
    </row>
    <row r="20639" spans="26:26" x14ac:dyDescent="0.25">
      <c r="Z20639">
        <v>400000</v>
      </c>
    </row>
    <row r="20640" spans="26:26" x14ac:dyDescent="0.25">
      <c r="Z20640">
        <v>400000</v>
      </c>
    </row>
    <row r="20641" spans="26:26" x14ac:dyDescent="0.25">
      <c r="Z20641">
        <v>400000</v>
      </c>
    </row>
    <row r="20642" spans="26:26" x14ac:dyDescent="0.25">
      <c r="Z20642">
        <v>400000</v>
      </c>
    </row>
    <row r="20643" spans="26:26" x14ac:dyDescent="0.25">
      <c r="Z20643">
        <v>400000</v>
      </c>
    </row>
    <row r="20644" spans="26:26" x14ac:dyDescent="0.25">
      <c r="Z20644">
        <v>400000</v>
      </c>
    </row>
    <row r="20645" spans="26:26" x14ac:dyDescent="0.25">
      <c r="Z20645">
        <v>400000</v>
      </c>
    </row>
    <row r="20646" spans="26:26" x14ac:dyDescent="0.25">
      <c r="Z20646">
        <v>400000</v>
      </c>
    </row>
    <row r="20647" spans="26:26" x14ac:dyDescent="0.25">
      <c r="Z20647">
        <v>400000</v>
      </c>
    </row>
    <row r="20648" spans="26:26" x14ac:dyDescent="0.25">
      <c r="Z20648">
        <v>400000</v>
      </c>
    </row>
    <row r="20649" spans="26:26" x14ac:dyDescent="0.25">
      <c r="Z20649">
        <v>400000</v>
      </c>
    </row>
    <row r="20650" spans="26:26" x14ac:dyDescent="0.25">
      <c r="Z20650">
        <v>400000</v>
      </c>
    </row>
    <row r="20651" spans="26:26" x14ac:dyDescent="0.25">
      <c r="Z20651">
        <v>400000</v>
      </c>
    </row>
    <row r="20652" spans="26:26" x14ac:dyDescent="0.25">
      <c r="Z20652">
        <v>400000</v>
      </c>
    </row>
    <row r="20653" spans="26:26" x14ac:dyDescent="0.25">
      <c r="Z20653">
        <v>400000</v>
      </c>
    </row>
    <row r="20654" spans="26:26" x14ac:dyDescent="0.25">
      <c r="Z20654">
        <v>400000</v>
      </c>
    </row>
    <row r="20655" spans="26:26" x14ac:dyDescent="0.25">
      <c r="Z20655">
        <v>400000</v>
      </c>
    </row>
    <row r="20656" spans="26:26" x14ac:dyDescent="0.25">
      <c r="Z20656">
        <v>400000</v>
      </c>
    </row>
    <row r="20657" spans="26:26" x14ac:dyDescent="0.25">
      <c r="Z20657">
        <v>400000</v>
      </c>
    </row>
    <row r="20658" spans="26:26" x14ac:dyDescent="0.25">
      <c r="Z20658">
        <v>400000</v>
      </c>
    </row>
    <row r="20659" spans="26:26" x14ac:dyDescent="0.25">
      <c r="Z20659">
        <v>400000</v>
      </c>
    </row>
    <row r="20660" spans="26:26" x14ac:dyDescent="0.25">
      <c r="Z20660">
        <v>400000</v>
      </c>
    </row>
    <row r="20661" spans="26:26" x14ac:dyDescent="0.25">
      <c r="Z20661">
        <v>400000</v>
      </c>
    </row>
    <row r="20662" spans="26:26" x14ac:dyDescent="0.25">
      <c r="Z20662">
        <v>400000</v>
      </c>
    </row>
    <row r="20663" spans="26:26" x14ac:dyDescent="0.25">
      <c r="Z20663">
        <v>400000</v>
      </c>
    </row>
    <row r="20664" spans="26:26" x14ac:dyDescent="0.25">
      <c r="Z20664">
        <v>400000</v>
      </c>
    </row>
    <row r="20665" spans="26:26" x14ac:dyDescent="0.25">
      <c r="Z20665">
        <v>400000</v>
      </c>
    </row>
    <row r="20666" spans="26:26" x14ac:dyDescent="0.25">
      <c r="Z20666">
        <v>400000</v>
      </c>
    </row>
    <row r="20667" spans="26:26" x14ac:dyDescent="0.25">
      <c r="Z20667">
        <v>400000</v>
      </c>
    </row>
    <row r="20668" spans="26:26" x14ac:dyDescent="0.25">
      <c r="Z20668">
        <v>400000</v>
      </c>
    </row>
    <row r="20669" spans="26:26" x14ac:dyDescent="0.25">
      <c r="Z20669">
        <v>400000</v>
      </c>
    </row>
    <row r="20670" spans="26:26" x14ac:dyDescent="0.25">
      <c r="Z20670">
        <v>400000</v>
      </c>
    </row>
    <row r="20671" spans="26:26" x14ac:dyDescent="0.25">
      <c r="Z20671">
        <v>400000</v>
      </c>
    </row>
    <row r="20672" spans="26:26" x14ac:dyDescent="0.25">
      <c r="Z20672">
        <v>400000</v>
      </c>
    </row>
    <row r="20673" spans="26:26" x14ac:dyDescent="0.25">
      <c r="Z20673">
        <v>400000</v>
      </c>
    </row>
    <row r="20674" spans="26:26" x14ac:dyDescent="0.25">
      <c r="Z20674">
        <v>400000</v>
      </c>
    </row>
    <row r="20675" spans="26:26" x14ac:dyDescent="0.25">
      <c r="Z20675">
        <v>400000</v>
      </c>
    </row>
    <row r="20676" spans="26:26" x14ac:dyDescent="0.25">
      <c r="Z20676">
        <v>400000</v>
      </c>
    </row>
    <row r="20677" spans="26:26" x14ac:dyDescent="0.25">
      <c r="Z20677">
        <v>400000</v>
      </c>
    </row>
    <row r="20678" spans="26:26" x14ac:dyDescent="0.25">
      <c r="Z20678">
        <v>400000</v>
      </c>
    </row>
    <row r="20679" spans="26:26" x14ac:dyDescent="0.25">
      <c r="Z20679">
        <v>400000</v>
      </c>
    </row>
    <row r="20680" spans="26:26" x14ac:dyDescent="0.25">
      <c r="Z20680">
        <v>400000</v>
      </c>
    </row>
    <row r="20681" spans="26:26" x14ac:dyDescent="0.25">
      <c r="Z20681">
        <v>400000</v>
      </c>
    </row>
    <row r="20682" spans="26:26" x14ac:dyDescent="0.25">
      <c r="Z20682">
        <v>400000</v>
      </c>
    </row>
    <row r="20683" spans="26:26" x14ac:dyDescent="0.25">
      <c r="Z20683">
        <v>400000</v>
      </c>
    </row>
    <row r="20684" spans="26:26" x14ac:dyDescent="0.25">
      <c r="Z20684">
        <v>400000</v>
      </c>
    </row>
    <row r="20685" spans="26:26" x14ac:dyDescent="0.25">
      <c r="Z20685">
        <v>400000</v>
      </c>
    </row>
    <row r="20686" spans="26:26" x14ac:dyDescent="0.25">
      <c r="Z20686">
        <v>400000</v>
      </c>
    </row>
    <row r="20687" spans="26:26" x14ac:dyDescent="0.25">
      <c r="Z20687">
        <v>400000</v>
      </c>
    </row>
    <row r="20688" spans="26:26" x14ac:dyDescent="0.25">
      <c r="Z20688">
        <v>400000</v>
      </c>
    </row>
    <row r="20689" spans="26:26" x14ac:dyDescent="0.25">
      <c r="Z20689">
        <v>400000</v>
      </c>
    </row>
    <row r="20690" spans="26:26" x14ac:dyDescent="0.25">
      <c r="Z20690">
        <v>400000</v>
      </c>
    </row>
    <row r="20691" spans="26:26" x14ac:dyDescent="0.25">
      <c r="Z20691">
        <v>400000</v>
      </c>
    </row>
    <row r="20692" spans="26:26" x14ac:dyDescent="0.25">
      <c r="Z20692">
        <v>400000</v>
      </c>
    </row>
    <row r="20693" spans="26:26" x14ac:dyDescent="0.25">
      <c r="Z20693">
        <v>400000</v>
      </c>
    </row>
    <row r="20694" spans="26:26" x14ac:dyDescent="0.25">
      <c r="Z20694">
        <v>400000</v>
      </c>
    </row>
    <row r="20695" spans="26:26" x14ac:dyDescent="0.25">
      <c r="Z20695">
        <v>400000</v>
      </c>
    </row>
    <row r="20696" spans="26:26" x14ac:dyDescent="0.25">
      <c r="Z20696">
        <v>400000</v>
      </c>
    </row>
    <row r="20697" spans="26:26" x14ac:dyDescent="0.25">
      <c r="Z20697">
        <v>400000</v>
      </c>
    </row>
    <row r="20698" spans="26:26" x14ac:dyDescent="0.25">
      <c r="Z20698">
        <v>400000</v>
      </c>
    </row>
    <row r="20699" spans="26:26" x14ac:dyDescent="0.25">
      <c r="Z20699">
        <v>400000</v>
      </c>
    </row>
    <row r="20700" spans="26:26" x14ac:dyDescent="0.25">
      <c r="Z20700">
        <v>400000</v>
      </c>
    </row>
    <row r="20701" spans="26:26" x14ac:dyDescent="0.25">
      <c r="Z20701">
        <v>400000</v>
      </c>
    </row>
    <row r="20702" spans="26:26" x14ac:dyDescent="0.25">
      <c r="Z20702">
        <v>400000</v>
      </c>
    </row>
    <row r="20703" spans="26:26" x14ac:dyDescent="0.25">
      <c r="Z20703">
        <v>400000</v>
      </c>
    </row>
    <row r="20704" spans="26:26" x14ac:dyDescent="0.25">
      <c r="Z20704">
        <v>400000</v>
      </c>
    </row>
    <row r="20705" spans="26:26" x14ac:dyDescent="0.25">
      <c r="Z20705">
        <v>400000</v>
      </c>
    </row>
    <row r="20706" spans="26:26" x14ac:dyDescent="0.25">
      <c r="Z20706">
        <v>400000</v>
      </c>
    </row>
    <row r="20707" spans="26:26" x14ac:dyDescent="0.25">
      <c r="Z20707">
        <v>400000</v>
      </c>
    </row>
    <row r="20708" spans="26:26" x14ac:dyDescent="0.25">
      <c r="Z20708">
        <v>400000</v>
      </c>
    </row>
    <row r="20709" spans="26:26" x14ac:dyDescent="0.25">
      <c r="Z20709">
        <v>400000</v>
      </c>
    </row>
    <row r="20710" spans="26:26" x14ac:dyDescent="0.25">
      <c r="Z20710">
        <v>400000</v>
      </c>
    </row>
    <row r="20711" spans="26:26" x14ac:dyDescent="0.25">
      <c r="Z20711">
        <v>400000</v>
      </c>
    </row>
    <row r="20712" spans="26:26" x14ac:dyDescent="0.25">
      <c r="Z20712">
        <v>400000</v>
      </c>
    </row>
    <row r="20713" spans="26:26" x14ac:dyDescent="0.25">
      <c r="Z20713">
        <v>400000</v>
      </c>
    </row>
    <row r="20714" spans="26:26" x14ac:dyDescent="0.25">
      <c r="Z20714">
        <v>400000</v>
      </c>
    </row>
    <row r="20715" spans="26:26" x14ac:dyDescent="0.25">
      <c r="Z20715">
        <v>400000</v>
      </c>
    </row>
    <row r="20716" spans="26:26" x14ac:dyDescent="0.25">
      <c r="Z20716">
        <v>400000</v>
      </c>
    </row>
    <row r="20717" spans="26:26" x14ac:dyDescent="0.25">
      <c r="Z20717">
        <v>400000</v>
      </c>
    </row>
    <row r="20718" spans="26:26" x14ac:dyDescent="0.25">
      <c r="Z20718">
        <v>400000</v>
      </c>
    </row>
    <row r="20719" spans="26:26" x14ac:dyDescent="0.25">
      <c r="Z20719">
        <v>400000</v>
      </c>
    </row>
    <row r="20720" spans="26:26" x14ac:dyDescent="0.25">
      <c r="Z20720">
        <v>400000</v>
      </c>
    </row>
    <row r="20721" spans="26:26" x14ac:dyDescent="0.25">
      <c r="Z20721">
        <v>400000</v>
      </c>
    </row>
    <row r="20722" spans="26:26" x14ac:dyDescent="0.25">
      <c r="Z20722">
        <v>400000</v>
      </c>
    </row>
    <row r="20723" spans="26:26" x14ac:dyDescent="0.25">
      <c r="Z20723">
        <v>400000</v>
      </c>
    </row>
    <row r="20724" spans="26:26" x14ac:dyDescent="0.25">
      <c r="Z20724">
        <v>400000</v>
      </c>
    </row>
    <row r="20725" spans="26:26" x14ac:dyDescent="0.25">
      <c r="Z20725">
        <v>400000</v>
      </c>
    </row>
    <row r="20726" spans="26:26" x14ac:dyDescent="0.25">
      <c r="Z20726">
        <v>400000</v>
      </c>
    </row>
    <row r="20727" spans="26:26" x14ac:dyDescent="0.25">
      <c r="Z20727">
        <v>400000</v>
      </c>
    </row>
    <row r="20728" spans="26:26" x14ac:dyDescent="0.25">
      <c r="Z20728">
        <v>400000</v>
      </c>
    </row>
    <row r="20729" spans="26:26" x14ac:dyDescent="0.25">
      <c r="Z20729">
        <v>400000</v>
      </c>
    </row>
    <row r="20730" spans="26:26" x14ac:dyDescent="0.25">
      <c r="Z20730">
        <v>400000</v>
      </c>
    </row>
    <row r="20731" spans="26:26" x14ac:dyDescent="0.25">
      <c r="Z20731">
        <v>400000</v>
      </c>
    </row>
    <row r="20732" spans="26:26" x14ac:dyDescent="0.25">
      <c r="Z20732">
        <v>400000</v>
      </c>
    </row>
    <row r="20733" spans="26:26" x14ac:dyDescent="0.25">
      <c r="Z20733">
        <v>400000</v>
      </c>
    </row>
    <row r="20734" spans="26:26" x14ac:dyDescent="0.25">
      <c r="Z20734">
        <v>400000</v>
      </c>
    </row>
    <row r="20735" spans="26:26" x14ac:dyDescent="0.25">
      <c r="Z20735">
        <v>400000</v>
      </c>
    </row>
    <row r="20736" spans="26:26" x14ac:dyDescent="0.25">
      <c r="Z20736">
        <v>400000</v>
      </c>
    </row>
    <row r="20737" spans="26:26" x14ac:dyDescent="0.25">
      <c r="Z20737">
        <v>400000</v>
      </c>
    </row>
    <row r="20738" spans="26:26" x14ac:dyDescent="0.25">
      <c r="Z20738">
        <v>400000</v>
      </c>
    </row>
    <row r="20739" spans="26:26" x14ac:dyDescent="0.25">
      <c r="Z20739">
        <v>400000</v>
      </c>
    </row>
    <row r="20740" spans="26:26" x14ac:dyDescent="0.25">
      <c r="Z20740">
        <v>400000</v>
      </c>
    </row>
    <row r="20741" spans="26:26" x14ac:dyDescent="0.25">
      <c r="Z20741">
        <v>400000</v>
      </c>
    </row>
    <row r="20742" spans="26:26" x14ac:dyDescent="0.25">
      <c r="Z20742">
        <v>400000</v>
      </c>
    </row>
    <row r="20743" spans="26:26" x14ac:dyDescent="0.25">
      <c r="Z20743">
        <v>400000</v>
      </c>
    </row>
    <row r="20744" spans="26:26" x14ac:dyDescent="0.25">
      <c r="Z20744">
        <v>400000</v>
      </c>
    </row>
    <row r="20745" spans="26:26" x14ac:dyDescent="0.25">
      <c r="Z20745">
        <v>400000</v>
      </c>
    </row>
    <row r="20746" spans="26:26" x14ac:dyDescent="0.25">
      <c r="Z20746">
        <v>400000</v>
      </c>
    </row>
    <row r="20747" spans="26:26" x14ac:dyDescent="0.25">
      <c r="Z20747">
        <v>400000</v>
      </c>
    </row>
    <row r="20748" spans="26:26" x14ac:dyDescent="0.25">
      <c r="Z20748">
        <v>400000</v>
      </c>
    </row>
    <row r="20749" spans="26:26" x14ac:dyDescent="0.25">
      <c r="Z20749">
        <v>400000</v>
      </c>
    </row>
    <row r="20750" spans="26:26" x14ac:dyDescent="0.25">
      <c r="Z20750">
        <v>400000</v>
      </c>
    </row>
    <row r="20751" spans="26:26" x14ac:dyDescent="0.25">
      <c r="Z20751">
        <v>400000</v>
      </c>
    </row>
    <row r="20752" spans="26:26" x14ac:dyDescent="0.25">
      <c r="Z20752">
        <v>400000</v>
      </c>
    </row>
    <row r="20753" spans="26:26" x14ac:dyDescent="0.25">
      <c r="Z20753">
        <v>400000</v>
      </c>
    </row>
    <row r="20754" spans="26:26" x14ac:dyDescent="0.25">
      <c r="Z20754">
        <v>400000</v>
      </c>
    </row>
    <row r="20755" spans="26:26" x14ac:dyDescent="0.25">
      <c r="Z20755">
        <v>400000</v>
      </c>
    </row>
    <row r="20756" spans="26:26" x14ac:dyDescent="0.25">
      <c r="Z20756">
        <v>400000</v>
      </c>
    </row>
    <row r="20757" spans="26:26" x14ac:dyDescent="0.25">
      <c r="Z20757">
        <v>400000</v>
      </c>
    </row>
    <row r="20758" spans="26:26" x14ac:dyDescent="0.25">
      <c r="Z20758">
        <v>400000</v>
      </c>
    </row>
    <row r="20759" spans="26:26" x14ac:dyDescent="0.25">
      <c r="Z20759">
        <v>400000</v>
      </c>
    </row>
    <row r="20760" spans="26:26" x14ac:dyDescent="0.25">
      <c r="Z20760">
        <v>400000</v>
      </c>
    </row>
    <row r="20761" spans="26:26" x14ac:dyDescent="0.25">
      <c r="Z20761">
        <v>400000</v>
      </c>
    </row>
    <row r="20762" spans="26:26" x14ac:dyDescent="0.25">
      <c r="Z20762">
        <v>400000</v>
      </c>
    </row>
    <row r="20763" spans="26:26" x14ac:dyDescent="0.25">
      <c r="Z20763">
        <v>400000</v>
      </c>
    </row>
    <row r="20764" spans="26:26" x14ac:dyDescent="0.25">
      <c r="Z20764">
        <v>400000</v>
      </c>
    </row>
    <row r="20765" spans="26:26" x14ac:dyDescent="0.25">
      <c r="Z20765">
        <v>400000</v>
      </c>
    </row>
    <row r="20766" spans="26:26" x14ac:dyDescent="0.25">
      <c r="Z20766">
        <v>400000</v>
      </c>
    </row>
    <row r="20767" spans="26:26" x14ac:dyDescent="0.25">
      <c r="Z20767">
        <v>400000</v>
      </c>
    </row>
    <row r="20768" spans="26:26" x14ac:dyDescent="0.25">
      <c r="Z20768">
        <v>400000</v>
      </c>
    </row>
    <row r="20769" spans="26:26" x14ac:dyDescent="0.25">
      <c r="Z20769">
        <v>400000</v>
      </c>
    </row>
    <row r="20770" spans="26:26" x14ac:dyDescent="0.25">
      <c r="Z20770">
        <v>400000</v>
      </c>
    </row>
    <row r="20771" spans="26:26" x14ac:dyDescent="0.25">
      <c r="Z20771">
        <v>400000</v>
      </c>
    </row>
    <row r="20772" spans="26:26" x14ac:dyDescent="0.25">
      <c r="Z20772">
        <v>400000</v>
      </c>
    </row>
    <row r="20773" spans="26:26" x14ac:dyDescent="0.25">
      <c r="Z20773">
        <v>400000</v>
      </c>
    </row>
    <row r="20774" spans="26:26" x14ac:dyDescent="0.25">
      <c r="Z20774">
        <v>400000</v>
      </c>
    </row>
    <row r="20775" spans="26:26" x14ac:dyDescent="0.25">
      <c r="Z20775">
        <v>400000</v>
      </c>
    </row>
    <row r="20776" spans="26:26" x14ac:dyDescent="0.25">
      <c r="Z20776">
        <v>400000</v>
      </c>
    </row>
    <row r="20777" spans="26:26" x14ac:dyDescent="0.25">
      <c r="Z20777">
        <v>400000</v>
      </c>
    </row>
    <row r="20778" spans="26:26" x14ac:dyDescent="0.25">
      <c r="Z20778">
        <v>400000</v>
      </c>
    </row>
    <row r="20779" spans="26:26" x14ac:dyDescent="0.25">
      <c r="Z20779">
        <v>400000</v>
      </c>
    </row>
    <row r="20780" spans="26:26" x14ac:dyDescent="0.25">
      <c r="Z20780">
        <v>400000</v>
      </c>
    </row>
    <row r="20781" spans="26:26" x14ac:dyDescent="0.25">
      <c r="Z20781">
        <v>400000</v>
      </c>
    </row>
    <row r="20782" spans="26:26" x14ac:dyDescent="0.25">
      <c r="Z20782">
        <v>400000</v>
      </c>
    </row>
    <row r="20783" spans="26:26" x14ac:dyDescent="0.25">
      <c r="Z20783">
        <v>400000</v>
      </c>
    </row>
    <row r="20784" spans="26:26" x14ac:dyDescent="0.25">
      <c r="Z20784">
        <v>400000</v>
      </c>
    </row>
    <row r="20785" spans="26:26" x14ac:dyDescent="0.25">
      <c r="Z20785">
        <v>400000</v>
      </c>
    </row>
    <row r="20786" spans="26:26" x14ac:dyDescent="0.25">
      <c r="Z20786">
        <v>400000</v>
      </c>
    </row>
    <row r="20787" spans="26:26" x14ac:dyDescent="0.25">
      <c r="Z20787">
        <v>400000</v>
      </c>
    </row>
    <row r="20788" spans="26:26" x14ac:dyDescent="0.25">
      <c r="Z20788">
        <v>400000</v>
      </c>
    </row>
    <row r="20789" spans="26:26" x14ac:dyDescent="0.25">
      <c r="Z20789">
        <v>400000</v>
      </c>
    </row>
    <row r="20790" spans="26:26" x14ac:dyDescent="0.25">
      <c r="Z20790">
        <v>400000</v>
      </c>
    </row>
    <row r="20791" spans="26:26" x14ac:dyDescent="0.25">
      <c r="Z20791">
        <v>400000</v>
      </c>
    </row>
    <row r="20792" spans="26:26" x14ac:dyDescent="0.25">
      <c r="Z20792">
        <v>400000</v>
      </c>
    </row>
    <row r="20793" spans="26:26" x14ac:dyDescent="0.25">
      <c r="Z20793">
        <v>400000</v>
      </c>
    </row>
    <row r="20794" spans="26:26" x14ac:dyDescent="0.25">
      <c r="Z20794">
        <v>400000</v>
      </c>
    </row>
    <row r="20795" spans="26:26" x14ac:dyDescent="0.25">
      <c r="Z20795">
        <v>400000</v>
      </c>
    </row>
    <row r="20796" spans="26:26" x14ac:dyDescent="0.25">
      <c r="Z20796">
        <v>400000</v>
      </c>
    </row>
    <row r="20797" spans="26:26" x14ac:dyDescent="0.25">
      <c r="Z20797">
        <v>400000</v>
      </c>
    </row>
    <row r="20798" spans="26:26" x14ac:dyDescent="0.25">
      <c r="Z20798">
        <v>400000</v>
      </c>
    </row>
    <row r="20799" spans="26:26" x14ac:dyDescent="0.25">
      <c r="Z20799">
        <v>400000</v>
      </c>
    </row>
    <row r="20800" spans="26:26" x14ac:dyDescent="0.25">
      <c r="Z20800">
        <v>400000</v>
      </c>
    </row>
    <row r="20801" spans="26:26" x14ac:dyDescent="0.25">
      <c r="Z20801">
        <v>400000</v>
      </c>
    </row>
    <row r="20802" spans="26:26" x14ac:dyDescent="0.25">
      <c r="Z20802">
        <v>400000</v>
      </c>
    </row>
    <row r="20803" spans="26:26" x14ac:dyDescent="0.25">
      <c r="Z20803">
        <v>400000</v>
      </c>
    </row>
    <row r="20804" spans="26:26" x14ac:dyDescent="0.25">
      <c r="Z20804">
        <v>400000</v>
      </c>
    </row>
    <row r="20805" spans="26:26" x14ac:dyDescent="0.25">
      <c r="Z20805">
        <v>400000</v>
      </c>
    </row>
    <row r="20806" spans="26:26" x14ac:dyDescent="0.25">
      <c r="Z20806">
        <v>400000</v>
      </c>
    </row>
    <row r="20807" spans="26:26" x14ac:dyDescent="0.25">
      <c r="Z20807">
        <v>400000</v>
      </c>
    </row>
    <row r="20808" spans="26:26" x14ac:dyDescent="0.25">
      <c r="Z20808">
        <v>400000</v>
      </c>
    </row>
    <row r="20809" spans="26:26" x14ac:dyDescent="0.25">
      <c r="Z20809">
        <v>400000</v>
      </c>
    </row>
    <row r="20810" spans="26:26" x14ac:dyDescent="0.25">
      <c r="Z20810">
        <v>400000</v>
      </c>
    </row>
    <row r="20811" spans="26:26" x14ac:dyDescent="0.25">
      <c r="Z20811">
        <v>400000</v>
      </c>
    </row>
    <row r="20812" spans="26:26" x14ac:dyDescent="0.25">
      <c r="Z20812">
        <v>400000</v>
      </c>
    </row>
    <row r="20813" spans="26:26" x14ac:dyDescent="0.25">
      <c r="Z20813">
        <v>400000</v>
      </c>
    </row>
    <row r="20814" spans="26:26" x14ac:dyDescent="0.25">
      <c r="Z20814">
        <v>400000</v>
      </c>
    </row>
    <row r="20815" spans="26:26" x14ac:dyDescent="0.25">
      <c r="Z20815">
        <v>400000</v>
      </c>
    </row>
    <row r="20816" spans="26:26" x14ac:dyDescent="0.25">
      <c r="Z20816">
        <v>400000</v>
      </c>
    </row>
    <row r="20817" spans="26:26" x14ac:dyDescent="0.25">
      <c r="Z20817">
        <v>400000</v>
      </c>
    </row>
    <row r="20818" spans="26:26" x14ac:dyDescent="0.25">
      <c r="Z20818">
        <v>400000</v>
      </c>
    </row>
    <row r="20819" spans="26:26" x14ac:dyDescent="0.25">
      <c r="Z20819">
        <v>400000</v>
      </c>
    </row>
    <row r="20820" spans="26:26" x14ac:dyDescent="0.25">
      <c r="Z20820">
        <v>400000</v>
      </c>
    </row>
    <row r="20821" spans="26:26" x14ac:dyDescent="0.25">
      <c r="Z20821">
        <v>400000</v>
      </c>
    </row>
    <row r="20822" spans="26:26" x14ac:dyDescent="0.25">
      <c r="Z20822">
        <v>400000</v>
      </c>
    </row>
    <row r="20823" spans="26:26" x14ac:dyDescent="0.25">
      <c r="Z20823">
        <v>400000</v>
      </c>
    </row>
    <row r="20824" spans="26:26" x14ac:dyDescent="0.25">
      <c r="Z20824">
        <v>400000</v>
      </c>
    </row>
    <row r="20825" spans="26:26" x14ac:dyDescent="0.25">
      <c r="Z20825">
        <v>400000</v>
      </c>
    </row>
    <row r="20826" spans="26:26" x14ac:dyDescent="0.25">
      <c r="Z20826">
        <v>400000</v>
      </c>
    </row>
    <row r="20827" spans="26:26" x14ac:dyDescent="0.25">
      <c r="Z20827">
        <v>400000</v>
      </c>
    </row>
    <row r="20828" spans="26:26" x14ac:dyDescent="0.25">
      <c r="Z20828">
        <v>400000</v>
      </c>
    </row>
    <row r="20829" spans="26:26" x14ac:dyDescent="0.25">
      <c r="Z20829">
        <v>400000</v>
      </c>
    </row>
    <row r="20830" spans="26:26" x14ac:dyDescent="0.25">
      <c r="Z20830">
        <v>400000</v>
      </c>
    </row>
    <row r="20831" spans="26:26" x14ac:dyDescent="0.25">
      <c r="Z20831">
        <v>400000</v>
      </c>
    </row>
    <row r="20832" spans="26:26" x14ac:dyDescent="0.25">
      <c r="Z20832">
        <v>400000</v>
      </c>
    </row>
    <row r="20833" spans="26:26" x14ac:dyDescent="0.25">
      <c r="Z20833">
        <v>400000</v>
      </c>
    </row>
    <row r="20834" spans="26:26" x14ac:dyDescent="0.25">
      <c r="Z20834">
        <v>400000</v>
      </c>
    </row>
    <row r="20835" spans="26:26" x14ac:dyDescent="0.25">
      <c r="Z20835">
        <v>400000</v>
      </c>
    </row>
    <row r="20836" spans="26:26" x14ac:dyDescent="0.25">
      <c r="Z20836">
        <v>400000</v>
      </c>
    </row>
    <row r="20837" spans="26:26" x14ac:dyDescent="0.25">
      <c r="Z20837">
        <v>400000</v>
      </c>
    </row>
    <row r="20838" spans="26:26" x14ac:dyDescent="0.25">
      <c r="Z20838">
        <v>400000</v>
      </c>
    </row>
    <row r="20839" spans="26:26" x14ac:dyDescent="0.25">
      <c r="Z20839">
        <v>400000</v>
      </c>
    </row>
    <row r="20840" spans="26:26" x14ac:dyDescent="0.25">
      <c r="Z20840">
        <v>400000</v>
      </c>
    </row>
    <row r="20841" spans="26:26" x14ac:dyDescent="0.25">
      <c r="Z20841">
        <v>400000</v>
      </c>
    </row>
    <row r="20842" spans="26:26" x14ac:dyDescent="0.25">
      <c r="Z20842">
        <v>400000</v>
      </c>
    </row>
    <row r="20843" spans="26:26" x14ac:dyDescent="0.25">
      <c r="Z20843">
        <v>400000</v>
      </c>
    </row>
    <row r="20844" spans="26:26" x14ac:dyDescent="0.25">
      <c r="Z20844">
        <v>400000</v>
      </c>
    </row>
    <row r="20845" spans="26:26" x14ac:dyDescent="0.25">
      <c r="Z20845">
        <v>400000</v>
      </c>
    </row>
    <row r="20846" spans="26:26" x14ac:dyDescent="0.25">
      <c r="Z20846">
        <v>400000</v>
      </c>
    </row>
    <row r="20847" spans="26:26" x14ac:dyDescent="0.25">
      <c r="Z20847">
        <v>400000</v>
      </c>
    </row>
    <row r="20848" spans="26:26" x14ac:dyDescent="0.25">
      <c r="Z20848">
        <v>400000</v>
      </c>
    </row>
    <row r="20849" spans="26:26" x14ac:dyDescent="0.25">
      <c r="Z20849">
        <v>400000</v>
      </c>
    </row>
    <row r="20850" spans="26:26" x14ac:dyDescent="0.25">
      <c r="Z20850">
        <v>400000</v>
      </c>
    </row>
    <row r="20851" spans="26:26" x14ac:dyDescent="0.25">
      <c r="Z20851">
        <v>400000</v>
      </c>
    </row>
    <row r="20852" spans="26:26" x14ac:dyDescent="0.25">
      <c r="Z20852">
        <v>400000</v>
      </c>
    </row>
    <row r="20853" spans="26:26" x14ac:dyDescent="0.25">
      <c r="Z20853">
        <v>400000</v>
      </c>
    </row>
    <row r="20854" spans="26:26" x14ac:dyDescent="0.25">
      <c r="Z20854">
        <v>400000</v>
      </c>
    </row>
    <row r="20855" spans="26:26" x14ac:dyDescent="0.25">
      <c r="Z20855">
        <v>400000</v>
      </c>
    </row>
    <row r="20856" spans="26:26" x14ac:dyDescent="0.25">
      <c r="Z20856">
        <v>400000</v>
      </c>
    </row>
    <row r="20857" spans="26:26" x14ac:dyDescent="0.25">
      <c r="Z20857">
        <v>400000</v>
      </c>
    </row>
    <row r="20858" spans="26:26" x14ac:dyDescent="0.25">
      <c r="Z20858">
        <v>400000</v>
      </c>
    </row>
    <row r="20859" spans="26:26" x14ac:dyDescent="0.25">
      <c r="Z20859">
        <v>400000</v>
      </c>
    </row>
    <row r="20860" spans="26:26" x14ac:dyDescent="0.25">
      <c r="Z20860">
        <v>400000</v>
      </c>
    </row>
    <row r="20861" spans="26:26" x14ac:dyDescent="0.25">
      <c r="Z20861">
        <v>400000</v>
      </c>
    </row>
    <row r="20862" spans="26:26" x14ac:dyDescent="0.25">
      <c r="Z20862">
        <v>400000</v>
      </c>
    </row>
    <row r="20863" spans="26:26" x14ac:dyDescent="0.25">
      <c r="Z20863">
        <v>400000</v>
      </c>
    </row>
    <row r="20864" spans="26:26" x14ac:dyDescent="0.25">
      <c r="Z20864">
        <v>400000</v>
      </c>
    </row>
    <row r="20865" spans="26:26" x14ac:dyDescent="0.25">
      <c r="Z20865">
        <v>400000</v>
      </c>
    </row>
    <row r="20866" spans="26:26" x14ac:dyDescent="0.25">
      <c r="Z20866">
        <v>400000</v>
      </c>
    </row>
    <row r="20867" spans="26:26" x14ac:dyDescent="0.25">
      <c r="Z20867">
        <v>400000</v>
      </c>
    </row>
    <row r="20868" spans="26:26" x14ac:dyDescent="0.25">
      <c r="Z20868">
        <v>400000</v>
      </c>
    </row>
    <row r="20869" spans="26:26" x14ac:dyDescent="0.25">
      <c r="Z20869">
        <v>400000</v>
      </c>
    </row>
    <row r="20870" spans="26:26" x14ac:dyDescent="0.25">
      <c r="Z20870">
        <v>400000</v>
      </c>
    </row>
    <row r="20871" spans="26:26" x14ac:dyDescent="0.25">
      <c r="Z20871">
        <v>400000</v>
      </c>
    </row>
    <row r="20872" spans="26:26" x14ac:dyDescent="0.25">
      <c r="Z20872">
        <v>400000</v>
      </c>
    </row>
    <row r="20873" spans="26:26" x14ac:dyDescent="0.25">
      <c r="Z20873">
        <v>400000</v>
      </c>
    </row>
    <row r="20874" spans="26:26" x14ac:dyDescent="0.25">
      <c r="Z20874">
        <v>400000</v>
      </c>
    </row>
    <row r="20875" spans="26:26" x14ac:dyDescent="0.25">
      <c r="Z20875">
        <v>400000</v>
      </c>
    </row>
    <row r="20876" spans="26:26" x14ac:dyDescent="0.25">
      <c r="Z20876">
        <v>400000</v>
      </c>
    </row>
    <row r="20877" spans="26:26" x14ac:dyDescent="0.25">
      <c r="Z20877">
        <v>400000</v>
      </c>
    </row>
    <row r="20878" spans="26:26" x14ac:dyDescent="0.25">
      <c r="Z20878">
        <v>400000</v>
      </c>
    </row>
    <row r="20879" spans="26:26" x14ac:dyDescent="0.25">
      <c r="Z20879">
        <v>400000</v>
      </c>
    </row>
    <row r="20880" spans="26:26" x14ac:dyDescent="0.25">
      <c r="Z20880">
        <v>400000</v>
      </c>
    </row>
    <row r="20881" spans="26:26" x14ac:dyDescent="0.25">
      <c r="Z20881">
        <v>400000</v>
      </c>
    </row>
    <row r="20882" spans="26:26" x14ac:dyDescent="0.25">
      <c r="Z20882">
        <v>400000</v>
      </c>
    </row>
    <row r="20883" spans="26:26" x14ac:dyDescent="0.25">
      <c r="Z20883">
        <v>400000</v>
      </c>
    </row>
    <row r="20884" spans="26:26" x14ac:dyDescent="0.25">
      <c r="Z20884">
        <v>400000</v>
      </c>
    </row>
    <row r="20885" spans="26:26" x14ac:dyDescent="0.25">
      <c r="Z20885">
        <v>400000</v>
      </c>
    </row>
    <row r="20886" spans="26:26" x14ac:dyDescent="0.25">
      <c r="Z20886">
        <v>400000</v>
      </c>
    </row>
    <row r="20887" spans="26:26" x14ac:dyDescent="0.25">
      <c r="Z20887">
        <v>400000</v>
      </c>
    </row>
    <row r="20888" spans="26:26" x14ac:dyDescent="0.25">
      <c r="Z20888">
        <v>400000</v>
      </c>
    </row>
    <row r="20889" spans="26:26" x14ac:dyDescent="0.25">
      <c r="Z20889">
        <v>400000</v>
      </c>
    </row>
    <row r="20890" spans="26:26" x14ac:dyDescent="0.25">
      <c r="Z20890">
        <v>400000</v>
      </c>
    </row>
    <row r="20891" spans="26:26" x14ac:dyDescent="0.25">
      <c r="Z20891">
        <v>400000</v>
      </c>
    </row>
    <row r="20892" spans="26:26" x14ac:dyDescent="0.25">
      <c r="Z20892">
        <v>400000</v>
      </c>
    </row>
    <row r="20893" spans="26:26" x14ac:dyDescent="0.25">
      <c r="Z20893">
        <v>400000</v>
      </c>
    </row>
    <row r="20894" spans="26:26" x14ac:dyDescent="0.25">
      <c r="Z20894">
        <v>400000</v>
      </c>
    </row>
    <row r="20895" spans="26:26" x14ac:dyDescent="0.25">
      <c r="Z20895">
        <v>400000</v>
      </c>
    </row>
    <row r="20896" spans="26:26" x14ac:dyDescent="0.25">
      <c r="Z20896">
        <v>400000</v>
      </c>
    </row>
    <row r="20897" spans="26:26" x14ac:dyDescent="0.25">
      <c r="Z20897">
        <v>400000</v>
      </c>
    </row>
    <row r="20898" spans="26:26" x14ac:dyDescent="0.25">
      <c r="Z20898">
        <v>400000</v>
      </c>
    </row>
    <row r="20899" spans="26:26" x14ac:dyDescent="0.25">
      <c r="Z20899">
        <v>400000</v>
      </c>
    </row>
    <row r="20900" spans="26:26" x14ac:dyDescent="0.25">
      <c r="Z20900">
        <v>400000</v>
      </c>
    </row>
    <row r="20901" spans="26:26" x14ac:dyDescent="0.25">
      <c r="Z20901">
        <v>400000</v>
      </c>
    </row>
    <row r="20902" spans="26:26" x14ac:dyDescent="0.25">
      <c r="Z20902">
        <v>400000</v>
      </c>
    </row>
    <row r="20903" spans="26:26" x14ac:dyDescent="0.25">
      <c r="Z20903">
        <v>400000</v>
      </c>
    </row>
    <row r="20904" spans="26:26" x14ac:dyDescent="0.25">
      <c r="Z20904">
        <v>400000</v>
      </c>
    </row>
    <row r="20905" spans="26:26" x14ac:dyDescent="0.25">
      <c r="Z20905">
        <v>400000</v>
      </c>
    </row>
    <row r="20906" spans="26:26" x14ac:dyDescent="0.25">
      <c r="Z20906">
        <v>400000</v>
      </c>
    </row>
    <row r="20907" spans="26:26" x14ac:dyDescent="0.25">
      <c r="Z20907">
        <v>400000</v>
      </c>
    </row>
    <row r="20908" spans="26:26" x14ac:dyDescent="0.25">
      <c r="Z20908">
        <v>400000</v>
      </c>
    </row>
    <row r="20909" spans="26:26" x14ac:dyDescent="0.25">
      <c r="Z20909">
        <v>400000</v>
      </c>
    </row>
    <row r="20910" spans="26:26" x14ac:dyDescent="0.25">
      <c r="Z20910">
        <v>400000</v>
      </c>
    </row>
    <row r="20911" spans="26:26" x14ac:dyDescent="0.25">
      <c r="Z20911">
        <v>400000</v>
      </c>
    </row>
    <row r="20912" spans="26:26" x14ac:dyDescent="0.25">
      <c r="Z20912">
        <v>400000</v>
      </c>
    </row>
    <row r="20913" spans="26:26" x14ac:dyDescent="0.25">
      <c r="Z20913">
        <v>400000</v>
      </c>
    </row>
    <row r="20914" spans="26:26" x14ac:dyDescent="0.25">
      <c r="Z20914">
        <v>400000</v>
      </c>
    </row>
    <row r="20915" spans="26:26" x14ac:dyDescent="0.25">
      <c r="Z20915">
        <v>400000</v>
      </c>
    </row>
    <row r="20916" spans="26:26" x14ac:dyDescent="0.25">
      <c r="Z20916">
        <v>400000</v>
      </c>
    </row>
    <row r="20917" spans="26:26" x14ac:dyDescent="0.25">
      <c r="Z20917">
        <v>400000</v>
      </c>
    </row>
    <row r="20918" spans="26:26" x14ac:dyDescent="0.25">
      <c r="Z20918">
        <v>400000</v>
      </c>
    </row>
    <row r="20919" spans="26:26" x14ac:dyDescent="0.25">
      <c r="Z20919">
        <v>400000</v>
      </c>
    </row>
    <row r="20920" spans="26:26" x14ac:dyDescent="0.25">
      <c r="Z20920">
        <v>400000</v>
      </c>
    </row>
    <row r="20921" spans="26:26" x14ac:dyDescent="0.25">
      <c r="Z20921">
        <v>400000</v>
      </c>
    </row>
    <row r="20922" spans="26:26" x14ac:dyDescent="0.25">
      <c r="Z20922">
        <v>400000</v>
      </c>
    </row>
    <row r="20923" spans="26:26" x14ac:dyDescent="0.25">
      <c r="Z20923">
        <v>400000</v>
      </c>
    </row>
    <row r="20924" spans="26:26" x14ac:dyDescent="0.25">
      <c r="Z20924">
        <v>400000</v>
      </c>
    </row>
    <row r="20925" spans="26:26" x14ac:dyDescent="0.25">
      <c r="Z20925">
        <v>400000</v>
      </c>
    </row>
    <row r="20926" spans="26:26" x14ac:dyDescent="0.25">
      <c r="Z20926">
        <v>400000</v>
      </c>
    </row>
    <row r="20927" spans="26:26" x14ac:dyDescent="0.25">
      <c r="Z20927">
        <v>400000</v>
      </c>
    </row>
    <row r="20928" spans="26:26" x14ac:dyDescent="0.25">
      <c r="Z20928">
        <v>400000</v>
      </c>
    </row>
    <row r="20929" spans="26:26" x14ac:dyDescent="0.25">
      <c r="Z20929">
        <v>400000</v>
      </c>
    </row>
    <row r="20930" spans="26:26" x14ac:dyDescent="0.25">
      <c r="Z20930">
        <v>400000</v>
      </c>
    </row>
    <row r="20931" spans="26:26" x14ac:dyDescent="0.25">
      <c r="Z20931">
        <v>400000</v>
      </c>
    </row>
    <row r="20932" spans="26:26" x14ac:dyDescent="0.25">
      <c r="Z20932">
        <v>400000</v>
      </c>
    </row>
    <row r="20933" spans="26:26" x14ac:dyDescent="0.25">
      <c r="Z20933">
        <v>400000</v>
      </c>
    </row>
    <row r="20934" spans="26:26" x14ac:dyDescent="0.25">
      <c r="Z20934">
        <v>400000</v>
      </c>
    </row>
    <row r="20935" spans="26:26" x14ac:dyDescent="0.25">
      <c r="Z20935">
        <v>400000</v>
      </c>
    </row>
    <row r="20936" spans="26:26" x14ac:dyDescent="0.25">
      <c r="Z20936">
        <v>400000</v>
      </c>
    </row>
    <row r="20937" spans="26:26" x14ac:dyDescent="0.25">
      <c r="Z20937">
        <v>400000</v>
      </c>
    </row>
    <row r="20938" spans="26:26" x14ac:dyDescent="0.25">
      <c r="Z20938">
        <v>400000</v>
      </c>
    </row>
    <row r="20939" spans="26:26" x14ac:dyDescent="0.25">
      <c r="Z20939">
        <v>400000</v>
      </c>
    </row>
    <row r="20940" spans="26:26" x14ac:dyDescent="0.25">
      <c r="Z20940">
        <v>400000</v>
      </c>
    </row>
    <row r="20941" spans="26:26" x14ac:dyDescent="0.25">
      <c r="Z20941">
        <v>400000</v>
      </c>
    </row>
    <row r="20942" spans="26:26" x14ac:dyDescent="0.25">
      <c r="Z20942">
        <v>400000</v>
      </c>
    </row>
    <row r="20943" spans="26:26" x14ac:dyDescent="0.25">
      <c r="Z20943">
        <v>400000</v>
      </c>
    </row>
    <row r="20944" spans="26:26" x14ac:dyDescent="0.25">
      <c r="Z20944">
        <v>400000</v>
      </c>
    </row>
    <row r="20945" spans="26:26" x14ac:dyDescent="0.25">
      <c r="Z20945">
        <v>400000</v>
      </c>
    </row>
    <row r="20946" spans="26:26" x14ac:dyDescent="0.25">
      <c r="Z20946">
        <v>400000</v>
      </c>
    </row>
    <row r="20947" spans="26:26" x14ac:dyDescent="0.25">
      <c r="Z20947">
        <v>400000</v>
      </c>
    </row>
    <row r="20948" spans="26:26" x14ac:dyDescent="0.25">
      <c r="Z20948">
        <v>400000</v>
      </c>
    </row>
    <row r="20949" spans="26:26" x14ac:dyDescent="0.25">
      <c r="Z20949">
        <v>400000</v>
      </c>
    </row>
    <row r="20950" spans="26:26" x14ac:dyDescent="0.25">
      <c r="Z20950">
        <v>400000</v>
      </c>
    </row>
    <row r="20951" spans="26:26" x14ac:dyDescent="0.25">
      <c r="Z20951">
        <v>400000</v>
      </c>
    </row>
    <row r="20952" spans="26:26" x14ac:dyDescent="0.25">
      <c r="Z20952">
        <v>400000</v>
      </c>
    </row>
    <row r="20953" spans="26:26" x14ac:dyDescent="0.25">
      <c r="Z20953">
        <v>400000</v>
      </c>
    </row>
    <row r="20954" spans="26:26" x14ac:dyDescent="0.25">
      <c r="Z20954">
        <v>400000</v>
      </c>
    </row>
    <row r="20955" spans="26:26" x14ac:dyDescent="0.25">
      <c r="Z20955">
        <v>400000</v>
      </c>
    </row>
    <row r="20956" spans="26:26" x14ac:dyDescent="0.25">
      <c r="Z20956">
        <v>400000</v>
      </c>
    </row>
    <row r="20957" spans="26:26" x14ac:dyDescent="0.25">
      <c r="Z20957">
        <v>400000</v>
      </c>
    </row>
    <row r="20958" spans="26:26" x14ac:dyDescent="0.25">
      <c r="Z20958">
        <v>400000</v>
      </c>
    </row>
    <row r="20959" spans="26:26" x14ac:dyDescent="0.25">
      <c r="Z20959">
        <v>400000</v>
      </c>
    </row>
    <row r="20960" spans="26:26" x14ac:dyDescent="0.25">
      <c r="Z20960">
        <v>400000</v>
      </c>
    </row>
    <row r="20961" spans="26:26" x14ac:dyDescent="0.25">
      <c r="Z20961">
        <v>400000</v>
      </c>
    </row>
    <row r="20962" spans="26:26" x14ac:dyDescent="0.25">
      <c r="Z20962">
        <v>400000</v>
      </c>
    </row>
    <row r="20963" spans="26:26" x14ac:dyDescent="0.25">
      <c r="Z20963">
        <v>400000</v>
      </c>
    </row>
    <row r="20964" spans="26:26" x14ac:dyDescent="0.25">
      <c r="Z20964">
        <v>400000</v>
      </c>
    </row>
    <row r="20965" spans="26:26" x14ac:dyDescent="0.25">
      <c r="Z20965">
        <v>400000</v>
      </c>
    </row>
    <row r="20966" spans="26:26" x14ac:dyDescent="0.25">
      <c r="Z20966">
        <v>400000</v>
      </c>
    </row>
    <row r="20967" spans="26:26" x14ac:dyDescent="0.25">
      <c r="Z20967">
        <v>400000</v>
      </c>
    </row>
    <row r="20968" spans="26:26" x14ac:dyDescent="0.25">
      <c r="Z20968">
        <v>400000</v>
      </c>
    </row>
    <row r="20969" spans="26:26" x14ac:dyDescent="0.25">
      <c r="Z20969">
        <v>400000</v>
      </c>
    </row>
    <row r="20970" spans="26:26" x14ac:dyDescent="0.25">
      <c r="Z20970">
        <v>400000</v>
      </c>
    </row>
    <row r="20971" spans="26:26" x14ac:dyDescent="0.25">
      <c r="Z20971">
        <v>400000</v>
      </c>
    </row>
    <row r="20972" spans="26:26" x14ac:dyDescent="0.25">
      <c r="Z20972">
        <v>400000</v>
      </c>
    </row>
    <row r="20973" spans="26:26" x14ac:dyDescent="0.25">
      <c r="Z20973">
        <v>400000</v>
      </c>
    </row>
    <row r="20974" spans="26:26" x14ac:dyDescent="0.25">
      <c r="Z20974">
        <v>400000</v>
      </c>
    </row>
    <row r="20975" spans="26:26" x14ac:dyDescent="0.25">
      <c r="Z20975">
        <v>400000</v>
      </c>
    </row>
    <row r="20976" spans="26:26" x14ac:dyDescent="0.25">
      <c r="Z20976">
        <v>400000</v>
      </c>
    </row>
    <row r="20977" spans="26:26" x14ac:dyDescent="0.25">
      <c r="Z20977">
        <v>400000</v>
      </c>
    </row>
    <row r="20978" spans="26:26" x14ac:dyDescent="0.25">
      <c r="Z20978">
        <v>400000</v>
      </c>
    </row>
    <row r="20979" spans="26:26" x14ac:dyDescent="0.25">
      <c r="Z20979">
        <v>400000</v>
      </c>
    </row>
    <row r="20980" spans="26:26" x14ac:dyDescent="0.25">
      <c r="Z20980">
        <v>400000</v>
      </c>
    </row>
    <row r="20981" spans="26:26" x14ac:dyDescent="0.25">
      <c r="Z20981">
        <v>400000</v>
      </c>
    </row>
    <row r="20982" spans="26:26" x14ac:dyDescent="0.25">
      <c r="Z20982">
        <v>400000</v>
      </c>
    </row>
    <row r="20983" spans="26:26" x14ac:dyDescent="0.25">
      <c r="Z20983">
        <v>400000</v>
      </c>
    </row>
    <row r="20984" spans="26:26" x14ac:dyDescent="0.25">
      <c r="Z20984">
        <v>400000</v>
      </c>
    </row>
    <row r="20985" spans="26:26" x14ac:dyDescent="0.25">
      <c r="Z20985">
        <v>400000</v>
      </c>
    </row>
    <row r="20986" spans="26:26" x14ac:dyDescent="0.25">
      <c r="Z20986">
        <v>400000</v>
      </c>
    </row>
    <row r="20987" spans="26:26" x14ac:dyDescent="0.25">
      <c r="Z20987">
        <v>400000</v>
      </c>
    </row>
    <row r="20988" spans="26:26" x14ac:dyDescent="0.25">
      <c r="Z20988">
        <v>400000</v>
      </c>
    </row>
    <row r="20989" spans="26:26" x14ac:dyDescent="0.25">
      <c r="Z20989">
        <v>400000</v>
      </c>
    </row>
    <row r="20990" spans="26:26" x14ac:dyDescent="0.25">
      <c r="Z20990">
        <v>400000</v>
      </c>
    </row>
    <row r="20991" spans="26:26" x14ac:dyDescent="0.25">
      <c r="Z20991">
        <v>400000</v>
      </c>
    </row>
    <row r="20992" spans="26:26" x14ac:dyDescent="0.25">
      <c r="Z20992">
        <v>400000</v>
      </c>
    </row>
    <row r="20993" spans="26:26" x14ac:dyDescent="0.25">
      <c r="Z20993">
        <v>400000</v>
      </c>
    </row>
    <row r="20994" spans="26:26" x14ac:dyDescent="0.25">
      <c r="Z20994">
        <v>400000</v>
      </c>
    </row>
    <row r="20995" spans="26:26" x14ac:dyDescent="0.25">
      <c r="Z20995">
        <v>400000</v>
      </c>
    </row>
    <row r="20996" spans="26:26" x14ac:dyDescent="0.25">
      <c r="Z20996">
        <v>400000</v>
      </c>
    </row>
    <row r="20997" spans="26:26" x14ac:dyDescent="0.25">
      <c r="Z20997">
        <v>400000</v>
      </c>
    </row>
    <row r="20998" spans="26:26" x14ac:dyDescent="0.25">
      <c r="Z20998">
        <v>400000</v>
      </c>
    </row>
    <row r="20999" spans="26:26" x14ac:dyDescent="0.25">
      <c r="Z20999">
        <v>400000</v>
      </c>
    </row>
    <row r="21000" spans="26:26" x14ac:dyDescent="0.25">
      <c r="Z21000">
        <v>400000</v>
      </c>
    </row>
    <row r="21001" spans="26:26" x14ac:dyDescent="0.25">
      <c r="Z21001">
        <v>400000</v>
      </c>
    </row>
    <row r="21002" spans="26:26" x14ac:dyDescent="0.25">
      <c r="Z21002">
        <v>400000</v>
      </c>
    </row>
    <row r="21003" spans="26:26" x14ac:dyDescent="0.25">
      <c r="Z21003">
        <v>400000</v>
      </c>
    </row>
    <row r="21004" spans="26:26" x14ac:dyDescent="0.25">
      <c r="Z21004">
        <v>400000</v>
      </c>
    </row>
    <row r="21005" spans="26:26" x14ac:dyDescent="0.25">
      <c r="Z21005">
        <v>400000</v>
      </c>
    </row>
    <row r="21006" spans="26:26" x14ac:dyDescent="0.25">
      <c r="Z21006">
        <v>400000</v>
      </c>
    </row>
    <row r="21007" spans="26:26" x14ac:dyDescent="0.25">
      <c r="Z21007">
        <v>400000</v>
      </c>
    </row>
    <row r="21008" spans="26:26" x14ac:dyDescent="0.25">
      <c r="Z21008">
        <v>400000</v>
      </c>
    </row>
    <row r="21009" spans="26:26" x14ac:dyDescent="0.25">
      <c r="Z21009">
        <v>400000</v>
      </c>
    </row>
    <row r="21010" spans="26:26" x14ac:dyDescent="0.25">
      <c r="Z21010">
        <v>400000</v>
      </c>
    </row>
    <row r="21011" spans="26:26" x14ac:dyDescent="0.25">
      <c r="Z21011">
        <v>400000</v>
      </c>
    </row>
    <row r="21012" spans="26:26" x14ac:dyDescent="0.25">
      <c r="Z21012">
        <v>400000</v>
      </c>
    </row>
    <row r="21013" spans="26:26" x14ac:dyDescent="0.25">
      <c r="Z21013">
        <v>400000</v>
      </c>
    </row>
    <row r="21014" spans="26:26" x14ac:dyDescent="0.25">
      <c r="Z21014">
        <v>400000</v>
      </c>
    </row>
    <row r="21015" spans="26:26" x14ac:dyDescent="0.25">
      <c r="Z21015">
        <v>400000</v>
      </c>
    </row>
    <row r="21016" spans="26:26" x14ac:dyDescent="0.25">
      <c r="Z21016">
        <v>400000</v>
      </c>
    </row>
    <row r="21017" spans="26:26" x14ac:dyDescent="0.25">
      <c r="Z21017">
        <v>400000</v>
      </c>
    </row>
    <row r="21018" spans="26:26" x14ac:dyDescent="0.25">
      <c r="Z21018">
        <v>400000</v>
      </c>
    </row>
    <row r="21019" spans="26:26" x14ac:dyDescent="0.25">
      <c r="Z21019">
        <v>400000</v>
      </c>
    </row>
    <row r="21020" spans="26:26" x14ac:dyDescent="0.25">
      <c r="Z21020">
        <v>400000</v>
      </c>
    </row>
    <row r="21021" spans="26:26" x14ac:dyDescent="0.25">
      <c r="Z21021">
        <v>400000</v>
      </c>
    </row>
    <row r="21022" spans="26:26" x14ac:dyDescent="0.25">
      <c r="Z21022">
        <v>400000</v>
      </c>
    </row>
    <row r="21023" spans="26:26" x14ac:dyDescent="0.25">
      <c r="Z21023">
        <v>400000</v>
      </c>
    </row>
    <row r="21024" spans="26:26" x14ac:dyDescent="0.25">
      <c r="Z21024">
        <v>400000</v>
      </c>
    </row>
    <row r="21025" spans="26:26" x14ac:dyDescent="0.25">
      <c r="Z21025">
        <v>400000</v>
      </c>
    </row>
    <row r="21026" spans="26:26" x14ac:dyDescent="0.25">
      <c r="Z21026">
        <v>400000</v>
      </c>
    </row>
    <row r="21027" spans="26:26" x14ac:dyDescent="0.25">
      <c r="Z21027">
        <v>400000</v>
      </c>
    </row>
    <row r="21028" spans="26:26" x14ac:dyDescent="0.25">
      <c r="Z21028">
        <v>400000</v>
      </c>
    </row>
    <row r="21029" spans="26:26" x14ac:dyDescent="0.25">
      <c r="Z21029">
        <v>400000</v>
      </c>
    </row>
    <row r="21030" spans="26:26" x14ac:dyDescent="0.25">
      <c r="Z21030">
        <v>400000</v>
      </c>
    </row>
    <row r="21031" spans="26:26" x14ac:dyDescent="0.25">
      <c r="Z21031">
        <v>400000</v>
      </c>
    </row>
    <row r="21032" spans="26:26" x14ac:dyDescent="0.25">
      <c r="Z21032">
        <v>400000</v>
      </c>
    </row>
    <row r="21033" spans="26:26" x14ac:dyDescent="0.25">
      <c r="Z21033">
        <v>400000</v>
      </c>
    </row>
    <row r="21034" spans="26:26" x14ac:dyDescent="0.25">
      <c r="Z21034">
        <v>400000</v>
      </c>
    </row>
    <row r="21035" spans="26:26" x14ac:dyDescent="0.25">
      <c r="Z21035">
        <v>400000</v>
      </c>
    </row>
    <row r="21036" spans="26:26" x14ac:dyDescent="0.25">
      <c r="Z21036">
        <v>400000</v>
      </c>
    </row>
    <row r="21037" spans="26:26" x14ac:dyDescent="0.25">
      <c r="Z21037">
        <v>400000</v>
      </c>
    </row>
    <row r="21038" spans="26:26" x14ac:dyDescent="0.25">
      <c r="Z21038">
        <v>400000</v>
      </c>
    </row>
    <row r="21039" spans="26:26" x14ac:dyDescent="0.25">
      <c r="Z21039">
        <v>400000</v>
      </c>
    </row>
    <row r="21040" spans="26:26" x14ac:dyDescent="0.25">
      <c r="Z21040">
        <v>400000</v>
      </c>
    </row>
    <row r="21041" spans="26:26" x14ac:dyDescent="0.25">
      <c r="Z21041">
        <v>400000</v>
      </c>
    </row>
    <row r="21042" spans="26:26" x14ac:dyDescent="0.25">
      <c r="Z21042">
        <v>400000</v>
      </c>
    </row>
    <row r="21043" spans="26:26" x14ac:dyDescent="0.25">
      <c r="Z21043">
        <v>400000</v>
      </c>
    </row>
    <row r="21044" spans="26:26" x14ac:dyDescent="0.25">
      <c r="Z21044">
        <v>400000</v>
      </c>
    </row>
    <row r="21045" spans="26:26" x14ac:dyDescent="0.25">
      <c r="Z21045">
        <v>400000</v>
      </c>
    </row>
    <row r="21046" spans="26:26" x14ac:dyDescent="0.25">
      <c r="Z21046">
        <v>400000</v>
      </c>
    </row>
    <row r="21047" spans="26:26" x14ac:dyDescent="0.25">
      <c r="Z21047">
        <v>400000</v>
      </c>
    </row>
    <row r="21048" spans="26:26" x14ac:dyDescent="0.25">
      <c r="Z21048">
        <v>400000</v>
      </c>
    </row>
    <row r="21049" spans="26:26" x14ac:dyDescent="0.25">
      <c r="Z21049">
        <v>400000</v>
      </c>
    </row>
    <row r="21050" spans="26:26" x14ac:dyDescent="0.25">
      <c r="Z21050">
        <v>400000</v>
      </c>
    </row>
    <row r="21051" spans="26:26" x14ac:dyDescent="0.25">
      <c r="Z21051">
        <v>400000</v>
      </c>
    </row>
    <row r="21052" spans="26:26" x14ac:dyDescent="0.25">
      <c r="Z21052">
        <v>400000</v>
      </c>
    </row>
    <row r="21053" spans="26:26" x14ac:dyDescent="0.25">
      <c r="Z21053">
        <v>400000</v>
      </c>
    </row>
    <row r="21054" spans="26:26" x14ac:dyDescent="0.25">
      <c r="Z21054">
        <v>400000</v>
      </c>
    </row>
    <row r="21055" spans="26:26" x14ac:dyDescent="0.25">
      <c r="Z21055">
        <v>400000</v>
      </c>
    </row>
    <row r="21056" spans="26:26" x14ac:dyDescent="0.25">
      <c r="Z21056">
        <v>400000</v>
      </c>
    </row>
    <row r="21057" spans="26:26" x14ac:dyDescent="0.25">
      <c r="Z21057">
        <v>400000</v>
      </c>
    </row>
    <row r="21058" spans="26:26" x14ac:dyDescent="0.25">
      <c r="Z21058">
        <v>400000</v>
      </c>
    </row>
    <row r="21059" spans="26:26" x14ac:dyDescent="0.25">
      <c r="Z21059">
        <v>400000</v>
      </c>
    </row>
    <row r="21060" spans="26:26" x14ac:dyDescent="0.25">
      <c r="Z21060">
        <v>400000</v>
      </c>
    </row>
    <row r="21061" spans="26:26" x14ac:dyDescent="0.25">
      <c r="Z21061">
        <v>400000</v>
      </c>
    </row>
    <row r="21062" spans="26:26" x14ac:dyDescent="0.25">
      <c r="Z21062">
        <v>400000</v>
      </c>
    </row>
    <row r="21063" spans="26:26" x14ac:dyDescent="0.25">
      <c r="Z21063">
        <v>400000</v>
      </c>
    </row>
    <row r="21064" spans="26:26" x14ac:dyDescent="0.25">
      <c r="Z21064">
        <v>400000</v>
      </c>
    </row>
    <row r="21065" spans="26:26" x14ac:dyDescent="0.25">
      <c r="Z21065">
        <v>400000</v>
      </c>
    </row>
    <row r="21066" spans="26:26" x14ac:dyDescent="0.25">
      <c r="Z21066">
        <v>400000</v>
      </c>
    </row>
    <row r="21067" spans="26:26" x14ac:dyDescent="0.25">
      <c r="Z21067">
        <v>400000</v>
      </c>
    </row>
    <row r="21068" spans="26:26" x14ac:dyDescent="0.25">
      <c r="Z21068">
        <v>400000</v>
      </c>
    </row>
    <row r="21069" spans="26:26" x14ac:dyDescent="0.25">
      <c r="Z21069">
        <v>400000</v>
      </c>
    </row>
    <row r="21070" spans="26:26" x14ac:dyDescent="0.25">
      <c r="Z21070">
        <v>400000</v>
      </c>
    </row>
    <row r="21071" spans="26:26" x14ac:dyDescent="0.25">
      <c r="Z21071">
        <v>400000</v>
      </c>
    </row>
    <row r="21072" spans="26:26" x14ac:dyDescent="0.25">
      <c r="Z21072">
        <v>400000</v>
      </c>
    </row>
    <row r="21073" spans="26:26" x14ac:dyDescent="0.25">
      <c r="Z21073">
        <v>400000</v>
      </c>
    </row>
    <row r="21074" spans="26:26" x14ac:dyDescent="0.25">
      <c r="Z21074">
        <v>400000</v>
      </c>
    </row>
    <row r="21075" spans="26:26" x14ac:dyDescent="0.25">
      <c r="Z21075">
        <v>400000</v>
      </c>
    </row>
    <row r="21076" spans="26:26" x14ac:dyDescent="0.25">
      <c r="Z21076">
        <v>400000</v>
      </c>
    </row>
    <row r="21077" spans="26:26" x14ac:dyDescent="0.25">
      <c r="Z21077">
        <v>400000</v>
      </c>
    </row>
    <row r="21078" spans="26:26" x14ac:dyDescent="0.25">
      <c r="Z21078">
        <v>400000</v>
      </c>
    </row>
    <row r="21079" spans="26:26" x14ac:dyDescent="0.25">
      <c r="Z21079">
        <v>400000</v>
      </c>
    </row>
    <row r="21080" spans="26:26" x14ac:dyDescent="0.25">
      <c r="Z21080">
        <v>400000</v>
      </c>
    </row>
    <row r="21081" spans="26:26" x14ac:dyDescent="0.25">
      <c r="Z21081">
        <v>400000</v>
      </c>
    </row>
    <row r="21082" spans="26:26" x14ac:dyDescent="0.25">
      <c r="Z21082">
        <v>400000</v>
      </c>
    </row>
    <row r="21083" spans="26:26" x14ac:dyDescent="0.25">
      <c r="Z21083">
        <v>400000</v>
      </c>
    </row>
    <row r="21084" spans="26:26" x14ac:dyDescent="0.25">
      <c r="Z21084">
        <v>400000</v>
      </c>
    </row>
    <row r="21085" spans="26:26" x14ac:dyDescent="0.25">
      <c r="Z21085">
        <v>400000</v>
      </c>
    </row>
    <row r="21086" spans="26:26" x14ac:dyDescent="0.25">
      <c r="Z21086">
        <v>400000</v>
      </c>
    </row>
    <row r="21087" spans="26:26" x14ac:dyDescent="0.25">
      <c r="Z21087">
        <v>400000</v>
      </c>
    </row>
    <row r="21088" spans="26:26" x14ac:dyDescent="0.25">
      <c r="Z21088">
        <v>400000</v>
      </c>
    </row>
    <row r="21089" spans="26:26" x14ac:dyDescent="0.25">
      <c r="Z21089">
        <v>400000</v>
      </c>
    </row>
    <row r="21090" spans="26:26" x14ac:dyDescent="0.25">
      <c r="Z21090">
        <v>400000</v>
      </c>
    </row>
    <row r="21091" spans="26:26" x14ac:dyDescent="0.25">
      <c r="Z21091">
        <v>400000</v>
      </c>
    </row>
    <row r="21092" spans="26:26" x14ac:dyDescent="0.25">
      <c r="Z21092">
        <v>400000</v>
      </c>
    </row>
    <row r="21093" spans="26:26" x14ac:dyDescent="0.25">
      <c r="Z21093">
        <v>400000</v>
      </c>
    </row>
    <row r="21094" spans="26:26" x14ac:dyDescent="0.25">
      <c r="Z21094">
        <v>400000</v>
      </c>
    </row>
    <row r="21095" spans="26:26" x14ac:dyDescent="0.25">
      <c r="Z21095">
        <v>400000</v>
      </c>
    </row>
    <row r="21096" spans="26:26" x14ac:dyDescent="0.25">
      <c r="Z21096">
        <v>400000</v>
      </c>
    </row>
    <row r="21097" spans="26:26" x14ac:dyDescent="0.25">
      <c r="Z21097">
        <v>400000</v>
      </c>
    </row>
    <row r="21098" spans="26:26" x14ac:dyDescent="0.25">
      <c r="Z21098">
        <v>400000</v>
      </c>
    </row>
    <row r="21099" spans="26:26" x14ac:dyDescent="0.25">
      <c r="Z21099">
        <v>400000</v>
      </c>
    </row>
    <row r="21100" spans="26:26" x14ac:dyDescent="0.25">
      <c r="Z21100">
        <v>400000</v>
      </c>
    </row>
    <row r="21101" spans="26:26" x14ac:dyDescent="0.25">
      <c r="Z21101">
        <v>400000</v>
      </c>
    </row>
    <row r="21102" spans="26:26" x14ac:dyDescent="0.25">
      <c r="Z21102">
        <v>400000</v>
      </c>
    </row>
    <row r="21103" spans="26:26" x14ac:dyDescent="0.25">
      <c r="Z21103">
        <v>400000</v>
      </c>
    </row>
    <row r="21104" spans="26:26" x14ac:dyDescent="0.25">
      <c r="Z21104">
        <v>400000</v>
      </c>
    </row>
    <row r="21105" spans="26:26" x14ac:dyDescent="0.25">
      <c r="Z21105">
        <v>400000</v>
      </c>
    </row>
    <row r="21106" spans="26:26" x14ac:dyDescent="0.25">
      <c r="Z21106">
        <v>400000</v>
      </c>
    </row>
    <row r="21107" spans="26:26" x14ac:dyDescent="0.25">
      <c r="Z21107">
        <v>400000</v>
      </c>
    </row>
    <row r="21108" spans="26:26" x14ac:dyDescent="0.25">
      <c r="Z21108">
        <v>400000</v>
      </c>
    </row>
    <row r="21109" spans="26:26" x14ac:dyDescent="0.25">
      <c r="Z21109">
        <v>400000</v>
      </c>
    </row>
    <row r="21110" spans="26:26" x14ac:dyDescent="0.25">
      <c r="Z21110">
        <v>400000</v>
      </c>
    </row>
    <row r="21111" spans="26:26" x14ac:dyDescent="0.25">
      <c r="Z21111">
        <v>400000</v>
      </c>
    </row>
    <row r="21112" spans="26:26" x14ac:dyDescent="0.25">
      <c r="Z21112">
        <v>400000</v>
      </c>
    </row>
    <row r="21113" spans="26:26" x14ac:dyDescent="0.25">
      <c r="Z21113">
        <v>400000</v>
      </c>
    </row>
    <row r="21114" spans="26:26" x14ac:dyDescent="0.25">
      <c r="Z21114">
        <v>400000</v>
      </c>
    </row>
    <row r="21115" spans="26:26" x14ac:dyDescent="0.25">
      <c r="Z21115">
        <v>400000</v>
      </c>
    </row>
    <row r="21116" spans="26:26" x14ac:dyDescent="0.25">
      <c r="Z21116">
        <v>400000</v>
      </c>
    </row>
    <row r="21117" spans="26:26" x14ac:dyDescent="0.25">
      <c r="Z21117">
        <v>400000</v>
      </c>
    </row>
    <row r="21118" spans="26:26" x14ac:dyDescent="0.25">
      <c r="Z21118">
        <v>400000</v>
      </c>
    </row>
    <row r="21119" spans="26:26" x14ac:dyDescent="0.25">
      <c r="Z21119">
        <v>400000</v>
      </c>
    </row>
    <row r="21120" spans="26:26" x14ac:dyDescent="0.25">
      <c r="Z21120">
        <v>400000</v>
      </c>
    </row>
    <row r="21121" spans="26:26" x14ac:dyDescent="0.25">
      <c r="Z21121">
        <v>400000</v>
      </c>
    </row>
    <row r="21122" spans="26:26" x14ac:dyDescent="0.25">
      <c r="Z21122">
        <v>400000</v>
      </c>
    </row>
    <row r="21123" spans="26:26" x14ac:dyDescent="0.25">
      <c r="Z21123">
        <v>400000</v>
      </c>
    </row>
    <row r="21124" spans="26:26" x14ac:dyDescent="0.25">
      <c r="Z21124">
        <v>400000</v>
      </c>
    </row>
    <row r="21125" spans="26:26" x14ac:dyDescent="0.25">
      <c r="Z21125">
        <v>400000</v>
      </c>
    </row>
    <row r="21126" spans="26:26" x14ac:dyDescent="0.25">
      <c r="Z21126">
        <v>400000</v>
      </c>
    </row>
    <row r="21127" spans="26:26" x14ac:dyDescent="0.25">
      <c r="Z21127">
        <v>400000</v>
      </c>
    </row>
    <row r="21128" spans="26:26" x14ac:dyDescent="0.25">
      <c r="Z21128">
        <v>400000</v>
      </c>
    </row>
    <row r="21129" spans="26:26" x14ac:dyDescent="0.25">
      <c r="Z21129">
        <v>400000</v>
      </c>
    </row>
    <row r="21130" spans="26:26" x14ac:dyDescent="0.25">
      <c r="Z21130">
        <v>400000</v>
      </c>
    </row>
    <row r="21131" spans="26:26" x14ac:dyDescent="0.25">
      <c r="Z21131">
        <v>400000</v>
      </c>
    </row>
    <row r="21132" spans="26:26" x14ac:dyDescent="0.25">
      <c r="Z21132">
        <v>400000</v>
      </c>
    </row>
    <row r="21133" spans="26:26" x14ac:dyDescent="0.25">
      <c r="Z21133">
        <v>400000</v>
      </c>
    </row>
    <row r="21134" spans="26:26" x14ac:dyDescent="0.25">
      <c r="Z21134">
        <v>400000</v>
      </c>
    </row>
    <row r="21135" spans="26:26" x14ac:dyDescent="0.25">
      <c r="Z21135">
        <v>400000</v>
      </c>
    </row>
    <row r="21136" spans="26:26" x14ac:dyDescent="0.25">
      <c r="Z21136">
        <v>400000</v>
      </c>
    </row>
    <row r="21137" spans="26:26" x14ac:dyDescent="0.25">
      <c r="Z21137">
        <v>400000</v>
      </c>
    </row>
    <row r="21138" spans="26:26" x14ac:dyDescent="0.25">
      <c r="Z21138">
        <v>400000</v>
      </c>
    </row>
    <row r="21139" spans="26:26" x14ac:dyDescent="0.25">
      <c r="Z21139">
        <v>400000</v>
      </c>
    </row>
    <row r="21140" spans="26:26" x14ac:dyDescent="0.25">
      <c r="Z21140">
        <v>400000</v>
      </c>
    </row>
    <row r="21141" spans="26:26" x14ac:dyDescent="0.25">
      <c r="Z21141">
        <v>400000</v>
      </c>
    </row>
    <row r="21142" spans="26:26" x14ac:dyDescent="0.25">
      <c r="Z21142">
        <v>400000</v>
      </c>
    </row>
    <row r="21143" spans="26:26" x14ac:dyDescent="0.25">
      <c r="Z21143">
        <v>400000</v>
      </c>
    </row>
    <row r="21144" spans="26:26" x14ac:dyDescent="0.25">
      <c r="Z21144">
        <v>400000</v>
      </c>
    </row>
    <row r="21145" spans="26:26" x14ac:dyDescent="0.25">
      <c r="Z21145">
        <v>400000</v>
      </c>
    </row>
    <row r="21146" spans="26:26" x14ac:dyDescent="0.25">
      <c r="Z21146">
        <v>400000</v>
      </c>
    </row>
    <row r="21147" spans="26:26" x14ac:dyDescent="0.25">
      <c r="Z21147">
        <v>400000</v>
      </c>
    </row>
    <row r="21148" spans="26:26" x14ac:dyDescent="0.25">
      <c r="Z21148">
        <v>400000</v>
      </c>
    </row>
    <row r="21149" spans="26:26" x14ac:dyDescent="0.25">
      <c r="Z21149">
        <v>400000</v>
      </c>
    </row>
    <row r="21150" spans="26:26" x14ac:dyDescent="0.25">
      <c r="Z21150">
        <v>400000</v>
      </c>
    </row>
    <row r="21151" spans="26:26" x14ac:dyDescent="0.25">
      <c r="Z21151">
        <v>400000</v>
      </c>
    </row>
    <row r="21152" spans="26:26" x14ac:dyDescent="0.25">
      <c r="Z21152">
        <v>400000</v>
      </c>
    </row>
    <row r="21153" spans="26:26" x14ac:dyDescent="0.25">
      <c r="Z21153">
        <v>400000</v>
      </c>
    </row>
    <row r="21154" spans="26:26" x14ac:dyDescent="0.25">
      <c r="Z21154">
        <v>400000</v>
      </c>
    </row>
    <row r="21155" spans="26:26" x14ac:dyDescent="0.25">
      <c r="Z21155">
        <v>400000</v>
      </c>
    </row>
    <row r="21156" spans="26:26" x14ac:dyDescent="0.25">
      <c r="Z21156">
        <v>400000</v>
      </c>
    </row>
    <row r="21157" spans="26:26" x14ac:dyDescent="0.25">
      <c r="Z21157">
        <v>400000</v>
      </c>
    </row>
    <row r="21158" spans="26:26" x14ac:dyDescent="0.25">
      <c r="Z21158">
        <v>400000</v>
      </c>
    </row>
    <row r="21159" spans="26:26" x14ac:dyDescent="0.25">
      <c r="Z21159">
        <v>400000</v>
      </c>
    </row>
    <row r="21160" spans="26:26" x14ac:dyDescent="0.25">
      <c r="Z21160">
        <v>400000</v>
      </c>
    </row>
    <row r="21161" spans="26:26" x14ac:dyDescent="0.25">
      <c r="Z21161">
        <v>400000</v>
      </c>
    </row>
    <row r="21162" spans="26:26" x14ac:dyDescent="0.25">
      <c r="Z21162">
        <v>400000</v>
      </c>
    </row>
    <row r="21163" spans="26:26" x14ac:dyDescent="0.25">
      <c r="Z21163">
        <v>400000</v>
      </c>
    </row>
    <row r="21164" spans="26:26" x14ac:dyDescent="0.25">
      <c r="Z21164">
        <v>400000</v>
      </c>
    </row>
    <row r="21165" spans="26:26" x14ac:dyDescent="0.25">
      <c r="Z21165">
        <v>400000</v>
      </c>
    </row>
    <row r="21166" spans="26:26" x14ac:dyDescent="0.25">
      <c r="Z21166">
        <v>400000</v>
      </c>
    </row>
    <row r="21167" spans="26:26" x14ac:dyDescent="0.25">
      <c r="Z21167">
        <v>400000</v>
      </c>
    </row>
    <row r="21168" spans="26:26" x14ac:dyDescent="0.25">
      <c r="Z21168">
        <v>400000</v>
      </c>
    </row>
    <row r="21169" spans="26:26" x14ac:dyDescent="0.25">
      <c r="Z21169">
        <v>400000</v>
      </c>
    </row>
    <row r="21170" spans="26:26" x14ac:dyDescent="0.25">
      <c r="Z21170">
        <v>400000</v>
      </c>
    </row>
    <row r="21171" spans="26:26" x14ac:dyDescent="0.25">
      <c r="Z21171">
        <v>400000</v>
      </c>
    </row>
    <row r="21172" spans="26:26" x14ac:dyDescent="0.25">
      <c r="Z21172">
        <v>400000</v>
      </c>
    </row>
    <row r="21173" spans="26:26" x14ac:dyDescent="0.25">
      <c r="Z21173">
        <v>400000</v>
      </c>
    </row>
    <row r="21174" spans="26:26" x14ac:dyDescent="0.25">
      <c r="Z21174">
        <v>400000</v>
      </c>
    </row>
    <row r="21175" spans="26:26" x14ac:dyDescent="0.25">
      <c r="Z21175">
        <v>400000</v>
      </c>
    </row>
    <row r="21176" spans="26:26" x14ac:dyDescent="0.25">
      <c r="Z21176">
        <v>400000</v>
      </c>
    </row>
    <row r="21177" spans="26:26" x14ac:dyDescent="0.25">
      <c r="Z21177">
        <v>400000</v>
      </c>
    </row>
    <row r="21178" spans="26:26" x14ac:dyDescent="0.25">
      <c r="Z21178">
        <v>400000</v>
      </c>
    </row>
    <row r="21179" spans="26:26" x14ac:dyDescent="0.25">
      <c r="Z21179">
        <v>400000</v>
      </c>
    </row>
    <row r="21180" spans="26:26" x14ac:dyDescent="0.25">
      <c r="Z21180">
        <v>400000</v>
      </c>
    </row>
    <row r="21181" spans="26:26" x14ac:dyDescent="0.25">
      <c r="Z21181">
        <v>400000</v>
      </c>
    </row>
    <row r="21182" spans="26:26" x14ac:dyDescent="0.25">
      <c r="Z21182">
        <v>400000</v>
      </c>
    </row>
    <row r="21183" spans="26:26" x14ac:dyDescent="0.25">
      <c r="Z21183">
        <v>400000</v>
      </c>
    </row>
    <row r="21184" spans="26:26" x14ac:dyDescent="0.25">
      <c r="Z21184">
        <v>400000</v>
      </c>
    </row>
    <row r="21185" spans="26:26" x14ac:dyDescent="0.25">
      <c r="Z21185">
        <v>400000</v>
      </c>
    </row>
    <row r="21186" spans="26:26" x14ac:dyDescent="0.25">
      <c r="Z21186">
        <v>400000</v>
      </c>
    </row>
    <row r="21187" spans="26:26" x14ac:dyDescent="0.25">
      <c r="Z21187">
        <v>400000</v>
      </c>
    </row>
    <row r="21188" spans="26:26" x14ac:dyDescent="0.25">
      <c r="Z21188">
        <v>400000</v>
      </c>
    </row>
    <row r="21189" spans="26:26" x14ac:dyDescent="0.25">
      <c r="Z21189">
        <v>400000</v>
      </c>
    </row>
    <row r="21190" spans="26:26" x14ac:dyDescent="0.25">
      <c r="Z21190">
        <v>400000</v>
      </c>
    </row>
    <row r="21191" spans="26:26" x14ac:dyDescent="0.25">
      <c r="Z21191">
        <v>400000</v>
      </c>
    </row>
    <row r="21192" spans="26:26" x14ac:dyDescent="0.25">
      <c r="Z21192">
        <v>400000</v>
      </c>
    </row>
    <row r="21193" spans="26:26" x14ac:dyDescent="0.25">
      <c r="Z21193">
        <v>400000</v>
      </c>
    </row>
    <row r="21194" spans="26:26" x14ac:dyDescent="0.25">
      <c r="Z21194">
        <v>400000</v>
      </c>
    </row>
    <row r="21195" spans="26:26" x14ac:dyDescent="0.25">
      <c r="Z21195">
        <v>400000</v>
      </c>
    </row>
    <row r="21196" spans="26:26" x14ac:dyDescent="0.25">
      <c r="Z21196">
        <v>400000</v>
      </c>
    </row>
    <row r="21197" spans="26:26" x14ac:dyDescent="0.25">
      <c r="Z21197">
        <v>400000</v>
      </c>
    </row>
    <row r="21198" spans="26:26" x14ac:dyDescent="0.25">
      <c r="Z21198">
        <v>400000</v>
      </c>
    </row>
    <row r="21199" spans="26:26" x14ac:dyDescent="0.25">
      <c r="Z21199">
        <v>400000</v>
      </c>
    </row>
    <row r="21200" spans="26:26" x14ac:dyDescent="0.25">
      <c r="Z21200">
        <v>400000</v>
      </c>
    </row>
    <row r="21201" spans="26:26" x14ac:dyDescent="0.25">
      <c r="Z21201">
        <v>400000</v>
      </c>
    </row>
    <row r="21202" spans="26:26" x14ac:dyDescent="0.25">
      <c r="Z21202">
        <v>400000</v>
      </c>
    </row>
    <row r="21203" spans="26:26" x14ac:dyDescent="0.25">
      <c r="Z21203">
        <v>400000</v>
      </c>
    </row>
    <row r="21204" spans="26:26" x14ac:dyDescent="0.25">
      <c r="Z21204">
        <v>400000</v>
      </c>
    </row>
    <row r="21205" spans="26:26" x14ac:dyDescent="0.25">
      <c r="Z21205">
        <v>400000</v>
      </c>
    </row>
    <row r="21206" spans="26:26" x14ac:dyDescent="0.25">
      <c r="Z21206">
        <v>400000</v>
      </c>
    </row>
    <row r="21207" spans="26:26" x14ac:dyDescent="0.25">
      <c r="Z21207">
        <v>400000</v>
      </c>
    </row>
    <row r="21208" spans="26:26" x14ac:dyDescent="0.25">
      <c r="Z21208">
        <v>400000</v>
      </c>
    </row>
    <row r="21209" spans="26:26" x14ac:dyDescent="0.25">
      <c r="Z21209">
        <v>400000</v>
      </c>
    </row>
    <row r="21210" spans="26:26" x14ac:dyDescent="0.25">
      <c r="Z21210">
        <v>400000</v>
      </c>
    </row>
    <row r="21211" spans="26:26" x14ac:dyDescent="0.25">
      <c r="Z21211">
        <v>400000</v>
      </c>
    </row>
    <row r="21212" spans="26:26" x14ac:dyDescent="0.25">
      <c r="Z21212">
        <v>400000</v>
      </c>
    </row>
    <row r="21213" spans="26:26" x14ac:dyDescent="0.25">
      <c r="Z21213">
        <v>400000</v>
      </c>
    </row>
    <row r="21214" spans="26:26" x14ac:dyDescent="0.25">
      <c r="Z21214">
        <v>400000</v>
      </c>
    </row>
    <row r="21215" spans="26:26" x14ac:dyDescent="0.25">
      <c r="Z21215">
        <v>400000</v>
      </c>
    </row>
    <row r="21216" spans="26:26" x14ac:dyDescent="0.25">
      <c r="Z21216">
        <v>400000</v>
      </c>
    </row>
    <row r="21217" spans="26:26" x14ac:dyDescent="0.25">
      <c r="Z21217">
        <v>400000</v>
      </c>
    </row>
    <row r="21218" spans="26:26" x14ac:dyDescent="0.25">
      <c r="Z21218">
        <v>400000</v>
      </c>
    </row>
    <row r="21219" spans="26:26" x14ac:dyDescent="0.25">
      <c r="Z21219">
        <v>400000</v>
      </c>
    </row>
    <row r="21220" spans="26:26" x14ac:dyDescent="0.25">
      <c r="Z21220">
        <v>400000</v>
      </c>
    </row>
    <row r="21221" spans="26:26" x14ac:dyDescent="0.25">
      <c r="Z21221">
        <v>400000</v>
      </c>
    </row>
    <row r="21222" spans="26:26" x14ac:dyDescent="0.25">
      <c r="Z21222">
        <v>400000</v>
      </c>
    </row>
    <row r="21223" spans="26:26" x14ac:dyDescent="0.25">
      <c r="Z21223">
        <v>400000</v>
      </c>
    </row>
    <row r="21224" spans="26:26" x14ac:dyDescent="0.25">
      <c r="Z21224">
        <v>400000</v>
      </c>
    </row>
    <row r="21225" spans="26:26" x14ac:dyDescent="0.25">
      <c r="Z21225">
        <v>400000</v>
      </c>
    </row>
    <row r="21226" spans="26:26" x14ac:dyDescent="0.25">
      <c r="Z21226">
        <v>400000</v>
      </c>
    </row>
    <row r="21227" spans="26:26" x14ac:dyDescent="0.25">
      <c r="Z21227">
        <v>400000</v>
      </c>
    </row>
    <row r="21228" spans="26:26" x14ac:dyDescent="0.25">
      <c r="Z21228">
        <v>400000</v>
      </c>
    </row>
    <row r="21229" spans="26:26" x14ac:dyDescent="0.25">
      <c r="Z21229">
        <v>400000</v>
      </c>
    </row>
    <row r="21230" spans="26:26" x14ac:dyDescent="0.25">
      <c r="Z21230">
        <v>400000</v>
      </c>
    </row>
    <row r="21231" spans="26:26" x14ac:dyDescent="0.25">
      <c r="Z21231">
        <v>400000</v>
      </c>
    </row>
    <row r="21232" spans="26:26" x14ac:dyDescent="0.25">
      <c r="Z21232">
        <v>400000</v>
      </c>
    </row>
    <row r="21233" spans="26:26" x14ac:dyDescent="0.25">
      <c r="Z21233">
        <v>400000</v>
      </c>
    </row>
    <row r="21234" spans="26:26" x14ac:dyDescent="0.25">
      <c r="Z21234">
        <v>400000</v>
      </c>
    </row>
    <row r="21235" spans="26:26" x14ac:dyDescent="0.25">
      <c r="Z21235">
        <v>400000</v>
      </c>
    </row>
    <row r="21236" spans="26:26" x14ac:dyDescent="0.25">
      <c r="Z21236">
        <v>400000</v>
      </c>
    </row>
    <row r="21237" spans="26:26" x14ac:dyDescent="0.25">
      <c r="Z21237">
        <v>400000</v>
      </c>
    </row>
    <row r="21238" spans="26:26" x14ac:dyDescent="0.25">
      <c r="Z21238">
        <v>400000</v>
      </c>
    </row>
    <row r="21239" spans="26:26" x14ac:dyDescent="0.25">
      <c r="Z21239">
        <v>400000</v>
      </c>
    </row>
    <row r="21240" spans="26:26" x14ac:dyDescent="0.25">
      <c r="Z21240">
        <v>400000</v>
      </c>
    </row>
    <row r="21241" spans="26:26" x14ac:dyDescent="0.25">
      <c r="Z21241">
        <v>400000</v>
      </c>
    </row>
    <row r="21242" spans="26:26" x14ac:dyDescent="0.25">
      <c r="Z21242">
        <v>400000</v>
      </c>
    </row>
    <row r="21243" spans="26:26" x14ac:dyDescent="0.25">
      <c r="Z21243">
        <v>400000</v>
      </c>
    </row>
    <row r="21244" spans="26:26" x14ac:dyDescent="0.25">
      <c r="Z21244">
        <v>400000</v>
      </c>
    </row>
    <row r="21245" spans="26:26" x14ac:dyDescent="0.25">
      <c r="Z21245">
        <v>400000</v>
      </c>
    </row>
    <row r="21246" spans="26:26" x14ac:dyDescent="0.25">
      <c r="Z21246">
        <v>400000</v>
      </c>
    </row>
    <row r="21247" spans="26:26" x14ac:dyDescent="0.25">
      <c r="Z21247">
        <v>400000</v>
      </c>
    </row>
    <row r="21248" spans="26:26" x14ac:dyDescent="0.25">
      <c r="Z21248">
        <v>400000</v>
      </c>
    </row>
    <row r="21249" spans="26:26" x14ac:dyDescent="0.25">
      <c r="Z21249">
        <v>400000</v>
      </c>
    </row>
    <row r="21250" spans="26:26" x14ac:dyDescent="0.25">
      <c r="Z21250">
        <v>400000</v>
      </c>
    </row>
    <row r="21251" spans="26:26" x14ac:dyDescent="0.25">
      <c r="Z21251">
        <v>400000</v>
      </c>
    </row>
    <row r="21252" spans="26:26" x14ac:dyDescent="0.25">
      <c r="Z21252">
        <v>400000</v>
      </c>
    </row>
    <row r="21253" spans="26:26" x14ac:dyDescent="0.25">
      <c r="Z21253">
        <v>400000</v>
      </c>
    </row>
    <row r="21254" spans="26:26" x14ac:dyDescent="0.25">
      <c r="Z21254">
        <v>400000</v>
      </c>
    </row>
    <row r="21255" spans="26:26" x14ac:dyDescent="0.25">
      <c r="Z21255">
        <v>400000</v>
      </c>
    </row>
    <row r="21256" spans="26:26" x14ac:dyDescent="0.25">
      <c r="Z21256">
        <v>400000</v>
      </c>
    </row>
    <row r="21257" spans="26:26" x14ac:dyDescent="0.25">
      <c r="Z21257">
        <v>400000</v>
      </c>
    </row>
    <row r="21258" spans="26:26" x14ac:dyDescent="0.25">
      <c r="Z21258">
        <v>400000</v>
      </c>
    </row>
    <row r="21259" spans="26:26" x14ac:dyDescent="0.25">
      <c r="Z21259">
        <v>400000</v>
      </c>
    </row>
    <row r="21260" spans="26:26" x14ac:dyDescent="0.25">
      <c r="Z21260">
        <v>400000</v>
      </c>
    </row>
    <row r="21261" spans="26:26" x14ac:dyDescent="0.25">
      <c r="Z21261">
        <v>400000</v>
      </c>
    </row>
    <row r="21262" spans="26:26" x14ac:dyDescent="0.25">
      <c r="Z21262">
        <v>400000</v>
      </c>
    </row>
    <row r="21263" spans="26:26" x14ac:dyDescent="0.25">
      <c r="Z21263">
        <v>400000</v>
      </c>
    </row>
    <row r="21264" spans="26:26" x14ac:dyDescent="0.25">
      <c r="Z21264">
        <v>400000</v>
      </c>
    </row>
    <row r="21265" spans="26:26" x14ac:dyDescent="0.25">
      <c r="Z21265">
        <v>400000</v>
      </c>
    </row>
    <row r="21266" spans="26:26" x14ac:dyDescent="0.25">
      <c r="Z21266">
        <v>400000</v>
      </c>
    </row>
    <row r="21267" spans="26:26" x14ac:dyDescent="0.25">
      <c r="Z21267">
        <v>400000</v>
      </c>
    </row>
    <row r="21268" spans="26:26" x14ac:dyDescent="0.25">
      <c r="Z21268">
        <v>400000</v>
      </c>
    </row>
    <row r="21269" spans="26:26" x14ac:dyDescent="0.25">
      <c r="Z21269">
        <v>400000</v>
      </c>
    </row>
    <row r="21270" spans="26:26" x14ac:dyDescent="0.25">
      <c r="Z21270">
        <v>400000</v>
      </c>
    </row>
    <row r="21271" spans="26:26" x14ac:dyDescent="0.25">
      <c r="Z21271">
        <v>400000</v>
      </c>
    </row>
    <row r="21272" spans="26:26" x14ac:dyDescent="0.25">
      <c r="Z21272">
        <v>400000</v>
      </c>
    </row>
    <row r="21273" spans="26:26" x14ac:dyDescent="0.25">
      <c r="Z21273">
        <v>400000</v>
      </c>
    </row>
    <row r="21274" spans="26:26" x14ac:dyDescent="0.25">
      <c r="Z21274">
        <v>400000</v>
      </c>
    </row>
    <row r="21275" spans="26:26" x14ac:dyDescent="0.25">
      <c r="Z21275">
        <v>400000</v>
      </c>
    </row>
    <row r="21276" spans="26:26" x14ac:dyDescent="0.25">
      <c r="Z21276">
        <v>400000</v>
      </c>
    </row>
    <row r="21277" spans="26:26" x14ac:dyDescent="0.25">
      <c r="Z21277">
        <v>400000</v>
      </c>
    </row>
    <row r="21278" spans="26:26" x14ac:dyDescent="0.25">
      <c r="Z21278">
        <v>400000</v>
      </c>
    </row>
    <row r="21279" spans="26:26" x14ac:dyDescent="0.25">
      <c r="Z21279">
        <v>400000</v>
      </c>
    </row>
    <row r="21280" spans="26:26" x14ac:dyDescent="0.25">
      <c r="Z21280">
        <v>400000</v>
      </c>
    </row>
    <row r="21281" spans="26:26" x14ac:dyDescent="0.25">
      <c r="Z21281">
        <v>400000</v>
      </c>
    </row>
    <row r="21282" spans="26:26" x14ac:dyDescent="0.25">
      <c r="Z21282">
        <v>400000</v>
      </c>
    </row>
    <row r="21283" spans="26:26" x14ac:dyDescent="0.25">
      <c r="Z21283">
        <v>400000</v>
      </c>
    </row>
    <row r="21284" spans="26:26" x14ac:dyDescent="0.25">
      <c r="Z21284">
        <v>400000</v>
      </c>
    </row>
    <row r="21285" spans="26:26" x14ac:dyDescent="0.25">
      <c r="Z21285">
        <v>400000</v>
      </c>
    </row>
    <row r="21286" spans="26:26" x14ac:dyDescent="0.25">
      <c r="Z21286">
        <v>400000</v>
      </c>
    </row>
    <row r="21287" spans="26:26" x14ac:dyDescent="0.25">
      <c r="Z21287">
        <v>400000</v>
      </c>
    </row>
    <row r="21288" spans="26:26" x14ac:dyDescent="0.25">
      <c r="Z21288">
        <v>400000</v>
      </c>
    </row>
    <row r="21289" spans="26:26" x14ac:dyDescent="0.25">
      <c r="Z21289">
        <v>400000</v>
      </c>
    </row>
    <row r="21290" spans="26:26" x14ac:dyDescent="0.25">
      <c r="Z21290">
        <v>400000</v>
      </c>
    </row>
    <row r="21291" spans="26:26" x14ac:dyDescent="0.25">
      <c r="Z21291">
        <v>400000</v>
      </c>
    </row>
    <row r="21292" spans="26:26" x14ac:dyDescent="0.25">
      <c r="Z21292">
        <v>400000</v>
      </c>
    </row>
    <row r="21293" spans="26:26" x14ac:dyDescent="0.25">
      <c r="Z21293">
        <v>400000</v>
      </c>
    </row>
    <row r="21294" spans="26:26" x14ac:dyDescent="0.25">
      <c r="Z21294">
        <v>400000</v>
      </c>
    </row>
    <row r="21295" spans="26:26" x14ac:dyDescent="0.25">
      <c r="Z21295">
        <v>400000</v>
      </c>
    </row>
    <row r="21296" spans="26:26" x14ac:dyDescent="0.25">
      <c r="Z21296">
        <v>400000</v>
      </c>
    </row>
    <row r="21297" spans="26:26" x14ac:dyDescent="0.25">
      <c r="Z21297">
        <v>400000</v>
      </c>
    </row>
    <row r="21298" spans="26:26" x14ac:dyDescent="0.25">
      <c r="Z21298">
        <v>400000</v>
      </c>
    </row>
    <row r="21299" spans="26:26" x14ac:dyDescent="0.25">
      <c r="Z21299">
        <v>400000</v>
      </c>
    </row>
    <row r="21300" spans="26:26" x14ac:dyDescent="0.25">
      <c r="Z21300">
        <v>400000</v>
      </c>
    </row>
    <row r="21301" spans="26:26" x14ac:dyDescent="0.25">
      <c r="Z21301">
        <v>400000</v>
      </c>
    </row>
    <row r="21302" spans="26:26" x14ac:dyDescent="0.25">
      <c r="Z21302">
        <v>400000</v>
      </c>
    </row>
    <row r="21303" spans="26:26" x14ac:dyDescent="0.25">
      <c r="Z21303">
        <v>400000</v>
      </c>
    </row>
    <row r="21304" spans="26:26" x14ac:dyDescent="0.25">
      <c r="Z21304">
        <v>400000</v>
      </c>
    </row>
    <row r="21305" spans="26:26" x14ac:dyDescent="0.25">
      <c r="Z21305">
        <v>400000</v>
      </c>
    </row>
    <row r="21306" spans="26:26" x14ac:dyDescent="0.25">
      <c r="Z21306">
        <v>400000</v>
      </c>
    </row>
    <row r="21307" spans="26:26" x14ac:dyDescent="0.25">
      <c r="Z21307">
        <v>400000</v>
      </c>
    </row>
    <row r="21308" spans="26:26" x14ac:dyDescent="0.25">
      <c r="Z21308">
        <v>400000</v>
      </c>
    </row>
    <row r="21309" spans="26:26" x14ac:dyDescent="0.25">
      <c r="Z21309">
        <v>400000</v>
      </c>
    </row>
    <row r="21310" spans="26:26" x14ac:dyDescent="0.25">
      <c r="Z21310">
        <v>400000</v>
      </c>
    </row>
    <row r="21311" spans="26:26" x14ac:dyDescent="0.25">
      <c r="Z21311">
        <v>400000</v>
      </c>
    </row>
    <row r="21312" spans="26:26" x14ac:dyDescent="0.25">
      <c r="Z21312">
        <v>400000</v>
      </c>
    </row>
    <row r="21313" spans="26:26" x14ac:dyDescent="0.25">
      <c r="Z21313">
        <v>400000</v>
      </c>
    </row>
    <row r="21314" spans="26:26" x14ac:dyDescent="0.25">
      <c r="Z21314">
        <v>400000</v>
      </c>
    </row>
    <row r="21315" spans="26:26" x14ac:dyDescent="0.25">
      <c r="Z21315">
        <v>400000</v>
      </c>
    </row>
    <row r="21316" spans="26:26" x14ac:dyDescent="0.25">
      <c r="Z21316">
        <v>400000</v>
      </c>
    </row>
    <row r="21317" spans="26:26" x14ac:dyDescent="0.25">
      <c r="Z21317">
        <v>400000</v>
      </c>
    </row>
    <row r="21318" spans="26:26" x14ac:dyDescent="0.25">
      <c r="Z21318">
        <v>400000</v>
      </c>
    </row>
    <row r="21319" spans="26:26" x14ac:dyDescent="0.25">
      <c r="Z21319">
        <v>400000</v>
      </c>
    </row>
    <row r="21320" spans="26:26" x14ac:dyDescent="0.25">
      <c r="Z21320">
        <v>400000</v>
      </c>
    </row>
    <row r="21321" spans="26:26" x14ac:dyDescent="0.25">
      <c r="Z21321">
        <v>400000</v>
      </c>
    </row>
    <row r="21322" spans="26:26" x14ac:dyDescent="0.25">
      <c r="Z21322">
        <v>400000</v>
      </c>
    </row>
    <row r="21323" spans="26:26" x14ac:dyDescent="0.25">
      <c r="Z21323">
        <v>400000</v>
      </c>
    </row>
    <row r="21324" spans="26:26" x14ac:dyDescent="0.25">
      <c r="Z21324">
        <v>400000</v>
      </c>
    </row>
    <row r="21325" spans="26:26" x14ac:dyDescent="0.25">
      <c r="Z21325">
        <v>400000</v>
      </c>
    </row>
    <row r="21326" spans="26:26" x14ac:dyDescent="0.25">
      <c r="Z21326">
        <v>400000</v>
      </c>
    </row>
    <row r="21327" spans="26:26" x14ac:dyDescent="0.25">
      <c r="Z21327">
        <v>400000</v>
      </c>
    </row>
    <row r="21328" spans="26:26" x14ac:dyDescent="0.25">
      <c r="Z21328">
        <v>400000</v>
      </c>
    </row>
    <row r="21329" spans="26:26" x14ac:dyDescent="0.25">
      <c r="Z21329">
        <v>400000</v>
      </c>
    </row>
    <row r="21330" spans="26:26" x14ac:dyDescent="0.25">
      <c r="Z21330">
        <v>400000</v>
      </c>
    </row>
    <row r="21331" spans="26:26" x14ac:dyDescent="0.25">
      <c r="Z21331">
        <v>400000</v>
      </c>
    </row>
    <row r="21332" spans="26:26" x14ac:dyDescent="0.25">
      <c r="Z21332">
        <v>400000</v>
      </c>
    </row>
    <row r="21333" spans="26:26" x14ac:dyDescent="0.25">
      <c r="Z21333">
        <v>400000</v>
      </c>
    </row>
    <row r="21334" spans="26:26" x14ac:dyDescent="0.25">
      <c r="Z21334">
        <v>400000</v>
      </c>
    </row>
    <row r="21335" spans="26:26" x14ac:dyDescent="0.25">
      <c r="Z21335">
        <v>400000</v>
      </c>
    </row>
    <row r="21336" spans="26:26" x14ac:dyDescent="0.25">
      <c r="Z21336">
        <v>400000</v>
      </c>
    </row>
    <row r="21337" spans="26:26" x14ac:dyDescent="0.25">
      <c r="Z21337">
        <v>400000</v>
      </c>
    </row>
    <row r="21338" spans="26:26" x14ac:dyDescent="0.25">
      <c r="Z21338">
        <v>400000</v>
      </c>
    </row>
    <row r="21339" spans="26:26" x14ac:dyDescent="0.25">
      <c r="Z21339">
        <v>400000</v>
      </c>
    </row>
    <row r="21340" spans="26:26" x14ac:dyDescent="0.25">
      <c r="Z21340">
        <v>400000</v>
      </c>
    </row>
    <row r="21341" spans="26:26" x14ac:dyDescent="0.25">
      <c r="Z21341">
        <v>400000</v>
      </c>
    </row>
    <row r="21342" spans="26:26" x14ac:dyDescent="0.25">
      <c r="Z21342">
        <v>400000</v>
      </c>
    </row>
    <row r="21343" spans="26:26" x14ac:dyDescent="0.25">
      <c r="Z21343">
        <v>400000</v>
      </c>
    </row>
    <row r="21344" spans="26:26" x14ac:dyDescent="0.25">
      <c r="Z21344">
        <v>400000</v>
      </c>
    </row>
    <row r="21345" spans="26:26" x14ac:dyDescent="0.25">
      <c r="Z21345">
        <v>400000</v>
      </c>
    </row>
    <row r="21346" spans="26:26" x14ac:dyDescent="0.25">
      <c r="Z21346">
        <v>400000</v>
      </c>
    </row>
    <row r="21347" spans="26:26" x14ac:dyDescent="0.25">
      <c r="Z21347">
        <v>400000</v>
      </c>
    </row>
    <row r="21348" spans="26:26" x14ac:dyDescent="0.25">
      <c r="Z21348">
        <v>400000</v>
      </c>
    </row>
    <row r="21349" spans="26:26" x14ac:dyDescent="0.25">
      <c r="Z21349">
        <v>400000</v>
      </c>
    </row>
    <row r="21350" spans="26:26" x14ac:dyDescent="0.25">
      <c r="Z21350">
        <v>400000</v>
      </c>
    </row>
    <row r="21351" spans="26:26" x14ac:dyDescent="0.25">
      <c r="Z21351">
        <v>400000</v>
      </c>
    </row>
    <row r="21352" spans="26:26" x14ac:dyDescent="0.25">
      <c r="Z21352">
        <v>400000</v>
      </c>
    </row>
    <row r="21353" spans="26:26" x14ac:dyDescent="0.25">
      <c r="Z21353">
        <v>400000</v>
      </c>
    </row>
    <row r="21354" spans="26:26" x14ac:dyDescent="0.25">
      <c r="Z21354">
        <v>400000</v>
      </c>
    </row>
    <row r="21355" spans="26:26" x14ac:dyDescent="0.25">
      <c r="Z21355">
        <v>400000</v>
      </c>
    </row>
    <row r="21356" spans="26:26" x14ac:dyDescent="0.25">
      <c r="Z21356">
        <v>400000</v>
      </c>
    </row>
    <row r="21357" spans="26:26" x14ac:dyDescent="0.25">
      <c r="Z21357">
        <v>400000</v>
      </c>
    </row>
    <row r="21358" spans="26:26" x14ac:dyDescent="0.25">
      <c r="Z21358">
        <v>400000</v>
      </c>
    </row>
    <row r="21359" spans="26:26" x14ac:dyDescent="0.25">
      <c r="Z21359">
        <v>400000</v>
      </c>
    </row>
    <row r="21360" spans="26:26" x14ac:dyDescent="0.25">
      <c r="Z21360">
        <v>400000</v>
      </c>
    </row>
    <row r="21361" spans="26:26" x14ac:dyDescent="0.25">
      <c r="Z21361">
        <v>400000</v>
      </c>
    </row>
    <row r="21362" spans="26:26" x14ac:dyDescent="0.25">
      <c r="Z21362">
        <v>400000</v>
      </c>
    </row>
    <row r="21363" spans="26:26" x14ac:dyDescent="0.25">
      <c r="Z21363">
        <v>400000</v>
      </c>
    </row>
    <row r="21364" spans="26:26" x14ac:dyDescent="0.25">
      <c r="Z21364">
        <v>400000</v>
      </c>
    </row>
    <row r="21365" spans="26:26" x14ac:dyDescent="0.25">
      <c r="Z21365">
        <v>400000</v>
      </c>
    </row>
    <row r="21366" spans="26:26" x14ac:dyDescent="0.25">
      <c r="Z21366">
        <v>400000</v>
      </c>
    </row>
    <row r="21367" spans="26:26" x14ac:dyDescent="0.25">
      <c r="Z21367">
        <v>400000</v>
      </c>
    </row>
    <row r="21368" spans="26:26" x14ac:dyDescent="0.25">
      <c r="Z21368">
        <v>400000</v>
      </c>
    </row>
    <row r="21369" spans="26:26" x14ac:dyDescent="0.25">
      <c r="Z21369">
        <v>400000</v>
      </c>
    </row>
    <row r="21370" spans="26:26" x14ac:dyDescent="0.25">
      <c r="Z21370">
        <v>400000</v>
      </c>
    </row>
    <row r="21371" spans="26:26" x14ac:dyDescent="0.25">
      <c r="Z21371">
        <v>400000</v>
      </c>
    </row>
    <row r="21372" spans="26:26" x14ac:dyDescent="0.25">
      <c r="Z21372">
        <v>400000</v>
      </c>
    </row>
    <row r="21373" spans="26:26" x14ac:dyDescent="0.25">
      <c r="Z21373">
        <v>400000</v>
      </c>
    </row>
    <row r="21374" spans="26:26" x14ac:dyDescent="0.25">
      <c r="Z21374">
        <v>400000</v>
      </c>
    </row>
    <row r="21375" spans="26:26" x14ac:dyDescent="0.25">
      <c r="Z21375">
        <v>400000</v>
      </c>
    </row>
    <row r="21376" spans="26:26" x14ac:dyDescent="0.25">
      <c r="Z21376">
        <v>400000</v>
      </c>
    </row>
    <row r="21377" spans="26:26" x14ac:dyDescent="0.25">
      <c r="Z21377">
        <v>400000</v>
      </c>
    </row>
    <row r="21378" spans="26:26" x14ac:dyDescent="0.25">
      <c r="Z21378">
        <v>400000</v>
      </c>
    </row>
    <row r="21379" spans="26:26" x14ac:dyDescent="0.25">
      <c r="Z21379">
        <v>400000</v>
      </c>
    </row>
    <row r="21380" spans="26:26" x14ac:dyDescent="0.25">
      <c r="Z21380">
        <v>400000</v>
      </c>
    </row>
    <row r="21381" spans="26:26" x14ac:dyDescent="0.25">
      <c r="Z21381">
        <v>400000</v>
      </c>
    </row>
    <row r="21382" spans="26:26" x14ac:dyDescent="0.25">
      <c r="Z21382">
        <v>400000</v>
      </c>
    </row>
    <row r="21383" spans="26:26" x14ac:dyDescent="0.25">
      <c r="Z21383">
        <v>400000</v>
      </c>
    </row>
    <row r="21384" spans="26:26" x14ac:dyDescent="0.25">
      <c r="Z21384">
        <v>400000</v>
      </c>
    </row>
    <row r="21385" spans="26:26" x14ac:dyDescent="0.25">
      <c r="Z21385">
        <v>400000</v>
      </c>
    </row>
    <row r="21386" spans="26:26" x14ac:dyDescent="0.25">
      <c r="Z21386">
        <v>400000</v>
      </c>
    </row>
    <row r="21387" spans="26:26" x14ac:dyDescent="0.25">
      <c r="Z21387">
        <v>400000</v>
      </c>
    </row>
    <row r="21388" spans="26:26" x14ac:dyDescent="0.25">
      <c r="Z21388">
        <v>400000</v>
      </c>
    </row>
    <row r="21389" spans="26:26" x14ac:dyDescent="0.25">
      <c r="Z21389">
        <v>400000</v>
      </c>
    </row>
    <row r="21390" spans="26:26" x14ac:dyDescent="0.25">
      <c r="Z21390">
        <v>400000</v>
      </c>
    </row>
    <row r="21391" spans="26:26" x14ac:dyDescent="0.25">
      <c r="Z21391">
        <v>400000</v>
      </c>
    </row>
    <row r="21392" spans="26:26" x14ac:dyDescent="0.25">
      <c r="Z21392">
        <v>400000</v>
      </c>
    </row>
    <row r="21393" spans="26:26" x14ac:dyDescent="0.25">
      <c r="Z21393">
        <v>400000</v>
      </c>
    </row>
    <row r="21394" spans="26:26" x14ac:dyDescent="0.25">
      <c r="Z21394">
        <v>400000</v>
      </c>
    </row>
    <row r="21395" spans="26:26" x14ac:dyDescent="0.25">
      <c r="Z21395">
        <v>400000</v>
      </c>
    </row>
    <row r="21396" spans="26:26" x14ac:dyDescent="0.25">
      <c r="Z21396">
        <v>400000</v>
      </c>
    </row>
    <row r="21397" spans="26:26" x14ac:dyDescent="0.25">
      <c r="Z21397">
        <v>400000</v>
      </c>
    </row>
    <row r="21398" spans="26:26" x14ac:dyDescent="0.25">
      <c r="Z21398">
        <v>400000</v>
      </c>
    </row>
    <row r="21399" spans="26:26" x14ac:dyDescent="0.25">
      <c r="Z21399">
        <v>400000</v>
      </c>
    </row>
    <row r="21400" spans="26:26" x14ac:dyDescent="0.25">
      <c r="Z21400">
        <v>400000</v>
      </c>
    </row>
    <row r="21401" spans="26:26" x14ac:dyDescent="0.25">
      <c r="Z21401">
        <v>400000</v>
      </c>
    </row>
    <row r="21402" spans="26:26" x14ac:dyDescent="0.25">
      <c r="Z21402">
        <v>400000</v>
      </c>
    </row>
    <row r="21403" spans="26:26" x14ac:dyDescent="0.25">
      <c r="Z21403">
        <v>400000</v>
      </c>
    </row>
    <row r="21404" spans="26:26" x14ac:dyDescent="0.25">
      <c r="Z21404">
        <v>400000</v>
      </c>
    </row>
    <row r="21405" spans="26:26" x14ac:dyDescent="0.25">
      <c r="Z21405">
        <v>400000</v>
      </c>
    </row>
    <row r="21406" spans="26:26" x14ac:dyDescent="0.25">
      <c r="Z21406">
        <v>400000</v>
      </c>
    </row>
    <row r="21407" spans="26:26" x14ac:dyDescent="0.25">
      <c r="Z21407">
        <v>400000</v>
      </c>
    </row>
    <row r="21408" spans="26:26" x14ac:dyDescent="0.25">
      <c r="Z21408">
        <v>400000</v>
      </c>
    </row>
    <row r="21409" spans="26:26" x14ac:dyDescent="0.25">
      <c r="Z21409">
        <v>400000</v>
      </c>
    </row>
    <row r="21410" spans="26:26" x14ac:dyDescent="0.25">
      <c r="Z21410">
        <v>400000</v>
      </c>
    </row>
    <row r="21411" spans="26:26" x14ac:dyDescent="0.25">
      <c r="Z21411">
        <v>400000</v>
      </c>
    </row>
    <row r="21412" spans="26:26" x14ac:dyDescent="0.25">
      <c r="Z21412">
        <v>400000</v>
      </c>
    </row>
    <row r="21413" spans="26:26" x14ac:dyDescent="0.25">
      <c r="Z21413">
        <v>400000</v>
      </c>
    </row>
    <row r="21414" spans="26:26" x14ac:dyDescent="0.25">
      <c r="Z21414">
        <v>400000</v>
      </c>
    </row>
    <row r="21415" spans="26:26" x14ac:dyDescent="0.25">
      <c r="Z21415">
        <v>400000</v>
      </c>
    </row>
    <row r="21416" spans="26:26" x14ac:dyDescent="0.25">
      <c r="Z21416">
        <v>400000</v>
      </c>
    </row>
    <row r="21417" spans="26:26" x14ac:dyDescent="0.25">
      <c r="Z21417">
        <v>400000</v>
      </c>
    </row>
    <row r="21418" spans="26:26" x14ac:dyDescent="0.25">
      <c r="Z21418">
        <v>400000</v>
      </c>
    </row>
    <row r="21419" spans="26:26" x14ac:dyDescent="0.25">
      <c r="Z21419">
        <v>400000</v>
      </c>
    </row>
    <row r="21420" spans="26:26" x14ac:dyDescent="0.25">
      <c r="Z21420">
        <v>400000</v>
      </c>
    </row>
    <row r="21421" spans="26:26" x14ac:dyDescent="0.25">
      <c r="Z21421">
        <v>400000</v>
      </c>
    </row>
    <row r="21422" spans="26:26" x14ac:dyDescent="0.25">
      <c r="Z21422">
        <v>400000</v>
      </c>
    </row>
    <row r="21423" spans="26:26" x14ac:dyDescent="0.25">
      <c r="Z21423">
        <v>400000</v>
      </c>
    </row>
    <row r="21424" spans="26:26" x14ac:dyDescent="0.25">
      <c r="Z21424">
        <v>400000</v>
      </c>
    </row>
    <row r="21425" spans="26:26" x14ac:dyDescent="0.25">
      <c r="Z21425">
        <v>400000</v>
      </c>
    </row>
    <row r="21426" spans="26:26" x14ac:dyDescent="0.25">
      <c r="Z21426">
        <v>400000</v>
      </c>
    </row>
    <row r="21427" spans="26:26" x14ac:dyDescent="0.25">
      <c r="Z21427">
        <v>400000</v>
      </c>
    </row>
    <row r="21428" spans="26:26" x14ac:dyDescent="0.25">
      <c r="Z21428">
        <v>400000</v>
      </c>
    </row>
    <row r="21429" spans="26:26" x14ac:dyDescent="0.25">
      <c r="Z21429">
        <v>400000</v>
      </c>
    </row>
    <row r="21430" spans="26:26" x14ac:dyDescent="0.25">
      <c r="Z21430">
        <v>400000</v>
      </c>
    </row>
    <row r="21431" spans="26:26" x14ac:dyDescent="0.25">
      <c r="Z21431">
        <v>400000</v>
      </c>
    </row>
    <row r="21432" spans="26:26" x14ac:dyDescent="0.25">
      <c r="Z21432">
        <v>400000</v>
      </c>
    </row>
    <row r="21433" spans="26:26" x14ac:dyDescent="0.25">
      <c r="Z21433">
        <v>400000</v>
      </c>
    </row>
    <row r="21434" spans="26:26" x14ac:dyDescent="0.25">
      <c r="Z21434">
        <v>400000</v>
      </c>
    </row>
    <row r="21435" spans="26:26" x14ac:dyDescent="0.25">
      <c r="Z21435">
        <v>400000</v>
      </c>
    </row>
    <row r="21436" spans="26:26" x14ac:dyDescent="0.25">
      <c r="Z21436">
        <v>400000</v>
      </c>
    </row>
    <row r="21437" spans="26:26" x14ac:dyDescent="0.25">
      <c r="Z21437">
        <v>400000</v>
      </c>
    </row>
    <row r="21438" spans="26:26" x14ac:dyDescent="0.25">
      <c r="Z21438">
        <v>400000</v>
      </c>
    </row>
    <row r="21439" spans="26:26" x14ac:dyDescent="0.25">
      <c r="Z21439">
        <v>400000</v>
      </c>
    </row>
    <row r="21440" spans="26:26" x14ac:dyDescent="0.25">
      <c r="Z21440">
        <v>400000</v>
      </c>
    </row>
    <row r="21441" spans="26:26" x14ac:dyDescent="0.25">
      <c r="Z21441">
        <v>400000</v>
      </c>
    </row>
    <row r="21442" spans="26:26" x14ac:dyDescent="0.25">
      <c r="Z21442">
        <v>400000</v>
      </c>
    </row>
    <row r="21443" spans="26:26" x14ac:dyDescent="0.25">
      <c r="Z21443">
        <v>400000</v>
      </c>
    </row>
    <row r="21444" spans="26:26" x14ac:dyDescent="0.25">
      <c r="Z21444">
        <v>400000</v>
      </c>
    </row>
    <row r="21445" spans="26:26" x14ac:dyDescent="0.25">
      <c r="Z21445">
        <v>400000</v>
      </c>
    </row>
    <row r="21446" spans="26:26" x14ac:dyDescent="0.25">
      <c r="Z21446">
        <v>400000</v>
      </c>
    </row>
    <row r="21447" spans="26:26" x14ac:dyDescent="0.25">
      <c r="Z21447">
        <v>400000</v>
      </c>
    </row>
    <row r="21448" spans="26:26" x14ac:dyDescent="0.25">
      <c r="Z21448">
        <v>400000</v>
      </c>
    </row>
    <row r="21449" spans="26:26" x14ac:dyDescent="0.25">
      <c r="Z21449">
        <v>400000</v>
      </c>
    </row>
    <row r="21450" spans="26:26" x14ac:dyDescent="0.25">
      <c r="Z21450">
        <v>400000</v>
      </c>
    </row>
    <row r="21451" spans="26:26" x14ac:dyDescent="0.25">
      <c r="Z21451">
        <v>400000</v>
      </c>
    </row>
    <row r="21452" spans="26:26" x14ac:dyDescent="0.25">
      <c r="Z21452">
        <v>400000</v>
      </c>
    </row>
    <row r="21453" spans="26:26" x14ac:dyDescent="0.25">
      <c r="Z21453">
        <v>400000</v>
      </c>
    </row>
    <row r="21454" spans="26:26" x14ac:dyDescent="0.25">
      <c r="Z21454">
        <v>400000</v>
      </c>
    </row>
    <row r="21455" spans="26:26" x14ac:dyDescent="0.25">
      <c r="Z21455">
        <v>400000</v>
      </c>
    </row>
    <row r="21456" spans="26:26" x14ac:dyDescent="0.25">
      <c r="Z21456">
        <v>400000</v>
      </c>
    </row>
    <row r="21457" spans="26:26" x14ac:dyDescent="0.25">
      <c r="Z21457">
        <v>400000</v>
      </c>
    </row>
    <row r="21458" spans="26:26" x14ac:dyDescent="0.25">
      <c r="Z21458">
        <v>400000</v>
      </c>
    </row>
    <row r="21459" spans="26:26" x14ac:dyDescent="0.25">
      <c r="Z21459">
        <v>400000</v>
      </c>
    </row>
    <row r="21460" spans="26:26" x14ac:dyDescent="0.25">
      <c r="Z21460">
        <v>400000</v>
      </c>
    </row>
    <row r="21461" spans="26:26" x14ac:dyDescent="0.25">
      <c r="Z21461">
        <v>400000</v>
      </c>
    </row>
    <row r="21462" spans="26:26" x14ac:dyDescent="0.25">
      <c r="Z21462">
        <v>400000</v>
      </c>
    </row>
    <row r="21463" spans="26:26" x14ac:dyDescent="0.25">
      <c r="Z21463">
        <v>400000</v>
      </c>
    </row>
    <row r="21464" spans="26:26" x14ac:dyDescent="0.25">
      <c r="Z21464">
        <v>400000</v>
      </c>
    </row>
    <row r="21465" spans="26:26" x14ac:dyDescent="0.25">
      <c r="Z21465">
        <v>400000</v>
      </c>
    </row>
    <row r="21466" spans="26:26" x14ac:dyDescent="0.25">
      <c r="Z21466">
        <v>400000</v>
      </c>
    </row>
    <row r="21467" spans="26:26" x14ac:dyDescent="0.25">
      <c r="Z21467">
        <v>400000</v>
      </c>
    </row>
    <row r="21468" spans="26:26" x14ac:dyDescent="0.25">
      <c r="Z21468">
        <v>400000</v>
      </c>
    </row>
    <row r="21469" spans="26:26" x14ac:dyDescent="0.25">
      <c r="Z21469">
        <v>400000</v>
      </c>
    </row>
    <row r="21470" spans="26:26" x14ac:dyDescent="0.25">
      <c r="Z21470">
        <v>400000</v>
      </c>
    </row>
    <row r="21471" spans="26:26" x14ac:dyDescent="0.25">
      <c r="Z21471">
        <v>400000</v>
      </c>
    </row>
    <row r="21472" spans="26:26" x14ac:dyDescent="0.25">
      <c r="Z21472">
        <v>400000</v>
      </c>
    </row>
    <row r="21473" spans="26:26" x14ac:dyDescent="0.25">
      <c r="Z21473">
        <v>400000</v>
      </c>
    </row>
    <row r="21474" spans="26:26" x14ac:dyDescent="0.25">
      <c r="Z21474">
        <v>400000</v>
      </c>
    </row>
    <row r="21475" spans="26:26" x14ac:dyDescent="0.25">
      <c r="Z21475">
        <v>400000</v>
      </c>
    </row>
    <row r="21476" spans="26:26" x14ac:dyDescent="0.25">
      <c r="Z21476">
        <v>400000</v>
      </c>
    </row>
    <row r="21477" spans="26:26" x14ac:dyDescent="0.25">
      <c r="Z21477">
        <v>400000</v>
      </c>
    </row>
    <row r="21478" spans="26:26" x14ac:dyDescent="0.25">
      <c r="Z21478">
        <v>400000</v>
      </c>
    </row>
    <row r="21479" spans="26:26" x14ac:dyDescent="0.25">
      <c r="Z21479">
        <v>400000</v>
      </c>
    </row>
    <row r="21480" spans="26:26" x14ac:dyDescent="0.25">
      <c r="Z21480">
        <v>400000</v>
      </c>
    </row>
    <row r="21481" spans="26:26" x14ac:dyDescent="0.25">
      <c r="Z21481">
        <v>400000</v>
      </c>
    </row>
    <row r="21482" spans="26:26" x14ac:dyDescent="0.25">
      <c r="Z21482">
        <v>400000</v>
      </c>
    </row>
    <row r="21483" spans="26:26" x14ac:dyDescent="0.25">
      <c r="Z21483">
        <v>400000</v>
      </c>
    </row>
    <row r="21484" spans="26:26" x14ac:dyDescent="0.25">
      <c r="Z21484">
        <v>400000</v>
      </c>
    </row>
    <row r="21485" spans="26:26" x14ac:dyDescent="0.25">
      <c r="Z21485">
        <v>400000</v>
      </c>
    </row>
    <row r="21486" spans="26:26" x14ac:dyDescent="0.25">
      <c r="Z21486">
        <v>400000</v>
      </c>
    </row>
    <row r="21487" spans="26:26" x14ac:dyDescent="0.25">
      <c r="Z21487">
        <v>400000</v>
      </c>
    </row>
    <row r="21488" spans="26:26" x14ac:dyDescent="0.25">
      <c r="Z21488">
        <v>400000</v>
      </c>
    </row>
    <row r="21489" spans="26:26" x14ac:dyDescent="0.25">
      <c r="Z21489">
        <v>400000</v>
      </c>
    </row>
    <row r="21490" spans="26:26" x14ac:dyDescent="0.25">
      <c r="Z21490">
        <v>400000</v>
      </c>
    </row>
    <row r="21491" spans="26:26" x14ac:dyDescent="0.25">
      <c r="Z21491">
        <v>400000</v>
      </c>
    </row>
    <row r="21492" spans="26:26" x14ac:dyDescent="0.25">
      <c r="Z21492">
        <v>400000</v>
      </c>
    </row>
    <row r="21493" spans="26:26" x14ac:dyDescent="0.25">
      <c r="Z21493">
        <v>400000</v>
      </c>
    </row>
    <row r="21494" spans="26:26" x14ac:dyDescent="0.25">
      <c r="Z21494">
        <v>400000</v>
      </c>
    </row>
    <row r="21495" spans="26:26" x14ac:dyDescent="0.25">
      <c r="Z21495">
        <v>400000</v>
      </c>
    </row>
    <row r="21496" spans="26:26" x14ac:dyDescent="0.25">
      <c r="Z21496">
        <v>400000</v>
      </c>
    </row>
    <row r="21497" spans="26:26" x14ac:dyDescent="0.25">
      <c r="Z21497">
        <v>400000</v>
      </c>
    </row>
    <row r="21498" spans="26:26" x14ac:dyDescent="0.25">
      <c r="Z21498">
        <v>400000</v>
      </c>
    </row>
    <row r="21499" spans="26:26" x14ac:dyDescent="0.25">
      <c r="Z21499">
        <v>400000</v>
      </c>
    </row>
    <row r="21500" spans="26:26" x14ac:dyDescent="0.25">
      <c r="Z21500">
        <v>400000</v>
      </c>
    </row>
    <row r="21501" spans="26:26" x14ac:dyDescent="0.25">
      <c r="Z21501">
        <v>400000</v>
      </c>
    </row>
    <row r="21502" spans="26:26" x14ac:dyDescent="0.25">
      <c r="Z21502">
        <v>400000</v>
      </c>
    </row>
    <row r="21503" spans="26:26" x14ac:dyDescent="0.25">
      <c r="Z21503">
        <v>400000</v>
      </c>
    </row>
    <row r="21504" spans="26:26" x14ac:dyDescent="0.25">
      <c r="Z21504">
        <v>400000</v>
      </c>
    </row>
    <row r="21505" spans="26:26" x14ac:dyDescent="0.25">
      <c r="Z21505">
        <v>400000</v>
      </c>
    </row>
    <row r="21506" spans="26:26" x14ac:dyDescent="0.25">
      <c r="Z21506">
        <v>400000</v>
      </c>
    </row>
    <row r="21507" spans="26:26" x14ac:dyDescent="0.25">
      <c r="Z21507">
        <v>400000</v>
      </c>
    </row>
    <row r="21508" spans="26:26" x14ac:dyDescent="0.25">
      <c r="Z21508">
        <v>400000</v>
      </c>
    </row>
    <row r="21509" spans="26:26" x14ac:dyDescent="0.25">
      <c r="Z21509">
        <v>400000</v>
      </c>
    </row>
    <row r="21510" spans="26:26" x14ac:dyDescent="0.25">
      <c r="Z21510">
        <v>400000</v>
      </c>
    </row>
    <row r="21511" spans="26:26" x14ac:dyDescent="0.25">
      <c r="Z21511">
        <v>400000</v>
      </c>
    </row>
    <row r="21512" spans="26:26" x14ac:dyDescent="0.25">
      <c r="Z21512">
        <v>400000</v>
      </c>
    </row>
    <row r="21513" spans="26:26" x14ac:dyDescent="0.25">
      <c r="Z21513">
        <v>400000</v>
      </c>
    </row>
    <row r="21514" spans="26:26" x14ac:dyDescent="0.25">
      <c r="Z21514">
        <v>400000</v>
      </c>
    </row>
    <row r="21515" spans="26:26" x14ac:dyDescent="0.25">
      <c r="Z21515">
        <v>400000</v>
      </c>
    </row>
    <row r="21516" spans="26:26" x14ac:dyDescent="0.25">
      <c r="Z21516">
        <v>400000</v>
      </c>
    </row>
    <row r="21517" spans="26:26" x14ac:dyDescent="0.25">
      <c r="Z21517">
        <v>400000</v>
      </c>
    </row>
    <row r="21518" spans="26:26" x14ac:dyDescent="0.25">
      <c r="Z21518">
        <v>400000</v>
      </c>
    </row>
    <row r="21519" spans="26:26" x14ac:dyDescent="0.25">
      <c r="Z21519">
        <v>400000</v>
      </c>
    </row>
    <row r="21520" spans="26:26" x14ac:dyDescent="0.25">
      <c r="Z21520">
        <v>400000</v>
      </c>
    </row>
    <row r="21521" spans="26:26" x14ac:dyDescent="0.25">
      <c r="Z21521">
        <v>400000</v>
      </c>
    </row>
    <row r="21522" spans="26:26" x14ac:dyDescent="0.25">
      <c r="Z21522">
        <v>400000</v>
      </c>
    </row>
    <row r="21523" spans="26:26" x14ac:dyDescent="0.25">
      <c r="Z21523">
        <v>400000</v>
      </c>
    </row>
    <row r="21524" spans="26:26" x14ac:dyDescent="0.25">
      <c r="Z21524">
        <v>400000</v>
      </c>
    </row>
    <row r="21525" spans="26:26" x14ac:dyDescent="0.25">
      <c r="Z21525">
        <v>400000</v>
      </c>
    </row>
    <row r="21526" spans="26:26" x14ac:dyDescent="0.25">
      <c r="Z21526">
        <v>400000</v>
      </c>
    </row>
    <row r="21527" spans="26:26" x14ac:dyDescent="0.25">
      <c r="Z21527">
        <v>400000</v>
      </c>
    </row>
    <row r="21528" spans="26:26" x14ac:dyDescent="0.25">
      <c r="Z21528">
        <v>400000</v>
      </c>
    </row>
    <row r="21529" spans="26:26" x14ac:dyDescent="0.25">
      <c r="Z21529">
        <v>400000</v>
      </c>
    </row>
    <row r="21530" spans="26:26" x14ac:dyDescent="0.25">
      <c r="Z21530">
        <v>400000</v>
      </c>
    </row>
    <row r="21531" spans="26:26" x14ac:dyDescent="0.25">
      <c r="Z21531">
        <v>400000</v>
      </c>
    </row>
    <row r="21532" spans="26:26" x14ac:dyDescent="0.25">
      <c r="Z21532">
        <v>400000</v>
      </c>
    </row>
    <row r="21533" spans="26:26" x14ac:dyDescent="0.25">
      <c r="Z21533">
        <v>400000</v>
      </c>
    </row>
    <row r="21534" spans="26:26" x14ac:dyDescent="0.25">
      <c r="Z21534">
        <v>400000</v>
      </c>
    </row>
    <row r="21535" spans="26:26" x14ac:dyDescent="0.25">
      <c r="Z21535">
        <v>400000</v>
      </c>
    </row>
    <row r="21536" spans="26:26" x14ac:dyDescent="0.25">
      <c r="Z21536">
        <v>400000</v>
      </c>
    </row>
    <row r="21537" spans="26:26" x14ac:dyDescent="0.25">
      <c r="Z21537">
        <v>400000</v>
      </c>
    </row>
    <row r="21538" spans="26:26" x14ac:dyDescent="0.25">
      <c r="Z21538">
        <v>400000</v>
      </c>
    </row>
    <row r="21539" spans="26:26" x14ac:dyDescent="0.25">
      <c r="Z21539">
        <v>400000</v>
      </c>
    </row>
    <row r="21540" spans="26:26" x14ac:dyDescent="0.25">
      <c r="Z21540">
        <v>400000</v>
      </c>
    </row>
    <row r="21541" spans="26:26" x14ac:dyDescent="0.25">
      <c r="Z21541">
        <v>400000</v>
      </c>
    </row>
    <row r="21542" spans="26:26" x14ac:dyDescent="0.25">
      <c r="Z21542">
        <v>400000</v>
      </c>
    </row>
    <row r="21543" spans="26:26" x14ac:dyDescent="0.25">
      <c r="Z21543">
        <v>400000</v>
      </c>
    </row>
    <row r="21544" spans="26:26" x14ac:dyDescent="0.25">
      <c r="Z21544">
        <v>400000</v>
      </c>
    </row>
    <row r="21545" spans="26:26" x14ac:dyDescent="0.25">
      <c r="Z21545">
        <v>400000</v>
      </c>
    </row>
    <row r="21546" spans="26:26" x14ac:dyDescent="0.25">
      <c r="Z21546">
        <v>400000</v>
      </c>
    </row>
    <row r="21547" spans="26:26" x14ac:dyDescent="0.25">
      <c r="Z21547">
        <v>400000</v>
      </c>
    </row>
    <row r="21548" spans="26:26" x14ac:dyDescent="0.25">
      <c r="Z21548">
        <v>400000</v>
      </c>
    </row>
    <row r="21549" spans="26:26" x14ac:dyDescent="0.25">
      <c r="Z21549">
        <v>400000</v>
      </c>
    </row>
    <row r="21550" spans="26:26" x14ac:dyDescent="0.25">
      <c r="Z21550">
        <v>400000</v>
      </c>
    </row>
    <row r="21551" spans="26:26" x14ac:dyDescent="0.25">
      <c r="Z21551">
        <v>400000</v>
      </c>
    </row>
    <row r="21552" spans="26:26" x14ac:dyDescent="0.25">
      <c r="Z21552">
        <v>400000</v>
      </c>
    </row>
    <row r="21553" spans="26:26" x14ac:dyDescent="0.25">
      <c r="Z21553">
        <v>400000</v>
      </c>
    </row>
    <row r="21554" spans="26:26" x14ac:dyDescent="0.25">
      <c r="Z21554">
        <v>400000</v>
      </c>
    </row>
    <row r="21555" spans="26:26" x14ac:dyDescent="0.25">
      <c r="Z21555">
        <v>400000</v>
      </c>
    </row>
    <row r="21556" spans="26:26" x14ac:dyDescent="0.25">
      <c r="Z21556">
        <v>400000</v>
      </c>
    </row>
    <row r="21557" spans="26:26" x14ac:dyDescent="0.25">
      <c r="Z21557">
        <v>400000</v>
      </c>
    </row>
    <row r="21558" spans="26:26" x14ac:dyDescent="0.25">
      <c r="Z21558">
        <v>400000</v>
      </c>
    </row>
    <row r="21559" spans="26:26" x14ac:dyDescent="0.25">
      <c r="Z21559">
        <v>400000</v>
      </c>
    </row>
    <row r="21560" spans="26:26" x14ac:dyDescent="0.25">
      <c r="Z21560">
        <v>400000</v>
      </c>
    </row>
    <row r="21561" spans="26:26" x14ac:dyDescent="0.25">
      <c r="Z21561">
        <v>400000</v>
      </c>
    </row>
    <row r="21562" spans="26:26" x14ac:dyDescent="0.25">
      <c r="Z21562">
        <v>400000</v>
      </c>
    </row>
    <row r="21563" spans="26:26" x14ac:dyDescent="0.25">
      <c r="Z21563">
        <v>400000</v>
      </c>
    </row>
    <row r="21564" spans="26:26" x14ac:dyDescent="0.25">
      <c r="Z21564">
        <v>400000</v>
      </c>
    </row>
    <row r="21565" spans="26:26" x14ac:dyDescent="0.25">
      <c r="Z21565">
        <v>400000</v>
      </c>
    </row>
    <row r="21566" spans="26:26" x14ac:dyDescent="0.25">
      <c r="Z21566">
        <v>400000</v>
      </c>
    </row>
    <row r="21567" spans="26:26" x14ac:dyDescent="0.25">
      <c r="Z21567">
        <v>400000</v>
      </c>
    </row>
    <row r="21568" spans="26:26" x14ac:dyDescent="0.25">
      <c r="Z21568">
        <v>400000</v>
      </c>
    </row>
    <row r="21569" spans="26:26" x14ac:dyDescent="0.25">
      <c r="Z21569">
        <v>400000</v>
      </c>
    </row>
    <row r="21570" spans="26:26" x14ac:dyDescent="0.25">
      <c r="Z21570">
        <v>400000</v>
      </c>
    </row>
    <row r="21571" spans="26:26" x14ac:dyDescent="0.25">
      <c r="Z21571">
        <v>400000</v>
      </c>
    </row>
    <row r="21572" spans="26:26" x14ac:dyDescent="0.25">
      <c r="Z21572">
        <v>400000</v>
      </c>
    </row>
    <row r="21573" spans="26:26" x14ac:dyDescent="0.25">
      <c r="Z21573">
        <v>400000</v>
      </c>
    </row>
    <row r="21574" spans="26:26" x14ac:dyDescent="0.25">
      <c r="Z21574">
        <v>400000</v>
      </c>
    </row>
    <row r="21575" spans="26:26" x14ac:dyDescent="0.25">
      <c r="Z21575">
        <v>400000</v>
      </c>
    </row>
    <row r="21576" spans="26:26" x14ac:dyDescent="0.25">
      <c r="Z21576">
        <v>400000</v>
      </c>
    </row>
    <row r="21577" spans="26:26" x14ac:dyDescent="0.25">
      <c r="Z21577">
        <v>400000</v>
      </c>
    </row>
    <row r="21578" spans="26:26" x14ac:dyDescent="0.25">
      <c r="Z21578">
        <v>400000</v>
      </c>
    </row>
    <row r="21579" spans="26:26" x14ac:dyDescent="0.25">
      <c r="Z21579">
        <v>400000</v>
      </c>
    </row>
    <row r="21580" spans="26:26" x14ac:dyDescent="0.25">
      <c r="Z21580">
        <v>400000</v>
      </c>
    </row>
    <row r="21581" spans="26:26" x14ac:dyDescent="0.25">
      <c r="Z21581">
        <v>400000</v>
      </c>
    </row>
    <row r="21582" spans="26:26" x14ac:dyDescent="0.25">
      <c r="Z21582">
        <v>400000</v>
      </c>
    </row>
    <row r="21583" spans="26:26" x14ac:dyDescent="0.25">
      <c r="Z21583">
        <v>400000</v>
      </c>
    </row>
    <row r="21584" spans="26:26" x14ac:dyDescent="0.25">
      <c r="Z21584">
        <v>400000</v>
      </c>
    </row>
    <row r="21585" spans="26:26" x14ac:dyDescent="0.25">
      <c r="Z21585">
        <v>400000</v>
      </c>
    </row>
    <row r="21586" spans="26:26" x14ac:dyDescent="0.25">
      <c r="Z21586">
        <v>400000</v>
      </c>
    </row>
    <row r="21587" spans="26:26" x14ac:dyDescent="0.25">
      <c r="Z21587">
        <v>400000</v>
      </c>
    </row>
    <row r="21588" spans="26:26" x14ac:dyDescent="0.25">
      <c r="Z21588">
        <v>400000</v>
      </c>
    </row>
    <row r="21589" spans="26:26" x14ac:dyDescent="0.25">
      <c r="Z21589">
        <v>400000</v>
      </c>
    </row>
    <row r="21590" spans="26:26" x14ac:dyDescent="0.25">
      <c r="Z21590">
        <v>400000</v>
      </c>
    </row>
    <row r="21591" spans="26:26" x14ac:dyDescent="0.25">
      <c r="Z21591">
        <v>400000</v>
      </c>
    </row>
    <row r="21592" spans="26:26" x14ac:dyDescent="0.25">
      <c r="Z21592">
        <v>400000</v>
      </c>
    </row>
    <row r="21593" spans="26:26" x14ac:dyDescent="0.25">
      <c r="Z21593">
        <v>400000</v>
      </c>
    </row>
    <row r="21594" spans="26:26" x14ac:dyDescent="0.25">
      <c r="Z21594">
        <v>400000</v>
      </c>
    </row>
    <row r="21595" spans="26:26" x14ac:dyDescent="0.25">
      <c r="Z21595">
        <v>400000</v>
      </c>
    </row>
    <row r="21596" spans="26:26" x14ac:dyDescent="0.25">
      <c r="Z21596">
        <v>400000</v>
      </c>
    </row>
    <row r="21597" spans="26:26" x14ac:dyDescent="0.25">
      <c r="Z21597">
        <v>400000</v>
      </c>
    </row>
    <row r="21598" spans="26:26" x14ac:dyDescent="0.25">
      <c r="Z21598">
        <v>400000</v>
      </c>
    </row>
    <row r="21599" spans="26:26" x14ac:dyDescent="0.25">
      <c r="Z21599">
        <v>400000</v>
      </c>
    </row>
    <row r="21600" spans="26:26" x14ac:dyDescent="0.25">
      <c r="Z21600">
        <v>400000</v>
      </c>
    </row>
    <row r="21601" spans="26:26" x14ac:dyDescent="0.25">
      <c r="Z21601">
        <v>400000</v>
      </c>
    </row>
    <row r="21602" spans="26:26" x14ac:dyDescent="0.25">
      <c r="Z21602">
        <v>400000</v>
      </c>
    </row>
    <row r="21603" spans="26:26" x14ac:dyDescent="0.25">
      <c r="Z21603">
        <v>400000</v>
      </c>
    </row>
    <row r="21604" spans="26:26" x14ac:dyDescent="0.25">
      <c r="Z21604">
        <v>400000</v>
      </c>
    </row>
    <row r="21605" spans="26:26" x14ac:dyDescent="0.25">
      <c r="Z21605">
        <v>400000</v>
      </c>
    </row>
    <row r="21606" spans="26:26" x14ac:dyDescent="0.25">
      <c r="Z21606">
        <v>400000</v>
      </c>
    </row>
    <row r="21607" spans="26:26" x14ac:dyDescent="0.25">
      <c r="Z21607">
        <v>400000</v>
      </c>
    </row>
    <row r="21608" spans="26:26" x14ac:dyDescent="0.25">
      <c r="Z21608">
        <v>400000</v>
      </c>
    </row>
    <row r="21609" spans="26:26" x14ac:dyDescent="0.25">
      <c r="Z21609">
        <v>400000</v>
      </c>
    </row>
    <row r="21610" spans="26:26" x14ac:dyDescent="0.25">
      <c r="Z21610">
        <v>400000</v>
      </c>
    </row>
    <row r="21611" spans="26:26" x14ac:dyDescent="0.25">
      <c r="Z21611">
        <v>400000</v>
      </c>
    </row>
    <row r="21612" spans="26:26" x14ac:dyDescent="0.25">
      <c r="Z21612">
        <v>400000</v>
      </c>
    </row>
    <row r="21613" spans="26:26" x14ac:dyDescent="0.25">
      <c r="Z21613">
        <v>400000</v>
      </c>
    </row>
    <row r="21614" spans="26:26" x14ac:dyDescent="0.25">
      <c r="Z21614">
        <v>400000</v>
      </c>
    </row>
    <row r="21615" spans="26:26" x14ac:dyDescent="0.25">
      <c r="Z21615">
        <v>400000</v>
      </c>
    </row>
    <row r="21616" spans="26:26" x14ac:dyDescent="0.25">
      <c r="Z21616">
        <v>400000</v>
      </c>
    </row>
    <row r="21617" spans="26:26" x14ac:dyDescent="0.25">
      <c r="Z21617">
        <v>400000</v>
      </c>
    </row>
    <row r="21618" spans="26:26" x14ac:dyDescent="0.25">
      <c r="Z21618">
        <v>400000</v>
      </c>
    </row>
    <row r="21619" spans="26:26" x14ac:dyDescent="0.25">
      <c r="Z21619">
        <v>400000</v>
      </c>
    </row>
    <row r="21620" spans="26:26" x14ac:dyDescent="0.25">
      <c r="Z21620">
        <v>400000</v>
      </c>
    </row>
    <row r="21621" spans="26:26" x14ac:dyDescent="0.25">
      <c r="Z21621">
        <v>400000</v>
      </c>
    </row>
    <row r="21622" spans="26:26" x14ac:dyDescent="0.25">
      <c r="Z21622">
        <v>400000</v>
      </c>
    </row>
    <row r="21623" spans="26:26" x14ac:dyDescent="0.25">
      <c r="Z21623">
        <v>400000</v>
      </c>
    </row>
    <row r="21624" spans="26:26" x14ac:dyDescent="0.25">
      <c r="Z21624">
        <v>400000</v>
      </c>
    </row>
    <row r="21625" spans="26:26" x14ac:dyDescent="0.25">
      <c r="Z21625">
        <v>400000</v>
      </c>
    </row>
    <row r="21626" spans="26:26" x14ac:dyDescent="0.25">
      <c r="Z21626">
        <v>400000</v>
      </c>
    </row>
    <row r="21627" spans="26:26" x14ac:dyDescent="0.25">
      <c r="Z21627">
        <v>400000</v>
      </c>
    </row>
    <row r="21628" spans="26:26" x14ac:dyDescent="0.25">
      <c r="Z21628">
        <v>400000</v>
      </c>
    </row>
    <row r="21629" spans="26:26" x14ac:dyDescent="0.25">
      <c r="Z21629">
        <v>400000</v>
      </c>
    </row>
    <row r="21630" spans="26:26" x14ac:dyDescent="0.25">
      <c r="Z21630">
        <v>400000</v>
      </c>
    </row>
    <row r="21631" spans="26:26" x14ac:dyDescent="0.25">
      <c r="Z21631">
        <v>400000</v>
      </c>
    </row>
    <row r="21632" spans="26:26" x14ac:dyDescent="0.25">
      <c r="Z21632">
        <v>400000</v>
      </c>
    </row>
    <row r="21633" spans="26:26" x14ac:dyDescent="0.25">
      <c r="Z21633">
        <v>400000</v>
      </c>
    </row>
    <row r="21634" spans="26:26" x14ac:dyDescent="0.25">
      <c r="Z21634">
        <v>400000</v>
      </c>
    </row>
    <row r="21635" spans="26:26" x14ac:dyDescent="0.25">
      <c r="Z21635">
        <v>400000</v>
      </c>
    </row>
    <row r="21636" spans="26:26" x14ac:dyDescent="0.25">
      <c r="Z21636">
        <v>400000</v>
      </c>
    </row>
    <row r="21637" spans="26:26" x14ac:dyDescent="0.25">
      <c r="Z21637">
        <v>400000</v>
      </c>
    </row>
    <row r="21638" spans="26:26" x14ac:dyDescent="0.25">
      <c r="Z21638">
        <v>400000</v>
      </c>
    </row>
    <row r="21639" spans="26:26" x14ac:dyDescent="0.25">
      <c r="Z21639">
        <v>400000</v>
      </c>
    </row>
    <row r="21640" spans="26:26" x14ac:dyDescent="0.25">
      <c r="Z21640">
        <v>400000</v>
      </c>
    </row>
    <row r="21641" spans="26:26" x14ac:dyDescent="0.25">
      <c r="Z21641">
        <v>400000</v>
      </c>
    </row>
    <row r="21642" spans="26:26" x14ac:dyDescent="0.25">
      <c r="Z21642">
        <v>400000</v>
      </c>
    </row>
    <row r="21643" spans="26:26" x14ac:dyDescent="0.25">
      <c r="Z21643">
        <v>400000</v>
      </c>
    </row>
    <row r="21644" spans="26:26" x14ac:dyDescent="0.25">
      <c r="Z21644">
        <v>400000</v>
      </c>
    </row>
    <row r="21645" spans="26:26" x14ac:dyDescent="0.25">
      <c r="Z21645">
        <v>400000</v>
      </c>
    </row>
    <row r="21646" spans="26:26" x14ac:dyDescent="0.25">
      <c r="Z21646">
        <v>400000</v>
      </c>
    </row>
    <row r="21647" spans="26:26" x14ac:dyDescent="0.25">
      <c r="Z21647">
        <v>400000</v>
      </c>
    </row>
    <row r="21648" spans="26:26" x14ac:dyDescent="0.25">
      <c r="Z21648">
        <v>400000</v>
      </c>
    </row>
    <row r="21649" spans="26:26" x14ac:dyDescent="0.25">
      <c r="Z21649">
        <v>400000</v>
      </c>
    </row>
    <row r="21650" spans="26:26" x14ac:dyDescent="0.25">
      <c r="Z21650">
        <v>400000</v>
      </c>
    </row>
    <row r="21651" spans="26:26" x14ac:dyDescent="0.25">
      <c r="Z21651">
        <v>400000</v>
      </c>
    </row>
    <row r="21652" spans="26:26" x14ac:dyDescent="0.25">
      <c r="Z21652">
        <v>400000</v>
      </c>
    </row>
    <row r="21653" spans="26:26" x14ac:dyDescent="0.25">
      <c r="Z21653">
        <v>400000</v>
      </c>
    </row>
    <row r="21654" spans="26:26" x14ac:dyDescent="0.25">
      <c r="Z21654">
        <v>400000</v>
      </c>
    </row>
    <row r="21655" spans="26:26" x14ac:dyDescent="0.25">
      <c r="Z21655">
        <v>400000</v>
      </c>
    </row>
    <row r="21656" spans="26:26" x14ac:dyDescent="0.25">
      <c r="Z21656">
        <v>400000</v>
      </c>
    </row>
    <row r="21657" spans="26:26" x14ac:dyDescent="0.25">
      <c r="Z21657">
        <v>400000</v>
      </c>
    </row>
    <row r="21658" spans="26:26" x14ac:dyDescent="0.25">
      <c r="Z21658">
        <v>400000</v>
      </c>
    </row>
    <row r="21659" spans="26:26" x14ac:dyDescent="0.25">
      <c r="Z21659">
        <v>400000</v>
      </c>
    </row>
    <row r="21660" spans="26:26" x14ac:dyDescent="0.25">
      <c r="Z21660">
        <v>400000</v>
      </c>
    </row>
    <row r="21661" spans="26:26" x14ac:dyDescent="0.25">
      <c r="Z21661">
        <v>400000</v>
      </c>
    </row>
    <row r="21662" spans="26:26" x14ac:dyDescent="0.25">
      <c r="Z21662">
        <v>400000</v>
      </c>
    </row>
    <row r="21663" spans="26:26" x14ac:dyDescent="0.25">
      <c r="Z21663">
        <v>400000</v>
      </c>
    </row>
    <row r="21664" spans="26:26" x14ac:dyDescent="0.25">
      <c r="Z21664">
        <v>400000</v>
      </c>
    </row>
    <row r="21665" spans="26:26" x14ac:dyDescent="0.25">
      <c r="Z21665">
        <v>400000</v>
      </c>
    </row>
    <row r="21666" spans="26:26" x14ac:dyDescent="0.25">
      <c r="Z21666">
        <v>400000</v>
      </c>
    </row>
    <row r="21667" spans="26:26" x14ac:dyDescent="0.25">
      <c r="Z21667">
        <v>400000</v>
      </c>
    </row>
    <row r="21668" spans="26:26" x14ac:dyDescent="0.25">
      <c r="Z21668">
        <v>400000</v>
      </c>
    </row>
    <row r="21669" spans="26:26" x14ac:dyDescent="0.25">
      <c r="Z21669">
        <v>400000</v>
      </c>
    </row>
    <row r="21670" spans="26:26" x14ac:dyDescent="0.25">
      <c r="Z21670">
        <v>400000</v>
      </c>
    </row>
    <row r="21671" spans="26:26" x14ac:dyDescent="0.25">
      <c r="Z21671">
        <v>400000</v>
      </c>
    </row>
    <row r="21672" spans="26:26" x14ac:dyDescent="0.25">
      <c r="Z21672">
        <v>400000</v>
      </c>
    </row>
    <row r="21673" spans="26:26" x14ac:dyDescent="0.25">
      <c r="Z21673">
        <v>400000</v>
      </c>
    </row>
    <row r="21674" spans="26:26" x14ac:dyDescent="0.25">
      <c r="Z21674">
        <v>400000</v>
      </c>
    </row>
    <row r="21675" spans="26:26" x14ac:dyDescent="0.25">
      <c r="Z21675">
        <v>400000</v>
      </c>
    </row>
    <row r="21676" spans="26:26" x14ac:dyDescent="0.25">
      <c r="Z21676">
        <v>400000</v>
      </c>
    </row>
    <row r="21677" spans="26:26" x14ac:dyDescent="0.25">
      <c r="Z21677">
        <v>400000</v>
      </c>
    </row>
    <row r="21678" spans="26:26" x14ac:dyDescent="0.25">
      <c r="Z21678">
        <v>400000</v>
      </c>
    </row>
    <row r="21679" spans="26:26" x14ac:dyDescent="0.25">
      <c r="Z21679">
        <v>400000</v>
      </c>
    </row>
    <row r="21680" spans="26:26" x14ac:dyDescent="0.25">
      <c r="Z21680">
        <v>400000</v>
      </c>
    </row>
    <row r="21681" spans="26:26" x14ac:dyDescent="0.25">
      <c r="Z21681">
        <v>400000</v>
      </c>
    </row>
    <row r="21682" spans="26:26" x14ac:dyDescent="0.25">
      <c r="Z21682">
        <v>400000</v>
      </c>
    </row>
    <row r="21683" spans="26:26" x14ac:dyDescent="0.25">
      <c r="Z21683">
        <v>400000</v>
      </c>
    </row>
    <row r="21684" spans="26:26" x14ac:dyDescent="0.25">
      <c r="Z21684">
        <v>400000</v>
      </c>
    </row>
    <row r="21685" spans="26:26" x14ac:dyDescent="0.25">
      <c r="Z21685">
        <v>400000</v>
      </c>
    </row>
    <row r="21686" spans="26:26" x14ac:dyDescent="0.25">
      <c r="Z21686">
        <v>400000</v>
      </c>
    </row>
    <row r="21687" spans="26:26" x14ac:dyDescent="0.25">
      <c r="Z21687">
        <v>400000</v>
      </c>
    </row>
    <row r="21688" spans="26:26" x14ac:dyDescent="0.25">
      <c r="Z21688">
        <v>400000</v>
      </c>
    </row>
    <row r="21689" spans="26:26" x14ac:dyDescent="0.25">
      <c r="Z21689">
        <v>400000</v>
      </c>
    </row>
    <row r="21690" spans="26:26" x14ac:dyDescent="0.25">
      <c r="Z21690">
        <v>400000</v>
      </c>
    </row>
    <row r="21691" spans="26:26" x14ac:dyDescent="0.25">
      <c r="Z21691">
        <v>400000</v>
      </c>
    </row>
    <row r="21692" spans="26:26" x14ac:dyDescent="0.25">
      <c r="Z21692">
        <v>400000</v>
      </c>
    </row>
    <row r="21693" spans="26:26" x14ac:dyDescent="0.25">
      <c r="Z21693">
        <v>400000</v>
      </c>
    </row>
    <row r="21694" spans="26:26" x14ac:dyDescent="0.25">
      <c r="Z21694">
        <v>400000</v>
      </c>
    </row>
    <row r="21695" spans="26:26" x14ac:dyDescent="0.25">
      <c r="Z21695">
        <v>400000</v>
      </c>
    </row>
    <row r="21696" spans="26:26" x14ac:dyDescent="0.25">
      <c r="Z21696">
        <v>400000</v>
      </c>
    </row>
    <row r="21697" spans="26:26" x14ac:dyDescent="0.25">
      <c r="Z21697">
        <v>400000</v>
      </c>
    </row>
    <row r="21698" spans="26:26" x14ac:dyDescent="0.25">
      <c r="Z21698">
        <v>400000</v>
      </c>
    </row>
    <row r="21699" spans="26:26" x14ac:dyDescent="0.25">
      <c r="Z21699">
        <v>400000</v>
      </c>
    </row>
    <row r="21700" spans="26:26" x14ac:dyDescent="0.25">
      <c r="Z21700">
        <v>400000</v>
      </c>
    </row>
    <row r="21701" spans="26:26" x14ac:dyDescent="0.25">
      <c r="Z21701">
        <v>400000</v>
      </c>
    </row>
    <row r="21702" spans="26:26" x14ac:dyDescent="0.25">
      <c r="Z21702">
        <v>400000</v>
      </c>
    </row>
    <row r="21703" spans="26:26" x14ac:dyDescent="0.25">
      <c r="Z21703">
        <v>400000</v>
      </c>
    </row>
    <row r="21704" spans="26:26" x14ac:dyDescent="0.25">
      <c r="Z21704">
        <v>400000</v>
      </c>
    </row>
    <row r="21705" spans="26:26" x14ac:dyDescent="0.25">
      <c r="Z21705">
        <v>400000</v>
      </c>
    </row>
    <row r="21706" spans="26:26" x14ac:dyDescent="0.25">
      <c r="Z21706">
        <v>400000</v>
      </c>
    </row>
    <row r="21707" spans="26:26" x14ac:dyDescent="0.25">
      <c r="Z21707">
        <v>400000</v>
      </c>
    </row>
    <row r="21708" spans="26:26" x14ac:dyDescent="0.25">
      <c r="Z21708">
        <v>400000</v>
      </c>
    </row>
    <row r="21709" spans="26:26" x14ac:dyDescent="0.25">
      <c r="Z21709">
        <v>400000</v>
      </c>
    </row>
    <row r="21710" spans="26:26" x14ac:dyDescent="0.25">
      <c r="Z21710">
        <v>400000</v>
      </c>
    </row>
    <row r="21711" spans="26:26" x14ac:dyDescent="0.25">
      <c r="Z21711">
        <v>400000</v>
      </c>
    </row>
    <row r="21712" spans="26:26" x14ac:dyDescent="0.25">
      <c r="Z21712">
        <v>400000</v>
      </c>
    </row>
    <row r="21713" spans="26:26" x14ac:dyDescent="0.25">
      <c r="Z21713">
        <v>400000</v>
      </c>
    </row>
    <row r="21714" spans="26:26" x14ac:dyDescent="0.25">
      <c r="Z21714">
        <v>400000</v>
      </c>
    </row>
    <row r="21715" spans="26:26" x14ac:dyDescent="0.25">
      <c r="Z21715">
        <v>400000</v>
      </c>
    </row>
    <row r="21716" spans="26:26" x14ac:dyDescent="0.25">
      <c r="Z21716">
        <v>400000</v>
      </c>
    </row>
    <row r="21717" spans="26:26" x14ac:dyDescent="0.25">
      <c r="Z21717">
        <v>400000</v>
      </c>
    </row>
    <row r="21718" spans="26:26" x14ac:dyDescent="0.25">
      <c r="Z21718">
        <v>400000</v>
      </c>
    </row>
    <row r="21719" spans="26:26" x14ac:dyDescent="0.25">
      <c r="Z21719">
        <v>400000</v>
      </c>
    </row>
    <row r="21720" spans="26:26" x14ac:dyDescent="0.25">
      <c r="Z21720">
        <v>400000</v>
      </c>
    </row>
    <row r="21721" spans="26:26" x14ac:dyDescent="0.25">
      <c r="Z21721">
        <v>400000</v>
      </c>
    </row>
    <row r="21722" spans="26:26" x14ac:dyDescent="0.25">
      <c r="Z21722">
        <v>400000</v>
      </c>
    </row>
    <row r="21723" spans="26:26" x14ac:dyDescent="0.25">
      <c r="Z21723">
        <v>400000</v>
      </c>
    </row>
    <row r="21724" spans="26:26" x14ac:dyDescent="0.25">
      <c r="Z21724">
        <v>400000</v>
      </c>
    </row>
    <row r="21725" spans="26:26" x14ac:dyDescent="0.25">
      <c r="Z21725">
        <v>400000</v>
      </c>
    </row>
    <row r="21726" spans="26:26" x14ac:dyDescent="0.25">
      <c r="Z21726">
        <v>400000</v>
      </c>
    </row>
    <row r="21727" spans="26:26" x14ac:dyDescent="0.25">
      <c r="Z21727">
        <v>400000</v>
      </c>
    </row>
    <row r="21728" spans="26:26" x14ac:dyDescent="0.25">
      <c r="Z21728">
        <v>400000</v>
      </c>
    </row>
    <row r="21729" spans="26:26" x14ac:dyDescent="0.25">
      <c r="Z21729">
        <v>400000</v>
      </c>
    </row>
    <row r="21730" spans="26:26" x14ac:dyDescent="0.25">
      <c r="Z21730">
        <v>400000</v>
      </c>
    </row>
    <row r="21731" spans="26:26" x14ac:dyDescent="0.25">
      <c r="Z21731">
        <v>400000</v>
      </c>
    </row>
    <row r="21732" spans="26:26" x14ac:dyDescent="0.25">
      <c r="Z21732">
        <v>400000</v>
      </c>
    </row>
    <row r="21733" spans="26:26" x14ac:dyDescent="0.25">
      <c r="Z21733">
        <v>400000</v>
      </c>
    </row>
    <row r="21734" spans="26:26" x14ac:dyDescent="0.25">
      <c r="Z21734">
        <v>400000</v>
      </c>
    </row>
    <row r="21735" spans="26:26" x14ac:dyDescent="0.25">
      <c r="Z21735">
        <v>400000</v>
      </c>
    </row>
    <row r="21736" spans="26:26" x14ac:dyDescent="0.25">
      <c r="Z21736">
        <v>400000</v>
      </c>
    </row>
    <row r="21737" spans="26:26" x14ac:dyDescent="0.25">
      <c r="Z21737">
        <v>400000</v>
      </c>
    </row>
    <row r="21738" spans="26:26" x14ac:dyDescent="0.25">
      <c r="Z21738">
        <v>400000</v>
      </c>
    </row>
    <row r="21739" spans="26:26" x14ac:dyDescent="0.25">
      <c r="Z21739">
        <v>400000</v>
      </c>
    </row>
    <row r="21740" spans="26:26" x14ac:dyDescent="0.25">
      <c r="Z21740">
        <v>400000</v>
      </c>
    </row>
    <row r="21741" spans="26:26" x14ac:dyDescent="0.25">
      <c r="Z21741">
        <v>400000</v>
      </c>
    </row>
    <row r="21742" spans="26:26" x14ac:dyDescent="0.25">
      <c r="Z21742">
        <v>400000</v>
      </c>
    </row>
    <row r="21743" spans="26:26" x14ac:dyDescent="0.25">
      <c r="Z21743">
        <v>400000</v>
      </c>
    </row>
    <row r="21744" spans="26:26" x14ac:dyDescent="0.25">
      <c r="Z21744">
        <v>400000</v>
      </c>
    </row>
    <row r="21745" spans="26:26" x14ac:dyDescent="0.25">
      <c r="Z21745">
        <v>400000</v>
      </c>
    </row>
    <row r="21746" spans="26:26" x14ac:dyDescent="0.25">
      <c r="Z21746">
        <v>400000</v>
      </c>
    </row>
    <row r="21747" spans="26:26" x14ac:dyDescent="0.25">
      <c r="Z21747">
        <v>400000</v>
      </c>
    </row>
    <row r="21748" spans="26:26" x14ac:dyDescent="0.25">
      <c r="Z21748">
        <v>400000</v>
      </c>
    </row>
    <row r="21749" spans="26:26" x14ac:dyDescent="0.25">
      <c r="Z21749">
        <v>400000</v>
      </c>
    </row>
    <row r="21750" spans="26:26" x14ac:dyDescent="0.25">
      <c r="Z21750">
        <v>400000</v>
      </c>
    </row>
    <row r="21751" spans="26:26" x14ac:dyDescent="0.25">
      <c r="Z21751">
        <v>400000</v>
      </c>
    </row>
    <row r="21752" spans="26:26" x14ac:dyDescent="0.25">
      <c r="Z21752">
        <v>400000</v>
      </c>
    </row>
    <row r="21753" spans="26:26" x14ac:dyDescent="0.25">
      <c r="Z21753">
        <v>400000</v>
      </c>
    </row>
    <row r="21754" spans="26:26" x14ac:dyDescent="0.25">
      <c r="Z21754">
        <v>400000</v>
      </c>
    </row>
    <row r="21755" spans="26:26" x14ac:dyDescent="0.25">
      <c r="Z21755">
        <v>400000</v>
      </c>
    </row>
    <row r="21756" spans="26:26" x14ac:dyDescent="0.25">
      <c r="Z21756">
        <v>400000</v>
      </c>
    </row>
    <row r="21757" spans="26:26" x14ac:dyDescent="0.25">
      <c r="Z21757">
        <v>400000</v>
      </c>
    </row>
    <row r="21758" spans="26:26" x14ac:dyDescent="0.25">
      <c r="Z21758">
        <v>400000</v>
      </c>
    </row>
    <row r="21759" spans="26:26" x14ac:dyDescent="0.25">
      <c r="Z21759">
        <v>400000</v>
      </c>
    </row>
    <row r="21760" spans="26:26" x14ac:dyDescent="0.25">
      <c r="Z21760">
        <v>400000</v>
      </c>
    </row>
    <row r="21761" spans="26:26" x14ac:dyDescent="0.25">
      <c r="Z21761">
        <v>400000</v>
      </c>
    </row>
    <row r="21762" spans="26:26" x14ac:dyDescent="0.25">
      <c r="Z21762">
        <v>400000</v>
      </c>
    </row>
    <row r="21763" spans="26:26" x14ac:dyDescent="0.25">
      <c r="Z21763">
        <v>400000</v>
      </c>
    </row>
    <row r="21764" spans="26:26" x14ac:dyDescent="0.25">
      <c r="Z21764">
        <v>400000</v>
      </c>
    </row>
    <row r="21765" spans="26:26" x14ac:dyDescent="0.25">
      <c r="Z21765">
        <v>400000</v>
      </c>
    </row>
    <row r="21766" spans="26:26" x14ac:dyDescent="0.25">
      <c r="Z21766">
        <v>400000</v>
      </c>
    </row>
    <row r="21767" spans="26:26" x14ac:dyDescent="0.25">
      <c r="Z21767">
        <v>400000</v>
      </c>
    </row>
    <row r="21768" spans="26:26" x14ac:dyDescent="0.25">
      <c r="Z21768">
        <v>400000</v>
      </c>
    </row>
    <row r="21769" spans="26:26" x14ac:dyDescent="0.25">
      <c r="Z21769">
        <v>400000</v>
      </c>
    </row>
    <row r="21770" spans="26:26" x14ac:dyDescent="0.25">
      <c r="Z21770">
        <v>400000</v>
      </c>
    </row>
    <row r="21771" spans="26:26" x14ac:dyDescent="0.25">
      <c r="Z21771">
        <v>400000</v>
      </c>
    </row>
    <row r="21772" spans="26:26" x14ac:dyDescent="0.25">
      <c r="Z21772">
        <v>400000</v>
      </c>
    </row>
    <row r="21773" spans="26:26" x14ac:dyDescent="0.25">
      <c r="Z21773">
        <v>400000</v>
      </c>
    </row>
    <row r="21774" spans="26:26" x14ac:dyDescent="0.25">
      <c r="Z21774">
        <v>400000</v>
      </c>
    </row>
    <row r="21775" spans="26:26" x14ac:dyDescent="0.25">
      <c r="Z21775">
        <v>400000</v>
      </c>
    </row>
    <row r="21776" spans="26:26" x14ac:dyDescent="0.25">
      <c r="Z21776">
        <v>400000</v>
      </c>
    </row>
    <row r="21777" spans="26:26" x14ac:dyDescent="0.25">
      <c r="Z21777">
        <v>400000</v>
      </c>
    </row>
    <row r="21778" spans="26:26" x14ac:dyDescent="0.25">
      <c r="Z21778">
        <v>400000</v>
      </c>
    </row>
    <row r="21779" spans="26:26" x14ac:dyDescent="0.25">
      <c r="Z21779">
        <v>400000</v>
      </c>
    </row>
    <row r="21780" spans="26:26" x14ac:dyDescent="0.25">
      <c r="Z21780">
        <v>400000</v>
      </c>
    </row>
    <row r="21781" spans="26:26" x14ac:dyDescent="0.25">
      <c r="Z21781">
        <v>400000</v>
      </c>
    </row>
    <row r="21782" spans="26:26" x14ac:dyDescent="0.25">
      <c r="Z21782">
        <v>400000</v>
      </c>
    </row>
    <row r="21783" spans="26:26" x14ac:dyDescent="0.25">
      <c r="Z21783">
        <v>400000</v>
      </c>
    </row>
    <row r="21784" spans="26:26" x14ac:dyDescent="0.25">
      <c r="Z21784">
        <v>400000</v>
      </c>
    </row>
    <row r="21785" spans="26:26" x14ac:dyDescent="0.25">
      <c r="Z21785">
        <v>400000</v>
      </c>
    </row>
    <row r="21786" spans="26:26" x14ac:dyDescent="0.25">
      <c r="Z21786">
        <v>400000</v>
      </c>
    </row>
    <row r="21787" spans="26:26" x14ac:dyDescent="0.25">
      <c r="Z21787">
        <v>400000</v>
      </c>
    </row>
    <row r="21788" spans="26:26" x14ac:dyDescent="0.25">
      <c r="Z21788">
        <v>400000</v>
      </c>
    </row>
    <row r="21789" spans="26:26" x14ac:dyDescent="0.25">
      <c r="Z21789">
        <v>400000</v>
      </c>
    </row>
    <row r="21790" spans="26:26" x14ac:dyDescent="0.25">
      <c r="Z21790">
        <v>400000</v>
      </c>
    </row>
    <row r="21791" spans="26:26" x14ac:dyDescent="0.25">
      <c r="Z21791">
        <v>400000</v>
      </c>
    </row>
    <row r="21792" spans="26:26" x14ac:dyDescent="0.25">
      <c r="Z21792">
        <v>400000</v>
      </c>
    </row>
    <row r="21793" spans="26:26" x14ac:dyDescent="0.25">
      <c r="Z21793">
        <v>400000</v>
      </c>
    </row>
    <row r="21794" spans="26:26" x14ac:dyDescent="0.25">
      <c r="Z21794">
        <v>400000</v>
      </c>
    </row>
    <row r="21795" spans="26:26" x14ac:dyDescent="0.25">
      <c r="Z21795">
        <v>400000</v>
      </c>
    </row>
    <row r="21796" spans="26:26" x14ac:dyDescent="0.25">
      <c r="Z21796">
        <v>400000</v>
      </c>
    </row>
    <row r="21797" spans="26:26" x14ac:dyDescent="0.25">
      <c r="Z21797">
        <v>400000</v>
      </c>
    </row>
    <row r="21798" spans="26:26" x14ac:dyDescent="0.25">
      <c r="Z21798">
        <v>400000</v>
      </c>
    </row>
    <row r="21799" spans="26:26" x14ac:dyDescent="0.25">
      <c r="Z21799">
        <v>400000</v>
      </c>
    </row>
    <row r="21800" spans="26:26" x14ac:dyDescent="0.25">
      <c r="Z21800">
        <v>400000</v>
      </c>
    </row>
    <row r="21801" spans="26:26" x14ac:dyDescent="0.25">
      <c r="Z21801">
        <v>400000</v>
      </c>
    </row>
    <row r="21802" spans="26:26" x14ac:dyDescent="0.25">
      <c r="Z21802">
        <v>400000</v>
      </c>
    </row>
    <row r="21803" spans="26:26" x14ac:dyDescent="0.25">
      <c r="Z21803">
        <v>400000</v>
      </c>
    </row>
    <row r="21804" spans="26:26" x14ac:dyDescent="0.25">
      <c r="Z21804">
        <v>400000</v>
      </c>
    </row>
    <row r="21805" spans="26:26" x14ac:dyDescent="0.25">
      <c r="Z21805">
        <v>400000</v>
      </c>
    </row>
    <row r="21806" spans="26:26" x14ac:dyDescent="0.25">
      <c r="Z21806">
        <v>400000</v>
      </c>
    </row>
    <row r="21807" spans="26:26" x14ac:dyDescent="0.25">
      <c r="Z21807">
        <v>400000</v>
      </c>
    </row>
    <row r="21808" spans="26:26" x14ac:dyDescent="0.25">
      <c r="Z21808">
        <v>400000</v>
      </c>
    </row>
    <row r="21809" spans="26:26" x14ac:dyDescent="0.25">
      <c r="Z21809">
        <v>400000</v>
      </c>
    </row>
    <row r="21810" spans="26:26" x14ac:dyDescent="0.25">
      <c r="Z21810">
        <v>400000</v>
      </c>
    </row>
    <row r="21811" spans="26:26" x14ac:dyDescent="0.25">
      <c r="Z21811">
        <v>400000</v>
      </c>
    </row>
    <row r="21812" spans="26:26" x14ac:dyDescent="0.25">
      <c r="Z21812">
        <v>400000</v>
      </c>
    </row>
    <row r="21813" spans="26:26" x14ac:dyDescent="0.25">
      <c r="Z21813">
        <v>400000</v>
      </c>
    </row>
    <row r="21814" spans="26:26" x14ac:dyDescent="0.25">
      <c r="Z21814">
        <v>400000</v>
      </c>
    </row>
    <row r="21815" spans="26:26" x14ac:dyDescent="0.25">
      <c r="Z21815">
        <v>400000</v>
      </c>
    </row>
    <row r="21816" spans="26:26" x14ac:dyDescent="0.25">
      <c r="Z21816">
        <v>400000</v>
      </c>
    </row>
    <row r="21817" spans="26:26" x14ac:dyDescent="0.25">
      <c r="Z21817">
        <v>400000</v>
      </c>
    </row>
    <row r="21818" spans="26:26" x14ac:dyDescent="0.25">
      <c r="Z21818">
        <v>400000</v>
      </c>
    </row>
    <row r="21819" spans="26:26" x14ac:dyDescent="0.25">
      <c r="Z21819">
        <v>400000</v>
      </c>
    </row>
    <row r="21820" spans="26:26" x14ac:dyDescent="0.25">
      <c r="Z21820">
        <v>400000</v>
      </c>
    </row>
    <row r="21821" spans="26:26" x14ac:dyDescent="0.25">
      <c r="Z21821">
        <v>400000</v>
      </c>
    </row>
    <row r="21822" spans="26:26" x14ac:dyDescent="0.25">
      <c r="Z21822">
        <v>400000</v>
      </c>
    </row>
    <row r="21823" spans="26:26" x14ac:dyDescent="0.25">
      <c r="Z21823">
        <v>400000</v>
      </c>
    </row>
    <row r="21824" spans="26:26" x14ac:dyDescent="0.25">
      <c r="Z21824">
        <v>400000</v>
      </c>
    </row>
    <row r="21825" spans="26:26" x14ac:dyDescent="0.25">
      <c r="Z21825">
        <v>400000</v>
      </c>
    </row>
    <row r="21826" spans="26:26" x14ac:dyDescent="0.25">
      <c r="Z21826">
        <v>400000</v>
      </c>
    </row>
    <row r="21827" spans="26:26" x14ac:dyDescent="0.25">
      <c r="Z21827">
        <v>400000</v>
      </c>
    </row>
    <row r="21828" spans="26:26" x14ac:dyDescent="0.25">
      <c r="Z21828">
        <v>400000</v>
      </c>
    </row>
    <row r="21829" spans="26:26" x14ac:dyDescent="0.25">
      <c r="Z21829">
        <v>400000</v>
      </c>
    </row>
    <row r="21830" spans="26:26" x14ac:dyDescent="0.25">
      <c r="Z21830">
        <v>400000</v>
      </c>
    </row>
    <row r="21831" spans="26:26" x14ac:dyDescent="0.25">
      <c r="Z21831">
        <v>400000</v>
      </c>
    </row>
    <row r="21832" spans="26:26" x14ac:dyDescent="0.25">
      <c r="Z21832">
        <v>400000</v>
      </c>
    </row>
    <row r="21833" spans="26:26" x14ac:dyDescent="0.25">
      <c r="Z21833">
        <v>400000</v>
      </c>
    </row>
    <row r="21834" spans="26:26" x14ac:dyDescent="0.25">
      <c r="Z21834">
        <v>400000</v>
      </c>
    </row>
    <row r="21835" spans="26:26" x14ac:dyDescent="0.25">
      <c r="Z21835">
        <v>400000</v>
      </c>
    </row>
    <row r="21836" spans="26:26" x14ac:dyDescent="0.25">
      <c r="Z21836">
        <v>400000</v>
      </c>
    </row>
    <row r="21837" spans="26:26" x14ac:dyDescent="0.25">
      <c r="Z21837">
        <v>400000</v>
      </c>
    </row>
    <row r="21838" spans="26:26" x14ac:dyDescent="0.25">
      <c r="Z21838">
        <v>400000</v>
      </c>
    </row>
    <row r="21839" spans="26:26" x14ac:dyDescent="0.25">
      <c r="Z21839">
        <v>400000</v>
      </c>
    </row>
    <row r="21840" spans="26:26" x14ac:dyDescent="0.25">
      <c r="Z21840">
        <v>400000</v>
      </c>
    </row>
    <row r="21841" spans="26:26" x14ac:dyDescent="0.25">
      <c r="Z21841">
        <v>400000</v>
      </c>
    </row>
    <row r="21842" spans="26:26" x14ac:dyDescent="0.25">
      <c r="Z21842">
        <v>400000</v>
      </c>
    </row>
    <row r="21843" spans="26:26" x14ac:dyDescent="0.25">
      <c r="Z21843">
        <v>400000</v>
      </c>
    </row>
    <row r="21844" spans="26:26" x14ac:dyDescent="0.25">
      <c r="Z21844">
        <v>400000</v>
      </c>
    </row>
    <row r="21845" spans="26:26" x14ac:dyDescent="0.25">
      <c r="Z21845">
        <v>400000</v>
      </c>
    </row>
    <row r="21846" spans="26:26" x14ac:dyDescent="0.25">
      <c r="Z21846">
        <v>400000</v>
      </c>
    </row>
    <row r="21847" spans="26:26" x14ac:dyDescent="0.25">
      <c r="Z21847">
        <v>400000</v>
      </c>
    </row>
    <row r="21848" spans="26:26" x14ac:dyDescent="0.25">
      <c r="Z21848">
        <v>400000</v>
      </c>
    </row>
    <row r="21849" spans="26:26" x14ac:dyDescent="0.25">
      <c r="Z21849">
        <v>400000</v>
      </c>
    </row>
    <row r="21850" spans="26:26" x14ac:dyDescent="0.25">
      <c r="Z21850">
        <v>400000</v>
      </c>
    </row>
    <row r="21851" spans="26:26" x14ac:dyDescent="0.25">
      <c r="Z21851">
        <v>400000</v>
      </c>
    </row>
    <row r="21852" spans="26:26" x14ac:dyDescent="0.25">
      <c r="Z21852">
        <v>400000</v>
      </c>
    </row>
    <row r="21853" spans="26:26" x14ac:dyDescent="0.25">
      <c r="Z21853">
        <v>400000</v>
      </c>
    </row>
    <row r="21854" spans="26:26" x14ac:dyDescent="0.25">
      <c r="Z21854">
        <v>400000</v>
      </c>
    </row>
    <row r="21855" spans="26:26" x14ac:dyDescent="0.25">
      <c r="Z21855">
        <v>400000</v>
      </c>
    </row>
    <row r="21856" spans="26:26" x14ac:dyDescent="0.25">
      <c r="Z21856">
        <v>400000</v>
      </c>
    </row>
    <row r="21857" spans="26:26" x14ac:dyDescent="0.25">
      <c r="Z21857">
        <v>400000</v>
      </c>
    </row>
    <row r="21858" spans="26:26" x14ac:dyDescent="0.25">
      <c r="Z21858">
        <v>400000</v>
      </c>
    </row>
    <row r="21859" spans="26:26" x14ac:dyDescent="0.25">
      <c r="Z21859">
        <v>400000</v>
      </c>
    </row>
    <row r="21860" spans="26:26" x14ac:dyDescent="0.25">
      <c r="Z21860">
        <v>400000</v>
      </c>
    </row>
    <row r="21861" spans="26:26" x14ac:dyDescent="0.25">
      <c r="Z21861">
        <v>400000</v>
      </c>
    </row>
    <row r="21862" spans="26:26" x14ac:dyDescent="0.25">
      <c r="Z21862">
        <v>400000</v>
      </c>
    </row>
    <row r="21863" spans="26:26" x14ac:dyDescent="0.25">
      <c r="Z21863">
        <v>400000</v>
      </c>
    </row>
    <row r="21864" spans="26:26" x14ac:dyDescent="0.25">
      <c r="Z21864">
        <v>400000</v>
      </c>
    </row>
    <row r="21865" spans="26:26" x14ac:dyDescent="0.25">
      <c r="Z21865">
        <v>400000</v>
      </c>
    </row>
    <row r="21866" spans="26:26" x14ac:dyDescent="0.25">
      <c r="Z21866">
        <v>400000</v>
      </c>
    </row>
    <row r="21867" spans="26:26" x14ac:dyDescent="0.25">
      <c r="Z21867">
        <v>400000</v>
      </c>
    </row>
    <row r="21868" spans="26:26" x14ac:dyDescent="0.25">
      <c r="Z21868">
        <v>400000</v>
      </c>
    </row>
    <row r="21869" spans="26:26" x14ac:dyDescent="0.25">
      <c r="Z21869">
        <v>400000</v>
      </c>
    </row>
    <row r="21870" spans="26:26" x14ac:dyDescent="0.25">
      <c r="Z21870">
        <v>400000</v>
      </c>
    </row>
    <row r="21871" spans="26:26" x14ac:dyDescent="0.25">
      <c r="Z21871">
        <v>400000</v>
      </c>
    </row>
    <row r="21872" spans="26:26" x14ac:dyDescent="0.25">
      <c r="Z21872">
        <v>400000</v>
      </c>
    </row>
    <row r="21873" spans="26:26" x14ac:dyDescent="0.25">
      <c r="Z21873">
        <v>400000</v>
      </c>
    </row>
    <row r="21874" spans="26:26" x14ac:dyDescent="0.25">
      <c r="Z21874">
        <v>400000</v>
      </c>
    </row>
    <row r="21875" spans="26:26" x14ac:dyDescent="0.25">
      <c r="Z21875">
        <v>400000</v>
      </c>
    </row>
    <row r="21876" spans="26:26" x14ac:dyDescent="0.25">
      <c r="Z21876">
        <v>400000</v>
      </c>
    </row>
    <row r="21877" spans="26:26" x14ac:dyDescent="0.25">
      <c r="Z21877">
        <v>400000</v>
      </c>
    </row>
    <row r="21878" spans="26:26" x14ac:dyDescent="0.25">
      <c r="Z21878">
        <v>400000</v>
      </c>
    </row>
    <row r="21879" spans="26:26" x14ac:dyDescent="0.25">
      <c r="Z21879">
        <v>400000</v>
      </c>
    </row>
    <row r="21880" spans="26:26" x14ac:dyDescent="0.25">
      <c r="Z21880">
        <v>400000</v>
      </c>
    </row>
    <row r="21881" spans="26:26" x14ac:dyDescent="0.25">
      <c r="Z21881">
        <v>400000</v>
      </c>
    </row>
    <row r="21882" spans="26:26" x14ac:dyDescent="0.25">
      <c r="Z21882">
        <v>400000</v>
      </c>
    </row>
    <row r="21883" spans="26:26" x14ac:dyDescent="0.25">
      <c r="Z21883">
        <v>400000</v>
      </c>
    </row>
    <row r="21884" spans="26:26" x14ac:dyDescent="0.25">
      <c r="Z21884">
        <v>400000</v>
      </c>
    </row>
    <row r="21885" spans="26:26" x14ac:dyDescent="0.25">
      <c r="Z21885">
        <v>400000</v>
      </c>
    </row>
    <row r="21886" spans="26:26" x14ac:dyDescent="0.25">
      <c r="Z21886">
        <v>400000</v>
      </c>
    </row>
    <row r="21887" spans="26:26" x14ac:dyDescent="0.25">
      <c r="Z21887">
        <v>400000</v>
      </c>
    </row>
    <row r="21888" spans="26:26" x14ac:dyDescent="0.25">
      <c r="Z21888">
        <v>400000</v>
      </c>
    </row>
    <row r="21889" spans="26:26" x14ac:dyDescent="0.25">
      <c r="Z21889">
        <v>400000</v>
      </c>
    </row>
    <row r="21890" spans="26:26" x14ac:dyDescent="0.25">
      <c r="Z21890">
        <v>400000</v>
      </c>
    </row>
    <row r="21891" spans="26:26" x14ac:dyDescent="0.25">
      <c r="Z21891">
        <v>400000</v>
      </c>
    </row>
    <row r="21892" spans="26:26" x14ac:dyDescent="0.25">
      <c r="Z21892">
        <v>400000</v>
      </c>
    </row>
    <row r="21893" spans="26:26" x14ac:dyDescent="0.25">
      <c r="Z21893">
        <v>400000</v>
      </c>
    </row>
    <row r="21894" spans="26:26" x14ac:dyDescent="0.25">
      <c r="Z21894">
        <v>400000</v>
      </c>
    </row>
    <row r="21895" spans="26:26" x14ac:dyDescent="0.25">
      <c r="Z21895">
        <v>400000</v>
      </c>
    </row>
    <row r="21896" spans="26:26" x14ac:dyDescent="0.25">
      <c r="Z21896">
        <v>400000</v>
      </c>
    </row>
    <row r="21897" spans="26:26" x14ac:dyDescent="0.25">
      <c r="Z21897">
        <v>400000</v>
      </c>
    </row>
    <row r="21898" spans="26:26" x14ac:dyDescent="0.25">
      <c r="Z21898">
        <v>400000</v>
      </c>
    </row>
    <row r="21899" spans="26:26" x14ac:dyDescent="0.25">
      <c r="Z21899">
        <v>400000</v>
      </c>
    </row>
    <row r="21900" spans="26:26" x14ac:dyDescent="0.25">
      <c r="Z21900">
        <v>400000</v>
      </c>
    </row>
    <row r="21901" spans="26:26" x14ac:dyDescent="0.25">
      <c r="Z21901">
        <v>400000</v>
      </c>
    </row>
    <row r="21902" spans="26:26" x14ac:dyDescent="0.25">
      <c r="Z21902">
        <v>400000</v>
      </c>
    </row>
    <row r="21903" spans="26:26" x14ac:dyDescent="0.25">
      <c r="Z21903">
        <v>400000</v>
      </c>
    </row>
    <row r="21904" spans="26:26" x14ac:dyDescent="0.25">
      <c r="Z21904">
        <v>400000</v>
      </c>
    </row>
    <row r="21905" spans="26:26" x14ac:dyDescent="0.25">
      <c r="Z21905">
        <v>400000</v>
      </c>
    </row>
    <row r="21906" spans="26:26" x14ac:dyDescent="0.25">
      <c r="Z21906">
        <v>400000</v>
      </c>
    </row>
    <row r="21907" spans="26:26" x14ac:dyDescent="0.25">
      <c r="Z21907">
        <v>400000</v>
      </c>
    </row>
    <row r="21908" spans="26:26" x14ac:dyDescent="0.25">
      <c r="Z21908">
        <v>400000</v>
      </c>
    </row>
    <row r="21909" spans="26:26" x14ac:dyDescent="0.25">
      <c r="Z21909">
        <v>400000</v>
      </c>
    </row>
    <row r="21910" spans="26:26" x14ac:dyDescent="0.25">
      <c r="Z21910">
        <v>400000</v>
      </c>
    </row>
    <row r="21911" spans="26:26" x14ac:dyDescent="0.25">
      <c r="Z21911">
        <v>400000</v>
      </c>
    </row>
    <row r="21912" spans="26:26" x14ac:dyDescent="0.25">
      <c r="Z21912">
        <v>400000</v>
      </c>
    </row>
    <row r="21913" spans="26:26" x14ac:dyDescent="0.25">
      <c r="Z21913">
        <v>400000</v>
      </c>
    </row>
    <row r="21914" spans="26:26" x14ac:dyDescent="0.25">
      <c r="Z21914">
        <v>400000</v>
      </c>
    </row>
    <row r="21915" spans="26:26" x14ac:dyDescent="0.25">
      <c r="Z21915">
        <v>400000</v>
      </c>
    </row>
    <row r="21916" spans="26:26" x14ac:dyDescent="0.25">
      <c r="Z21916">
        <v>400000</v>
      </c>
    </row>
    <row r="21917" spans="26:26" x14ac:dyDescent="0.25">
      <c r="Z21917">
        <v>400000</v>
      </c>
    </row>
    <row r="21918" spans="26:26" x14ac:dyDescent="0.25">
      <c r="Z21918">
        <v>400000</v>
      </c>
    </row>
    <row r="21919" spans="26:26" x14ac:dyDescent="0.25">
      <c r="Z21919">
        <v>400000</v>
      </c>
    </row>
    <row r="21920" spans="26:26" x14ac:dyDescent="0.25">
      <c r="Z21920">
        <v>400000</v>
      </c>
    </row>
    <row r="21921" spans="26:26" x14ac:dyDescent="0.25">
      <c r="Z21921">
        <v>400000</v>
      </c>
    </row>
    <row r="21922" spans="26:26" x14ac:dyDescent="0.25">
      <c r="Z21922">
        <v>400000</v>
      </c>
    </row>
    <row r="21923" spans="26:26" x14ac:dyDescent="0.25">
      <c r="Z21923">
        <v>400000</v>
      </c>
    </row>
    <row r="21924" spans="26:26" x14ac:dyDescent="0.25">
      <c r="Z21924">
        <v>400000</v>
      </c>
    </row>
    <row r="21925" spans="26:26" x14ac:dyDescent="0.25">
      <c r="Z21925">
        <v>400000</v>
      </c>
    </row>
    <row r="21926" spans="26:26" x14ac:dyDescent="0.25">
      <c r="Z21926">
        <v>400000</v>
      </c>
    </row>
    <row r="21927" spans="26:26" x14ac:dyDescent="0.25">
      <c r="Z21927">
        <v>400000</v>
      </c>
    </row>
    <row r="21928" spans="26:26" x14ac:dyDescent="0.25">
      <c r="Z21928">
        <v>400000</v>
      </c>
    </row>
    <row r="21929" spans="26:26" x14ac:dyDescent="0.25">
      <c r="Z21929">
        <v>400000</v>
      </c>
    </row>
    <row r="21930" spans="26:26" x14ac:dyDescent="0.25">
      <c r="Z21930">
        <v>400000</v>
      </c>
    </row>
    <row r="21931" spans="26:26" x14ac:dyDescent="0.25">
      <c r="Z21931">
        <v>400000</v>
      </c>
    </row>
    <row r="21932" spans="26:26" x14ac:dyDescent="0.25">
      <c r="Z21932">
        <v>400000</v>
      </c>
    </row>
    <row r="21933" spans="26:26" x14ac:dyDescent="0.25">
      <c r="Z21933">
        <v>400000</v>
      </c>
    </row>
    <row r="21934" spans="26:26" x14ac:dyDescent="0.25">
      <c r="Z21934">
        <v>400000</v>
      </c>
    </row>
    <row r="21935" spans="26:26" x14ac:dyDescent="0.25">
      <c r="Z21935">
        <v>400000</v>
      </c>
    </row>
    <row r="21936" spans="26:26" x14ac:dyDescent="0.25">
      <c r="Z21936">
        <v>400000</v>
      </c>
    </row>
    <row r="21937" spans="26:26" x14ac:dyDescent="0.25">
      <c r="Z21937">
        <v>400000</v>
      </c>
    </row>
    <row r="21938" spans="26:26" x14ac:dyDescent="0.25">
      <c r="Z21938">
        <v>400000</v>
      </c>
    </row>
    <row r="21939" spans="26:26" x14ac:dyDescent="0.25">
      <c r="Z21939">
        <v>400000</v>
      </c>
    </row>
    <row r="21940" spans="26:26" x14ac:dyDescent="0.25">
      <c r="Z21940">
        <v>400000</v>
      </c>
    </row>
    <row r="21941" spans="26:26" x14ac:dyDescent="0.25">
      <c r="Z21941">
        <v>400000</v>
      </c>
    </row>
    <row r="21942" spans="26:26" x14ac:dyDescent="0.25">
      <c r="Z21942">
        <v>400000</v>
      </c>
    </row>
    <row r="21943" spans="26:26" x14ac:dyDescent="0.25">
      <c r="Z21943">
        <v>400000</v>
      </c>
    </row>
    <row r="21944" spans="26:26" x14ac:dyDescent="0.25">
      <c r="Z21944">
        <v>400000</v>
      </c>
    </row>
    <row r="21945" spans="26:26" x14ac:dyDescent="0.25">
      <c r="Z21945">
        <v>400000</v>
      </c>
    </row>
    <row r="21946" spans="26:26" x14ac:dyDescent="0.25">
      <c r="Z21946">
        <v>400000</v>
      </c>
    </row>
    <row r="21947" spans="26:26" x14ac:dyDescent="0.25">
      <c r="Z21947">
        <v>400000</v>
      </c>
    </row>
    <row r="21948" spans="26:26" x14ac:dyDescent="0.25">
      <c r="Z21948">
        <v>400000</v>
      </c>
    </row>
    <row r="21949" spans="26:26" x14ac:dyDescent="0.25">
      <c r="Z21949">
        <v>400000</v>
      </c>
    </row>
    <row r="21950" spans="26:26" x14ac:dyDescent="0.25">
      <c r="Z21950">
        <v>400000</v>
      </c>
    </row>
    <row r="21951" spans="26:26" x14ac:dyDescent="0.25">
      <c r="Z21951">
        <v>400000</v>
      </c>
    </row>
    <row r="21952" spans="26:26" x14ac:dyDescent="0.25">
      <c r="Z21952">
        <v>400000</v>
      </c>
    </row>
    <row r="21953" spans="26:26" x14ac:dyDescent="0.25">
      <c r="Z21953">
        <v>400000</v>
      </c>
    </row>
    <row r="21954" spans="26:26" x14ac:dyDescent="0.25">
      <c r="Z21954">
        <v>400000</v>
      </c>
    </row>
    <row r="21955" spans="26:26" x14ac:dyDescent="0.25">
      <c r="Z21955">
        <v>400000</v>
      </c>
    </row>
    <row r="21956" spans="26:26" x14ac:dyDescent="0.25">
      <c r="Z21956">
        <v>400000</v>
      </c>
    </row>
    <row r="21957" spans="26:26" x14ac:dyDescent="0.25">
      <c r="Z21957">
        <v>400000</v>
      </c>
    </row>
    <row r="21958" spans="26:26" x14ac:dyDescent="0.25">
      <c r="Z21958">
        <v>400000</v>
      </c>
    </row>
    <row r="21959" spans="26:26" x14ac:dyDescent="0.25">
      <c r="Z21959">
        <v>400000</v>
      </c>
    </row>
    <row r="21960" spans="26:26" x14ac:dyDescent="0.25">
      <c r="Z21960">
        <v>400000</v>
      </c>
    </row>
    <row r="21961" spans="26:26" x14ac:dyDescent="0.25">
      <c r="Z21961">
        <v>400000</v>
      </c>
    </row>
    <row r="21962" spans="26:26" x14ac:dyDescent="0.25">
      <c r="Z21962">
        <v>400000</v>
      </c>
    </row>
    <row r="21963" spans="26:26" x14ac:dyDescent="0.25">
      <c r="Z21963">
        <v>400000</v>
      </c>
    </row>
    <row r="21964" spans="26:26" x14ac:dyDescent="0.25">
      <c r="Z21964">
        <v>400000</v>
      </c>
    </row>
    <row r="21965" spans="26:26" x14ac:dyDescent="0.25">
      <c r="Z21965">
        <v>400000</v>
      </c>
    </row>
    <row r="21966" spans="26:26" x14ac:dyDescent="0.25">
      <c r="Z21966">
        <v>400000</v>
      </c>
    </row>
    <row r="21967" spans="26:26" x14ac:dyDescent="0.25">
      <c r="Z21967">
        <v>400000</v>
      </c>
    </row>
    <row r="21968" spans="26:26" x14ac:dyDescent="0.25">
      <c r="Z21968">
        <v>400000</v>
      </c>
    </row>
    <row r="21969" spans="26:26" x14ac:dyDescent="0.25">
      <c r="Z21969">
        <v>400000</v>
      </c>
    </row>
    <row r="21970" spans="26:26" x14ac:dyDescent="0.25">
      <c r="Z21970">
        <v>400000</v>
      </c>
    </row>
    <row r="21971" spans="26:26" x14ac:dyDescent="0.25">
      <c r="Z21971">
        <v>400000</v>
      </c>
    </row>
    <row r="21972" spans="26:26" x14ac:dyDescent="0.25">
      <c r="Z21972">
        <v>400000</v>
      </c>
    </row>
    <row r="21973" spans="26:26" x14ac:dyDescent="0.25">
      <c r="Z21973">
        <v>400000</v>
      </c>
    </row>
    <row r="21974" spans="26:26" x14ac:dyDescent="0.25">
      <c r="Z21974">
        <v>400000</v>
      </c>
    </row>
    <row r="21975" spans="26:26" x14ac:dyDescent="0.25">
      <c r="Z21975">
        <v>400000</v>
      </c>
    </row>
    <row r="21976" spans="26:26" x14ac:dyDescent="0.25">
      <c r="Z21976">
        <v>400000</v>
      </c>
    </row>
    <row r="21977" spans="26:26" x14ac:dyDescent="0.25">
      <c r="Z21977">
        <v>400000</v>
      </c>
    </row>
    <row r="21978" spans="26:26" x14ac:dyDescent="0.25">
      <c r="Z21978">
        <v>400000</v>
      </c>
    </row>
    <row r="21979" spans="26:26" x14ac:dyDescent="0.25">
      <c r="Z21979">
        <v>400000</v>
      </c>
    </row>
    <row r="21980" spans="26:26" x14ac:dyDescent="0.25">
      <c r="Z21980">
        <v>400000</v>
      </c>
    </row>
    <row r="21981" spans="26:26" x14ac:dyDescent="0.25">
      <c r="Z21981">
        <v>400000</v>
      </c>
    </row>
    <row r="21982" spans="26:26" x14ac:dyDescent="0.25">
      <c r="Z21982">
        <v>400000</v>
      </c>
    </row>
    <row r="21983" spans="26:26" x14ac:dyDescent="0.25">
      <c r="Z21983">
        <v>400000</v>
      </c>
    </row>
    <row r="21984" spans="26:26" x14ac:dyDescent="0.25">
      <c r="Z21984">
        <v>400000</v>
      </c>
    </row>
    <row r="21985" spans="26:26" x14ac:dyDescent="0.25">
      <c r="Z21985">
        <v>400000</v>
      </c>
    </row>
    <row r="21986" spans="26:26" x14ac:dyDescent="0.25">
      <c r="Z21986">
        <v>400000</v>
      </c>
    </row>
    <row r="21987" spans="26:26" x14ac:dyDescent="0.25">
      <c r="Z21987">
        <v>400000</v>
      </c>
    </row>
    <row r="21988" spans="26:26" x14ac:dyDescent="0.25">
      <c r="Z21988">
        <v>400000</v>
      </c>
    </row>
    <row r="21989" spans="26:26" x14ac:dyDescent="0.25">
      <c r="Z21989">
        <v>400000</v>
      </c>
    </row>
    <row r="21990" spans="26:26" x14ac:dyDescent="0.25">
      <c r="Z21990">
        <v>400000</v>
      </c>
    </row>
    <row r="21991" spans="26:26" x14ac:dyDescent="0.25">
      <c r="Z21991">
        <v>400000</v>
      </c>
    </row>
    <row r="21992" spans="26:26" x14ac:dyDescent="0.25">
      <c r="Z21992">
        <v>400000</v>
      </c>
    </row>
    <row r="21993" spans="26:26" x14ac:dyDescent="0.25">
      <c r="Z21993">
        <v>400000</v>
      </c>
    </row>
    <row r="21994" spans="26:26" x14ac:dyDescent="0.25">
      <c r="Z21994">
        <v>400000</v>
      </c>
    </row>
    <row r="21995" spans="26:26" x14ac:dyDescent="0.25">
      <c r="Z21995">
        <v>400000</v>
      </c>
    </row>
    <row r="21996" spans="26:26" x14ac:dyDescent="0.25">
      <c r="Z21996">
        <v>400000</v>
      </c>
    </row>
    <row r="21997" spans="26:26" x14ac:dyDescent="0.25">
      <c r="Z21997">
        <v>400000</v>
      </c>
    </row>
    <row r="21998" spans="26:26" x14ac:dyDescent="0.25">
      <c r="Z21998">
        <v>400000</v>
      </c>
    </row>
    <row r="21999" spans="26:26" x14ac:dyDescent="0.25">
      <c r="Z21999">
        <v>400000</v>
      </c>
    </row>
    <row r="22000" spans="26:26" x14ac:dyDescent="0.25">
      <c r="Z22000">
        <v>400000</v>
      </c>
    </row>
    <row r="22001" spans="26:26" x14ac:dyDescent="0.25">
      <c r="Z22001">
        <v>400000</v>
      </c>
    </row>
    <row r="22002" spans="26:26" x14ac:dyDescent="0.25">
      <c r="Z22002">
        <v>400000</v>
      </c>
    </row>
    <row r="22003" spans="26:26" x14ac:dyDescent="0.25">
      <c r="Z22003">
        <v>400000</v>
      </c>
    </row>
    <row r="22004" spans="26:26" x14ac:dyDescent="0.25">
      <c r="Z22004">
        <v>400000</v>
      </c>
    </row>
    <row r="22005" spans="26:26" x14ac:dyDescent="0.25">
      <c r="Z22005">
        <v>400000</v>
      </c>
    </row>
    <row r="22006" spans="26:26" x14ac:dyDescent="0.25">
      <c r="Z22006">
        <v>400000</v>
      </c>
    </row>
    <row r="22007" spans="26:26" x14ac:dyDescent="0.25">
      <c r="Z22007">
        <v>400000</v>
      </c>
    </row>
    <row r="22008" spans="26:26" x14ac:dyDescent="0.25">
      <c r="Z22008">
        <v>400000</v>
      </c>
    </row>
    <row r="22009" spans="26:26" x14ac:dyDescent="0.25">
      <c r="Z22009">
        <v>400000</v>
      </c>
    </row>
    <row r="22010" spans="26:26" x14ac:dyDescent="0.25">
      <c r="Z22010">
        <v>400000</v>
      </c>
    </row>
    <row r="22011" spans="26:26" x14ac:dyDescent="0.25">
      <c r="Z22011">
        <v>400000</v>
      </c>
    </row>
    <row r="22012" spans="26:26" x14ac:dyDescent="0.25">
      <c r="Z22012">
        <v>400000</v>
      </c>
    </row>
    <row r="22013" spans="26:26" x14ac:dyDescent="0.25">
      <c r="Z22013">
        <v>400000</v>
      </c>
    </row>
    <row r="22014" spans="26:26" x14ac:dyDescent="0.25">
      <c r="Z22014">
        <v>400000</v>
      </c>
    </row>
    <row r="22015" spans="26:26" x14ac:dyDescent="0.25">
      <c r="Z22015">
        <v>400000</v>
      </c>
    </row>
    <row r="22016" spans="26:26" x14ac:dyDescent="0.25">
      <c r="Z22016">
        <v>400000</v>
      </c>
    </row>
    <row r="22017" spans="26:26" x14ac:dyDescent="0.25">
      <c r="Z22017">
        <v>400000</v>
      </c>
    </row>
    <row r="22018" spans="26:26" x14ac:dyDescent="0.25">
      <c r="Z22018">
        <v>400000</v>
      </c>
    </row>
    <row r="22019" spans="26:26" x14ac:dyDescent="0.25">
      <c r="Z22019">
        <v>400000</v>
      </c>
    </row>
    <row r="22020" spans="26:26" x14ac:dyDescent="0.25">
      <c r="Z22020">
        <v>400000</v>
      </c>
    </row>
    <row r="22021" spans="26:26" x14ac:dyDescent="0.25">
      <c r="Z22021">
        <v>400000</v>
      </c>
    </row>
    <row r="22022" spans="26:26" x14ac:dyDescent="0.25">
      <c r="Z22022">
        <v>400000</v>
      </c>
    </row>
    <row r="22023" spans="26:26" x14ac:dyDescent="0.25">
      <c r="Z22023">
        <v>400000</v>
      </c>
    </row>
    <row r="22024" spans="26:26" x14ac:dyDescent="0.25">
      <c r="Z22024">
        <v>400000</v>
      </c>
    </row>
    <row r="22025" spans="26:26" x14ac:dyDescent="0.25">
      <c r="Z22025">
        <v>400000</v>
      </c>
    </row>
    <row r="22026" spans="26:26" x14ac:dyDescent="0.25">
      <c r="Z22026">
        <v>400000</v>
      </c>
    </row>
    <row r="22027" spans="26:26" x14ac:dyDescent="0.25">
      <c r="Z22027">
        <v>400000</v>
      </c>
    </row>
    <row r="22028" spans="26:26" x14ac:dyDescent="0.25">
      <c r="Z22028">
        <v>400000</v>
      </c>
    </row>
    <row r="22029" spans="26:26" x14ac:dyDescent="0.25">
      <c r="Z22029">
        <v>400000</v>
      </c>
    </row>
    <row r="22030" spans="26:26" x14ac:dyDescent="0.25">
      <c r="Z22030">
        <v>400000</v>
      </c>
    </row>
    <row r="22031" spans="26:26" x14ac:dyDescent="0.25">
      <c r="Z22031">
        <v>400000</v>
      </c>
    </row>
    <row r="22032" spans="26:26" x14ac:dyDescent="0.25">
      <c r="Z22032">
        <v>400000</v>
      </c>
    </row>
    <row r="22033" spans="26:26" x14ac:dyDescent="0.25">
      <c r="Z22033">
        <v>400000</v>
      </c>
    </row>
    <row r="22034" spans="26:26" x14ac:dyDescent="0.25">
      <c r="Z22034">
        <v>400000</v>
      </c>
    </row>
    <row r="22035" spans="26:26" x14ac:dyDescent="0.25">
      <c r="Z22035">
        <v>400000</v>
      </c>
    </row>
    <row r="22036" spans="26:26" x14ac:dyDescent="0.25">
      <c r="Z22036">
        <v>400000</v>
      </c>
    </row>
    <row r="22037" spans="26:26" x14ac:dyDescent="0.25">
      <c r="Z22037">
        <v>400000</v>
      </c>
    </row>
    <row r="22038" spans="26:26" x14ac:dyDescent="0.25">
      <c r="Z22038">
        <v>400000</v>
      </c>
    </row>
    <row r="22039" spans="26:26" x14ac:dyDescent="0.25">
      <c r="Z22039">
        <v>400000</v>
      </c>
    </row>
    <row r="22040" spans="26:26" x14ac:dyDescent="0.25">
      <c r="Z22040">
        <v>400000</v>
      </c>
    </row>
    <row r="22041" spans="26:26" x14ac:dyDescent="0.25">
      <c r="Z22041">
        <v>400000</v>
      </c>
    </row>
    <row r="22042" spans="26:26" x14ac:dyDescent="0.25">
      <c r="Z22042">
        <v>400000</v>
      </c>
    </row>
    <row r="22043" spans="26:26" x14ac:dyDescent="0.25">
      <c r="Z22043">
        <v>400000</v>
      </c>
    </row>
    <row r="22044" spans="26:26" x14ac:dyDescent="0.25">
      <c r="Z22044">
        <v>400000</v>
      </c>
    </row>
    <row r="22045" spans="26:26" x14ac:dyDescent="0.25">
      <c r="Z22045">
        <v>400000</v>
      </c>
    </row>
    <row r="22046" spans="26:26" x14ac:dyDescent="0.25">
      <c r="Z22046">
        <v>400000</v>
      </c>
    </row>
    <row r="22047" spans="26:26" x14ac:dyDescent="0.25">
      <c r="Z22047">
        <v>400000</v>
      </c>
    </row>
    <row r="22048" spans="26:26" x14ac:dyDescent="0.25">
      <c r="Z22048">
        <v>400000</v>
      </c>
    </row>
    <row r="22049" spans="26:26" x14ac:dyDescent="0.25">
      <c r="Z22049">
        <v>400000</v>
      </c>
    </row>
    <row r="22050" spans="26:26" x14ac:dyDescent="0.25">
      <c r="Z22050">
        <v>400000</v>
      </c>
    </row>
    <row r="22051" spans="26:26" x14ac:dyDescent="0.25">
      <c r="Z22051">
        <v>400000</v>
      </c>
    </row>
    <row r="22052" spans="26:26" x14ac:dyDescent="0.25">
      <c r="Z22052">
        <v>400000</v>
      </c>
    </row>
    <row r="22053" spans="26:26" x14ac:dyDescent="0.25">
      <c r="Z22053">
        <v>400000</v>
      </c>
    </row>
    <row r="22054" spans="26:26" x14ac:dyDescent="0.25">
      <c r="Z22054">
        <v>400000</v>
      </c>
    </row>
    <row r="22055" spans="26:26" x14ac:dyDescent="0.25">
      <c r="Z22055">
        <v>400000</v>
      </c>
    </row>
    <row r="22056" spans="26:26" x14ac:dyDescent="0.25">
      <c r="Z22056">
        <v>400000</v>
      </c>
    </row>
    <row r="22057" spans="26:26" x14ac:dyDescent="0.25">
      <c r="Z22057">
        <v>400000</v>
      </c>
    </row>
    <row r="22058" spans="26:26" x14ac:dyDescent="0.25">
      <c r="Z22058">
        <v>400000</v>
      </c>
    </row>
    <row r="22059" spans="26:26" x14ac:dyDescent="0.25">
      <c r="Z22059">
        <v>400000</v>
      </c>
    </row>
    <row r="22060" spans="26:26" x14ac:dyDescent="0.25">
      <c r="Z22060">
        <v>400000</v>
      </c>
    </row>
    <row r="22061" spans="26:26" x14ac:dyDescent="0.25">
      <c r="Z22061">
        <v>400000</v>
      </c>
    </row>
    <row r="22062" spans="26:26" x14ac:dyDescent="0.25">
      <c r="Z22062">
        <v>400000</v>
      </c>
    </row>
    <row r="22063" spans="26:26" x14ac:dyDescent="0.25">
      <c r="Z22063">
        <v>400000</v>
      </c>
    </row>
    <row r="22064" spans="26:26" x14ac:dyDescent="0.25">
      <c r="Z22064">
        <v>400000</v>
      </c>
    </row>
    <row r="22065" spans="26:26" x14ac:dyDescent="0.25">
      <c r="Z22065">
        <v>400000</v>
      </c>
    </row>
    <row r="22066" spans="26:26" x14ac:dyDescent="0.25">
      <c r="Z22066">
        <v>400000</v>
      </c>
    </row>
    <row r="22067" spans="26:26" x14ac:dyDescent="0.25">
      <c r="Z22067">
        <v>400000</v>
      </c>
    </row>
    <row r="22068" spans="26:26" x14ac:dyDescent="0.25">
      <c r="Z22068">
        <v>400000</v>
      </c>
    </row>
    <row r="22069" spans="26:26" x14ac:dyDescent="0.25">
      <c r="Z22069">
        <v>400000</v>
      </c>
    </row>
    <row r="22070" spans="26:26" x14ac:dyDescent="0.25">
      <c r="Z22070">
        <v>400000</v>
      </c>
    </row>
    <row r="22071" spans="26:26" x14ac:dyDescent="0.25">
      <c r="Z22071">
        <v>400000</v>
      </c>
    </row>
    <row r="22072" spans="26:26" x14ac:dyDescent="0.25">
      <c r="Z22072">
        <v>400000</v>
      </c>
    </row>
    <row r="22073" spans="26:26" x14ac:dyDescent="0.25">
      <c r="Z22073">
        <v>400000</v>
      </c>
    </row>
    <row r="22074" spans="26:26" x14ac:dyDescent="0.25">
      <c r="Z22074">
        <v>400000</v>
      </c>
    </row>
    <row r="22075" spans="26:26" x14ac:dyDescent="0.25">
      <c r="Z22075">
        <v>400000</v>
      </c>
    </row>
    <row r="22076" spans="26:26" x14ac:dyDescent="0.25">
      <c r="Z22076">
        <v>400000</v>
      </c>
    </row>
    <row r="22077" spans="26:26" x14ac:dyDescent="0.25">
      <c r="Z22077">
        <v>400000</v>
      </c>
    </row>
    <row r="22078" spans="26:26" x14ac:dyDescent="0.25">
      <c r="Z22078">
        <v>400000</v>
      </c>
    </row>
    <row r="22079" spans="26:26" x14ac:dyDescent="0.25">
      <c r="Z22079">
        <v>400000</v>
      </c>
    </row>
    <row r="22080" spans="26:26" x14ac:dyDescent="0.25">
      <c r="Z22080">
        <v>400000</v>
      </c>
    </row>
    <row r="22081" spans="26:26" x14ac:dyDescent="0.25">
      <c r="Z22081">
        <v>400000</v>
      </c>
    </row>
    <row r="22082" spans="26:26" x14ac:dyDescent="0.25">
      <c r="Z22082">
        <v>400000</v>
      </c>
    </row>
    <row r="22083" spans="26:26" x14ac:dyDescent="0.25">
      <c r="Z22083">
        <v>400000</v>
      </c>
    </row>
    <row r="22084" spans="26:26" x14ac:dyDescent="0.25">
      <c r="Z22084">
        <v>400000</v>
      </c>
    </row>
    <row r="22085" spans="26:26" x14ac:dyDescent="0.25">
      <c r="Z22085">
        <v>400000</v>
      </c>
    </row>
    <row r="22086" spans="26:26" x14ac:dyDescent="0.25">
      <c r="Z22086">
        <v>400000</v>
      </c>
    </row>
    <row r="22087" spans="26:26" x14ac:dyDescent="0.25">
      <c r="Z22087">
        <v>400000</v>
      </c>
    </row>
    <row r="22088" spans="26:26" x14ac:dyDescent="0.25">
      <c r="Z22088">
        <v>400000</v>
      </c>
    </row>
    <row r="22089" spans="26:26" x14ac:dyDescent="0.25">
      <c r="Z22089">
        <v>400000</v>
      </c>
    </row>
    <row r="22090" spans="26:26" x14ac:dyDescent="0.25">
      <c r="Z22090">
        <v>400000</v>
      </c>
    </row>
    <row r="22091" spans="26:26" x14ac:dyDescent="0.25">
      <c r="Z22091">
        <v>400000</v>
      </c>
    </row>
    <row r="22092" spans="26:26" x14ac:dyDescent="0.25">
      <c r="Z22092">
        <v>400000</v>
      </c>
    </row>
    <row r="22093" spans="26:26" x14ac:dyDescent="0.25">
      <c r="Z22093">
        <v>400000</v>
      </c>
    </row>
    <row r="22094" spans="26:26" x14ac:dyDescent="0.25">
      <c r="Z22094">
        <v>400000</v>
      </c>
    </row>
    <row r="22095" spans="26:26" x14ac:dyDescent="0.25">
      <c r="Z22095">
        <v>400000</v>
      </c>
    </row>
    <row r="22096" spans="26:26" x14ac:dyDescent="0.25">
      <c r="Z22096">
        <v>400000</v>
      </c>
    </row>
    <row r="22097" spans="26:26" x14ac:dyDescent="0.25">
      <c r="Z22097">
        <v>400000</v>
      </c>
    </row>
    <row r="22098" spans="26:26" x14ac:dyDescent="0.25">
      <c r="Z22098">
        <v>400000</v>
      </c>
    </row>
    <row r="22099" spans="26:26" x14ac:dyDescent="0.25">
      <c r="Z22099">
        <v>400000</v>
      </c>
    </row>
    <row r="22100" spans="26:26" x14ac:dyDescent="0.25">
      <c r="Z22100">
        <v>400000</v>
      </c>
    </row>
    <row r="22101" spans="26:26" x14ac:dyDescent="0.25">
      <c r="Z22101">
        <v>400000</v>
      </c>
    </row>
    <row r="22102" spans="26:26" x14ac:dyDescent="0.25">
      <c r="Z22102">
        <v>400000</v>
      </c>
    </row>
    <row r="22103" spans="26:26" x14ac:dyDescent="0.25">
      <c r="Z22103">
        <v>400000</v>
      </c>
    </row>
    <row r="22104" spans="26:26" x14ac:dyDescent="0.25">
      <c r="Z22104">
        <v>400000</v>
      </c>
    </row>
    <row r="22105" spans="26:26" x14ac:dyDescent="0.25">
      <c r="Z22105">
        <v>400000</v>
      </c>
    </row>
    <row r="22106" spans="26:26" x14ac:dyDescent="0.25">
      <c r="Z22106">
        <v>400000</v>
      </c>
    </row>
    <row r="22107" spans="26:26" x14ac:dyDescent="0.25">
      <c r="Z22107">
        <v>400000</v>
      </c>
    </row>
    <row r="22108" spans="26:26" x14ac:dyDescent="0.25">
      <c r="Z22108">
        <v>400000</v>
      </c>
    </row>
    <row r="22109" spans="26:26" x14ac:dyDescent="0.25">
      <c r="Z22109">
        <v>400000</v>
      </c>
    </row>
    <row r="22110" spans="26:26" x14ac:dyDescent="0.25">
      <c r="Z22110">
        <v>400000</v>
      </c>
    </row>
    <row r="22111" spans="26:26" x14ac:dyDescent="0.25">
      <c r="Z22111">
        <v>400000</v>
      </c>
    </row>
    <row r="22112" spans="26:26" x14ac:dyDescent="0.25">
      <c r="Z22112">
        <v>400000</v>
      </c>
    </row>
    <row r="22113" spans="26:26" x14ac:dyDescent="0.25">
      <c r="Z22113">
        <v>400000</v>
      </c>
    </row>
    <row r="22114" spans="26:26" x14ac:dyDescent="0.25">
      <c r="Z22114">
        <v>400000</v>
      </c>
    </row>
    <row r="22115" spans="26:26" x14ac:dyDescent="0.25">
      <c r="Z22115">
        <v>400000</v>
      </c>
    </row>
    <row r="22116" spans="26:26" x14ac:dyDescent="0.25">
      <c r="Z22116">
        <v>400000</v>
      </c>
    </row>
    <row r="22117" spans="26:26" x14ac:dyDescent="0.25">
      <c r="Z22117">
        <v>400000</v>
      </c>
    </row>
    <row r="22118" spans="26:26" x14ac:dyDescent="0.25">
      <c r="Z22118">
        <v>400000</v>
      </c>
    </row>
    <row r="22119" spans="26:26" x14ac:dyDescent="0.25">
      <c r="Z22119">
        <v>400000</v>
      </c>
    </row>
    <row r="22120" spans="26:26" x14ac:dyDescent="0.25">
      <c r="Z22120">
        <v>400000</v>
      </c>
    </row>
    <row r="22121" spans="26:26" x14ac:dyDescent="0.25">
      <c r="Z22121">
        <v>400000</v>
      </c>
    </row>
    <row r="22122" spans="26:26" x14ac:dyDescent="0.25">
      <c r="Z22122">
        <v>400000</v>
      </c>
    </row>
    <row r="22123" spans="26:26" x14ac:dyDescent="0.25">
      <c r="Z22123">
        <v>400000</v>
      </c>
    </row>
    <row r="22124" spans="26:26" x14ac:dyDescent="0.25">
      <c r="Z22124">
        <v>400000</v>
      </c>
    </row>
    <row r="22125" spans="26:26" x14ac:dyDescent="0.25">
      <c r="Z22125">
        <v>400000</v>
      </c>
    </row>
    <row r="22126" spans="26:26" x14ac:dyDescent="0.25">
      <c r="Z22126">
        <v>400000</v>
      </c>
    </row>
    <row r="22127" spans="26:26" x14ac:dyDescent="0.25">
      <c r="Z22127">
        <v>400000</v>
      </c>
    </row>
    <row r="22128" spans="26:26" x14ac:dyDescent="0.25">
      <c r="Z22128">
        <v>400000</v>
      </c>
    </row>
    <row r="22129" spans="26:26" x14ac:dyDescent="0.25">
      <c r="Z22129">
        <v>400000</v>
      </c>
    </row>
    <row r="22130" spans="26:26" x14ac:dyDescent="0.25">
      <c r="Z22130">
        <v>400000</v>
      </c>
    </row>
    <row r="22131" spans="26:26" x14ac:dyDescent="0.25">
      <c r="Z22131">
        <v>400000</v>
      </c>
    </row>
    <row r="22132" spans="26:26" x14ac:dyDescent="0.25">
      <c r="Z22132">
        <v>400000</v>
      </c>
    </row>
    <row r="22133" spans="26:26" x14ac:dyDescent="0.25">
      <c r="Z22133">
        <v>400000</v>
      </c>
    </row>
    <row r="22134" spans="26:26" x14ac:dyDescent="0.25">
      <c r="Z22134">
        <v>400000</v>
      </c>
    </row>
    <row r="22135" spans="26:26" x14ac:dyDescent="0.25">
      <c r="Z22135">
        <v>400000</v>
      </c>
    </row>
    <row r="22136" spans="26:26" x14ac:dyDescent="0.25">
      <c r="Z22136">
        <v>400000</v>
      </c>
    </row>
    <row r="22137" spans="26:26" x14ac:dyDescent="0.25">
      <c r="Z22137">
        <v>400000</v>
      </c>
    </row>
    <row r="22138" spans="26:26" x14ac:dyDescent="0.25">
      <c r="Z22138">
        <v>400000</v>
      </c>
    </row>
    <row r="22139" spans="26:26" x14ac:dyDescent="0.25">
      <c r="Z22139">
        <v>400000</v>
      </c>
    </row>
    <row r="22140" spans="26:26" x14ac:dyDescent="0.25">
      <c r="Z22140">
        <v>400000</v>
      </c>
    </row>
    <row r="22141" spans="26:26" x14ac:dyDescent="0.25">
      <c r="Z22141">
        <v>400000</v>
      </c>
    </row>
    <row r="22142" spans="26:26" x14ac:dyDescent="0.25">
      <c r="Z22142">
        <v>400000</v>
      </c>
    </row>
    <row r="22143" spans="26:26" x14ac:dyDescent="0.25">
      <c r="Z22143">
        <v>400000</v>
      </c>
    </row>
    <row r="22144" spans="26:26" x14ac:dyDescent="0.25">
      <c r="Z22144">
        <v>400000</v>
      </c>
    </row>
    <row r="22145" spans="26:26" x14ac:dyDescent="0.25">
      <c r="Z22145">
        <v>400000</v>
      </c>
    </row>
    <row r="22146" spans="26:26" x14ac:dyDescent="0.25">
      <c r="Z22146">
        <v>400000</v>
      </c>
    </row>
    <row r="22147" spans="26:26" x14ac:dyDescent="0.25">
      <c r="Z22147">
        <v>400000</v>
      </c>
    </row>
    <row r="22148" spans="26:26" x14ac:dyDescent="0.25">
      <c r="Z22148">
        <v>400000</v>
      </c>
    </row>
    <row r="22149" spans="26:26" x14ac:dyDescent="0.25">
      <c r="Z22149">
        <v>400000</v>
      </c>
    </row>
    <row r="22150" spans="26:26" x14ac:dyDescent="0.25">
      <c r="Z22150">
        <v>400000</v>
      </c>
    </row>
    <row r="22151" spans="26:26" x14ac:dyDescent="0.25">
      <c r="Z22151">
        <v>400000</v>
      </c>
    </row>
    <row r="22152" spans="26:26" x14ac:dyDescent="0.25">
      <c r="Z22152">
        <v>400000</v>
      </c>
    </row>
    <row r="22153" spans="26:26" x14ac:dyDescent="0.25">
      <c r="Z22153">
        <v>400000</v>
      </c>
    </row>
    <row r="22154" spans="26:26" x14ac:dyDescent="0.25">
      <c r="Z22154">
        <v>400000</v>
      </c>
    </row>
    <row r="22155" spans="26:26" x14ac:dyDescent="0.25">
      <c r="Z22155">
        <v>400000</v>
      </c>
    </row>
    <row r="22156" spans="26:26" x14ac:dyDescent="0.25">
      <c r="Z22156">
        <v>400000</v>
      </c>
    </row>
    <row r="22157" spans="26:26" x14ac:dyDescent="0.25">
      <c r="Z22157">
        <v>400000</v>
      </c>
    </row>
    <row r="22158" spans="26:26" x14ac:dyDescent="0.25">
      <c r="Z22158">
        <v>400000</v>
      </c>
    </row>
    <row r="22159" spans="26:26" x14ac:dyDescent="0.25">
      <c r="Z22159">
        <v>400000</v>
      </c>
    </row>
    <row r="22160" spans="26:26" x14ac:dyDescent="0.25">
      <c r="Z22160">
        <v>400000</v>
      </c>
    </row>
    <row r="22161" spans="26:26" x14ac:dyDescent="0.25">
      <c r="Z22161">
        <v>400000</v>
      </c>
    </row>
    <row r="22162" spans="26:26" x14ac:dyDescent="0.25">
      <c r="Z22162">
        <v>400000</v>
      </c>
    </row>
    <row r="22163" spans="26:26" x14ac:dyDescent="0.25">
      <c r="Z22163">
        <v>400000</v>
      </c>
    </row>
    <row r="22164" spans="26:26" x14ac:dyDescent="0.25">
      <c r="Z22164">
        <v>400000</v>
      </c>
    </row>
    <row r="22165" spans="26:26" x14ac:dyDescent="0.25">
      <c r="Z22165">
        <v>400000</v>
      </c>
    </row>
    <row r="22166" spans="26:26" x14ac:dyDescent="0.25">
      <c r="Z22166">
        <v>400000</v>
      </c>
    </row>
    <row r="22167" spans="26:26" x14ac:dyDescent="0.25">
      <c r="Z22167">
        <v>400000</v>
      </c>
    </row>
    <row r="22168" spans="26:26" x14ac:dyDescent="0.25">
      <c r="Z22168">
        <v>400000</v>
      </c>
    </row>
    <row r="22169" spans="26:26" x14ac:dyDescent="0.25">
      <c r="Z22169">
        <v>400000</v>
      </c>
    </row>
    <row r="22170" spans="26:26" x14ac:dyDescent="0.25">
      <c r="Z22170">
        <v>400000</v>
      </c>
    </row>
    <row r="22171" spans="26:26" x14ac:dyDescent="0.25">
      <c r="Z22171">
        <v>400000</v>
      </c>
    </row>
    <row r="22172" spans="26:26" x14ac:dyDescent="0.25">
      <c r="Z22172">
        <v>400000</v>
      </c>
    </row>
    <row r="22173" spans="26:26" x14ac:dyDescent="0.25">
      <c r="Z22173">
        <v>400000</v>
      </c>
    </row>
    <row r="22174" spans="26:26" x14ac:dyDescent="0.25">
      <c r="Z22174">
        <v>400000</v>
      </c>
    </row>
    <row r="22175" spans="26:26" x14ac:dyDescent="0.25">
      <c r="Z22175">
        <v>400000</v>
      </c>
    </row>
    <row r="22176" spans="26:26" x14ac:dyDescent="0.25">
      <c r="Z22176">
        <v>400000</v>
      </c>
    </row>
    <row r="22177" spans="26:26" x14ac:dyDescent="0.25">
      <c r="Z22177">
        <v>400000</v>
      </c>
    </row>
    <row r="22178" spans="26:26" x14ac:dyDescent="0.25">
      <c r="Z22178">
        <v>400000</v>
      </c>
    </row>
    <row r="22179" spans="26:26" x14ac:dyDescent="0.25">
      <c r="Z22179">
        <v>400000</v>
      </c>
    </row>
    <row r="22180" spans="26:26" x14ac:dyDescent="0.25">
      <c r="Z22180">
        <v>400000</v>
      </c>
    </row>
    <row r="22181" spans="26:26" x14ac:dyDescent="0.25">
      <c r="Z22181">
        <v>400000</v>
      </c>
    </row>
    <row r="22182" spans="26:26" x14ac:dyDescent="0.25">
      <c r="Z22182">
        <v>400000</v>
      </c>
    </row>
    <row r="22183" spans="26:26" x14ac:dyDescent="0.25">
      <c r="Z22183">
        <v>400000</v>
      </c>
    </row>
    <row r="22184" spans="26:26" x14ac:dyDescent="0.25">
      <c r="Z22184">
        <v>400000</v>
      </c>
    </row>
    <row r="22185" spans="26:26" x14ac:dyDescent="0.25">
      <c r="Z22185">
        <v>400000</v>
      </c>
    </row>
    <row r="22186" spans="26:26" x14ac:dyDescent="0.25">
      <c r="Z22186">
        <v>400000</v>
      </c>
    </row>
    <row r="22187" spans="26:26" x14ac:dyDescent="0.25">
      <c r="Z22187">
        <v>400000</v>
      </c>
    </row>
    <row r="22188" spans="26:26" x14ac:dyDescent="0.25">
      <c r="Z22188">
        <v>400000</v>
      </c>
    </row>
    <row r="22189" spans="26:26" x14ac:dyDescent="0.25">
      <c r="Z22189">
        <v>400000</v>
      </c>
    </row>
    <row r="22190" spans="26:26" x14ac:dyDescent="0.25">
      <c r="Z22190">
        <v>400000</v>
      </c>
    </row>
    <row r="22191" spans="26:26" x14ac:dyDescent="0.25">
      <c r="Z22191">
        <v>400000</v>
      </c>
    </row>
    <row r="22192" spans="26:26" x14ac:dyDescent="0.25">
      <c r="Z22192">
        <v>400000</v>
      </c>
    </row>
    <row r="22193" spans="26:26" x14ac:dyDescent="0.25">
      <c r="Z22193">
        <v>400000</v>
      </c>
    </row>
    <row r="22194" spans="26:26" x14ac:dyDescent="0.25">
      <c r="Z22194">
        <v>400000</v>
      </c>
    </row>
    <row r="22195" spans="26:26" x14ac:dyDescent="0.25">
      <c r="Z22195">
        <v>400000</v>
      </c>
    </row>
    <row r="22196" spans="26:26" x14ac:dyDescent="0.25">
      <c r="Z22196">
        <v>400000</v>
      </c>
    </row>
    <row r="22197" spans="26:26" x14ac:dyDescent="0.25">
      <c r="Z22197">
        <v>400000</v>
      </c>
    </row>
    <row r="22198" spans="26:26" x14ac:dyDescent="0.25">
      <c r="Z22198">
        <v>400000</v>
      </c>
    </row>
    <row r="22199" spans="26:26" x14ac:dyDescent="0.25">
      <c r="Z22199">
        <v>400000</v>
      </c>
    </row>
    <row r="22200" spans="26:26" x14ac:dyDescent="0.25">
      <c r="Z22200">
        <v>400000</v>
      </c>
    </row>
    <row r="22201" spans="26:26" x14ac:dyDescent="0.25">
      <c r="Z22201">
        <v>400000</v>
      </c>
    </row>
    <row r="22202" spans="26:26" x14ac:dyDescent="0.25">
      <c r="Z22202">
        <v>400000</v>
      </c>
    </row>
    <row r="22203" spans="26:26" x14ac:dyDescent="0.25">
      <c r="Z22203">
        <v>400000</v>
      </c>
    </row>
    <row r="22204" spans="26:26" x14ac:dyDescent="0.25">
      <c r="Z22204">
        <v>400000</v>
      </c>
    </row>
    <row r="22205" spans="26:26" x14ac:dyDescent="0.25">
      <c r="Z22205">
        <v>400000</v>
      </c>
    </row>
    <row r="22206" spans="26:26" x14ac:dyDescent="0.25">
      <c r="Z22206">
        <v>400000</v>
      </c>
    </row>
    <row r="22207" spans="26:26" x14ac:dyDescent="0.25">
      <c r="Z22207">
        <v>400000</v>
      </c>
    </row>
    <row r="22208" spans="26:26" x14ac:dyDescent="0.25">
      <c r="Z22208">
        <v>400000</v>
      </c>
    </row>
    <row r="22209" spans="26:26" x14ac:dyDescent="0.25">
      <c r="Z22209">
        <v>400000</v>
      </c>
    </row>
    <row r="22210" spans="26:26" x14ac:dyDescent="0.25">
      <c r="Z22210">
        <v>400000</v>
      </c>
    </row>
    <row r="22211" spans="26:26" x14ac:dyDescent="0.25">
      <c r="Z22211">
        <v>400000</v>
      </c>
    </row>
    <row r="22212" spans="26:26" x14ac:dyDescent="0.25">
      <c r="Z22212">
        <v>400000</v>
      </c>
    </row>
    <row r="22213" spans="26:26" x14ac:dyDescent="0.25">
      <c r="Z22213">
        <v>400000</v>
      </c>
    </row>
    <row r="22214" spans="26:26" x14ac:dyDescent="0.25">
      <c r="Z22214">
        <v>400000</v>
      </c>
    </row>
    <row r="22215" spans="26:26" x14ac:dyDescent="0.25">
      <c r="Z22215">
        <v>400000</v>
      </c>
    </row>
    <row r="22216" spans="26:26" x14ac:dyDescent="0.25">
      <c r="Z22216">
        <v>400000</v>
      </c>
    </row>
    <row r="22217" spans="26:26" x14ac:dyDescent="0.25">
      <c r="Z22217">
        <v>400000</v>
      </c>
    </row>
    <row r="22218" spans="26:26" x14ac:dyDescent="0.25">
      <c r="Z22218">
        <v>400000</v>
      </c>
    </row>
    <row r="22219" spans="26:26" x14ac:dyDescent="0.25">
      <c r="Z22219">
        <v>400000</v>
      </c>
    </row>
    <row r="22220" spans="26:26" x14ac:dyDescent="0.25">
      <c r="Z22220">
        <v>400000</v>
      </c>
    </row>
    <row r="22221" spans="26:26" x14ac:dyDescent="0.25">
      <c r="Z22221">
        <v>400000</v>
      </c>
    </row>
    <row r="22222" spans="26:26" x14ac:dyDescent="0.25">
      <c r="Z22222">
        <v>400000</v>
      </c>
    </row>
    <row r="22223" spans="26:26" x14ac:dyDescent="0.25">
      <c r="Z22223">
        <v>400000</v>
      </c>
    </row>
    <row r="22224" spans="26:26" x14ac:dyDescent="0.25">
      <c r="Z22224">
        <v>400000</v>
      </c>
    </row>
    <row r="22225" spans="26:26" x14ac:dyDescent="0.25">
      <c r="Z22225">
        <v>400000</v>
      </c>
    </row>
    <row r="22226" spans="26:26" x14ac:dyDescent="0.25">
      <c r="Z22226">
        <v>400000</v>
      </c>
    </row>
    <row r="22227" spans="26:26" x14ac:dyDescent="0.25">
      <c r="Z22227">
        <v>400000</v>
      </c>
    </row>
    <row r="22228" spans="26:26" x14ac:dyDescent="0.25">
      <c r="Z22228">
        <v>400000</v>
      </c>
    </row>
    <row r="22229" spans="26:26" x14ac:dyDescent="0.25">
      <c r="Z22229">
        <v>400000</v>
      </c>
    </row>
    <row r="22230" spans="26:26" x14ac:dyDescent="0.25">
      <c r="Z22230">
        <v>400000</v>
      </c>
    </row>
    <row r="22231" spans="26:26" x14ac:dyDescent="0.25">
      <c r="Z22231">
        <v>400000</v>
      </c>
    </row>
    <row r="22232" spans="26:26" x14ac:dyDescent="0.25">
      <c r="Z22232">
        <v>400000</v>
      </c>
    </row>
    <row r="22233" spans="26:26" x14ac:dyDescent="0.25">
      <c r="Z22233">
        <v>400000</v>
      </c>
    </row>
    <row r="22234" spans="26:26" x14ac:dyDescent="0.25">
      <c r="Z22234">
        <v>400000</v>
      </c>
    </row>
    <row r="22235" spans="26:26" x14ac:dyDescent="0.25">
      <c r="Z22235">
        <v>400000</v>
      </c>
    </row>
    <row r="22236" spans="26:26" x14ac:dyDescent="0.25">
      <c r="Z22236">
        <v>400000</v>
      </c>
    </row>
    <row r="22237" spans="26:26" x14ac:dyDescent="0.25">
      <c r="Z22237">
        <v>400000</v>
      </c>
    </row>
    <row r="22238" spans="26:26" x14ac:dyDescent="0.25">
      <c r="Z22238">
        <v>400000</v>
      </c>
    </row>
    <row r="22239" spans="26:26" x14ac:dyDescent="0.25">
      <c r="Z22239">
        <v>400000</v>
      </c>
    </row>
    <row r="22240" spans="26:26" x14ac:dyDescent="0.25">
      <c r="Z22240">
        <v>400000</v>
      </c>
    </row>
    <row r="22241" spans="26:26" x14ac:dyDescent="0.25">
      <c r="Z22241">
        <v>400000</v>
      </c>
    </row>
    <row r="22242" spans="26:26" x14ac:dyDescent="0.25">
      <c r="Z22242">
        <v>400000</v>
      </c>
    </row>
    <row r="22243" spans="26:26" x14ac:dyDescent="0.25">
      <c r="Z22243">
        <v>400000</v>
      </c>
    </row>
    <row r="22244" spans="26:26" x14ac:dyDescent="0.25">
      <c r="Z22244">
        <v>400000</v>
      </c>
    </row>
    <row r="22245" spans="26:26" x14ac:dyDescent="0.25">
      <c r="Z22245">
        <v>400000</v>
      </c>
    </row>
    <row r="22246" spans="26:26" x14ac:dyDescent="0.25">
      <c r="Z22246">
        <v>400000</v>
      </c>
    </row>
    <row r="22247" spans="26:26" x14ac:dyDescent="0.25">
      <c r="Z22247">
        <v>400000</v>
      </c>
    </row>
    <row r="22248" spans="26:26" x14ac:dyDescent="0.25">
      <c r="Z22248">
        <v>400000</v>
      </c>
    </row>
    <row r="22249" spans="26:26" x14ac:dyDescent="0.25">
      <c r="Z22249">
        <v>400000</v>
      </c>
    </row>
    <row r="22250" spans="26:26" x14ac:dyDescent="0.25">
      <c r="Z22250">
        <v>400000</v>
      </c>
    </row>
    <row r="22251" spans="26:26" x14ac:dyDescent="0.25">
      <c r="Z22251">
        <v>400000</v>
      </c>
    </row>
    <row r="22252" spans="26:26" x14ac:dyDescent="0.25">
      <c r="Z22252">
        <v>400000</v>
      </c>
    </row>
    <row r="22253" spans="26:26" x14ac:dyDescent="0.25">
      <c r="Z22253">
        <v>400000</v>
      </c>
    </row>
    <row r="22254" spans="26:26" x14ac:dyDescent="0.25">
      <c r="Z22254">
        <v>400000</v>
      </c>
    </row>
    <row r="22255" spans="26:26" x14ac:dyDescent="0.25">
      <c r="Z22255">
        <v>400000</v>
      </c>
    </row>
    <row r="22256" spans="26:26" x14ac:dyDescent="0.25">
      <c r="Z22256">
        <v>400000</v>
      </c>
    </row>
    <row r="22257" spans="26:26" x14ac:dyDescent="0.25">
      <c r="Z22257">
        <v>400000</v>
      </c>
    </row>
    <row r="22258" spans="26:26" x14ac:dyDescent="0.25">
      <c r="Z22258">
        <v>400000</v>
      </c>
    </row>
    <row r="22259" spans="26:26" x14ac:dyDescent="0.25">
      <c r="Z22259">
        <v>400000</v>
      </c>
    </row>
    <row r="22260" spans="26:26" x14ac:dyDescent="0.25">
      <c r="Z22260">
        <v>400000</v>
      </c>
    </row>
    <row r="22261" spans="26:26" x14ac:dyDescent="0.25">
      <c r="Z22261">
        <v>400000</v>
      </c>
    </row>
    <row r="22262" spans="26:26" x14ac:dyDescent="0.25">
      <c r="Z22262">
        <v>400000</v>
      </c>
    </row>
    <row r="22263" spans="26:26" x14ac:dyDescent="0.25">
      <c r="Z22263">
        <v>400000</v>
      </c>
    </row>
    <row r="22264" spans="26:26" x14ac:dyDescent="0.25">
      <c r="Z22264">
        <v>400000</v>
      </c>
    </row>
    <row r="22265" spans="26:26" x14ac:dyDescent="0.25">
      <c r="Z22265">
        <v>400000</v>
      </c>
    </row>
    <row r="22266" spans="26:26" x14ac:dyDescent="0.25">
      <c r="Z22266">
        <v>400000</v>
      </c>
    </row>
    <row r="22267" spans="26:26" x14ac:dyDescent="0.25">
      <c r="Z22267">
        <v>400000</v>
      </c>
    </row>
    <row r="22268" spans="26:26" x14ac:dyDescent="0.25">
      <c r="Z22268">
        <v>400000</v>
      </c>
    </row>
    <row r="22269" spans="26:26" x14ac:dyDescent="0.25">
      <c r="Z22269">
        <v>400000</v>
      </c>
    </row>
    <row r="22270" spans="26:26" x14ac:dyDescent="0.25">
      <c r="Z22270">
        <v>400000</v>
      </c>
    </row>
    <row r="22271" spans="26:26" x14ac:dyDescent="0.25">
      <c r="Z22271">
        <v>400000</v>
      </c>
    </row>
    <row r="22272" spans="26:26" x14ac:dyDescent="0.25">
      <c r="Z22272">
        <v>400000</v>
      </c>
    </row>
    <row r="22273" spans="26:26" x14ac:dyDescent="0.25">
      <c r="Z22273">
        <v>400000</v>
      </c>
    </row>
    <row r="22274" spans="26:26" x14ac:dyDescent="0.25">
      <c r="Z22274">
        <v>400000</v>
      </c>
    </row>
    <row r="22275" spans="26:26" x14ac:dyDescent="0.25">
      <c r="Z22275">
        <v>400000</v>
      </c>
    </row>
    <row r="22276" spans="26:26" x14ac:dyDescent="0.25">
      <c r="Z22276">
        <v>400000</v>
      </c>
    </row>
    <row r="22277" spans="26:26" x14ac:dyDescent="0.25">
      <c r="Z22277">
        <v>400000</v>
      </c>
    </row>
    <row r="22278" spans="26:26" x14ac:dyDescent="0.25">
      <c r="Z22278">
        <v>400000</v>
      </c>
    </row>
    <row r="22279" spans="26:26" x14ac:dyDescent="0.25">
      <c r="Z22279">
        <v>400000</v>
      </c>
    </row>
    <row r="22280" spans="26:26" x14ac:dyDescent="0.25">
      <c r="Z22280">
        <v>400000</v>
      </c>
    </row>
    <row r="22281" spans="26:26" x14ac:dyDescent="0.25">
      <c r="Z22281">
        <v>400000</v>
      </c>
    </row>
    <row r="22282" spans="26:26" x14ac:dyDescent="0.25">
      <c r="Z22282">
        <v>400000</v>
      </c>
    </row>
    <row r="22283" spans="26:26" x14ac:dyDescent="0.25">
      <c r="Z22283">
        <v>400000</v>
      </c>
    </row>
    <row r="22284" spans="26:26" x14ac:dyDescent="0.25">
      <c r="Z22284">
        <v>400000</v>
      </c>
    </row>
    <row r="22285" spans="26:26" x14ac:dyDescent="0.25">
      <c r="Z22285">
        <v>400000</v>
      </c>
    </row>
    <row r="22286" spans="26:26" x14ac:dyDescent="0.25">
      <c r="Z22286">
        <v>400000</v>
      </c>
    </row>
    <row r="22287" spans="26:26" x14ac:dyDescent="0.25">
      <c r="Z22287">
        <v>400000</v>
      </c>
    </row>
    <row r="22288" spans="26:26" x14ac:dyDescent="0.25">
      <c r="Z22288">
        <v>400000</v>
      </c>
    </row>
    <row r="22289" spans="26:26" x14ac:dyDescent="0.25">
      <c r="Z22289">
        <v>400000</v>
      </c>
    </row>
    <row r="22290" spans="26:26" x14ac:dyDescent="0.25">
      <c r="Z22290">
        <v>400000</v>
      </c>
    </row>
    <row r="22291" spans="26:26" x14ac:dyDescent="0.25">
      <c r="Z22291">
        <v>400000</v>
      </c>
    </row>
    <row r="22292" spans="26:26" x14ac:dyDescent="0.25">
      <c r="Z22292">
        <v>400000</v>
      </c>
    </row>
    <row r="22293" spans="26:26" x14ac:dyDescent="0.25">
      <c r="Z22293">
        <v>400000</v>
      </c>
    </row>
    <row r="22294" spans="26:26" x14ac:dyDescent="0.25">
      <c r="Z22294">
        <v>400000</v>
      </c>
    </row>
    <row r="22295" spans="26:26" x14ac:dyDescent="0.25">
      <c r="Z22295">
        <v>400000</v>
      </c>
    </row>
    <row r="22296" spans="26:26" x14ac:dyDescent="0.25">
      <c r="Z22296">
        <v>400000</v>
      </c>
    </row>
    <row r="22297" spans="26:26" x14ac:dyDescent="0.25">
      <c r="Z22297">
        <v>400000</v>
      </c>
    </row>
    <row r="22298" spans="26:26" x14ac:dyDescent="0.25">
      <c r="Z22298">
        <v>400000</v>
      </c>
    </row>
    <row r="22299" spans="26:26" x14ac:dyDescent="0.25">
      <c r="Z22299">
        <v>400000</v>
      </c>
    </row>
    <row r="22300" spans="26:26" x14ac:dyDescent="0.25">
      <c r="Z22300">
        <v>400000</v>
      </c>
    </row>
    <row r="22301" spans="26:26" x14ac:dyDescent="0.25">
      <c r="Z22301">
        <v>400000</v>
      </c>
    </row>
    <row r="22302" spans="26:26" x14ac:dyDescent="0.25">
      <c r="Z22302">
        <v>400000</v>
      </c>
    </row>
    <row r="22303" spans="26:26" x14ac:dyDescent="0.25">
      <c r="Z22303">
        <v>400000</v>
      </c>
    </row>
    <row r="22304" spans="26:26" x14ac:dyDescent="0.25">
      <c r="Z22304">
        <v>400000</v>
      </c>
    </row>
    <row r="22305" spans="26:26" x14ac:dyDescent="0.25">
      <c r="Z22305">
        <v>400000</v>
      </c>
    </row>
    <row r="22306" spans="26:26" x14ac:dyDescent="0.25">
      <c r="Z22306">
        <v>400000</v>
      </c>
    </row>
    <row r="22307" spans="26:26" x14ac:dyDescent="0.25">
      <c r="Z22307">
        <v>400000</v>
      </c>
    </row>
    <row r="22308" spans="26:26" x14ac:dyDescent="0.25">
      <c r="Z22308">
        <v>400000</v>
      </c>
    </row>
    <row r="22309" spans="26:26" x14ac:dyDescent="0.25">
      <c r="Z22309">
        <v>400000</v>
      </c>
    </row>
    <row r="22310" spans="26:26" x14ac:dyDescent="0.25">
      <c r="Z22310">
        <v>400000</v>
      </c>
    </row>
    <row r="22311" spans="26:26" x14ac:dyDescent="0.25">
      <c r="Z22311">
        <v>400000</v>
      </c>
    </row>
    <row r="22312" spans="26:26" x14ac:dyDescent="0.25">
      <c r="Z22312">
        <v>400000</v>
      </c>
    </row>
    <row r="22313" spans="26:26" x14ac:dyDescent="0.25">
      <c r="Z22313">
        <v>400000</v>
      </c>
    </row>
    <row r="22314" spans="26:26" x14ac:dyDescent="0.25">
      <c r="Z22314">
        <v>400000</v>
      </c>
    </row>
    <row r="22315" spans="26:26" x14ac:dyDescent="0.25">
      <c r="Z22315">
        <v>400000</v>
      </c>
    </row>
    <row r="22316" spans="26:26" x14ac:dyDescent="0.25">
      <c r="Z22316">
        <v>400000</v>
      </c>
    </row>
    <row r="22317" spans="26:26" x14ac:dyDescent="0.25">
      <c r="Z22317">
        <v>400000</v>
      </c>
    </row>
    <row r="22318" spans="26:26" x14ac:dyDescent="0.25">
      <c r="Z22318">
        <v>400000</v>
      </c>
    </row>
    <row r="22319" spans="26:26" x14ac:dyDescent="0.25">
      <c r="Z22319">
        <v>400000</v>
      </c>
    </row>
    <row r="22320" spans="26:26" x14ac:dyDescent="0.25">
      <c r="Z22320">
        <v>400000</v>
      </c>
    </row>
    <row r="22321" spans="26:26" x14ac:dyDescent="0.25">
      <c r="Z22321">
        <v>400000</v>
      </c>
    </row>
    <row r="22322" spans="26:26" x14ac:dyDescent="0.25">
      <c r="Z22322">
        <v>400000</v>
      </c>
    </row>
    <row r="22323" spans="26:26" x14ac:dyDescent="0.25">
      <c r="Z22323">
        <v>400000</v>
      </c>
    </row>
    <row r="22324" spans="26:26" x14ac:dyDescent="0.25">
      <c r="Z22324">
        <v>400000</v>
      </c>
    </row>
    <row r="22325" spans="26:26" x14ac:dyDescent="0.25">
      <c r="Z22325">
        <v>400000</v>
      </c>
    </row>
    <row r="22326" spans="26:26" x14ac:dyDescent="0.25">
      <c r="Z22326">
        <v>400000</v>
      </c>
    </row>
    <row r="22327" spans="26:26" x14ac:dyDescent="0.25">
      <c r="Z22327">
        <v>400000</v>
      </c>
    </row>
    <row r="22328" spans="26:26" x14ac:dyDescent="0.25">
      <c r="Z22328">
        <v>400000</v>
      </c>
    </row>
    <row r="22329" spans="26:26" x14ac:dyDescent="0.25">
      <c r="Z22329">
        <v>400000</v>
      </c>
    </row>
    <row r="22330" spans="26:26" x14ac:dyDescent="0.25">
      <c r="Z22330">
        <v>400000</v>
      </c>
    </row>
    <row r="22331" spans="26:26" x14ac:dyDescent="0.25">
      <c r="Z22331">
        <v>400000</v>
      </c>
    </row>
    <row r="22332" spans="26:26" x14ac:dyDescent="0.25">
      <c r="Z22332">
        <v>400000</v>
      </c>
    </row>
    <row r="22333" spans="26:26" x14ac:dyDescent="0.25">
      <c r="Z22333">
        <v>400000</v>
      </c>
    </row>
    <row r="22334" spans="26:26" x14ac:dyDescent="0.25">
      <c r="Z22334">
        <v>400000</v>
      </c>
    </row>
    <row r="22335" spans="26:26" x14ac:dyDescent="0.25">
      <c r="Z22335">
        <v>400000</v>
      </c>
    </row>
    <row r="22336" spans="26:26" x14ac:dyDescent="0.25">
      <c r="Z22336">
        <v>400000</v>
      </c>
    </row>
    <row r="22337" spans="26:26" x14ac:dyDescent="0.25">
      <c r="Z22337">
        <v>400000</v>
      </c>
    </row>
    <row r="22338" spans="26:26" x14ac:dyDescent="0.25">
      <c r="Z22338">
        <v>400000</v>
      </c>
    </row>
    <row r="22339" spans="26:26" x14ac:dyDescent="0.25">
      <c r="Z22339">
        <v>400000</v>
      </c>
    </row>
    <row r="22340" spans="26:26" x14ac:dyDescent="0.25">
      <c r="Z22340">
        <v>400000</v>
      </c>
    </row>
    <row r="22341" spans="26:26" x14ac:dyDescent="0.25">
      <c r="Z22341">
        <v>400000</v>
      </c>
    </row>
    <row r="22342" spans="26:26" x14ac:dyDescent="0.25">
      <c r="Z22342">
        <v>400000</v>
      </c>
    </row>
    <row r="22343" spans="26:26" x14ac:dyDescent="0.25">
      <c r="Z22343">
        <v>400000</v>
      </c>
    </row>
    <row r="22344" spans="26:26" x14ac:dyDescent="0.25">
      <c r="Z22344">
        <v>400000</v>
      </c>
    </row>
    <row r="22345" spans="26:26" x14ac:dyDescent="0.25">
      <c r="Z22345">
        <v>400000</v>
      </c>
    </row>
    <row r="22346" spans="26:26" x14ac:dyDescent="0.25">
      <c r="Z22346">
        <v>400000</v>
      </c>
    </row>
    <row r="22347" spans="26:26" x14ac:dyDescent="0.25">
      <c r="Z22347">
        <v>400000</v>
      </c>
    </row>
    <row r="22348" spans="26:26" x14ac:dyDescent="0.25">
      <c r="Z22348">
        <v>400000</v>
      </c>
    </row>
    <row r="22349" spans="26:26" x14ac:dyDescent="0.25">
      <c r="Z22349">
        <v>400000</v>
      </c>
    </row>
    <row r="22350" spans="26:26" x14ac:dyDescent="0.25">
      <c r="Z22350">
        <v>400000</v>
      </c>
    </row>
    <row r="22351" spans="26:26" x14ac:dyDescent="0.25">
      <c r="Z22351">
        <v>400000</v>
      </c>
    </row>
    <row r="22352" spans="26:26" x14ac:dyDescent="0.25">
      <c r="Z22352">
        <v>400000</v>
      </c>
    </row>
    <row r="22353" spans="26:26" x14ac:dyDescent="0.25">
      <c r="Z22353">
        <v>400000</v>
      </c>
    </row>
    <row r="22354" spans="26:26" x14ac:dyDescent="0.25">
      <c r="Z22354">
        <v>400000</v>
      </c>
    </row>
    <row r="22355" spans="26:26" x14ac:dyDescent="0.25">
      <c r="Z22355">
        <v>400000</v>
      </c>
    </row>
    <row r="22356" spans="26:26" x14ac:dyDescent="0.25">
      <c r="Z22356">
        <v>400000</v>
      </c>
    </row>
    <row r="22357" spans="26:26" x14ac:dyDescent="0.25">
      <c r="Z22357">
        <v>400000</v>
      </c>
    </row>
    <row r="22358" spans="26:26" x14ac:dyDescent="0.25">
      <c r="Z22358">
        <v>400000</v>
      </c>
    </row>
    <row r="22359" spans="26:26" x14ac:dyDescent="0.25">
      <c r="Z22359">
        <v>400000</v>
      </c>
    </row>
    <row r="22360" spans="26:26" x14ac:dyDescent="0.25">
      <c r="Z22360">
        <v>400000</v>
      </c>
    </row>
    <row r="22361" spans="26:26" x14ac:dyDescent="0.25">
      <c r="Z22361">
        <v>400000</v>
      </c>
    </row>
    <row r="22362" spans="26:26" x14ac:dyDescent="0.25">
      <c r="Z22362">
        <v>400000</v>
      </c>
    </row>
    <row r="22363" spans="26:26" x14ac:dyDescent="0.25">
      <c r="Z22363">
        <v>400000</v>
      </c>
    </row>
    <row r="22364" spans="26:26" x14ac:dyDescent="0.25">
      <c r="Z22364">
        <v>400000</v>
      </c>
    </row>
    <row r="22365" spans="26:26" x14ac:dyDescent="0.25">
      <c r="Z22365">
        <v>400000</v>
      </c>
    </row>
    <row r="22366" spans="26:26" x14ac:dyDescent="0.25">
      <c r="Z22366">
        <v>400000</v>
      </c>
    </row>
    <row r="22367" spans="26:26" x14ac:dyDescent="0.25">
      <c r="Z22367">
        <v>400000</v>
      </c>
    </row>
    <row r="22368" spans="26:26" x14ac:dyDescent="0.25">
      <c r="Z22368">
        <v>400000</v>
      </c>
    </row>
    <row r="22369" spans="26:26" x14ac:dyDescent="0.25">
      <c r="Z22369">
        <v>400000</v>
      </c>
    </row>
    <row r="22370" spans="26:26" x14ac:dyDescent="0.25">
      <c r="Z22370">
        <v>400000</v>
      </c>
    </row>
    <row r="22371" spans="26:26" x14ac:dyDescent="0.25">
      <c r="Z22371">
        <v>400000</v>
      </c>
    </row>
    <row r="22372" spans="26:26" x14ac:dyDescent="0.25">
      <c r="Z22372">
        <v>400000</v>
      </c>
    </row>
    <row r="22373" spans="26:26" x14ac:dyDescent="0.25">
      <c r="Z22373">
        <v>400000</v>
      </c>
    </row>
    <row r="22374" spans="26:26" x14ac:dyDescent="0.25">
      <c r="Z22374">
        <v>400000</v>
      </c>
    </row>
    <row r="22375" spans="26:26" x14ac:dyDescent="0.25">
      <c r="Z22375">
        <v>400000</v>
      </c>
    </row>
    <row r="22376" spans="26:26" x14ac:dyDescent="0.25">
      <c r="Z22376">
        <v>400000</v>
      </c>
    </row>
    <row r="22377" spans="26:26" x14ac:dyDescent="0.25">
      <c r="Z22377">
        <v>400000</v>
      </c>
    </row>
    <row r="22378" spans="26:26" x14ac:dyDescent="0.25">
      <c r="Z22378">
        <v>400000</v>
      </c>
    </row>
    <row r="22379" spans="26:26" x14ac:dyDescent="0.25">
      <c r="Z22379">
        <v>400000</v>
      </c>
    </row>
    <row r="22380" spans="26:26" x14ac:dyDescent="0.25">
      <c r="Z22380">
        <v>400000</v>
      </c>
    </row>
    <row r="22381" spans="26:26" x14ac:dyDescent="0.25">
      <c r="Z22381">
        <v>400000</v>
      </c>
    </row>
    <row r="22382" spans="26:26" x14ac:dyDescent="0.25">
      <c r="Z22382">
        <v>400000</v>
      </c>
    </row>
    <row r="22383" spans="26:26" x14ac:dyDescent="0.25">
      <c r="Z22383">
        <v>400000</v>
      </c>
    </row>
    <row r="22384" spans="26:26" x14ac:dyDescent="0.25">
      <c r="Z22384">
        <v>400000</v>
      </c>
    </row>
    <row r="22385" spans="26:26" x14ac:dyDescent="0.25">
      <c r="Z22385">
        <v>400000</v>
      </c>
    </row>
    <row r="22386" spans="26:26" x14ac:dyDescent="0.25">
      <c r="Z22386">
        <v>400000</v>
      </c>
    </row>
    <row r="22387" spans="26:26" x14ac:dyDescent="0.25">
      <c r="Z22387">
        <v>400000</v>
      </c>
    </row>
    <row r="22388" spans="26:26" x14ac:dyDescent="0.25">
      <c r="Z22388">
        <v>400000</v>
      </c>
    </row>
    <row r="22389" spans="26:26" x14ac:dyDescent="0.25">
      <c r="Z22389">
        <v>400000</v>
      </c>
    </row>
    <row r="22390" spans="26:26" x14ac:dyDescent="0.25">
      <c r="Z22390">
        <v>400000</v>
      </c>
    </row>
    <row r="22391" spans="26:26" x14ac:dyDescent="0.25">
      <c r="Z22391">
        <v>400000</v>
      </c>
    </row>
    <row r="22392" spans="26:26" x14ac:dyDescent="0.25">
      <c r="Z22392">
        <v>400000</v>
      </c>
    </row>
    <row r="22393" spans="26:26" x14ac:dyDescent="0.25">
      <c r="Z22393">
        <v>400000</v>
      </c>
    </row>
    <row r="22394" spans="26:26" x14ac:dyDescent="0.25">
      <c r="Z22394">
        <v>400000</v>
      </c>
    </row>
    <row r="22395" spans="26:26" x14ac:dyDescent="0.25">
      <c r="Z22395">
        <v>400000</v>
      </c>
    </row>
    <row r="22396" spans="26:26" x14ac:dyDescent="0.25">
      <c r="Z22396">
        <v>400000</v>
      </c>
    </row>
    <row r="22397" spans="26:26" x14ac:dyDescent="0.25">
      <c r="Z22397">
        <v>400000</v>
      </c>
    </row>
    <row r="22398" spans="26:26" x14ac:dyDescent="0.25">
      <c r="Z22398">
        <v>400000</v>
      </c>
    </row>
    <row r="22399" spans="26:26" x14ac:dyDescent="0.25">
      <c r="Z22399">
        <v>400000</v>
      </c>
    </row>
    <row r="22400" spans="26:26" x14ac:dyDescent="0.25">
      <c r="Z22400">
        <v>400000</v>
      </c>
    </row>
    <row r="22401" spans="26:26" x14ac:dyDescent="0.25">
      <c r="Z22401">
        <v>400000</v>
      </c>
    </row>
    <row r="22402" spans="26:26" x14ac:dyDescent="0.25">
      <c r="Z22402">
        <v>400000</v>
      </c>
    </row>
    <row r="22403" spans="26:26" x14ac:dyDescent="0.25">
      <c r="Z22403">
        <v>400000</v>
      </c>
    </row>
    <row r="22404" spans="26:26" x14ac:dyDescent="0.25">
      <c r="Z22404">
        <v>400000</v>
      </c>
    </row>
    <row r="22405" spans="26:26" x14ac:dyDescent="0.25">
      <c r="Z22405">
        <v>400000</v>
      </c>
    </row>
    <row r="22406" spans="26:26" x14ac:dyDescent="0.25">
      <c r="Z22406">
        <v>400000</v>
      </c>
    </row>
    <row r="22407" spans="26:26" x14ac:dyDescent="0.25">
      <c r="Z22407">
        <v>400000</v>
      </c>
    </row>
    <row r="22408" spans="26:26" x14ac:dyDescent="0.25">
      <c r="Z22408">
        <v>400000</v>
      </c>
    </row>
    <row r="22409" spans="26:26" x14ac:dyDescent="0.25">
      <c r="Z22409">
        <v>400000</v>
      </c>
    </row>
    <row r="22410" spans="26:26" x14ac:dyDescent="0.25">
      <c r="Z22410">
        <v>400000</v>
      </c>
    </row>
    <row r="22411" spans="26:26" x14ac:dyDescent="0.25">
      <c r="Z22411">
        <v>400000</v>
      </c>
    </row>
    <row r="22412" spans="26:26" x14ac:dyDescent="0.25">
      <c r="Z22412">
        <v>400000</v>
      </c>
    </row>
    <row r="22413" spans="26:26" x14ac:dyDescent="0.25">
      <c r="Z22413">
        <v>400000</v>
      </c>
    </row>
    <row r="22414" spans="26:26" x14ac:dyDescent="0.25">
      <c r="Z22414">
        <v>400000</v>
      </c>
    </row>
    <row r="22415" spans="26:26" x14ac:dyDescent="0.25">
      <c r="Z22415">
        <v>400000</v>
      </c>
    </row>
    <row r="22416" spans="26:26" x14ac:dyDescent="0.25">
      <c r="Z22416">
        <v>400000</v>
      </c>
    </row>
    <row r="22417" spans="26:26" x14ac:dyDescent="0.25">
      <c r="Z22417">
        <v>400000</v>
      </c>
    </row>
    <row r="22418" spans="26:26" x14ac:dyDescent="0.25">
      <c r="Z22418">
        <v>400000</v>
      </c>
    </row>
    <row r="22419" spans="26:26" x14ac:dyDescent="0.25">
      <c r="Z22419">
        <v>400000</v>
      </c>
    </row>
    <row r="22420" spans="26:26" x14ac:dyDescent="0.25">
      <c r="Z22420">
        <v>400000</v>
      </c>
    </row>
    <row r="22421" spans="26:26" x14ac:dyDescent="0.25">
      <c r="Z22421">
        <v>400000</v>
      </c>
    </row>
    <row r="22422" spans="26:26" x14ac:dyDescent="0.25">
      <c r="Z22422">
        <v>400000</v>
      </c>
    </row>
    <row r="22423" spans="26:26" x14ac:dyDescent="0.25">
      <c r="Z22423">
        <v>400000</v>
      </c>
    </row>
    <row r="22424" spans="26:26" x14ac:dyDescent="0.25">
      <c r="Z22424">
        <v>400000</v>
      </c>
    </row>
    <row r="22425" spans="26:26" x14ac:dyDescent="0.25">
      <c r="Z22425">
        <v>400000</v>
      </c>
    </row>
    <row r="22426" spans="26:26" x14ac:dyDescent="0.25">
      <c r="Z22426">
        <v>400000</v>
      </c>
    </row>
    <row r="22427" spans="26:26" x14ac:dyDescent="0.25">
      <c r="Z22427">
        <v>400000</v>
      </c>
    </row>
    <row r="22428" spans="26:26" x14ac:dyDescent="0.25">
      <c r="Z22428">
        <v>400000</v>
      </c>
    </row>
    <row r="22429" spans="26:26" x14ac:dyDescent="0.25">
      <c r="Z22429">
        <v>400000</v>
      </c>
    </row>
    <row r="22430" spans="26:26" x14ac:dyDescent="0.25">
      <c r="Z22430">
        <v>400000</v>
      </c>
    </row>
    <row r="22431" spans="26:26" x14ac:dyDescent="0.25">
      <c r="Z22431">
        <v>400000</v>
      </c>
    </row>
    <row r="22432" spans="26:26" x14ac:dyDescent="0.25">
      <c r="Z22432">
        <v>400000</v>
      </c>
    </row>
    <row r="22433" spans="26:26" x14ac:dyDescent="0.25">
      <c r="Z22433">
        <v>400000</v>
      </c>
    </row>
    <row r="22434" spans="26:26" x14ac:dyDescent="0.25">
      <c r="Z22434">
        <v>400000</v>
      </c>
    </row>
    <row r="22435" spans="26:26" x14ac:dyDescent="0.25">
      <c r="Z22435">
        <v>400000</v>
      </c>
    </row>
    <row r="22436" spans="26:26" x14ac:dyDescent="0.25">
      <c r="Z22436">
        <v>400000</v>
      </c>
    </row>
    <row r="22437" spans="26:26" x14ac:dyDescent="0.25">
      <c r="Z22437">
        <v>400000</v>
      </c>
    </row>
    <row r="22438" spans="26:26" x14ac:dyDescent="0.25">
      <c r="Z22438">
        <v>400000</v>
      </c>
    </row>
    <row r="22439" spans="26:26" x14ac:dyDescent="0.25">
      <c r="Z22439">
        <v>400000</v>
      </c>
    </row>
    <row r="22440" spans="26:26" x14ac:dyDescent="0.25">
      <c r="Z22440">
        <v>400000</v>
      </c>
    </row>
    <row r="22441" spans="26:26" x14ac:dyDescent="0.25">
      <c r="Z22441">
        <v>400000</v>
      </c>
    </row>
    <row r="22442" spans="26:26" x14ac:dyDescent="0.25">
      <c r="Z22442">
        <v>400000</v>
      </c>
    </row>
    <row r="22443" spans="26:26" x14ac:dyDescent="0.25">
      <c r="Z22443">
        <v>400000</v>
      </c>
    </row>
    <row r="22444" spans="26:26" x14ac:dyDescent="0.25">
      <c r="Z22444">
        <v>400000</v>
      </c>
    </row>
    <row r="22445" spans="26:26" x14ac:dyDescent="0.25">
      <c r="Z22445">
        <v>400000</v>
      </c>
    </row>
    <row r="22446" spans="26:26" x14ac:dyDescent="0.25">
      <c r="Z22446">
        <v>400000</v>
      </c>
    </row>
    <row r="22447" spans="26:26" x14ac:dyDescent="0.25">
      <c r="Z22447">
        <v>400000</v>
      </c>
    </row>
    <row r="22448" spans="26:26" x14ac:dyDescent="0.25">
      <c r="Z22448">
        <v>400000</v>
      </c>
    </row>
    <row r="22449" spans="26:26" x14ac:dyDescent="0.25">
      <c r="Z22449">
        <v>400000</v>
      </c>
    </row>
    <row r="22450" spans="26:26" x14ac:dyDescent="0.25">
      <c r="Z22450">
        <v>400000</v>
      </c>
    </row>
    <row r="22451" spans="26:26" x14ac:dyDescent="0.25">
      <c r="Z22451">
        <v>400000</v>
      </c>
    </row>
    <row r="22452" spans="26:26" x14ac:dyDescent="0.25">
      <c r="Z22452">
        <v>400000</v>
      </c>
    </row>
    <row r="22453" spans="26:26" x14ac:dyDescent="0.25">
      <c r="Z22453">
        <v>400000</v>
      </c>
    </row>
    <row r="22454" spans="26:26" x14ac:dyDescent="0.25">
      <c r="Z22454">
        <v>400000</v>
      </c>
    </row>
    <row r="22455" spans="26:26" x14ac:dyDescent="0.25">
      <c r="Z22455">
        <v>400000</v>
      </c>
    </row>
    <row r="22456" spans="26:26" x14ac:dyDescent="0.25">
      <c r="Z22456">
        <v>400000</v>
      </c>
    </row>
    <row r="22457" spans="26:26" x14ac:dyDescent="0.25">
      <c r="Z22457">
        <v>400000</v>
      </c>
    </row>
    <row r="22458" spans="26:26" x14ac:dyDescent="0.25">
      <c r="Z22458">
        <v>400000</v>
      </c>
    </row>
    <row r="22459" spans="26:26" x14ac:dyDescent="0.25">
      <c r="Z22459">
        <v>400000</v>
      </c>
    </row>
    <row r="22460" spans="26:26" x14ac:dyDescent="0.25">
      <c r="Z22460">
        <v>400000</v>
      </c>
    </row>
    <row r="22461" spans="26:26" x14ac:dyDescent="0.25">
      <c r="Z22461">
        <v>400000</v>
      </c>
    </row>
    <row r="22462" spans="26:26" x14ac:dyDescent="0.25">
      <c r="Z22462">
        <v>400000</v>
      </c>
    </row>
    <row r="22463" spans="26:26" x14ac:dyDescent="0.25">
      <c r="Z22463">
        <v>400000</v>
      </c>
    </row>
    <row r="22464" spans="26:26" x14ac:dyDescent="0.25">
      <c r="Z22464">
        <v>400000</v>
      </c>
    </row>
    <row r="22465" spans="26:26" x14ac:dyDescent="0.25">
      <c r="Z22465">
        <v>400000</v>
      </c>
    </row>
    <row r="22466" spans="26:26" x14ac:dyDescent="0.25">
      <c r="Z22466">
        <v>400000</v>
      </c>
    </row>
    <row r="22467" spans="26:26" x14ac:dyDescent="0.25">
      <c r="Z22467">
        <v>400000</v>
      </c>
    </row>
    <row r="22468" spans="26:26" x14ac:dyDescent="0.25">
      <c r="Z22468">
        <v>400000</v>
      </c>
    </row>
    <row r="22469" spans="26:26" x14ac:dyDescent="0.25">
      <c r="Z22469">
        <v>400000</v>
      </c>
    </row>
    <row r="22470" spans="26:26" x14ac:dyDescent="0.25">
      <c r="Z22470">
        <v>400000</v>
      </c>
    </row>
    <row r="22471" spans="26:26" x14ac:dyDescent="0.25">
      <c r="Z22471">
        <v>400000</v>
      </c>
    </row>
    <row r="22472" spans="26:26" x14ac:dyDescent="0.25">
      <c r="Z22472">
        <v>400000</v>
      </c>
    </row>
    <row r="22473" spans="26:26" x14ac:dyDescent="0.25">
      <c r="Z22473">
        <v>400000</v>
      </c>
    </row>
    <row r="22474" spans="26:26" x14ac:dyDescent="0.25">
      <c r="Z22474">
        <v>400000</v>
      </c>
    </row>
    <row r="22475" spans="26:26" x14ac:dyDescent="0.25">
      <c r="Z22475">
        <v>400000</v>
      </c>
    </row>
    <row r="22476" spans="26:26" x14ac:dyDescent="0.25">
      <c r="Z22476">
        <v>400000</v>
      </c>
    </row>
    <row r="22477" spans="26:26" x14ac:dyDescent="0.25">
      <c r="Z22477">
        <v>400000</v>
      </c>
    </row>
    <row r="22478" spans="26:26" x14ac:dyDescent="0.25">
      <c r="Z22478">
        <v>400000</v>
      </c>
    </row>
    <row r="22479" spans="26:26" x14ac:dyDescent="0.25">
      <c r="Z22479">
        <v>400000</v>
      </c>
    </row>
    <row r="22480" spans="26:26" x14ac:dyDescent="0.25">
      <c r="Z22480">
        <v>400000</v>
      </c>
    </row>
    <row r="22481" spans="26:26" x14ac:dyDescent="0.25">
      <c r="Z22481">
        <v>400000</v>
      </c>
    </row>
    <row r="22482" spans="26:26" x14ac:dyDescent="0.25">
      <c r="Z22482">
        <v>400000</v>
      </c>
    </row>
    <row r="22483" spans="26:26" x14ac:dyDescent="0.25">
      <c r="Z22483">
        <v>400000</v>
      </c>
    </row>
    <row r="22484" spans="26:26" x14ac:dyDescent="0.25">
      <c r="Z22484">
        <v>400000</v>
      </c>
    </row>
    <row r="22485" spans="26:26" x14ac:dyDescent="0.25">
      <c r="Z22485">
        <v>400000</v>
      </c>
    </row>
    <row r="22486" spans="26:26" x14ac:dyDescent="0.25">
      <c r="Z22486">
        <v>400000</v>
      </c>
    </row>
    <row r="22487" spans="26:26" x14ac:dyDescent="0.25">
      <c r="Z22487">
        <v>400000</v>
      </c>
    </row>
    <row r="22488" spans="26:26" x14ac:dyDescent="0.25">
      <c r="Z22488">
        <v>400000</v>
      </c>
    </row>
    <row r="22489" spans="26:26" x14ac:dyDescent="0.25">
      <c r="Z22489">
        <v>400000</v>
      </c>
    </row>
    <row r="22490" spans="26:26" x14ac:dyDescent="0.25">
      <c r="Z22490">
        <v>400000</v>
      </c>
    </row>
    <row r="22491" spans="26:26" x14ac:dyDescent="0.25">
      <c r="Z22491">
        <v>400000</v>
      </c>
    </row>
    <row r="22492" spans="26:26" x14ac:dyDescent="0.25">
      <c r="Z22492">
        <v>400000</v>
      </c>
    </row>
    <row r="22493" spans="26:26" x14ac:dyDescent="0.25">
      <c r="Z22493">
        <v>400000</v>
      </c>
    </row>
    <row r="22494" spans="26:26" x14ac:dyDescent="0.25">
      <c r="Z22494">
        <v>400000</v>
      </c>
    </row>
    <row r="22495" spans="26:26" x14ac:dyDescent="0.25">
      <c r="Z22495">
        <v>400000</v>
      </c>
    </row>
    <row r="22496" spans="26:26" x14ac:dyDescent="0.25">
      <c r="Z22496">
        <v>400000</v>
      </c>
    </row>
    <row r="22497" spans="26:26" x14ac:dyDescent="0.25">
      <c r="Z22497">
        <v>400000</v>
      </c>
    </row>
    <row r="22498" spans="26:26" x14ac:dyDescent="0.25">
      <c r="Z22498">
        <v>400000</v>
      </c>
    </row>
    <row r="22499" spans="26:26" x14ac:dyDescent="0.25">
      <c r="Z22499">
        <v>400000</v>
      </c>
    </row>
    <row r="22500" spans="26:26" x14ac:dyDescent="0.25">
      <c r="Z22500">
        <v>400000</v>
      </c>
    </row>
    <row r="22501" spans="26:26" x14ac:dyDescent="0.25">
      <c r="Z22501">
        <v>400000</v>
      </c>
    </row>
    <row r="22502" spans="26:26" x14ac:dyDescent="0.25">
      <c r="Z22502">
        <v>400000</v>
      </c>
    </row>
    <row r="22503" spans="26:26" x14ac:dyDescent="0.25">
      <c r="Z22503">
        <v>400000</v>
      </c>
    </row>
    <row r="22504" spans="26:26" x14ac:dyDescent="0.25">
      <c r="Z22504">
        <v>400000</v>
      </c>
    </row>
    <row r="22505" spans="26:26" x14ac:dyDescent="0.25">
      <c r="Z22505">
        <v>400000</v>
      </c>
    </row>
    <row r="22506" spans="26:26" x14ac:dyDescent="0.25">
      <c r="Z22506">
        <v>400000</v>
      </c>
    </row>
    <row r="22507" spans="26:26" x14ac:dyDescent="0.25">
      <c r="Z22507">
        <v>400000</v>
      </c>
    </row>
    <row r="22508" spans="26:26" x14ac:dyDescent="0.25">
      <c r="Z22508">
        <v>400000</v>
      </c>
    </row>
    <row r="22509" spans="26:26" x14ac:dyDescent="0.25">
      <c r="Z22509">
        <v>400000</v>
      </c>
    </row>
    <row r="22510" spans="26:26" x14ac:dyDescent="0.25">
      <c r="Z22510">
        <v>400000</v>
      </c>
    </row>
    <row r="22511" spans="26:26" x14ac:dyDescent="0.25">
      <c r="Z22511">
        <v>400000</v>
      </c>
    </row>
    <row r="22512" spans="26:26" x14ac:dyDescent="0.25">
      <c r="Z22512">
        <v>400000</v>
      </c>
    </row>
    <row r="22513" spans="26:26" x14ac:dyDescent="0.25">
      <c r="Z22513">
        <v>400000</v>
      </c>
    </row>
    <row r="22514" spans="26:26" x14ac:dyDescent="0.25">
      <c r="Z22514">
        <v>400000</v>
      </c>
    </row>
    <row r="22515" spans="26:26" x14ac:dyDescent="0.25">
      <c r="Z22515">
        <v>400000</v>
      </c>
    </row>
    <row r="22516" spans="26:26" x14ac:dyDescent="0.25">
      <c r="Z22516">
        <v>400000</v>
      </c>
    </row>
    <row r="22517" spans="26:26" x14ac:dyDescent="0.25">
      <c r="Z22517">
        <v>400000</v>
      </c>
    </row>
    <row r="22518" spans="26:26" x14ac:dyDescent="0.25">
      <c r="Z22518">
        <v>400000</v>
      </c>
    </row>
    <row r="22519" spans="26:26" x14ac:dyDescent="0.25">
      <c r="Z22519">
        <v>400000</v>
      </c>
    </row>
    <row r="22520" spans="26:26" x14ac:dyDescent="0.25">
      <c r="Z22520">
        <v>400000</v>
      </c>
    </row>
    <row r="22521" spans="26:26" x14ac:dyDescent="0.25">
      <c r="Z22521">
        <v>400000</v>
      </c>
    </row>
    <row r="22522" spans="26:26" x14ac:dyDescent="0.25">
      <c r="Z22522">
        <v>400000</v>
      </c>
    </row>
    <row r="22523" spans="26:26" x14ac:dyDescent="0.25">
      <c r="Z22523">
        <v>400000</v>
      </c>
    </row>
    <row r="22524" spans="26:26" x14ac:dyDescent="0.25">
      <c r="Z22524">
        <v>400000</v>
      </c>
    </row>
    <row r="22525" spans="26:26" x14ac:dyDescent="0.25">
      <c r="Z22525">
        <v>400000</v>
      </c>
    </row>
    <row r="22526" spans="26:26" x14ac:dyDescent="0.25">
      <c r="Z22526">
        <v>400000</v>
      </c>
    </row>
    <row r="22527" spans="26:26" x14ac:dyDescent="0.25">
      <c r="Z22527">
        <v>400000</v>
      </c>
    </row>
    <row r="22528" spans="26:26" x14ac:dyDescent="0.25">
      <c r="Z22528">
        <v>400000</v>
      </c>
    </row>
    <row r="22529" spans="26:26" x14ac:dyDescent="0.25">
      <c r="Z22529">
        <v>400000</v>
      </c>
    </row>
    <row r="22530" spans="26:26" x14ac:dyDescent="0.25">
      <c r="Z22530">
        <v>400000</v>
      </c>
    </row>
    <row r="22531" spans="26:26" x14ac:dyDescent="0.25">
      <c r="Z22531">
        <v>400000</v>
      </c>
    </row>
    <row r="22532" spans="26:26" x14ac:dyDescent="0.25">
      <c r="Z22532">
        <v>400000</v>
      </c>
    </row>
    <row r="22533" spans="26:26" x14ac:dyDescent="0.25">
      <c r="Z22533">
        <v>400000</v>
      </c>
    </row>
    <row r="22534" spans="26:26" x14ac:dyDescent="0.25">
      <c r="Z22534">
        <v>400000</v>
      </c>
    </row>
    <row r="22535" spans="26:26" x14ac:dyDescent="0.25">
      <c r="Z22535">
        <v>400000</v>
      </c>
    </row>
    <row r="22536" spans="26:26" x14ac:dyDescent="0.25">
      <c r="Z22536">
        <v>400000</v>
      </c>
    </row>
    <row r="22537" spans="26:26" x14ac:dyDescent="0.25">
      <c r="Z22537">
        <v>400000</v>
      </c>
    </row>
    <row r="22538" spans="26:26" x14ac:dyDescent="0.25">
      <c r="Z22538">
        <v>400000</v>
      </c>
    </row>
    <row r="22539" spans="26:26" x14ac:dyDescent="0.25">
      <c r="Z22539">
        <v>400000</v>
      </c>
    </row>
    <row r="22540" spans="26:26" x14ac:dyDescent="0.25">
      <c r="Z22540">
        <v>400000</v>
      </c>
    </row>
    <row r="22541" spans="26:26" x14ac:dyDescent="0.25">
      <c r="Z22541">
        <v>400000</v>
      </c>
    </row>
    <row r="22542" spans="26:26" x14ac:dyDescent="0.25">
      <c r="Z22542">
        <v>400000</v>
      </c>
    </row>
    <row r="22543" spans="26:26" x14ac:dyDescent="0.25">
      <c r="Z22543">
        <v>400000</v>
      </c>
    </row>
    <row r="22544" spans="26:26" x14ac:dyDescent="0.25">
      <c r="Z22544">
        <v>400000</v>
      </c>
    </row>
    <row r="22545" spans="26:26" x14ac:dyDescent="0.25">
      <c r="Z22545">
        <v>400000</v>
      </c>
    </row>
    <row r="22546" spans="26:26" x14ac:dyDescent="0.25">
      <c r="Z22546">
        <v>400000</v>
      </c>
    </row>
    <row r="22547" spans="26:26" x14ac:dyDescent="0.25">
      <c r="Z22547">
        <v>400000</v>
      </c>
    </row>
    <row r="22548" spans="26:26" x14ac:dyDescent="0.25">
      <c r="Z22548">
        <v>400000</v>
      </c>
    </row>
    <row r="22549" spans="26:26" x14ac:dyDescent="0.25">
      <c r="Z22549">
        <v>400000</v>
      </c>
    </row>
    <row r="22550" spans="26:26" x14ac:dyDescent="0.25">
      <c r="Z22550">
        <v>400000</v>
      </c>
    </row>
    <row r="22551" spans="26:26" x14ac:dyDescent="0.25">
      <c r="Z22551">
        <v>400000</v>
      </c>
    </row>
    <row r="22552" spans="26:26" x14ac:dyDescent="0.25">
      <c r="Z22552">
        <v>400000</v>
      </c>
    </row>
    <row r="22553" spans="26:26" x14ac:dyDescent="0.25">
      <c r="Z22553">
        <v>400000</v>
      </c>
    </row>
    <row r="22554" spans="26:26" x14ac:dyDescent="0.25">
      <c r="Z22554">
        <v>400000</v>
      </c>
    </row>
    <row r="22555" spans="26:26" x14ac:dyDescent="0.25">
      <c r="Z22555">
        <v>400000</v>
      </c>
    </row>
    <row r="22556" spans="26:26" x14ac:dyDescent="0.25">
      <c r="Z22556">
        <v>400000</v>
      </c>
    </row>
    <row r="22557" spans="26:26" x14ac:dyDescent="0.25">
      <c r="Z22557">
        <v>400000</v>
      </c>
    </row>
    <row r="22558" spans="26:26" x14ac:dyDescent="0.25">
      <c r="Z22558">
        <v>400000</v>
      </c>
    </row>
    <row r="22559" spans="26:26" x14ac:dyDescent="0.25">
      <c r="Z22559">
        <v>400000</v>
      </c>
    </row>
    <row r="22560" spans="26:26" x14ac:dyDescent="0.25">
      <c r="Z22560">
        <v>400000</v>
      </c>
    </row>
    <row r="22561" spans="26:26" x14ac:dyDescent="0.25">
      <c r="Z22561">
        <v>400000</v>
      </c>
    </row>
    <row r="22562" spans="26:26" x14ac:dyDescent="0.25">
      <c r="Z22562">
        <v>400000</v>
      </c>
    </row>
    <row r="22563" spans="26:26" x14ac:dyDescent="0.25">
      <c r="Z22563">
        <v>400000</v>
      </c>
    </row>
    <row r="22564" spans="26:26" x14ac:dyDescent="0.25">
      <c r="Z22564">
        <v>400000</v>
      </c>
    </row>
    <row r="22565" spans="26:26" x14ac:dyDescent="0.25">
      <c r="Z22565">
        <v>400000</v>
      </c>
    </row>
    <row r="22566" spans="26:26" x14ac:dyDescent="0.25">
      <c r="Z22566">
        <v>400000</v>
      </c>
    </row>
    <row r="22567" spans="26:26" x14ac:dyDescent="0.25">
      <c r="Z22567">
        <v>400000</v>
      </c>
    </row>
    <row r="22568" spans="26:26" x14ac:dyDescent="0.25">
      <c r="Z22568">
        <v>400000</v>
      </c>
    </row>
    <row r="22569" spans="26:26" x14ac:dyDescent="0.25">
      <c r="Z22569">
        <v>400000</v>
      </c>
    </row>
    <row r="22570" spans="26:26" x14ac:dyDescent="0.25">
      <c r="Z22570">
        <v>400000</v>
      </c>
    </row>
    <row r="22571" spans="26:26" x14ac:dyDescent="0.25">
      <c r="Z22571">
        <v>400000</v>
      </c>
    </row>
    <row r="22572" spans="26:26" x14ac:dyDescent="0.25">
      <c r="Z22572">
        <v>400000</v>
      </c>
    </row>
    <row r="22573" spans="26:26" x14ac:dyDescent="0.25">
      <c r="Z22573">
        <v>400000</v>
      </c>
    </row>
    <row r="22574" spans="26:26" x14ac:dyDescent="0.25">
      <c r="Z22574">
        <v>400000</v>
      </c>
    </row>
    <row r="22575" spans="26:26" x14ac:dyDescent="0.25">
      <c r="Z22575">
        <v>400000</v>
      </c>
    </row>
    <row r="22576" spans="26:26" x14ac:dyDescent="0.25">
      <c r="Z22576">
        <v>400000</v>
      </c>
    </row>
    <row r="22577" spans="26:26" x14ac:dyDescent="0.25">
      <c r="Z22577">
        <v>400000</v>
      </c>
    </row>
    <row r="22578" spans="26:26" x14ac:dyDescent="0.25">
      <c r="Z22578">
        <v>400000</v>
      </c>
    </row>
    <row r="22579" spans="26:26" x14ac:dyDescent="0.25">
      <c r="Z22579">
        <v>400000</v>
      </c>
    </row>
    <row r="22580" spans="26:26" x14ac:dyDescent="0.25">
      <c r="Z22580">
        <v>400000</v>
      </c>
    </row>
    <row r="22581" spans="26:26" x14ac:dyDescent="0.25">
      <c r="Z22581">
        <v>400000</v>
      </c>
    </row>
    <row r="22582" spans="26:26" x14ac:dyDescent="0.25">
      <c r="Z22582">
        <v>400000</v>
      </c>
    </row>
    <row r="22583" spans="26:26" x14ac:dyDescent="0.25">
      <c r="Z22583">
        <v>400000</v>
      </c>
    </row>
    <row r="22584" spans="26:26" x14ac:dyDescent="0.25">
      <c r="Z22584">
        <v>400000</v>
      </c>
    </row>
    <row r="22585" spans="26:26" x14ac:dyDescent="0.25">
      <c r="Z22585">
        <v>400000</v>
      </c>
    </row>
    <row r="22586" spans="26:26" x14ac:dyDescent="0.25">
      <c r="Z22586">
        <v>400000</v>
      </c>
    </row>
    <row r="22587" spans="26:26" x14ac:dyDescent="0.25">
      <c r="Z22587">
        <v>400000</v>
      </c>
    </row>
    <row r="22588" spans="26:26" x14ac:dyDescent="0.25">
      <c r="Z22588">
        <v>400000</v>
      </c>
    </row>
    <row r="22589" spans="26:26" x14ac:dyDescent="0.25">
      <c r="Z22589">
        <v>400000</v>
      </c>
    </row>
    <row r="22590" spans="26:26" x14ac:dyDescent="0.25">
      <c r="Z22590">
        <v>400000</v>
      </c>
    </row>
    <row r="22591" spans="26:26" x14ac:dyDescent="0.25">
      <c r="Z22591">
        <v>400000</v>
      </c>
    </row>
    <row r="22592" spans="26:26" x14ac:dyDescent="0.25">
      <c r="Z22592">
        <v>400000</v>
      </c>
    </row>
    <row r="22593" spans="26:26" x14ac:dyDescent="0.25">
      <c r="Z22593">
        <v>400000</v>
      </c>
    </row>
    <row r="22594" spans="26:26" x14ac:dyDescent="0.25">
      <c r="Z22594">
        <v>400000</v>
      </c>
    </row>
    <row r="22595" spans="26:26" x14ac:dyDescent="0.25">
      <c r="Z22595">
        <v>400000</v>
      </c>
    </row>
    <row r="22596" spans="26:26" x14ac:dyDescent="0.25">
      <c r="Z22596">
        <v>400000</v>
      </c>
    </row>
    <row r="22597" spans="26:26" x14ac:dyDescent="0.25">
      <c r="Z22597">
        <v>400000</v>
      </c>
    </row>
    <row r="22598" spans="26:26" x14ac:dyDescent="0.25">
      <c r="Z22598">
        <v>400000</v>
      </c>
    </row>
    <row r="22599" spans="26:26" x14ac:dyDescent="0.25">
      <c r="Z22599">
        <v>400000</v>
      </c>
    </row>
    <row r="22600" spans="26:26" x14ac:dyDescent="0.25">
      <c r="Z22600">
        <v>400000</v>
      </c>
    </row>
    <row r="22601" spans="26:26" x14ac:dyDescent="0.25">
      <c r="Z22601">
        <v>400000</v>
      </c>
    </row>
    <row r="22602" spans="26:26" x14ac:dyDescent="0.25">
      <c r="Z22602">
        <v>400000</v>
      </c>
    </row>
    <row r="22603" spans="26:26" x14ac:dyDescent="0.25">
      <c r="Z22603">
        <v>400000</v>
      </c>
    </row>
    <row r="22604" spans="26:26" x14ac:dyDescent="0.25">
      <c r="Z22604">
        <v>400000</v>
      </c>
    </row>
    <row r="22605" spans="26:26" x14ac:dyDescent="0.25">
      <c r="Z22605">
        <v>400000</v>
      </c>
    </row>
    <row r="22606" spans="26:26" x14ac:dyDescent="0.25">
      <c r="Z22606">
        <v>400000</v>
      </c>
    </row>
    <row r="22607" spans="26:26" x14ac:dyDescent="0.25">
      <c r="Z22607">
        <v>400000</v>
      </c>
    </row>
    <row r="22608" spans="26:26" x14ac:dyDescent="0.25">
      <c r="Z22608">
        <v>400000</v>
      </c>
    </row>
    <row r="22609" spans="26:26" x14ac:dyDescent="0.25">
      <c r="Z22609">
        <v>400000</v>
      </c>
    </row>
    <row r="22610" spans="26:26" x14ac:dyDescent="0.25">
      <c r="Z22610">
        <v>400000</v>
      </c>
    </row>
    <row r="22611" spans="26:26" x14ac:dyDescent="0.25">
      <c r="Z22611">
        <v>400000</v>
      </c>
    </row>
    <row r="22612" spans="26:26" x14ac:dyDescent="0.25">
      <c r="Z22612">
        <v>400000</v>
      </c>
    </row>
    <row r="22613" spans="26:26" x14ac:dyDescent="0.25">
      <c r="Z22613">
        <v>400000</v>
      </c>
    </row>
    <row r="22614" spans="26:26" x14ac:dyDescent="0.25">
      <c r="Z22614">
        <v>400000</v>
      </c>
    </row>
    <row r="22615" spans="26:26" x14ac:dyDescent="0.25">
      <c r="Z22615">
        <v>400000</v>
      </c>
    </row>
    <row r="22616" spans="26:26" x14ac:dyDescent="0.25">
      <c r="Z22616">
        <v>400000</v>
      </c>
    </row>
    <row r="22617" spans="26:26" x14ac:dyDescent="0.25">
      <c r="Z22617">
        <v>400000</v>
      </c>
    </row>
    <row r="22618" spans="26:26" x14ac:dyDescent="0.25">
      <c r="Z22618">
        <v>400000</v>
      </c>
    </row>
    <row r="22619" spans="26:26" x14ac:dyDescent="0.25">
      <c r="Z22619">
        <v>400000</v>
      </c>
    </row>
    <row r="22620" spans="26:26" x14ac:dyDescent="0.25">
      <c r="Z22620">
        <v>400000</v>
      </c>
    </row>
    <row r="22621" spans="26:26" x14ac:dyDescent="0.25">
      <c r="Z22621">
        <v>400000</v>
      </c>
    </row>
    <row r="22622" spans="26:26" x14ac:dyDescent="0.25">
      <c r="Z22622">
        <v>400000</v>
      </c>
    </row>
    <row r="22623" spans="26:26" x14ac:dyDescent="0.25">
      <c r="Z22623">
        <v>400000</v>
      </c>
    </row>
    <row r="22624" spans="26:26" x14ac:dyDescent="0.25">
      <c r="Z22624">
        <v>400000</v>
      </c>
    </row>
    <row r="22625" spans="26:26" x14ac:dyDescent="0.25">
      <c r="Z22625">
        <v>400000</v>
      </c>
    </row>
    <row r="22626" spans="26:26" x14ac:dyDescent="0.25">
      <c r="Z22626">
        <v>400000</v>
      </c>
    </row>
    <row r="22627" spans="26:26" x14ac:dyDescent="0.25">
      <c r="Z22627">
        <v>400000</v>
      </c>
    </row>
    <row r="22628" spans="26:26" x14ac:dyDescent="0.25">
      <c r="Z22628">
        <v>400000</v>
      </c>
    </row>
    <row r="22629" spans="26:26" x14ac:dyDescent="0.25">
      <c r="Z22629">
        <v>400000</v>
      </c>
    </row>
    <row r="22630" spans="26:26" x14ac:dyDescent="0.25">
      <c r="Z22630">
        <v>400000</v>
      </c>
    </row>
    <row r="22631" spans="26:26" x14ac:dyDescent="0.25">
      <c r="Z22631">
        <v>400000</v>
      </c>
    </row>
    <row r="22632" spans="26:26" x14ac:dyDescent="0.25">
      <c r="Z22632">
        <v>400000</v>
      </c>
    </row>
    <row r="22633" spans="26:26" x14ac:dyDescent="0.25">
      <c r="Z22633">
        <v>400000</v>
      </c>
    </row>
    <row r="22634" spans="26:26" x14ac:dyDescent="0.25">
      <c r="Z22634">
        <v>400000</v>
      </c>
    </row>
    <row r="22635" spans="26:26" x14ac:dyDescent="0.25">
      <c r="Z22635">
        <v>400000</v>
      </c>
    </row>
    <row r="22636" spans="26:26" x14ac:dyDescent="0.25">
      <c r="Z22636">
        <v>400000</v>
      </c>
    </row>
    <row r="22637" spans="26:26" x14ac:dyDescent="0.25">
      <c r="Z22637">
        <v>400000</v>
      </c>
    </row>
    <row r="22638" spans="26:26" x14ac:dyDescent="0.25">
      <c r="Z22638">
        <v>400000</v>
      </c>
    </row>
    <row r="22639" spans="26:26" x14ac:dyDescent="0.25">
      <c r="Z22639">
        <v>400000</v>
      </c>
    </row>
    <row r="22640" spans="26:26" x14ac:dyDescent="0.25">
      <c r="Z22640">
        <v>400000</v>
      </c>
    </row>
    <row r="22641" spans="26:26" x14ac:dyDescent="0.25">
      <c r="Z22641">
        <v>400000</v>
      </c>
    </row>
    <row r="22642" spans="26:26" x14ac:dyDescent="0.25">
      <c r="Z22642">
        <v>400000</v>
      </c>
    </row>
    <row r="22643" spans="26:26" x14ac:dyDescent="0.25">
      <c r="Z22643">
        <v>400000</v>
      </c>
    </row>
    <row r="22644" spans="26:26" x14ac:dyDescent="0.25">
      <c r="Z22644">
        <v>400000</v>
      </c>
    </row>
    <row r="22645" spans="26:26" x14ac:dyDescent="0.25">
      <c r="Z22645">
        <v>400000</v>
      </c>
    </row>
    <row r="22646" spans="26:26" x14ac:dyDescent="0.25">
      <c r="Z22646">
        <v>400000</v>
      </c>
    </row>
    <row r="22647" spans="26:26" x14ac:dyDescent="0.25">
      <c r="Z22647">
        <v>400000</v>
      </c>
    </row>
    <row r="22648" spans="26:26" x14ac:dyDescent="0.25">
      <c r="Z22648">
        <v>400000</v>
      </c>
    </row>
    <row r="22649" spans="26:26" x14ac:dyDescent="0.25">
      <c r="Z22649">
        <v>400000</v>
      </c>
    </row>
    <row r="22650" spans="26:26" x14ac:dyDescent="0.25">
      <c r="Z22650">
        <v>400000</v>
      </c>
    </row>
    <row r="22651" spans="26:26" x14ac:dyDescent="0.25">
      <c r="Z22651">
        <v>400000</v>
      </c>
    </row>
    <row r="22652" spans="26:26" x14ac:dyDescent="0.25">
      <c r="Z22652">
        <v>400000</v>
      </c>
    </row>
    <row r="22653" spans="26:26" x14ac:dyDescent="0.25">
      <c r="Z22653">
        <v>400000</v>
      </c>
    </row>
    <row r="22654" spans="26:26" x14ac:dyDescent="0.25">
      <c r="Z22654">
        <v>400000</v>
      </c>
    </row>
    <row r="22655" spans="26:26" x14ac:dyDescent="0.25">
      <c r="Z22655">
        <v>400000</v>
      </c>
    </row>
    <row r="22656" spans="26:26" x14ac:dyDescent="0.25">
      <c r="Z22656">
        <v>400000</v>
      </c>
    </row>
    <row r="22657" spans="26:26" x14ac:dyDescent="0.25">
      <c r="Z22657">
        <v>400000</v>
      </c>
    </row>
    <row r="22658" spans="26:26" x14ac:dyDescent="0.25">
      <c r="Z22658">
        <v>400000</v>
      </c>
    </row>
    <row r="22659" spans="26:26" x14ac:dyDescent="0.25">
      <c r="Z22659">
        <v>400000</v>
      </c>
    </row>
    <row r="22660" spans="26:26" x14ac:dyDescent="0.25">
      <c r="Z22660">
        <v>400000</v>
      </c>
    </row>
    <row r="22661" spans="26:26" x14ac:dyDescent="0.25">
      <c r="Z22661">
        <v>400000</v>
      </c>
    </row>
    <row r="22662" spans="26:26" x14ac:dyDescent="0.25">
      <c r="Z22662">
        <v>400000</v>
      </c>
    </row>
    <row r="22663" spans="26:26" x14ac:dyDescent="0.25">
      <c r="Z22663">
        <v>400000</v>
      </c>
    </row>
    <row r="22664" spans="26:26" x14ac:dyDescent="0.25">
      <c r="Z22664">
        <v>400000</v>
      </c>
    </row>
    <row r="22665" spans="26:26" x14ac:dyDescent="0.25">
      <c r="Z22665">
        <v>400000</v>
      </c>
    </row>
    <row r="22666" spans="26:26" x14ac:dyDescent="0.25">
      <c r="Z22666">
        <v>400000</v>
      </c>
    </row>
    <row r="22667" spans="26:26" x14ac:dyDescent="0.25">
      <c r="Z22667">
        <v>400000</v>
      </c>
    </row>
    <row r="22668" spans="26:26" x14ac:dyDescent="0.25">
      <c r="Z22668">
        <v>400000</v>
      </c>
    </row>
    <row r="22669" spans="26:26" x14ac:dyDescent="0.25">
      <c r="Z22669">
        <v>400000</v>
      </c>
    </row>
    <row r="22670" spans="26:26" x14ac:dyDescent="0.25">
      <c r="Z22670">
        <v>400000</v>
      </c>
    </row>
    <row r="22671" spans="26:26" x14ac:dyDescent="0.25">
      <c r="Z22671">
        <v>400000</v>
      </c>
    </row>
    <row r="22672" spans="26:26" x14ac:dyDescent="0.25">
      <c r="Z22672">
        <v>400000</v>
      </c>
    </row>
    <row r="22673" spans="26:26" x14ac:dyDescent="0.25">
      <c r="Z22673">
        <v>400000</v>
      </c>
    </row>
    <row r="22674" spans="26:26" x14ac:dyDescent="0.25">
      <c r="Z22674">
        <v>400000</v>
      </c>
    </row>
    <row r="22675" spans="26:26" x14ac:dyDescent="0.25">
      <c r="Z22675">
        <v>400000</v>
      </c>
    </row>
    <row r="22676" spans="26:26" x14ac:dyDescent="0.25">
      <c r="Z22676">
        <v>400000</v>
      </c>
    </row>
    <row r="22677" spans="26:26" x14ac:dyDescent="0.25">
      <c r="Z22677">
        <v>400000</v>
      </c>
    </row>
    <row r="22678" spans="26:26" x14ac:dyDescent="0.25">
      <c r="Z22678">
        <v>400000</v>
      </c>
    </row>
    <row r="22679" spans="26:26" x14ac:dyDescent="0.25">
      <c r="Z22679">
        <v>400000</v>
      </c>
    </row>
    <row r="22680" spans="26:26" x14ac:dyDescent="0.25">
      <c r="Z22680">
        <v>400000</v>
      </c>
    </row>
    <row r="22681" spans="26:26" x14ac:dyDescent="0.25">
      <c r="Z22681">
        <v>400000</v>
      </c>
    </row>
    <row r="22682" spans="26:26" x14ac:dyDescent="0.25">
      <c r="Z22682">
        <v>400000</v>
      </c>
    </row>
    <row r="22683" spans="26:26" x14ac:dyDescent="0.25">
      <c r="Z22683">
        <v>400000</v>
      </c>
    </row>
    <row r="22684" spans="26:26" x14ac:dyDescent="0.25">
      <c r="Z22684">
        <v>400000</v>
      </c>
    </row>
    <row r="22685" spans="26:26" x14ac:dyDescent="0.25">
      <c r="Z22685">
        <v>400000</v>
      </c>
    </row>
    <row r="22686" spans="26:26" x14ac:dyDescent="0.25">
      <c r="Z22686">
        <v>400000</v>
      </c>
    </row>
    <row r="22687" spans="26:26" x14ac:dyDescent="0.25">
      <c r="Z22687">
        <v>400000</v>
      </c>
    </row>
    <row r="22688" spans="26:26" x14ac:dyDescent="0.25">
      <c r="Z22688">
        <v>400000</v>
      </c>
    </row>
    <row r="22689" spans="26:26" x14ac:dyDescent="0.25">
      <c r="Z22689">
        <v>400000</v>
      </c>
    </row>
    <row r="22690" spans="26:26" x14ac:dyDescent="0.25">
      <c r="Z22690">
        <v>400000</v>
      </c>
    </row>
    <row r="22691" spans="26:26" x14ac:dyDescent="0.25">
      <c r="Z22691">
        <v>400000</v>
      </c>
    </row>
    <row r="22692" spans="26:26" x14ac:dyDescent="0.25">
      <c r="Z22692">
        <v>400000</v>
      </c>
    </row>
    <row r="22693" spans="26:26" x14ac:dyDescent="0.25">
      <c r="Z22693">
        <v>400000</v>
      </c>
    </row>
    <row r="22694" spans="26:26" x14ac:dyDescent="0.25">
      <c r="Z22694">
        <v>400000</v>
      </c>
    </row>
    <row r="22695" spans="26:26" x14ac:dyDescent="0.25">
      <c r="Z22695">
        <v>400000</v>
      </c>
    </row>
    <row r="22696" spans="26:26" x14ac:dyDescent="0.25">
      <c r="Z22696">
        <v>400000</v>
      </c>
    </row>
    <row r="22697" spans="26:26" x14ac:dyDescent="0.25">
      <c r="Z22697">
        <v>400000</v>
      </c>
    </row>
    <row r="22698" spans="26:26" x14ac:dyDescent="0.25">
      <c r="Z22698">
        <v>400000</v>
      </c>
    </row>
    <row r="22699" spans="26:26" x14ac:dyDescent="0.25">
      <c r="Z22699">
        <v>400000</v>
      </c>
    </row>
    <row r="22700" spans="26:26" x14ac:dyDescent="0.25">
      <c r="Z22700">
        <v>400000</v>
      </c>
    </row>
    <row r="22701" spans="26:26" x14ac:dyDescent="0.25">
      <c r="Z22701">
        <v>400000</v>
      </c>
    </row>
    <row r="22702" spans="26:26" x14ac:dyDescent="0.25">
      <c r="Z22702">
        <v>400000</v>
      </c>
    </row>
    <row r="22703" spans="26:26" x14ac:dyDescent="0.25">
      <c r="Z22703">
        <v>400000</v>
      </c>
    </row>
    <row r="22704" spans="26:26" x14ac:dyDescent="0.25">
      <c r="Z22704">
        <v>400000</v>
      </c>
    </row>
    <row r="22705" spans="26:26" x14ac:dyDescent="0.25">
      <c r="Z22705">
        <v>400000</v>
      </c>
    </row>
    <row r="22706" spans="26:26" x14ac:dyDescent="0.25">
      <c r="Z22706">
        <v>400000</v>
      </c>
    </row>
    <row r="22707" spans="26:26" x14ac:dyDescent="0.25">
      <c r="Z22707">
        <v>400000</v>
      </c>
    </row>
    <row r="22708" spans="26:26" x14ac:dyDescent="0.25">
      <c r="Z22708">
        <v>400000</v>
      </c>
    </row>
    <row r="22709" spans="26:26" x14ac:dyDescent="0.25">
      <c r="Z22709">
        <v>400000</v>
      </c>
    </row>
    <row r="22710" spans="26:26" x14ac:dyDescent="0.25">
      <c r="Z22710">
        <v>400000</v>
      </c>
    </row>
    <row r="22711" spans="26:26" x14ac:dyDescent="0.25">
      <c r="Z22711">
        <v>400000</v>
      </c>
    </row>
    <row r="22712" spans="26:26" x14ac:dyDescent="0.25">
      <c r="Z22712">
        <v>400000</v>
      </c>
    </row>
    <row r="22713" spans="26:26" x14ac:dyDescent="0.25">
      <c r="Z22713">
        <v>400000</v>
      </c>
    </row>
    <row r="22714" spans="26:26" x14ac:dyDescent="0.25">
      <c r="Z22714">
        <v>400000</v>
      </c>
    </row>
    <row r="22715" spans="26:26" x14ac:dyDescent="0.25">
      <c r="Z22715">
        <v>400000</v>
      </c>
    </row>
    <row r="22716" spans="26:26" x14ac:dyDescent="0.25">
      <c r="Z22716">
        <v>400000</v>
      </c>
    </row>
    <row r="22717" spans="26:26" x14ac:dyDescent="0.25">
      <c r="Z22717">
        <v>400000</v>
      </c>
    </row>
    <row r="22718" spans="26:26" x14ac:dyDescent="0.25">
      <c r="Z22718">
        <v>400000</v>
      </c>
    </row>
    <row r="22719" spans="26:26" x14ac:dyDescent="0.25">
      <c r="Z22719">
        <v>400000</v>
      </c>
    </row>
    <row r="22720" spans="26:26" x14ac:dyDescent="0.25">
      <c r="Z22720">
        <v>400000</v>
      </c>
    </row>
    <row r="22721" spans="26:26" x14ac:dyDescent="0.25">
      <c r="Z22721">
        <v>400000</v>
      </c>
    </row>
    <row r="22722" spans="26:26" x14ac:dyDescent="0.25">
      <c r="Z22722">
        <v>400000</v>
      </c>
    </row>
    <row r="22723" spans="26:26" x14ac:dyDescent="0.25">
      <c r="Z22723">
        <v>400000</v>
      </c>
    </row>
    <row r="22724" spans="26:26" x14ac:dyDescent="0.25">
      <c r="Z22724">
        <v>400000</v>
      </c>
    </row>
    <row r="22725" spans="26:26" x14ac:dyDescent="0.25">
      <c r="Z22725">
        <v>400000</v>
      </c>
    </row>
    <row r="22726" spans="26:26" x14ac:dyDescent="0.25">
      <c r="Z22726">
        <v>400000</v>
      </c>
    </row>
    <row r="22727" spans="26:26" x14ac:dyDescent="0.25">
      <c r="Z22727">
        <v>400000</v>
      </c>
    </row>
    <row r="22728" spans="26:26" x14ac:dyDescent="0.25">
      <c r="Z22728">
        <v>400000</v>
      </c>
    </row>
    <row r="22729" spans="26:26" x14ac:dyDescent="0.25">
      <c r="Z22729">
        <v>400000</v>
      </c>
    </row>
    <row r="22730" spans="26:26" x14ac:dyDescent="0.25">
      <c r="Z22730">
        <v>400000</v>
      </c>
    </row>
    <row r="22731" spans="26:26" x14ac:dyDescent="0.25">
      <c r="Z22731">
        <v>400000</v>
      </c>
    </row>
    <row r="22732" spans="26:26" x14ac:dyDescent="0.25">
      <c r="Z22732">
        <v>400000</v>
      </c>
    </row>
    <row r="22733" spans="26:26" x14ac:dyDescent="0.25">
      <c r="Z22733">
        <v>400000</v>
      </c>
    </row>
    <row r="22734" spans="26:26" x14ac:dyDescent="0.25">
      <c r="Z22734">
        <v>400000</v>
      </c>
    </row>
    <row r="22735" spans="26:26" x14ac:dyDescent="0.25">
      <c r="Z22735">
        <v>400000</v>
      </c>
    </row>
    <row r="22736" spans="26:26" x14ac:dyDescent="0.25">
      <c r="Z22736">
        <v>400000</v>
      </c>
    </row>
    <row r="22737" spans="26:26" x14ac:dyDescent="0.25">
      <c r="Z22737">
        <v>400000</v>
      </c>
    </row>
    <row r="22738" spans="26:26" x14ac:dyDescent="0.25">
      <c r="Z22738">
        <v>400000</v>
      </c>
    </row>
    <row r="22739" spans="26:26" x14ac:dyDescent="0.25">
      <c r="Z22739">
        <v>400000</v>
      </c>
    </row>
    <row r="22740" spans="26:26" x14ac:dyDescent="0.25">
      <c r="Z22740">
        <v>400000</v>
      </c>
    </row>
    <row r="22741" spans="26:26" x14ac:dyDescent="0.25">
      <c r="Z22741">
        <v>400000</v>
      </c>
    </row>
    <row r="22742" spans="26:26" x14ac:dyDescent="0.25">
      <c r="Z22742">
        <v>400000</v>
      </c>
    </row>
    <row r="22743" spans="26:26" x14ac:dyDescent="0.25">
      <c r="Z22743">
        <v>400000</v>
      </c>
    </row>
    <row r="22744" spans="26:26" x14ac:dyDescent="0.25">
      <c r="Z22744">
        <v>400000</v>
      </c>
    </row>
    <row r="22745" spans="26:26" x14ac:dyDescent="0.25">
      <c r="Z22745">
        <v>400000</v>
      </c>
    </row>
    <row r="22746" spans="26:26" x14ac:dyDescent="0.25">
      <c r="Z22746">
        <v>400000</v>
      </c>
    </row>
    <row r="22747" spans="26:26" x14ac:dyDescent="0.25">
      <c r="Z22747">
        <v>400000</v>
      </c>
    </row>
    <row r="22748" spans="26:26" x14ac:dyDescent="0.25">
      <c r="Z22748">
        <v>400000</v>
      </c>
    </row>
    <row r="22749" spans="26:26" x14ac:dyDescent="0.25">
      <c r="Z22749">
        <v>400000</v>
      </c>
    </row>
    <row r="22750" spans="26:26" x14ac:dyDescent="0.25">
      <c r="Z22750">
        <v>400000</v>
      </c>
    </row>
    <row r="22751" spans="26:26" x14ac:dyDescent="0.25">
      <c r="Z22751">
        <v>400000</v>
      </c>
    </row>
    <row r="22752" spans="26:26" x14ac:dyDescent="0.25">
      <c r="Z22752">
        <v>400000</v>
      </c>
    </row>
    <row r="22753" spans="26:26" x14ac:dyDescent="0.25">
      <c r="Z22753">
        <v>400000</v>
      </c>
    </row>
    <row r="22754" spans="26:26" x14ac:dyDescent="0.25">
      <c r="Z22754">
        <v>400000</v>
      </c>
    </row>
    <row r="22755" spans="26:26" x14ac:dyDescent="0.25">
      <c r="Z22755">
        <v>400000</v>
      </c>
    </row>
    <row r="22756" spans="26:26" x14ac:dyDescent="0.25">
      <c r="Z22756">
        <v>400000</v>
      </c>
    </row>
    <row r="22757" spans="26:26" x14ac:dyDescent="0.25">
      <c r="Z22757">
        <v>400000</v>
      </c>
    </row>
    <row r="22758" spans="26:26" x14ac:dyDescent="0.25">
      <c r="Z22758">
        <v>400000</v>
      </c>
    </row>
    <row r="22759" spans="26:26" x14ac:dyDescent="0.25">
      <c r="Z22759">
        <v>400000</v>
      </c>
    </row>
    <row r="22760" spans="26:26" x14ac:dyDescent="0.25">
      <c r="Z22760">
        <v>400000</v>
      </c>
    </row>
    <row r="22761" spans="26:26" x14ac:dyDescent="0.25">
      <c r="Z22761">
        <v>400000</v>
      </c>
    </row>
    <row r="22762" spans="26:26" x14ac:dyDescent="0.25">
      <c r="Z22762">
        <v>400000</v>
      </c>
    </row>
    <row r="22763" spans="26:26" x14ac:dyDescent="0.25">
      <c r="Z22763">
        <v>400000</v>
      </c>
    </row>
    <row r="22764" spans="26:26" x14ac:dyDescent="0.25">
      <c r="Z22764">
        <v>400000</v>
      </c>
    </row>
    <row r="22765" spans="26:26" x14ac:dyDescent="0.25">
      <c r="Z22765">
        <v>400000</v>
      </c>
    </row>
    <row r="22766" spans="26:26" x14ac:dyDescent="0.25">
      <c r="Z22766">
        <v>400000</v>
      </c>
    </row>
    <row r="22767" spans="26:26" x14ac:dyDescent="0.25">
      <c r="Z22767">
        <v>400000</v>
      </c>
    </row>
    <row r="22768" spans="26:26" x14ac:dyDescent="0.25">
      <c r="Z22768">
        <v>400000</v>
      </c>
    </row>
    <row r="22769" spans="26:26" x14ac:dyDescent="0.25">
      <c r="Z22769">
        <v>400000</v>
      </c>
    </row>
    <row r="22770" spans="26:26" x14ac:dyDescent="0.25">
      <c r="Z22770">
        <v>400000</v>
      </c>
    </row>
    <row r="22771" spans="26:26" x14ac:dyDescent="0.25">
      <c r="Z22771">
        <v>400000</v>
      </c>
    </row>
    <row r="22772" spans="26:26" x14ac:dyDescent="0.25">
      <c r="Z22772">
        <v>400000</v>
      </c>
    </row>
    <row r="22773" spans="26:26" x14ac:dyDescent="0.25">
      <c r="Z22773">
        <v>400000</v>
      </c>
    </row>
    <row r="22774" spans="26:26" x14ac:dyDescent="0.25">
      <c r="Z22774">
        <v>400000</v>
      </c>
    </row>
    <row r="22775" spans="26:26" x14ac:dyDescent="0.25">
      <c r="Z22775">
        <v>400000</v>
      </c>
    </row>
    <row r="22776" spans="26:26" x14ac:dyDescent="0.25">
      <c r="Z22776">
        <v>400000</v>
      </c>
    </row>
    <row r="22777" spans="26:26" x14ac:dyDescent="0.25">
      <c r="Z22777">
        <v>400000</v>
      </c>
    </row>
    <row r="22778" spans="26:26" x14ac:dyDescent="0.25">
      <c r="Z22778">
        <v>400000</v>
      </c>
    </row>
    <row r="22779" spans="26:26" x14ac:dyDescent="0.25">
      <c r="Z22779">
        <v>400000</v>
      </c>
    </row>
    <row r="22780" spans="26:26" x14ac:dyDescent="0.25">
      <c r="Z22780">
        <v>400000</v>
      </c>
    </row>
    <row r="22781" spans="26:26" x14ac:dyDescent="0.25">
      <c r="Z22781">
        <v>400000</v>
      </c>
    </row>
    <row r="22782" spans="26:26" x14ac:dyDescent="0.25">
      <c r="Z22782">
        <v>400000</v>
      </c>
    </row>
    <row r="22783" spans="26:26" x14ac:dyDescent="0.25">
      <c r="Z22783">
        <v>400000</v>
      </c>
    </row>
    <row r="22784" spans="26:26" x14ac:dyDescent="0.25">
      <c r="Z22784">
        <v>400000</v>
      </c>
    </row>
    <row r="22785" spans="26:26" x14ac:dyDescent="0.25">
      <c r="Z22785">
        <v>400000</v>
      </c>
    </row>
    <row r="22786" spans="26:26" x14ac:dyDescent="0.25">
      <c r="Z22786">
        <v>400000</v>
      </c>
    </row>
    <row r="22787" spans="26:26" x14ac:dyDescent="0.25">
      <c r="Z22787">
        <v>400000</v>
      </c>
    </row>
    <row r="22788" spans="26:26" x14ac:dyDescent="0.25">
      <c r="Z22788">
        <v>400000</v>
      </c>
    </row>
    <row r="22789" spans="26:26" x14ac:dyDescent="0.25">
      <c r="Z22789">
        <v>400000</v>
      </c>
    </row>
    <row r="22790" spans="26:26" x14ac:dyDescent="0.25">
      <c r="Z22790">
        <v>400000</v>
      </c>
    </row>
    <row r="22791" spans="26:26" x14ac:dyDescent="0.25">
      <c r="Z22791">
        <v>400000</v>
      </c>
    </row>
    <row r="22792" spans="26:26" x14ac:dyDescent="0.25">
      <c r="Z22792">
        <v>400000</v>
      </c>
    </row>
    <row r="22793" spans="26:26" x14ac:dyDescent="0.25">
      <c r="Z22793">
        <v>400000</v>
      </c>
    </row>
    <row r="22794" spans="26:26" x14ac:dyDescent="0.25">
      <c r="Z22794">
        <v>400000</v>
      </c>
    </row>
    <row r="22795" spans="26:26" x14ac:dyDescent="0.25">
      <c r="Z22795">
        <v>400000</v>
      </c>
    </row>
    <row r="22796" spans="26:26" x14ac:dyDescent="0.25">
      <c r="Z22796">
        <v>400000</v>
      </c>
    </row>
    <row r="22797" spans="26:26" x14ac:dyDescent="0.25">
      <c r="Z22797">
        <v>400000</v>
      </c>
    </row>
    <row r="22798" spans="26:26" x14ac:dyDescent="0.25">
      <c r="Z22798">
        <v>400000</v>
      </c>
    </row>
    <row r="22799" spans="26:26" x14ac:dyDescent="0.25">
      <c r="Z22799">
        <v>400000</v>
      </c>
    </row>
    <row r="22800" spans="26:26" x14ac:dyDescent="0.25">
      <c r="Z22800">
        <v>400000</v>
      </c>
    </row>
    <row r="22801" spans="26:26" x14ac:dyDescent="0.25">
      <c r="Z22801">
        <v>400000</v>
      </c>
    </row>
    <row r="22802" spans="26:26" x14ac:dyDescent="0.25">
      <c r="Z22802">
        <v>400000</v>
      </c>
    </row>
    <row r="22803" spans="26:26" x14ac:dyDescent="0.25">
      <c r="Z22803">
        <v>400000</v>
      </c>
    </row>
    <row r="22804" spans="26:26" x14ac:dyDescent="0.25">
      <c r="Z22804">
        <v>400000</v>
      </c>
    </row>
    <row r="22805" spans="26:26" x14ac:dyDescent="0.25">
      <c r="Z22805">
        <v>400000</v>
      </c>
    </row>
    <row r="22806" spans="26:26" x14ac:dyDescent="0.25">
      <c r="Z22806">
        <v>400000</v>
      </c>
    </row>
    <row r="22807" spans="26:26" x14ac:dyDescent="0.25">
      <c r="Z22807">
        <v>400000</v>
      </c>
    </row>
    <row r="22808" spans="26:26" x14ac:dyDescent="0.25">
      <c r="Z22808">
        <v>400000</v>
      </c>
    </row>
    <row r="22809" spans="26:26" x14ac:dyDescent="0.25">
      <c r="Z22809">
        <v>400000</v>
      </c>
    </row>
    <row r="22810" spans="26:26" x14ac:dyDescent="0.25">
      <c r="Z22810">
        <v>400000</v>
      </c>
    </row>
    <row r="22811" spans="26:26" x14ac:dyDescent="0.25">
      <c r="Z22811">
        <v>400000</v>
      </c>
    </row>
    <row r="22812" spans="26:26" x14ac:dyDescent="0.25">
      <c r="Z22812">
        <v>400000</v>
      </c>
    </row>
    <row r="22813" spans="26:26" x14ac:dyDescent="0.25">
      <c r="Z22813">
        <v>400000</v>
      </c>
    </row>
    <row r="22814" spans="26:26" x14ac:dyDescent="0.25">
      <c r="Z22814">
        <v>400000</v>
      </c>
    </row>
    <row r="22815" spans="26:26" x14ac:dyDescent="0.25">
      <c r="Z22815">
        <v>400000</v>
      </c>
    </row>
    <row r="22816" spans="26:26" x14ac:dyDescent="0.25">
      <c r="Z22816">
        <v>400000</v>
      </c>
    </row>
    <row r="22817" spans="26:26" x14ac:dyDescent="0.25">
      <c r="Z22817">
        <v>400000</v>
      </c>
    </row>
    <row r="22818" spans="26:26" x14ac:dyDescent="0.25">
      <c r="Z22818">
        <v>400000</v>
      </c>
    </row>
    <row r="22819" spans="26:26" x14ac:dyDescent="0.25">
      <c r="Z22819">
        <v>400000</v>
      </c>
    </row>
    <row r="22820" spans="26:26" x14ac:dyDescent="0.25">
      <c r="Z22820">
        <v>400000</v>
      </c>
    </row>
    <row r="22821" spans="26:26" x14ac:dyDescent="0.25">
      <c r="Z22821">
        <v>400000</v>
      </c>
    </row>
    <row r="22822" spans="26:26" x14ac:dyDescent="0.25">
      <c r="Z22822">
        <v>400000</v>
      </c>
    </row>
    <row r="22823" spans="26:26" x14ac:dyDescent="0.25">
      <c r="Z22823">
        <v>400000</v>
      </c>
    </row>
    <row r="22824" spans="26:26" x14ac:dyDescent="0.25">
      <c r="Z22824">
        <v>400000</v>
      </c>
    </row>
    <row r="22825" spans="26:26" x14ac:dyDescent="0.25">
      <c r="Z22825">
        <v>400000</v>
      </c>
    </row>
    <row r="22826" spans="26:26" x14ac:dyDescent="0.25">
      <c r="Z22826">
        <v>400000</v>
      </c>
    </row>
    <row r="22827" spans="26:26" x14ac:dyDescent="0.25">
      <c r="Z22827">
        <v>400000</v>
      </c>
    </row>
    <row r="22828" spans="26:26" x14ac:dyDescent="0.25">
      <c r="Z22828">
        <v>400000</v>
      </c>
    </row>
    <row r="22829" spans="26:26" x14ac:dyDescent="0.25">
      <c r="Z22829">
        <v>400000</v>
      </c>
    </row>
    <row r="22830" spans="26:26" x14ac:dyDescent="0.25">
      <c r="Z22830">
        <v>400000</v>
      </c>
    </row>
    <row r="22831" spans="26:26" x14ac:dyDescent="0.25">
      <c r="Z22831">
        <v>400000</v>
      </c>
    </row>
    <row r="22832" spans="26:26" x14ac:dyDescent="0.25">
      <c r="Z22832">
        <v>400000</v>
      </c>
    </row>
    <row r="22833" spans="26:26" x14ac:dyDescent="0.25">
      <c r="Z22833">
        <v>400000</v>
      </c>
    </row>
    <row r="22834" spans="26:26" x14ac:dyDescent="0.25">
      <c r="Z22834">
        <v>400000</v>
      </c>
    </row>
    <row r="22835" spans="26:26" x14ac:dyDescent="0.25">
      <c r="Z22835">
        <v>400000</v>
      </c>
    </row>
    <row r="22836" spans="26:26" x14ac:dyDescent="0.25">
      <c r="Z22836">
        <v>400000</v>
      </c>
    </row>
    <row r="22837" spans="26:26" x14ac:dyDescent="0.25">
      <c r="Z22837">
        <v>400000</v>
      </c>
    </row>
    <row r="22838" spans="26:26" x14ac:dyDescent="0.25">
      <c r="Z22838">
        <v>400000</v>
      </c>
    </row>
    <row r="22839" spans="26:26" x14ac:dyDescent="0.25">
      <c r="Z22839">
        <v>400000</v>
      </c>
    </row>
    <row r="22840" spans="26:26" x14ac:dyDescent="0.25">
      <c r="Z22840">
        <v>400000</v>
      </c>
    </row>
    <row r="22841" spans="26:26" x14ac:dyDescent="0.25">
      <c r="Z22841">
        <v>400000</v>
      </c>
    </row>
    <row r="22842" spans="26:26" x14ac:dyDescent="0.25">
      <c r="Z22842">
        <v>400000</v>
      </c>
    </row>
    <row r="22843" spans="26:26" x14ac:dyDescent="0.25">
      <c r="Z22843">
        <v>400000</v>
      </c>
    </row>
    <row r="22844" spans="26:26" x14ac:dyDescent="0.25">
      <c r="Z22844">
        <v>400000</v>
      </c>
    </row>
    <row r="22845" spans="26:26" x14ac:dyDescent="0.25">
      <c r="Z22845">
        <v>400000</v>
      </c>
    </row>
    <row r="22846" spans="26:26" x14ac:dyDescent="0.25">
      <c r="Z22846">
        <v>400000</v>
      </c>
    </row>
    <row r="22847" spans="26:26" x14ac:dyDescent="0.25">
      <c r="Z22847">
        <v>400000</v>
      </c>
    </row>
    <row r="22848" spans="26:26" x14ac:dyDescent="0.25">
      <c r="Z22848">
        <v>400000</v>
      </c>
    </row>
    <row r="22849" spans="26:26" x14ac:dyDescent="0.25">
      <c r="Z22849">
        <v>400000</v>
      </c>
    </row>
    <row r="22850" spans="26:26" x14ac:dyDescent="0.25">
      <c r="Z22850">
        <v>400000</v>
      </c>
    </row>
    <row r="22851" spans="26:26" x14ac:dyDescent="0.25">
      <c r="Z22851">
        <v>400000</v>
      </c>
    </row>
    <row r="22852" spans="26:26" x14ac:dyDescent="0.25">
      <c r="Z22852">
        <v>400000</v>
      </c>
    </row>
    <row r="22853" spans="26:26" x14ac:dyDescent="0.25">
      <c r="Z22853">
        <v>400000</v>
      </c>
    </row>
    <row r="22854" spans="26:26" x14ac:dyDescent="0.25">
      <c r="Z22854">
        <v>400000</v>
      </c>
    </row>
    <row r="22855" spans="26:26" x14ac:dyDescent="0.25">
      <c r="Z22855">
        <v>400000</v>
      </c>
    </row>
    <row r="22856" spans="26:26" x14ac:dyDescent="0.25">
      <c r="Z22856">
        <v>400000</v>
      </c>
    </row>
    <row r="22857" spans="26:26" x14ac:dyDescent="0.25">
      <c r="Z22857">
        <v>400000</v>
      </c>
    </row>
    <row r="22858" spans="26:26" x14ac:dyDescent="0.25">
      <c r="Z22858">
        <v>400000</v>
      </c>
    </row>
    <row r="22859" spans="26:26" x14ac:dyDescent="0.25">
      <c r="Z22859">
        <v>400000</v>
      </c>
    </row>
    <row r="22860" spans="26:26" x14ac:dyDescent="0.25">
      <c r="Z22860">
        <v>400000</v>
      </c>
    </row>
    <row r="22861" spans="26:26" x14ac:dyDescent="0.25">
      <c r="Z22861">
        <v>400000</v>
      </c>
    </row>
    <row r="22862" spans="26:26" x14ac:dyDescent="0.25">
      <c r="Z22862">
        <v>400000</v>
      </c>
    </row>
    <row r="22863" spans="26:26" x14ac:dyDescent="0.25">
      <c r="Z22863">
        <v>400000</v>
      </c>
    </row>
    <row r="22864" spans="26:26" x14ac:dyDescent="0.25">
      <c r="Z22864">
        <v>400000</v>
      </c>
    </row>
    <row r="22865" spans="26:26" x14ac:dyDescent="0.25">
      <c r="Z22865">
        <v>400000</v>
      </c>
    </row>
    <row r="22866" spans="26:26" x14ac:dyDescent="0.25">
      <c r="Z22866">
        <v>400000</v>
      </c>
    </row>
    <row r="22867" spans="26:26" x14ac:dyDescent="0.25">
      <c r="Z22867">
        <v>400000</v>
      </c>
    </row>
    <row r="22868" spans="26:26" x14ac:dyDescent="0.25">
      <c r="Z22868">
        <v>400000</v>
      </c>
    </row>
    <row r="22869" spans="26:26" x14ac:dyDescent="0.25">
      <c r="Z22869">
        <v>400000</v>
      </c>
    </row>
    <row r="22870" spans="26:26" x14ac:dyDescent="0.25">
      <c r="Z22870">
        <v>400000</v>
      </c>
    </row>
    <row r="22871" spans="26:26" x14ac:dyDescent="0.25">
      <c r="Z22871">
        <v>400000</v>
      </c>
    </row>
    <row r="22872" spans="26:26" x14ac:dyDescent="0.25">
      <c r="Z22872">
        <v>400000</v>
      </c>
    </row>
    <row r="22873" spans="26:26" x14ac:dyDescent="0.25">
      <c r="Z22873">
        <v>400000</v>
      </c>
    </row>
    <row r="22874" spans="26:26" x14ac:dyDescent="0.25">
      <c r="Z22874">
        <v>400000</v>
      </c>
    </row>
    <row r="22875" spans="26:26" x14ac:dyDescent="0.25">
      <c r="Z22875">
        <v>400000</v>
      </c>
    </row>
    <row r="22876" spans="26:26" x14ac:dyDescent="0.25">
      <c r="Z22876">
        <v>400000</v>
      </c>
    </row>
    <row r="22877" spans="26:26" x14ac:dyDescent="0.25">
      <c r="Z22877">
        <v>400000</v>
      </c>
    </row>
    <row r="22878" spans="26:26" x14ac:dyDescent="0.25">
      <c r="Z22878">
        <v>400000</v>
      </c>
    </row>
    <row r="22879" spans="26:26" x14ac:dyDescent="0.25">
      <c r="Z22879">
        <v>400000</v>
      </c>
    </row>
    <row r="22880" spans="26:26" x14ac:dyDescent="0.25">
      <c r="Z22880">
        <v>400000</v>
      </c>
    </row>
    <row r="22881" spans="26:26" x14ac:dyDescent="0.25">
      <c r="Z22881">
        <v>400000</v>
      </c>
    </row>
    <row r="22882" spans="26:26" x14ac:dyDescent="0.25">
      <c r="Z22882">
        <v>400000</v>
      </c>
    </row>
    <row r="22883" spans="26:26" x14ac:dyDescent="0.25">
      <c r="Z22883">
        <v>400000</v>
      </c>
    </row>
    <row r="22884" spans="26:26" x14ac:dyDescent="0.25">
      <c r="Z22884">
        <v>400000</v>
      </c>
    </row>
    <row r="22885" spans="26:26" x14ac:dyDescent="0.25">
      <c r="Z22885">
        <v>400000</v>
      </c>
    </row>
    <row r="22886" spans="26:26" x14ac:dyDescent="0.25">
      <c r="Z22886">
        <v>400000</v>
      </c>
    </row>
    <row r="22887" spans="26:26" x14ac:dyDescent="0.25">
      <c r="Z22887">
        <v>400000</v>
      </c>
    </row>
    <row r="22888" spans="26:26" x14ac:dyDescent="0.25">
      <c r="Z22888">
        <v>400000</v>
      </c>
    </row>
    <row r="22889" spans="26:26" x14ac:dyDescent="0.25">
      <c r="Z22889">
        <v>400000</v>
      </c>
    </row>
    <row r="22890" spans="26:26" x14ac:dyDescent="0.25">
      <c r="Z22890">
        <v>400000</v>
      </c>
    </row>
    <row r="22891" spans="26:26" x14ac:dyDescent="0.25">
      <c r="Z22891">
        <v>400000</v>
      </c>
    </row>
    <row r="22892" spans="26:26" x14ac:dyDescent="0.25">
      <c r="Z22892">
        <v>400000</v>
      </c>
    </row>
    <row r="22893" spans="26:26" x14ac:dyDescent="0.25">
      <c r="Z22893">
        <v>400000</v>
      </c>
    </row>
    <row r="22894" spans="26:26" x14ac:dyDescent="0.25">
      <c r="Z22894">
        <v>400000</v>
      </c>
    </row>
    <row r="22895" spans="26:26" x14ac:dyDescent="0.25">
      <c r="Z22895">
        <v>400000</v>
      </c>
    </row>
    <row r="22896" spans="26:26" x14ac:dyDescent="0.25">
      <c r="Z22896">
        <v>400000</v>
      </c>
    </row>
    <row r="22897" spans="26:26" x14ac:dyDescent="0.25">
      <c r="Z22897">
        <v>400000</v>
      </c>
    </row>
    <row r="22898" spans="26:26" x14ac:dyDescent="0.25">
      <c r="Z22898">
        <v>400000</v>
      </c>
    </row>
    <row r="22899" spans="26:26" x14ac:dyDescent="0.25">
      <c r="Z22899">
        <v>400000</v>
      </c>
    </row>
    <row r="22900" spans="26:26" x14ac:dyDescent="0.25">
      <c r="Z22900">
        <v>400000</v>
      </c>
    </row>
    <row r="22901" spans="26:26" x14ac:dyDescent="0.25">
      <c r="Z22901">
        <v>400000</v>
      </c>
    </row>
    <row r="22902" spans="26:26" x14ac:dyDescent="0.25">
      <c r="Z22902">
        <v>400000</v>
      </c>
    </row>
    <row r="22903" spans="26:26" x14ac:dyDescent="0.25">
      <c r="Z22903">
        <v>400000</v>
      </c>
    </row>
    <row r="22904" spans="26:26" x14ac:dyDescent="0.25">
      <c r="Z22904">
        <v>400000</v>
      </c>
    </row>
    <row r="22905" spans="26:26" x14ac:dyDescent="0.25">
      <c r="Z22905">
        <v>400000</v>
      </c>
    </row>
    <row r="22906" spans="26:26" x14ac:dyDescent="0.25">
      <c r="Z22906">
        <v>400000</v>
      </c>
    </row>
    <row r="22907" spans="26:26" x14ac:dyDescent="0.25">
      <c r="Z22907">
        <v>400000</v>
      </c>
    </row>
    <row r="22908" spans="26:26" x14ac:dyDescent="0.25">
      <c r="Z22908">
        <v>400000</v>
      </c>
    </row>
    <row r="22909" spans="26:26" x14ac:dyDescent="0.25">
      <c r="Z22909">
        <v>400000</v>
      </c>
    </row>
    <row r="22910" spans="26:26" x14ac:dyDescent="0.25">
      <c r="Z22910">
        <v>400000</v>
      </c>
    </row>
    <row r="22911" spans="26:26" x14ac:dyDescent="0.25">
      <c r="Z22911">
        <v>400000</v>
      </c>
    </row>
    <row r="22912" spans="26:26" x14ac:dyDescent="0.25">
      <c r="Z22912">
        <v>400000</v>
      </c>
    </row>
    <row r="22913" spans="26:26" x14ac:dyDescent="0.25">
      <c r="Z22913">
        <v>400000</v>
      </c>
    </row>
    <row r="22914" spans="26:26" x14ac:dyDescent="0.25">
      <c r="Z22914">
        <v>400000</v>
      </c>
    </row>
    <row r="22915" spans="26:26" x14ac:dyDescent="0.25">
      <c r="Z22915">
        <v>400000</v>
      </c>
    </row>
    <row r="22916" spans="26:26" x14ac:dyDescent="0.25">
      <c r="Z22916">
        <v>400000</v>
      </c>
    </row>
    <row r="22917" spans="26:26" x14ac:dyDescent="0.25">
      <c r="Z22917">
        <v>400000</v>
      </c>
    </row>
    <row r="22918" spans="26:26" x14ac:dyDescent="0.25">
      <c r="Z22918">
        <v>400000</v>
      </c>
    </row>
    <row r="22919" spans="26:26" x14ac:dyDescent="0.25">
      <c r="Z22919">
        <v>400000</v>
      </c>
    </row>
    <row r="22920" spans="26:26" x14ac:dyDescent="0.25">
      <c r="Z22920">
        <v>400000</v>
      </c>
    </row>
    <row r="22921" spans="26:26" x14ac:dyDescent="0.25">
      <c r="Z22921">
        <v>400000</v>
      </c>
    </row>
    <row r="22922" spans="26:26" x14ac:dyDescent="0.25">
      <c r="Z22922">
        <v>400000</v>
      </c>
    </row>
    <row r="22923" spans="26:26" x14ac:dyDescent="0.25">
      <c r="Z22923">
        <v>400000</v>
      </c>
    </row>
    <row r="22924" spans="26:26" x14ac:dyDescent="0.25">
      <c r="Z22924">
        <v>400000</v>
      </c>
    </row>
    <row r="22925" spans="26:26" x14ac:dyDescent="0.25">
      <c r="Z22925">
        <v>400000</v>
      </c>
    </row>
    <row r="22926" spans="26:26" x14ac:dyDescent="0.25">
      <c r="Z22926">
        <v>400000</v>
      </c>
    </row>
    <row r="22927" spans="26:26" x14ac:dyDescent="0.25">
      <c r="Z22927">
        <v>400000</v>
      </c>
    </row>
    <row r="22928" spans="26:26" x14ac:dyDescent="0.25">
      <c r="Z22928">
        <v>400000</v>
      </c>
    </row>
    <row r="22929" spans="26:26" x14ac:dyDescent="0.25">
      <c r="Z22929">
        <v>400000</v>
      </c>
    </row>
    <row r="22930" spans="26:26" x14ac:dyDescent="0.25">
      <c r="Z22930">
        <v>400000</v>
      </c>
    </row>
    <row r="22931" spans="26:26" x14ac:dyDescent="0.25">
      <c r="Z22931">
        <v>400000</v>
      </c>
    </row>
    <row r="22932" spans="26:26" x14ac:dyDescent="0.25">
      <c r="Z22932">
        <v>400000</v>
      </c>
    </row>
    <row r="22933" spans="26:26" x14ac:dyDescent="0.25">
      <c r="Z22933">
        <v>400000</v>
      </c>
    </row>
    <row r="22934" spans="26:26" x14ac:dyDescent="0.25">
      <c r="Z22934">
        <v>400000</v>
      </c>
    </row>
    <row r="22935" spans="26:26" x14ac:dyDescent="0.25">
      <c r="Z22935">
        <v>400000</v>
      </c>
    </row>
    <row r="22936" spans="26:26" x14ac:dyDescent="0.25">
      <c r="Z22936">
        <v>400000</v>
      </c>
    </row>
    <row r="22937" spans="26:26" x14ac:dyDescent="0.25">
      <c r="Z22937">
        <v>400000</v>
      </c>
    </row>
    <row r="22938" spans="26:26" x14ac:dyDescent="0.25">
      <c r="Z22938">
        <v>400000</v>
      </c>
    </row>
    <row r="22939" spans="26:26" x14ac:dyDescent="0.25">
      <c r="Z22939">
        <v>400000</v>
      </c>
    </row>
    <row r="22940" spans="26:26" x14ac:dyDescent="0.25">
      <c r="Z22940">
        <v>400000</v>
      </c>
    </row>
    <row r="22941" spans="26:26" x14ac:dyDescent="0.25">
      <c r="Z22941">
        <v>400000</v>
      </c>
    </row>
    <row r="22942" spans="26:26" x14ac:dyDescent="0.25">
      <c r="Z22942">
        <v>400000</v>
      </c>
    </row>
    <row r="22943" spans="26:26" x14ac:dyDescent="0.25">
      <c r="Z22943">
        <v>400000</v>
      </c>
    </row>
    <row r="22944" spans="26:26" x14ac:dyDescent="0.25">
      <c r="Z22944">
        <v>400000</v>
      </c>
    </row>
    <row r="22945" spans="26:26" x14ac:dyDescent="0.25">
      <c r="Z22945">
        <v>400000</v>
      </c>
    </row>
    <row r="22946" spans="26:26" x14ac:dyDescent="0.25">
      <c r="Z22946">
        <v>400000</v>
      </c>
    </row>
    <row r="22947" spans="26:26" x14ac:dyDescent="0.25">
      <c r="Z22947">
        <v>400000</v>
      </c>
    </row>
    <row r="22948" spans="26:26" x14ac:dyDescent="0.25">
      <c r="Z22948">
        <v>400000</v>
      </c>
    </row>
    <row r="22949" spans="26:26" x14ac:dyDescent="0.25">
      <c r="Z22949">
        <v>400000</v>
      </c>
    </row>
    <row r="22950" spans="26:26" x14ac:dyDescent="0.25">
      <c r="Z22950">
        <v>400000</v>
      </c>
    </row>
    <row r="22951" spans="26:26" x14ac:dyDescent="0.25">
      <c r="Z22951">
        <v>400000</v>
      </c>
    </row>
    <row r="22952" spans="26:26" x14ac:dyDescent="0.25">
      <c r="Z22952">
        <v>400000</v>
      </c>
    </row>
    <row r="22953" spans="26:26" x14ac:dyDescent="0.25">
      <c r="Z22953">
        <v>400000</v>
      </c>
    </row>
    <row r="22954" spans="26:26" x14ac:dyDescent="0.25">
      <c r="Z22954">
        <v>400000</v>
      </c>
    </row>
    <row r="22955" spans="26:26" x14ac:dyDescent="0.25">
      <c r="Z22955">
        <v>400000</v>
      </c>
    </row>
    <row r="22956" spans="26:26" x14ac:dyDescent="0.25">
      <c r="Z22956">
        <v>400000</v>
      </c>
    </row>
    <row r="22957" spans="26:26" x14ac:dyDescent="0.25">
      <c r="Z22957">
        <v>400000</v>
      </c>
    </row>
    <row r="22958" spans="26:26" x14ac:dyDescent="0.25">
      <c r="Z22958">
        <v>400000</v>
      </c>
    </row>
    <row r="22959" spans="26:26" x14ac:dyDescent="0.25">
      <c r="Z22959">
        <v>400000</v>
      </c>
    </row>
    <row r="22960" spans="26:26" x14ac:dyDescent="0.25">
      <c r="Z22960">
        <v>400000</v>
      </c>
    </row>
    <row r="22961" spans="26:26" x14ac:dyDescent="0.25">
      <c r="Z22961">
        <v>400000</v>
      </c>
    </row>
    <row r="22962" spans="26:26" x14ac:dyDescent="0.25">
      <c r="Z22962">
        <v>400000</v>
      </c>
    </row>
    <row r="22963" spans="26:26" x14ac:dyDescent="0.25">
      <c r="Z22963">
        <v>400000</v>
      </c>
    </row>
    <row r="22964" spans="26:26" x14ac:dyDescent="0.25">
      <c r="Z22964">
        <v>400000</v>
      </c>
    </row>
    <row r="22965" spans="26:26" x14ac:dyDescent="0.25">
      <c r="Z22965">
        <v>400000</v>
      </c>
    </row>
    <row r="22966" spans="26:26" x14ac:dyDescent="0.25">
      <c r="Z22966">
        <v>400000</v>
      </c>
    </row>
    <row r="22967" spans="26:26" x14ac:dyDescent="0.25">
      <c r="Z22967">
        <v>400000</v>
      </c>
    </row>
    <row r="22968" spans="26:26" x14ac:dyDescent="0.25">
      <c r="Z22968">
        <v>400000</v>
      </c>
    </row>
    <row r="22969" spans="26:26" x14ac:dyDescent="0.25">
      <c r="Z22969">
        <v>400000</v>
      </c>
    </row>
    <row r="22970" spans="26:26" x14ac:dyDescent="0.25">
      <c r="Z22970">
        <v>400000</v>
      </c>
    </row>
    <row r="22971" spans="26:26" x14ac:dyDescent="0.25">
      <c r="Z22971">
        <v>400000</v>
      </c>
    </row>
    <row r="22972" spans="26:26" x14ac:dyDescent="0.25">
      <c r="Z22972">
        <v>400000</v>
      </c>
    </row>
    <row r="22973" spans="26:26" x14ac:dyDescent="0.25">
      <c r="Z22973">
        <v>400000</v>
      </c>
    </row>
    <row r="22974" spans="26:26" x14ac:dyDescent="0.25">
      <c r="Z22974">
        <v>400000</v>
      </c>
    </row>
    <row r="22975" spans="26:26" x14ac:dyDescent="0.25">
      <c r="Z22975">
        <v>400000</v>
      </c>
    </row>
    <row r="22976" spans="26:26" x14ac:dyDescent="0.25">
      <c r="Z22976">
        <v>400000</v>
      </c>
    </row>
    <row r="22977" spans="26:26" x14ac:dyDescent="0.25">
      <c r="Z22977">
        <v>400000</v>
      </c>
    </row>
    <row r="22978" spans="26:26" x14ac:dyDescent="0.25">
      <c r="Z22978">
        <v>400000</v>
      </c>
    </row>
    <row r="22979" spans="26:26" x14ac:dyDescent="0.25">
      <c r="Z22979">
        <v>400000</v>
      </c>
    </row>
    <row r="22980" spans="26:26" x14ac:dyDescent="0.25">
      <c r="Z22980">
        <v>400000</v>
      </c>
    </row>
    <row r="22981" spans="26:26" x14ac:dyDescent="0.25">
      <c r="Z22981">
        <v>400000</v>
      </c>
    </row>
    <row r="22982" spans="26:26" x14ac:dyDescent="0.25">
      <c r="Z22982">
        <v>400000</v>
      </c>
    </row>
    <row r="22983" spans="26:26" x14ac:dyDescent="0.25">
      <c r="Z22983">
        <v>400000</v>
      </c>
    </row>
    <row r="22984" spans="26:26" x14ac:dyDescent="0.25">
      <c r="Z22984">
        <v>400000</v>
      </c>
    </row>
    <row r="22985" spans="26:26" x14ac:dyDescent="0.25">
      <c r="Z22985">
        <v>400000</v>
      </c>
    </row>
    <row r="22986" spans="26:26" x14ac:dyDescent="0.25">
      <c r="Z22986">
        <v>400000</v>
      </c>
    </row>
    <row r="22987" spans="26:26" x14ac:dyDescent="0.25">
      <c r="Z22987">
        <v>400000</v>
      </c>
    </row>
    <row r="22988" spans="26:26" x14ac:dyDescent="0.25">
      <c r="Z22988">
        <v>400000</v>
      </c>
    </row>
    <row r="22989" spans="26:26" x14ac:dyDescent="0.25">
      <c r="Z22989">
        <v>400000</v>
      </c>
    </row>
    <row r="22990" spans="26:26" x14ac:dyDescent="0.25">
      <c r="Z22990">
        <v>400000</v>
      </c>
    </row>
    <row r="22991" spans="26:26" x14ac:dyDescent="0.25">
      <c r="Z22991">
        <v>400000</v>
      </c>
    </row>
    <row r="22992" spans="26:26" x14ac:dyDescent="0.25">
      <c r="Z22992">
        <v>400000</v>
      </c>
    </row>
    <row r="22993" spans="26:26" x14ac:dyDescent="0.25">
      <c r="Z22993">
        <v>400000</v>
      </c>
    </row>
    <row r="22994" spans="26:26" x14ac:dyDescent="0.25">
      <c r="Z22994">
        <v>400000</v>
      </c>
    </row>
    <row r="22995" spans="26:26" x14ac:dyDescent="0.25">
      <c r="Z22995">
        <v>400000</v>
      </c>
    </row>
    <row r="22996" spans="26:26" x14ac:dyDescent="0.25">
      <c r="Z22996">
        <v>400000</v>
      </c>
    </row>
    <row r="22997" spans="26:26" x14ac:dyDescent="0.25">
      <c r="Z22997">
        <v>400000</v>
      </c>
    </row>
    <row r="22998" spans="26:26" x14ac:dyDescent="0.25">
      <c r="Z22998">
        <v>400000</v>
      </c>
    </row>
    <row r="22999" spans="26:26" x14ac:dyDescent="0.25">
      <c r="Z22999">
        <v>400000</v>
      </c>
    </row>
    <row r="23000" spans="26:26" x14ac:dyDescent="0.25">
      <c r="Z23000">
        <v>400000</v>
      </c>
    </row>
    <row r="23001" spans="26:26" x14ac:dyDescent="0.25">
      <c r="Z23001">
        <v>400000</v>
      </c>
    </row>
    <row r="23002" spans="26:26" x14ac:dyDescent="0.25">
      <c r="Z23002">
        <v>400000</v>
      </c>
    </row>
    <row r="23003" spans="26:26" x14ac:dyDescent="0.25">
      <c r="Z23003">
        <v>400000</v>
      </c>
    </row>
    <row r="23004" spans="26:26" x14ac:dyDescent="0.25">
      <c r="Z23004">
        <v>400000</v>
      </c>
    </row>
    <row r="23005" spans="26:26" x14ac:dyDescent="0.25">
      <c r="Z23005">
        <v>400000</v>
      </c>
    </row>
    <row r="23006" spans="26:26" x14ac:dyDescent="0.25">
      <c r="Z23006">
        <v>400000</v>
      </c>
    </row>
    <row r="23007" spans="26:26" x14ac:dyDescent="0.25">
      <c r="Z23007">
        <v>400000</v>
      </c>
    </row>
    <row r="23008" spans="26:26" x14ac:dyDescent="0.25">
      <c r="Z23008">
        <v>400000</v>
      </c>
    </row>
    <row r="23009" spans="26:26" x14ac:dyDescent="0.25">
      <c r="Z23009">
        <v>400000</v>
      </c>
    </row>
    <row r="23010" spans="26:26" x14ac:dyDescent="0.25">
      <c r="Z23010">
        <v>400000</v>
      </c>
    </row>
    <row r="23011" spans="26:26" x14ac:dyDescent="0.25">
      <c r="Z23011">
        <v>400000</v>
      </c>
    </row>
    <row r="23012" spans="26:26" x14ac:dyDescent="0.25">
      <c r="Z23012">
        <v>400000</v>
      </c>
    </row>
    <row r="23013" spans="26:26" x14ac:dyDescent="0.25">
      <c r="Z23013">
        <v>400000</v>
      </c>
    </row>
    <row r="23014" spans="26:26" x14ac:dyDescent="0.25">
      <c r="Z23014">
        <v>400000</v>
      </c>
    </row>
    <row r="23015" spans="26:26" x14ac:dyDescent="0.25">
      <c r="Z23015">
        <v>400000</v>
      </c>
    </row>
    <row r="23016" spans="26:26" x14ac:dyDescent="0.25">
      <c r="Z23016">
        <v>400000</v>
      </c>
    </row>
    <row r="23017" spans="26:26" x14ac:dyDescent="0.25">
      <c r="Z23017">
        <v>400000</v>
      </c>
    </row>
    <row r="23018" spans="26:26" x14ac:dyDescent="0.25">
      <c r="Z23018">
        <v>400000</v>
      </c>
    </row>
    <row r="23019" spans="26:26" x14ac:dyDescent="0.25">
      <c r="Z23019">
        <v>400000</v>
      </c>
    </row>
    <row r="23020" spans="26:26" x14ac:dyDescent="0.25">
      <c r="Z23020">
        <v>400000</v>
      </c>
    </row>
    <row r="23021" spans="26:26" x14ac:dyDescent="0.25">
      <c r="Z23021">
        <v>400000</v>
      </c>
    </row>
    <row r="23022" spans="26:26" x14ac:dyDescent="0.25">
      <c r="Z23022">
        <v>400000</v>
      </c>
    </row>
    <row r="23023" spans="26:26" x14ac:dyDescent="0.25">
      <c r="Z23023">
        <v>400000</v>
      </c>
    </row>
    <row r="23024" spans="26:26" x14ac:dyDescent="0.25">
      <c r="Z23024">
        <v>400000</v>
      </c>
    </row>
    <row r="23025" spans="26:26" x14ac:dyDescent="0.25">
      <c r="Z23025">
        <v>400000</v>
      </c>
    </row>
    <row r="23026" spans="26:26" x14ac:dyDescent="0.25">
      <c r="Z23026">
        <v>400000</v>
      </c>
    </row>
    <row r="23027" spans="26:26" x14ac:dyDescent="0.25">
      <c r="Z23027">
        <v>400000</v>
      </c>
    </row>
    <row r="23028" spans="26:26" x14ac:dyDescent="0.25">
      <c r="Z23028">
        <v>400000</v>
      </c>
    </row>
    <row r="23029" spans="26:26" x14ac:dyDescent="0.25">
      <c r="Z23029">
        <v>400000</v>
      </c>
    </row>
    <row r="23030" spans="26:26" x14ac:dyDescent="0.25">
      <c r="Z23030">
        <v>400000</v>
      </c>
    </row>
    <row r="23031" spans="26:26" x14ac:dyDescent="0.25">
      <c r="Z23031">
        <v>400000</v>
      </c>
    </row>
    <row r="23032" spans="26:26" x14ac:dyDescent="0.25">
      <c r="Z23032">
        <v>400000</v>
      </c>
    </row>
    <row r="23033" spans="26:26" x14ac:dyDescent="0.25">
      <c r="Z23033">
        <v>400000</v>
      </c>
    </row>
    <row r="23034" spans="26:26" x14ac:dyDescent="0.25">
      <c r="Z23034">
        <v>400000</v>
      </c>
    </row>
    <row r="23035" spans="26:26" x14ac:dyDescent="0.25">
      <c r="Z23035">
        <v>400000</v>
      </c>
    </row>
    <row r="23036" spans="26:26" x14ac:dyDescent="0.25">
      <c r="Z23036">
        <v>400000</v>
      </c>
    </row>
    <row r="23037" spans="26:26" x14ac:dyDescent="0.25">
      <c r="Z23037">
        <v>400000</v>
      </c>
    </row>
    <row r="23038" spans="26:26" x14ac:dyDescent="0.25">
      <c r="Z23038">
        <v>400000</v>
      </c>
    </row>
    <row r="23039" spans="26:26" x14ac:dyDescent="0.25">
      <c r="Z23039">
        <v>400000</v>
      </c>
    </row>
    <row r="23040" spans="26:26" x14ac:dyDescent="0.25">
      <c r="Z23040">
        <v>400000</v>
      </c>
    </row>
    <row r="23041" spans="26:26" x14ac:dyDescent="0.25">
      <c r="Z23041">
        <v>400000</v>
      </c>
    </row>
    <row r="23042" spans="26:26" x14ac:dyDescent="0.25">
      <c r="Z23042">
        <v>400000</v>
      </c>
    </row>
    <row r="23043" spans="26:26" x14ac:dyDescent="0.25">
      <c r="Z23043">
        <v>400000</v>
      </c>
    </row>
    <row r="23044" spans="26:26" x14ac:dyDescent="0.25">
      <c r="Z23044">
        <v>400000</v>
      </c>
    </row>
    <row r="23045" spans="26:26" x14ac:dyDescent="0.25">
      <c r="Z23045">
        <v>400000</v>
      </c>
    </row>
    <row r="23046" spans="26:26" x14ac:dyDescent="0.25">
      <c r="Z23046">
        <v>400000</v>
      </c>
    </row>
    <row r="23047" spans="26:26" x14ac:dyDescent="0.25">
      <c r="Z23047">
        <v>400000</v>
      </c>
    </row>
    <row r="23048" spans="26:26" x14ac:dyDescent="0.25">
      <c r="Z23048">
        <v>400000</v>
      </c>
    </row>
    <row r="23049" spans="26:26" x14ac:dyDescent="0.25">
      <c r="Z23049">
        <v>400000</v>
      </c>
    </row>
    <row r="23050" spans="26:26" x14ac:dyDescent="0.25">
      <c r="Z23050">
        <v>400000</v>
      </c>
    </row>
    <row r="23051" spans="26:26" x14ac:dyDescent="0.25">
      <c r="Z23051">
        <v>400000</v>
      </c>
    </row>
    <row r="23052" spans="26:26" x14ac:dyDescent="0.25">
      <c r="Z23052">
        <v>400000</v>
      </c>
    </row>
    <row r="23053" spans="26:26" x14ac:dyDescent="0.25">
      <c r="Z23053">
        <v>400000</v>
      </c>
    </row>
    <row r="23054" spans="26:26" x14ac:dyDescent="0.25">
      <c r="Z23054">
        <v>400000</v>
      </c>
    </row>
    <row r="23055" spans="26:26" x14ac:dyDescent="0.25">
      <c r="Z23055">
        <v>400000</v>
      </c>
    </row>
    <row r="23056" spans="26:26" x14ac:dyDescent="0.25">
      <c r="Z23056">
        <v>400000</v>
      </c>
    </row>
    <row r="23057" spans="26:26" x14ac:dyDescent="0.25">
      <c r="Z23057">
        <v>400000</v>
      </c>
    </row>
    <row r="23058" spans="26:26" x14ac:dyDescent="0.25">
      <c r="Z23058">
        <v>400000</v>
      </c>
    </row>
    <row r="23059" spans="26:26" x14ac:dyDescent="0.25">
      <c r="Z23059">
        <v>400000</v>
      </c>
    </row>
    <row r="23060" spans="26:26" x14ac:dyDescent="0.25">
      <c r="Z23060">
        <v>400000</v>
      </c>
    </row>
    <row r="23061" spans="26:26" x14ac:dyDescent="0.25">
      <c r="Z23061">
        <v>400000</v>
      </c>
    </row>
    <row r="23062" spans="26:26" x14ac:dyDescent="0.25">
      <c r="Z23062">
        <v>400000</v>
      </c>
    </row>
    <row r="23063" spans="26:26" x14ac:dyDescent="0.25">
      <c r="Z23063">
        <v>400000</v>
      </c>
    </row>
    <row r="23064" spans="26:26" x14ac:dyDescent="0.25">
      <c r="Z23064">
        <v>400000</v>
      </c>
    </row>
    <row r="23065" spans="26:26" x14ac:dyDescent="0.25">
      <c r="Z23065">
        <v>400000</v>
      </c>
    </row>
    <row r="23066" spans="26:26" x14ac:dyDescent="0.25">
      <c r="Z23066">
        <v>400000</v>
      </c>
    </row>
    <row r="23067" spans="26:26" x14ac:dyDescent="0.25">
      <c r="Z23067">
        <v>400000</v>
      </c>
    </row>
    <row r="23068" spans="26:26" x14ac:dyDescent="0.25">
      <c r="Z23068">
        <v>400000</v>
      </c>
    </row>
    <row r="23069" spans="26:26" x14ac:dyDescent="0.25">
      <c r="Z23069">
        <v>400000</v>
      </c>
    </row>
    <row r="23070" spans="26:26" x14ac:dyDescent="0.25">
      <c r="Z23070">
        <v>400000</v>
      </c>
    </row>
    <row r="23071" spans="26:26" x14ac:dyDescent="0.25">
      <c r="Z23071">
        <v>400000</v>
      </c>
    </row>
    <row r="23072" spans="26:26" x14ac:dyDescent="0.25">
      <c r="Z23072">
        <v>400000</v>
      </c>
    </row>
    <row r="23073" spans="26:26" x14ac:dyDescent="0.25">
      <c r="Z23073">
        <v>400000</v>
      </c>
    </row>
    <row r="23074" spans="26:26" x14ac:dyDescent="0.25">
      <c r="Z23074">
        <v>400000</v>
      </c>
    </row>
    <row r="23075" spans="26:26" x14ac:dyDescent="0.25">
      <c r="Z23075">
        <v>400000</v>
      </c>
    </row>
    <row r="23076" spans="26:26" x14ac:dyDescent="0.25">
      <c r="Z23076">
        <v>400000</v>
      </c>
    </row>
    <row r="23077" spans="26:26" x14ac:dyDescent="0.25">
      <c r="Z23077">
        <v>400000</v>
      </c>
    </row>
    <row r="23078" spans="26:26" x14ac:dyDescent="0.25">
      <c r="Z23078">
        <v>400000</v>
      </c>
    </row>
    <row r="23079" spans="26:26" x14ac:dyDescent="0.25">
      <c r="Z23079">
        <v>400000</v>
      </c>
    </row>
    <row r="23080" spans="26:26" x14ac:dyDescent="0.25">
      <c r="Z23080">
        <v>400000</v>
      </c>
    </row>
    <row r="23081" spans="26:26" x14ac:dyDescent="0.25">
      <c r="Z23081">
        <v>400000</v>
      </c>
    </row>
    <row r="23082" spans="26:26" x14ac:dyDescent="0.25">
      <c r="Z23082">
        <v>400000</v>
      </c>
    </row>
    <row r="23083" spans="26:26" x14ac:dyDescent="0.25">
      <c r="Z23083">
        <v>400000</v>
      </c>
    </row>
    <row r="23084" spans="26:26" x14ac:dyDescent="0.25">
      <c r="Z23084">
        <v>400000</v>
      </c>
    </row>
    <row r="23085" spans="26:26" x14ac:dyDescent="0.25">
      <c r="Z23085">
        <v>400000</v>
      </c>
    </row>
    <row r="23086" spans="26:26" x14ac:dyDescent="0.25">
      <c r="Z23086">
        <v>400000</v>
      </c>
    </row>
    <row r="23087" spans="26:26" x14ac:dyDescent="0.25">
      <c r="Z23087">
        <v>400000</v>
      </c>
    </row>
    <row r="23088" spans="26:26" x14ac:dyDescent="0.25">
      <c r="Z23088">
        <v>400000</v>
      </c>
    </row>
    <row r="23089" spans="26:26" x14ac:dyDescent="0.25">
      <c r="Z23089">
        <v>400000</v>
      </c>
    </row>
    <row r="23090" spans="26:26" x14ac:dyDescent="0.25">
      <c r="Z23090">
        <v>400000</v>
      </c>
    </row>
    <row r="23091" spans="26:26" x14ac:dyDescent="0.25">
      <c r="Z23091">
        <v>400000</v>
      </c>
    </row>
    <row r="23092" spans="26:26" x14ac:dyDescent="0.25">
      <c r="Z23092">
        <v>400000</v>
      </c>
    </row>
    <row r="23093" spans="26:26" x14ac:dyDescent="0.25">
      <c r="Z23093">
        <v>400000</v>
      </c>
    </row>
    <row r="23094" spans="26:26" x14ac:dyDescent="0.25">
      <c r="Z23094">
        <v>400000</v>
      </c>
    </row>
    <row r="23095" spans="26:26" x14ac:dyDescent="0.25">
      <c r="Z23095">
        <v>400000</v>
      </c>
    </row>
    <row r="23096" spans="26:26" x14ac:dyDescent="0.25">
      <c r="Z23096">
        <v>400000</v>
      </c>
    </row>
    <row r="23097" spans="26:26" x14ac:dyDescent="0.25">
      <c r="Z23097">
        <v>400000</v>
      </c>
    </row>
    <row r="23098" spans="26:26" x14ac:dyDescent="0.25">
      <c r="Z23098">
        <v>400000</v>
      </c>
    </row>
    <row r="23099" spans="26:26" x14ac:dyDescent="0.25">
      <c r="Z23099">
        <v>400000</v>
      </c>
    </row>
    <row r="23100" spans="26:26" x14ac:dyDescent="0.25">
      <c r="Z23100">
        <v>400000</v>
      </c>
    </row>
    <row r="23101" spans="26:26" x14ac:dyDescent="0.25">
      <c r="Z23101">
        <v>400000</v>
      </c>
    </row>
    <row r="23102" spans="26:26" x14ac:dyDescent="0.25">
      <c r="Z23102">
        <v>400000</v>
      </c>
    </row>
    <row r="23103" spans="26:26" x14ac:dyDescent="0.25">
      <c r="Z23103">
        <v>400000</v>
      </c>
    </row>
    <row r="23104" spans="26:26" x14ac:dyDescent="0.25">
      <c r="Z23104">
        <v>400000</v>
      </c>
    </row>
    <row r="23105" spans="26:26" x14ac:dyDescent="0.25">
      <c r="Z23105">
        <v>400000</v>
      </c>
    </row>
    <row r="23106" spans="26:26" x14ac:dyDescent="0.25">
      <c r="Z23106">
        <v>400000</v>
      </c>
    </row>
    <row r="23107" spans="26:26" x14ac:dyDescent="0.25">
      <c r="Z23107">
        <v>400000</v>
      </c>
    </row>
    <row r="23108" spans="26:26" x14ac:dyDescent="0.25">
      <c r="Z23108">
        <v>400000</v>
      </c>
    </row>
    <row r="23109" spans="26:26" x14ac:dyDescent="0.25">
      <c r="Z23109">
        <v>400000</v>
      </c>
    </row>
    <row r="23110" spans="26:26" x14ac:dyDescent="0.25">
      <c r="Z23110">
        <v>400000</v>
      </c>
    </row>
    <row r="23111" spans="26:26" x14ac:dyDescent="0.25">
      <c r="Z23111">
        <v>400000</v>
      </c>
    </row>
    <row r="23112" spans="26:26" x14ac:dyDescent="0.25">
      <c r="Z23112">
        <v>400000</v>
      </c>
    </row>
    <row r="23113" spans="26:26" x14ac:dyDescent="0.25">
      <c r="Z23113">
        <v>400000</v>
      </c>
    </row>
    <row r="23114" spans="26:26" x14ac:dyDescent="0.25">
      <c r="Z23114">
        <v>400000</v>
      </c>
    </row>
    <row r="23115" spans="26:26" x14ac:dyDescent="0.25">
      <c r="Z23115">
        <v>400000</v>
      </c>
    </row>
    <row r="23116" spans="26:26" x14ac:dyDescent="0.25">
      <c r="Z23116">
        <v>400000</v>
      </c>
    </row>
    <row r="23117" spans="26:26" x14ac:dyDescent="0.25">
      <c r="Z23117">
        <v>400000</v>
      </c>
    </row>
    <row r="23118" spans="26:26" x14ac:dyDescent="0.25">
      <c r="Z23118">
        <v>400000</v>
      </c>
    </row>
    <row r="23119" spans="26:26" x14ac:dyDescent="0.25">
      <c r="Z23119">
        <v>400000</v>
      </c>
    </row>
    <row r="23120" spans="26:26" x14ac:dyDescent="0.25">
      <c r="Z23120">
        <v>400000</v>
      </c>
    </row>
    <row r="23121" spans="26:26" x14ac:dyDescent="0.25">
      <c r="Z23121">
        <v>400000</v>
      </c>
    </row>
    <row r="23122" spans="26:26" x14ac:dyDescent="0.25">
      <c r="Z23122">
        <v>400000</v>
      </c>
    </row>
    <row r="23123" spans="26:26" x14ac:dyDescent="0.25">
      <c r="Z23123">
        <v>400000</v>
      </c>
    </row>
    <row r="23124" spans="26:26" x14ac:dyDescent="0.25">
      <c r="Z23124">
        <v>400000</v>
      </c>
    </row>
    <row r="23125" spans="26:26" x14ac:dyDescent="0.25">
      <c r="Z23125">
        <v>400000</v>
      </c>
    </row>
    <row r="23126" spans="26:26" x14ac:dyDescent="0.25">
      <c r="Z23126">
        <v>400000</v>
      </c>
    </row>
    <row r="23127" spans="26:26" x14ac:dyDescent="0.25">
      <c r="Z23127">
        <v>400000</v>
      </c>
    </row>
    <row r="23128" spans="26:26" x14ac:dyDescent="0.25">
      <c r="Z23128">
        <v>400000</v>
      </c>
    </row>
    <row r="23129" spans="26:26" x14ac:dyDescent="0.25">
      <c r="Z23129">
        <v>400000</v>
      </c>
    </row>
    <row r="23130" spans="26:26" x14ac:dyDescent="0.25">
      <c r="Z23130">
        <v>400000</v>
      </c>
    </row>
    <row r="23131" spans="26:26" x14ac:dyDescent="0.25">
      <c r="Z23131">
        <v>400000</v>
      </c>
    </row>
    <row r="23132" spans="26:26" x14ac:dyDescent="0.25">
      <c r="Z23132">
        <v>400000</v>
      </c>
    </row>
    <row r="23133" spans="26:26" x14ac:dyDescent="0.25">
      <c r="Z23133">
        <v>400000</v>
      </c>
    </row>
    <row r="23134" spans="26:26" x14ac:dyDescent="0.25">
      <c r="Z23134">
        <v>400000</v>
      </c>
    </row>
    <row r="23135" spans="26:26" x14ac:dyDescent="0.25">
      <c r="Z23135">
        <v>400000</v>
      </c>
    </row>
    <row r="23136" spans="26:26" x14ac:dyDescent="0.25">
      <c r="Z23136">
        <v>400000</v>
      </c>
    </row>
    <row r="23137" spans="26:26" x14ac:dyDescent="0.25">
      <c r="Z23137">
        <v>400000</v>
      </c>
    </row>
    <row r="23138" spans="26:26" x14ac:dyDescent="0.25">
      <c r="Z23138">
        <v>400000</v>
      </c>
    </row>
    <row r="23139" spans="26:26" x14ac:dyDescent="0.25">
      <c r="Z23139">
        <v>400000</v>
      </c>
    </row>
    <row r="23140" spans="26:26" x14ac:dyDescent="0.25">
      <c r="Z23140">
        <v>400000</v>
      </c>
    </row>
    <row r="23141" spans="26:26" x14ac:dyDescent="0.25">
      <c r="Z23141">
        <v>400000</v>
      </c>
    </row>
    <row r="23142" spans="26:26" x14ac:dyDescent="0.25">
      <c r="Z23142">
        <v>400000</v>
      </c>
    </row>
    <row r="23143" spans="26:26" x14ac:dyDescent="0.25">
      <c r="Z23143">
        <v>400000</v>
      </c>
    </row>
    <row r="23144" spans="26:26" x14ac:dyDescent="0.25">
      <c r="Z23144">
        <v>400000</v>
      </c>
    </row>
    <row r="23145" spans="26:26" x14ac:dyDescent="0.25">
      <c r="Z23145">
        <v>400000</v>
      </c>
    </row>
    <row r="23146" spans="26:26" x14ac:dyDescent="0.25">
      <c r="Z23146">
        <v>400000</v>
      </c>
    </row>
    <row r="23147" spans="26:26" x14ac:dyDescent="0.25">
      <c r="Z23147">
        <v>400000</v>
      </c>
    </row>
    <row r="23148" spans="26:26" x14ac:dyDescent="0.25">
      <c r="Z23148">
        <v>400000</v>
      </c>
    </row>
    <row r="23149" spans="26:26" x14ac:dyDescent="0.25">
      <c r="Z23149">
        <v>400000</v>
      </c>
    </row>
    <row r="23150" spans="26:26" x14ac:dyDescent="0.25">
      <c r="Z23150">
        <v>400000</v>
      </c>
    </row>
    <row r="23151" spans="26:26" x14ac:dyDescent="0.25">
      <c r="Z23151">
        <v>400000</v>
      </c>
    </row>
    <row r="23152" spans="26:26" x14ac:dyDescent="0.25">
      <c r="Z23152">
        <v>400000</v>
      </c>
    </row>
    <row r="23153" spans="26:26" x14ac:dyDescent="0.25">
      <c r="Z23153">
        <v>400000</v>
      </c>
    </row>
    <row r="23154" spans="26:26" x14ac:dyDescent="0.25">
      <c r="Z23154">
        <v>400000</v>
      </c>
    </row>
    <row r="23155" spans="26:26" x14ac:dyDescent="0.25">
      <c r="Z23155">
        <v>400000</v>
      </c>
    </row>
    <row r="23156" spans="26:26" x14ac:dyDescent="0.25">
      <c r="Z23156">
        <v>400000</v>
      </c>
    </row>
    <row r="23157" spans="26:26" x14ac:dyDescent="0.25">
      <c r="Z23157">
        <v>400000</v>
      </c>
    </row>
    <row r="23158" spans="26:26" x14ac:dyDescent="0.25">
      <c r="Z23158">
        <v>400000</v>
      </c>
    </row>
    <row r="23159" spans="26:26" x14ac:dyDescent="0.25">
      <c r="Z23159">
        <v>400000</v>
      </c>
    </row>
    <row r="23160" spans="26:26" x14ac:dyDescent="0.25">
      <c r="Z23160">
        <v>400000</v>
      </c>
    </row>
    <row r="23161" spans="26:26" x14ac:dyDescent="0.25">
      <c r="Z23161">
        <v>400000</v>
      </c>
    </row>
    <row r="23162" spans="26:26" x14ac:dyDescent="0.25">
      <c r="Z23162">
        <v>400000</v>
      </c>
    </row>
    <row r="23163" spans="26:26" x14ac:dyDescent="0.25">
      <c r="Z23163">
        <v>400000</v>
      </c>
    </row>
    <row r="23164" spans="26:26" x14ac:dyDescent="0.25">
      <c r="Z23164">
        <v>400000</v>
      </c>
    </row>
    <row r="23165" spans="26:26" x14ac:dyDescent="0.25">
      <c r="Z23165">
        <v>400000</v>
      </c>
    </row>
    <row r="23166" spans="26:26" x14ac:dyDescent="0.25">
      <c r="Z23166">
        <v>400000</v>
      </c>
    </row>
    <row r="23167" spans="26:26" x14ac:dyDescent="0.25">
      <c r="Z23167">
        <v>400000</v>
      </c>
    </row>
    <row r="23168" spans="26:26" x14ac:dyDescent="0.25">
      <c r="Z23168">
        <v>400000</v>
      </c>
    </row>
    <row r="23169" spans="26:26" x14ac:dyDescent="0.25">
      <c r="Z23169">
        <v>400000</v>
      </c>
    </row>
    <row r="23170" spans="26:26" x14ac:dyDescent="0.25">
      <c r="Z23170">
        <v>400000</v>
      </c>
    </row>
    <row r="23171" spans="26:26" x14ac:dyDescent="0.25">
      <c r="Z23171">
        <v>400000</v>
      </c>
    </row>
    <row r="23172" spans="26:26" x14ac:dyDescent="0.25">
      <c r="Z23172">
        <v>400000</v>
      </c>
    </row>
    <row r="23173" spans="26:26" x14ac:dyDescent="0.25">
      <c r="Z23173">
        <v>400000</v>
      </c>
    </row>
    <row r="23174" spans="26:26" x14ac:dyDescent="0.25">
      <c r="Z23174">
        <v>400000</v>
      </c>
    </row>
    <row r="23175" spans="26:26" x14ac:dyDescent="0.25">
      <c r="Z23175">
        <v>400000</v>
      </c>
    </row>
    <row r="23176" spans="26:26" x14ac:dyDescent="0.25">
      <c r="Z23176">
        <v>400000</v>
      </c>
    </row>
    <row r="23177" spans="26:26" x14ac:dyDescent="0.25">
      <c r="Z23177">
        <v>400000</v>
      </c>
    </row>
    <row r="23178" spans="26:26" x14ac:dyDescent="0.25">
      <c r="Z23178">
        <v>400000</v>
      </c>
    </row>
    <row r="23179" spans="26:26" x14ac:dyDescent="0.25">
      <c r="Z23179">
        <v>400000</v>
      </c>
    </row>
    <row r="23180" spans="26:26" x14ac:dyDescent="0.25">
      <c r="Z23180">
        <v>400000</v>
      </c>
    </row>
    <row r="23181" spans="26:26" x14ac:dyDescent="0.25">
      <c r="Z23181">
        <v>400000</v>
      </c>
    </row>
    <row r="23182" spans="26:26" x14ac:dyDescent="0.25">
      <c r="Z23182">
        <v>400000</v>
      </c>
    </row>
    <row r="23183" spans="26:26" x14ac:dyDescent="0.25">
      <c r="Z23183">
        <v>400000</v>
      </c>
    </row>
    <row r="23184" spans="26:26" x14ac:dyDescent="0.25">
      <c r="Z23184">
        <v>400000</v>
      </c>
    </row>
    <row r="23185" spans="26:26" x14ac:dyDescent="0.25">
      <c r="Z23185">
        <v>400000</v>
      </c>
    </row>
    <row r="23186" spans="26:26" x14ac:dyDescent="0.25">
      <c r="Z23186">
        <v>400000</v>
      </c>
    </row>
    <row r="23187" spans="26:26" x14ac:dyDescent="0.25">
      <c r="Z23187">
        <v>400000</v>
      </c>
    </row>
    <row r="23188" spans="26:26" x14ac:dyDescent="0.25">
      <c r="Z23188">
        <v>400000</v>
      </c>
    </row>
    <row r="23189" spans="26:26" x14ac:dyDescent="0.25">
      <c r="Z23189">
        <v>400000</v>
      </c>
    </row>
    <row r="23190" spans="26:26" x14ac:dyDescent="0.25">
      <c r="Z23190">
        <v>400000</v>
      </c>
    </row>
    <row r="23191" spans="26:26" x14ac:dyDescent="0.25">
      <c r="Z23191">
        <v>400000</v>
      </c>
    </row>
    <row r="23192" spans="26:26" x14ac:dyDescent="0.25">
      <c r="Z23192">
        <v>400000</v>
      </c>
    </row>
    <row r="23193" spans="26:26" x14ac:dyDescent="0.25">
      <c r="Z23193">
        <v>400000</v>
      </c>
    </row>
    <row r="23194" spans="26:26" x14ac:dyDescent="0.25">
      <c r="Z23194">
        <v>400000</v>
      </c>
    </row>
    <row r="23195" spans="26:26" x14ac:dyDescent="0.25">
      <c r="Z23195">
        <v>400000</v>
      </c>
    </row>
    <row r="23196" spans="26:26" x14ac:dyDescent="0.25">
      <c r="Z23196">
        <v>400000</v>
      </c>
    </row>
    <row r="23197" spans="26:26" x14ac:dyDescent="0.25">
      <c r="Z23197">
        <v>400000</v>
      </c>
    </row>
    <row r="23198" spans="26:26" x14ac:dyDescent="0.25">
      <c r="Z23198">
        <v>400000</v>
      </c>
    </row>
    <row r="23199" spans="26:26" x14ac:dyDescent="0.25">
      <c r="Z23199">
        <v>400000</v>
      </c>
    </row>
    <row r="23200" spans="26:26" x14ac:dyDescent="0.25">
      <c r="Z23200">
        <v>400000</v>
      </c>
    </row>
    <row r="23201" spans="26:26" x14ac:dyDescent="0.25">
      <c r="Z23201">
        <v>400000</v>
      </c>
    </row>
    <row r="23202" spans="26:26" x14ac:dyDescent="0.25">
      <c r="Z23202">
        <v>400000</v>
      </c>
    </row>
    <row r="23203" spans="26:26" x14ac:dyDescent="0.25">
      <c r="Z23203">
        <v>400000</v>
      </c>
    </row>
    <row r="23204" spans="26:26" x14ac:dyDescent="0.25">
      <c r="Z23204">
        <v>400000</v>
      </c>
    </row>
    <row r="23205" spans="26:26" x14ac:dyDescent="0.25">
      <c r="Z23205">
        <v>400000</v>
      </c>
    </row>
    <row r="23206" spans="26:26" x14ac:dyDescent="0.25">
      <c r="Z23206">
        <v>400000</v>
      </c>
    </row>
    <row r="23207" spans="26:26" x14ac:dyDescent="0.25">
      <c r="Z23207">
        <v>400000</v>
      </c>
    </row>
    <row r="23208" spans="26:26" x14ac:dyDescent="0.25">
      <c r="Z23208">
        <v>400000</v>
      </c>
    </row>
    <row r="23209" spans="26:26" x14ac:dyDescent="0.25">
      <c r="Z23209">
        <v>400000</v>
      </c>
    </row>
    <row r="23210" spans="26:26" x14ac:dyDescent="0.25">
      <c r="Z23210">
        <v>400000</v>
      </c>
    </row>
    <row r="23211" spans="26:26" x14ac:dyDescent="0.25">
      <c r="Z23211">
        <v>400000</v>
      </c>
    </row>
    <row r="23212" spans="26:26" x14ac:dyDescent="0.25">
      <c r="Z23212">
        <v>400000</v>
      </c>
    </row>
    <row r="23213" spans="26:26" x14ac:dyDescent="0.25">
      <c r="Z23213">
        <v>400000</v>
      </c>
    </row>
    <row r="23214" spans="26:26" x14ac:dyDescent="0.25">
      <c r="Z23214">
        <v>400000</v>
      </c>
    </row>
    <row r="23215" spans="26:26" x14ac:dyDescent="0.25">
      <c r="Z23215">
        <v>400000</v>
      </c>
    </row>
    <row r="23216" spans="26:26" x14ac:dyDescent="0.25">
      <c r="Z23216">
        <v>400000</v>
      </c>
    </row>
    <row r="23217" spans="26:26" x14ac:dyDescent="0.25">
      <c r="Z23217">
        <v>400000</v>
      </c>
    </row>
    <row r="23218" spans="26:26" x14ac:dyDescent="0.25">
      <c r="Z23218">
        <v>400000</v>
      </c>
    </row>
    <row r="23219" spans="26:26" x14ac:dyDescent="0.25">
      <c r="Z23219">
        <v>400000</v>
      </c>
    </row>
    <row r="23220" spans="26:26" x14ac:dyDescent="0.25">
      <c r="Z23220">
        <v>400000</v>
      </c>
    </row>
    <row r="23221" spans="26:26" x14ac:dyDescent="0.25">
      <c r="Z23221">
        <v>400000</v>
      </c>
    </row>
    <row r="23222" spans="26:26" x14ac:dyDescent="0.25">
      <c r="Z23222">
        <v>400000</v>
      </c>
    </row>
    <row r="23223" spans="26:26" x14ac:dyDescent="0.25">
      <c r="Z23223">
        <v>400000</v>
      </c>
    </row>
    <row r="23224" spans="26:26" x14ac:dyDescent="0.25">
      <c r="Z23224">
        <v>400000</v>
      </c>
    </row>
    <row r="23225" spans="26:26" x14ac:dyDescent="0.25">
      <c r="Z23225">
        <v>400000</v>
      </c>
    </row>
    <row r="23226" spans="26:26" x14ac:dyDescent="0.25">
      <c r="Z23226">
        <v>400000</v>
      </c>
    </row>
    <row r="23227" spans="26:26" x14ac:dyDescent="0.25">
      <c r="Z23227">
        <v>400000</v>
      </c>
    </row>
    <row r="23228" spans="26:26" x14ac:dyDescent="0.25">
      <c r="Z23228">
        <v>400000</v>
      </c>
    </row>
    <row r="23229" spans="26:26" x14ac:dyDescent="0.25">
      <c r="Z23229">
        <v>400000</v>
      </c>
    </row>
    <row r="23230" spans="26:26" x14ac:dyDescent="0.25">
      <c r="Z23230">
        <v>400000</v>
      </c>
    </row>
    <row r="23231" spans="26:26" x14ac:dyDescent="0.25">
      <c r="Z23231">
        <v>400000</v>
      </c>
    </row>
    <row r="23232" spans="26:26" x14ac:dyDescent="0.25">
      <c r="Z23232">
        <v>400000</v>
      </c>
    </row>
    <row r="23233" spans="26:26" x14ac:dyDescent="0.25">
      <c r="Z23233">
        <v>400000</v>
      </c>
    </row>
    <row r="23234" spans="26:26" x14ac:dyDescent="0.25">
      <c r="Z23234">
        <v>400000</v>
      </c>
    </row>
    <row r="23235" spans="26:26" x14ac:dyDescent="0.25">
      <c r="Z23235">
        <v>400000</v>
      </c>
    </row>
    <row r="23236" spans="26:26" x14ac:dyDescent="0.25">
      <c r="Z23236">
        <v>400000</v>
      </c>
    </row>
    <row r="23237" spans="26:26" x14ac:dyDescent="0.25">
      <c r="Z23237">
        <v>400000</v>
      </c>
    </row>
    <row r="23238" spans="26:26" x14ac:dyDescent="0.25">
      <c r="Z23238">
        <v>400000</v>
      </c>
    </row>
    <row r="23239" spans="26:26" x14ac:dyDescent="0.25">
      <c r="Z23239">
        <v>400000</v>
      </c>
    </row>
    <row r="23240" spans="26:26" x14ac:dyDescent="0.25">
      <c r="Z23240">
        <v>400000</v>
      </c>
    </row>
    <row r="23241" spans="26:26" x14ac:dyDescent="0.25">
      <c r="Z23241">
        <v>400000</v>
      </c>
    </row>
    <row r="23242" spans="26:26" x14ac:dyDescent="0.25">
      <c r="Z23242">
        <v>400000</v>
      </c>
    </row>
    <row r="23243" spans="26:26" x14ac:dyDescent="0.25">
      <c r="Z23243">
        <v>400000</v>
      </c>
    </row>
    <row r="23244" spans="26:26" x14ac:dyDescent="0.25">
      <c r="Z23244">
        <v>400000</v>
      </c>
    </row>
    <row r="23245" spans="26:26" x14ac:dyDescent="0.25">
      <c r="Z23245">
        <v>400000</v>
      </c>
    </row>
    <row r="23246" spans="26:26" x14ac:dyDescent="0.25">
      <c r="Z23246">
        <v>400000</v>
      </c>
    </row>
    <row r="23247" spans="26:26" x14ac:dyDescent="0.25">
      <c r="Z23247">
        <v>400000</v>
      </c>
    </row>
    <row r="23248" spans="26:26" x14ac:dyDescent="0.25">
      <c r="Z23248">
        <v>400000</v>
      </c>
    </row>
    <row r="23249" spans="26:26" x14ac:dyDescent="0.25">
      <c r="Z23249">
        <v>400000</v>
      </c>
    </row>
    <row r="23250" spans="26:26" x14ac:dyDescent="0.25">
      <c r="Z23250">
        <v>400000</v>
      </c>
    </row>
    <row r="23251" spans="26:26" x14ac:dyDescent="0.25">
      <c r="Z23251">
        <v>400000</v>
      </c>
    </row>
    <row r="23252" spans="26:26" x14ac:dyDescent="0.25">
      <c r="Z23252">
        <v>400000</v>
      </c>
    </row>
    <row r="23253" spans="26:26" x14ac:dyDescent="0.25">
      <c r="Z23253">
        <v>400000</v>
      </c>
    </row>
    <row r="23254" spans="26:26" x14ac:dyDescent="0.25">
      <c r="Z23254">
        <v>400000</v>
      </c>
    </row>
    <row r="23255" spans="26:26" x14ac:dyDescent="0.25">
      <c r="Z23255">
        <v>400000</v>
      </c>
    </row>
    <row r="23256" spans="26:26" x14ac:dyDescent="0.25">
      <c r="Z23256">
        <v>400000</v>
      </c>
    </row>
    <row r="23257" spans="26:26" x14ac:dyDescent="0.25">
      <c r="Z23257">
        <v>400000</v>
      </c>
    </row>
    <row r="23258" spans="26:26" x14ac:dyDescent="0.25">
      <c r="Z23258">
        <v>400000</v>
      </c>
    </row>
    <row r="23259" spans="26:26" x14ac:dyDescent="0.25">
      <c r="Z23259">
        <v>400000</v>
      </c>
    </row>
    <row r="23260" spans="26:26" x14ac:dyDescent="0.25">
      <c r="Z23260">
        <v>400000</v>
      </c>
    </row>
    <row r="23261" spans="26:26" x14ac:dyDescent="0.25">
      <c r="Z23261">
        <v>400000</v>
      </c>
    </row>
    <row r="23262" spans="26:26" x14ac:dyDescent="0.25">
      <c r="Z23262">
        <v>400000</v>
      </c>
    </row>
    <row r="23263" spans="26:26" x14ac:dyDescent="0.25">
      <c r="Z23263">
        <v>400000</v>
      </c>
    </row>
    <row r="23264" spans="26:26" x14ac:dyDescent="0.25">
      <c r="Z23264">
        <v>400000</v>
      </c>
    </row>
    <row r="23265" spans="26:26" x14ac:dyDescent="0.25">
      <c r="Z23265">
        <v>400000</v>
      </c>
    </row>
    <row r="23266" spans="26:26" x14ac:dyDescent="0.25">
      <c r="Z23266">
        <v>400000</v>
      </c>
    </row>
    <row r="23267" spans="26:26" x14ac:dyDescent="0.25">
      <c r="Z23267">
        <v>400000</v>
      </c>
    </row>
    <row r="23268" spans="26:26" x14ac:dyDescent="0.25">
      <c r="Z23268">
        <v>400000</v>
      </c>
    </row>
    <row r="23269" spans="26:26" x14ac:dyDescent="0.25">
      <c r="Z23269">
        <v>400000</v>
      </c>
    </row>
    <row r="23270" spans="26:26" x14ac:dyDescent="0.25">
      <c r="Z23270">
        <v>400000</v>
      </c>
    </row>
    <row r="23271" spans="26:26" x14ac:dyDescent="0.25">
      <c r="Z23271">
        <v>400000</v>
      </c>
    </row>
    <row r="23272" spans="26:26" x14ac:dyDescent="0.25">
      <c r="Z23272">
        <v>400000</v>
      </c>
    </row>
    <row r="23273" spans="26:26" x14ac:dyDescent="0.25">
      <c r="Z23273">
        <v>400000</v>
      </c>
    </row>
    <row r="23274" spans="26:26" x14ac:dyDescent="0.25">
      <c r="Z23274">
        <v>400000</v>
      </c>
    </row>
    <row r="23275" spans="26:26" x14ac:dyDescent="0.25">
      <c r="Z23275">
        <v>400000</v>
      </c>
    </row>
    <row r="23276" spans="26:26" x14ac:dyDescent="0.25">
      <c r="Z23276">
        <v>400000</v>
      </c>
    </row>
    <row r="23277" spans="26:26" x14ac:dyDescent="0.25">
      <c r="Z23277">
        <v>400000</v>
      </c>
    </row>
    <row r="23278" spans="26:26" x14ac:dyDescent="0.25">
      <c r="Z23278">
        <v>400000</v>
      </c>
    </row>
    <row r="23279" spans="26:26" x14ac:dyDescent="0.25">
      <c r="Z23279">
        <v>400000</v>
      </c>
    </row>
    <row r="23280" spans="26:26" x14ac:dyDescent="0.25">
      <c r="Z23280">
        <v>400000</v>
      </c>
    </row>
    <row r="23281" spans="26:26" x14ac:dyDescent="0.25">
      <c r="Z23281">
        <v>400000</v>
      </c>
    </row>
    <row r="23282" spans="26:26" x14ac:dyDescent="0.25">
      <c r="Z23282">
        <v>400000</v>
      </c>
    </row>
    <row r="23283" spans="26:26" x14ac:dyDescent="0.25">
      <c r="Z23283">
        <v>400000</v>
      </c>
    </row>
    <row r="23284" spans="26:26" x14ac:dyDescent="0.25">
      <c r="Z23284">
        <v>400000</v>
      </c>
    </row>
    <row r="23285" spans="26:26" x14ac:dyDescent="0.25">
      <c r="Z23285">
        <v>400000</v>
      </c>
    </row>
    <row r="23286" spans="26:26" x14ac:dyDescent="0.25">
      <c r="Z23286">
        <v>400000</v>
      </c>
    </row>
    <row r="23287" spans="26:26" x14ac:dyDescent="0.25">
      <c r="Z23287">
        <v>400000</v>
      </c>
    </row>
    <row r="23288" spans="26:26" x14ac:dyDescent="0.25">
      <c r="Z23288">
        <v>400000</v>
      </c>
    </row>
    <row r="23289" spans="26:26" x14ac:dyDescent="0.25">
      <c r="Z23289">
        <v>400000</v>
      </c>
    </row>
    <row r="23290" spans="26:26" x14ac:dyDescent="0.25">
      <c r="Z23290">
        <v>400000</v>
      </c>
    </row>
    <row r="23291" spans="26:26" x14ac:dyDescent="0.25">
      <c r="Z23291">
        <v>400000</v>
      </c>
    </row>
    <row r="23292" spans="26:26" x14ac:dyDescent="0.25">
      <c r="Z23292">
        <v>400000</v>
      </c>
    </row>
    <row r="23293" spans="26:26" x14ac:dyDescent="0.25">
      <c r="Z23293">
        <v>400000</v>
      </c>
    </row>
    <row r="23294" spans="26:26" x14ac:dyDescent="0.25">
      <c r="Z23294">
        <v>400000</v>
      </c>
    </row>
    <row r="23295" spans="26:26" x14ac:dyDescent="0.25">
      <c r="Z23295">
        <v>400000</v>
      </c>
    </row>
    <row r="23296" spans="26:26" x14ac:dyDescent="0.25">
      <c r="Z23296">
        <v>400000</v>
      </c>
    </row>
    <row r="23297" spans="26:26" x14ac:dyDescent="0.25">
      <c r="Z23297">
        <v>400000</v>
      </c>
    </row>
    <row r="23298" spans="26:26" x14ac:dyDescent="0.25">
      <c r="Z23298">
        <v>400000</v>
      </c>
    </row>
    <row r="23299" spans="26:26" x14ac:dyDescent="0.25">
      <c r="Z23299">
        <v>400000</v>
      </c>
    </row>
    <row r="23300" spans="26:26" x14ac:dyDescent="0.25">
      <c r="Z23300">
        <v>400000</v>
      </c>
    </row>
    <row r="23301" spans="26:26" x14ac:dyDescent="0.25">
      <c r="Z23301">
        <v>400000</v>
      </c>
    </row>
    <row r="23302" spans="26:26" x14ac:dyDescent="0.25">
      <c r="Z23302">
        <v>400000</v>
      </c>
    </row>
    <row r="23303" spans="26:26" x14ac:dyDescent="0.25">
      <c r="Z23303">
        <v>400000</v>
      </c>
    </row>
    <row r="23304" spans="26:26" x14ac:dyDescent="0.25">
      <c r="Z23304">
        <v>400000</v>
      </c>
    </row>
    <row r="23305" spans="26:26" x14ac:dyDescent="0.25">
      <c r="Z23305">
        <v>400000</v>
      </c>
    </row>
    <row r="23306" spans="26:26" x14ac:dyDescent="0.25">
      <c r="Z23306">
        <v>400000</v>
      </c>
    </row>
    <row r="23307" spans="26:26" x14ac:dyDescent="0.25">
      <c r="Z23307">
        <v>400000</v>
      </c>
    </row>
    <row r="23308" spans="26:26" x14ac:dyDescent="0.25">
      <c r="Z23308">
        <v>400000</v>
      </c>
    </row>
    <row r="23309" spans="26:26" x14ac:dyDescent="0.25">
      <c r="Z23309">
        <v>400000</v>
      </c>
    </row>
    <row r="23310" spans="26:26" x14ac:dyDescent="0.25">
      <c r="Z23310">
        <v>400000</v>
      </c>
    </row>
    <row r="23311" spans="26:26" x14ac:dyDescent="0.25">
      <c r="Z23311">
        <v>400000</v>
      </c>
    </row>
    <row r="23312" spans="26:26" x14ac:dyDescent="0.25">
      <c r="Z23312">
        <v>400000</v>
      </c>
    </row>
    <row r="23313" spans="26:26" x14ac:dyDescent="0.25">
      <c r="Z23313">
        <v>400000</v>
      </c>
    </row>
    <row r="23314" spans="26:26" x14ac:dyDescent="0.25">
      <c r="Z23314">
        <v>400000</v>
      </c>
    </row>
    <row r="23315" spans="26:26" x14ac:dyDescent="0.25">
      <c r="Z23315">
        <v>400000</v>
      </c>
    </row>
    <row r="23316" spans="26:26" x14ac:dyDescent="0.25">
      <c r="Z23316">
        <v>400000</v>
      </c>
    </row>
    <row r="23317" spans="26:26" x14ac:dyDescent="0.25">
      <c r="Z23317">
        <v>400000</v>
      </c>
    </row>
    <row r="23318" spans="26:26" x14ac:dyDescent="0.25">
      <c r="Z23318">
        <v>400000</v>
      </c>
    </row>
    <row r="23319" spans="26:26" x14ac:dyDescent="0.25">
      <c r="Z23319">
        <v>400000</v>
      </c>
    </row>
    <row r="23320" spans="26:26" x14ac:dyDescent="0.25">
      <c r="Z23320">
        <v>400000</v>
      </c>
    </row>
    <row r="23321" spans="26:26" x14ac:dyDescent="0.25">
      <c r="Z23321">
        <v>400000</v>
      </c>
    </row>
    <row r="23322" spans="26:26" x14ac:dyDescent="0.25">
      <c r="Z23322">
        <v>400000</v>
      </c>
    </row>
    <row r="23323" spans="26:26" x14ac:dyDescent="0.25">
      <c r="Z23323">
        <v>400000</v>
      </c>
    </row>
    <row r="23324" spans="26:26" x14ac:dyDescent="0.25">
      <c r="Z23324">
        <v>400000</v>
      </c>
    </row>
    <row r="23325" spans="26:26" x14ac:dyDescent="0.25">
      <c r="Z23325">
        <v>400000</v>
      </c>
    </row>
    <row r="23326" spans="26:26" x14ac:dyDescent="0.25">
      <c r="Z23326">
        <v>400000</v>
      </c>
    </row>
    <row r="23327" spans="26:26" x14ac:dyDescent="0.25">
      <c r="Z23327">
        <v>400000</v>
      </c>
    </row>
    <row r="23328" spans="26:26" x14ac:dyDescent="0.25">
      <c r="Z23328">
        <v>400000</v>
      </c>
    </row>
    <row r="23329" spans="26:26" x14ac:dyDescent="0.25">
      <c r="Z23329">
        <v>400000</v>
      </c>
    </row>
    <row r="23330" spans="26:26" x14ac:dyDescent="0.25">
      <c r="Z23330">
        <v>400000</v>
      </c>
    </row>
    <row r="23331" spans="26:26" x14ac:dyDescent="0.25">
      <c r="Z23331">
        <v>400000</v>
      </c>
    </row>
    <row r="23332" spans="26:26" x14ac:dyDescent="0.25">
      <c r="Z23332">
        <v>400000</v>
      </c>
    </row>
    <row r="23333" spans="26:26" x14ac:dyDescent="0.25">
      <c r="Z23333">
        <v>400000</v>
      </c>
    </row>
    <row r="23334" spans="26:26" x14ac:dyDescent="0.25">
      <c r="Z23334">
        <v>400000</v>
      </c>
    </row>
    <row r="23335" spans="26:26" x14ac:dyDescent="0.25">
      <c r="Z23335">
        <v>400000</v>
      </c>
    </row>
    <row r="23336" spans="26:26" x14ac:dyDescent="0.25">
      <c r="Z23336">
        <v>400000</v>
      </c>
    </row>
    <row r="23337" spans="26:26" x14ac:dyDescent="0.25">
      <c r="Z23337">
        <v>400000</v>
      </c>
    </row>
    <row r="23338" spans="26:26" x14ac:dyDescent="0.25">
      <c r="Z23338">
        <v>400000</v>
      </c>
    </row>
    <row r="23339" spans="26:26" x14ac:dyDescent="0.25">
      <c r="Z23339">
        <v>400000</v>
      </c>
    </row>
    <row r="23340" spans="26:26" x14ac:dyDescent="0.25">
      <c r="Z23340">
        <v>400000</v>
      </c>
    </row>
    <row r="23341" spans="26:26" x14ac:dyDescent="0.25">
      <c r="Z23341">
        <v>400000</v>
      </c>
    </row>
    <row r="23342" spans="26:26" x14ac:dyDescent="0.25">
      <c r="Z23342">
        <v>400000</v>
      </c>
    </row>
    <row r="23343" spans="26:26" x14ac:dyDescent="0.25">
      <c r="Z23343">
        <v>400000</v>
      </c>
    </row>
    <row r="23344" spans="26:26" x14ac:dyDescent="0.25">
      <c r="Z23344">
        <v>400000</v>
      </c>
    </row>
    <row r="23345" spans="26:26" x14ac:dyDescent="0.25">
      <c r="Z23345">
        <v>400000</v>
      </c>
    </row>
    <row r="23346" spans="26:26" x14ac:dyDescent="0.25">
      <c r="Z23346">
        <v>400000</v>
      </c>
    </row>
    <row r="23347" spans="26:26" x14ac:dyDescent="0.25">
      <c r="Z23347">
        <v>400000</v>
      </c>
    </row>
    <row r="23348" spans="26:26" x14ac:dyDescent="0.25">
      <c r="Z23348">
        <v>400000</v>
      </c>
    </row>
    <row r="23349" spans="26:26" x14ac:dyDescent="0.25">
      <c r="Z23349">
        <v>400000</v>
      </c>
    </row>
    <row r="23350" spans="26:26" x14ac:dyDescent="0.25">
      <c r="Z23350">
        <v>400000</v>
      </c>
    </row>
    <row r="23351" spans="26:26" x14ac:dyDescent="0.25">
      <c r="Z23351">
        <v>400000</v>
      </c>
    </row>
    <row r="23352" spans="26:26" x14ac:dyDescent="0.25">
      <c r="Z23352">
        <v>400000</v>
      </c>
    </row>
    <row r="23353" spans="26:26" x14ac:dyDescent="0.25">
      <c r="Z23353">
        <v>400000</v>
      </c>
    </row>
    <row r="23354" spans="26:26" x14ac:dyDescent="0.25">
      <c r="Z23354">
        <v>400000</v>
      </c>
    </row>
    <row r="23355" spans="26:26" x14ac:dyDescent="0.25">
      <c r="Z23355">
        <v>400000</v>
      </c>
    </row>
    <row r="23356" spans="26:26" x14ac:dyDescent="0.25">
      <c r="Z23356">
        <v>400000</v>
      </c>
    </row>
    <row r="23357" spans="26:26" x14ac:dyDescent="0.25">
      <c r="Z23357">
        <v>400000</v>
      </c>
    </row>
    <row r="23358" spans="26:26" x14ac:dyDescent="0.25">
      <c r="Z23358">
        <v>400000</v>
      </c>
    </row>
    <row r="23359" spans="26:26" x14ac:dyDescent="0.25">
      <c r="Z23359">
        <v>400000</v>
      </c>
    </row>
    <row r="23360" spans="26:26" x14ac:dyDescent="0.25">
      <c r="Z23360">
        <v>400000</v>
      </c>
    </row>
    <row r="23361" spans="26:26" x14ac:dyDescent="0.25">
      <c r="Z23361">
        <v>400000</v>
      </c>
    </row>
    <row r="23362" spans="26:26" x14ac:dyDescent="0.25">
      <c r="Z23362">
        <v>400000</v>
      </c>
    </row>
    <row r="23363" spans="26:26" x14ac:dyDescent="0.25">
      <c r="Z23363">
        <v>400000</v>
      </c>
    </row>
    <row r="23364" spans="26:26" x14ac:dyDescent="0.25">
      <c r="Z23364">
        <v>400000</v>
      </c>
    </row>
    <row r="23365" spans="26:26" x14ac:dyDescent="0.25">
      <c r="Z23365">
        <v>400000</v>
      </c>
    </row>
    <row r="23366" spans="26:26" x14ac:dyDescent="0.25">
      <c r="Z23366">
        <v>400000</v>
      </c>
    </row>
    <row r="23367" spans="26:26" x14ac:dyDescent="0.25">
      <c r="Z23367">
        <v>400000</v>
      </c>
    </row>
    <row r="23368" spans="26:26" x14ac:dyDescent="0.25">
      <c r="Z23368">
        <v>400000</v>
      </c>
    </row>
    <row r="23369" spans="26:26" x14ac:dyDescent="0.25">
      <c r="Z23369">
        <v>400000</v>
      </c>
    </row>
    <row r="23370" spans="26:26" x14ac:dyDescent="0.25">
      <c r="Z23370">
        <v>400000</v>
      </c>
    </row>
    <row r="23371" spans="26:26" x14ac:dyDescent="0.25">
      <c r="Z23371">
        <v>400000</v>
      </c>
    </row>
    <row r="23372" spans="26:26" x14ac:dyDescent="0.25">
      <c r="Z23372">
        <v>400000</v>
      </c>
    </row>
    <row r="23373" spans="26:26" x14ac:dyDescent="0.25">
      <c r="Z23373">
        <v>400000</v>
      </c>
    </row>
    <row r="23374" spans="26:26" x14ac:dyDescent="0.25">
      <c r="Z23374">
        <v>400000</v>
      </c>
    </row>
    <row r="23375" spans="26:26" x14ac:dyDescent="0.25">
      <c r="Z23375">
        <v>400000</v>
      </c>
    </row>
    <row r="23376" spans="26:26" x14ac:dyDescent="0.25">
      <c r="Z23376">
        <v>400000</v>
      </c>
    </row>
    <row r="23377" spans="26:26" x14ac:dyDescent="0.25">
      <c r="Z23377">
        <v>400000</v>
      </c>
    </row>
    <row r="23378" spans="26:26" x14ac:dyDescent="0.25">
      <c r="Z23378">
        <v>400000</v>
      </c>
    </row>
    <row r="23379" spans="26:26" x14ac:dyDescent="0.25">
      <c r="Z23379">
        <v>400000</v>
      </c>
    </row>
    <row r="23380" spans="26:26" x14ac:dyDescent="0.25">
      <c r="Z23380">
        <v>400000</v>
      </c>
    </row>
    <row r="23381" spans="26:26" x14ac:dyDescent="0.25">
      <c r="Z23381">
        <v>400000</v>
      </c>
    </row>
    <row r="23382" spans="26:26" x14ac:dyDescent="0.25">
      <c r="Z23382">
        <v>400000</v>
      </c>
    </row>
    <row r="23383" spans="26:26" x14ac:dyDescent="0.25">
      <c r="Z23383">
        <v>400000</v>
      </c>
    </row>
    <row r="23384" spans="26:26" x14ac:dyDescent="0.25">
      <c r="Z23384">
        <v>400000</v>
      </c>
    </row>
    <row r="23385" spans="26:26" x14ac:dyDescent="0.25">
      <c r="Z23385">
        <v>400000</v>
      </c>
    </row>
    <row r="23386" spans="26:26" x14ac:dyDescent="0.25">
      <c r="Z23386">
        <v>400000</v>
      </c>
    </row>
    <row r="23387" spans="26:26" x14ac:dyDescent="0.25">
      <c r="Z23387">
        <v>400000</v>
      </c>
    </row>
    <row r="23388" spans="26:26" x14ac:dyDescent="0.25">
      <c r="Z23388">
        <v>400000</v>
      </c>
    </row>
    <row r="23389" spans="26:26" x14ac:dyDescent="0.25">
      <c r="Z23389">
        <v>400000</v>
      </c>
    </row>
    <row r="23390" spans="26:26" x14ac:dyDescent="0.25">
      <c r="Z23390">
        <v>400000</v>
      </c>
    </row>
    <row r="23391" spans="26:26" x14ac:dyDescent="0.25">
      <c r="Z23391">
        <v>400000</v>
      </c>
    </row>
    <row r="23392" spans="26:26" x14ac:dyDescent="0.25">
      <c r="Z23392">
        <v>400000</v>
      </c>
    </row>
    <row r="23393" spans="26:26" x14ac:dyDescent="0.25">
      <c r="Z23393">
        <v>400000</v>
      </c>
    </row>
    <row r="23394" spans="26:26" x14ac:dyDescent="0.25">
      <c r="Z23394">
        <v>400000</v>
      </c>
    </row>
    <row r="23395" spans="26:26" x14ac:dyDescent="0.25">
      <c r="Z23395">
        <v>400000</v>
      </c>
    </row>
    <row r="23396" spans="26:26" x14ac:dyDescent="0.25">
      <c r="Z23396">
        <v>400000</v>
      </c>
    </row>
    <row r="23397" spans="26:26" x14ac:dyDescent="0.25">
      <c r="Z23397">
        <v>400000</v>
      </c>
    </row>
    <row r="23398" spans="26:26" x14ac:dyDescent="0.25">
      <c r="Z23398">
        <v>400000</v>
      </c>
    </row>
    <row r="23399" spans="26:26" x14ac:dyDescent="0.25">
      <c r="Z23399">
        <v>400000</v>
      </c>
    </row>
    <row r="23400" spans="26:26" x14ac:dyDescent="0.25">
      <c r="Z23400">
        <v>400000</v>
      </c>
    </row>
    <row r="23401" spans="26:26" x14ac:dyDescent="0.25">
      <c r="Z23401">
        <v>400000</v>
      </c>
    </row>
    <row r="23402" spans="26:26" x14ac:dyDescent="0.25">
      <c r="Z23402">
        <v>400000</v>
      </c>
    </row>
    <row r="23403" spans="26:26" x14ac:dyDescent="0.25">
      <c r="Z23403">
        <v>400000</v>
      </c>
    </row>
    <row r="23404" spans="26:26" x14ac:dyDescent="0.25">
      <c r="Z23404">
        <v>400000</v>
      </c>
    </row>
    <row r="23405" spans="26:26" x14ac:dyDescent="0.25">
      <c r="Z23405">
        <v>400000</v>
      </c>
    </row>
    <row r="23406" spans="26:26" x14ac:dyDescent="0.25">
      <c r="Z23406">
        <v>400000</v>
      </c>
    </row>
    <row r="23407" spans="26:26" x14ac:dyDescent="0.25">
      <c r="Z23407">
        <v>400000</v>
      </c>
    </row>
    <row r="23408" spans="26:26" x14ac:dyDescent="0.25">
      <c r="Z23408">
        <v>400000</v>
      </c>
    </row>
    <row r="23409" spans="26:26" x14ac:dyDescent="0.25">
      <c r="Z23409">
        <v>400000</v>
      </c>
    </row>
    <row r="23410" spans="26:26" x14ac:dyDescent="0.25">
      <c r="Z23410">
        <v>400000</v>
      </c>
    </row>
    <row r="23411" spans="26:26" x14ac:dyDescent="0.25">
      <c r="Z23411">
        <v>400000</v>
      </c>
    </row>
    <row r="23412" spans="26:26" x14ac:dyDescent="0.25">
      <c r="Z23412">
        <v>400000</v>
      </c>
    </row>
    <row r="23413" spans="26:26" x14ac:dyDescent="0.25">
      <c r="Z23413">
        <v>400000</v>
      </c>
    </row>
    <row r="23414" spans="26:26" x14ac:dyDescent="0.25">
      <c r="Z23414">
        <v>400000</v>
      </c>
    </row>
    <row r="23415" spans="26:26" x14ac:dyDescent="0.25">
      <c r="Z23415">
        <v>400000</v>
      </c>
    </row>
    <row r="23416" spans="26:26" x14ac:dyDescent="0.25">
      <c r="Z23416">
        <v>400000</v>
      </c>
    </row>
    <row r="23417" spans="26:26" x14ac:dyDescent="0.25">
      <c r="Z23417">
        <v>400000</v>
      </c>
    </row>
    <row r="23418" spans="26:26" x14ac:dyDescent="0.25">
      <c r="Z23418">
        <v>400000</v>
      </c>
    </row>
    <row r="23419" spans="26:26" x14ac:dyDescent="0.25">
      <c r="Z23419">
        <v>400000</v>
      </c>
    </row>
    <row r="23420" spans="26:26" x14ac:dyDescent="0.25">
      <c r="Z23420">
        <v>400000</v>
      </c>
    </row>
    <row r="23421" spans="26:26" x14ac:dyDescent="0.25">
      <c r="Z23421">
        <v>400000</v>
      </c>
    </row>
    <row r="23422" spans="26:26" x14ac:dyDescent="0.25">
      <c r="Z23422">
        <v>400000</v>
      </c>
    </row>
    <row r="23423" spans="26:26" x14ac:dyDescent="0.25">
      <c r="Z23423">
        <v>400000</v>
      </c>
    </row>
    <row r="23424" spans="26:26" x14ac:dyDescent="0.25">
      <c r="Z23424">
        <v>400000</v>
      </c>
    </row>
    <row r="23425" spans="26:26" x14ac:dyDescent="0.25">
      <c r="Z23425">
        <v>400000</v>
      </c>
    </row>
    <row r="23426" spans="26:26" x14ac:dyDescent="0.25">
      <c r="Z23426">
        <v>400000</v>
      </c>
    </row>
    <row r="23427" spans="26:26" x14ac:dyDescent="0.25">
      <c r="Z23427">
        <v>400000</v>
      </c>
    </row>
    <row r="23428" spans="26:26" x14ac:dyDescent="0.25">
      <c r="Z23428">
        <v>400000</v>
      </c>
    </row>
    <row r="23429" spans="26:26" x14ac:dyDescent="0.25">
      <c r="Z23429">
        <v>400000</v>
      </c>
    </row>
    <row r="23430" spans="26:26" x14ac:dyDescent="0.25">
      <c r="Z23430">
        <v>400000</v>
      </c>
    </row>
    <row r="23431" spans="26:26" x14ac:dyDescent="0.25">
      <c r="Z23431">
        <v>400000</v>
      </c>
    </row>
    <row r="23432" spans="26:26" x14ac:dyDescent="0.25">
      <c r="Z23432">
        <v>400000</v>
      </c>
    </row>
    <row r="23433" spans="26:26" x14ac:dyDescent="0.25">
      <c r="Z23433">
        <v>400000</v>
      </c>
    </row>
    <row r="23434" spans="26:26" x14ac:dyDescent="0.25">
      <c r="Z23434">
        <v>400000</v>
      </c>
    </row>
    <row r="23435" spans="26:26" x14ac:dyDescent="0.25">
      <c r="Z23435">
        <v>400000</v>
      </c>
    </row>
    <row r="23436" spans="26:26" x14ac:dyDescent="0.25">
      <c r="Z23436">
        <v>400000</v>
      </c>
    </row>
    <row r="23437" spans="26:26" x14ac:dyDescent="0.25">
      <c r="Z23437">
        <v>400000</v>
      </c>
    </row>
    <row r="23438" spans="26:26" x14ac:dyDescent="0.25">
      <c r="Z23438">
        <v>400000</v>
      </c>
    </row>
    <row r="23439" spans="26:26" x14ac:dyDescent="0.25">
      <c r="Z23439">
        <v>400000</v>
      </c>
    </row>
    <row r="23440" spans="26:26" x14ac:dyDescent="0.25">
      <c r="Z23440">
        <v>400000</v>
      </c>
    </row>
    <row r="23441" spans="26:26" x14ac:dyDescent="0.25">
      <c r="Z23441">
        <v>400000</v>
      </c>
    </row>
    <row r="23442" spans="26:26" x14ac:dyDescent="0.25">
      <c r="Z23442">
        <v>400000</v>
      </c>
    </row>
    <row r="23443" spans="26:26" x14ac:dyDescent="0.25">
      <c r="Z23443">
        <v>400000</v>
      </c>
    </row>
    <row r="23444" spans="26:26" x14ac:dyDescent="0.25">
      <c r="Z23444">
        <v>400000</v>
      </c>
    </row>
    <row r="23445" spans="26:26" x14ac:dyDescent="0.25">
      <c r="Z23445">
        <v>400000</v>
      </c>
    </row>
    <row r="23446" spans="26:26" x14ac:dyDescent="0.25">
      <c r="Z23446">
        <v>400000</v>
      </c>
    </row>
    <row r="23447" spans="26:26" x14ac:dyDescent="0.25">
      <c r="Z23447">
        <v>400000</v>
      </c>
    </row>
    <row r="23448" spans="26:26" x14ac:dyDescent="0.25">
      <c r="Z23448">
        <v>400000</v>
      </c>
    </row>
    <row r="23449" spans="26:26" x14ac:dyDescent="0.25">
      <c r="Z23449">
        <v>400000</v>
      </c>
    </row>
    <row r="23450" spans="26:26" x14ac:dyDescent="0.25">
      <c r="Z23450">
        <v>400000</v>
      </c>
    </row>
    <row r="23451" spans="26:26" x14ac:dyDescent="0.25">
      <c r="Z23451">
        <v>400000</v>
      </c>
    </row>
    <row r="23452" spans="26:26" x14ac:dyDescent="0.25">
      <c r="Z23452">
        <v>400000</v>
      </c>
    </row>
    <row r="23453" spans="26:26" x14ac:dyDescent="0.25">
      <c r="Z23453">
        <v>400000</v>
      </c>
    </row>
    <row r="23454" spans="26:26" x14ac:dyDescent="0.25">
      <c r="Z23454">
        <v>400000</v>
      </c>
    </row>
    <row r="23455" spans="26:26" x14ac:dyDescent="0.25">
      <c r="Z23455">
        <v>400000</v>
      </c>
    </row>
    <row r="23456" spans="26:26" x14ac:dyDescent="0.25">
      <c r="Z23456">
        <v>400000</v>
      </c>
    </row>
    <row r="23457" spans="26:26" x14ac:dyDescent="0.25">
      <c r="Z23457">
        <v>400000</v>
      </c>
    </row>
    <row r="23458" spans="26:26" x14ac:dyDescent="0.25">
      <c r="Z23458">
        <v>400000</v>
      </c>
    </row>
    <row r="23459" spans="26:26" x14ac:dyDescent="0.25">
      <c r="Z23459">
        <v>400000</v>
      </c>
    </row>
    <row r="23460" spans="26:26" x14ac:dyDescent="0.25">
      <c r="Z23460">
        <v>400000</v>
      </c>
    </row>
    <row r="23461" spans="26:26" x14ac:dyDescent="0.25">
      <c r="Z23461">
        <v>400000</v>
      </c>
    </row>
    <row r="23462" spans="26:26" x14ac:dyDescent="0.25">
      <c r="Z23462">
        <v>400000</v>
      </c>
    </row>
    <row r="23463" spans="26:26" x14ac:dyDescent="0.25">
      <c r="Z23463">
        <v>400000</v>
      </c>
    </row>
    <row r="23464" spans="26:26" x14ac:dyDescent="0.25">
      <c r="Z23464">
        <v>400000</v>
      </c>
    </row>
    <row r="23465" spans="26:26" x14ac:dyDescent="0.25">
      <c r="Z23465">
        <v>400000</v>
      </c>
    </row>
    <row r="23466" spans="26:26" x14ac:dyDescent="0.25">
      <c r="Z23466">
        <v>400000</v>
      </c>
    </row>
    <row r="23467" spans="26:26" x14ac:dyDescent="0.25">
      <c r="Z23467">
        <v>400000</v>
      </c>
    </row>
    <row r="23468" spans="26:26" x14ac:dyDescent="0.25">
      <c r="Z23468">
        <v>400000</v>
      </c>
    </row>
    <row r="23469" spans="26:26" x14ac:dyDescent="0.25">
      <c r="Z23469">
        <v>400000</v>
      </c>
    </row>
    <row r="23470" spans="26:26" x14ac:dyDescent="0.25">
      <c r="Z23470">
        <v>400000</v>
      </c>
    </row>
    <row r="23471" spans="26:26" x14ac:dyDescent="0.25">
      <c r="Z23471">
        <v>400000</v>
      </c>
    </row>
    <row r="23472" spans="26:26" x14ac:dyDescent="0.25">
      <c r="Z23472">
        <v>400000</v>
      </c>
    </row>
    <row r="23473" spans="26:26" x14ac:dyDescent="0.25">
      <c r="Z23473">
        <v>400000</v>
      </c>
    </row>
    <row r="23474" spans="26:26" x14ac:dyDescent="0.25">
      <c r="Z23474">
        <v>400000</v>
      </c>
    </row>
    <row r="23475" spans="26:26" x14ac:dyDescent="0.25">
      <c r="Z23475">
        <v>400000</v>
      </c>
    </row>
    <row r="23476" spans="26:26" x14ac:dyDescent="0.25">
      <c r="Z23476">
        <v>400000</v>
      </c>
    </row>
    <row r="23477" spans="26:26" x14ac:dyDescent="0.25">
      <c r="Z23477">
        <v>400000</v>
      </c>
    </row>
    <row r="23478" spans="26:26" x14ac:dyDescent="0.25">
      <c r="Z23478">
        <v>400000</v>
      </c>
    </row>
    <row r="23479" spans="26:26" x14ac:dyDescent="0.25">
      <c r="Z23479">
        <v>400000</v>
      </c>
    </row>
    <row r="23480" spans="26:26" x14ac:dyDescent="0.25">
      <c r="Z23480">
        <v>400000</v>
      </c>
    </row>
    <row r="23481" spans="26:26" x14ac:dyDescent="0.25">
      <c r="Z23481">
        <v>400000</v>
      </c>
    </row>
    <row r="23482" spans="26:26" x14ac:dyDescent="0.25">
      <c r="Z23482">
        <v>400000</v>
      </c>
    </row>
    <row r="23483" spans="26:26" x14ac:dyDescent="0.25">
      <c r="Z23483">
        <v>400000</v>
      </c>
    </row>
    <row r="23484" spans="26:26" x14ac:dyDescent="0.25">
      <c r="Z23484">
        <v>400000</v>
      </c>
    </row>
    <row r="23485" spans="26:26" x14ac:dyDescent="0.25">
      <c r="Z23485">
        <v>400000</v>
      </c>
    </row>
    <row r="23486" spans="26:26" x14ac:dyDescent="0.25">
      <c r="Z23486">
        <v>400000</v>
      </c>
    </row>
    <row r="23487" spans="26:26" x14ac:dyDescent="0.25">
      <c r="Z23487">
        <v>400000</v>
      </c>
    </row>
    <row r="23488" spans="26:26" x14ac:dyDescent="0.25">
      <c r="Z23488">
        <v>400000</v>
      </c>
    </row>
    <row r="23489" spans="26:26" x14ac:dyDescent="0.25">
      <c r="Z23489">
        <v>400000</v>
      </c>
    </row>
    <row r="23490" spans="26:26" x14ac:dyDescent="0.25">
      <c r="Z23490">
        <v>400000</v>
      </c>
    </row>
    <row r="23491" spans="26:26" x14ac:dyDescent="0.25">
      <c r="Z23491">
        <v>400000</v>
      </c>
    </row>
    <row r="23492" spans="26:26" x14ac:dyDescent="0.25">
      <c r="Z23492">
        <v>400000</v>
      </c>
    </row>
    <row r="23493" spans="26:26" x14ac:dyDescent="0.25">
      <c r="Z23493">
        <v>400000</v>
      </c>
    </row>
    <row r="23494" spans="26:26" x14ac:dyDescent="0.25">
      <c r="Z23494">
        <v>400000</v>
      </c>
    </row>
    <row r="23495" spans="26:26" x14ac:dyDescent="0.25">
      <c r="Z23495">
        <v>400000</v>
      </c>
    </row>
    <row r="23496" spans="26:26" x14ac:dyDescent="0.25">
      <c r="Z23496">
        <v>400000</v>
      </c>
    </row>
    <row r="23497" spans="26:26" x14ac:dyDescent="0.25">
      <c r="Z23497">
        <v>400000</v>
      </c>
    </row>
    <row r="23498" spans="26:26" x14ac:dyDescent="0.25">
      <c r="Z23498">
        <v>400000</v>
      </c>
    </row>
    <row r="23499" spans="26:26" x14ac:dyDescent="0.25">
      <c r="Z23499">
        <v>400000</v>
      </c>
    </row>
    <row r="23500" spans="26:26" x14ac:dyDescent="0.25">
      <c r="Z23500">
        <v>400000</v>
      </c>
    </row>
    <row r="23501" spans="26:26" x14ac:dyDescent="0.25">
      <c r="Z23501">
        <v>400000</v>
      </c>
    </row>
    <row r="23502" spans="26:26" x14ac:dyDescent="0.25">
      <c r="Z23502">
        <v>400000</v>
      </c>
    </row>
    <row r="23503" spans="26:26" x14ac:dyDescent="0.25">
      <c r="Z23503">
        <v>400000</v>
      </c>
    </row>
    <row r="23504" spans="26:26" x14ac:dyDescent="0.25">
      <c r="Z23504">
        <v>400000</v>
      </c>
    </row>
    <row r="23505" spans="26:26" x14ac:dyDescent="0.25">
      <c r="Z23505">
        <v>400000</v>
      </c>
    </row>
    <row r="23506" spans="26:26" x14ac:dyDescent="0.25">
      <c r="Z23506">
        <v>400000</v>
      </c>
    </row>
    <row r="23507" spans="26:26" x14ac:dyDescent="0.25">
      <c r="Z23507">
        <v>400000</v>
      </c>
    </row>
    <row r="23508" spans="26:26" x14ac:dyDescent="0.25">
      <c r="Z23508">
        <v>400000</v>
      </c>
    </row>
    <row r="23509" spans="26:26" x14ac:dyDescent="0.25">
      <c r="Z23509">
        <v>400000</v>
      </c>
    </row>
    <row r="23510" spans="26:26" x14ac:dyDescent="0.25">
      <c r="Z23510">
        <v>400000</v>
      </c>
    </row>
    <row r="23511" spans="26:26" x14ac:dyDescent="0.25">
      <c r="Z23511">
        <v>400000</v>
      </c>
    </row>
    <row r="23512" spans="26:26" x14ac:dyDescent="0.25">
      <c r="Z23512">
        <v>400000</v>
      </c>
    </row>
    <row r="23513" spans="26:26" x14ac:dyDescent="0.25">
      <c r="Z23513">
        <v>400000</v>
      </c>
    </row>
    <row r="23514" spans="26:26" x14ac:dyDescent="0.25">
      <c r="Z23514">
        <v>400000</v>
      </c>
    </row>
    <row r="23515" spans="26:26" x14ac:dyDescent="0.25">
      <c r="Z23515">
        <v>400000</v>
      </c>
    </row>
    <row r="23516" spans="26:26" x14ac:dyDescent="0.25">
      <c r="Z23516">
        <v>400000</v>
      </c>
    </row>
    <row r="23517" spans="26:26" x14ac:dyDescent="0.25">
      <c r="Z23517">
        <v>400000</v>
      </c>
    </row>
    <row r="23518" spans="26:26" x14ac:dyDescent="0.25">
      <c r="Z23518">
        <v>400000</v>
      </c>
    </row>
    <row r="23519" spans="26:26" x14ac:dyDescent="0.25">
      <c r="Z23519">
        <v>400000</v>
      </c>
    </row>
    <row r="23520" spans="26:26" x14ac:dyDescent="0.25">
      <c r="Z23520">
        <v>400000</v>
      </c>
    </row>
    <row r="23521" spans="26:26" x14ac:dyDescent="0.25">
      <c r="Z23521">
        <v>400000</v>
      </c>
    </row>
    <row r="23522" spans="26:26" x14ac:dyDescent="0.25">
      <c r="Z23522">
        <v>400000</v>
      </c>
    </row>
    <row r="23523" spans="26:26" x14ac:dyDescent="0.25">
      <c r="Z23523">
        <v>400000</v>
      </c>
    </row>
    <row r="23524" spans="26:26" x14ac:dyDescent="0.25">
      <c r="Z23524">
        <v>400000</v>
      </c>
    </row>
    <row r="23525" spans="26:26" x14ac:dyDescent="0.25">
      <c r="Z23525">
        <v>400000</v>
      </c>
    </row>
    <row r="23526" spans="26:26" x14ac:dyDescent="0.25">
      <c r="Z23526">
        <v>400000</v>
      </c>
    </row>
    <row r="23527" spans="26:26" x14ac:dyDescent="0.25">
      <c r="Z23527">
        <v>400000</v>
      </c>
    </row>
    <row r="23528" spans="26:26" x14ac:dyDescent="0.25">
      <c r="Z23528">
        <v>400000</v>
      </c>
    </row>
    <row r="23529" spans="26:26" x14ac:dyDescent="0.25">
      <c r="Z23529">
        <v>400000</v>
      </c>
    </row>
    <row r="23530" spans="26:26" x14ac:dyDescent="0.25">
      <c r="Z23530">
        <v>400000</v>
      </c>
    </row>
    <row r="23531" spans="26:26" x14ac:dyDescent="0.25">
      <c r="Z23531">
        <v>400000</v>
      </c>
    </row>
    <row r="23532" spans="26:26" x14ac:dyDescent="0.25">
      <c r="Z23532">
        <v>400000</v>
      </c>
    </row>
    <row r="23533" spans="26:26" x14ac:dyDescent="0.25">
      <c r="Z23533">
        <v>400000</v>
      </c>
    </row>
    <row r="23534" spans="26:26" x14ac:dyDescent="0.25">
      <c r="Z23534">
        <v>400000</v>
      </c>
    </row>
    <row r="23535" spans="26:26" x14ac:dyDescent="0.25">
      <c r="Z23535">
        <v>400000</v>
      </c>
    </row>
    <row r="23536" spans="26:26" x14ac:dyDescent="0.25">
      <c r="Z23536">
        <v>400000</v>
      </c>
    </row>
    <row r="23537" spans="26:26" x14ac:dyDescent="0.25">
      <c r="Z23537">
        <v>400000</v>
      </c>
    </row>
    <row r="23538" spans="26:26" x14ac:dyDescent="0.25">
      <c r="Z23538">
        <v>400000</v>
      </c>
    </row>
    <row r="23539" spans="26:26" x14ac:dyDescent="0.25">
      <c r="Z23539">
        <v>400000</v>
      </c>
    </row>
    <row r="23540" spans="26:26" x14ac:dyDescent="0.25">
      <c r="Z23540">
        <v>400000</v>
      </c>
    </row>
    <row r="23541" spans="26:26" x14ac:dyDescent="0.25">
      <c r="Z23541">
        <v>400000</v>
      </c>
    </row>
    <row r="23542" spans="26:26" x14ac:dyDescent="0.25">
      <c r="Z23542">
        <v>400000</v>
      </c>
    </row>
    <row r="23543" spans="26:26" x14ac:dyDescent="0.25">
      <c r="Z23543">
        <v>400000</v>
      </c>
    </row>
    <row r="23544" spans="26:26" x14ac:dyDescent="0.25">
      <c r="Z23544">
        <v>400000</v>
      </c>
    </row>
    <row r="23545" spans="26:26" x14ac:dyDescent="0.25">
      <c r="Z23545">
        <v>400000</v>
      </c>
    </row>
    <row r="23546" spans="26:26" x14ac:dyDescent="0.25">
      <c r="Z23546">
        <v>400000</v>
      </c>
    </row>
    <row r="23547" spans="26:26" x14ac:dyDescent="0.25">
      <c r="Z23547">
        <v>400000</v>
      </c>
    </row>
    <row r="23548" spans="26:26" x14ac:dyDescent="0.25">
      <c r="Z23548">
        <v>400000</v>
      </c>
    </row>
    <row r="23549" spans="26:26" x14ac:dyDescent="0.25">
      <c r="Z23549">
        <v>400000</v>
      </c>
    </row>
    <row r="23550" spans="26:26" x14ac:dyDescent="0.25">
      <c r="Z23550">
        <v>400000</v>
      </c>
    </row>
    <row r="23551" spans="26:26" x14ac:dyDescent="0.25">
      <c r="Z23551">
        <v>400000</v>
      </c>
    </row>
    <row r="23552" spans="26:26" x14ac:dyDescent="0.25">
      <c r="Z23552">
        <v>400000</v>
      </c>
    </row>
    <row r="23553" spans="26:26" x14ac:dyDescent="0.25">
      <c r="Z23553">
        <v>400000</v>
      </c>
    </row>
    <row r="23554" spans="26:26" x14ac:dyDescent="0.25">
      <c r="Z23554">
        <v>400000</v>
      </c>
    </row>
    <row r="23555" spans="26:26" x14ac:dyDescent="0.25">
      <c r="Z23555">
        <v>400000</v>
      </c>
    </row>
    <row r="23556" spans="26:26" x14ac:dyDescent="0.25">
      <c r="Z23556">
        <v>400000</v>
      </c>
    </row>
    <row r="23557" spans="26:26" x14ac:dyDescent="0.25">
      <c r="Z23557">
        <v>400000</v>
      </c>
    </row>
    <row r="23558" spans="26:26" x14ac:dyDescent="0.25">
      <c r="Z23558">
        <v>400000</v>
      </c>
    </row>
    <row r="23559" spans="26:26" x14ac:dyDescent="0.25">
      <c r="Z23559">
        <v>400000</v>
      </c>
    </row>
    <row r="23560" spans="26:26" x14ac:dyDescent="0.25">
      <c r="Z23560">
        <v>400000</v>
      </c>
    </row>
    <row r="23561" spans="26:26" x14ac:dyDescent="0.25">
      <c r="Z23561">
        <v>400000</v>
      </c>
    </row>
    <row r="23562" spans="26:26" x14ac:dyDescent="0.25">
      <c r="Z23562">
        <v>400000</v>
      </c>
    </row>
    <row r="23563" spans="26:26" x14ac:dyDescent="0.25">
      <c r="Z23563">
        <v>400000</v>
      </c>
    </row>
    <row r="23564" spans="26:26" x14ac:dyDescent="0.25">
      <c r="Z23564">
        <v>400000</v>
      </c>
    </row>
    <row r="23565" spans="26:26" x14ac:dyDescent="0.25">
      <c r="Z23565">
        <v>400000</v>
      </c>
    </row>
    <row r="23566" spans="26:26" x14ac:dyDescent="0.25">
      <c r="Z23566">
        <v>400000</v>
      </c>
    </row>
    <row r="23567" spans="26:26" x14ac:dyDescent="0.25">
      <c r="Z23567">
        <v>400000</v>
      </c>
    </row>
    <row r="23568" spans="26:26" x14ac:dyDescent="0.25">
      <c r="Z23568">
        <v>400000</v>
      </c>
    </row>
    <row r="23569" spans="26:26" x14ac:dyDescent="0.25">
      <c r="Z23569">
        <v>400000</v>
      </c>
    </row>
    <row r="23570" spans="26:26" x14ac:dyDescent="0.25">
      <c r="Z23570">
        <v>400000</v>
      </c>
    </row>
    <row r="23571" spans="26:26" x14ac:dyDescent="0.25">
      <c r="Z23571">
        <v>400000</v>
      </c>
    </row>
    <row r="23572" spans="26:26" x14ac:dyDescent="0.25">
      <c r="Z23572">
        <v>400000</v>
      </c>
    </row>
    <row r="23573" spans="26:26" x14ac:dyDescent="0.25">
      <c r="Z23573">
        <v>400000</v>
      </c>
    </row>
    <row r="23574" spans="26:26" x14ac:dyDescent="0.25">
      <c r="Z23574">
        <v>400000</v>
      </c>
    </row>
    <row r="23575" spans="26:26" x14ac:dyDescent="0.25">
      <c r="Z23575">
        <v>400000</v>
      </c>
    </row>
    <row r="23576" spans="26:26" x14ac:dyDescent="0.25">
      <c r="Z23576">
        <v>400000</v>
      </c>
    </row>
    <row r="23577" spans="26:26" x14ac:dyDescent="0.25">
      <c r="Z23577">
        <v>400000</v>
      </c>
    </row>
    <row r="23578" spans="26:26" x14ac:dyDescent="0.25">
      <c r="Z23578">
        <v>400000</v>
      </c>
    </row>
    <row r="23579" spans="26:26" x14ac:dyDescent="0.25">
      <c r="Z23579">
        <v>400000</v>
      </c>
    </row>
    <row r="23580" spans="26:26" x14ac:dyDescent="0.25">
      <c r="Z23580">
        <v>400000</v>
      </c>
    </row>
    <row r="23581" spans="26:26" x14ac:dyDescent="0.25">
      <c r="Z23581">
        <v>400000</v>
      </c>
    </row>
    <row r="23582" spans="26:26" x14ac:dyDescent="0.25">
      <c r="Z23582">
        <v>400000</v>
      </c>
    </row>
    <row r="23583" spans="26:26" x14ac:dyDescent="0.25">
      <c r="Z23583">
        <v>400000</v>
      </c>
    </row>
    <row r="23584" spans="26:26" x14ac:dyDescent="0.25">
      <c r="Z23584">
        <v>400000</v>
      </c>
    </row>
    <row r="23585" spans="26:26" x14ac:dyDescent="0.25">
      <c r="Z23585">
        <v>400000</v>
      </c>
    </row>
    <row r="23586" spans="26:26" x14ac:dyDescent="0.25">
      <c r="Z23586">
        <v>400000</v>
      </c>
    </row>
    <row r="23587" spans="26:26" x14ac:dyDescent="0.25">
      <c r="Z23587">
        <v>400000</v>
      </c>
    </row>
    <row r="23588" spans="26:26" x14ac:dyDescent="0.25">
      <c r="Z23588">
        <v>400000</v>
      </c>
    </row>
    <row r="23589" spans="26:26" x14ac:dyDescent="0.25">
      <c r="Z23589">
        <v>400000</v>
      </c>
    </row>
    <row r="23590" spans="26:26" x14ac:dyDescent="0.25">
      <c r="Z23590">
        <v>400000</v>
      </c>
    </row>
    <row r="23591" spans="26:26" x14ac:dyDescent="0.25">
      <c r="Z23591">
        <v>400000</v>
      </c>
    </row>
    <row r="23592" spans="26:26" x14ac:dyDescent="0.25">
      <c r="Z23592">
        <v>400000</v>
      </c>
    </row>
    <row r="23593" spans="26:26" x14ac:dyDescent="0.25">
      <c r="Z23593">
        <v>400000</v>
      </c>
    </row>
    <row r="23594" spans="26:26" x14ac:dyDescent="0.25">
      <c r="Z23594">
        <v>400000</v>
      </c>
    </row>
    <row r="23595" spans="26:26" x14ac:dyDescent="0.25">
      <c r="Z23595">
        <v>400000</v>
      </c>
    </row>
    <row r="23596" spans="26:26" x14ac:dyDescent="0.25">
      <c r="Z23596">
        <v>400000</v>
      </c>
    </row>
    <row r="23597" spans="26:26" x14ac:dyDescent="0.25">
      <c r="Z23597">
        <v>400000</v>
      </c>
    </row>
    <row r="23598" spans="26:26" x14ac:dyDescent="0.25">
      <c r="Z23598">
        <v>400000</v>
      </c>
    </row>
    <row r="23599" spans="26:26" x14ac:dyDescent="0.25">
      <c r="Z23599">
        <v>400000</v>
      </c>
    </row>
    <row r="23600" spans="26:26" x14ac:dyDescent="0.25">
      <c r="Z23600">
        <v>400000</v>
      </c>
    </row>
    <row r="23601" spans="26:26" x14ac:dyDescent="0.25">
      <c r="Z23601">
        <v>400000</v>
      </c>
    </row>
    <row r="23602" spans="26:26" x14ac:dyDescent="0.25">
      <c r="Z23602">
        <v>400000</v>
      </c>
    </row>
    <row r="23603" spans="26:26" x14ac:dyDescent="0.25">
      <c r="Z23603">
        <v>400000</v>
      </c>
    </row>
    <row r="23604" spans="26:26" x14ac:dyDescent="0.25">
      <c r="Z23604">
        <v>400000</v>
      </c>
    </row>
    <row r="23605" spans="26:26" x14ac:dyDescent="0.25">
      <c r="Z23605">
        <v>400000</v>
      </c>
    </row>
    <row r="23606" spans="26:26" x14ac:dyDescent="0.25">
      <c r="Z23606">
        <v>400000</v>
      </c>
    </row>
    <row r="23607" spans="26:26" x14ac:dyDescent="0.25">
      <c r="Z23607">
        <v>400000</v>
      </c>
    </row>
    <row r="23608" spans="26:26" x14ac:dyDescent="0.25">
      <c r="Z23608">
        <v>400000</v>
      </c>
    </row>
    <row r="23609" spans="26:26" x14ac:dyDescent="0.25">
      <c r="Z23609">
        <v>400000</v>
      </c>
    </row>
    <row r="23610" spans="26:26" x14ac:dyDescent="0.25">
      <c r="Z23610">
        <v>400000</v>
      </c>
    </row>
    <row r="23611" spans="26:26" x14ac:dyDescent="0.25">
      <c r="Z23611">
        <v>400000</v>
      </c>
    </row>
    <row r="23612" spans="26:26" x14ac:dyDescent="0.25">
      <c r="Z23612">
        <v>400000</v>
      </c>
    </row>
    <row r="23613" spans="26:26" x14ac:dyDescent="0.25">
      <c r="Z23613">
        <v>400000</v>
      </c>
    </row>
    <row r="23614" spans="26:26" x14ac:dyDescent="0.25">
      <c r="Z23614">
        <v>400000</v>
      </c>
    </row>
    <row r="23615" spans="26:26" x14ac:dyDescent="0.25">
      <c r="Z23615">
        <v>400000</v>
      </c>
    </row>
    <row r="23616" spans="26:26" x14ac:dyDescent="0.25">
      <c r="Z23616">
        <v>400000</v>
      </c>
    </row>
    <row r="23617" spans="26:26" x14ac:dyDescent="0.25">
      <c r="Z23617">
        <v>400000</v>
      </c>
    </row>
    <row r="23618" spans="26:26" x14ac:dyDescent="0.25">
      <c r="Z23618">
        <v>400000</v>
      </c>
    </row>
    <row r="23619" spans="26:26" x14ac:dyDescent="0.25">
      <c r="Z23619">
        <v>400000</v>
      </c>
    </row>
    <row r="23620" spans="26:26" x14ac:dyDescent="0.25">
      <c r="Z23620">
        <v>400000</v>
      </c>
    </row>
    <row r="23621" spans="26:26" x14ac:dyDescent="0.25">
      <c r="Z23621">
        <v>400000</v>
      </c>
    </row>
    <row r="23622" spans="26:26" x14ac:dyDescent="0.25">
      <c r="Z23622">
        <v>400000</v>
      </c>
    </row>
    <row r="23623" spans="26:26" x14ac:dyDescent="0.25">
      <c r="Z23623">
        <v>400000</v>
      </c>
    </row>
    <row r="23624" spans="26:26" x14ac:dyDescent="0.25">
      <c r="Z23624">
        <v>400000</v>
      </c>
    </row>
    <row r="23625" spans="26:26" x14ac:dyDescent="0.25">
      <c r="Z23625">
        <v>400000</v>
      </c>
    </row>
    <row r="23626" spans="26:26" x14ac:dyDescent="0.25">
      <c r="Z23626">
        <v>400000</v>
      </c>
    </row>
    <row r="23627" spans="26:26" x14ac:dyDescent="0.25">
      <c r="Z23627">
        <v>400000</v>
      </c>
    </row>
    <row r="23628" spans="26:26" x14ac:dyDescent="0.25">
      <c r="Z23628">
        <v>400000</v>
      </c>
    </row>
    <row r="23629" spans="26:26" x14ac:dyDescent="0.25">
      <c r="Z23629">
        <v>400000</v>
      </c>
    </row>
    <row r="23630" spans="26:26" x14ac:dyDescent="0.25">
      <c r="Z23630">
        <v>400000</v>
      </c>
    </row>
    <row r="23631" spans="26:26" x14ac:dyDescent="0.25">
      <c r="Z23631">
        <v>400000</v>
      </c>
    </row>
    <row r="23632" spans="26:26" x14ac:dyDescent="0.25">
      <c r="Z23632">
        <v>400000</v>
      </c>
    </row>
    <row r="23633" spans="26:26" x14ac:dyDescent="0.25">
      <c r="Z23633">
        <v>400000</v>
      </c>
    </row>
    <row r="23634" spans="26:26" x14ac:dyDescent="0.25">
      <c r="Z23634">
        <v>400000</v>
      </c>
    </row>
    <row r="23635" spans="26:26" x14ac:dyDescent="0.25">
      <c r="Z23635">
        <v>400000</v>
      </c>
    </row>
    <row r="23636" spans="26:26" x14ac:dyDescent="0.25">
      <c r="Z23636">
        <v>400000</v>
      </c>
    </row>
    <row r="23637" spans="26:26" x14ac:dyDescent="0.25">
      <c r="Z23637">
        <v>400000</v>
      </c>
    </row>
    <row r="23638" spans="26:26" x14ac:dyDescent="0.25">
      <c r="Z23638">
        <v>400000</v>
      </c>
    </row>
    <row r="23639" spans="26:26" x14ac:dyDescent="0.25">
      <c r="Z23639">
        <v>400000</v>
      </c>
    </row>
    <row r="23640" spans="26:26" x14ac:dyDescent="0.25">
      <c r="Z23640">
        <v>400000</v>
      </c>
    </row>
    <row r="23641" spans="26:26" x14ac:dyDescent="0.25">
      <c r="Z23641">
        <v>400000</v>
      </c>
    </row>
    <row r="23642" spans="26:26" x14ac:dyDescent="0.25">
      <c r="Z23642">
        <v>400000</v>
      </c>
    </row>
    <row r="23643" spans="26:26" x14ac:dyDescent="0.25">
      <c r="Z23643">
        <v>400000</v>
      </c>
    </row>
    <row r="23644" spans="26:26" x14ac:dyDescent="0.25">
      <c r="Z23644">
        <v>400000</v>
      </c>
    </row>
    <row r="23645" spans="26:26" x14ac:dyDescent="0.25">
      <c r="Z23645">
        <v>400000</v>
      </c>
    </row>
    <row r="23646" spans="26:26" x14ac:dyDescent="0.25">
      <c r="Z23646">
        <v>400000</v>
      </c>
    </row>
    <row r="23647" spans="26:26" x14ac:dyDescent="0.25">
      <c r="Z23647">
        <v>400000</v>
      </c>
    </row>
    <row r="23648" spans="26:26" x14ac:dyDescent="0.25">
      <c r="Z23648">
        <v>400000</v>
      </c>
    </row>
    <row r="23649" spans="26:26" x14ac:dyDescent="0.25">
      <c r="Z23649">
        <v>400000</v>
      </c>
    </row>
    <row r="23650" spans="26:26" x14ac:dyDescent="0.25">
      <c r="Z23650">
        <v>400000</v>
      </c>
    </row>
    <row r="23651" spans="26:26" x14ac:dyDescent="0.25">
      <c r="Z23651">
        <v>400000</v>
      </c>
    </row>
    <row r="23652" spans="26:26" x14ac:dyDescent="0.25">
      <c r="Z23652">
        <v>400000</v>
      </c>
    </row>
    <row r="23653" spans="26:26" x14ac:dyDescent="0.25">
      <c r="Z23653">
        <v>400000</v>
      </c>
    </row>
    <row r="23654" spans="26:26" x14ac:dyDescent="0.25">
      <c r="Z23654">
        <v>400000</v>
      </c>
    </row>
    <row r="23655" spans="26:26" x14ac:dyDescent="0.25">
      <c r="Z23655">
        <v>400000</v>
      </c>
    </row>
    <row r="23656" spans="26:26" x14ac:dyDescent="0.25">
      <c r="Z23656">
        <v>400000</v>
      </c>
    </row>
    <row r="23657" spans="26:26" x14ac:dyDescent="0.25">
      <c r="Z23657">
        <v>400000</v>
      </c>
    </row>
    <row r="23658" spans="26:26" x14ac:dyDescent="0.25">
      <c r="Z23658">
        <v>400000</v>
      </c>
    </row>
    <row r="23659" spans="26:26" x14ac:dyDescent="0.25">
      <c r="Z23659">
        <v>400000</v>
      </c>
    </row>
    <row r="23660" spans="26:26" x14ac:dyDescent="0.25">
      <c r="Z23660">
        <v>400000</v>
      </c>
    </row>
    <row r="23661" spans="26:26" x14ac:dyDescent="0.25">
      <c r="Z23661">
        <v>400000</v>
      </c>
    </row>
    <row r="23662" spans="26:26" x14ac:dyDescent="0.25">
      <c r="Z23662">
        <v>400000</v>
      </c>
    </row>
    <row r="23663" spans="26:26" x14ac:dyDescent="0.25">
      <c r="Z23663">
        <v>400000</v>
      </c>
    </row>
    <row r="23664" spans="26:26" x14ac:dyDescent="0.25">
      <c r="Z23664">
        <v>400000</v>
      </c>
    </row>
    <row r="23665" spans="26:26" x14ac:dyDescent="0.25">
      <c r="Z23665">
        <v>400000</v>
      </c>
    </row>
    <row r="23666" spans="26:26" x14ac:dyDescent="0.25">
      <c r="Z23666">
        <v>400000</v>
      </c>
    </row>
    <row r="23667" spans="26:26" x14ac:dyDescent="0.25">
      <c r="Z23667">
        <v>400000</v>
      </c>
    </row>
    <row r="23668" spans="26:26" x14ac:dyDescent="0.25">
      <c r="Z23668">
        <v>400000</v>
      </c>
    </row>
    <row r="23669" spans="26:26" x14ac:dyDescent="0.25">
      <c r="Z23669">
        <v>400000</v>
      </c>
    </row>
    <row r="23670" spans="26:26" x14ac:dyDescent="0.25">
      <c r="Z23670">
        <v>400000</v>
      </c>
    </row>
    <row r="23671" spans="26:26" x14ac:dyDescent="0.25">
      <c r="Z23671">
        <v>400000</v>
      </c>
    </row>
    <row r="23672" spans="26:26" x14ac:dyDescent="0.25">
      <c r="Z23672">
        <v>400000</v>
      </c>
    </row>
    <row r="23673" spans="26:26" x14ac:dyDescent="0.25">
      <c r="Z23673">
        <v>400000</v>
      </c>
    </row>
    <row r="23674" spans="26:26" x14ac:dyDescent="0.25">
      <c r="Z23674">
        <v>400000</v>
      </c>
    </row>
    <row r="23675" spans="26:26" x14ac:dyDescent="0.25">
      <c r="Z23675">
        <v>400000</v>
      </c>
    </row>
    <row r="23676" spans="26:26" x14ac:dyDescent="0.25">
      <c r="Z23676">
        <v>400000</v>
      </c>
    </row>
    <row r="23677" spans="26:26" x14ac:dyDescent="0.25">
      <c r="Z23677">
        <v>400000</v>
      </c>
    </row>
    <row r="23678" spans="26:26" x14ac:dyDescent="0.25">
      <c r="Z23678">
        <v>400000</v>
      </c>
    </row>
    <row r="23679" spans="26:26" x14ac:dyDescent="0.25">
      <c r="Z23679">
        <v>400000</v>
      </c>
    </row>
    <row r="23680" spans="26:26" x14ac:dyDescent="0.25">
      <c r="Z23680">
        <v>400000</v>
      </c>
    </row>
    <row r="23681" spans="26:26" x14ac:dyDescent="0.25">
      <c r="Z23681">
        <v>400000</v>
      </c>
    </row>
    <row r="23682" spans="26:26" x14ac:dyDescent="0.25">
      <c r="Z23682">
        <v>400000</v>
      </c>
    </row>
    <row r="23683" spans="26:26" x14ac:dyDescent="0.25">
      <c r="Z23683">
        <v>400000</v>
      </c>
    </row>
    <row r="23684" spans="26:26" x14ac:dyDescent="0.25">
      <c r="Z23684">
        <v>400000</v>
      </c>
    </row>
    <row r="23685" spans="26:26" x14ac:dyDescent="0.25">
      <c r="Z23685">
        <v>400000</v>
      </c>
    </row>
    <row r="23686" spans="26:26" x14ac:dyDescent="0.25">
      <c r="Z23686">
        <v>400000</v>
      </c>
    </row>
    <row r="23687" spans="26:26" x14ac:dyDescent="0.25">
      <c r="Z23687">
        <v>400000</v>
      </c>
    </row>
    <row r="23688" spans="26:26" x14ac:dyDescent="0.25">
      <c r="Z23688">
        <v>400000</v>
      </c>
    </row>
    <row r="23689" spans="26:26" x14ac:dyDescent="0.25">
      <c r="Z23689">
        <v>400000</v>
      </c>
    </row>
    <row r="23690" spans="26:26" x14ac:dyDescent="0.25">
      <c r="Z23690">
        <v>400000</v>
      </c>
    </row>
    <row r="23691" spans="26:26" x14ac:dyDescent="0.25">
      <c r="Z23691">
        <v>400000</v>
      </c>
    </row>
    <row r="23692" spans="26:26" x14ac:dyDescent="0.25">
      <c r="Z23692">
        <v>400000</v>
      </c>
    </row>
    <row r="23693" spans="26:26" x14ac:dyDescent="0.25">
      <c r="Z23693">
        <v>400000</v>
      </c>
    </row>
    <row r="23694" spans="26:26" x14ac:dyDescent="0.25">
      <c r="Z23694">
        <v>400000</v>
      </c>
    </row>
    <row r="23695" spans="26:26" x14ac:dyDescent="0.25">
      <c r="Z23695">
        <v>400000</v>
      </c>
    </row>
    <row r="23696" spans="26:26" x14ac:dyDescent="0.25">
      <c r="Z23696">
        <v>400000</v>
      </c>
    </row>
    <row r="23697" spans="26:26" x14ac:dyDescent="0.25">
      <c r="Z23697">
        <v>400000</v>
      </c>
    </row>
    <row r="23698" spans="26:26" x14ac:dyDescent="0.25">
      <c r="Z23698">
        <v>400000</v>
      </c>
    </row>
    <row r="23699" spans="26:26" x14ac:dyDescent="0.25">
      <c r="Z23699">
        <v>400000</v>
      </c>
    </row>
    <row r="23700" spans="26:26" x14ac:dyDescent="0.25">
      <c r="Z23700">
        <v>400000</v>
      </c>
    </row>
    <row r="23701" spans="26:26" x14ac:dyDescent="0.25">
      <c r="Z23701">
        <v>400000</v>
      </c>
    </row>
    <row r="23702" spans="26:26" x14ac:dyDescent="0.25">
      <c r="Z23702">
        <v>400000</v>
      </c>
    </row>
    <row r="23703" spans="26:26" x14ac:dyDescent="0.25">
      <c r="Z23703">
        <v>400000</v>
      </c>
    </row>
    <row r="23704" spans="26:26" x14ac:dyDescent="0.25">
      <c r="Z23704">
        <v>400000</v>
      </c>
    </row>
    <row r="23705" spans="26:26" x14ac:dyDescent="0.25">
      <c r="Z23705">
        <v>400000</v>
      </c>
    </row>
    <row r="23706" spans="26:26" x14ac:dyDescent="0.25">
      <c r="Z23706">
        <v>400000</v>
      </c>
    </row>
    <row r="23707" spans="26:26" x14ac:dyDescent="0.25">
      <c r="Z23707">
        <v>400000</v>
      </c>
    </row>
    <row r="23708" spans="26:26" x14ac:dyDescent="0.25">
      <c r="Z23708">
        <v>400000</v>
      </c>
    </row>
    <row r="23709" spans="26:26" x14ac:dyDescent="0.25">
      <c r="Z23709">
        <v>400000</v>
      </c>
    </row>
    <row r="23710" spans="26:26" x14ac:dyDescent="0.25">
      <c r="Z23710">
        <v>400000</v>
      </c>
    </row>
    <row r="23711" spans="26:26" x14ac:dyDescent="0.25">
      <c r="Z23711">
        <v>400000</v>
      </c>
    </row>
    <row r="23712" spans="26:26" x14ac:dyDescent="0.25">
      <c r="Z23712">
        <v>400000</v>
      </c>
    </row>
    <row r="23713" spans="26:26" x14ac:dyDescent="0.25">
      <c r="Z23713">
        <v>400000</v>
      </c>
    </row>
    <row r="23714" spans="26:26" x14ac:dyDescent="0.25">
      <c r="Z23714">
        <v>400000</v>
      </c>
    </row>
    <row r="23715" spans="26:26" x14ac:dyDescent="0.25">
      <c r="Z23715">
        <v>400000</v>
      </c>
    </row>
    <row r="23716" spans="26:26" x14ac:dyDescent="0.25">
      <c r="Z23716">
        <v>400000</v>
      </c>
    </row>
    <row r="23717" spans="26:26" x14ac:dyDescent="0.25">
      <c r="Z23717">
        <v>400000</v>
      </c>
    </row>
    <row r="23718" spans="26:26" x14ac:dyDescent="0.25">
      <c r="Z23718">
        <v>400000</v>
      </c>
    </row>
    <row r="23719" spans="26:26" x14ac:dyDescent="0.25">
      <c r="Z23719">
        <v>400000</v>
      </c>
    </row>
    <row r="23720" spans="26:26" x14ac:dyDescent="0.25">
      <c r="Z23720">
        <v>400000</v>
      </c>
    </row>
    <row r="23721" spans="26:26" x14ac:dyDescent="0.25">
      <c r="Z23721">
        <v>400000</v>
      </c>
    </row>
    <row r="23722" spans="26:26" x14ac:dyDescent="0.25">
      <c r="Z23722">
        <v>400000</v>
      </c>
    </row>
    <row r="23723" spans="26:26" x14ac:dyDescent="0.25">
      <c r="Z23723">
        <v>400000</v>
      </c>
    </row>
    <row r="23724" spans="26:26" x14ac:dyDescent="0.25">
      <c r="Z23724">
        <v>400000</v>
      </c>
    </row>
    <row r="23725" spans="26:26" x14ac:dyDescent="0.25">
      <c r="Z23725">
        <v>400000</v>
      </c>
    </row>
    <row r="23726" spans="26:26" x14ac:dyDescent="0.25">
      <c r="Z23726">
        <v>400000</v>
      </c>
    </row>
    <row r="23727" spans="26:26" x14ac:dyDescent="0.25">
      <c r="Z23727">
        <v>400000</v>
      </c>
    </row>
    <row r="23728" spans="26:26" x14ac:dyDescent="0.25">
      <c r="Z23728">
        <v>400000</v>
      </c>
    </row>
    <row r="23729" spans="26:26" x14ac:dyDescent="0.25">
      <c r="Z23729">
        <v>400000</v>
      </c>
    </row>
    <row r="23730" spans="26:26" x14ac:dyDescent="0.25">
      <c r="Z23730">
        <v>400000</v>
      </c>
    </row>
    <row r="23731" spans="26:26" x14ac:dyDescent="0.25">
      <c r="Z23731">
        <v>400000</v>
      </c>
    </row>
    <row r="23732" spans="26:26" x14ac:dyDescent="0.25">
      <c r="Z23732">
        <v>400000</v>
      </c>
    </row>
    <row r="23733" spans="26:26" x14ac:dyDescent="0.25">
      <c r="Z23733">
        <v>400000</v>
      </c>
    </row>
    <row r="23734" spans="26:26" x14ac:dyDescent="0.25">
      <c r="Z23734">
        <v>400000</v>
      </c>
    </row>
    <row r="23735" spans="26:26" x14ac:dyDescent="0.25">
      <c r="Z23735">
        <v>400000</v>
      </c>
    </row>
    <row r="23736" spans="26:26" x14ac:dyDescent="0.25">
      <c r="Z23736">
        <v>400000</v>
      </c>
    </row>
    <row r="23737" spans="26:26" x14ac:dyDescent="0.25">
      <c r="Z23737">
        <v>400000</v>
      </c>
    </row>
    <row r="23738" spans="26:26" x14ac:dyDescent="0.25">
      <c r="Z23738">
        <v>400000</v>
      </c>
    </row>
    <row r="23739" spans="26:26" x14ac:dyDescent="0.25">
      <c r="Z23739">
        <v>400000</v>
      </c>
    </row>
    <row r="23740" spans="26:26" x14ac:dyDescent="0.25">
      <c r="Z23740">
        <v>400000</v>
      </c>
    </row>
    <row r="23741" spans="26:26" x14ac:dyDescent="0.25">
      <c r="Z23741">
        <v>400000</v>
      </c>
    </row>
    <row r="23742" spans="26:26" x14ac:dyDescent="0.25">
      <c r="Z23742">
        <v>400000</v>
      </c>
    </row>
    <row r="23743" spans="26:26" x14ac:dyDescent="0.25">
      <c r="Z23743">
        <v>400000</v>
      </c>
    </row>
    <row r="23744" spans="26:26" x14ac:dyDescent="0.25">
      <c r="Z23744">
        <v>400000</v>
      </c>
    </row>
    <row r="23745" spans="26:26" x14ac:dyDescent="0.25">
      <c r="Z23745">
        <v>400000</v>
      </c>
    </row>
    <row r="23746" spans="26:26" x14ac:dyDescent="0.25">
      <c r="Z23746">
        <v>400000</v>
      </c>
    </row>
    <row r="23747" spans="26:26" x14ac:dyDescent="0.25">
      <c r="Z23747">
        <v>400000</v>
      </c>
    </row>
    <row r="23748" spans="26:26" x14ac:dyDescent="0.25">
      <c r="Z23748">
        <v>400000</v>
      </c>
    </row>
    <row r="23749" spans="26:26" x14ac:dyDescent="0.25">
      <c r="Z23749">
        <v>400000</v>
      </c>
    </row>
    <row r="23750" spans="26:26" x14ac:dyDescent="0.25">
      <c r="Z23750">
        <v>400000</v>
      </c>
    </row>
    <row r="23751" spans="26:26" x14ac:dyDescent="0.25">
      <c r="Z23751">
        <v>400000</v>
      </c>
    </row>
    <row r="23752" spans="26:26" x14ac:dyDescent="0.25">
      <c r="Z23752">
        <v>400000</v>
      </c>
    </row>
    <row r="23753" spans="26:26" x14ac:dyDescent="0.25">
      <c r="Z23753">
        <v>400000</v>
      </c>
    </row>
    <row r="23754" spans="26:26" x14ac:dyDescent="0.25">
      <c r="Z23754">
        <v>400000</v>
      </c>
    </row>
    <row r="23755" spans="26:26" x14ac:dyDescent="0.25">
      <c r="Z23755">
        <v>400000</v>
      </c>
    </row>
    <row r="23756" spans="26:26" x14ac:dyDescent="0.25">
      <c r="Z23756">
        <v>400000</v>
      </c>
    </row>
    <row r="23757" spans="26:26" x14ac:dyDescent="0.25">
      <c r="Z23757">
        <v>400000</v>
      </c>
    </row>
    <row r="23758" spans="26:26" x14ac:dyDescent="0.25">
      <c r="Z23758">
        <v>400000</v>
      </c>
    </row>
    <row r="23759" spans="26:26" x14ac:dyDescent="0.25">
      <c r="Z23759">
        <v>400000</v>
      </c>
    </row>
    <row r="23760" spans="26:26" x14ac:dyDescent="0.25">
      <c r="Z23760">
        <v>400000</v>
      </c>
    </row>
    <row r="23761" spans="26:26" x14ac:dyDescent="0.25">
      <c r="Z23761">
        <v>400000</v>
      </c>
    </row>
    <row r="23762" spans="26:26" x14ac:dyDescent="0.25">
      <c r="Z23762">
        <v>400000</v>
      </c>
    </row>
    <row r="23763" spans="26:26" x14ac:dyDescent="0.25">
      <c r="Z23763">
        <v>400000</v>
      </c>
    </row>
    <row r="23764" spans="26:26" x14ac:dyDescent="0.25">
      <c r="Z23764">
        <v>400000</v>
      </c>
    </row>
    <row r="23765" spans="26:26" x14ac:dyDescent="0.25">
      <c r="Z23765">
        <v>400000</v>
      </c>
    </row>
    <row r="23766" spans="26:26" x14ac:dyDescent="0.25">
      <c r="Z23766">
        <v>400000</v>
      </c>
    </row>
    <row r="23767" spans="26:26" x14ac:dyDescent="0.25">
      <c r="Z23767">
        <v>400000</v>
      </c>
    </row>
    <row r="23768" spans="26:26" x14ac:dyDescent="0.25">
      <c r="Z23768">
        <v>400000</v>
      </c>
    </row>
    <row r="23769" spans="26:26" x14ac:dyDescent="0.25">
      <c r="Z23769">
        <v>400000</v>
      </c>
    </row>
    <row r="23770" spans="26:26" x14ac:dyDescent="0.25">
      <c r="Z23770">
        <v>400000</v>
      </c>
    </row>
    <row r="23771" spans="26:26" x14ac:dyDescent="0.25">
      <c r="Z23771">
        <v>400000</v>
      </c>
    </row>
    <row r="23772" spans="26:26" x14ac:dyDescent="0.25">
      <c r="Z23772">
        <v>400000</v>
      </c>
    </row>
    <row r="23773" spans="26:26" x14ac:dyDescent="0.25">
      <c r="Z23773">
        <v>400000</v>
      </c>
    </row>
    <row r="23774" spans="26:26" x14ac:dyDescent="0.25">
      <c r="Z23774">
        <v>400000</v>
      </c>
    </row>
    <row r="23775" spans="26:26" x14ac:dyDescent="0.25">
      <c r="Z23775">
        <v>400000</v>
      </c>
    </row>
    <row r="23776" spans="26:26" x14ac:dyDescent="0.25">
      <c r="Z23776">
        <v>400000</v>
      </c>
    </row>
    <row r="23777" spans="26:26" x14ac:dyDescent="0.25">
      <c r="Z23777">
        <v>400000</v>
      </c>
    </row>
    <row r="23778" spans="26:26" x14ac:dyDescent="0.25">
      <c r="Z23778">
        <v>400000</v>
      </c>
    </row>
    <row r="23779" spans="26:26" x14ac:dyDescent="0.25">
      <c r="Z23779">
        <v>400000</v>
      </c>
    </row>
    <row r="23780" spans="26:26" x14ac:dyDescent="0.25">
      <c r="Z23780">
        <v>400000</v>
      </c>
    </row>
    <row r="23781" spans="26:26" x14ac:dyDescent="0.25">
      <c r="Z23781">
        <v>400000</v>
      </c>
    </row>
    <row r="23782" spans="26:26" x14ac:dyDescent="0.25">
      <c r="Z23782">
        <v>400000</v>
      </c>
    </row>
    <row r="23783" spans="26:26" x14ac:dyDescent="0.25">
      <c r="Z23783">
        <v>400000</v>
      </c>
    </row>
    <row r="23784" spans="26:26" x14ac:dyDescent="0.25">
      <c r="Z23784">
        <v>400000</v>
      </c>
    </row>
    <row r="23785" spans="26:26" x14ac:dyDescent="0.25">
      <c r="Z23785">
        <v>400000</v>
      </c>
    </row>
    <row r="23786" spans="26:26" x14ac:dyDescent="0.25">
      <c r="Z23786">
        <v>400000</v>
      </c>
    </row>
    <row r="23787" spans="26:26" x14ac:dyDescent="0.25">
      <c r="Z23787">
        <v>400000</v>
      </c>
    </row>
    <row r="23788" spans="26:26" x14ac:dyDescent="0.25">
      <c r="Z23788">
        <v>400000</v>
      </c>
    </row>
    <row r="23789" spans="26:26" x14ac:dyDescent="0.25">
      <c r="Z23789">
        <v>400000</v>
      </c>
    </row>
    <row r="23790" spans="26:26" x14ac:dyDescent="0.25">
      <c r="Z23790">
        <v>400000</v>
      </c>
    </row>
    <row r="23791" spans="26:26" x14ac:dyDescent="0.25">
      <c r="Z23791">
        <v>400000</v>
      </c>
    </row>
    <row r="23792" spans="26:26" x14ac:dyDescent="0.25">
      <c r="Z23792">
        <v>400000</v>
      </c>
    </row>
    <row r="23793" spans="26:26" x14ac:dyDescent="0.25">
      <c r="Z23793">
        <v>400000</v>
      </c>
    </row>
    <row r="23794" spans="26:26" x14ac:dyDescent="0.25">
      <c r="Z23794">
        <v>400000</v>
      </c>
    </row>
    <row r="23795" spans="26:26" x14ac:dyDescent="0.25">
      <c r="Z23795">
        <v>400000</v>
      </c>
    </row>
    <row r="23796" spans="26:26" x14ac:dyDescent="0.25">
      <c r="Z23796">
        <v>400000</v>
      </c>
    </row>
    <row r="23797" spans="26:26" x14ac:dyDescent="0.25">
      <c r="Z23797">
        <v>400000</v>
      </c>
    </row>
    <row r="23798" spans="26:26" x14ac:dyDescent="0.25">
      <c r="Z23798">
        <v>400000</v>
      </c>
    </row>
    <row r="23799" spans="26:26" x14ac:dyDescent="0.25">
      <c r="Z23799">
        <v>400000</v>
      </c>
    </row>
    <row r="23800" spans="26:26" x14ac:dyDescent="0.25">
      <c r="Z23800">
        <v>400000</v>
      </c>
    </row>
    <row r="23801" spans="26:26" x14ac:dyDescent="0.25">
      <c r="Z23801">
        <v>400000</v>
      </c>
    </row>
    <row r="23802" spans="26:26" x14ac:dyDescent="0.25">
      <c r="Z23802">
        <v>400000</v>
      </c>
    </row>
    <row r="23803" spans="26:26" x14ac:dyDescent="0.25">
      <c r="Z23803">
        <v>400000</v>
      </c>
    </row>
    <row r="23804" spans="26:26" x14ac:dyDescent="0.25">
      <c r="Z23804">
        <v>400000</v>
      </c>
    </row>
    <row r="23805" spans="26:26" x14ac:dyDescent="0.25">
      <c r="Z23805">
        <v>400000</v>
      </c>
    </row>
    <row r="23806" spans="26:26" x14ac:dyDescent="0.25">
      <c r="Z23806">
        <v>400000</v>
      </c>
    </row>
    <row r="23807" spans="26:26" x14ac:dyDescent="0.25">
      <c r="Z23807">
        <v>400000</v>
      </c>
    </row>
    <row r="23808" spans="26:26" x14ac:dyDescent="0.25">
      <c r="Z23808">
        <v>400000</v>
      </c>
    </row>
    <row r="23809" spans="26:26" x14ac:dyDescent="0.25">
      <c r="Z23809">
        <v>400000</v>
      </c>
    </row>
    <row r="23810" spans="26:26" x14ac:dyDescent="0.25">
      <c r="Z23810">
        <v>400000</v>
      </c>
    </row>
    <row r="23811" spans="26:26" x14ac:dyDescent="0.25">
      <c r="Z23811">
        <v>400000</v>
      </c>
    </row>
    <row r="23812" spans="26:26" x14ac:dyDescent="0.25">
      <c r="Z23812">
        <v>400000</v>
      </c>
    </row>
    <row r="23813" spans="26:26" x14ac:dyDescent="0.25">
      <c r="Z23813">
        <v>400000</v>
      </c>
    </row>
    <row r="23814" spans="26:26" x14ac:dyDescent="0.25">
      <c r="Z23814">
        <v>400000</v>
      </c>
    </row>
    <row r="23815" spans="26:26" x14ac:dyDescent="0.25">
      <c r="Z23815">
        <v>400000</v>
      </c>
    </row>
    <row r="23816" spans="26:26" x14ac:dyDescent="0.25">
      <c r="Z23816">
        <v>400000</v>
      </c>
    </row>
    <row r="23817" spans="26:26" x14ac:dyDescent="0.25">
      <c r="Z23817">
        <v>400000</v>
      </c>
    </row>
    <row r="23818" spans="26:26" x14ac:dyDescent="0.25">
      <c r="Z23818">
        <v>400000</v>
      </c>
    </row>
    <row r="23819" spans="26:26" x14ac:dyDescent="0.25">
      <c r="Z23819">
        <v>400000</v>
      </c>
    </row>
    <row r="23820" spans="26:26" x14ac:dyDescent="0.25">
      <c r="Z23820">
        <v>400000</v>
      </c>
    </row>
    <row r="23821" spans="26:26" x14ac:dyDescent="0.25">
      <c r="Z23821">
        <v>400000</v>
      </c>
    </row>
    <row r="23822" spans="26:26" x14ac:dyDescent="0.25">
      <c r="Z23822">
        <v>400000</v>
      </c>
    </row>
    <row r="23823" spans="26:26" x14ac:dyDescent="0.25">
      <c r="Z23823">
        <v>400000</v>
      </c>
    </row>
    <row r="23824" spans="26:26" x14ac:dyDescent="0.25">
      <c r="Z23824">
        <v>400000</v>
      </c>
    </row>
    <row r="23825" spans="26:26" x14ac:dyDescent="0.25">
      <c r="Z23825">
        <v>400000</v>
      </c>
    </row>
    <row r="23826" spans="26:26" x14ac:dyDescent="0.25">
      <c r="Z23826">
        <v>400000</v>
      </c>
    </row>
    <row r="23827" spans="26:26" x14ac:dyDescent="0.25">
      <c r="Z23827">
        <v>400000</v>
      </c>
    </row>
    <row r="23828" spans="26:26" x14ac:dyDescent="0.25">
      <c r="Z23828">
        <v>400000</v>
      </c>
    </row>
    <row r="23829" spans="26:26" x14ac:dyDescent="0.25">
      <c r="Z23829">
        <v>400000</v>
      </c>
    </row>
    <row r="23830" spans="26:26" x14ac:dyDescent="0.25">
      <c r="Z23830">
        <v>400000</v>
      </c>
    </row>
    <row r="23831" spans="26:26" x14ac:dyDescent="0.25">
      <c r="Z23831">
        <v>400000</v>
      </c>
    </row>
    <row r="23832" spans="26:26" x14ac:dyDescent="0.25">
      <c r="Z23832">
        <v>400000</v>
      </c>
    </row>
    <row r="23833" spans="26:26" x14ac:dyDescent="0.25">
      <c r="Z23833">
        <v>400000</v>
      </c>
    </row>
    <row r="23834" spans="26:26" x14ac:dyDescent="0.25">
      <c r="Z23834">
        <v>400000</v>
      </c>
    </row>
    <row r="23835" spans="26:26" x14ac:dyDescent="0.25">
      <c r="Z23835">
        <v>400000</v>
      </c>
    </row>
    <row r="23836" spans="26:26" x14ac:dyDescent="0.25">
      <c r="Z23836">
        <v>400000</v>
      </c>
    </row>
    <row r="23837" spans="26:26" x14ac:dyDescent="0.25">
      <c r="Z23837">
        <v>400000</v>
      </c>
    </row>
    <row r="23838" spans="26:26" x14ac:dyDescent="0.25">
      <c r="Z23838">
        <v>400000</v>
      </c>
    </row>
    <row r="23839" spans="26:26" x14ac:dyDescent="0.25">
      <c r="Z23839">
        <v>400000</v>
      </c>
    </row>
    <row r="23840" spans="26:26" x14ac:dyDescent="0.25">
      <c r="Z23840">
        <v>400000</v>
      </c>
    </row>
    <row r="23841" spans="26:26" x14ac:dyDescent="0.25">
      <c r="Z23841">
        <v>400000</v>
      </c>
    </row>
    <row r="23842" spans="26:26" x14ac:dyDescent="0.25">
      <c r="Z23842">
        <v>400000</v>
      </c>
    </row>
    <row r="23843" spans="26:26" x14ac:dyDescent="0.25">
      <c r="Z23843">
        <v>400000</v>
      </c>
    </row>
    <row r="23844" spans="26:26" x14ac:dyDescent="0.25">
      <c r="Z23844">
        <v>400000</v>
      </c>
    </row>
    <row r="23845" spans="26:26" x14ac:dyDescent="0.25">
      <c r="Z23845">
        <v>400000</v>
      </c>
    </row>
    <row r="23846" spans="26:26" x14ac:dyDescent="0.25">
      <c r="Z23846">
        <v>400000</v>
      </c>
    </row>
    <row r="23847" spans="26:26" x14ac:dyDescent="0.25">
      <c r="Z23847">
        <v>400000</v>
      </c>
    </row>
    <row r="23848" spans="26:26" x14ac:dyDescent="0.25">
      <c r="Z23848">
        <v>400000</v>
      </c>
    </row>
    <row r="23849" spans="26:26" x14ac:dyDescent="0.25">
      <c r="Z23849">
        <v>400000</v>
      </c>
    </row>
    <row r="23850" spans="26:26" x14ac:dyDescent="0.25">
      <c r="Z23850">
        <v>400000</v>
      </c>
    </row>
    <row r="23851" spans="26:26" x14ac:dyDescent="0.25">
      <c r="Z23851">
        <v>400000</v>
      </c>
    </row>
    <row r="23852" spans="26:26" x14ac:dyDescent="0.25">
      <c r="Z23852">
        <v>400000</v>
      </c>
    </row>
    <row r="23853" spans="26:26" x14ac:dyDescent="0.25">
      <c r="Z23853">
        <v>400000</v>
      </c>
    </row>
    <row r="23854" spans="26:26" x14ac:dyDescent="0.25">
      <c r="Z23854">
        <v>400000</v>
      </c>
    </row>
    <row r="23855" spans="26:26" x14ac:dyDescent="0.25">
      <c r="Z23855">
        <v>400000</v>
      </c>
    </row>
    <row r="23856" spans="26:26" x14ac:dyDescent="0.25">
      <c r="Z23856">
        <v>400000</v>
      </c>
    </row>
    <row r="23857" spans="26:26" x14ac:dyDescent="0.25">
      <c r="Z23857">
        <v>400000</v>
      </c>
    </row>
    <row r="23858" spans="26:26" x14ac:dyDescent="0.25">
      <c r="Z23858">
        <v>400000</v>
      </c>
    </row>
    <row r="23859" spans="26:26" x14ac:dyDescent="0.25">
      <c r="Z23859">
        <v>400000</v>
      </c>
    </row>
    <row r="23860" spans="26:26" x14ac:dyDescent="0.25">
      <c r="Z23860">
        <v>400000</v>
      </c>
    </row>
    <row r="23861" spans="26:26" x14ac:dyDescent="0.25">
      <c r="Z23861">
        <v>400000</v>
      </c>
    </row>
    <row r="23862" spans="26:26" x14ac:dyDescent="0.25">
      <c r="Z23862">
        <v>400000</v>
      </c>
    </row>
    <row r="23863" spans="26:26" x14ac:dyDescent="0.25">
      <c r="Z23863">
        <v>400000</v>
      </c>
    </row>
    <row r="23864" spans="26:26" x14ac:dyDescent="0.25">
      <c r="Z23864">
        <v>400000</v>
      </c>
    </row>
    <row r="23865" spans="26:26" x14ac:dyDescent="0.25">
      <c r="Z23865">
        <v>400000</v>
      </c>
    </row>
    <row r="23866" spans="26:26" x14ac:dyDescent="0.25">
      <c r="Z23866">
        <v>400000</v>
      </c>
    </row>
    <row r="23867" spans="26:26" x14ac:dyDescent="0.25">
      <c r="Z23867">
        <v>400000</v>
      </c>
    </row>
    <row r="23868" spans="26:26" x14ac:dyDescent="0.25">
      <c r="Z23868">
        <v>400000</v>
      </c>
    </row>
    <row r="23869" spans="26:26" x14ac:dyDescent="0.25">
      <c r="Z23869">
        <v>400000</v>
      </c>
    </row>
    <row r="23870" spans="26:26" x14ac:dyDescent="0.25">
      <c r="Z23870">
        <v>400000</v>
      </c>
    </row>
    <row r="23871" spans="26:26" x14ac:dyDescent="0.25">
      <c r="Z23871">
        <v>400000</v>
      </c>
    </row>
    <row r="23872" spans="26:26" x14ac:dyDescent="0.25">
      <c r="Z23872">
        <v>400000</v>
      </c>
    </row>
    <row r="23873" spans="26:26" x14ac:dyDescent="0.25">
      <c r="Z23873">
        <v>400000</v>
      </c>
    </row>
    <row r="23874" spans="26:26" x14ac:dyDescent="0.25">
      <c r="Z23874">
        <v>400000</v>
      </c>
    </row>
    <row r="23875" spans="26:26" x14ac:dyDescent="0.25">
      <c r="Z23875">
        <v>400000</v>
      </c>
    </row>
    <row r="23876" spans="26:26" x14ac:dyDescent="0.25">
      <c r="Z23876">
        <v>400000</v>
      </c>
    </row>
    <row r="23877" spans="26:26" x14ac:dyDescent="0.25">
      <c r="Z23877">
        <v>400000</v>
      </c>
    </row>
    <row r="23878" spans="26:26" x14ac:dyDescent="0.25">
      <c r="Z23878">
        <v>400000</v>
      </c>
    </row>
    <row r="23879" spans="26:26" x14ac:dyDescent="0.25">
      <c r="Z23879">
        <v>400000</v>
      </c>
    </row>
    <row r="23880" spans="26:26" x14ac:dyDescent="0.25">
      <c r="Z23880">
        <v>400000</v>
      </c>
    </row>
    <row r="23881" spans="26:26" x14ac:dyDescent="0.25">
      <c r="Z23881">
        <v>400000</v>
      </c>
    </row>
    <row r="23882" spans="26:26" x14ac:dyDescent="0.25">
      <c r="Z23882">
        <v>400000</v>
      </c>
    </row>
    <row r="23883" spans="26:26" x14ac:dyDescent="0.25">
      <c r="Z23883">
        <v>400000</v>
      </c>
    </row>
    <row r="23884" spans="26:26" x14ac:dyDescent="0.25">
      <c r="Z23884">
        <v>400000</v>
      </c>
    </row>
    <row r="23885" spans="26:26" x14ac:dyDescent="0.25">
      <c r="Z23885">
        <v>400000</v>
      </c>
    </row>
    <row r="23886" spans="26:26" x14ac:dyDescent="0.25">
      <c r="Z23886">
        <v>400000</v>
      </c>
    </row>
    <row r="23887" spans="26:26" x14ac:dyDescent="0.25">
      <c r="Z23887">
        <v>400000</v>
      </c>
    </row>
    <row r="23888" spans="26:26" x14ac:dyDescent="0.25">
      <c r="Z23888">
        <v>400000</v>
      </c>
    </row>
    <row r="23889" spans="26:26" x14ac:dyDescent="0.25">
      <c r="Z23889">
        <v>400000</v>
      </c>
    </row>
    <row r="23890" spans="26:26" x14ac:dyDescent="0.25">
      <c r="Z23890">
        <v>400000</v>
      </c>
    </row>
    <row r="23891" spans="26:26" x14ac:dyDescent="0.25">
      <c r="Z23891">
        <v>400000</v>
      </c>
    </row>
    <row r="23892" spans="26:26" x14ac:dyDescent="0.25">
      <c r="Z23892">
        <v>400000</v>
      </c>
    </row>
    <row r="23893" spans="26:26" x14ac:dyDescent="0.25">
      <c r="Z23893">
        <v>400000</v>
      </c>
    </row>
    <row r="23894" spans="26:26" x14ac:dyDescent="0.25">
      <c r="Z23894">
        <v>400000</v>
      </c>
    </row>
    <row r="23895" spans="26:26" x14ac:dyDescent="0.25">
      <c r="Z23895">
        <v>400000</v>
      </c>
    </row>
    <row r="23896" spans="26:26" x14ac:dyDescent="0.25">
      <c r="Z23896">
        <v>400000</v>
      </c>
    </row>
    <row r="23897" spans="26:26" x14ac:dyDescent="0.25">
      <c r="Z23897">
        <v>400000</v>
      </c>
    </row>
    <row r="23898" spans="26:26" x14ac:dyDescent="0.25">
      <c r="Z23898">
        <v>400000</v>
      </c>
    </row>
    <row r="23899" spans="26:26" x14ac:dyDescent="0.25">
      <c r="Z23899">
        <v>400000</v>
      </c>
    </row>
    <row r="23900" spans="26:26" x14ac:dyDescent="0.25">
      <c r="Z23900">
        <v>400000</v>
      </c>
    </row>
    <row r="23901" spans="26:26" x14ac:dyDescent="0.25">
      <c r="Z23901">
        <v>400000</v>
      </c>
    </row>
    <row r="23902" spans="26:26" x14ac:dyDescent="0.25">
      <c r="Z23902">
        <v>400000</v>
      </c>
    </row>
    <row r="23903" spans="26:26" x14ac:dyDescent="0.25">
      <c r="Z23903">
        <v>400000</v>
      </c>
    </row>
    <row r="23904" spans="26:26" x14ac:dyDescent="0.25">
      <c r="Z23904">
        <v>400000</v>
      </c>
    </row>
    <row r="23905" spans="26:26" x14ac:dyDescent="0.25">
      <c r="Z23905">
        <v>400000</v>
      </c>
    </row>
    <row r="23906" spans="26:26" x14ac:dyDescent="0.25">
      <c r="Z23906">
        <v>400000</v>
      </c>
    </row>
    <row r="23907" spans="26:26" x14ac:dyDescent="0.25">
      <c r="Z23907">
        <v>400000</v>
      </c>
    </row>
    <row r="23908" spans="26:26" x14ac:dyDescent="0.25">
      <c r="Z23908">
        <v>400000</v>
      </c>
    </row>
    <row r="23909" spans="26:26" x14ac:dyDescent="0.25">
      <c r="Z23909">
        <v>400000</v>
      </c>
    </row>
    <row r="23910" spans="26:26" x14ac:dyDescent="0.25">
      <c r="Z23910">
        <v>400000</v>
      </c>
    </row>
    <row r="23911" spans="26:26" x14ac:dyDescent="0.25">
      <c r="Z23911">
        <v>400000</v>
      </c>
    </row>
    <row r="23912" spans="26:26" x14ac:dyDescent="0.25">
      <c r="Z23912">
        <v>400000</v>
      </c>
    </row>
    <row r="23913" spans="26:26" x14ac:dyDescent="0.25">
      <c r="Z23913">
        <v>400000</v>
      </c>
    </row>
    <row r="23914" spans="26:26" x14ac:dyDescent="0.25">
      <c r="Z23914">
        <v>400000</v>
      </c>
    </row>
    <row r="23915" spans="26:26" x14ac:dyDescent="0.25">
      <c r="Z23915">
        <v>400000</v>
      </c>
    </row>
    <row r="23916" spans="26:26" x14ac:dyDescent="0.25">
      <c r="Z23916">
        <v>400000</v>
      </c>
    </row>
    <row r="23917" spans="26:26" x14ac:dyDescent="0.25">
      <c r="Z23917">
        <v>400000</v>
      </c>
    </row>
    <row r="23918" spans="26:26" x14ac:dyDescent="0.25">
      <c r="Z23918">
        <v>400000</v>
      </c>
    </row>
    <row r="23919" spans="26:26" x14ac:dyDescent="0.25">
      <c r="Z23919">
        <v>400000</v>
      </c>
    </row>
    <row r="23920" spans="26:26" x14ac:dyDescent="0.25">
      <c r="Z23920">
        <v>400000</v>
      </c>
    </row>
    <row r="23921" spans="26:26" x14ac:dyDescent="0.25">
      <c r="Z23921">
        <v>400000</v>
      </c>
    </row>
    <row r="23922" spans="26:26" x14ac:dyDescent="0.25">
      <c r="Z23922">
        <v>400000</v>
      </c>
    </row>
    <row r="23923" spans="26:26" x14ac:dyDescent="0.25">
      <c r="Z23923">
        <v>400000</v>
      </c>
    </row>
    <row r="23924" spans="26:26" x14ac:dyDescent="0.25">
      <c r="Z23924">
        <v>400000</v>
      </c>
    </row>
    <row r="23925" spans="26:26" x14ac:dyDescent="0.25">
      <c r="Z23925">
        <v>400000</v>
      </c>
    </row>
    <row r="23926" spans="26:26" x14ac:dyDescent="0.25">
      <c r="Z23926">
        <v>400000</v>
      </c>
    </row>
    <row r="23927" spans="26:26" x14ac:dyDescent="0.25">
      <c r="Z23927">
        <v>400000</v>
      </c>
    </row>
    <row r="23928" spans="26:26" x14ac:dyDescent="0.25">
      <c r="Z23928">
        <v>400000</v>
      </c>
    </row>
    <row r="23929" spans="26:26" x14ac:dyDescent="0.25">
      <c r="Z23929">
        <v>400000</v>
      </c>
    </row>
    <row r="23930" spans="26:26" x14ac:dyDescent="0.25">
      <c r="Z23930">
        <v>400000</v>
      </c>
    </row>
    <row r="23931" spans="26:26" x14ac:dyDescent="0.25">
      <c r="Z23931">
        <v>400000</v>
      </c>
    </row>
    <row r="23932" spans="26:26" x14ac:dyDescent="0.25">
      <c r="Z23932">
        <v>400000</v>
      </c>
    </row>
    <row r="23933" spans="26:26" x14ac:dyDescent="0.25">
      <c r="Z23933">
        <v>400000</v>
      </c>
    </row>
    <row r="23934" spans="26:26" x14ac:dyDescent="0.25">
      <c r="Z23934">
        <v>400000</v>
      </c>
    </row>
    <row r="23935" spans="26:26" x14ac:dyDescent="0.25">
      <c r="Z23935">
        <v>400000</v>
      </c>
    </row>
    <row r="23936" spans="26:26" x14ac:dyDescent="0.25">
      <c r="Z23936">
        <v>400000</v>
      </c>
    </row>
    <row r="23937" spans="26:26" x14ac:dyDescent="0.25">
      <c r="Z23937">
        <v>400000</v>
      </c>
    </row>
    <row r="23938" spans="26:26" x14ac:dyDescent="0.25">
      <c r="Z23938">
        <v>400000</v>
      </c>
    </row>
    <row r="23939" spans="26:26" x14ac:dyDescent="0.25">
      <c r="Z23939">
        <v>400000</v>
      </c>
    </row>
    <row r="23940" spans="26:26" x14ac:dyDescent="0.25">
      <c r="Z23940">
        <v>400000</v>
      </c>
    </row>
    <row r="23941" spans="26:26" x14ac:dyDescent="0.25">
      <c r="Z23941">
        <v>400000</v>
      </c>
    </row>
    <row r="23942" spans="26:26" x14ac:dyDescent="0.25">
      <c r="Z23942">
        <v>400000</v>
      </c>
    </row>
    <row r="23943" spans="26:26" x14ac:dyDescent="0.25">
      <c r="Z23943">
        <v>400000</v>
      </c>
    </row>
    <row r="23944" spans="26:26" x14ac:dyDescent="0.25">
      <c r="Z23944">
        <v>400000</v>
      </c>
    </row>
    <row r="23945" spans="26:26" x14ac:dyDescent="0.25">
      <c r="Z23945">
        <v>400000</v>
      </c>
    </row>
    <row r="23946" spans="26:26" x14ac:dyDescent="0.25">
      <c r="Z23946">
        <v>400000</v>
      </c>
    </row>
    <row r="23947" spans="26:26" x14ac:dyDescent="0.25">
      <c r="Z23947">
        <v>400000</v>
      </c>
    </row>
    <row r="23948" spans="26:26" x14ac:dyDescent="0.25">
      <c r="Z23948">
        <v>400000</v>
      </c>
    </row>
    <row r="23949" spans="26:26" x14ac:dyDescent="0.25">
      <c r="Z23949">
        <v>400000</v>
      </c>
    </row>
    <row r="23950" spans="26:26" x14ac:dyDescent="0.25">
      <c r="Z23950">
        <v>400000</v>
      </c>
    </row>
    <row r="23951" spans="26:26" x14ac:dyDescent="0.25">
      <c r="Z23951">
        <v>400000</v>
      </c>
    </row>
    <row r="23952" spans="26:26" x14ac:dyDescent="0.25">
      <c r="Z23952">
        <v>400000</v>
      </c>
    </row>
    <row r="23953" spans="26:26" x14ac:dyDescent="0.25">
      <c r="Z23953">
        <v>400000</v>
      </c>
    </row>
    <row r="23954" spans="26:26" x14ac:dyDescent="0.25">
      <c r="Z23954">
        <v>400000</v>
      </c>
    </row>
    <row r="23955" spans="26:26" x14ac:dyDescent="0.25">
      <c r="Z23955">
        <v>400000</v>
      </c>
    </row>
    <row r="23956" spans="26:26" x14ac:dyDescent="0.25">
      <c r="Z23956">
        <v>400000</v>
      </c>
    </row>
    <row r="23957" spans="26:26" x14ac:dyDescent="0.25">
      <c r="Z23957">
        <v>400000</v>
      </c>
    </row>
    <row r="23958" spans="26:26" x14ac:dyDescent="0.25">
      <c r="Z23958">
        <v>400000</v>
      </c>
    </row>
    <row r="23959" spans="26:26" x14ac:dyDescent="0.25">
      <c r="Z23959">
        <v>400000</v>
      </c>
    </row>
    <row r="23960" spans="26:26" x14ac:dyDescent="0.25">
      <c r="Z23960">
        <v>400000</v>
      </c>
    </row>
    <row r="23961" spans="26:26" x14ac:dyDescent="0.25">
      <c r="Z23961">
        <v>400000</v>
      </c>
    </row>
    <row r="23962" spans="26:26" x14ac:dyDescent="0.25">
      <c r="Z23962">
        <v>400000</v>
      </c>
    </row>
    <row r="23963" spans="26:26" x14ac:dyDescent="0.25">
      <c r="Z23963">
        <v>400000</v>
      </c>
    </row>
    <row r="23964" spans="26:26" x14ac:dyDescent="0.25">
      <c r="Z23964">
        <v>400000</v>
      </c>
    </row>
    <row r="23965" spans="26:26" x14ac:dyDescent="0.25">
      <c r="Z23965">
        <v>400000</v>
      </c>
    </row>
    <row r="23966" spans="26:26" x14ac:dyDescent="0.25">
      <c r="Z23966">
        <v>400000</v>
      </c>
    </row>
    <row r="23967" spans="26:26" x14ac:dyDescent="0.25">
      <c r="Z23967">
        <v>400000</v>
      </c>
    </row>
    <row r="23968" spans="26:26" x14ac:dyDescent="0.25">
      <c r="Z23968">
        <v>400000</v>
      </c>
    </row>
    <row r="23969" spans="26:26" x14ac:dyDescent="0.25">
      <c r="Z23969">
        <v>400000</v>
      </c>
    </row>
    <row r="23970" spans="26:26" x14ac:dyDescent="0.25">
      <c r="Z23970">
        <v>400000</v>
      </c>
    </row>
    <row r="23971" spans="26:26" x14ac:dyDescent="0.25">
      <c r="Z23971">
        <v>400000</v>
      </c>
    </row>
    <row r="23972" spans="26:26" x14ac:dyDescent="0.25">
      <c r="Z23972">
        <v>400000</v>
      </c>
    </row>
    <row r="23973" spans="26:26" x14ac:dyDescent="0.25">
      <c r="Z23973">
        <v>400000</v>
      </c>
    </row>
    <row r="23974" spans="26:26" x14ac:dyDescent="0.25">
      <c r="Z23974">
        <v>400000</v>
      </c>
    </row>
    <row r="23975" spans="26:26" x14ac:dyDescent="0.25">
      <c r="Z23975">
        <v>400000</v>
      </c>
    </row>
    <row r="23976" spans="26:26" x14ac:dyDescent="0.25">
      <c r="Z23976">
        <v>400000</v>
      </c>
    </row>
    <row r="23977" spans="26:26" x14ac:dyDescent="0.25">
      <c r="Z23977">
        <v>400000</v>
      </c>
    </row>
    <row r="23978" spans="26:26" x14ac:dyDescent="0.25">
      <c r="Z23978">
        <v>400000</v>
      </c>
    </row>
    <row r="23979" spans="26:26" x14ac:dyDescent="0.25">
      <c r="Z23979">
        <v>400000</v>
      </c>
    </row>
    <row r="23980" spans="26:26" x14ac:dyDescent="0.25">
      <c r="Z23980">
        <v>400000</v>
      </c>
    </row>
    <row r="23981" spans="26:26" x14ac:dyDescent="0.25">
      <c r="Z23981">
        <v>400000</v>
      </c>
    </row>
    <row r="23982" spans="26:26" x14ac:dyDescent="0.25">
      <c r="Z23982">
        <v>400000</v>
      </c>
    </row>
    <row r="23983" spans="26:26" x14ac:dyDescent="0.25">
      <c r="Z23983">
        <v>400000</v>
      </c>
    </row>
    <row r="23984" spans="26:26" x14ac:dyDescent="0.25">
      <c r="Z23984">
        <v>400000</v>
      </c>
    </row>
    <row r="23985" spans="26:26" x14ac:dyDescent="0.25">
      <c r="Z23985">
        <v>400000</v>
      </c>
    </row>
    <row r="23986" spans="26:26" x14ac:dyDescent="0.25">
      <c r="Z23986">
        <v>400000</v>
      </c>
    </row>
    <row r="23987" spans="26:26" x14ac:dyDescent="0.25">
      <c r="Z23987">
        <v>400000</v>
      </c>
    </row>
    <row r="23988" spans="26:26" x14ac:dyDescent="0.25">
      <c r="Z23988">
        <v>400000</v>
      </c>
    </row>
    <row r="23989" spans="26:26" x14ac:dyDescent="0.25">
      <c r="Z23989">
        <v>400000</v>
      </c>
    </row>
    <row r="23990" spans="26:26" x14ac:dyDescent="0.25">
      <c r="Z23990">
        <v>400000</v>
      </c>
    </row>
    <row r="23991" spans="26:26" x14ac:dyDescent="0.25">
      <c r="Z23991">
        <v>400000</v>
      </c>
    </row>
    <row r="23992" spans="26:26" x14ac:dyDescent="0.25">
      <c r="Z23992">
        <v>400000</v>
      </c>
    </row>
    <row r="23993" spans="26:26" x14ac:dyDescent="0.25">
      <c r="Z23993">
        <v>400000</v>
      </c>
    </row>
    <row r="23994" spans="26:26" x14ac:dyDescent="0.25">
      <c r="Z23994">
        <v>400000</v>
      </c>
    </row>
    <row r="23995" spans="26:26" x14ac:dyDescent="0.25">
      <c r="Z23995">
        <v>400000</v>
      </c>
    </row>
    <row r="23996" spans="26:26" x14ac:dyDescent="0.25">
      <c r="Z23996">
        <v>400000</v>
      </c>
    </row>
    <row r="23997" spans="26:26" x14ac:dyDescent="0.25">
      <c r="Z23997">
        <v>400000</v>
      </c>
    </row>
    <row r="23998" spans="26:26" x14ac:dyDescent="0.25">
      <c r="Z23998">
        <v>400000</v>
      </c>
    </row>
    <row r="23999" spans="26:26" x14ac:dyDescent="0.25">
      <c r="Z23999">
        <v>400000</v>
      </c>
    </row>
    <row r="24000" spans="26:26" x14ac:dyDescent="0.25">
      <c r="Z24000">
        <v>400000</v>
      </c>
    </row>
    <row r="24001" spans="26:26" x14ac:dyDescent="0.25">
      <c r="Z24001">
        <v>400000</v>
      </c>
    </row>
    <row r="24002" spans="26:26" x14ac:dyDescent="0.25">
      <c r="Z24002">
        <v>400000</v>
      </c>
    </row>
    <row r="24003" spans="26:26" x14ac:dyDescent="0.25">
      <c r="Z24003">
        <v>400000</v>
      </c>
    </row>
    <row r="24004" spans="26:26" x14ac:dyDescent="0.25">
      <c r="Z24004">
        <v>400000</v>
      </c>
    </row>
    <row r="24005" spans="26:26" x14ac:dyDescent="0.25">
      <c r="Z24005">
        <v>400000</v>
      </c>
    </row>
    <row r="24006" spans="26:26" x14ac:dyDescent="0.25">
      <c r="Z24006">
        <v>400000</v>
      </c>
    </row>
    <row r="24007" spans="26:26" x14ac:dyDescent="0.25">
      <c r="Z24007">
        <v>400000</v>
      </c>
    </row>
    <row r="24008" spans="26:26" x14ac:dyDescent="0.25">
      <c r="Z24008">
        <v>400000</v>
      </c>
    </row>
    <row r="24009" spans="26:26" x14ac:dyDescent="0.25">
      <c r="Z24009">
        <v>400000</v>
      </c>
    </row>
    <row r="24010" spans="26:26" x14ac:dyDescent="0.25">
      <c r="Z24010">
        <v>400000</v>
      </c>
    </row>
    <row r="24011" spans="26:26" x14ac:dyDescent="0.25">
      <c r="Z24011">
        <v>400000</v>
      </c>
    </row>
    <row r="24012" spans="26:26" x14ac:dyDescent="0.25">
      <c r="Z24012">
        <v>400000</v>
      </c>
    </row>
    <row r="24013" spans="26:26" x14ac:dyDescent="0.25">
      <c r="Z24013">
        <v>400000</v>
      </c>
    </row>
    <row r="24014" spans="26:26" x14ac:dyDescent="0.25">
      <c r="Z24014">
        <v>400000</v>
      </c>
    </row>
    <row r="24015" spans="26:26" x14ac:dyDescent="0.25">
      <c r="Z24015">
        <v>400000</v>
      </c>
    </row>
    <row r="24016" spans="26:26" x14ac:dyDescent="0.25">
      <c r="Z24016">
        <v>400000</v>
      </c>
    </row>
    <row r="24017" spans="26:26" x14ac:dyDescent="0.25">
      <c r="Z24017">
        <v>400000</v>
      </c>
    </row>
    <row r="24018" spans="26:26" x14ac:dyDescent="0.25">
      <c r="Z24018">
        <v>400000</v>
      </c>
    </row>
    <row r="24019" spans="26:26" x14ac:dyDescent="0.25">
      <c r="Z24019">
        <v>400000</v>
      </c>
    </row>
    <row r="24020" spans="26:26" x14ac:dyDescent="0.25">
      <c r="Z24020">
        <v>400000</v>
      </c>
    </row>
    <row r="24021" spans="26:26" x14ac:dyDescent="0.25">
      <c r="Z24021">
        <v>400000</v>
      </c>
    </row>
    <row r="24022" spans="26:26" x14ac:dyDescent="0.25">
      <c r="Z24022">
        <v>400000</v>
      </c>
    </row>
    <row r="24023" spans="26:26" x14ac:dyDescent="0.25">
      <c r="Z24023">
        <v>400000</v>
      </c>
    </row>
    <row r="24024" spans="26:26" x14ac:dyDescent="0.25">
      <c r="Z24024">
        <v>400000</v>
      </c>
    </row>
    <row r="24025" spans="26:26" x14ac:dyDescent="0.25">
      <c r="Z24025">
        <v>400000</v>
      </c>
    </row>
    <row r="24026" spans="26:26" x14ac:dyDescent="0.25">
      <c r="Z24026">
        <v>400000</v>
      </c>
    </row>
    <row r="24027" spans="26:26" x14ac:dyDescent="0.25">
      <c r="Z24027">
        <v>400000</v>
      </c>
    </row>
    <row r="24028" spans="26:26" x14ac:dyDescent="0.25">
      <c r="Z24028">
        <v>400000</v>
      </c>
    </row>
    <row r="24029" spans="26:26" x14ac:dyDescent="0.25">
      <c r="Z24029">
        <v>400000</v>
      </c>
    </row>
    <row r="24030" spans="26:26" x14ac:dyDescent="0.25">
      <c r="Z24030">
        <v>400000</v>
      </c>
    </row>
    <row r="24031" spans="26:26" x14ac:dyDescent="0.25">
      <c r="Z24031">
        <v>400000</v>
      </c>
    </row>
    <row r="24032" spans="26:26" x14ac:dyDescent="0.25">
      <c r="Z24032">
        <v>400000</v>
      </c>
    </row>
    <row r="24033" spans="26:26" x14ac:dyDescent="0.25">
      <c r="Z24033">
        <v>400000</v>
      </c>
    </row>
    <row r="24034" spans="26:26" x14ac:dyDescent="0.25">
      <c r="Z24034">
        <v>400000</v>
      </c>
    </row>
    <row r="24035" spans="26:26" x14ac:dyDescent="0.25">
      <c r="Z24035">
        <v>400000</v>
      </c>
    </row>
    <row r="24036" spans="26:26" x14ac:dyDescent="0.25">
      <c r="Z24036">
        <v>400000</v>
      </c>
    </row>
    <row r="24037" spans="26:26" x14ac:dyDescent="0.25">
      <c r="Z24037">
        <v>400000</v>
      </c>
    </row>
    <row r="24038" spans="26:26" x14ac:dyDescent="0.25">
      <c r="Z24038">
        <v>400000</v>
      </c>
    </row>
    <row r="24039" spans="26:26" x14ac:dyDescent="0.25">
      <c r="Z24039">
        <v>400000</v>
      </c>
    </row>
    <row r="24040" spans="26:26" x14ac:dyDescent="0.25">
      <c r="Z24040">
        <v>400000</v>
      </c>
    </row>
    <row r="24041" spans="26:26" x14ac:dyDescent="0.25">
      <c r="Z24041">
        <v>400000</v>
      </c>
    </row>
    <row r="24042" spans="26:26" x14ac:dyDescent="0.25">
      <c r="Z24042">
        <v>400000</v>
      </c>
    </row>
    <row r="24043" spans="26:26" x14ac:dyDescent="0.25">
      <c r="Z24043">
        <v>400000</v>
      </c>
    </row>
    <row r="24044" spans="26:26" x14ac:dyDescent="0.25">
      <c r="Z24044">
        <v>400000</v>
      </c>
    </row>
    <row r="24045" spans="26:26" x14ac:dyDescent="0.25">
      <c r="Z24045">
        <v>400000</v>
      </c>
    </row>
    <row r="24046" spans="26:26" x14ac:dyDescent="0.25">
      <c r="Z24046">
        <v>400000</v>
      </c>
    </row>
    <row r="24047" spans="26:26" x14ac:dyDescent="0.25">
      <c r="Z24047">
        <v>400000</v>
      </c>
    </row>
    <row r="24048" spans="26:26" x14ac:dyDescent="0.25">
      <c r="Z24048">
        <v>400000</v>
      </c>
    </row>
    <row r="24049" spans="26:26" x14ac:dyDescent="0.25">
      <c r="Z24049">
        <v>400000</v>
      </c>
    </row>
    <row r="24050" spans="26:26" x14ac:dyDescent="0.25">
      <c r="Z24050">
        <v>400000</v>
      </c>
    </row>
    <row r="24051" spans="26:26" x14ac:dyDescent="0.25">
      <c r="Z24051">
        <v>400000</v>
      </c>
    </row>
    <row r="24052" spans="26:26" x14ac:dyDescent="0.25">
      <c r="Z24052">
        <v>400000</v>
      </c>
    </row>
    <row r="24053" spans="26:26" x14ac:dyDescent="0.25">
      <c r="Z24053">
        <v>400000</v>
      </c>
    </row>
    <row r="24054" spans="26:26" x14ac:dyDescent="0.25">
      <c r="Z24054">
        <v>400000</v>
      </c>
    </row>
    <row r="24055" spans="26:26" x14ac:dyDescent="0.25">
      <c r="Z24055">
        <v>400000</v>
      </c>
    </row>
    <row r="24056" spans="26:26" x14ac:dyDescent="0.25">
      <c r="Z24056">
        <v>400000</v>
      </c>
    </row>
    <row r="24057" spans="26:26" x14ac:dyDescent="0.25">
      <c r="Z24057">
        <v>400000</v>
      </c>
    </row>
    <row r="24058" spans="26:26" x14ac:dyDescent="0.25">
      <c r="Z24058">
        <v>400000</v>
      </c>
    </row>
    <row r="24059" spans="26:26" x14ac:dyDescent="0.25">
      <c r="Z24059">
        <v>400000</v>
      </c>
    </row>
    <row r="24060" spans="26:26" x14ac:dyDescent="0.25">
      <c r="Z24060">
        <v>400000</v>
      </c>
    </row>
    <row r="24061" spans="26:26" x14ac:dyDescent="0.25">
      <c r="Z24061">
        <v>400000</v>
      </c>
    </row>
    <row r="24062" spans="26:26" x14ac:dyDescent="0.25">
      <c r="Z24062">
        <v>400000</v>
      </c>
    </row>
    <row r="24063" spans="26:26" x14ac:dyDescent="0.25">
      <c r="Z24063">
        <v>400000</v>
      </c>
    </row>
    <row r="24064" spans="26:26" x14ac:dyDescent="0.25">
      <c r="Z24064">
        <v>400000</v>
      </c>
    </row>
    <row r="24065" spans="26:26" x14ac:dyDescent="0.25">
      <c r="Z24065">
        <v>400000</v>
      </c>
    </row>
    <row r="24066" spans="26:26" x14ac:dyDescent="0.25">
      <c r="Z24066">
        <v>400000</v>
      </c>
    </row>
    <row r="24067" spans="26:26" x14ac:dyDescent="0.25">
      <c r="Z24067">
        <v>400000</v>
      </c>
    </row>
    <row r="24068" spans="26:26" x14ac:dyDescent="0.25">
      <c r="Z24068">
        <v>400000</v>
      </c>
    </row>
    <row r="24069" spans="26:26" x14ac:dyDescent="0.25">
      <c r="Z24069">
        <v>400000</v>
      </c>
    </row>
    <row r="24070" spans="26:26" x14ac:dyDescent="0.25">
      <c r="Z24070">
        <v>400000</v>
      </c>
    </row>
    <row r="24071" spans="26:26" x14ac:dyDescent="0.25">
      <c r="Z24071">
        <v>400000</v>
      </c>
    </row>
    <row r="24072" spans="26:26" x14ac:dyDescent="0.25">
      <c r="Z24072">
        <v>400000</v>
      </c>
    </row>
    <row r="24073" spans="26:26" x14ac:dyDescent="0.25">
      <c r="Z24073">
        <v>400000</v>
      </c>
    </row>
    <row r="24074" spans="26:26" x14ac:dyDescent="0.25">
      <c r="Z24074">
        <v>400000</v>
      </c>
    </row>
    <row r="24075" spans="26:26" x14ac:dyDescent="0.25">
      <c r="Z24075">
        <v>400000</v>
      </c>
    </row>
    <row r="24076" spans="26:26" x14ac:dyDescent="0.25">
      <c r="Z24076">
        <v>400000</v>
      </c>
    </row>
    <row r="24077" spans="26:26" x14ac:dyDescent="0.25">
      <c r="Z24077">
        <v>400000</v>
      </c>
    </row>
    <row r="24078" spans="26:26" x14ac:dyDescent="0.25">
      <c r="Z24078">
        <v>400000</v>
      </c>
    </row>
    <row r="24079" spans="26:26" x14ac:dyDescent="0.25">
      <c r="Z24079">
        <v>400000</v>
      </c>
    </row>
    <row r="24080" spans="26:26" x14ac:dyDescent="0.25">
      <c r="Z24080">
        <v>400000</v>
      </c>
    </row>
    <row r="24081" spans="26:26" x14ac:dyDescent="0.25">
      <c r="Z24081">
        <v>400000</v>
      </c>
    </row>
    <row r="24082" spans="26:26" x14ac:dyDescent="0.25">
      <c r="Z24082">
        <v>400000</v>
      </c>
    </row>
    <row r="24083" spans="26:26" x14ac:dyDescent="0.25">
      <c r="Z24083">
        <v>400000</v>
      </c>
    </row>
    <row r="24084" spans="26:26" x14ac:dyDescent="0.25">
      <c r="Z24084">
        <v>400000</v>
      </c>
    </row>
    <row r="24085" spans="26:26" x14ac:dyDescent="0.25">
      <c r="Z24085">
        <v>400000</v>
      </c>
    </row>
    <row r="24086" spans="26:26" x14ac:dyDescent="0.25">
      <c r="Z24086">
        <v>400000</v>
      </c>
    </row>
    <row r="24087" spans="26:26" x14ac:dyDescent="0.25">
      <c r="Z24087">
        <v>400000</v>
      </c>
    </row>
    <row r="24088" spans="26:26" x14ac:dyDescent="0.25">
      <c r="Z24088">
        <v>400000</v>
      </c>
    </row>
    <row r="24089" spans="26:26" x14ac:dyDescent="0.25">
      <c r="Z24089">
        <v>400000</v>
      </c>
    </row>
    <row r="24090" spans="26:26" x14ac:dyDescent="0.25">
      <c r="Z24090">
        <v>400000</v>
      </c>
    </row>
    <row r="24091" spans="26:26" x14ac:dyDescent="0.25">
      <c r="Z24091">
        <v>400000</v>
      </c>
    </row>
    <row r="24092" spans="26:26" x14ac:dyDescent="0.25">
      <c r="Z24092">
        <v>400000</v>
      </c>
    </row>
    <row r="24093" spans="26:26" x14ac:dyDescent="0.25">
      <c r="Z24093">
        <v>400000</v>
      </c>
    </row>
    <row r="24094" spans="26:26" x14ac:dyDescent="0.25">
      <c r="Z24094">
        <v>400000</v>
      </c>
    </row>
    <row r="24095" spans="26:26" x14ac:dyDescent="0.25">
      <c r="Z24095">
        <v>400000</v>
      </c>
    </row>
    <row r="24096" spans="26:26" x14ac:dyDescent="0.25">
      <c r="Z24096">
        <v>400000</v>
      </c>
    </row>
    <row r="24097" spans="26:26" x14ac:dyDescent="0.25">
      <c r="Z24097">
        <v>400000</v>
      </c>
    </row>
    <row r="24098" spans="26:26" x14ac:dyDescent="0.25">
      <c r="Z24098">
        <v>400000</v>
      </c>
    </row>
    <row r="24099" spans="26:26" x14ac:dyDescent="0.25">
      <c r="Z24099">
        <v>400000</v>
      </c>
    </row>
    <row r="24100" spans="26:26" x14ac:dyDescent="0.25">
      <c r="Z24100">
        <v>400000</v>
      </c>
    </row>
    <row r="24101" spans="26:26" x14ac:dyDescent="0.25">
      <c r="Z24101">
        <v>400000</v>
      </c>
    </row>
    <row r="24102" spans="26:26" x14ac:dyDescent="0.25">
      <c r="Z24102">
        <v>400000</v>
      </c>
    </row>
    <row r="24103" spans="26:26" x14ac:dyDescent="0.25">
      <c r="Z24103">
        <v>400000</v>
      </c>
    </row>
    <row r="24104" spans="26:26" x14ac:dyDescent="0.25">
      <c r="Z24104">
        <v>400000</v>
      </c>
    </row>
    <row r="24105" spans="26:26" x14ac:dyDescent="0.25">
      <c r="Z24105">
        <v>400000</v>
      </c>
    </row>
    <row r="24106" spans="26:26" x14ac:dyDescent="0.25">
      <c r="Z24106">
        <v>400000</v>
      </c>
    </row>
    <row r="24107" spans="26:26" x14ac:dyDescent="0.25">
      <c r="Z24107">
        <v>400000</v>
      </c>
    </row>
    <row r="24108" spans="26:26" x14ac:dyDescent="0.25">
      <c r="Z24108">
        <v>400000</v>
      </c>
    </row>
    <row r="24109" spans="26:26" x14ac:dyDescent="0.25">
      <c r="Z24109">
        <v>400000</v>
      </c>
    </row>
    <row r="24110" spans="26:26" x14ac:dyDescent="0.25">
      <c r="Z24110">
        <v>400000</v>
      </c>
    </row>
    <row r="24111" spans="26:26" x14ac:dyDescent="0.25">
      <c r="Z24111">
        <v>400000</v>
      </c>
    </row>
    <row r="24112" spans="26:26" x14ac:dyDescent="0.25">
      <c r="Z24112">
        <v>400000</v>
      </c>
    </row>
    <row r="24113" spans="26:26" x14ac:dyDescent="0.25">
      <c r="Z24113">
        <v>400000</v>
      </c>
    </row>
    <row r="24114" spans="26:26" x14ac:dyDescent="0.25">
      <c r="Z24114">
        <v>400000</v>
      </c>
    </row>
    <row r="24115" spans="26:26" x14ac:dyDescent="0.25">
      <c r="Z24115">
        <v>400000</v>
      </c>
    </row>
    <row r="24116" spans="26:26" x14ac:dyDescent="0.25">
      <c r="Z24116">
        <v>400000</v>
      </c>
    </row>
    <row r="24117" spans="26:26" x14ac:dyDescent="0.25">
      <c r="Z24117">
        <v>400000</v>
      </c>
    </row>
    <row r="24118" spans="26:26" x14ac:dyDescent="0.25">
      <c r="Z24118">
        <v>400000</v>
      </c>
    </row>
    <row r="24119" spans="26:26" x14ac:dyDescent="0.25">
      <c r="Z24119">
        <v>400000</v>
      </c>
    </row>
    <row r="24120" spans="26:26" x14ac:dyDescent="0.25">
      <c r="Z24120">
        <v>400000</v>
      </c>
    </row>
    <row r="24121" spans="26:26" x14ac:dyDescent="0.25">
      <c r="Z24121">
        <v>400000</v>
      </c>
    </row>
    <row r="24122" spans="26:26" x14ac:dyDescent="0.25">
      <c r="Z24122">
        <v>400000</v>
      </c>
    </row>
    <row r="24123" spans="26:26" x14ac:dyDescent="0.25">
      <c r="Z24123">
        <v>400000</v>
      </c>
    </row>
    <row r="24124" spans="26:26" x14ac:dyDescent="0.25">
      <c r="Z24124">
        <v>400000</v>
      </c>
    </row>
    <row r="24125" spans="26:26" x14ac:dyDescent="0.25">
      <c r="Z24125">
        <v>400000</v>
      </c>
    </row>
    <row r="24126" spans="26:26" x14ac:dyDescent="0.25">
      <c r="Z24126">
        <v>400000</v>
      </c>
    </row>
    <row r="24127" spans="26:26" x14ac:dyDescent="0.25">
      <c r="Z24127">
        <v>400000</v>
      </c>
    </row>
    <row r="24128" spans="26:26" x14ac:dyDescent="0.25">
      <c r="Z24128">
        <v>400000</v>
      </c>
    </row>
    <row r="24129" spans="26:26" x14ac:dyDescent="0.25">
      <c r="Z24129">
        <v>400000</v>
      </c>
    </row>
    <row r="24130" spans="26:26" x14ac:dyDescent="0.25">
      <c r="Z24130">
        <v>400000</v>
      </c>
    </row>
    <row r="24131" spans="26:26" x14ac:dyDescent="0.25">
      <c r="Z24131">
        <v>400000</v>
      </c>
    </row>
    <row r="24132" spans="26:26" x14ac:dyDescent="0.25">
      <c r="Z24132">
        <v>400000</v>
      </c>
    </row>
    <row r="24133" spans="26:26" x14ac:dyDescent="0.25">
      <c r="Z24133">
        <v>400000</v>
      </c>
    </row>
    <row r="24134" spans="26:26" x14ac:dyDescent="0.25">
      <c r="Z24134">
        <v>400000</v>
      </c>
    </row>
    <row r="24135" spans="26:26" x14ac:dyDescent="0.25">
      <c r="Z24135">
        <v>400000</v>
      </c>
    </row>
    <row r="24136" spans="26:26" x14ac:dyDescent="0.25">
      <c r="Z24136">
        <v>400000</v>
      </c>
    </row>
    <row r="24137" spans="26:26" x14ac:dyDescent="0.25">
      <c r="Z24137">
        <v>400000</v>
      </c>
    </row>
    <row r="24138" spans="26:26" x14ac:dyDescent="0.25">
      <c r="Z24138">
        <v>400000</v>
      </c>
    </row>
    <row r="24139" spans="26:26" x14ac:dyDescent="0.25">
      <c r="Z24139">
        <v>400000</v>
      </c>
    </row>
    <row r="24140" spans="26:26" x14ac:dyDescent="0.25">
      <c r="Z24140">
        <v>400000</v>
      </c>
    </row>
    <row r="24141" spans="26:26" x14ac:dyDescent="0.25">
      <c r="Z24141">
        <v>400000</v>
      </c>
    </row>
    <row r="24142" spans="26:26" x14ac:dyDescent="0.25">
      <c r="Z24142">
        <v>400000</v>
      </c>
    </row>
    <row r="24143" spans="26:26" x14ac:dyDescent="0.25">
      <c r="Z24143">
        <v>400000</v>
      </c>
    </row>
    <row r="24144" spans="26:26" x14ac:dyDescent="0.25">
      <c r="Z24144">
        <v>400000</v>
      </c>
    </row>
    <row r="24145" spans="26:26" x14ac:dyDescent="0.25">
      <c r="Z24145">
        <v>400000</v>
      </c>
    </row>
    <row r="24146" spans="26:26" x14ac:dyDescent="0.25">
      <c r="Z24146">
        <v>400000</v>
      </c>
    </row>
    <row r="24147" spans="26:26" x14ac:dyDescent="0.25">
      <c r="Z24147">
        <v>400000</v>
      </c>
    </row>
    <row r="24148" spans="26:26" x14ac:dyDescent="0.25">
      <c r="Z24148">
        <v>400000</v>
      </c>
    </row>
    <row r="24149" spans="26:26" x14ac:dyDescent="0.25">
      <c r="Z24149">
        <v>400000</v>
      </c>
    </row>
    <row r="24150" spans="26:26" x14ac:dyDescent="0.25">
      <c r="Z24150">
        <v>400000</v>
      </c>
    </row>
    <row r="24151" spans="26:26" x14ac:dyDescent="0.25">
      <c r="Z24151">
        <v>400000</v>
      </c>
    </row>
    <row r="24152" spans="26:26" x14ac:dyDescent="0.25">
      <c r="Z24152">
        <v>400000</v>
      </c>
    </row>
    <row r="24153" spans="26:26" x14ac:dyDescent="0.25">
      <c r="Z24153">
        <v>400000</v>
      </c>
    </row>
    <row r="24154" spans="26:26" x14ac:dyDescent="0.25">
      <c r="Z24154">
        <v>400000</v>
      </c>
    </row>
    <row r="24155" spans="26:26" x14ac:dyDescent="0.25">
      <c r="Z24155">
        <v>400000</v>
      </c>
    </row>
    <row r="24156" spans="26:26" x14ac:dyDescent="0.25">
      <c r="Z24156">
        <v>400000</v>
      </c>
    </row>
    <row r="24157" spans="26:26" x14ac:dyDescent="0.25">
      <c r="Z24157">
        <v>400000</v>
      </c>
    </row>
    <row r="24158" spans="26:26" x14ac:dyDescent="0.25">
      <c r="Z24158">
        <v>400000</v>
      </c>
    </row>
    <row r="24159" spans="26:26" x14ac:dyDescent="0.25">
      <c r="Z24159">
        <v>400000</v>
      </c>
    </row>
    <row r="24160" spans="26:26" x14ac:dyDescent="0.25">
      <c r="Z24160">
        <v>400000</v>
      </c>
    </row>
    <row r="24161" spans="26:26" x14ac:dyDescent="0.25">
      <c r="Z24161">
        <v>400000</v>
      </c>
    </row>
    <row r="24162" spans="26:26" x14ac:dyDescent="0.25">
      <c r="Z24162">
        <v>400000</v>
      </c>
    </row>
    <row r="24163" spans="26:26" x14ac:dyDescent="0.25">
      <c r="Z24163">
        <v>400000</v>
      </c>
    </row>
    <row r="24164" spans="26:26" x14ac:dyDescent="0.25">
      <c r="Z24164">
        <v>400000</v>
      </c>
    </row>
    <row r="24165" spans="26:26" x14ac:dyDescent="0.25">
      <c r="Z24165">
        <v>400000</v>
      </c>
    </row>
    <row r="24166" spans="26:26" x14ac:dyDescent="0.25">
      <c r="Z24166">
        <v>400000</v>
      </c>
    </row>
    <row r="24167" spans="26:26" x14ac:dyDescent="0.25">
      <c r="Z24167">
        <v>400000</v>
      </c>
    </row>
    <row r="24168" spans="26:26" x14ac:dyDescent="0.25">
      <c r="Z24168">
        <v>400000</v>
      </c>
    </row>
    <row r="24169" spans="26:26" x14ac:dyDescent="0.25">
      <c r="Z24169">
        <v>400000</v>
      </c>
    </row>
    <row r="24170" spans="26:26" x14ac:dyDescent="0.25">
      <c r="Z24170">
        <v>400000</v>
      </c>
    </row>
    <row r="24171" spans="26:26" x14ac:dyDescent="0.25">
      <c r="Z24171">
        <v>400000</v>
      </c>
    </row>
    <row r="24172" spans="26:26" x14ac:dyDescent="0.25">
      <c r="Z24172">
        <v>400000</v>
      </c>
    </row>
    <row r="24173" spans="26:26" x14ac:dyDescent="0.25">
      <c r="Z24173">
        <v>400000</v>
      </c>
    </row>
    <row r="24174" spans="26:26" x14ac:dyDescent="0.25">
      <c r="Z24174">
        <v>400000</v>
      </c>
    </row>
    <row r="24175" spans="26:26" x14ac:dyDescent="0.25">
      <c r="Z24175">
        <v>400000</v>
      </c>
    </row>
    <row r="24176" spans="26:26" x14ac:dyDescent="0.25">
      <c r="Z24176">
        <v>400000</v>
      </c>
    </row>
    <row r="24177" spans="26:26" x14ac:dyDescent="0.25">
      <c r="Z24177">
        <v>400000</v>
      </c>
    </row>
    <row r="24178" spans="26:26" x14ac:dyDescent="0.25">
      <c r="Z24178">
        <v>400000</v>
      </c>
    </row>
    <row r="24179" spans="26:26" x14ac:dyDescent="0.25">
      <c r="Z24179">
        <v>400000</v>
      </c>
    </row>
    <row r="24180" spans="26:26" x14ac:dyDescent="0.25">
      <c r="Z24180">
        <v>400000</v>
      </c>
    </row>
    <row r="24181" spans="26:26" x14ac:dyDescent="0.25">
      <c r="Z24181">
        <v>400000</v>
      </c>
    </row>
    <row r="24182" spans="26:26" x14ac:dyDescent="0.25">
      <c r="Z24182">
        <v>400000</v>
      </c>
    </row>
    <row r="24183" spans="26:26" x14ac:dyDescent="0.25">
      <c r="Z24183">
        <v>400000</v>
      </c>
    </row>
    <row r="24184" spans="26:26" x14ac:dyDescent="0.25">
      <c r="Z24184">
        <v>400000</v>
      </c>
    </row>
    <row r="24185" spans="26:26" x14ac:dyDescent="0.25">
      <c r="Z24185">
        <v>400000</v>
      </c>
    </row>
    <row r="24186" spans="26:26" x14ac:dyDescent="0.25">
      <c r="Z24186">
        <v>400000</v>
      </c>
    </row>
    <row r="24187" spans="26:26" x14ac:dyDescent="0.25">
      <c r="Z24187">
        <v>400000</v>
      </c>
    </row>
    <row r="24188" spans="26:26" x14ac:dyDescent="0.25">
      <c r="Z24188">
        <v>400000</v>
      </c>
    </row>
    <row r="24189" spans="26:26" x14ac:dyDescent="0.25">
      <c r="Z24189">
        <v>400000</v>
      </c>
    </row>
    <row r="24190" spans="26:26" x14ac:dyDescent="0.25">
      <c r="Z24190">
        <v>400000</v>
      </c>
    </row>
    <row r="24191" spans="26:26" x14ac:dyDescent="0.25">
      <c r="Z24191">
        <v>400000</v>
      </c>
    </row>
    <row r="24192" spans="26:26" x14ac:dyDescent="0.25">
      <c r="Z24192">
        <v>400000</v>
      </c>
    </row>
    <row r="24193" spans="26:26" x14ac:dyDescent="0.25">
      <c r="Z24193">
        <v>400000</v>
      </c>
    </row>
    <row r="24194" spans="26:26" x14ac:dyDescent="0.25">
      <c r="Z24194">
        <v>400000</v>
      </c>
    </row>
    <row r="24195" spans="26:26" x14ac:dyDescent="0.25">
      <c r="Z24195">
        <v>400000</v>
      </c>
    </row>
    <row r="24196" spans="26:26" x14ac:dyDescent="0.25">
      <c r="Z24196">
        <v>400000</v>
      </c>
    </row>
    <row r="24197" spans="26:26" x14ac:dyDescent="0.25">
      <c r="Z24197">
        <v>400000</v>
      </c>
    </row>
    <row r="24198" spans="26:26" x14ac:dyDescent="0.25">
      <c r="Z24198">
        <v>400000</v>
      </c>
    </row>
    <row r="24199" spans="26:26" x14ac:dyDescent="0.25">
      <c r="Z24199">
        <v>400000</v>
      </c>
    </row>
    <row r="24200" spans="26:26" x14ac:dyDescent="0.25">
      <c r="Z24200">
        <v>400000</v>
      </c>
    </row>
    <row r="24201" spans="26:26" x14ac:dyDescent="0.25">
      <c r="Z24201">
        <v>400000</v>
      </c>
    </row>
    <row r="24202" spans="26:26" x14ac:dyDescent="0.25">
      <c r="Z24202">
        <v>400000</v>
      </c>
    </row>
    <row r="24203" spans="26:26" x14ac:dyDescent="0.25">
      <c r="Z24203">
        <v>400000</v>
      </c>
    </row>
    <row r="24204" spans="26:26" x14ac:dyDescent="0.25">
      <c r="Z24204">
        <v>400000</v>
      </c>
    </row>
    <row r="24205" spans="26:26" x14ac:dyDescent="0.25">
      <c r="Z24205">
        <v>400000</v>
      </c>
    </row>
    <row r="24206" spans="26:26" x14ac:dyDescent="0.25">
      <c r="Z24206">
        <v>400000</v>
      </c>
    </row>
    <row r="24207" spans="26:26" x14ac:dyDescent="0.25">
      <c r="Z24207">
        <v>400000</v>
      </c>
    </row>
    <row r="24208" spans="26:26" x14ac:dyDescent="0.25">
      <c r="Z24208">
        <v>400000</v>
      </c>
    </row>
    <row r="24209" spans="26:26" x14ac:dyDescent="0.25">
      <c r="Z24209">
        <v>400000</v>
      </c>
    </row>
    <row r="24210" spans="26:26" x14ac:dyDescent="0.25">
      <c r="Z24210">
        <v>400000</v>
      </c>
    </row>
    <row r="24211" spans="26:26" x14ac:dyDescent="0.25">
      <c r="Z24211">
        <v>400000</v>
      </c>
    </row>
    <row r="24212" spans="26:26" x14ac:dyDescent="0.25">
      <c r="Z24212">
        <v>400000</v>
      </c>
    </row>
    <row r="24213" spans="26:26" x14ac:dyDescent="0.25">
      <c r="Z24213">
        <v>400000</v>
      </c>
    </row>
    <row r="24214" spans="26:26" x14ac:dyDescent="0.25">
      <c r="Z24214">
        <v>400000</v>
      </c>
    </row>
    <row r="24215" spans="26:26" x14ac:dyDescent="0.25">
      <c r="Z24215">
        <v>400000</v>
      </c>
    </row>
    <row r="24216" spans="26:26" x14ac:dyDescent="0.25">
      <c r="Z24216">
        <v>400000</v>
      </c>
    </row>
    <row r="24217" spans="26:26" x14ac:dyDescent="0.25">
      <c r="Z24217">
        <v>400000</v>
      </c>
    </row>
    <row r="24218" spans="26:26" x14ac:dyDescent="0.25">
      <c r="Z24218">
        <v>400000</v>
      </c>
    </row>
    <row r="24219" spans="26:26" x14ac:dyDescent="0.25">
      <c r="Z24219">
        <v>400000</v>
      </c>
    </row>
    <row r="24220" spans="26:26" x14ac:dyDescent="0.25">
      <c r="Z24220">
        <v>400000</v>
      </c>
    </row>
    <row r="24221" spans="26:26" x14ac:dyDescent="0.25">
      <c r="Z24221">
        <v>400000</v>
      </c>
    </row>
    <row r="24222" spans="26:26" x14ac:dyDescent="0.25">
      <c r="Z24222">
        <v>400000</v>
      </c>
    </row>
    <row r="24223" spans="26:26" x14ac:dyDescent="0.25">
      <c r="Z24223">
        <v>400000</v>
      </c>
    </row>
    <row r="24224" spans="26:26" x14ac:dyDescent="0.25">
      <c r="Z24224">
        <v>400000</v>
      </c>
    </row>
    <row r="24225" spans="26:26" x14ac:dyDescent="0.25">
      <c r="Z24225">
        <v>400000</v>
      </c>
    </row>
    <row r="24226" spans="26:26" x14ac:dyDescent="0.25">
      <c r="Z24226">
        <v>400000</v>
      </c>
    </row>
    <row r="24227" spans="26:26" x14ac:dyDescent="0.25">
      <c r="Z24227">
        <v>400000</v>
      </c>
    </row>
    <row r="24228" spans="26:26" x14ac:dyDescent="0.25">
      <c r="Z24228">
        <v>400000</v>
      </c>
    </row>
    <row r="24229" spans="26:26" x14ac:dyDescent="0.25">
      <c r="Z24229">
        <v>400000</v>
      </c>
    </row>
    <row r="24230" spans="26:26" x14ac:dyDescent="0.25">
      <c r="Z24230">
        <v>400000</v>
      </c>
    </row>
    <row r="24231" spans="26:26" x14ac:dyDescent="0.25">
      <c r="Z24231">
        <v>400000</v>
      </c>
    </row>
    <row r="24232" spans="26:26" x14ac:dyDescent="0.25">
      <c r="Z24232">
        <v>400000</v>
      </c>
    </row>
    <row r="24233" spans="26:26" x14ac:dyDescent="0.25">
      <c r="Z24233">
        <v>400000</v>
      </c>
    </row>
    <row r="24234" spans="26:26" x14ac:dyDescent="0.25">
      <c r="Z24234">
        <v>400000</v>
      </c>
    </row>
    <row r="24235" spans="26:26" x14ac:dyDescent="0.25">
      <c r="Z24235">
        <v>400000</v>
      </c>
    </row>
    <row r="24236" spans="26:26" x14ac:dyDescent="0.25">
      <c r="Z24236">
        <v>400000</v>
      </c>
    </row>
    <row r="24237" spans="26:26" x14ac:dyDescent="0.25">
      <c r="Z24237">
        <v>400000</v>
      </c>
    </row>
    <row r="24238" spans="26:26" x14ac:dyDescent="0.25">
      <c r="Z24238">
        <v>400000</v>
      </c>
    </row>
    <row r="24239" spans="26:26" x14ac:dyDescent="0.25">
      <c r="Z24239">
        <v>400000</v>
      </c>
    </row>
    <row r="24240" spans="26:26" x14ac:dyDescent="0.25">
      <c r="Z24240">
        <v>400000</v>
      </c>
    </row>
    <row r="24241" spans="26:26" x14ac:dyDescent="0.25">
      <c r="Z24241">
        <v>400000</v>
      </c>
    </row>
    <row r="24242" spans="26:26" x14ac:dyDescent="0.25">
      <c r="Z24242">
        <v>400000</v>
      </c>
    </row>
    <row r="24243" spans="26:26" x14ac:dyDescent="0.25">
      <c r="Z24243">
        <v>400000</v>
      </c>
    </row>
    <row r="24244" spans="26:26" x14ac:dyDescent="0.25">
      <c r="Z24244">
        <v>400000</v>
      </c>
    </row>
    <row r="24245" spans="26:26" x14ac:dyDescent="0.25">
      <c r="Z24245">
        <v>400000</v>
      </c>
    </row>
    <row r="24246" spans="26:26" x14ac:dyDescent="0.25">
      <c r="Z24246">
        <v>400000</v>
      </c>
    </row>
    <row r="24247" spans="26:26" x14ac:dyDescent="0.25">
      <c r="Z24247">
        <v>400000</v>
      </c>
    </row>
    <row r="24248" spans="26:26" x14ac:dyDescent="0.25">
      <c r="Z24248">
        <v>400000</v>
      </c>
    </row>
    <row r="24249" spans="26:26" x14ac:dyDescent="0.25">
      <c r="Z24249">
        <v>400000</v>
      </c>
    </row>
    <row r="24250" spans="26:26" x14ac:dyDescent="0.25">
      <c r="Z24250">
        <v>400000</v>
      </c>
    </row>
    <row r="24251" spans="26:26" x14ac:dyDescent="0.25">
      <c r="Z24251">
        <v>400000</v>
      </c>
    </row>
    <row r="24252" spans="26:26" x14ac:dyDescent="0.25">
      <c r="Z24252">
        <v>400000</v>
      </c>
    </row>
    <row r="24253" spans="26:26" x14ac:dyDescent="0.25">
      <c r="Z24253">
        <v>400000</v>
      </c>
    </row>
    <row r="24254" spans="26:26" x14ac:dyDescent="0.25">
      <c r="Z24254">
        <v>400000</v>
      </c>
    </row>
    <row r="24255" spans="26:26" x14ac:dyDescent="0.25">
      <c r="Z24255">
        <v>400000</v>
      </c>
    </row>
    <row r="24256" spans="26:26" x14ac:dyDescent="0.25">
      <c r="Z24256">
        <v>400000</v>
      </c>
    </row>
    <row r="24257" spans="26:26" x14ac:dyDescent="0.25">
      <c r="Z24257">
        <v>400000</v>
      </c>
    </row>
    <row r="24258" spans="26:26" x14ac:dyDescent="0.25">
      <c r="Z24258">
        <v>400000</v>
      </c>
    </row>
    <row r="24259" spans="26:26" x14ac:dyDescent="0.25">
      <c r="Z24259">
        <v>400000</v>
      </c>
    </row>
    <row r="24260" spans="26:26" x14ac:dyDescent="0.25">
      <c r="Z24260">
        <v>400000</v>
      </c>
    </row>
    <row r="24261" spans="26:26" x14ac:dyDescent="0.25">
      <c r="Z24261">
        <v>400000</v>
      </c>
    </row>
    <row r="24262" spans="26:26" x14ac:dyDescent="0.25">
      <c r="Z24262">
        <v>400000</v>
      </c>
    </row>
    <row r="24263" spans="26:26" x14ac:dyDescent="0.25">
      <c r="Z24263">
        <v>400000</v>
      </c>
    </row>
    <row r="24264" spans="26:26" x14ac:dyDescent="0.25">
      <c r="Z24264">
        <v>400000</v>
      </c>
    </row>
    <row r="24265" spans="26:26" x14ac:dyDescent="0.25">
      <c r="Z24265">
        <v>400000</v>
      </c>
    </row>
    <row r="24266" spans="26:26" x14ac:dyDescent="0.25">
      <c r="Z24266">
        <v>400000</v>
      </c>
    </row>
    <row r="24267" spans="26:26" x14ac:dyDescent="0.25">
      <c r="Z24267">
        <v>400000</v>
      </c>
    </row>
    <row r="24268" spans="26:26" x14ac:dyDescent="0.25">
      <c r="Z24268">
        <v>400000</v>
      </c>
    </row>
    <row r="24269" spans="26:26" x14ac:dyDescent="0.25">
      <c r="Z24269">
        <v>400000</v>
      </c>
    </row>
    <row r="24270" spans="26:26" x14ac:dyDescent="0.25">
      <c r="Z24270">
        <v>400000</v>
      </c>
    </row>
    <row r="24271" spans="26:26" x14ac:dyDescent="0.25">
      <c r="Z24271">
        <v>400000</v>
      </c>
    </row>
    <row r="24272" spans="26:26" x14ac:dyDescent="0.25">
      <c r="Z24272">
        <v>400000</v>
      </c>
    </row>
    <row r="24273" spans="26:26" x14ac:dyDescent="0.25">
      <c r="Z24273">
        <v>400000</v>
      </c>
    </row>
    <row r="24274" spans="26:26" x14ac:dyDescent="0.25">
      <c r="Z24274">
        <v>400000</v>
      </c>
    </row>
    <row r="24275" spans="26:26" x14ac:dyDescent="0.25">
      <c r="Z24275">
        <v>400000</v>
      </c>
    </row>
    <row r="24276" spans="26:26" x14ac:dyDescent="0.25">
      <c r="Z24276">
        <v>400000</v>
      </c>
    </row>
    <row r="24277" spans="26:26" x14ac:dyDescent="0.25">
      <c r="Z24277">
        <v>400000</v>
      </c>
    </row>
    <row r="24278" spans="26:26" x14ac:dyDescent="0.25">
      <c r="Z24278">
        <v>400000</v>
      </c>
    </row>
    <row r="24279" spans="26:26" x14ac:dyDescent="0.25">
      <c r="Z24279">
        <v>400000</v>
      </c>
    </row>
    <row r="24280" spans="26:26" x14ac:dyDescent="0.25">
      <c r="Z24280">
        <v>400000</v>
      </c>
    </row>
    <row r="24281" spans="26:26" x14ac:dyDescent="0.25">
      <c r="Z24281">
        <v>400000</v>
      </c>
    </row>
    <row r="24282" spans="26:26" x14ac:dyDescent="0.25">
      <c r="Z24282">
        <v>400000</v>
      </c>
    </row>
    <row r="24283" spans="26:26" x14ac:dyDescent="0.25">
      <c r="Z24283">
        <v>400000</v>
      </c>
    </row>
    <row r="24284" spans="26:26" x14ac:dyDescent="0.25">
      <c r="Z24284">
        <v>400000</v>
      </c>
    </row>
    <row r="24285" spans="26:26" x14ac:dyDescent="0.25">
      <c r="Z24285">
        <v>400000</v>
      </c>
    </row>
    <row r="24286" spans="26:26" x14ac:dyDescent="0.25">
      <c r="Z24286">
        <v>400000</v>
      </c>
    </row>
    <row r="24287" spans="26:26" x14ac:dyDescent="0.25">
      <c r="Z24287">
        <v>400000</v>
      </c>
    </row>
    <row r="24288" spans="26:26" x14ac:dyDescent="0.25">
      <c r="Z24288">
        <v>400000</v>
      </c>
    </row>
    <row r="24289" spans="26:26" x14ac:dyDescent="0.25">
      <c r="Z24289">
        <v>400000</v>
      </c>
    </row>
    <row r="24290" spans="26:26" x14ac:dyDescent="0.25">
      <c r="Z24290">
        <v>400000</v>
      </c>
    </row>
    <row r="24291" spans="26:26" x14ac:dyDescent="0.25">
      <c r="Z24291">
        <v>400000</v>
      </c>
    </row>
    <row r="24292" spans="26:26" x14ac:dyDescent="0.25">
      <c r="Z24292">
        <v>400000</v>
      </c>
    </row>
    <row r="24293" spans="26:26" x14ac:dyDescent="0.25">
      <c r="Z24293">
        <v>400000</v>
      </c>
    </row>
    <row r="24294" spans="26:26" x14ac:dyDescent="0.25">
      <c r="Z24294">
        <v>400000</v>
      </c>
    </row>
    <row r="24295" spans="26:26" x14ac:dyDescent="0.25">
      <c r="Z24295">
        <v>400000</v>
      </c>
    </row>
    <row r="24296" spans="26:26" x14ac:dyDescent="0.25">
      <c r="Z24296">
        <v>400000</v>
      </c>
    </row>
    <row r="24297" spans="26:26" x14ac:dyDescent="0.25">
      <c r="Z24297">
        <v>400000</v>
      </c>
    </row>
    <row r="24298" spans="26:26" x14ac:dyDescent="0.25">
      <c r="Z24298">
        <v>400000</v>
      </c>
    </row>
    <row r="24299" spans="26:26" x14ac:dyDescent="0.25">
      <c r="Z24299">
        <v>400000</v>
      </c>
    </row>
    <row r="24300" spans="26:26" x14ac:dyDescent="0.25">
      <c r="Z24300">
        <v>400000</v>
      </c>
    </row>
    <row r="24301" spans="26:26" x14ac:dyDescent="0.25">
      <c r="Z24301">
        <v>400000</v>
      </c>
    </row>
    <row r="24302" spans="26:26" x14ac:dyDescent="0.25">
      <c r="Z24302">
        <v>400000</v>
      </c>
    </row>
    <row r="24303" spans="26:26" x14ac:dyDescent="0.25">
      <c r="Z24303">
        <v>400000</v>
      </c>
    </row>
    <row r="24304" spans="26:26" x14ac:dyDescent="0.25">
      <c r="Z24304">
        <v>400000</v>
      </c>
    </row>
    <row r="24305" spans="26:26" x14ac:dyDescent="0.25">
      <c r="Z24305">
        <v>400000</v>
      </c>
    </row>
    <row r="24306" spans="26:26" x14ac:dyDescent="0.25">
      <c r="Z24306">
        <v>400000</v>
      </c>
    </row>
    <row r="24307" spans="26:26" x14ac:dyDescent="0.25">
      <c r="Z24307">
        <v>400000</v>
      </c>
    </row>
    <row r="24308" spans="26:26" x14ac:dyDescent="0.25">
      <c r="Z24308">
        <v>400000</v>
      </c>
    </row>
    <row r="24309" spans="26:26" x14ac:dyDescent="0.25">
      <c r="Z24309">
        <v>400000</v>
      </c>
    </row>
    <row r="24310" spans="26:26" x14ac:dyDescent="0.25">
      <c r="Z24310">
        <v>400000</v>
      </c>
    </row>
    <row r="24311" spans="26:26" x14ac:dyDescent="0.25">
      <c r="Z24311">
        <v>400000</v>
      </c>
    </row>
    <row r="24312" spans="26:26" x14ac:dyDescent="0.25">
      <c r="Z24312">
        <v>400000</v>
      </c>
    </row>
    <row r="24313" spans="26:26" x14ac:dyDescent="0.25">
      <c r="Z24313">
        <v>400000</v>
      </c>
    </row>
    <row r="24314" spans="26:26" x14ac:dyDescent="0.25">
      <c r="Z24314">
        <v>400000</v>
      </c>
    </row>
    <row r="24315" spans="26:26" x14ac:dyDescent="0.25">
      <c r="Z24315">
        <v>400000</v>
      </c>
    </row>
    <row r="24316" spans="26:26" x14ac:dyDescent="0.25">
      <c r="Z24316">
        <v>400000</v>
      </c>
    </row>
    <row r="24317" spans="26:26" x14ac:dyDescent="0.25">
      <c r="Z24317">
        <v>400000</v>
      </c>
    </row>
    <row r="24318" spans="26:26" x14ac:dyDescent="0.25">
      <c r="Z24318">
        <v>400000</v>
      </c>
    </row>
    <row r="24319" spans="26:26" x14ac:dyDescent="0.25">
      <c r="Z24319">
        <v>400000</v>
      </c>
    </row>
    <row r="24320" spans="26:26" x14ac:dyDescent="0.25">
      <c r="Z24320">
        <v>400000</v>
      </c>
    </row>
    <row r="24321" spans="26:26" x14ac:dyDescent="0.25">
      <c r="Z24321">
        <v>400000</v>
      </c>
    </row>
    <row r="24322" spans="26:26" x14ac:dyDescent="0.25">
      <c r="Z24322">
        <v>400000</v>
      </c>
    </row>
    <row r="24323" spans="26:26" x14ac:dyDescent="0.25">
      <c r="Z24323">
        <v>400000</v>
      </c>
    </row>
    <row r="24324" spans="26:26" x14ac:dyDescent="0.25">
      <c r="Z24324">
        <v>400000</v>
      </c>
    </row>
    <row r="24325" spans="26:26" x14ac:dyDescent="0.25">
      <c r="Z24325">
        <v>400000</v>
      </c>
    </row>
    <row r="24326" spans="26:26" x14ac:dyDescent="0.25">
      <c r="Z24326">
        <v>400000</v>
      </c>
    </row>
    <row r="24327" spans="26:26" x14ac:dyDescent="0.25">
      <c r="Z24327">
        <v>400000</v>
      </c>
    </row>
    <row r="24328" spans="26:26" x14ac:dyDescent="0.25">
      <c r="Z24328">
        <v>400000</v>
      </c>
    </row>
    <row r="24329" spans="26:26" x14ac:dyDescent="0.25">
      <c r="Z24329">
        <v>400000</v>
      </c>
    </row>
    <row r="24330" spans="26:26" x14ac:dyDescent="0.25">
      <c r="Z24330">
        <v>400000</v>
      </c>
    </row>
    <row r="24331" spans="26:26" x14ac:dyDescent="0.25">
      <c r="Z24331">
        <v>400000</v>
      </c>
    </row>
    <row r="24332" spans="26:26" x14ac:dyDescent="0.25">
      <c r="Z24332">
        <v>400000</v>
      </c>
    </row>
    <row r="24333" spans="26:26" x14ac:dyDescent="0.25">
      <c r="Z24333">
        <v>400000</v>
      </c>
    </row>
    <row r="24334" spans="26:26" x14ac:dyDescent="0.25">
      <c r="Z24334">
        <v>400000</v>
      </c>
    </row>
    <row r="24335" spans="26:26" x14ac:dyDescent="0.25">
      <c r="Z24335">
        <v>400000</v>
      </c>
    </row>
    <row r="24336" spans="26:26" x14ac:dyDescent="0.25">
      <c r="Z24336">
        <v>400000</v>
      </c>
    </row>
    <row r="24337" spans="26:26" x14ac:dyDescent="0.25">
      <c r="Z24337">
        <v>400000</v>
      </c>
    </row>
    <row r="24338" spans="26:26" x14ac:dyDescent="0.25">
      <c r="Z24338">
        <v>400000</v>
      </c>
    </row>
    <row r="24339" spans="26:26" x14ac:dyDescent="0.25">
      <c r="Z24339">
        <v>400000</v>
      </c>
    </row>
    <row r="24340" spans="26:26" x14ac:dyDescent="0.25">
      <c r="Z24340">
        <v>400000</v>
      </c>
    </row>
    <row r="24341" spans="26:26" x14ac:dyDescent="0.25">
      <c r="Z24341">
        <v>400000</v>
      </c>
    </row>
    <row r="24342" spans="26:26" x14ac:dyDescent="0.25">
      <c r="Z24342">
        <v>400000</v>
      </c>
    </row>
    <row r="24343" spans="26:26" x14ac:dyDescent="0.25">
      <c r="Z24343">
        <v>400000</v>
      </c>
    </row>
    <row r="24344" spans="26:26" x14ac:dyDescent="0.25">
      <c r="Z24344">
        <v>400000</v>
      </c>
    </row>
    <row r="24345" spans="26:26" x14ac:dyDescent="0.25">
      <c r="Z24345">
        <v>400000</v>
      </c>
    </row>
    <row r="24346" spans="26:26" x14ac:dyDescent="0.25">
      <c r="Z24346">
        <v>400000</v>
      </c>
    </row>
    <row r="24347" spans="26:26" x14ac:dyDescent="0.25">
      <c r="Z24347">
        <v>400000</v>
      </c>
    </row>
    <row r="24348" spans="26:26" x14ac:dyDescent="0.25">
      <c r="Z24348">
        <v>400000</v>
      </c>
    </row>
    <row r="24349" spans="26:26" x14ac:dyDescent="0.25">
      <c r="Z24349">
        <v>400000</v>
      </c>
    </row>
    <row r="24350" spans="26:26" x14ac:dyDescent="0.25">
      <c r="Z24350">
        <v>400000</v>
      </c>
    </row>
    <row r="24351" spans="26:26" x14ac:dyDescent="0.25">
      <c r="Z24351">
        <v>400000</v>
      </c>
    </row>
    <row r="24352" spans="26:26" x14ac:dyDescent="0.25">
      <c r="Z24352">
        <v>400000</v>
      </c>
    </row>
    <row r="24353" spans="26:26" x14ac:dyDescent="0.25">
      <c r="Z24353">
        <v>400000</v>
      </c>
    </row>
    <row r="24354" spans="26:26" x14ac:dyDescent="0.25">
      <c r="Z24354">
        <v>400000</v>
      </c>
    </row>
    <row r="24355" spans="26:26" x14ac:dyDescent="0.25">
      <c r="Z24355">
        <v>400000</v>
      </c>
    </row>
    <row r="24356" spans="26:26" x14ac:dyDescent="0.25">
      <c r="Z24356">
        <v>400000</v>
      </c>
    </row>
    <row r="24357" spans="26:26" x14ac:dyDescent="0.25">
      <c r="Z24357">
        <v>400000</v>
      </c>
    </row>
    <row r="24358" spans="26:26" x14ac:dyDescent="0.25">
      <c r="Z24358">
        <v>400000</v>
      </c>
    </row>
    <row r="24359" spans="26:26" x14ac:dyDescent="0.25">
      <c r="Z24359">
        <v>400000</v>
      </c>
    </row>
    <row r="24360" spans="26:26" x14ac:dyDescent="0.25">
      <c r="Z24360">
        <v>400000</v>
      </c>
    </row>
    <row r="24361" spans="26:26" x14ac:dyDescent="0.25">
      <c r="Z24361">
        <v>400000</v>
      </c>
    </row>
    <row r="24362" spans="26:26" x14ac:dyDescent="0.25">
      <c r="Z24362">
        <v>400000</v>
      </c>
    </row>
    <row r="24363" spans="26:26" x14ac:dyDescent="0.25">
      <c r="Z24363">
        <v>400000</v>
      </c>
    </row>
    <row r="24364" spans="26:26" x14ac:dyDescent="0.25">
      <c r="Z24364">
        <v>400000</v>
      </c>
    </row>
    <row r="24365" spans="26:26" x14ac:dyDescent="0.25">
      <c r="Z24365">
        <v>400000</v>
      </c>
    </row>
    <row r="24366" spans="26:26" x14ac:dyDescent="0.25">
      <c r="Z24366">
        <v>400000</v>
      </c>
    </row>
    <row r="24367" spans="26:26" x14ac:dyDescent="0.25">
      <c r="Z24367">
        <v>400000</v>
      </c>
    </row>
    <row r="24368" spans="26:26" x14ac:dyDescent="0.25">
      <c r="Z24368">
        <v>400000</v>
      </c>
    </row>
    <row r="24369" spans="26:26" x14ac:dyDescent="0.25">
      <c r="Z24369">
        <v>400000</v>
      </c>
    </row>
    <row r="24370" spans="26:26" x14ac:dyDescent="0.25">
      <c r="Z24370">
        <v>400000</v>
      </c>
    </row>
    <row r="24371" spans="26:26" x14ac:dyDescent="0.25">
      <c r="Z24371">
        <v>400000</v>
      </c>
    </row>
    <row r="24372" spans="26:26" x14ac:dyDescent="0.25">
      <c r="Z24372">
        <v>400000</v>
      </c>
    </row>
    <row r="24373" spans="26:26" x14ac:dyDescent="0.25">
      <c r="Z24373">
        <v>400000</v>
      </c>
    </row>
    <row r="24374" spans="26:26" x14ac:dyDescent="0.25">
      <c r="Z24374">
        <v>400000</v>
      </c>
    </row>
    <row r="24375" spans="26:26" x14ac:dyDescent="0.25">
      <c r="Z24375">
        <v>400000</v>
      </c>
    </row>
    <row r="24376" spans="26:26" x14ac:dyDescent="0.25">
      <c r="Z24376">
        <v>400000</v>
      </c>
    </row>
    <row r="24377" spans="26:26" x14ac:dyDescent="0.25">
      <c r="Z24377">
        <v>400000</v>
      </c>
    </row>
    <row r="24378" spans="26:26" x14ac:dyDescent="0.25">
      <c r="Z24378">
        <v>400000</v>
      </c>
    </row>
    <row r="24379" spans="26:26" x14ac:dyDescent="0.25">
      <c r="Z24379">
        <v>400000</v>
      </c>
    </row>
    <row r="24380" spans="26:26" x14ac:dyDescent="0.25">
      <c r="Z24380">
        <v>400000</v>
      </c>
    </row>
    <row r="24381" spans="26:26" x14ac:dyDescent="0.25">
      <c r="Z24381">
        <v>400000</v>
      </c>
    </row>
    <row r="24382" spans="26:26" x14ac:dyDescent="0.25">
      <c r="Z24382">
        <v>400000</v>
      </c>
    </row>
    <row r="24383" spans="26:26" x14ac:dyDescent="0.25">
      <c r="Z24383">
        <v>400000</v>
      </c>
    </row>
    <row r="24384" spans="26:26" x14ac:dyDescent="0.25">
      <c r="Z24384">
        <v>400000</v>
      </c>
    </row>
    <row r="24385" spans="26:26" x14ac:dyDescent="0.25">
      <c r="Z24385">
        <v>400000</v>
      </c>
    </row>
    <row r="24386" spans="26:26" x14ac:dyDescent="0.25">
      <c r="Z24386">
        <v>400000</v>
      </c>
    </row>
    <row r="24387" spans="26:26" x14ac:dyDescent="0.25">
      <c r="Z24387">
        <v>400000</v>
      </c>
    </row>
    <row r="24388" spans="26:26" x14ac:dyDescent="0.25">
      <c r="Z24388">
        <v>400000</v>
      </c>
    </row>
    <row r="24389" spans="26:26" x14ac:dyDescent="0.25">
      <c r="Z24389">
        <v>400000</v>
      </c>
    </row>
    <row r="24390" spans="26:26" x14ac:dyDescent="0.25">
      <c r="Z24390">
        <v>400000</v>
      </c>
    </row>
    <row r="24391" spans="26:26" x14ac:dyDescent="0.25">
      <c r="Z24391">
        <v>400000</v>
      </c>
    </row>
    <row r="24392" spans="26:26" x14ac:dyDescent="0.25">
      <c r="Z24392">
        <v>400000</v>
      </c>
    </row>
    <row r="24393" spans="26:26" x14ac:dyDescent="0.25">
      <c r="Z24393">
        <v>400000</v>
      </c>
    </row>
    <row r="24394" spans="26:26" x14ac:dyDescent="0.25">
      <c r="Z24394">
        <v>400000</v>
      </c>
    </row>
    <row r="24395" spans="26:26" x14ac:dyDescent="0.25">
      <c r="Z24395">
        <v>400000</v>
      </c>
    </row>
    <row r="24396" spans="26:26" x14ac:dyDescent="0.25">
      <c r="Z24396">
        <v>400000</v>
      </c>
    </row>
    <row r="24397" spans="26:26" x14ac:dyDescent="0.25">
      <c r="Z24397">
        <v>400000</v>
      </c>
    </row>
    <row r="24398" spans="26:26" x14ac:dyDescent="0.25">
      <c r="Z24398">
        <v>400000</v>
      </c>
    </row>
    <row r="24399" spans="26:26" x14ac:dyDescent="0.25">
      <c r="Z24399">
        <v>400000</v>
      </c>
    </row>
    <row r="24400" spans="26:26" x14ac:dyDescent="0.25">
      <c r="Z24400">
        <v>400000</v>
      </c>
    </row>
    <row r="24401" spans="26:26" x14ac:dyDescent="0.25">
      <c r="Z24401">
        <v>400000</v>
      </c>
    </row>
    <row r="24402" spans="26:26" x14ac:dyDescent="0.25">
      <c r="Z24402">
        <v>400000</v>
      </c>
    </row>
    <row r="24403" spans="26:26" x14ac:dyDescent="0.25">
      <c r="Z24403">
        <v>400000</v>
      </c>
    </row>
    <row r="24404" spans="26:26" x14ac:dyDescent="0.25">
      <c r="Z24404">
        <v>400000</v>
      </c>
    </row>
    <row r="24405" spans="26:26" x14ac:dyDescent="0.25">
      <c r="Z24405">
        <v>400000</v>
      </c>
    </row>
    <row r="24406" spans="26:26" x14ac:dyDescent="0.25">
      <c r="Z24406">
        <v>400000</v>
      </c>
    </row>
    <row r="24407" spans="26:26" x14ac:dyDescent="0.25">
      <c r="Z24407">
        <v>400000</v>
      </c>
    </row>
    <row r="24408" spans="26:26" x14ac:dyDescent="0.25">
      <c r="Z24408">
        <v>400000</v>
      </c>
    </row>
    <row r="24409" spans="26:26" x14ac:dyDescent="0.25">
      <c r="Z24409">
        <v>400000</v>
      </c>
    </row>
    <row r="24410" spans="26:26" x14ac:dyDescent="0.25">
      <c r="Z24410">
        <v>400000</v>
      </c>
    </row>
    <row r="24411" spans="26:26" x14ac:dyDescent="0.25">
      <c r="Z24411">
        <v>400000</v>
      </c>
    </row>
    <row r="24412" spans="26:26" x14ac:dyDescent="0.25">
      <c r="Z24412">
        <v>400000</v>
      </c>
    </row>
    <row r="24413" spans="26:26" x14ac:dyDescent="0.25">
      <c r="Z24413">
        <v>400000</v>
      </c>
    </row>
    <row r="24414" spans="26:26" x14ac:dyDescent="0.25">
      <c r="Z24414">
        <v>400000</v>
      </c>
    </row>
    <row r="24415" spans="26:26" x14ac:dyDescent="0.25">
      <c r="Z24415">
        <v>400000</v>
      </c>
    </row>
    <row r="24416" spans="26:26" x14ac:dyDescent="0.25">
      <c r="Z24416">
        <v>400000</v>
      </c>
    </row>
    <row r="24417" spans="26:26" x14ac:dyDescent="0.25">
      <c r="Z24417">
        <v>400000</v>
      </c>
    </row>
    <row r="24418" spans="26:26" x14ac:dyDescent="0.25">
      <c r="Z24418">
        <v>400000</v>
      </c>
    </row>
    <row r="24419" spans="26:26" x14ac:dyDescent="0.25">
      <c r="Z24419">
        <v>400000</v>
      </c>
    </row>
    <row r="24420" spans="26:26" x14ac:dyDescent="0.25">
      <c r="Z24420">
        <v>400000</v>
      </c>
    </row>
    <row r="24421" spans="26:26" x14ac:dyDescent="0.25">
      <c r="Z24421">
        <v>400000</v>
      </c>
    </row>
    <row r="24422" spans="26:26" x14ac:dyDescent="0.25">
      <c r="Z24422">
        <v>400000</v>
      </c>
    </row>
    <row r="24423" spans="26:26" x14ac:dyDescent="0.25">
      <c r="Z24423">
        <v>400000</v>
      </c>
    </row>
    <row r="24424" spans="26:26" x14ac:dyDescent="0.25">
      <c r="Z24424">
        <v>400000</v>
      </c>
    </row>
    <row r="24425" spans="26:26" x14ac:dyDescent="0.25">
      <c r="Z24425">
        <v>400000</v>
      </c>
    </row>
    <row r="24426" spans="26:26" x14ac:dyDescent="0.25">
      <c r="Z24426">
        <v>400000</v>
      </c>
    </row>
    <row r="24427" spans="26:26" x14ac:dyDescent="0.25">
      <c r="Z24427">
        <v>400000</v>
      </c>
    </row>
    <row r="24428" spans="26:26" x14ac:dyDescent="0.25">
      <c r="Z24428">
        <v>400000</v>
      </c>
    </row>
    <row r="24429" spans="26:26" x14ac:dyDescent="0.25">
      <c r="Z24429">
        <v>400000</v>
      </c>
    </row>
    <row r="24430" spans="26:26" x14ac:dyDescent="0.25">
      <c r="Z24430">
        <v>400000</v>
      </c>
    </row>
    <row r="24431" spans="26:26" x14ac:dyDescent="0.25">
      <c r="Z24431">
        <v>400000</v>
      </c>
    </row>
    <row r="24432" spans="26:26" x14ac:dyDescent="0.25">
      <c r="Z24432">
        <v>400000</v>
      </c>
    </row>
    <row r="24433" spans="26:26" x14ac:dyDescent="0.25">
      <c r="Z24433">
        <v>400000</v>
      </c>
    </row>
    <row r="24434" spans="26:26" x14ac:dyDescent="0.25">
      <c r="Z24434">
        <v>400000</v>
      </c>
    </row>
    <row r="24435" spans="26:26" x14ac:dyDescent="0.25">
      <c r="Z24435">
        <v>400000</v>
      </c>
    </row>
    <row r="24436" spans="26:26" x14ac:dyDescent="0.25">
      <c r="Z24436">
        <v>400000</v>
      </c>
    </row>
    <row r="24437" spans="26:26" x14ac:dyDescent="0.25">
      <c r="Z24437">
        <v>400000</v>
      </c>
    </row>
    <row r="24438" spans="26:26" x14ac:dyDescent="0.25">
      <c r="Z24438">
        <v>400000</v>
      </c>
    </row>
    <row r="24439" spans="26:26" x14ac:dyDescent="0.25">
      <c r="Z24439">
        <v>400000</v>
      </c>
    </row>
    <row r="24440" spans="26:26" x14ac:dyDescent="0.25">
      <c r="Z24440">
        <v>400000</v>
      </c>
    </row>
    <row r="24441" spans="26:26" x14ac:dyDescent="0.25">
      <c r="Z24441">
        <v>400000</v>
      </c>
    </row>
    <row r="24442" spans="26:26" x14ac:dyDescent="0.25">
      <c r="Z24442">
        <v>400000</v>
      </c>
    </row>
    <row r="24443" spans="26:26" x14ac:dyDescent="0.25">
      <c r="Z24443">
        <v>400000</v>
      </c>
    </row>
    <row r="24444" spans="26:26" x14ac:dyDescent="0.25">
      <c r="Z24444">
        <v>400000</v>
      </c>
    </row>
    <row r="24445" spans="26:26" x14ac:dyDescent="0.25">
      <c r="Z24445">
        <v>400000</v>
      </c>
    </row>
    <row r="24446" spans="26:26" x14ac:dyDescent="0.25">
      <c r="Z24446">
        <v>400000</v>
      </c>
    </row>
    <row r="24447" spans="26:26" x14ac:dyDescent="0.25">
      <c r="Z24447">
        <v>400000</v>
      </c>
    </row>
    <row r="24448" spans="26:26" x14ac:dyDescent="0.25">
      <c r="Z24448">
        <v>400000</v>
      </c>
    </row>
    <row r="24449" spans="26:26" x14ac:dyDescent="0.25">
      <c r="Z24449">
        <v>400000</v>
      </c>
    </row>
    <row r="24450" spans="26:26" x14ac:dyDescent="0.25">
      <c r="Z24450">
        <v>400000</v>
      </c>
    </row>
    <row r="24451" spans="26:26" x14ac:dyDescent="0.25">
      <c r="Z24451">
        <v>400000</v>
      </c>
    </row>
    <row r="24452" spans="26:26" x14ac:dyDescent="0.25">
      <c r="Z24452">
        <v>400000</v>
      </c>
    </row>
    <row r="24453" spans="26:26" x14ac:dyDescent="0.25">
      <c r="Z24453">
        <v>400000</v>
      </c>
    </row>
    <row r="24454" spans="26:26" x14ac:dyDescent="0.25">
      <c r="Z24454">
        <v>400000</v>
      </c>
    </row>
    <row r="24455" spans="26:26" x14ac:dyDescent="0.25">
      <c r="Z24455">
        <v>400000</v>
      </c>
    </row>
    <row r="24456" spans="26:26" x14ac:dyDescent="0.25">
      <c r="Z24456">
        <v>400000</v>
      </c>
    </row>
    <row r="24457" spans="26:26" x14ac:dyDescent="0.25">
      <c r="Z24457">
        <v>400000</v>
      </c>
    </row>
    <row r="24458" spans="26:26" x14ac:dyDescent="0.25">
      <c r="Z24458">
        <v>400000</v>
      </c>
    </row>
    <row r="24459" spans="26:26" x14ac:dyDescent="0.25">
      <c r="Z24459">
        <v>400000</v>
      </c>
    </row>
    <row r="24460" spans="26:26" x14ac:dyDescent="0.25">
      <c r="Z24460">
        <v>400000</v>
      </c>
    </row>
    <row r="24461" spans="26:26" x14ac:dyDescent="0.25">
      <c r="Z24461">
        <v>400000</v>
      </c>
    </row>
    <row r="24462" spans="26:26" x14ac:dyDescent="0.25">
      <c r="Z24462">
        <v>400000</v>
      </c>
    </row>
    <row r="24463" spans="26:26" x14ac:dyDescent="0.25">
      <c r="Z24463">
        <v>400000</v>
      </c>
    </row>
    <row r="24464" spans="26:26" x14ac:dyDescent="0.25">
      <c r="Z24464">
        <v>400000</v>
      </c>
    </row>
    <row r="24465" spans="26:26" x14ac:dyDescent="0.25">
      <c r="Z24465">
        <v>400000</v>
      </c>
    </row>
    <row r="24466" spans="26:26" x14ac:dyDescent="0.25">
      <c r="Z24466">
        <v>400000</v>
      </c>
    </row>
    <row r="24467" spans="26:26" x14ac:dyDescent="0.25">
      <c r="Z24467">
        <v>400000</v>
      </c>
    </row>
    <row r="24468" spans="26:26" x14ac:dyDescent="0.25">
      <c r="Z24468">
        <v>400000</v>
      </c>
    </row>
    <row r="24469" spans="26:26" x14ac:dyDescent="0.25">
      <c r="Z24469">
        <v>400000</v>
      </c>
    </row>
    <row r="24470" spans="26:26" x14ac:dyDescent="0.25">
      <c r="Z24470">
        <v>400000</v>
      </c>
    </row>
    <row r="24471" spans="26:26" x14ac:dyDescent="0.25">
      <c r="Z24471">
        <v>400000</v>
      </c>
    </row>
    <row r="24472" spans="26:26" x14ac:dyDescent="0.25">
      <c r="Z24472">
        <v>400000</v>
      </c>
    </row>
    <row r="24473" spans="26:26" x14ac:dyDescent="0.25">
      <c r="Z24473">
        <v>400000</v>
      </c>
    </row>
    <row r="24474" spans="26:26" x14ac:dyDescent="0.25">
      <c r="Z24474">
        <v>400000</v>
      </c>
    </row>
    <row r="24475" spans="26:26" x14ac:dyDescent="0.25">
      <c r="Z24475">
        <v>400000</v>
      </c>
    </row>
    <row r="24476" spans="26:26" x14ac:dyDescent="0.25">
      <c r="Z24476">
        <v>400000</v>
      </c>
    </row>
    <row r="24477" spans="26:26" x14ac:dyDescent="0.25">
      <c r="Z24477">
        <v>400000</v>
      </c>
    </row>
    <row r="24478" spans="26:26" x14ac:dyDescent="0.25">
      <c r="Z24478">
        <v>400000</v>
      </c>
    </row>
    <row r="24479" spans="26:26" x14ac:dyDescent="0.25">
      <c r="Z24479">
        <v>400000</v>
      </c>
    </row>
    <row r="24480" spans="26:26" x14ac:dyDescent="0.25">
      <c r="Z24480">
        <v>400000</v>
      </c>
    </row>
    <row r="24481" spans="26:26" x14ac:dyDescent="0.25">
      <c r="Z24481">
        <v>400000</v>
      </c>
    </row>
    <row r="24482" spans="26:26" x14ac:dyDescent="0.25">
      <c r="Z24482">
        <v>400000</v>
      </c>
    </row>
    <row r="24483" spans="26:26" x14ac:dyDescent="0.25">
      <c r="Z24483">
        <v>400000</v>
      </c>
    </row>
    <row r="24484" spans="26:26" x14ac:dyDescent="0.25">
      <c r="Z24484">
        <v>400000</v>
      </c>
    </row>
    <row r="24485" spans="26:26" x14ac:dyDescent="0.25">
      <c r="Z24485">
        <v>400000</v>
      </c>
    </row>
    <row r="24486" spans="26:26" x14ac:dyDescent="0.25">
      <c r="Z24486">
        <v>400000</v>
      </c>
    </row>
    <row r="24487" spans="26:26" x14ac:dyDescent="0.25">
      <c r="Z24487">
        <v>400000</v>
      </c>
    </row>
    <row r="24488" spans="26:26" x14ac:dyDescent="0.25">
      <c r="Z24488">
        <v>400000</v>
      </c>
    </row>
    <row r="24489" spans="26:26" x14ac:dyDescent="0.25">
      <c r="Z24489">
        <v>400000</v>
      </c>
    </row>
    <row r="24490" spans="26:26" x14ac:dyDescent="0.25">
      <c r="Z24490">
        <v>400000</v>
      </c>
    </row>
    <row r="24491" spans="26:26" x14ac:dyDescent="0.25">
      <c r="Z24491">
        <v>400000</v>
      </c>
    </row>
    <row r="24492" spans="26:26" x14ac:dyDescent="0.25">
      <c r="Z24492">
        <v>400000</v>
      </c>
    </row>
    <row r="24493" spans="26:26" x14ac:dyDescent="0.25">
      <c r="Z24493">
        <v>400000</v>
      </c>
    </row>
    <row r="24494" spans="26:26" x14ac:dyDescent="0.25">
      <c r="Z24494">
        <v>400000</v>
      </c>
    </row>
    <row r="24495" spans="26:26" x14ac:dyDescent="0.25">
      <c r="Z24495">
        <v>400000</v>
      </c>
    </row>
    <row r="24496" spans="26:26" x14ac:dyDescent="0.25">
      <c r="Z24496">
        <v>400000</v>
      </c>
    </row>
    <row r="24497" spans="26:26" x14ac:dyDescent="0.25">
      <c r="Z24497">
        <v>400000</v>
      </c>
    </row>
    <row r="24498" spans="26:26" x14ac:dyDescent="0.25">
      <c r="Z24498">
        <v>400000</v>
      </c>
    </row>
    <row r="24499" spans="26:26" x14ac:dyDescent="0.25">
      <c r="Z24499">
        <v>400000</v>
      </c>
    </row>
    <row r="24500" spans="26:26" x14ac:dyDescent="0.25">
      <c r="Z24500">
        <v>400000</v>
      </c>
    </row>
    <row r="24501" spans="26:26" x14ac:dyDescent="0.25">
      <c r="Z24501">
        <v>400000</v>
      </c>
    </row>
    <row r="24502" spans="26:26" x14ac:dyDescent="0.25">
      <c r="Z24502">
        <v>400000</v>
      </c>
    </row>
    <row r="24503" spans="26:26" x14ac:dyDescent="0.25">
      <c r="Z24503">
        <v>400000</v>
      </c>
    </row>
    <row r="24504" spans="26:26" x14ac:dyDescent="0.25">
      <c r="Z24504">
        <v>400000</v>
      </c>
    </row>
    <row r="24505" spans="26:26" x14ac:dyDescent="0.25">
      <c r="Z24505">
        <v>400000</v>
      </c>
    </row>
    <row r="24506" spans="26:26" x14ac:dyDescent="0.25">
      <c r="Z24506">
        <v>400000</v>
      </c>
    </row>
    <row r="24507" spans="26:26" x14ac:dyDescent="0.25">
      <c r="Z24507">
        <v>400000</v>
      </c>
    </row>
    <row r="24508" spans="26:26" x14ac:dyDescent="0.25">
      <c r="Z24508">
        <v>400000</v>
      </c>
    </row>
    <row r="24509" spans="26:26" x14ac:dyDescent="0.25">
      <c r="Z24509">
        <v>400000</v>
      </c>
    </row>
    <row r="24510" spans="26:26" x14ac:dyDescent="0.25">
      <c r="Z24510">
        <v>400000</v>
      </c>
    </row>
    <row r="24511" spans="26:26" x14ac:dyDescent="0.25">
      <c r="Z24511">
        <v>400000</v>
      </c>
    </row>
    <row r="24512" spans="26:26" x14ac:dyDescent="0.25">
      <c r="Z24512">
        <v>400000</v>
      </c>
    </row>
    <row r="24513" spans="26:26" x14ac:dyDescent="0.25">
      <c r="Z24513">
        <v>400000</v>
      </c>
    </row>
    <row r="24514" spans="26:26" x14ac:dyDescent="0.25">
      <c r="Z24514">
        <v>400000</v>
      </c>
    </row>
    <row r="24515" spans="26:26" x14ac:dyDescent="0.25">
      <c r="Z24515">
        <v>400000</v>
      </c>
    </row>
    <row r="24516" spans="26:26" x14ac:dyDescent="0.25">
      <c r="Z24516">
        <v>400000</v>
      </c>
    </row>
    <row r="24517" spans="26:26" x14ac:dyDescent="0.25">
      <c r="Z24517">
        <v>400000</v>
      </c>
    </row>
    <row r="24518" spans="26:26" x14ac:dyDescent="0.25">
      <c r="Z24518">
        <v>400000</v>
      </c>
    </row>
    <row r="24519" spans="26:26" x14ac:dyDescent="0.25">
      <c r="Z24519">
        <v>400000</v>
      </c>
    </row>
    <row r="24520" spans="26:26" x14ac:dyDescent="0.25">
      <c r="Z24520">
        <v>400000</v>
      </c>
    </row>
    <row r="24521" spans="26:26" x14ac:dyDescent="0.25">
      <c r="Z24521">
        <v>400000</v>
      </c>
    </row>
    <row r="24522" spans="26:26" x14ac:dyDescent="0.25">
      <c r="Z24522">
        <v>400000</v>
      </c>
    </row>
    <row r="24523" spans="26:26" x14ac:dyDescent="0.25">
      <c r="Z24523">
        <v>400000</v>
      </c>
    </row>
    <row r="24524" spans="26:26" x14ac:dyDescent="0.25">
      <c r="Z24524">
        <v>400000</v>
      </c>
    </row>
    <row r="24525" spans="26:26" x14ac:dyDescent="0.25">
      <c r="Z24525">
        <v>400000</v>
      </c>
    </row>
    <row r="24526" spans="26:26" x14ac:dyDescent="0.25">
      <c r="Z24526">
        <v>400000</v>
      </c>
    </row>
    <row r="24527" spans="26:26" x14ac:dyDescent="0.25">
      <c r="Z24527">
        <v>400000</v>
      </c>
    </row>
    <row r="24528" spans="26:26" x14ac:dyDescent="0.25">
      <c r="Z24528">
        <v>400000</v>
      </c>
    </row>
    <row r="24529" spans="26:26" x14ac:dyDescent="0.25">
      <c r="Z24529">
        <v>400000</v>
      </c>
    </row>
    <row r="24530" spans="26:26" x14ac:dyDescent="0.25">
      <c r="Z24530">
        <v>400000</v>
      </c>
    </row>
    <row r="24531" spans="26:26" x14ac:dyDescent="0.25">
      <c r="Z24531">
        <v>400000</v>
      </c>
    </row>
    <row r="24532" spans="26:26" x14ac:dyDescent="0.25">
      <c r="Z24532">
        <v>400000</v>
      </c>
    </row>
    <row r="24533" spans="26:26" x14ac:dyDescent="0.25">
      <c r="Z24533">
        <v>400000</v>
      </c>
    </row>
    <row r="24534" spans="26:26" x14ac:dyDescent="0.25">
      <c r="Z24534">
        <v>400000</v>
      </c>
    </row>
    <row r="24535" spans="26:26" x14ac:dyDescent="0.25">
      <c r="Z24535">
        <v>400000</v>
      </c>
    </row>
    <row r="24536" spans="26:26" x14ac:dyDescent="0.25">
      <c r="Z24536">
        <v>400000</v>
      </c>
    </row>
    <row r="24537" spans="26:26" x14ac:dyDescent="0.25">
      <c r="Z24537">
        <v>400000</v>
      </c>
    </row>
    <row r="24538" spans="26:26" x14ac:dyDescent="0.25">
      <c r="Z24538">
        <v>400000</v>
      </c>
    </row>
    <row r="24539" spans="26:26" x14ac:dyDescent="0.25">
      <c r="Z24539">
        <v>400000</v>
      </c>
    </row>
    <row r="24540" spans="26:26" x14ac:dyDescent="0.25">
      <c r="Z24540">
        <v>400000</v>
      </c>
    </row>
    <row r="24541" spans="26:26" x14ac:dyDescent="0.25">
      <c r="Z24541">
        <v>400000</v>
      </c>
    </row>
    <row r="24542" spans="26:26" x14ac:dyDescent="0.25">
      <c r="Z24542">
        <v>400000</v>
      </c>
    </row>
    <row r="24543" spans="26:26" x14ac:dyDescent="0.25">
      <c r="Z24543">
        <v>400000</v>
      </c>
    </row>
    <row r="24544" spans="26:26" x14ac:dyDescent="0.25">
      <c r="Z24544">
        <v>400000</v>
      </c>
    </row>
    <row r="24545" spans="26:26" x14ac:dyDescent="0.25">
      <c r="Z24545">
        <v>400000</v>
      </c>
    </row>
    <row r="24546" spans="26:26" x14ac:dyDescent="0.25">
      <c r="Z24546">
        <v>400000</v>
      </c>
    </row>
    <row r="24547" spans="26:26" x14ac:dyDescent="0.25">
      <c r="Z24547">
        <v>400000</v>
      </c>
    </row>
    <row r="24548" spans="26:26" x14ac:dyDescent="0.25">
      <c r="Z24548">
        <v>400000</v>
      </c>
    </row>
    <row r="24549" spans="26:26" x14ac:dyDescent="0.25">
      <c r="Z24549">
        <v>400000</v>
      </c>
    </row>
    <row r="24550" spans="26:26" x14ac:dyDescent="0.25">
      <c r="Z24550">
        <v>400000</v>
      </c>
    </row>
    <row r="24551" spans="26:26" x14ac:dyDescent="0.25">
      <c r="Z24551">
        <v>400000</v>
      </c>
    </row>
    <row r="24552" spans="26:26" x14ac:dyDescent="0.25">
      <c r="Z24552">
        <v>400000</v>
      </c>
    </row>
    <row r="24553" spans="26:26" x14ac:dyDescent="0.25">
      <c r="Z24553">
        <v>400000</v>
      </c>
    </row>
    <row r="24554" spans="26:26" x14ac:dyDescent="0.25">
      <c r="Z24554">
        <v>400000</v>
      </c>
    </row>
    <row r="24555" spans="26:26" x14ac:dyDescent="0.25">
      <c r="Z24555">
        <v>400000</v>
      </c>
    </row>
    <row r="24556" spans="26:26" x14ac:dyDescent="0.25">
      <c r="Z24556">
        <v>400000</v>
      </c>
    </row>
    <row r="24557" spans="26:26" x14ac:dyDescent="0.25">
      <c r="Z24557">
        <v>400000</v>
      </c>
    </row>
    <row r="24558" spans="26:26" x14ac:dyDescent="0.25">
      <c r="Z24558">
        <v>400000</v>
      </c>
    </row>
    <row r="24559" spans="26:26" x14ac:dyDescent="0.25">
      <c r="Z24559">
        <v>400000</v>
      </c>
    </row>
    <row r="24560" spans="26:26" x14ac:dyDescent="0.25">
      <c r="Z24560">
        <v>400000</v>
      </c>
    </row>
    <row r="24561" spans="26:26" x14ac:dyDescent="0.25">
      <c r="Z24561">
        <v>400000</v>
      </c>
    </row>
    <row r="24562" spans="26:26" x14ac:dyDescent="0.25">
      <c r="Z24562">
        <v>400000</v>
      </c>
    </row>
    <row r="24563" spans="26:26" x14ac:dyDescent="0.25">
      <c r="Z24563">
        <v>400000</v>
      </c>
    </row>
    <row r="24564" spans="26:26" x14ac:dyDescent="0.25">
      <c r="Z24564">
        <v>400000</v>
      </c>
    </row>
    <row r="24565" spans="26:26" x14ac:dyDescent="0.25">
      <c r="Z24565">
        <v>400000</v>
      </c>
    </row>
    <row r="24566" spans="26:26" x14ac:dyDescent="0.25">
      <c r="Z24566">
        <v>400000</v>
      </c>
    </row>
    <row r="24567" spans="26:26" x14ac:dyDescent="0.25">
      <c r="Z24567">
        <v>400000</v>
      </c>
    </row>
    <row r="24568" spans="26:26" x14ac:dyDescent="0.25">
      <c r="Z24568">
        <v>400000</v>
      </c>
    </row>
    <row r="24569" spans="26:26" x14ac:dyDescent="0.25">
      <c r="Z24569">
        <v>400000</v>
      </c>
    </row>
    <row r="24570" spans="26:26" x14ac:dyDescent="0.25">
      <c r="Z24570">
        <v>400000</v>
      </c>
    </row>
    <row r="24571" spans="26:26" x14ac:dyDescent="0.25">
      <c r="Z24571">
        <v>400000</v>
      </c>
    </row>
    <row r="24572" spans="26:26" x14ac:dyDescent="0.25">
      <c r="Z24572">
        <v>400000</v>
      </c>
    </row>
    <row r="24573" spans="26:26" x14ac:dyDescent="0.25">
      <c r="Z24573">
        <v>400000</v>
      </c>
    </row>
    <row r="24574" spans="26:26" x14ac:dyDescent="0.25">
      <c r="Z24574">
        <v>400000</v>
      </c>
    </row>
    <row r="24575" spans="26:26" x14ac:dyDescent="0.25">
      <c r="Z24575">
        <v>400000</v>
      </c>
    </row>
    <row r="24576" spans="26:26" x14ac:dyDescent="0.25">
      <c r="Z24576">
        <v>400000</v>
      </c>
    </row>
    <row r="24577" spans="26:26" x14ac:dyDescent="0.25">
      <c r="Z24577">
        <v>400000</v>
      </c>
    </row>
    <row r="24578" spans="26:26" x14ac:dyDescent="0.25">
      <c r="Z24578">
        <v>400000</v>
      </c>
    </row>
    <row r="24579" spans="26:26" x14ac:dyDescent="0.25">
      <c r="Z24579">
        <v>400000</v>
      </c>
    </row>
    <row r="24580" spans="26:26" x14ac:dyDescent="0.25">
      <c r="Z24580">
        <v>400000</v>
      </c>
    </row>
    <row r="24581" spans="26:26" x14ac:dyDescent="0.25">
      <c r="Z24581">
        <v>400000</v>
      </c>
    </row>
    <row r="24582" spans="26:26" x14ac:dyDescent="0.25">
      <c r="Z24582">
        <v>400000</v>
      </c>
    </row>
    <row r="24583" spans="26:26" x14ac:dyDescent="0.25">
      <c r="Z24583">
        <v>400000</v>
      </c>
    </row>
    <row r="24584" spans="26:26" x14ac:dyDescent="0.25">
      <c r="Z24584">
        <v>400000</v>
      </c>
    </row>
    <row r="24585" spans="26:26" x14ac:dyDescent="0.25">
      <c r="Z24585">
        <v>400000</v>
      </c>
    </row>
    <row r="24586" spans="26:26" x14ac:dyDescent="0.25">
      <c r="Z24586">
        <v>400000</v>
      </c>
    </row>
    <row r="24587" spans="26:26" x14ac:dyDescent="0.25">
      <c r="Z24587">
        <v>400000</v>
      </c>
    </row>
    <row r="24588" spans="26:26" x14ac:dyDescent="0.25">
      <c r="Z24588">
        <v>400000</v>
      </c>
    </row>
    <row r="24589" spans="26:26" x14ac:dyDescent="0.25">
      <c r="Z24589">
        <v>400000</v>
      </c>
    </row>
    <row r="24590" spans="26:26" x14ac:dyDescent="0.25">
      <c r="Z24590">
        <v>400000</v>
      </c>
    </row>
    <row r="24591" spans="26:26" x14ac:dyDescent="0.25">
      <c r="Z24591">
        <v>400000</v>
      </c>
    </row>
    <row r="24592" spans="26:26" x14ac:dyDescent="0.25">
      <c r="Z24592">
        <v>400000</v>
      </c>
    </row>
    <row r="24593" spans="26:26" x14ac:dyDescent="0.25">
      <c r="Z24593">
        <v>400000</v>
      </c>
    </row>
    <row r="24594" spans="26:26" x14ac:dyDescent="0.25">
      <c r="Z24594">
        <v>400000</v>
      </c>
    </row>
    <row r="24595" spans="26:26" x14ac:dyDescent="0.25">
      <c r="Z24595">
        <v>400000</v>
      </c>
    </row>
    <row r="24596" spans="26:26" x14ac:dyDescent="0.25">
      <c r="Z24596">
        <v>400000</v>
      </c>
    </row>
    <row r="24597" spans="26:26" x14ac:dyDescent="0.25">
      <c r="Z24597">
        <v>400000</v>
      </c>
    </row>
    <row r="24598" spans="26:26" x14ac:dyDescent="0.25">
      <c r="Z24598">
        <v>400000</v>
      </c>
    </row>
    <row r="24599" spans="26:26" x14ac:dyDescent="0.25">
      <c r="Z24599">
        <v>400000</v>
      </c>
    </row>
    <row r="24600" spans="26:26" x14ac:dyDescent="0.25">
      <c r="Z24600">
        <v>400000</v>
      </c>
    </row>
    <row r="24601" spans="26:26" x14ac:dyDescent="0.25">
      <c r="Z24601">
        <v>400000</v>
      </c>
    </row>
    <row r="24602" spans="26:26" x14ac:dyDescent="0.25">
      <c r="Z24602">
        <v>400000</v>
      </c>
    </row>
    <row r="24603" spans="26:26" x14ac:dyDescent="0.25">
      <c r="Z24603">
        <v>400000</v>
      </c>
    </row>
    <row r="24604" spans="26:26" x14ac:dyDescent="0.25">
      <c r="Z24604">
        <v>400000</v>
      </c>
    </row>
    <row r="24605" spans="26:26" x14ac:dyDescent="0.25">
      <c r="Z24605">
        <v>400000</v>
      </c>
    </row>
    <row r="24606" spans="26:26" x14ac:dyDescent="0.25">
      <c r="Z24606">
        <v>400000</v>
      </c>
    </row>
    <row r="24607" spans="26:26" x14ac:dyDescent="0.25">
      <c r="Z24607">
        <v>400000</v>
      </c>
    </row>
    <row r="24608" spans="26:26" x14ac:dyDescent="0.25">
      <c r="Z24608">
        <v>400000</v>
      </c>
    </row>
    <row r="24609" spans="26:26" x14ac:dyDescent="0.25">
      <c r="Z24609">
        <v>400000</v>
      </c>
    </row>
    <row r="24610" spans="26:26" x14ac:dyDescent="0.25">
      <c r="Z24610">
        <v>400000</v>
      </c>
    </row>
    <row r="24611" spans="26:26" x14ac:dyDescent="0.25">
      <c r="Z24611">
        <v>400000</v>
      </c>
    </row>
    <row r="24612" spans="26:26" x14ac:dyDescent="0.25">
      <c r="Z24612">
        <v>400000</v>
      </c>
    </row>
    <row r="24613" spans="26:26" x14ac:dyDescent="0.25">
      <c r="Z24613">
        <v>400000</v>
      </c>
    </row>
    <row r="24614" spans="26:26" x14ac:dyDescent="0.25">
      <c r="Z24614">
        <v>400000</v>
      </c>
    </row>
    <row r="24615" spans="26:26" x14ac:dyDescent="0.25">
      <c r="Z24615">
        <v>400000</v>
      </c>
    </row>
    <row r="24616" spans="26:26" x14ac:dyDescent="0.25">
      <c r="Z24616">
        <v>400000</v>
      </c>
    </row>
    <row r="24617" spans="26:26" x14ac:dyDescent="0.25">
      <c r="Z24617">
        <v>400000</v>
      </c>
    </row>
    <row r="24618" spans="26:26" x14ac:dyDescent="0.25">
      <c r="Z24618">
        <v>400000</v>
      </c>
    </row>
    <row r="24619" spans="26:26" x14ac:dyDescent="0.25">
      <c r="Z24619">
        <v>400000</v>
      </c>
    </row>
    <row r="24620" spans="26:26" x14ac:dyDescent="0.25">
      <c r="Z24620">
        <v>400000</v>
      </c>
    </row>
    <row r="24621" spans="26:26" x14ac:dyDescent="0.25">
      <c r="Z24621">
        <v>400000</v>
      </c>
    </row>
    <row r="24622" spans="26:26" x14ac:dyDescent="0.25">
      <c r="Z24622">
        <v>400000</v>
      </c>
    </row>
    <row r="24623" spans="26:26" x14ac:dyDescent="0.25">
      <c r="Z24623">
        <v>400000</v>
      </c>
    </row>
    <row r="24624" spans="26:26" x14ac:dyDescent="0.25">
      <c r="Z24624">
        <v>400000</v>
      </c>
    </row>
    <row r="24625" spans="26:26" x14ac:dyDescent="0.25">
      <c r="Z24625">
        <v>400000</v>
      </c>
    </row>
    <row r="24626" spans="26:26" x14ac:dyDescent="0.25">
      <c r="Z24626">
        <v>400000</v>
      </c>
    </row>
    <row r="24627" spans="26:26" x14ac:dyDescent="0.25">
      <c r="Z24627">
        <v>400000</v>
      </c>
    </row>
    <row r="24628" spans="26:26" x14ac:dyDescent="0.25">
      <c r="Z24628">
        <v>400000</v>
      </c>
    </row>
    <row r="24629" spans="26:26" x14ac:dyDescent="0.25">
      <c r="Z24629">
        <v>400000</v>
      </c>
    </row>
    <row r="24630" spans="26:26" x14ac:dyDescent="0.25">
      <c r="Z24630">
        <v>400000</v>
      </c>
    </row>
    <row r="24631" spans="26:26" x14ac:dyDescent="0.25">
      <c r="Z24631">
        <v>400000</v>
      </c>
    </row>
    <row r="24632" spans="26:26" x14ac:dyDescent="0.25">
      <c r="Z24632">
        <v>400000</v>
      </c>
    </row>
    <row r="24633" spans="26:26" x14ac:dyDescent="0.25">
      <c r="Z24633">
        <v>400000</v>
      </c>
    </row>
    <row r="24634" spans="26:26" x14ac:dyDescent="0.25">
      <c r="Z24634">
        <v>400000</v>
      </c>
    </row>
    <row r="24635" spans="26:26" x14ac:dyDescent="0.25">
      <c r="Z24635">
        <v>400000</v>
      </c>
    </row>
    <row r="24636" spans="26:26" x14ac:dyDescent="0.25">
      <c r="Z24636">
        <v>400000</v>
      </c>
    </row>
    <row r="24637" spans="26:26" x14ac:dyDescent="0.25">
      <c r="Z24637">
        <v>400000</v>
      </c>
    </row>
    <row r="24638" spans="26:26" x14ac:dyDescent="0.25">
      <c r="Z24638">
        <v>400000</v>
      </c>
    </row>
    <row r="24639" spans="26:26" x14ac:dyDescent="0.25">
      <c r="Z24639">
        <v>400000</v>
      </c>
    </row>
    <row r="24640" spans="26:26" x14ac:dyDescent="0.25">
      <c r="Z24640">
        <v>400000</v>
      </c>
    </row>
    <row r="24641" spans="26:26" x14ac:dyDescent="0.25">
      <c r="Z24641">
        <v>400000</v>
      </c>
    </row>
    <row r="24642" spans="26:26" x14ac:dyDescent="0.25">
      <c r="Z24642">
        <v>400000</v>
      </c>
    </row>
    <row r="24643" spans="26:26" x14ac:dyDescent="0.25">
      <c r="Z24643">
        <v>400000</v>
      </c>
    </row>
    <row r="24644" spans="26:26" x14ac:dyDescent="0.25">
      <c r="Z24644">
        <v>400000</v>
      </c>
    </row>
    <row r="24645" spans="26:26" x14ac:dyDescent="0.25">
      <c r="Z24645">
        <v>400000</v>
      </c>
    </row>
    <row r="24646" spans="26:26" x14ac:dyDescent="0.25">
      <c r="Z24646">
        <v>400000</v>
      </c>
    </row>
    <row r="24647" spans="26:26" x14ac:dyDescent="0.25">
      <c r="Z24647">
        <v>400000</v>
      </c>
    </row>
    <row r="24648" spans="26:26" x14ac:dyDescent="0.25">
      <c r="Z24648">
        <v>400000</v>
      </c>
    </row>
    <row r="24649" spans="26:26" x14ac:dyDescent="0.25">
      <c r="Z24649">
        <v>400000</v>
      </c>
    </row>
    <row r="24650" spans="26:26" x14ac:dyDescent="0.25">
      <c r="Z24650">
        <v>400000</v>
      </c>
    </row>
    <row r="24651" spans="26:26" x14ac:dyDescent="0.25">
      <c r="Z24651">
        <v>400000</v>
      </c>
    </row>
    <row r="24652" spans="26:26" x14ac:dyDescent="0.25">
      <c r="Z24652">
        <v>400000</v>
      </c>
    </row>
    <row r="24653" spans="26:26" x14ac:dyDescent="0.25">
      <c r="Z24653">
        <v>400000</v>
      </c>
    </row>
    <row r="24654" spans="26:26" x14ac:dyDescent="0.25">
      <c r="Z24654">
        <v>400000</v>
      </c>
    </row>
    <row r="24655" spans="26:26" x14ac:dyDescent="0.25">
      <c r="Z24655">
        <v>400000</v>
      </c>
    </row>
    <row r="24656" spans="26:26" x14ac:dyDescent="0.25">
      <c r="Z24656">
        <v>400000</v>
      </c>
    </row>
    <row r="24657" spans="26:26" x14ac:dyDescent="0.25">
      <c r="Z24657">
        <v>400000</v>
      </c>
    </row>
    <row r="24658" spans="26:26" x14ac:dyDescent="0.25">
      <c r="Z24658">
        <v>400000</v>
      </c>
    </row>
    <row r="24659" spans="26:26" x14ac:dyDescent="0.25">
      <c r="Z24659">
        <v>400000</v>
      </c>
    </row>
    <row r="24660" spans="26:26" x14ac:dyDescent="0.25">
      <c r="Z24660">
        <v>400000</v>
      </c>
    </row>
    <row r="24661" spans="26:26" x14ac:dyDescent="0.25">
      <c r="Z24661">
        <v>400000</v>
      </c>
    </row>
    <row r="24662" spans="26:26" x14ac:dyDescent="0.25">
      <c r="Z24662">
        <v>400000</v>
      </c>
    </row>
    <row r="24663" spans="26:26" x14ac:dyDescent="0.25">
      <c r="Z24663">
        <v>400000</v>
      </c>
    </row>
    <row r="24664" spans="26:26" x14ac:dyDescent="0.25">
      <c r="Z24664">
        <v>400000</v>
      </c>
    </row>
    <row r="24665" spans="26:26" x14ac:dyDescent="0.25">
      <c r="Z24665">
        <v>400000</v>
      </c>
    </row>
    <row r="24666" spans="26:26" x14ac:dyDescent="0.25">
      <c r="Z24666">
        <v>400000</v>
      </c>
    </row>
    <row r="24667" spans="26:26" x14ac:dyDescent="0.25">
      <c r="Z24667">
        <v>400000</v>
      </c>
    </row>
    <row r="24668" spans="26:26" x14ac:dyDescent="0.25">
      <c r="Z24668">
        <v>400000</v>
      </c>
    </row>
    <row r="24669" spans="26:26" x14ac:dyDescent="0.25">
      <c r="Z24669">
        <v>400000</v>
      </c>
    </row>
    <row r="24670" spans="26:26" x14ac:dyDescent="0.25">
      <c r="Z24670">
        <v>400000</v>
      </c>
    </row>
    <row r="24671" spans="26:26" x14ac:dyDescent="0.25">
      <c r="Z24671">
        <v>400000</v>
      </c>
    </row>
    <row r="24672" spans="26:26" x14ac:dyDescent="0.25">
      <c r="Z24672">
        <v>400000</v>
      </c>
    </row>
    <row r="24673" spans="26:26" x14ac:dyDescent="0.25">
      <c r="Z24673">
        <v>400000</v>
      </c>
    </row>
    <row r="24674" spans="26:26" x14ac:dyDescent="0.25">
      <c r="Z24674">
        <v>400000</v>
      </c>
    </row>
    <row r="24675" spans="26:26" x14ac:dyDescent="0.25">
      <c r="Z24675">
        <v>400000</v>
      </c>
    </row>
    <row r="24676" spans="26:26" x14ac:dyDescent="0.25">
      <c r="Z24676">
        <v>400000</v>
      </c>
    </row>
    <row r="24677" spans="26:26" x14ac:dyDescent="0.25">
      <c r="Z24677">
        <v>400000</v>
      </c>
    </row>
    <row r="24678" spans="26:26" x14ac:dyDescent="0.25">
      <c r="Z24678">
        <v>400000</v>
      </c>
    </row>
    <row r="24679" spans="26:26" x14ac:dyDescent="0.25">
      <c r="Z24679">
        <v>400000</v>
      </c>
    </row>
    <row r="24680" spans="26:26" x14ac:dyDescent="0.25">
      <c r="Z24680">
        <v>400000</v>
      </c>
    </row>
    <row r="24681" spans="26:26" x14ac:dyDescent="0.25">
      <c r="Z24681">
        <v>400000</v>
      </c>
    </row>
    <row r="24682" spans="26:26" x14ac:dyDescent="0.25">
      <c r="Z24682">
        <v>400000</v>
      </c>
    </row>
    <row r="24683" spans="26:26" x14ac:dyDescent="0.25">
      <c r="Z24683">
        <v>400000</v>
      </c>
    </row>
    <row r="24684" spans="26:26" x14ac:dyDescent="0.25">
      <c r="Z24684">
        <v>400000</v>
      </c>
    </row>
    <row r="24685" spans="26:26" x14ac:dyDescent="0.25">
      <c r="Z24685">
        <v>400000</v>
      </c>
    </row>
    <row r="24686" spans="26:26" x14ac:dyDescent="0.25">
      <c r="Z24686">
        <v>400000</v>
      </c>
    </row>
    <row r="24687" spans="26:26" x14ac:dyDescent="0.25">
      <c r="Z24687">
        <v>400000</v>
      </c>
    </row>
    <row r="24688" spans="26:26" x14ac:dyDescent="0.25">
      <c r="Z24688">
        <v>400000</v>
      </c>
    </row>
    <row r="24689" spans="26:26" x14ac:dyDescent="0.25">
      <c r="Z24689">
        <v>400000</v>
      </c>
    </row>
    <row r="24690" spans="26:26" x14ac:dyDescent="0.25">
      <c r="Z24690">
        <v>400000</v>
      </c>
    </row>
    <row r="24691" spans="26:26" x14ac:dyDescent="0.25">
      <c r="Z24691">
        <v>400000</v>
      </c>
    </row>
    <row r="24692" spans="26:26" x14ac:dyDescent="0.25">
      <c r="Z24692">
        <v>400000</v>
      </c>
    </row>
    <row r="24693" spans="26:26" x14ac:dyDescent="0.25">
      <c r="Z24693">
        <v>400000</v>
      </c>
    </row>
    <row r="24694" spans="26:26" x14ac:dyDescent="0.25">
      <c r="Z24694">
        <v>400000</v>
      </c>
    </row>
    <row r="24695" spans="26:26" x14ac:dyDescent="0.25">
      <c r="Z24695">
        <v>400000</v>
      </c>
    </row>
    <row r="24696" spans="26:26" x14ac:dyDescent="0.25">
      <c r="Z24696">
        <v>400000</v>
      </c>
    </row>
    <row r="24697" spans="26:26" x14ac:dyDescent="0.25">
      <c r="Z24697">
        <v>400000</v>
      </c>
    </row>
    <row r="24698" spans="26:26" x14ac:dyDescent="0.25">
      <c r="Z24698">
        <v>400000</v>
      </c>
    </row>
    <row r="24699" spans="26:26" x14ac:dyDescent="0.25">
      <c r="Z24699">
        <v>400000</v>
      </c>
    </row>
    <row r="24700" spans="26:26" x14ac:dyDescent="0.25">
      <c r="Z24700">
        <v>400000</v>
      </c>
    </row>
    <row r="24701" spans="26:26" x14ac:dyDescent="0.25">
      <c r="Z24701">
        <v>400000</v>
      </c>
    </row>
    <row r="24702" spans="26:26" x14ac:dyDescent="0.25">
      <c r="Z24702">
        <v>400000</v>
      </c>
    </row>
    <row r="24703" spans="26:26" x14ac:dyDescent="0.25">
      <c r="Z24703">
        <v>400000</v>
      </c>
    </row>
    <row r="24704" spans="26:26" x14ac:dyDescent="0.25">
      <c r="Z24704">
        <v>400000</v>
      </c>
    </row>
    <row r="24705" spans="26:26" x14ac:dyDescent="0.25">
      <c r="Z24705">
        <v>400000</v>
      </c>
    </row>
    <row r="24706" spans="26:26" x14ac:dyDescent="0.25">
      <c r="Z24706">
        <v>400000</v>
      </c>
    </row>
    <row r="24707" spans="26:26" x14ac:dyDescent="0.25">
      <c r="Z24707">
        <v>400000</v>
      </c>
    </row>
    <row r="24708" spans="26:26" x14ac:dyDescent="0.25">
      <c r="Z24708">
        <v>400000</v>
      </c>
    </row>
    <row r="24709" spans="26:26" x14ac:dyDescent="0.25">
      <c r="Z24709">
        <v>400000</v>
      </c>
    </row>
    <row r="24710" spans="26:26" x14ac:dyDescent="0.25">
      <c r="Z24710">
        <v>400000</v>
      </c>
    </row>
    <row r="24711" spans="26:26" x14ac:dyDescent="0.25">
      <c r="Z24711">
        <v>400000</v>
      </c>
    </row>
    <row r="24712" spans="26:26" x14ac:dyDescent="0.25">
      <c r="Z24712">
        <v>400000</v>
      </c>
    </row>
    <row r="24713" spans="26:26" x14ac:dyDescent="0.25">
      <c r="Z24713">
        <v>400000</v>
      </c>
    </row>
    <row r="24714" spans="26:26" x14ac:dyDescent="0.25">
      <c r="Z24714">
        <v>400000</v>
      </c>
    </row>
    <row r="24715" spans="26:26" x14ac:dyDescent="0.25">
      <c r="Z24715">
        <v>400000</v>
      </c>
    </row>
    <row r="24716" spans="26:26" x14ac:dyDescent="0.25">
      <c r="Z24716">
        <v>400000</v>
      </c>
    </row>
    <row r="24717" spans="26:26" x14ac:dyDescent="0.25">
      <c r="Z24717">
        <v>400000</v>
      </c>
    </row>
    <row r="24718" spans="26:26" x14ac:dyDescent="0.25">
      <c r="Z24718">
        <v>400000</v>
      </c>
    </row>
    <row r="24719" spans="26:26" x14ac:dyDescent="0.25">
      <c r="Z24719">
        <v>400000</v>
      </c>
    </row>
    <row r="24720" spans="26:26" x14ac:dyDescent="0.25">
      <c r="Z24720">
        <v>400000</v>
      </c>
    </row>
    <row r="24721" spans="26:26" x14ac:dyDescent="0.25">
      <c r="Z24721">
        <v>400000</v>
      </c>
    </row>
    <row r="24722" spans="26:26" x14ac:dyDescent="0.25">
      <c r="Z24722">
        <v>400000</v>
      </c>
    </row>
    <row r="24723" spans="26:26" x14ac:dyDescent="0.25">
      <c r="Z24723">
        <v>400000</v>
      </c>
    </row>
    <row r="24724" spans="26:26" x14ac:dyDescent="0.25">
      <c r="Z24724">
        <v>400000</v>
      </c>
    </row>
    <row r="24725" spans="26:26" x14ac:dyDescent="0.25">
      <c r="Z24725">
        <v>400000</v>
      </c>
    </row>
    <row r="24726" spans="26:26" x14ac:dyDescent="0.25">
      <c r="Z24726">
        <v>400000</v>
      </c>
    </row>
    <row r="24727" spans="26:26" x14ac:dyDescent="0.25">
      <c r="Z24727">
        <v>400000</v>
      </c>
    </row>
    <row r="24728" spans="26:26" x14ac:dyDescent="0.25">
      <c r="Z24728">
        <v>400000</v>
      </c>
    </row>
    <row r="24729" spans="26:26" x14ac:dyDescent="0.25">
      <c r="Z24729">
        <v>400000</v>
      </c>
    </row>
    <row r="24730" spans="26:26" x14ac:dyDescent="0.25">
      <c r="Z24730">
        <v>400000</v>
      </c>
    </row>
    <row r="24731" spans="26:26" x14ac:dyDescent="0.25">
      <c r="Z24731">
        <v>400000</v>
      </c>
    </row>
    <row r="24732" spans="26:26" x14ac:dyDescent="0.25">
      <c r="Z24732">
        <v>400000</v>
      </c>
    </row>
    <row r="24733" spans="26:26" x14ac:dyDescent="0.25">
      <c r="Z24733">
        <v>400000</v>
      </c>
    </row>
    <row r="24734" spans="26:26" x14ac:dyDescent="0.25">
      <c r="Z24734">
        <v>400000</v>
      </c>
    </row>
    <row r="24735" spans="26:26" x14ac:dyDescent="0.25">
      <c r="Z24735">
        <v>400000</v>
      </c>
    </row>
    <row r="24736" spans="26:26" x14ac:dyDescent="0.25">
      <c r="Z24736">
        <v>400000</v>
      </c>
    </row>
    <row r="24737" spans="26:26" x14ac:dyDescent="0.25">
      <c r="Z24737">
        <v>400000</v>
      </c>
    </row>
    <row r="24738" spans="26:26" x14ac:dyDescent="0.25">
      <c r="Z24738">
        <v>400000</v>
      </c>
    </row>
    <row r="24739" spans="26:26" x14ac:dyDescent="0.25">
      <c r="Z24739">
        <v>400000</v>
      </c>
    </row>
    <row r="24740" spans="26:26" x14ac:dyDescent="0.25">
      <c r="Z24740">
        <v>400000</v>
      </c>
    </row>
    <row r="24741" spans="26:26" x14ac:dyDescent="0.25">
      <c r="Z24741">
        <v>400000</v>
      </c>
    </row>
    <row r="24742" spans="26:26" x14ac:dyDescent="0.25">
      <c r="Z24742">
        <v>400000</v>
      </c>
    </row>
    <row r="24743" spans="26:26" x14ac:dyDescent="0.25">
      <c r="Z24743">
        <v>400000</v>
      </c>
    </row>
    <row r="24744" spans="26:26" x14ac:dyDescent="0.25">
      <c r="Z24744">
        <v>400000</v>
      </c>
    </row>
    <row r="24745" spans="26:26" x14ac:dyDescent="0.25">
      <c r="Z24745">
        <v>400000</v>
      </c>
    </row>
    <row r="24746" spans="26:26" x14ac:dyDescent="0.25">
      <c r="Z24746">
        <v>400000</v>
      </c>
    </row>
    <row r="24747" spans="26:26" x14ac:dyDescent="0.25">
      <c r="Z24747">
        <v>400000</v>
      </c>
    </row>
    <row r="24748" spans="26:26" x14ac:dyDescent="0.25">
      <c r="Z24748">
        <v>400000</v>
      </c>
    </row>
    <row r="24749" spans="26:26" x14ac:dyDescent="0.25">
      <c r="Z24749">
        <v>400000</v>
      </c>
    </row>
    <row r="24750" spans="26:26" x14ac:dyDescent="0.25">
      <c r="Z24750">
        <v>400000</v>
      </c>
    </row>
    <row r="24751" spans="26:26" x14ac:dyDescent="0.25">
      <c r="Z24751">
        <v>400000</v>
      </c>
    </row>
    <row r="24752" spans="26:26" x14ac:dyDescent="0.25">
      <c r="Z24752">
        <v>400000</v>
      </c>
    </row>
    <row r="24753" spans="26:26" x14ac:dyDescent="0.25">
      <c r="Z24753">
        <v>400000</v>
      </c>
    </row>
    <row r="24754" spans="26:26" x14ac:dyDescent="0.25">
      <c r="Z24754">
        <v>400000</v>
      </c>
    </row>
    <row r="24755" spans="26:26" x14ac:dyDescent="0.25">
      <c r="Z24755">
        <v>400000</v>
      </c>
    </row>
    <row r="24756" spans="26:26" x14ac:dyDescent="0.25">
      <c r="Z24756">
        <v>400000</v>
      </c>
    </row>
    <row r="24757" spans="26:26" x14ac:dyDescent="0.25">
      <c r="Z24757">
        <v>400000</v>
      </c>
    </row>
    <row r="24758" spans="26:26" x14ac:dyDescent="0.25">
      <c r="Z24758">
        <v>400000</v>
      </c>
    </row>
    <row r="24759" spans="26:26" x14ac:dyDescent="0.25">
      <c r="Z24759">
        <v>400000</v>
      </c>
    </row>
    <row r="24760" spans="26:26" x14ac:dyDescent="0.25">
      <c r="Z24760">
        <v>400000</v>
      </c>
    </row>
    <row r="24761" spans="26:26" x14ac:dyDescent="0.25">
      <c r="Z24761">
        <v>400000</v>
      </c>
    </row>
    <row r="24762" spans="26:26" x14ac:dyDescent="0.25">
      <c r="Z24762">
        <v>400000</v>
      </c>
    </row>
    <row r="24763" spans="26:26" x14ac:dyDescent="0.25">
      <c r="Z24763">
        <v>400000</v>
      </c>
    </row>
    <row r="24764" spans="26:26" x14ac:dyDescent="0.25">
      <c r="Z24764">
        <v>400000</v>
      </c>
    </row>
    <row r="24765" spans="26:26" x14ac:dyDescent="0.25">
      <c r="Z24765">
        <v>400000</v>
      </c>
    </row>
    <row r="24766" spans="26:26" x14ac:dyDescent="0.25">
      <c r="Z24766">
        <v>400000</v>
      </c>
    </row>
    <row r="24767" spans="26:26" x14ac:dyDescent="0.25">
      <c r="Z24767">
        <v>400000</v>
      </c>
    </row>
    <row r="24768" spans="26:26" x14ac:dyDescent="0.25">
      <c r="Z24768">
        <v>400000</v>
      </c>
    </row>
    <row r="24769" spans="26:26" x14ac:dyDescent="0.25">
      <c r="Z24769">
        <v>400000</v>
      </c>
    </row>
    <row r="24770" spans="26:26" x14ac:dyDescent="0.25">
      <c r="Z24770">
        <v>400000</v>
      </c>
    </row>
    <row r="24771" spans="26:26" x14ac:dyDescent="0.25">
      <c r="Z24771">
        <v>400000</v>
      </c>
    </row>
    <row r="24772" spans="26:26" x14ac:dyDescent="0.25">
      <c r="Z24772">
        <v>400000</v>
      </c>
    </row>
    <row r="24773" spans="26:26" x14ac:dyDescent="0.25">
      <c r="Z24773">
        <v>400000</v>
      </c>
    </row>
    <row r="24774" spans="26:26" x14ac:dyDescent="0.25">
      <c r="Z24774">
        <v>400000</v>
      </c>
    </row>
    <row r="24775" spans="26:26" x14ac:dyDescent="0.25">
      <c r="Z24775">
        <v>400000</v>
      </c>
    </row>
    <row r="24776" spans="26:26" x14ac:dyDescent="0.25">
      <c r="Z24776">
        <v>400000</v>
      </c>
    </row>
    <row r="24777" spans="26:26" x14ac:dyDescent="0.25">
      <c r="Z24777">
        <v>400000</v>
      </c>
    </row>
    <row r="24778" spans="26:26" x14ac:dyDescent="0.25">
      <c r="Z24778">
        <v>400000</v>
      </c>
    </row>
    <row r="24779" spans="26:26" x14ac:dyDescent="0.25">
      <c r="Z24779">
        <v>400000</v>
      </c>
    </row>
    <row r="24780" spans="26:26" x14ac:dyDescent="0.25">
      <c r="Z24780">
        <v>400000</v>
      </c>
    </row>
    <row r="24781" spans="26:26" x14ac:dyDescent="0.25">
      <c r="Z24781">
        <v>400000</v>
      </c>
    </row>
    <row r="24782" spans="26:26" x14ac:dyDescent="0.25">
      <c r="Z24782">
        <v>400000</v>
      </c>
    </row>
    <row r="24783" spans="26:26" x14ac:dyDescent="0.25">
      <c r="Z24783">
        <v>400000</v>
      </c>
    </row>
    <row r="24784" spans="26:26" x14ac:dyDescent="0.25">
      <c r="Z24784">
        <v>400000</v>
      </c>
    </row>
    <row r="24785" spans="26:26" x14ac:dyDescent="0.25">
      <c r="Z24785">
        <v>400000</v>
      </c>
    </row>
    <row r="24786" spans="26:26" x14ac:dyDescent="0.25">
      <c r="Z24786">
        <v>400000</v>
      </c>
    </row>
    <row r="24787" spans="26:26" x14ac:dyDescent="0.25">
      <c r="Z24787">
        <v>400000</v>
      </c>
    </row>
    <row r="24788" spans="26:26" x14ac:dyDescent="0.25">
      <c r="Z24788">
        <v>400000</v>
      </c>
    </row>
    <row r="24789" spans="26:26" x14ac:dyDescent="0.25">
      <c r="Z24789">
        <v>400000</v>
      </c>
    </row>
    <row r="24790" spans="26:26" x14ac:dyDescent="0.25">
      <c r="Z24790">
        <v>400000</v>
      </c>
    </row>
    <row r="24791" spans="26:26" x14ac:dyDescent="0.25">
      <c r="Z24791">
        <v>400000</v>
      </c>
    </row>
    <row r="24792" spans="26:26" x14ac:dyDescent="0.25">
      <c r="Z24792">
        <v>400000</v>
      </c>
    </row>
    <row r="24793" spans="26:26" x14ac:dyDescent="0.25">
      <c r="Z24793">
        <v>400000</v>
      </c>
    </row>
    <row r="24794" spans="26:26" x14ac:dyDescent="0.25">
      <c r="Z24794">
        <v>400000</v>
      </c>
    </row>
    <row r="24795" spans="26:26" x14ac:dyDescent="0.25">
      <c r="Z24795">
        <v>400000</v>
      </c>
    </row>
    <row r="24796" spans="26:26" x14ac:dyDescent="0.25">
      <c r="Z24796">
        <v>400000</v>
      </c>
    </row>
    <row r="24797" spans="26:26" x14ac:dyDescent="0.25">
      <c r="Z24797">
        <v>400000</v>
      </c>
    </row>
    <row r="24798" spans="26:26" x14ac:dyDescent="0.25">
      <c r="Z24798">
        <v>400000</v>
      </c>
    </row>
    <row r="24799" spans="26:26" x14ac:dyDescent="0.25">
      <c r="Z24799">
        <v>400000</v>
      </c>
    </row>
    <row r="24800" spans="26:26" x14ac:dyDescent="0.25">
      <c r="Z24800">
        <v>400000</v>
      </c>
    </row>
    <row r="24801" spans="26:26" x14ac:dyDescent="0.25">
      <c r="Z24801">
        <v>400000</v>
      </c>
    </row>
    <row r="24802" spans="26:26" x14ac:dyDescent="0.25">
      <c r="Z24802">
        <v>400000</v>
      </c>
    </row>
    <row r="24803" spans="26:26" x14ac:dyDescent="0.25">
      <c r="Z24803">
        <v>400000</v>
      </c>
    </row>
    <row r="24804" spans="26:26" x14ac:dyDescent="0.25">
      <c r="Z24804">
        <v>400000</v>
      </c>
    </row>
    <row r="24805" spans="26:26" x14ac:dyDescent="0.25">
      <c r="Z24805">
        <v>400000</v>
      </c>
    </row>
    <row r="24806" spans="26:26" x14ac:dyDescent="0.25">
      <c r="Z24806">
        <v>400000</v>
      </c>
    </row>
    <row r="24807" spans="26:26" x14ac:dyDescent="0.25">
      <c r="Z24807">
        <v>400000</v>
      </c>
    </row>
    <row r="24808" spans="26:26" x14ac:dyDescent="0.25">
      <c r="Z24808">
        <v>400000</v>
      </c>
    </row>
    <row r="24809" spans="26:26" x14ac:dyDescent="0.25">
      <c r="Z24809">
        <v>400000</v>
      </c>
    </row>
    <row r="24810" spans="26:26" x14ac:dyDescent="0.25">
      <c r="Z24810">
        <v>400000</v>
      </c>
    </row>
    <row r="24811" spans="26:26" x14ac:dyDescent="0.25">
      <c r="Z24811">
        <v>400000</v>
      </c>
    </row>
    <row r="24812" spans="26:26" x14ac:dyDescent="0.25">
      <c r="Z24812">
        <v>400000</v>
      </c>
    </row>
    <row r="24813" spans="26:26" x14ac:dyDescent="0.25">
      <c r="Z24813">
        <v>400000</v>
      </c>
    </row>
    <row r="24814" spans="26:26" x14ac:dyDescent="0.25">
      <c r="Z24814">
        <v>400000</v>
      </c>
    </row>
    <row r="24815" spans="26:26" x14ac:dyDescent="0.25">
      <c r="Z24815">
        <v>400000</v>
      </c>
    </row>
    <row r="24816" spans="26:26" x14ac:dyDescent="0.25">
      <c r="Z24816">
        <v>400000</v>
      </c>
    </row>
    <row r="24817" spans="26:26" x14ac:dyDescent="0.25">
      <c r="Z24817">
        <v>400000</v>
      </c>
    </row>
    <row r="24818" spans="26:26" x14ac:dyDescent="0.25">
      <c r="Z24818">
        <v>400000</v>
      </c>
    </row>
    <row r="24819" spans="26:26" x14ac:dyDescent="0.25">
      <c r="Z24819">
        <v>400000</v>
      </c>
    </row>
    <row r="24820" spans="26:26" x14ac:dyDescent="0.25">
      <c r="Z24820">
        <v>400000</v>
      </c>
    </row>
    <row r="24821" spans="26:26" x14ac:dyDescent="0.25">
      <c r="Z24821">
        <v>400000</v>
      </c>
    </row>
    <row r="24822" spans="26:26" x14ac:dyDescent="0.25">
      <c r="Z24822">
        <v>400000</v>
      </c>
    </row>
    <row r="24823" spans="26:26" x14ac:dyDescent="0.25">
      <c r="Z24823">
        <v>400000</v>
      </c>
    </row>
    <row r="24824" spans="26:26" x14ac:dyDescent="0.25">
      <c r="Z24824">
        <v>400000</v>
      </c>
    </row>
    <row r="24825" spans="26:26" x14ac:dyDescent="0.25">
      <c r="Z24825">
        <v>400000</v>
      </c>
    </row>
    <row r="24826" spans="26:26" x14ac:dyDescent="0.25">
      <c r="Z24826">
        <v>400000</v>
      </c>
    </row>
    <row r="24827" spans="26:26" x14ac:dyDescent="0.25">
      <c r="Z24827">
        <v>400000</v>
      </c>
    </row>
    <row r="24828" spans="26:26" x14ac:dyDescent="0.25">
      <c r="Z24828">
        <v>400000</v>
      </c>
    </row>
    <row r="24829" spans="26:26" x14ac:dyDescent="0.25">
      <c r="Z24829">
        <v>400000</v>
      </c>
    </row>
    <row r="24830" spans="26:26" x14ac:dyDescent="0.25">
      <c r="Z24830">
        <v>400000</v>
      </c>
    </row>
    <row r="24831" spans="26:26" x14ac:dyDescent="0.25">
      <c r="Z24831">
        <v>400000</v>
      </c>
    </row>
    <row r="24832" spans="26:26" x14ac:dyDescent="0.25">
      <c r="Z24832">
        <v>400000</v>
      </c>
    </row>
    <row r="24833" spans="26:26" x14ac:dyDescent="0.25">
      <c r="Z24833">
        <v>400000</v>
      </c>
    </row>
    <row r="24834" spans="26:26" x14ac:dyDescent="0.25">
      <c r="Z24834">
        <v>400000</v>
      </c>
    </row>
    <row r="24835" spans="26:26" x14ac:dyDescent="0.25">
      <c r="Z24835">
        <v>400000</v>
      </c>
    </row>
    <row r="24836" spans="26:26" x14ac:dyDescent="0.25">
      <c r="Z24836">
        <v>400000</v>
      </c>
    </row>
    <row r="24837" spans="26:26" x14ac:dyDescent="0.25">
      <c r="Z24837">
        <v>400000</v>
      </c>
    </row>
    <row r="24838" spans="26:26" x14ac:dyDescent="0.25">
      <c r="Z24838">
        <v>400000</v>
      </c>
    </row>
    <row r="24839" spans="26:26" x14ac:dyDescent="0.25">
      <c r="Z24839">
        <v>400000</v>
      </c>
    </row>
    <row r="24840" spans="26:26" x14ac:dyDescent="0.25">
      <c r="Z24840">
        <v>400000</v>
      </c>
    </row>
    <row r="24841" spans="26:26" x14ac:dyDescent="0.25">
      <c r="Z24841">
        <v>400000</v>
      </c>
    </row>
    <row r="24842" spans="26:26" x14ac:dyDescent="0.25">
      <c r="Z24842">
        <v>400000</v>
      </c>
    </row>
    <row r="24843" spans="26:26" x14ac:dyDescent="0.25">
      <c r="Z24843">
        <v>400000</v>
      </c>
    </row>
    <row r="24844" spans="26:26" x14ac:dyDescent="0.25">
      <c r="Z24844">
        <v>400000</v>
      </c>
    </row>
    <row r="24845" spans="26:26" x14ac:dyDescent="0.25">
      <c r="Z24845">
        <v>400000</v>
      </c>
    </row>
    <row r="24846" spans="26:26" x14ac:dyDescent="0.25">
      <c r="Z24846">
        <v>400000</v>
      </c>
    </row>
    <row r="24847" spans="26:26" x14ac:dyDescent="0.25">
      <c r="Z24847">
        <v>400000</v>
      </c>
    </row>
    <row r="24848" spans="26:26" x14ac:dyDescent="0.25">
      <c r="Z24848">
        <v>400000</v>
      </c>
    </row>
    <row r="24849" spans="26:26" x14ac:dyDescent="0.25">
      <c r="Z24849">
        <v>400000</v>
      </c>
    </row>
    <row r="24850" spans="26:26" x14ac:dyDescent="0.25">
      <c r="Z24850">
        <v>400000</v>
      </c>
    </row>
    <row r="24851" spans="26:26" x14ac:dyDescent="0.25">
      <c r="Z24851">
        <v>400000</v>
      </c>
    </row>
    <row r="24852" spans="26:26" x14ac:dyDescent="0.25">
      <c r="Z24852">
        <v>400000</v>
      </c>
    </row>
    <row r="24853" spans="26:26" x14ac:dyDescent="0.25">
      <c r="Z24853">
        <v>400000</v>
      </c>
    </row>
    <row r="24854" spans="26:26" x14ac:dyDescent="0.25">
      <c r="Z24854">
        <v>400000</v>
      </c>
    </row>
    <row r="24855" spans="26:26" x14ac:dyDescent="0.25">
      <c r="Z24855">
        <v>400000</v>
      </c>
    </row>
    <row r="24856" spans="26:26" x14ac:dyDescent="0.25">
      <c r="Z24856">
        <v>400000</v>
      </c>
    </row>
    <row r="24857" spans="26:26" x14ac:dyDescent="0.25">
      <c r="Z24857">
        <v>400000</v>
      </c>
    </row>
    <row r="24858" spans="26:26" x14ac:dyDescent="0.25">
      <c r="Z24858">
        <v>400000</v>
      </c>
    </row>
    <row r="24859" spans="26:26" x14ac:dyDescent="0.25">
      <c r="Z24859">
        <v>400000</v>
      </c>
    </row>
    <row r="24860" spans="26:26" x14ac:dyDescent="0.25">
      <c r="Z24860">
        <v>400000</v>
      </c>
    </row>
    <row r="24861" spans="26:26" x14ac:dyDescent="0.25">
      <c r="Z24861">
        <v>400000</v>
      </c>
    </row>
    <row r="24862" spans="26:26" x14ac:dyDescent="0.25">
      <c r="Z24862">
        <v>400000</v>
      </c>
    </row>
    <row r="24863" spans="26:26" x14ac:dyDescent="0.25">
      <c r="Z24863">
        <v>400000</v>
      </c>
    </row>
    <row r="24864" spans="26:26" x14ac:dyDescent="0.25">
      <c r="Z24864">
        <v>400000</v>
      </c>
    </row>
    <row r="24865" spans="26:26" x14ac:dyDescent="0.25">
      <c r="Z24865">
        <v>400000</v>
      </c>
    </row>
    <row r="24866" spans="26:26" x14ac:dyDescent="0.25">
      <c r="Z24866">
        <v>400000</v>
      </c>
    </row>
    <row r="24867" spans="26:26" x14ac:dyDescent="0.25">
      <c r="Z24867">
        <v>400000</v>
      </c>
    </row>
    <row r="24868" spans="26:26" x14ac:dyDescent="0.25">
      <c r="Z24868">
        <v>400000</v>
      </c>
    </row>
    <row r="24869" spans="26:26" x14ac:dyDescent="0.25">
      <c r="Z24869">
        <v>400000</v>
      </c>
    </row>
    <row r="24870" spans="26:26" x14ac:dyDescent="0.25">
      <c r="Z24870">
        <v>400000</v>
      </c>
    </row>
    <row r="24871" spans="26:26" x14ac:dyDescent="0.25">
      <c r="Z24871">
        <v>400000</v>
      </c>
    </row>
    <row r="24872" spans="26:26" x14ac:dyDescent="0.25">
      <c r="Z24872">
        <v>400000</v>
      </c>
    </row>
    <row r="24873" spans="26:26" x14ac:dyDescent="0.25">
      <c r="Z24873">
        <v>400000</v>
      </c>
    </row>
    <row r="24874" spans="26:26" x14ac:dyDescent="0.25">
      <c r="Z24874">
        <v>400000</v>
      </c>
    </row>
    <row r="24875" spans="26:26" x14ac:dyDescent="0.25">
      <c r="Z24875">
        <v>400000</v>
      </c>
    </row>
    <row r="24876" spans="26:26" x14ac:dyDescent="0.25">
      <c r="Z24876">
        <v>400000</v>
      </c>
    </row>
    <row r="24877" spans="26:26" x14ac:dyDescent="0.25">
      <c r="Z24877">
        <v>400000</v>
      </c>
    </row>
    <row r="24878" spans="26:26" x14ac:dyDescent="0.25">
      <c r="Z24878">
        <v>400000</v>
      </c>
    </row>
    <row r="24879" spans="26:26" x14ac:dyDescent="0.25">
      <c r="Z24879">
        <v>400000</v>
      </c>
    </row>
    <row r="24880" spans="26:26" x14ac:dyDescent="0.25">
      <c r="Z24880">
        <v>400000</v>
      </c>
    </row>
    <row r="24881" spans="26:26" x14ac:dyDescent="0.25">
      <c r="Z24881">
        <v>400000</v>
      </c>
    </row>
    <row r="24882" spans="26:26" x14ac:dyDescent="0.25">
      <c r="Z24882">
        <v>400000</v>
      </c>
    </row>
    <row r="24883" spans="26:26" x14ac:dyDescent="0.25">
      <c r="Z24883">
        <v>400000</v>
      </c>
    </row>
    <row r="24884" spans="26:26" x14ac:dyDescent="0.25">
      <c r="Z24884">
        <v>400000</v>
      </c>
    </row>
    <row r="24885" spans="26:26" x14ac:dyDescent="0.25">
      <c r="Z24885">
        <v>400000</v>
      </c>
    </row>
    <row r="24886" spans="26:26" x14ac:dyDescent="0.25">
      <c r="Z24886">
        <v>400000</v>
      </c>
    </row>
    <row r="24887" spans="26:26" x14ac:dyDescent="0.25">
      <c r="Z24887">
        <v>400000</v>
      </c>
    </row>
    <row r="24888" spans="26:26" x14ac:dyDescent="0.25">
      <c r="Z24888">
        <v>400000</v>
      </c>
    </row>
    <row r="24889" spans="26:26" x14ac:dyDescent="0.25">
      <c r="Z24889">
        <v>400000</v>
      </c>
    </row>
    <row r="24890" spans="26:26" x14ac:dyDescent="0.25">
      <c r="Z24890">
        <v>400000</v>
      </c>
    </row>
    <row r="24891" spans="26:26" x14ac:dyDescent="0.25">
      <c r="Z24891">
        <v>400000</v>
      </c>
    </row>
    <row r="24892" spans="26:26" x14ac:dyDescent="0.25">
      <c r="Z24892">
        <v>400000</v>
      </c>
    </row>
    <row r="24893" spans="26:26" x14ac:dyDescent="0.25">
      <c r="Z24893">
        <v>400000</v>
      </c>
    </row>
    <row r="24894" spans="26:26" x14ac:dyDescent="0.25">
      <c r="Z24894">
        <v>400000</v>
      </c>
    </row>
    <row r="24895" spans="26:26" x14ac:dyDescent="0.25">
      <c r="Z24895">
        <v>400000</v>
      </c>
    </row>
    <row r="24896" spans="26:26" x14ac:dyDescent="0.25">
      <c r="Z24896">
        <v>400000</v>
      </c>
    </row>
    <row r="24897" spans="26:26" x14ac:dyDescent="0.25">
      <c r="Z24897">
        <v>400000</v>
      </c>
    </row>
    <row r="24898" spans="26:26" x14ac:dyDescent="0.25">
      <c r="Z24898">
        <v>400000</v>
      </c>
    </row>
    <row r="24899" spans="26:26" x14ac:dyDescent="0.25">
      <c r="Z24899">
        <v>400000</v>
      </c>
    </row>
    <row r="24900" spans="26:26" x14ac:dyDescent="0.25">
      <c r="Z24900">
        <v>400000</v>
      </c>
    </row>
    <row r="24901" spans="26:26" x14ac:dyDescent="0.25">
      <c r="Z24901">
        <v>400000</v>
      </c>
    </row>
    <row r="24902" spans="26:26" x14ac:dyDescent="0.25">
      <c r="Z24902">
        <v>400000</v>
      </c>
    </row>
    <row r="24903" spans="26:26" x14ac:dyDescent="0.25">
      <c r="Z24903">
        <v>400000</v>
      </c>
    </row>
    <row r="24904" spans="26:26" x14ac:dyDescent="0.25">
      <c r="Z24904">
        <v>400000</v>
      </c>
    </row>
    <row r="24905" spans="26:26" x14ac:dyDescent="0.25">
      <c r="Z24905">
        <v>400000</v>
      </c>
    </row>
    <row r="24906" spans="26:26" x14ac:dyDescent="0.25">
      <c r="Z24906">
        <v>400000</v>
      </c>
    </row>
    <row r="24907" spans="26:26" x14ac:dyDescent="0.25">
      <c r="Z24907">
        <v>400000</v>
      </c>
    </row>
    <row r="24908" spans="26:26" x14ac:dyDescent="0.25">
      <c r="Z24908">
        <v>400000</v>
      </c>
    </row>
    <row r="24909" spans="26:26" x14ac:dyDescent="0.25">
      <c r="Z24909">
        <v>400000</v>
      </c>
    </row>
    <row r="24910" spans="26:26" x14ac:dyDescent="0.25">
      <c r="Z24910">
        <v>400000</v>
      </c>
    </row>
    <row r="24911" spans="26:26" x14ac:dyDescent="0.25">
      <c r="Z24911">
        <v>400000</v>
      </c>
    </row>
    <row r="24912" spans="26:26" x14ac:dyDescent="0.25">
      <c r="Z24912">
        <v>400000</v>
      </c>
    </row>
    <row r="24913" spans="26:26" x14ac:dyDescent="0.25">
      <c r="Z24913">
        <v>400000</v>
      </c>
    </row>
    <row r="24914" spans="26:26" x14ac:dyDescent="0.25">
      <c r="Z24914">
        <v>400000</v>
      </c>
    </row>
    <row r="24915" spans="26:26" x14ac:dyDescent="0.25">
      <c r="Z24915">
        <v>400000</v>
      </c>
    </row>
    <row r="24916" spans="26:26" x14ac:dyDescent="0.25">
      <c r="Z24916">
        <v>400000</v>
      </c>
    </row>
    <row r="24917" spans="26:26" x14ac:dyDescent="0.25">
      <c r="Z24917">
        <v>400000</v>
      </c>
    </row>
    <row r="24918" spans="26:26" x14ac:dyDescent="0.25">
      <c r="Z24918">
        <v>400000</v>
      </c>
    </row>
    <row r="24919" spans="26:26" x14ac:dyDescent="0.25">
      <c r="Z24919">
        <v>400000</v>
      </c>
    </row>
    <row r="24920" spans="26:26" x14ac:dyDescent="0.25">
      <c r="Z24920">
        <v>400000</v>
      </c>
    </row>
    <row r="24921" spans="26:26" x14ac:dyDescent="0.25">
      <c r="Z24921">
        <v>400000</v>
      </c>
    </row>
    <row r="24922" spans="26:26" x14ac:dyDescent="0.25">
      <c r="Z24922">
        <v>400000</v>
      </c>
    </row>
    <row r="24923" spans="26:26" x14ac:dyDescent="0.25">
      <c r="Z24923">
        <v>400000</v>
      </c>
    </row>
    <row r="24924" spans="26:26" x14ac:dyDescent="0.25">
      <c r="Z24924">
        <v>400000</v>
      </c>
    </row>
    <row r="24925" spans="26:26" x14ac:dyDescent="0.25">
      <c r="Z24925">
        <v>400000</v>
      </c>
    </row>
    <row r="24926" spans="26:26" x14ac:dyDescent="0.25">
      <c r="Z24926">
        <v>400000</v>
      </c>
    </row>
    <row r="24927" spans="26:26" x14ac:dyDescent="0.25">
      <c r="Z24927">
        <v>400000</v>
      </c>
    </row>
    <row r="24928" spans="26:26" x14ac:dyDescent="0.25">
      <c r="Z24928">
        <v>400000</v>
      </c>
    </row>
    <row r="24929" spans="26:26" x14ac:dyDescent="0.25">
      <c r="Z24929">
        <v>400000</v>
      </c>
    </row>
    <row r="24930" spans="26:26" x14ac:dyDescent="0.25">
      <c r="Z24930">
        <v>400000</v>
      </c>
    </row>
    <row r="24931" spans="26:26" x14ac:dyDescent="0.25">
      <c r="Z24931">
        <v>400000</v>
      </c>
    </row>
    <row r="24932" spans="26:26" x14ac:dyDescent="0.25">
      <c r="Z24932">
        <v>400000</v>
      </c>
    </row>
    <row r="24933" spans="26:26" x14ac:dyDescent="0.25">
      <c r="Z24933">
        <v>400000</v>
      </c>
    </row>
    <row r="24934" spans="26:26" x14ac:dyDescent="0.25">
      <c r="Z24934">
        <v>400000</v>
      </c>
    </row>
    <row r="24935" spans="26:26" x14ac:dyDescent="0.25">
      <c r="Z24935">
        <v>400000</v>
      </c>
    </row>
    <row r="24936" spans="26:26" x14ac:dyDescent="0.25">
      <c r="Z24936">
        <v>400000</v>
      </c>
    </row>
    <row r="24937" spans="26:26" x14ac:dyDescent="0.25">
      <c r="Z24937">
        <v>400000</v>
      </c>
    </row>
    <row r="24938" spans="26:26" x14ac:dyDescent="0.25">
      <c r="Z24938">
        <v>400000</v>
      </c>
    </row>
    <row r="24939" spans="26:26" x14ac:dyDescent="0.25">
      <c r="Z24939">
        <v>400000</v>
      </c>
    </row>
    <row r="24940" spans="26:26" x14ac:dyDescent="0.25">
      <c r="Z24940">
        <v>400000</v>
      </c>
    </row>
    <row r="24941" spans="26:26" x14ac:dyDescent="0.25">
      <c r="Z24941">
        <v>400000</v>
      </c>
    </row>
    <row r="24942" spans="26:26" x14ac:dyDescent="0.25">
      <c r="Z24942">
        <v>400000</v>
      </c>
    </row>
    <row r="24943" spans="26:26" x14ac:dyDescent="0.25">
      <c r="Z24943">
        <v>400000</v>
      </c>
    </row>
    <row r="24944" spans="26:26" x14ac:dyDescent="0.25">
      <c r="Z24944">
        <v>400000</v>
      </c>
    </row>
    <row r="24945" spans="26:26" x14ac:dyDescent="0.25">
      <c r="Z24945">
        <v>400000</v>
      </c>
    </row>
    <row r="24946" spans="26:26" x14ac:dyDescent="0.25">
      <c r="Z24946">
        <v>400000</v>
      </c>
    </row>
    <row r="24947" spans="26:26" x14ac:dyDescent="0.25">
      <c r="Z24947">
        <v>400000</v>
      </c>
    </row>
    <row r="24948" spans="26:26" x14ac:dyDescent="0.25">
      <c r="Z24948">
        <v>400000</v>
      </c>
    </row>
    <row r="24949" spans="26:26" x14ac:dyDescent="0.25">
      <c r="Z24949">
        <v>400000</v>
      </c>
    </row>
    <row r="24950" spans="26:26" x14ac:dyDescent="0.25">
      <c r="Z24950">
        <v>400000</v>
      </c>
    </row>
    <row r="24951" spans="26:26" x14ac:dyDescent="0.25">
      <c r="Z24951">
        <v>400000</v>
      </c>
    </row>
    <row r="24952" spans="26:26" x14ac:dyDescent="0.25">
      <c r="Z24952">
        <v>400000</v>
      </c>
    </row>
    <row r="24953" spans="26:26" x14ac:dyDescent="0.25">
      <c r="Z24953">
        <v>400000</v>
      </c>
    </row>
    <row r="24954" spans="26:26" x14ac:dyDescent="0.25">
      <c r="Z24954">
        <v>400000</v>
      </c>
    </row>
    <row r="24955" spans="26:26" x14ac:dyDescent="0.25">
      <c r="Z24955">
        <v>400000</v>
      </c>
    </row>
    <row r="24956" spans="26:26" x14ac:dyDescent="0.25">
      <c r="Z24956">
        <v>400000</v>
      </c>
    </row>
    <row r="24957" spans="26:26" x14ac:dyDescent="0.25">
      <c r="Z24957">
        <v>400000</v>
      </c>
    </row>
    <row r="24958" spans="26:26" x14ac:dyDescent="0.25">
      <c r="Z24958">
        <v>400000</v>
      </c>
    </row>
    <row r="24959" spans="26:26" x14ac:dyDescent="0.25">
      <c r="Z24959">
        <v>400000</v>
      </c>
    </row>
    <row r="24960" spans="26:26" x14ac:dyDescent="0.25">
      <c r="Z24960">
        <v>400000</v>
      </c>
    </row>
    <row r="24961" spans="26:26" x14ac:dyDescent="0.25">
      <c r="Z24961">
        <v>400000</v>
      </c>
    </row>
    <row r="24962" spans="26:26" x14ac:dyDescent="0.25">
      <c r="Z24962">
        <v>400000</v>
      </c>
    </row>
    <row r="24963" spans="26:26" x14ac:dyDescent="0.25">
      <c r="Z24963">
        <v>400000</v>
      </c>
    </row>
    <row r="24964" spans="26:26" x14ac:dyDescent="0.25">
      <c r="Z24964">
        <v>400000</v>
      </c>
    </row>
    <row r="24965" spans="26:26" x14ac:dyDescent="0.25">
      <c r="Z24965">
        <v>400000</v>
      </c>
    </row>
    <row r="24966" spans="26:26" x14ac:dyDescent="0.25">
      <c r="Z24966">
        <v>400000</v>
      </c>
    </row>
    <row r="24967" spans="26:26" x14ac:dyDescent="0.25">
      <c r="Z24967">
        <v>400000</v>
      </c>
    </row>
    <row r="24968" spans="26:26" x14ac:dyDescent="0.25">
      <c r="Z24968">
        <v>400000</v>
      </c>
    </row>
    <row r="24969" spans="26:26" x14ac:dyDescent="0.25">
      <c r="Z24969">
        <v>400000</v>
      </c>
    </row>
    <row r="24970" spans="26:26" x14ac:dyDescent="0.25">
      <c r="Z24970">
        <v>400000</v>
      </c>
    </row>
    <row r="24971" spans="26:26" x14ac:dyDescent="0.25">
      <c r="Z24971">
        <v>400000</v>
      </c>
    </row>
    <row r="24972" spans="26:26" x14ac:dyDescent="0.25">
      <c r="Z24972">
        <v>400000</v>
      </c>
    </row>
    <row r="24973" spans="26:26" x14ac:dyDescent="0.25">
      <c r="Z24973">
        <v>400000</v>
      </c>
    </row>
    <row r="24974" spans="26:26" x14ac:dyDescent="0.25">
      <c r="Z24974">
        <v>400000</v>
      </c>
    </row>
    <row r="24975" spans="26:26" x14ac:dyDescent="0.25">
      <c r="Z24975">
        <v>400000</v>
      </c>
    </row>
    <row r="24976" spans="26:26" x14ac:dyDescent="0.25">
      <c r="Z24976">
        <v>400000</v>
      </c>
    </row>
    <row r="24977" spans="26:26" x14ac:dyDescent="0.25">
      <c r="Z24977">
        <v>400000</v>
      </c>
    </row>
    <row r="24978" spans="26:26" x14ac:dyDescent="0.25">
      <c r="Z24978">
        <v>400000</v>
      </c>
    </row>
    <row r="24979" spans="26:26" x14ac:dyDescent="0.25">
      <c r="Z24979">
        <v>400000</v>
      </c>
    </row>
    <row r="24980" spans="26:26" x14ac:dyDescent="0.25">
      <c r="Z24980">
        <v>400000</v>
      </c>
    </row>
    <row r="24981" spans="26:26" x14ac:dyDescent="0.25">
      <c r="Z24981">
        <v>400000</v>
      </c>
    </row>
    <row r="24982" spans="26:26" x14ac:dyDescent="0.25">
      <c r="Z24982">
        <v>400000</v>
      </c>
    </row>
    <row r="24983" spans="26:26" x14ac:dyDescent="0.25">
      <c r="Z24983">
        <v>400000</v>
      </c>
    </row>
    <row r="24984" spans="26:26" x14ac:dyDescent="0.25">
      <c r="Z24984">
        <v>400000</v>
      </c>
    </row>
    <row r="24985" spans="26:26" x14ac:dyDescent="0.25">
      <c r="Z24985">
        <v>400000</v>
      </c>
    </row>
    <row r="24986" spans="26:26" x14ac:dyDescent="0.25">
      <c r="Z24986">
        <v>400000</v>
      </c>
    </row>
    <row r="24987" spans="26:26" x14ac:dyDescent="0.25">
      <c r="Z24987">
        <v>400000</v>
      </c>
    </row>
    <row r="24988" spans="26:26" x14ac:dyDescent="0.25">
      <c r="Z24988">
        <v>400000</v>
      </c>
    </row>
    <row r="24989" spans="26:26" x14ac:dyDescent="0.25">
      <c r="Z24989">
        <v>400000</v>
      </c>
    </row>
    <row r="24990" spans="26:26" x14ac:dyDescent="0.25">
      <c r="Z24990">
        <v>400000</v>
      </c>
    </row>
    <row r="24991" spans="26:26" x14ac:dyDescent="0.25">
      <c r="Z24991">
        <v>400000</v>
      </c>
    </row>
    <row r="24992" spans="26:26" x14ac:dyDescent="0.25">
      <c r="Z24992">
        <v>400000</v>
      </c>
    </row>
    <row r="24993" spans="26:26" x14ac:dyDescent="0.25">
      <c r="Z24993">
        <v>400000</v>
      </c>
    </row>
    <row r="24994" spans="26:26" x14ac:dyDescent="0.25">
      <c r="Z24994">
        <v>400000</v>
      </c>
    </row>
    <row r="24995" spans="26:26" x14ac:dyDescent="0.25">
      <c r="Z24995">
        <v>400000</v>
      </c>
    </row>
    <row r="24996" spans="26:26" x14ac:dyDescent="0.25">
      <c r="Z24996">
        <v>400000</v>
      </c>
    </row>
    <row r="24997" spans="26:26" x14ac:dyDescent="0.25">
      <c r="Z24997">
        <v>400000</v>
      </c>
    </row>
    <row r="24998" spans="26:26" x14ac:dyDescent="0.25">
      <c r="Z24998">
        <v>400000</v>
      </c>
    </row>
    <row r="24999" spans="26:26" x14ac:dyDescent="0.25">
      <c r="Z24999">
        <v>400000</v>
      </c>
    </row>
    <row r="25000" spans="26:26" x14ac:dyDescent="0.25">
      <c r="Z25000">
        <v>400000</v>
      </c>
    </row>
    <row r="25001" spans="26:26" x14ac:dyDescent="0.25">
      <c r="Z25001">
        <v>400000</v>
      </c>
    </row>
    <row r="25002" spans="26:26" x14ac:dyDescent="0.25">
      <c r="Z25002">
        <v>400000</v>
      </c>
    </row>
    <row r="25003" spans="26:26" x14ac:dyDescent="0.25">
      <c r="Z25003">
        <v>400000</v>
      </c>
    </row>
    <row r="25004" spans="26:26" x14ac:dyDescent="0.25">
      <c r="Z25004">
        <v>400000</v>
      </c>
    </row>
    <row r="25005" spans="26:26" x14ac:dyDescent="0.25">
      <c r="Z25005">
        <v>400000</v>
      </c>
    </row>
    <row r="25006" spans="26:26" x14ac:dyDescent="0.25">
      <c r="Z25006">
        <v>400000</v>
      </c>
    </row>
    <row r="25007" spans="26:26" x14ac:dyDescent="0.25">
      <c r="Z25007">
        <v>400000</v>
      </c>
    </row>
    <row r="25008" spans="26:26" x14ac:dyDescent="0.25">
      <c r="Z25008">
        <v>400000</v>
      </c>
    </row>
    <row r="25009" spans="26:26" x14ac:dyDescent="0.25">
      <c r="Z25009">
        <v>400000</v>
      </c>
    </row>
    <row r="25010" spans="26:26" x14ac:dyDescent="0.25">
      <c r="Z25010">
        <v>400000</v>
      </c>
    </row>
    <row r="25011" spans="26:26" x14ac:dyDescent="0.25">
      <c r="Z25011">
        <v>400000</v>
      </c>
    </row>
    <row r="25012" spans="26:26" x14ac:dyDescent="0.25">
      <c r="Z25012">
        <v>400000</v>
      </c>
    </row>
    <row r="25013" spans="26:26" x14ac:dyDescent="0.25">
      <c r="Z25013">
        <v>400000</v>
      </c>
    </row>
    <row r="25014" spans="26:26" x14ac:dyDescent="0.25">
      <c r="Z25014">
        <v>400000</v>
      </c>
    </row>
    <row r="25015" spans="26:26" x14ac:dyDescent="0.25">
      <c r="Z25015">
        <v>400000</v>
      </c>
    </row>
    <row r="25016" spans="26:26" x14ac:dyDescent="0.25">
      <c r="Z25016">
        <v>400000</v>
      </c>
    </row>
    <row r="25017" spans="26:26" x14ac:dyDescent="0.25">
      <c r="Z25017">
        <v>400000</v>
      </c>
    </row>
    <row r="25018" spans="26:26" x14ac:dyDescent="0.25">
      <c r="Z25018">
        <v>400000</v>
      </c>
    </row>
    <row r="25019" spans="26:26" x14ac:dyDescent="0.25">
      <c r="Z25019">
        <v>400000</v>
      </c>
    </row>
    <row r="25020" spans="26:26" x14ac:dyDescent="0.25">
      <c r="Z25020">
        <v>400000</v>
      </c>
    </row>
    <row r="25021" spans="26:26" x14ac:dyDescent="0.25">
      <c r="Z25021">
        <v>400000</v>
      </c>
    </row>
    <row r="25022" spans="26:26" x14ac:dyDescent="0.25">
      <c r="Z25022">
        <v>400000</v>
      </c>
    </row>
    <row r="25023" spans="26:26" x14ac:dyDescent="0.25">
      <c r="Z25023">
        <v>400000</v>
      </c>
    </row>
    <row r="25024" spans="26:26" x14ac:dyDescent="0.25">
      <c r="Z25024">
        <v>400000</v>
      </c>
    </row>
    <row r="25025" spans="26:26" x14ac:dyDescent="0.25">
      <c r="Z25025">
        <v>400000</v>
      </c>
    </row>
    <row r="25026" spans="26:26" x14ac:dyDescent="0.25">
      <c r="Z25026">
        <v>400000</v>
      </c>
    </row>
    <row r="25027" spans="26:26" x14ac:dyDescent="0.25">
      <c r="Z25027">
        <v>400000</v>
      </c>
    </row>
    <row r="25028" spans="26:26" x14ac:dyDescent="0.25">
      <c r="Z25028">
        <v>400000</v>
      </c>
    </row>
    <row r="25029" spans="26:26" x14ac:dyDescent="0.25">
      <c r="Z25029">
        <v>400000</v>
      </c>
    </row>
    <row r="25030" spans="26:26" x14ac:dyDescent="0.25">
      <c r="Z25030">
        <v>400000</v>
      </c>
    </row>
    <row r="25031" spans="26:26" x14ac:dyDescent="0.25">
      <c r="Z25031">
        <v>400000</v>
      </c>
    </row>
    <row r="25032" spans="26:26" x14ac:dyDescent="0.25">
      <c r="Z25032">
        <v>400000</v>
      </c>
    </row>
    <row r="25033" spans="26:26" x14ac:dyDescent="0.25">
      <c r="Z25033">
        <v>400000</v>
      </c>
    </row>
    <row r="25034" spans="26:26" x14ac:dyDescent="0.25">
      <c r="Z25034">
        <v>400000</v>
      </c>
    </row>
    <row r="25035" spans="26:26" x14ac:dyDescent="0.25">
      <c r="Z25035">
        <v>400000</v>
      </c>
    </row>
    <row r="25036" spans="26:26" x14ac:dyDescent="0.25">
      <c r="Z25036">
        <v>400000</v>
      </c>
    </row>
    <row r="25037" spans="26:26" x14ac:dyDescent="0.25">
      <c r="Z25037">
        <v>400000</v>
      </c>
    </row>
    <row r="25038" spans="26:26" x14ac:dyDescent="0.25">
      <c r="Z25038">
        <v>400000</v>
      </c>
    </row>
    <row r="25039" spans="26:26" x14ac:dyDescent="0.25">
      <c r="Z25039">
        <v>400000</v>
      </c>
    </row>
    <row r="25040" spans="26:26" x14ac:dyDescent="0.25">
      <c r="Z25040">
        <v>400000</v>
      </c>
    </row>
    <row r="25041" spans="26:26" x14ac:dyDescent="0.25">
      <c r="Z25041">
        <v>400000</v>
      </c>
    </row>
    <row r="25042" spans="26:26" x14ac:dyDescent="0.25">
      <c r="Z25042">
        <v>400000</v>
      </c>
    </row>
    <row r="25043" spans="26:26" x14ac:dyDescent="0.25">
      <c r="Z25043">
        <v>400000</v>
      </c>
    </row>
    <row r="25044" spans="26:26" x14ac:dyDescent="0.25">
      <c r="Z25044">
        <v>400000</v>
      </c>
    </row>
    <row r="25045" spans="26:26" x14ac:dyDescent="0.25">
      <c r="Z25045">
        <v>400000</v>
      </c>
    </row>
    <row r="25046" spans="26:26" x14ac:dyDescent="0.25">
      <c r="Z25046">
        <v>400000</v>
      </c>
    </row>
    <row r="25047" spans="26:26" x14ac:dyDescent="0.25">
      <c r="Z25047">
        <v>400000</v>
      </c>
    </row>
    <row r="25048" spans="26:26" x14ac:dyDescent="0.25">
      <c r="Z25048">
        <v>400000</v>
      </c>
    </row>
    <row r="25049" spans="26:26" x14ac:dyDescent="0.25">
      <c r="Z25049">
        <v>400000</v>
      </c>
    </row>
    <row r="25050" spans="26:26" x14ac:dyDescent="0.25">
      <c r="Z25050">
        <v>400000</v>
      </c>
    </row>
    <row r="25051" spans="26:26" x14ac:dyDescent="0.25">
      <c r="Z25051">
        <v>400000</v>
      </c>
    </row>
    <row r="25052" spans="26:26" x14ac:dyDescent="0.25">
      <c r="Z25052">
        <v>400000</v>
      </c>
    </row>
    <row r="25053" spans="26:26" x14ac:dyDescent="0.25">
      <c r="Z25053">
        <v>400000</v>
      </c>
    </row>
    <row r="25054" spans="26:26" x14ac:dyDescent="0.25">
      <c r="Z25054">
        <v>400000</v>
      </c>
    </row>
    <row r="25055" spans="26:26" x14ac:dyDescent="0.25">
      <c r="Z25055">
        <v>400000</v>
      </c>
    </row>
    <row r="25056" spans="26:26" x14ac:dyDescent="0.25">
      <c r="Z25056">
        <v>400000</v>
      </c>
    </row>
    <row r="25057" spans="26:26" x14ac:dyDescent="0.25">
      <c r="Z25057">
        <v>400000</v>
      </c>
    </row>
    <row r="25058" spans="26:26" x14ac:dyDescent="0.25">
      <c r="Z25058">
        <v>400000</v>
      </c>
    </row>
    <row r="25059" spans="26:26" x14ac:dyDescent="0.25">
      <c r="Z25059">
        <v>400000</v>
      </c>
    </row>
    <row r="25060" spans="26:26" x14ac:dyDescent="0.25">
      <c r="Z25060">
        <v>400000</v>
      </c>
    </row>
    <row r="25061" spans="26:26" x14ac:dyDescent="0.25">
      <c r="Z25061">
        <v>400000</v>
      </c>
    </row>
    <row r="25062" spans="26:26" x14ac:dyDescent="0.25">
      <c r="Z25062">
        <v>400000</v>
      </c>
    </row>
    <row r="25063" spans="26:26" x14ac:dyDescent="0.25">
      <c r="Z25063">
        <v>400000</v>
      </c>
    </row>
    <row r="25064" spans="26:26" x14ac:dyDescent="0.25">
      <c r="Z25064">
        <v>400000</v>
      </c>
    </row>
    <row r="25065" spans="26:26" x14ac:dyDescent="0.25">
      <c r="Z25065">
        <v>400000</v>
      </c>
    </row>
    <row r="25066" spans="26:26" x14ac:dyDescent="0.25">
      <c r="Z25066">
        <v>400000</v>
      </c>
    </row>
    <row r="25067" spans="26:26" x14ac:dyDescent="0.25">
      <c r="Z25067">
        <v>400000</v>
      </c>
    </row>
    <row r="25068" spans="26:26" x14ac:dyDescent="0.25">
      <c r="Z25068">
        <v>400000</v>
      </c>
    </row>
    <row r="25069" spans="26:26" x14ac:dyDescent="0.25">
      <c r="Z25069">
        <v>400000</v>
      </c>
    </row>
    <row r="25070" spans="26:26" x14ac:dyDescent="0.25">
      <c r="Z25070">
        <v>400000</v>
      </c>
    </row>
    <row r="25071" spans="26:26" x14ac:dyDescent="0.25">
      <c r="Z25071">
        <v>400000</v>
      </c>
    </row>
    <row r="25072" spans="26:26" x14ac:dyDescent="0.25">
      <c r="Z25072">
        <v>400000</v>
      </c>
    </row>
    <row r="25073" spans="26:26" x14ac:dyDescent="0.25">
      <c r="Z25073">
        <v>400000</v>
      </c>
    </row>
    <row r="25074" spans="26:26" x14ac:dyDescent="0.25">
      <c r="Z25074">
        <v>400000</v>
      </c>
    </row>
    <row r="25075" spans="26:26" x14ac:dyDescent="0.25">
      <c r="Z25075">
        <v>400000</v>
      </c>
    </row>
    <row r="25076" spans="26:26" x14ac:dyDescent="0.25">
      <c r="Z25076">
        <v>400000</v>
      </c>
    </row>
    <row r="25077" spans="26:26" x14ac:dyDescent="0.25">
      <c r="Z25077">
        <v>400000</v>
      </c>
    </row>
    <row r="25078" spans="26:26" x14ac:dyDescent="0.25">
      <c r="Z25078">
        <v>400000</v>
      </c>
    </row>
    <row r="25079" spans="26:26" x14ac:dyDescent="0.25">
      <c r="Z25079">
        <v>400000</v>
      </c>
    </row>
    <row r="25080" spans="26:26" x14ac:dyDescent="0.25">
      <c r="Z25080">
        <v>400000</v>
      </c>
    </row>
    <row r="25081" spans="26:26" x14ac:dyDescent="0.25">
      <c r="Z25081">
        <v>400000</v>
      </c>
    </row>
    <row r="25082" spans="26:26" x14ac:dyDescent="0.25">
      <c r="Z25082">
        <v>400000</v>
      </c>
    </row>
    <row r="25083" spans="26:26" x14ac:dyDescent="0.25">
      <c r="Z25083">
        <v>400000</v>
      </c>
    </row>
    <row r="25084" spans="26:26" x14ac:dyDescent="0.25">
      <c r="Z25084">
        <v>400000</v>
      </c>
    </row>
    <row r="25085" spans="26:26" x14ac:dyDescent="0.25">
      <c r="Z25085">
        <v>400000</v>
      </c>
    </row>
    <row r="25086" spans="26:26" x14ac:dyDescent="0.25">
      <c r="Z25086">
        <v>400000</v>
      </c>
    </row>
    <row r="25087" spans="26:26" x14ac:dyDescent="0.25">
      <c r="Z25087">
        <v>400000</v>
      </c>
    </row>
    <row r="25088" spans="26:26" x14ac:dyDescent="0.25">
      <c r="Z25088">
        <v>400000</v>
      </c>
    </row>
    <row r="25089" spans="26:26" x14ac:dyDescent="0.25">
      <c r="Z25089">
        <v>400000</v>
      </c>
    </row>
    <row r="25090" spans="26:26" x14ac:dyDescent="0.25">
      <c r="Z25090">
        <v>400000</v>
      </c>
    </row>
    <row r="25091" spans="26:26" x14ac:dyDescent="0.25">
      <c r="Z25091">
        <v>400000</v>
      </c>
    </row>
    <row r="25092" spans="26:26" x14ac:dyDescent="0.25">
      <c r="Z25092">
        <v>400000</v>
      </c>
    </row>
    <row r="25093" spans="26:26" x14ac:dyDescent="0.25">
      <c r="Z25093">
        <v>400000</v>
      </c>
    </row>
    <row r="25094" spans="26:26" x14ac:dyDescent="0.25">
      <c r="Z25094">
        <v>400000</v>
      </c>
    </row>
    <row r="25095" spans="26:26" x14ac:dyDescent="0.25">
      <c r="Z25095">
        <v>400000</v>
      </c>
    </row>
    <row r="25096" spans="26:26" x14ac:dyDescent="0.25">
      <c r="Z25096">
        <v>400000</v>
      </c>
    </row>
    <row r="25097" spans="26:26" x14ac:dyDescent="0.25">
      <c r="Z25097">
        <v>400000</v>
      </c>
    </row>
    <row r="25098" spans="26:26" x14ac:dyDescent="0.25">
      <c r="Z25098">
        <v>400000</v>
      </c>
    </row>
    <row r="25099" spans="26:26" x14ac:dyDescent="0.25">
      <c r="Z25099">
        <v>400000</v>
      </c>
    </row>
    <row r="25100" spans="26:26" x14ac:dyDescent="0.25">
      <c r="Z25100">
        <v>400000</v>
      </c>
    </row>
    <row r="25101" spans="26:26" x14ac:dyDescent="0.25">
      <c r="Z25101">
        <v>400000</v>
      </c>
    </row>
    <row r="25102" spans="26:26" x14ac:dyDescent="0.25">
      <c r="Z25102">
        <v>400000</v>
      </c>
    </row>
    <row r="25103" spans="26:26" x14ac:dyDescent="0.25">
      <c r="Z25103">
        <v>400000</v>
      </c>
    </row>
    <row r="25104" spans="26:26" x14ac:dyDescent="0.25">
      <c r="Z25104">
        <v>400000</v>
      </c>
    </row>
    <row r="25105" spans="26:26" x14ac:dyDescent="0.25">
      <c r="Z25105">
        <v>400000</v>
      </c>
    </row>
    <row r="25106" spans="26:26" x14ac:dyDescent="0.25">
      <c r="Z25106">
        <v>400000</v>
      </c>
    </row>
    <row r="25107" spans="26:26" x14ac:dyDescent="0.25">
      <c r="Z25107">
        <v>400000</v>
      </c>
    </row>
    <row r="25108" spans="26:26" x14ac:dyDescent="0.25">
      <c r="Z25108">
        <v>400000</v>
      </c>
    </row>
    <row r="25109" spans="26:26" x14ac:dyDescent="0.25">
      <c r="Z25109">
        <v>400000</v>
      </c>
    </row>
    <row r="25110" spans="26:26" x14ac:dyDescent="0.25">
      <c r="Z25110">
        <v>400000</v>
      </c>
    </row>
    <row r="25111" spans="26:26" x14ac:dyDescent="0.25">
      <c r="Z25111">
        <v>400000</v>
      </c>
    </row>
    <row r="25112" spans="26:26" x14ac:dyDescent="0.25">
      <c r="Z25112">
        <v>400000</v>
      </c>
    </row>
    <row r="25113" spans="26:26" x14ac:dyDescent="0.25">
      <c r="Z25113">
        <v>400000</v>
      </c>
    </row>
    <row r="25114" spans="26:26" x14ac:dyDescent="0.25">
      <c r="Z25114">
        <v>400000</v>
      </c>
    </row>
    <row r="25115" spans="26:26" x14ac:dyDescent="0.25">
      <c r="Z25115">
        <v>400000</v>
      </c>
    </row>
    <row r="25116" spans="26:26" x14ac:dyDescent="0.25">
      <c r="Z25116">
        <v>400000</v>
      </c>
    </row>
    <row r="25117" spans="26:26" x14ac:dyDescent="0.25">
      <c r="Z25117">
        <v>400000</v>
      </c>
    </row>
    <row r="25118" spans="26:26" x14ac:dyDescent="0.25">
      <c r="Z25118">
        <v>400000</v>
      </c>
    </row>
    <row r="25119" spans="26:26" x14ac:dyDescent="0.25">
      <c r="Z25119">
        <v>400000</v>
      </c>
    </row>
    <row r="25120" spans="26:26" x14ac:dyDescent="0.25">
      <c r="Z25120">
        <v>400000</v>
      </c>
    </row>
    <row r="25121" spans="26:26" x14ac:dyDescent="0.25">
      <c r="Z25121">
        <v>400000</v>
      </c>
    </row>
    <row r="25122" spans="26:26" x14ac:dyDescent="0.25">
      <c r="Z25122">
        <v>400000</v>
      </c>
    </row>
    <row r="25123" spans="26:26" x14ac:dyDescent="0.25">
      <c r="Z25123">
        <v>400000</v>
      </c>
    </row>
    <row r="25124" spans="26:26" x14ac:dyDescent="0.25">
      <c r="Z25124">
        <v>400000</v>
      </c>
    </row>
    <row r="25125" spans="26:26" x14ac:dyDescent="0.25">
      <c r="Z25125">
        <v>400000</v>
      </c>
    </row>
    <row r="25126" spans="26:26" x14ac:dyDescent="0.25">
      <c r="Z25126">
        <v>400000</v>
      </c>
    </row>
    <row r="25127" spans="26:26" x14ac:dyDescent="0.25">
      <c r="Z25127">
        <v>400000</v>
      </c>
    </row>
    <row r="25128" spans="26:26" x14ac:dyDescent="0.25">
      <c r="Z25128">
        <v>400000</v>
      </c>
    </row>
    <row r="25129" spans="26:26" x14ac:dyDescent="0.25">
      <c r="Z25129">
        <v>400000</v>
      </c>
    </row>
    <row r="25130" spans="26:26" x14ac:dyDescent="0.25">
      <c r="Z25130">
        <v>400000</v>
      </c>
    </row>
    <row r="25131" spans="26:26" x14ac:dyDescent="0.25">
      <c r="Z25131">
        <v>400000</v>
      </c>
    </row>
    <row r="25132" spans="26:26" x14ac:dyDescent="0.25">
      <c r="Z25132">
        <v>400000</v>
      </c>
    </row>
    <row r="25133" spans="26:26" x14ac:dyDescent="0.25">
      <c r="Z25133">
        <v>400000</v>
      </c>
    </row>
    <row r="25134" spans="26:26" x14ac:dyDescent="0.25">
      <c r="Z25134">
        <v>400000</v>
      </c>
    </row>
    <row r="25135" spans="26:26" x14ac:dyDescent="0.25">
      <c r="Z25135">
        <v>400000</v>
      </c>
    </row>
    <row r="25136" spans="26:26" x14ac:dyDescent="0.25">
      <c r="Z25136">
        <v>400000</v>
      </c>
    </row>
    <row r="25137" spans="26:26" x14ac:dyDescent="0.25">
      <c r="Z25137">
        <v>400000</v>
      </c>
    </row>
    <row r="25138" spans="26:26" x14ac:dyDescent="0.25">
      <c r="Z25138">
        <v>400000</v>
      </c>
    </row>
    <row r="25139" spans="26:26" x14ac:dyDescent="0.25">
      <c r="Z25139">
        <v>400000</v>
      </c>
    </row>
    <row r="25140" spans="26:26" x14ac:dyDescent="0.25">
      <c r="Z25140">
        <v>400000</v>
      </c>
    </row>
    <row r="25141" spans="26:26" x14ac:dyDescent="0.25">
      <c r="Z25141">
        <v>400000</v>
      </c>
    </row>
    <row r="25142" spans="26:26" x14ac:dyDescent="0.25">
      <c r="Z25142">
        <v>400000</v>
      </c>
    </row>
    <row r="25143" spans="26:26" x14ac:dyDescent="0.25">
      <c r="Z25143">
        <v>400000</v>
      </c>
    </row>
    <row r="25144" spans="26:26" x14ac:dyDescent="0.25">
      <c r="Z25144">
        <v>400000</v>
      </c>
    </row>
    <row r="25145" spans="26:26" x14ac:dyDescent="0.25">
      <c r="Z25145">
        <v>400000</v>
      </c>
    </row>
    <row r="25146" spans="26:26" x14ac:dyDescent="0.25">
      <c r="Z25146">
        <v>400000</v>
      </c>
    </row>
    <row r="25147" spans="26:26" x14ac:dyDescent="0.25">
      <c r="Z25147">
        <v>400000</v>
      </c>
    </row>
    <row r="25148" spans="26:26" x14ac:dyDescent="0.25">
      <c r="Z25148">
        <v>400000</v>
      </c>
    </row>
    <row r="25149" spans="26:26" x14ac:dyDescent="0.25">
      <c r="Z25149">
        <v>400000</v>
      </c>
    </row>
    <row r="25150" spans="26:26" x14ac:dyDescent="0.25">
      <c r="Z25150">
        <v>400000</v>
      </c>
    </row>
    <row r="25151" spans="26:26" x14ac:dyDescent="0.25">
      <c r="Z25151">
        <v>400000</v>
      </c>
    </row>
    <row r="25152" spans="26:26" x14ac:dyDescent="0.25">
      <c r="Z25152">
        <v>400000</v>
      </c>
    </row>
    <row r="25153" spans="26:26" x14ac:dyDescent="0.25">
      <c r="Z25153">
        <v>400000</v>
      </c>
    </row>
    <row r="25154" spans="26:26" x14ac:dyDescent="0.25">
      <c r="Z25154">
        <v>400000</v>
      </c>
    </row>
    <row r="25155" spans="26:26" x14ac:dyDescent="0.25">
      <c r="Z25155">
        <v>400000</v>
      </c>
    </row>
    <row r="25156" spans="26:26" x14ac:dyDescent="0.25">
      <c r="Z25156">
        <v>400000</v>
      </c>
    </row>
    <row r="25157" spans="26:26" x14ac:dyDescent="0.25">
      <c r="Z25157">
        <v>400000</v>
      </c>
    </row>
    <row r="25158" spans="26:26" x14ac:dyDescent="0.25">
      <c r="Z25158">
        <v>400000</v>
      </c>
    </row>
    <row r="25159" spans="26:26" x14ac:dyDescent="0.25">
      <c r="Z25159">
        <v>400000</v>
      </c>
    </row>
    <row r="25160" spans="26:26" x14ac:dyDescent="0.25">
      <c r="Z25160">
        <v>400000</v>
      </c>
    </row>
    <row r="25161" spans="26:26" x14ac:dyDescent="0.25">
      <c r="Z25161">
        <v>400000</v>
      </c>
    </row>
    <row r="25162" spans="26:26" x14ac:dyDescent="0.25">
      <c r="Z25162">
        <v>400000</v>
      </c>
    </row>
    <row r="25163" spans="26:26" x14ac:dyDescent="0.25">
      <c r="Z25163">
        <v>400000</v>
      </c>
    </row>
    <row r="25164" spans="26:26" x14ac:dyDescent="0.25">
      <c r="Z25164">
        <v>400000</v>
      </c>
    </row>
    <row r="25165" spans="26:26" x14ac:dyDescent="0.25">
      <c r="Z25165">
        <v>400000</v>
      </c>
    </row>
    <row r="25166" spans="26:26" x14ac:dyDescent="0.25">
      <c r="Z25166">
        <v>400000</v>
      </c>
    </row>
    <row r="25167" spans="26:26" x14ac:dyDescent="0.25">
      <c r="Z25167">
        <v>400000</v>
      </c>
    </row>
    <row r="25168" spans="26:26" x14ac:dyDescent="0.25">
      <c r="Z25168">
        <v>400000</v>
      </c>
    </row>
    <row r="25169" spans="26:26" x14ac:dyDescent="0.25">
      <c r="Z25169">
        <v>400000</v>
      </c>
    </row>
    <row r="25170" spans="26:26" x14ac:dyDescent="0.25">
      <c r="Z25170">
        <v>400000</v>
      </c>
    </row>
    <row r="25171" spans="26:26" x14ac:dyDescent="0.25">
      <c r="Z25171">
        <v>400000</v>
      </c>
    </row>
    <row r="25172" spans="26:26" x14ac:dyDescent="0.25">
      <c r="Z25172">
        <v>400000</v>
      </c>
    </row>
    <row r="25173" spans="26:26" x14ac:dyDescent="0.25">
      <c r="Z25173">
        <v>400000</v>
      </c>
    </row>
    <row r="25174" spans="26:26" x14ac:dyDescent="0.25">
      <c r="Z25174">
        <v>400000</v>
      </c>
    </row>
    <row r="25175" spans="26:26" x14ac:dyDescent="0.25">
      <c r="Z25175">
        <v>400000</v>
      </c>
    </row>
    <row r="25176" spans="26:26" x14ac:dyDescent="0.25">
      <c r="Z25176">
        <v>400000</v>
      </c>
    </row>
    <row r="25177" spans="26:26" x14ac:dyDescent="0.25">
      <c r="Z25177">
        <v>400000</v>
      </c>
    </row>
    <row r="25178" spans="26:26" x14ac:dyDescent="0.25">
      <c r="Z25178">
        <v>400000</v>
      </c>
    </row>
    <row r="25179" spans="26:26" x14ac:dyDescent="0.25">
      <c r="Z25179">
        <v>400000</v>
      </c>
    </row>
    <row r="25180" spans="26:26" x14ac:dyDescent="0.25">
      <c r="Z25180">
        <v>400000</v>
      </c>
    </row>
    <row r="25181" spans="26:26" x14ac:dyDescent="0.25">
      <c r="Z25181">
        <v>400000</v>
      </c>
    </row>
    <row r="25182" spans="26:26" x14ac:dyDescent="0.25">
      <c r="Z25182">
        <v>400000</v>
      </c>
    </row>
    <row r="25183" spans="26:26" x14ac:dyDescent="0.25">
      <c r="Z25183">
        <v>400000</v>
      </c>
    </row>
    <row r="25184" spans="26:26" x14ac:dyDescent="0.25">
      <c r="Z25184">
        <v>400000</v>
      </c>
    </row>
    <row r="25185" spans="26:26" x14ac:dyDescent="0.25">
      <c r="Z25185">
        <v>400000</v>
      </c>
    </row>
    <row r="25186" spans="26:26" x14ac:dyDescent="0.25">
      <c r="Z25186">
        <v>400000</v>
      </c>
    </row>
    <row r="25187" spans="26:26" x14ac:dyDescent="0.25">
      <c r="Z25187">
        <v>400000</v>
      </c>
    </row>
    <row r="25188" spans="26:26" x14ac:dyDescent="0.25">
      <c r="Z25188">
        <v>400000</v>
      </c>
    </row>
    <row r="25189" spans="26:26" x14ac:dyDescent="0.25">
      <c r="Z25189">
        <v>400000</v>
      </c>
    </row>
    <row r="25190" spans="26:26" x14ac:dyDescent="0.25">
      <c r="Z25190">
        <v>400000</v>
      </c>
    </row>
    <row r="25191" spans="26:26" x14ac:dyDescent="0.25">
      <c r="Z25191">
        <v>400000</v>
      </c>
    </row>
    <row r="25192" spans="26:26" x14ac:dyDescent="0.25">
      <c r="Z25192">
        <v>400000</v>
      </c>
    </row>
    <row r="25193" spans="26:26" x14ac:dyDescent="0.25">
      <c r="Z25193">
        <v>400000</v>
      </c>
    </row>
    <row r="25194" spans="26:26" x14ac:dyDescent="0.25">
      <c r="Z25194">
        <v>400000</v>
      </c>
    </row>
    <row r="25195" spans="26:26" x14ac:dyDescent="0.25">
      <c r="Z25195">
        <v>400000</v>
      </c>
    </row>
    <row r="25196" spans="26:26" x14ac:dyDescent="0.25">
      <c r="Z25196">
        <v>400000</v>
      </c>
    </row>
    <row r="25197" spans="26:26" x14ac:dyDescent="0.25">
      <c r="Z25197">
        <v>400000</v>
      </c>
    </row>
    <row r="25198" spans="26:26" x14ac:dyDescent="0.25">
      <c r="Z25198">
        <v>400000</v>
      </c>
    </row>
    <row r="25199" spans="26:26" x14ac:dyDescent="0.25">
      <c r="Z25199">
        <v>400000</v>
      </c>
    </row>
    <row r="25200" spans="26:26" x14ac:dyDescent="0.25">
      <c r="Z25200">
        <v>400000</v>
      </c>
    </row>
    <row r="25201" spans="26:26" x14ac:dyDescent="0.25">
      <c r="Z25201">
        <v>400000</v>
      </c>
    </row>
    <row r="25202" spans="26:26" x14ac:dyDescent="0.25">
      <c r="Z25202">
        <v>400000</v>
      </c>
    </row>
    <row r="25203" spans="26:26" x14ac:dyDescent="0.25">
      <c r="Z25203">
        <v>400000</v>
      </c>
    </row>
    <row r="25204" spans="26:26" x14ac:dyDescent="0.25">
      <c r="Z25204">
        <v>400000</v>
      </c>
    </row>
    <row r="25205" spans="26:26" x14ac:dyDescent="0.25">
      <c r="Z25205">
        <v>400000</v>
      </c>
    </row>
    <row r="25206" spans="26:26" x14ac:dyDescent="0.25">
      <c r="Z25206">
        <v>400000</v>
      </c>
    </row>
    <row r="25207" spans="26:26" x14ac:dyDescent="0.25">
      <c r="Z25207">
        <v>400000</v>
      </c>
    </row>
    <row r="25208" spans="26:26" x14ac:dyDescent="0.25">
      <c r="Z25208">
        <v>400000</v>
      </c>
    </row>
    <row r="25209" spans="26:26" x14ac:dyDescent="0.25">
      <c r="Z25209">
        <v>400000</v>
      </c>
    </row>
    <row r="25210" spans="26:26" x14ac:dyDescent="0.25">
      <c r="Z25210">
        <v>400000</v>
      </c>
    </row>
    <row r="25211" spans="26:26" x14ac:dyDescent="0.25">
      <c r="Z25211">
        <v>400000</v>
      </c>
    </row>
    <row r="25212" spans="26:26" x14ac:dyDescent="0.25">
      <c r="Z25212">
        <v>400000</v>
      </c>
    </row>
    <row r="25213" spans="26:26" x14ac:dyDescent="0.25">
      <c r="Z25213">
        <v>400000</v>
      </c>
    </row>
    <row r="25214" spans="26:26" x14ac:dyDescent="0.25">
      <c r="Z25214">
        <v>400000</v>
      </c>
    </row>
    <row r="25215" spans="26:26" x14ac:dyDescent="0.25">
      <c r="Z25215">
        <v>400000</v>
      </c>
    </row>
    <row r="25216" spans="26:26" x14ac:dyDescent="0.25">
      <c r="Z25216">
        <v>400000</v>
      </c>
    </row>
    <row r="25217" spans="26:26" x14ac:dyDescent="0.25">
      <c r="Z25217">
        <v>400000</v>
      </c>
    </row>
    <row r="25218" spans="26:26" x14ac:dyDescent="0.25">
      <c r="Z25218">
        <v>400000</v>
      </c>
    </row>
    <row r="25219" spans="26:26" x14ac:dyDescent="0.25">
      <c r="Z25219">
        <v>400000</v>
      </c>
    </row>
    <row r="25220" spans="26:26" x14ac:dyDescent="0.25">
      <c r="Z25220">
        <v>400000</v>
      </c>
    </row>
    <row r="25221" spans="26:26" x14ac:dyDescent="0.25">
      <c r="Z25221">
        <v>400000</v>
      </c>
    </row>
    <row r="25222" spans="26:26" x14ac:dyDescent="0.25">
      <c r="Z25222">
        <v>400000</v>
      </c>
    </row>
    <row r="25223" spans="26:26" x14ac:dyDescent="0.25">
      <c r="Z25223">
        <v>400000</v>
      </c>
    </row>
    <row r="25224" spans="26:26" x14ac:dyDescent="0.25">
      <c r="Z25224">
        <v>400000</v>
      </c>
    </row>
    <row r="25225" spans="26:26" x14ac:dyDescent="0.25">
      <c r="Z25225">
        <v>400000</v>
      </c>
    </row>
    <row r="25226" spans="26:26" x14ac:dyDescent="0.25">
      <c r="Z25226">
        <v>400000</v>
      </c>
    </row>
    <row r="25227" spans="26:26" x14ac:dyDescent="0.25">
      <c r="Z25227">
        <v>400000</v>
      </c>
    </row>
    <row r="25228" spans="26:26" x14ac:dyDescent="0.25">
      <c r="Z25228">
        <v>400000</v>
      </c>
    </row>
    <row r="25229" spans="26:26" x14ac:dyDescent="0.25">
      <c r="Z25229">
        <v>400000</v>
      </c>
    </row>
    <row r="25230" spans="26:26" x14ac:dyDescent="0.25">
      <c r="Z25230">
        <v>400000</v>
      </c>
    </row>
    <row r="25231" spans="26:26" x14ac:dyDescent="0.25">
      <c r="Z25231">
        <v>400000</v>
      </c>
    </row>
    <row r="25232" spans="26:26" x14ac:dyDescent="0.25">
      <c r="Z25232">
        <v>400000</v>
      </c>
    </row>
    <row r="25233" spans="26:26" x14ac:dyDescent="0.25">
      <c r="Z25233">
        <v>400000</v>
      </c>
    </row>
    <row r="25234" spans="26:26" x14ac:dyDescent="0.25">
      <c r="Z25234">
        <v>400000</v>
      </c>
    </row>
    <row r="25235" spans="26:26" x14ac:dyDescent="0.25">
      <c r="Z25235">
        <v>400000</v>
      </c>
    </row>
    <row r="25236" spans="26:26" x14ac:dyDescent="0.25">
      <c r="Z25236">
        <v>400000</v>
      </c>
    </row>
    <row r="25237" spans="26:26" x14ac:dyDescent="0.25">
      <c r="Z25237">
        <v>400000</v>
      </c>
    </row>
    <row r="25238" spans="26:26" x14ac:dyDescent="0.25">
      <c r="Z25238">
        <v>400000</v>
      </c>
    </row>
    <row r="25239" spans="26:26" x14ac:dyDescent="0.25">
      <c r="Z25239">
        <v>400000</v>
      </c>
    </row>
    <row r="25240" spans="26:26" x14ac:dyDescent="0.25">
      <c r="Z25240">
        <v>400000</v>
      </c>
    </row>
    <row r="25241" spans="26:26" x14ac:dyDescent="0.25">
      <c r="Z25241">
        <v>400000</v>
      </c>
    </row>
    <row r="25242" spans="26:26" x14ac:dyDescent="0.25">
      <c r="Z25242">
        <v>400000</v>
      </c>
    </row>
    <row r="25243" spans="26:26" x14ac:dyDescent="0.25">
      <c r="Z25243">
        <v>400000</v>
      </c>
    </row>
    <row r="25244" spans="26:26" x14ac:dyDescent="0.25">
      <c r="Z25244">
        <v>400000</v>
      </c>
    </row>
    <row r="25245" spans="26:26" x14ac:dyDescent="0.25">
      <c r="Z25245">
        <v>400000</v>
      </c>
    </row>
    <row r="25246" spans="26:26" x14ac:dyDescent="0.25">
      <c r="Z25246">
        <v>400000</v>
      </c>
    </row>
    <row r="25247" spans="26:26" x14ac:dyDescent="0.25">
      <c r="Z25247">
        <v>400000</v>
      </c>
    </row>
    <row r="25248" spans="26:26" x14ac:dyDescent="0.25">
      <c r="Z25248">
        <v>400000</v>
      </c>
    </row>
    <row r="25249" spans="26:26" x14ac:dyDescent="0.25">
      <c r="Z25249">
        <v>400000</v>
      </c>
    </row>
    <row r="25250" spans="26:26" x14ac:dyDescent="0.25">
      <c r="Z25250">
        <v>400000</v>
      </c>
    </row>
    <row r="25251" spans="26:26" x14ac:dyDescent="0.25">
      <c r="Z25251">
        <v>400000</v>
      </c>
    </row>
    <row r="25252" spans="26:26" x14ac:dyDescent="0.25">
      <c r="Z25252">
        <v>400000</v>
      </c>
    </row>
    <row r="25253" spans="26:26" x14ac:dyDescent="0.25">
      <c r="Z25253">
        <v>400000</v>
      </c>
    </row>
    <row r="25254" spans="26:26" x14ac:dyDescent="0.25">
      <c r="Z25254">
        <v>400000</v>
      </c>
    </row>
    <row r="25255" spans="26:26" x14ac:dyDescent="0.25">
      <c r="Z25255">
        <v>400000</v>
      </c>
    </row>
    <row r="25256" spans="26:26" x14ac:dyDescent="0.25">
      <c r="Z25256">
        <v>400000</v>
      </c>
    </row>
    <row r="25257" spans="26:26" x14ac:dyDescent="0.25">
      <c r="Z25257">
        <v>400000</v>
      </c>
    </row>
    <row r="25258" spans="26:26" x14ac:dyDescent="0.25">
      <c r="Z25258">
        <v>400000</v>
      </c>
    </row>
    <row r="25259" spans="26:26" x14ac:dyDescent="0.25">
      <c r="Z25259">
        <v>400000</v>
      </c>
    </row>
    <row r="25260" spans="26:26" x14ac:dyDescent="0.25">
      <c r="Z25260">
        <v>400000</v>
      </c>
    </row>
    <row r="25261" spans="26:26" x14ac:dyDescent="0.25">
      <c r="Z25261">
        <v>400000</v>
      </c>
    </row>
    <row r="25262" spans="26:26" x14ac:dyDescent="0.25">
      <c r="Z25262">
        <v>400000</v>
      </c>
    </row>
    <row r="25263" spans="26:26" x14ac:dyDescent="0.25">
      <c r="Z25263">
        <v>400000</v>
      </c>
    </row>
    <row r="25264" spans="26:26" x14ac:dyDescent="0.25">
      <c r="Z25264">
        <v>400000</v>
      </c>
    </row>
    <row r="25265" spans="26:26" x14ac:dyDescent="0.25">
      <c r="Z25265">
        <v>400000</v>
      </c>
    </row>
    <row r="25266" spans="26:26" x14ac:dyDescent="0.25">
      <c r="Z25266">
        <v>400000</v>
      </c>
    </row>
    <row r="25267" spans="26:26" x14ac:dyDescent="0.25">
      <c r="Z25267">
        <v>400000</v>
      </c>
    </row>
    <row r="25268" spans="26:26" x14ac:dyDescent="0.25">
      <c r="Z25268">
        <v>400000</v>
      </c>
    </row>
    <row r="25269" spans="26:26" x14ac:dyDescent="0.25">
      <c r="Z25269">
        <v>400000</v>
      </c>
    </row>
    <row r="25270" spans="26:26" x14ac:dyDescent="0.25">
      <c r="Z25270">
        <v>400000</v>
      </c>
    </row>
    <row r="25271" spans="26:26" x14ac:dyDescent="0.25">
      <c r="Z25271">
        <v>400000</v>
      </c>
    </row>
    <row r="25272" spans="26:26" x14ac:dyDescent="0.25">
      <c r="Z25272">
        <v>400000</v>
      </c>
    </row>
    <row r="25273" spans="26:26" x14ac:dyDescent="0.25">
      <c r="Z25273">
        <v>400000</v>
      </c>
    </row>
    <row r="25274" spans="26:26" x14ac:dyDescent="0.25">
      <c r="Z25274">
        <v>400000</v>
      </c>
    </row>
    <row r="25275" spans="26:26" x14ac:dyDescent="0.25">
      <c r="Z25275">
        <v>400000</v>
      </c>
    </row>
    <row r="25276" spans="26:26" x14ac:dyDescent="0.25">
      <c r="Z25276">
        <v>400000</v>
      </c>
    </row>
    <row r="25277" spans="26:26" x14ac:dyDescent="0.25">
      <c r="Z25277">
        <v>400000</v>
      </c>
    </row>
    <row r="25278" spans="26:26" x14ac:dyDescent="0.25">
      <c r="Z25278">
        <v>400000</v>
      </c>
    </row>
    <row r="25279" spans="26:26" x14ac:dyDescent="0.25">
      <c r="Z25279">
        <v>400000</v>
      </c>
    </row>
    <row r="25280" spans="26:26" x14ac:dyDescent="0.25">
      <c r="Z25280">
        <v>400000</v>
      </c>
    </row>
    <row r="25281" spans="26:26" x14ac:dyDescent="0.25">
      <c r="Z25281">
        <v>400000</v>
      </c>
    </row>
    <row r="25282" spans="26:26" x14ac:dyDescent="0.25">
      <c r="Z25282">
        <v>400000</v>
      </c>
    </row>
    <row r="25283" spans="26:26" x14ac:dyDescent="0.25">
      <c r="Z25283">
        <v>400000</v>
      </c>
    </row>
    <row r="25284" spans="26:26" x14ac:dyDescent="0.25">
      <c r="Z25284">
        <v>400000</v>
      </c>
    </row>
    <row r="25285" spans="26:26" x14ac:dyDescent="0.25">
      <c r="Z25285">
        <v>400000</v>
      </c>
    </row>
    <row r="25286" spans="26:26" x14ac:dyDescent="0.25">
      <c r="Z25286">
        <v>400000</v>
      </c>
    </row>
    <row r="25287" spans="26:26" x14ac:dyDescent="0.25">
      <c r="Z25287">
        <v>400000</v>
      </c>
    </row>
    <row r="25288" spans="26:26" x14ac:dyDescent="0.25">
      <c r="Z25288">
        <v>400000</v>
      </c>
    </row>
    <row r="25289" spans="26:26" x14ac:dyDescent="0.25">
      <c r="Z25289">
        <v>400000</v>
      </c>
    </row>
    <row r="25290" spans="26:26" x14ac:dyDescent="0.25">
      <c r="Z25290">
        <v>400000</v>
      </c>
    </row>
    <row r="25291" spans="26:26" x14ac:dyDescent="0.25">
      <c r="Z25291">
        <v>400000</v>
      </c>
    </row>
    <row r="25292" spans="26:26" x14ac:dyDescent="0.25">
      <c r="Z25292">
        <v>400000</v>
      </c>
    </row>
    <row r="25293" spans="26:26" x14ac:dyDescent="0.25">
      <c r="Z25293">
        <v>400000</v>
      </c>
    </row>
    <row r="25294" spans="26:26" x14ac:dyDescent="0.25">
      <c r="Z25294">
        <v>400000</v>
      </c>
    </row>
    <row r="25295" spans="26:26" x14ac:dyDescent="0.25">
      <c r="Z25295">
        <v>400000</v>
      </c>
    </row>
    <row r="25296" spans="26:26" x14ac:dyDescent="0.25">
      <c r="Z25296">
        <v>400000</v>
      </c>
    </row>
    <row r="25297" spans="26:26" x14ac:dyDescent="0.25">
      <c r="Z25297">
        <v>400000</v>
      </c>
    </row>
    <row r="25298" spans="26:26" x14ac:dyDescent="0.25">
      <c r="Z25298">
        <v>400000</v>
      </c>
    </row>
    <row r="25299" spans="26:26" x14ac:dyDescent="0.25">
      <c r="Z25299">
        <v>400000</v>
      </c>
    </row>
    <row r="25300" spans="26:26" x14ac:dyDescent="0.25">
      <c r="Z25300">
        <v>400000</v>
      </c>
    </row>
    <row r="25301" spans="26:26" x14ac:dyDescent="0.25">
      <c r="Z25301">
        <v>400000</v>
      </c>
    </row>
    <row r="25302" spans="26:26" x14ac:dyDescent="0.25">
      <c r="Z25302">
        <v>400000</v>
      </c>
    </row>
    <row r="25303" spans="26:26" x14ac:dyDescent="0.25">
      <c r="Z25303">
        <v>400000</v>
      </c>
    </row>
    <row r="25304" spans="26:26" x14ac:dyDescent="0.25">
      <c r="Z25304">
        <v>400000</v>
      </c>
    </row>
    <row r="25305" spans="26:26" x14ac:dyDescent="0.25">
      <c r="Z25305">
        <v>400000</v>
      </c>
    </row>
    <row r="25306" spans="26:26" x14ac:dyDescent="0.25">
      <c r="Z25306">
        <v>400000</v>
      </c>
    </row>
    <row r="25307" spans="26:26" x14ac:dyDescent="0.25">
      <c r="Z25307">
        <v>400000</v>
      </c>
    </row>
    <row r="25308" spans="26:26" x14ac:dyDescent="0.25">
      <c r="Z25308">
        <v>400000</v>
      </c>
    </row>
    <row r="25309" spans="26:26" x14ac:dyDescent="0.25">
      <c r="Z25309">
        <v>400000</v>
      </c>
    </row>
    <row r="25310" spans="26:26" x14ac:dyDescent="0.25">
      <c r="Z25310">
        <v>400000</v>
      </c>
    </row>
    <row r="25311" spans="26:26" x14ac:dyDescent="0.25">
      <c r="Z25311">
        <v>400000</v>
      </c>
    </row>
    <row r="25312" spans="26:26" x14ac:dyDescent="0.25">
      <c r="Z25312">
        <v>400000</v>
      </c>
    </row>
    <row r="25313" spans="26:26" x14ac:dyDescent="0.25">
      <c r="Z25313">
        <v>400000</v>
      </c>
    </row>
    <row r="25314" spans="26:26" x14ac:dyDescent="0.25">
      <c r="Z25314">
        <v>400000</v>
      </c>
    </row>
    <row r="25315" spans="26:26" x14ac:dyDescent="0.25">
      <c r="Z25315">
        <v>400000</v>
      </c>
    </row>
    <row r="25316" spans="26:26" x14ac:dyDescent="0.25">
      <c r="Z25316">
        <v>400000</v>
      </c>
    </row>
    <row r="25317" spans="26:26" x14ac:dyDescent="0.25">
      <c r="Z25317">
        <v>400000</v>
      </c>
    </row>
    <row r="25318" spans="26:26" x14ac:dyDescent="0.25">
      <c r="Z25318">
        <v>400000</v>
      </c>
    </row>
    <row r="25319" spans="26:26" x14ac:dyDescent="0.25">
      <c r="Z25319">
        <v>400000</v>
      </c>
    </row>
    <row r="25320" spans="26:26" x14ac:dyDescent="0.25">
      <c r="Z25320">
        <v>400000</v>
      </c>
    </row>
    <row r="25321" spans="26:26" x14ac:dyDescent="0.25">
      <c r="Z25321">
        <v>400000</v>
      </c>
    </row>
    <row r="25322" spans="26:26" x14ac:dyDescent="0.25">
      <c r="Z25322">
        <v>400000</v>
      </c>
    </row>
    <row r="25323" spans="26:26" x14ac:dyDescent="0.25">
      <c r="Z25323">
        <v>400000</v>
      </c>
    </row>
    <row r="25324" spans="26:26" x14ac:dyDescent="0.25">
      <c r="Z25324">
        <v>400000</v>
      </c>
    </row>
    <row r="25325" spans="26:26" x14ac:dyDescent="0.25">
      <c r="Z25325">
        <v>400000</v>
      </c>
    </row>
    <row r="25326" spans="26:26" x14ac:dyDescent="0.25">
      <c r="Z25326">
        <v>400000</v>
      </c>
    </row>
    <row r="25327" spans="26:26" x14ac:dyDescent="0.25">
      <c r="Z25327">
        <v>400000</v>
      </c>
    </row>
    <row r="25328" spans="26:26" x14ac:dyDescent="0.25">
      <c r="Z25328">
        <v>400000</v>
      </c>
    </row>
    <row r="25329" spans="26:26" x14ac:dyDescent="0.25">
      <c r="Z25329">
        <v>400000</v>
      </c>
    </row>
    <row r="25330" spans="26:26" x14ac:dyDescent="0.25">
      <c r="Z25330">
        <v>400000</v>
      </c>
    </row>
    <row r="25331" spans="26:26" x14ac:dyDescent="0.25">
      <c r="Z25331">
        <v>400000</v>
      </c>
    </row>
    <row r="25332" spans="26:26" x14ac:dyDescent="0.25">
      <c r="Z25332">
        <v>400000</v>
      </c>
    </row>
    <row r="25333" spans="26:26" x14ac:dyDescent="0.25">
      <c r="Z25333">
        <v>400000</v>
      </c>
    </row>
    <row r="25334" spans="26:26" x14ac:dyDescent="0.25">
      <c r="Z25334">
        <v>400000</v>
      </c>
    </row>
    <row r="25335" spans="26:26" x14ac:dyDescent="0.25">
      <c r="Z25335">
        <v>400000</v>
      </c>
    </row>
    <row r="25336" spans="26:26" x14ac:dyDescent="0.25">
      <c r="Z25336">
        <v>400000</v>
      </c>
    </row>
    <row r="25337" spans="26:26" x14ac:dyDescent="0.25">
      <c r="Z25337">
        <v>400000</v>
      </c>
    </row>
    <row r="25338" spans="26:26" x14ac:dyDescent="0.25">
      <c r="Z25338">
        <v>400000</v>
      </c>
    </row>
    <row r="25339" spans="26:26" x14ac:dyDescent="0.25">
      <c r="Z25339">
        <v>400000</v>
      </c>
    </row>
    <row r="25340" spans="26:26" x14ac:dyDescent="0.25">
      <c r="Z25340">
        <v>400000</v>
      </c>
    </row>
    <row r="25341" spans="26:26" x14ac:dyDescent="0.25">
      <c r="Z25341">
        <v>400000</v>
      </c>
    </row>
    <row r="25342" spans="26:26" x14ac:dyDescent="0.25">
      <c r="Z25342">
        <v>400000</v>
      </c>
    </row>
    <row r="25343" spans="26:26" x14ac:dyDescent="0.25">
      <c r="Z25343">
        <v>400000</v>
      </c>
    </row>
    <row r="25344" spans="26:26" x14ac:dyDescent="0.25">
      <c r="Z25344">
        <v>400000</v>
      </c>
    </row>
    <row r="25345" spans="26:26" x14ac:dyDescent="0.25">
      <c r="Z25345">
        <v>400000</v>
      </c>
    </row>
    <row r="25346" spans="26:26" x14ac:dyDescent="0.25">
      <c r="Z25346">
        <v>400000</v>
      </c>
    </row>
    <row r="25347" spans="26:26" x14ac:dyDescent="0.25">
      <c r="Z25347">
        <v>400000</v>
      </c>
    </row>
    <row r="25348" spans="26:26" x14ac:dyDescent="0.25">
      <c r="Z25348">
        <v>400000</v>
      </c>
    </row>
    <row r="25349" spans="26:26" x14ac:dyDescent="0.25">
      <c r="Z25349">
        <v>400000</v>
      </c>
    </row>
    <row r="25350" spans="26:26" x14ac:dyDescent="0.25">
      <c r="Z25350">
        <v>400000</v>
      </c>
    </row>
    <row r="25351" spans="26:26" x14ac:dyDescent="0.25">
      <c r="Z25351">
        <v>400000</v>
      </c>
    </row>
    <row r="25352" spans="26:26" x14ac:dyDescent="0.25">
      <c r="Z25352">
        <v>400000</v>
      </c>
    </row>
    <row r="25353" spans="26:26" x14ac:dyDescent="0.25">
      <c r="Z25353">
        <v>400000</v>
      </c>
    </row>
    <row r="25354" spans="26:26" x14ac:dyDescent="0.25">
      <c r="Z25354">
        <v>400000</v>
      </c>
    </row>
    <row r="25355" spans="26:26" x14ac:dyDescent="0.25">
      <c r="Z25355">
        <v>400000</v>
      </c>
    </row>
    <row r="25356" spans="26:26" x14ac:dyDescent="0.25">
      <c r="Z25356">
        <v>400000</v>
      </c>
    </row>
    <row r="25357" spans="26:26" x14ac:dyDescent="0.25">
      <c r="Z25357">
        <v>400000</v>
      </c>
    </row>
    <row r="25358" spans="26:26" x14ac:dyDescent="0.25">
      <c r="Z25358">
        <v>400000</v>
      </c>
    </row>
    <row r="25359" spans="26:26" x14ac:dyDescent="0.25">
      <c r="Z25359">
        <v>400000</v>
      </c>
    </row>
    <row r="25360" spans="26:26" x14ac:dyDescent="0.25">
      <c r="Z25360">
        <v>400000</v>
      </c>
    </row>
    <row r="25361" spans="26:26" x14ac:dyDescent="0.25">
      <c r="Z25361">
        <v>400000</v>
      </c>
    </row>
    <row r="25362" spans="26:26" x14ac:dyDescent="0.25">
      <c r="Z25362">
        <v>400000</v>
      </c>
    </row>
    <row r="25363" spans="26:26" x14ac:dyDescent="0.25">
      <c r="Z25363">
        <v>400000</v>
      </c>
    </row>
    <row r="25364" spans="26:26" x14ac:dyDescent="0.25">
      <c r="Z25364">
        <v>400000</v>
      </c>
    </row>
    <row r="25365" spans="26:26" x14ac:dyDescent="0.25">
      <c r="Z25365">
        <v>400000</v>
      </c>
    </row>
    <row r="25366" spans="26:26" x14ac:dyDescent="0.25">
      <c r="Z25366">
        <v>400000</v>
      </c>
    </row>
    <row r="25367" spans="26:26" x14ac:dyDescent="0.25">
      <c r="Z25367">
        <v>400000</v>
      </c>
    </row>
    <row r="25368" spans="26:26" x14ac:dyDescent="0.25">
      <c r="Z25368">
        <v>400000</v>
      </c>
    </row>
    <row r="25369" spans="26:26" x14ac:dyDescent="0.25">
      <c r="Z25369">
        <v>400000</v>
      </c>
    </row>
    <row r="25370" spans="26:26" x14ac:dyDescent="0.25">
      <c r="Z25370">
        <v>400000</v>
      </c>
    </row>
    <row r="25371" spans="26:26" x14ac:dyDescent="0.25">
      <c r="Z25371">
        <v>400000</v>
      </c>
    </row>
    <row r="25372" spans="26:26" x14ac:dyDescent="0.25">
      <c r="Z25372">
        <v>400000</v>
      </c>
    </row>
    <row r="25373" spans="26:26" x14ac:dyDescent="0.25">
      <c r="Z25373">
        <v>400000</v>
      </c>
    </row>
    <row r="25374" spans="26:26" x14ac:dyDescent="0.25">
      <c r="Z25374">
        <v>400000</v>
      </c>
    </row>
    <row r="25375" spans="26:26" x14ac:dyDescent="0.25">
      <c r="Z25375">
        <v>400000</v>
      </c>
    </row>
    <row r="25376" spans="26:26" x14ac:dyDescent="0.25">
      <c r="Z25376">
        <v>400000</v>
      </c>
    </row>
    <row r="25377" spans="26:26" x14ac:dyDescent="0.25">
      <c r="Z25377">
        <v>400000</v>
      </c>
    </row>
    <row r="25378" spans="26:26" x14ac:dyDescent="0.25">
      <c r="Z25378">
        <v>400000</v>
      </c>
    </row>
    <row r="25379" spans="26:26" x14ac:dyDescent="0.25">
      <c r="Z25379">
        <v>400000</v>
      </c>
    </row>
    <row r="25380" spans="26:26" x14ac:dyDescent="0.25">
      <c r="Z25380">
        <v>400000</v>
      </c>
    </row>
    <row r="25381" spans="26:26" x14ac:dyDescent="0.25">
      <c r="Z25381">
        <v>400000</v>
      </c>
    </row>
    <row r="25382" spans="26:26" x14ac:dyDescent="0.25">
      <c r="Z25382">
        <v>400000</v>
      </c>
    </row>
    <row r="25383" spans="26:26" x14ac:dyDescent="0.25">
      <c r="Z25383">
        <v>400000</v>
      </c>
    </row>
    <row r="25384" spans="26:26" x14ac:dyDescent="0.25">
      <c r="Z25384">
        <v>400000</v>
      </c>
    </row>
    <row r="25385" spans="26:26" x14ac:dyDescent="0.25">
      <c r="Z25385">
        <v>400000</v>
      </c>
    </row>
    <row r="25386" spans="26:26" x14ac:dyDescent="0.25">
      <c r="Z25386">
        <v>400000</v>
      </c>
    </row>
    <row r="25387" spans="26:26" x14ac:dyDescent="0.25">
      <c r="Z25387">
        <v>400000</v>
      </c>
    </row>
    <row r="25388" spans="26:26" x14ac:dyDescent="0.25">
      <c r="Z25388">
        <v>400000</v>
      </c>
    </row>
    <row r="25389" spans="26:26" x14ac:dyDescent="0.25">
      <c r="Z25389">
        <v>400000</v>
      </c>
    </row>
    <row r="25390" spans="26:26" x14ac:dyDescent="0.25">
      <c r="Z25390">
        <v>400000</v>
      </c>
    </row>
    <row r="25391" spans="26:26" x14ac:dyDescent="0.25">
      <c r="Z25391">
        <v>400000</v>
      </c>
    </row>
    <row r="25392" spans="26:26" x14ac:dyDescent="0.25">
      <c r="Z25392">
        <v>400000</v>
      </c>
    </row>
    <row r="25393" spans="26:26" x14ac:dyDescent="0.25">
      <c r="Z25393">
        <v>400000</v>
      </c>
    </row>
    <row r="25394" spans="26:26" x14ac:dyDescent="0.25">
      <c r="Z25394">
        <v>400000</v>
      </c>
    </row>
    <row r="25395" spans="26:26" x14ac:dyDescent="0.25">
      <c r="Z25395">
        <v>400000</v>
      </c>
    </row>
    <row r="25396" spans="26:26" x14ac:dyDescent="0.25">
      <c r="Z25396">
        <v>400000</v>
      </c>
    </row>
    <row r="25397" spans="26:26" x14ac:dyDescent="0.25">
      <c r="Z25397">
        <v>400000</v>
      </c>
    </row>
    <row r="25398" spans="26:26" x14ac:dyDescent="0.25">
      <c r="Z25398">
        <v>400000</v>
      </c>
    </row>
    <row r="25399" spans="26:26" x14ac:dyDescent="0.25">
      <c r="Z25399">
        <v>400000</v>
      </c>
    </row>
    <row r="25400" spans="26:26" x14ac:dyDescent="0.25">
      <c r="Z25400">
        <v>400000</v>
      </c>
    </row>
    <row r="25401" spans="26:26" x14ac:dyDescent="0.25">
      <c r="Z25401">
        <v>400000</v>
      </c>
    </row>
    <row r="25402" spans="26:26" x14ac:dyDescent="0.25">
      <c r="Z25402">
        <v>400000</v>
      </c>
    </row>
    <row r="25403" spans="26:26" x14ac:dyDescent="0.25">
      <c r="Z25403">
        <v>400000</v>
      </c>
    </row>
    <row r="25404" spans="26:26" x14ac:dyDescent="0.25">
      <c r="Z25404">
        <v>400000</v>
      </c>
    </row>
    <row r="25405" spans="26:26" x14ac:dyDescent="0.25">
      <c r="Z25405">
        <v>400000</v>
      </c>
    </row>
    <row r="25406" spans="26:26" x14ac:dyDescent="0.25">
      <c r="Z25406">
        <v>400000</v>
      </c>
    </row>
    <row r="25407" spans="26:26" x14ac:dyDescent="0.25">
      <c r="Z25407">
        <v>400000</v>
      </c>
    </row>
    <row r="25408" spans="26:26" x14ac:dyDescent="0.25">
      <c r="Z25408">
        <v>400000</v>
      </c>
    </row>
    <row r="25409" spans="26:26" x14ac:dyDescent="0.25">
      <c r="Z25409">
        <v>400000</v>
      </c>
    </row>
    <row r="25410" spans="26:26" x14ac:dyDescent="0.25">
      <c r="Z25410">
        <v>400000</v>
      </c>
    </row>
    <row r="25411" spans="26:26" x14ac:dyDescent="0.25">
      <c r="Z25411">
        <v>400000</v>
      </c>
    </row>
    <row r="25412" spans="26:26" x14ac:dyDescent="0.25">
      <c r="Z25412">
        <v>400000</v>
      </c>
    </row>
    <row r="25413" spans="26:26" x14ac:dyDescent="0.25">
      <c r="Z25413">
        <v>400000</v>
      </c>
    </row>
    <row r="25414" spans="26:26" x14ac:dyDescent="0.25">
      <c r="Z25414">
        <v>400000</v>
      </c>
    </row>
    <row r="25415" spans="26:26" x14ac:dyDescent="0.25">
      <c r="Z25415">
        <v>400000</v>
      </c>
    </row>
    <row r="25416" spans="26:26" x14ac:dyDescent="0.25">
      <c r="Z25416">
        <v>400000</v>
      </c>
    </row>
    <row r="25417" spans="26:26" x14ac:dyDescent="0.25">
      <c r="Z25417">
        <v>400000</v>
      </c>
    </row>
    <row r="25418" spans="26:26" x14ac:dyDescent="0.25">
      <c r="Z25418">
        <v>400000</v>
      </c>
    </row>
    <row r="25419" spans="26:26" x14ac:dyDescent="0.25">
      <c r="Z25419">
        <v>400000</v>
      </c>
    </row>
    <row r="25420" spans="26:26" x14ac:dyDescent="0.25">
      <c r="Z25420">
        <v>400000</v>
      </c>
    </row>
    <row r="25421" spans="26:26" x14ac:dyDescent="0.25">
      <c r="Z25421">
        <v>400000</v>
      </c>
    </row>
    <row r="25422" spans="26:26" x14ac:dyDescent="0.25">
      <c r="Z25422">
        <v>400000</v>
      </c>
    </row>
    <row r="25423" spans="26:26" x14ac:dyDescent="0.25">
      <c r="Z25423">
        <v>400000</v>
      </c>
    </row>
    <row r="25424" spans="26:26" x14ac:dyDescent="0.25">
      <c r="Z25424">
        <v>400000</v>
      </c>
    </row>
    <row r="25425" spans="26:26" x14ac:dyDescent="0.25">
      <c r="Z25425">
        <v>400000</v>
      </c>
    </row>
    <row r="25426" spans="26:26" x14ac:dyDescent="0.25">
      <c r="Z25426">
        <v>400000</v>
      </c>
    </row>
    <row r="25427" spans="26:26" x14ac:dyDescent="0.25">
      <c r="Z25427">
        <v>400000</v>
      </c>
    </row>
    <row r="25428" spans="26:26" x14ac:dyDescent="0.25">
      <c r="Z25428">
        <v>400000</v>
      </c>
    </row>
    <row r="25429" spans="26:26" x14ac:dyDescent="0.25">
      <c r="Z25429">
        <v>400000</v>
      </c>
    </row>
    <row r="25430" spans="26:26" x14ac:dyDescent="0.25">
      <c r="Z25430">
        <v>400000</v>
      </c>
    </row>
    <row r="25431" spans="26:26" x14ac:dyDescent="0.25">
      <c r="Z25431">
        <v>400000</v>
      </c>
    </row>
    <row r="25432" spans="26:26" x14ac:dyDescent="0.25">
      <c r="Z25432">
        <v>400000</v>
      </c>
    </row>
    <row r="25433" spans="26:26" x14ac:dyDescent="0.25">
      <c r="Z25433">
        <v>400000</v>
      </c>
    </row>
    <row r="25434" spans="26:26" x14ac:dyDescent="0.25">
      <c r="Z25434">
        <v>400000</v>
      </c>
    </row>
    <row r="25435" spans="26:26" x14ac:dyDescent="0.25">
      <c r="Z25435">
        <v>400000</v>
      </c>
    </row>
    <row r="25436" spans="26:26" x14ac:dyDescent="0.25">
      <c r="Z25436">
        <v>400000</v>
      </c>
    </row>
    <row r="25437" spans="26:26" x14ac:dyDescent="0.25">
      <c r="Z25437">
        <v>400000</v>
      </c>
    </row>
    <row r="25438" spans="26:26" x14ac:dyDescent="0.25">
      <c r="Z25438">
        <v>400000</v>
      </c>
    </row>
    <row r="25439" spans="26:26" x14ac:dyDescent="0.25">
      <c r="Z25439">
        <v>400000</v>
      </c>
    </row>
    <row r="25440" spans="26:26" x14ac:dyDescent="0.25">
      <c r="Z25440">
        <v>400000</v>
      </c>
    </row>
    <row r="25441" spans="26:26" x14ac:dyDescent="0.25">
      <c r="Z25441">
        <v>400000</v>
      </c>
    </row>
    <row r="25442" spans="26:26" x14ac:dyDescent="0.25">
      <c r="Z25442">
        <v>400000</v>
      </c>
    </row>
    <row r="25443" spans="26:26" x14ac:dyDescent="0.25">
      <c r="Z25443">
        <v>400000</v>
      </c>
    </row>
    <row r="25444" spans="26:26" x14ac:dyDescent="0.25">
      <c r="Z25444">
        <v>400000</v>
      </c>
    </row>
    <row r="25445" spans="26:26" x14ac:dyDescent="0.25">
      <c r="Z25445">
        <v>400000</v>
      </c>
    </row>
    <row r="25446" spans="26:26" x14ac:dyDescent="0.25">
      <c r="Z25446">
        <v>400000</v>
      </c>
    </row>
    <row r="25447" spans="26:26" x14ac:dyDescent="0.25">
      <c r="Z25447">
        <v>400000</v>
      </c>
    </row>
    <row r="25448" spans="26:26" x14ac:dyDescent="0.25">
      <c r="Z25448">
        <v>400000</v>
      </c>
    </row>
    <row r="25449" spans="26:26" x14ac:dyDescent="0.25">
      <c r="Z25449">
        <v>400000</v>
      </c>
    </row>
    <row r="25450" spans="26:26" x14ac:dyDescent="0.25">
      <c r="Z25450">
        <v>400000</v>
      </c>
    </row>
    <row r="25451" spans="26:26" x14ac:dyDescent="0.25">
      <c r="Z25451">
        <v>400000</v>
      </c>
    </row>
    <row r="25452" spans="26:26" x14ac:dyDescent="0.25">
      <c r="Z25452">
        <v>400000</v>
      </c>
    </row>
    <row r="25453" spans="26:26" x14ac:dyDescent="0.25">
      <c r="Z25453">
        <v>400000</v>
      </c>
    </row>
    <row r="25454" spans="26:26" x14ac:dyDescent="0.25">
      <c r="Z25454">
        <v>400000</v>
      </c>
    </row>
    <row r="25455" spans="26:26" x14ac:dyDescent="0.25">
      <c r="Z25455">
        <v>400000</v>
      </c>
    </row>
    <row r="25456" spans="26:26" x14ac:dyDescent="0.25">
      <c r="Z25456">
        <v>400000</v>
      </c>
    </row>
    <row r="25457" spans="26:26" x14ac:dyDescent="0.25">
      <c r="Z25457">
        <v>400000</v>
      </c>
    </row>
    <row r="25458" spans="26:26" x14ac:dyDescent="0.25">
      <c r="Z25458">
        <v>400000</v>
      </c>
    </row>
    <row r="25459" spans="26:26" x14ac:dyDescent="0.25">
      <c r="Z25459">
        <v>400000</v>
      </c>
    </row>
    <row r="25460" spans="26:26" x14ac:dyDescent="0.25">
      <c r="Z25460">
        <v>400000</v>
      </c>
    </row>
    <row r="25461" spans="26:26" x14ac:dyDescent="0.25">
      <c r="Z25461">
        <v>400000</v>
      </c>
    </row>
    <row r="25462" spans="26:26" x14ac:dyDescent="0.25">
      <c r="Z25462">
        <v>400000</v>
      </c>
    </row>
    <row r="25463" spans="26:26" x14ac:dyDescent="0.25">
      <c r="Z25463">
        <v>400000</v>
      </c>
    </row>
    <row r="25464" spans="26:26" x14ac:dyDescent="0.25">
      <c r="Z25464">
        <v>400000</v>
      </c>
    </row>
    <row r="25465" spans="26:26" x14ac:dyDescent="0.25">
      <c r="Z25465">
        <v>400000</v>
      </c>
    </row>
    <row r="25466" spans="26:26" x14ac:dyDescent="0.25">
      <c r="Z25466">
        <v>400000</v>
      </c>
    </row>
    <row r="25467" spans="26:26" x14ac:dyDescent="0.25">
      <c r="Z25467">
        <v>400000</v>
      </c>
    </row>
    <row r="25468" spans="26:26" x14ac:dyDescent="0.25">
      <c r="Z25468">
        <v>400000</v>
      </c>
    </row>
    <row r="25469" spans="26:26" x14ac:dyDescent="0.25">
      <c r="Z25469">
        <v>400000</v>
      </c>
    </row>
    <row r="25470" spans="26:26" x14ac:dyDescent="0.25">
      <c r="Z25470">
        <v>400000</v>
      </c>
    </row>
    <row r="25471" spans="26:26" x14ac:dyDescent="0.25">
      <c r="Z25471">
        <v>400000</v>
      </c>
    </row>
    <row r="25472" spans="26:26" x14ac:dyDescent="0.25">
      <c r="Z25472">
        <v>400000</v>
      </c>
    </row>
    <row r="25473" spans="26:26" x14ac:dyDescent="0.25">
      <c r="Z25473">
        <v>400000</v>
      </c>
    </row>
    <row r="25474" spans="26:26" x14ac:dyDescent="0.25">
      <c r="Z25474">
        <v>400000</v>
      </c>
    </row>
    <row r="25475" spans="26:26" x14ac:dyDescent="0.25">
      <c r="Z25475">
        <v>400000</v>
      </c>
    </row>
    <row r="25476" spans="26:26" x14ac:dyDescent="0.25">
      <c r="Z25476">
        <v>400000</v>
      </c>
    </row>
    <row r="25477" spans="26:26" x14ac:dyDescent="0.25">
      <c r="Z25477">
        <v>400000</v>
      </c>
    </row>
    <row r="25478" spans="26:26" x14ac:dyDescent="0.25">
      <c r="Z25478">
        <v>400000</v>
      </c>
    </row>
    <row r="25479" spans="26:26" x14ac:dyDescent="0.25">
      <c r="Z25479">
        <v>400000</v>
      </c>
    </row>
    <row r="25480" spans="26:26" x14ac:dyDescent="0.25">
      <c r="Z25480">
        <v>400000</v>
      </c>
    </row>
    <row r="25481" spans="26:26" x14ac:dyDescent="0.25">
      <c r="Z25481">
        <v>400000</v>
      </c>
    </row>
    <row r="25482" spans="26:26" x14ac:dyDescent="0.25">
      <c r="Z25482">
        <v>400000</v>
      </c>
    </row>
    <row r="25483" spans="26:26" x14ac:dyDescent="0.25">
      <c r="Z25483">
        <v>400000</v>
      </c>
    </row>
    <row r="25484" spans="26:26" x14ac:dyDescent="0.25">
      <c r="Z25484">
        <v>400000</v>
      </c>
    </row>
    <row r="25485" spans="26:26" x14ac:dyDescent="0.25">
      <c r="Z25485">
        <v>400000</v>
      </c>
    </row>
    <row r="25486" spans="26:26" x14ac:dyDescent="0.25">
      <c r="Z25486">
        <v>400000</v>
      </c>
    </row>
    <row r="25487" spans="26:26" x14ac:dyDescent="0.25">
      <c r="Z25487">
        <v>400000</v>
      </c>
    </row>
    <row r="25488" spans="26:26" x14ac:dyDescent="0.25">
      <c r="Z25488">
        <v>400000</v>
      </c>
    </row>
    <row r="25489" spans="26:26" x14ac:dyDescent="0.25">
      <c r="Z25489">
        <v>400000</v>
      </c>
    </row>
    <row r="25490" spans="26:26" x14ac:dyDescent="0.25">
      <c r="Z25490">
        <v>400000</v>
      </c>
    </row>
    <row r="25491" spans="26:26" x14ac:dyDescent="0.25">
      <c r="Z25491">
        <v>400000</v>
      </c>
    </row>
    <row r="25492" spans="26:26" x14ac:dyDescent="0.25">
      <c r="Z25492">
        <v>400000</v>
      </c>
    </row>
    <row r="25493" spans="26:26" x14ac:dyDescent="0.25">
      <c r="Z25493">
        <v>400000</v>
      </c>
    </row>
    <row r="25494" spans="26:26" x14ac:dyDescent="0.25">
      <c r="Z25494">
        <v>400000</v>
      </c>
    </row>
    <row r="25495" spans="26:26" x14ac:dyDescent="0.25">
      <c r="Z25495">
        <v>400000</v>
      </c>
    </row>
    <row r="25496" spans="26:26" x14ac:dyDescent="0.25">
      <c r="Z25496">
        <v>400000</v>
      </c>
    </row>
    <row r="25497" spans="26:26" x14ac:dyDescent="0.25">
      <c r="Z25497">
        <v>400000</v>
      </c>
    </row>
    <row r="25498" spans="26:26" x14ac:dyDescent="0.25">
      <c r="Z25498">
        <v>400000</v>
      </c>
    </row>
    <row r="25499" spans="26:26" x14ac:dyDescent="0.25">
      <c r="Z25499">
        <v>400000</v>
      </c>
    </row>
    <row r="25500" spans="26:26" x14ac:dyDescent="0.25">
      <c r="Z25500">
        <v>400000</v>
      </c>
    </row>
    <row r="25501" spans="26:26" x14ac:dyDescent="0.25">
      <c r="Z25501">
        <v>400000</v>
      </c>
    </row>
    <row r="25502" spans="26:26" x14ac:dyDescent="0.25">
      <c r="Z25502">
        <v>400000</v>
      </c>
    </row>
    <row r="25503" spans="26:26" x14ac:dyDescent="0.25">
      <c r="Z25503">
        <v>400000</v>
      </c>
    </row>
    <row r="25504" spans="26:26" x14ac:dyDescent="0.25">
      <c r="Z25504">
        <v>400000</v>
      </c>
    </row>
    <row r="25505" spans="26:26" x14ac:dyDescent="0.25">
      <c r="Z25505">
        <v>400000</v>
      </c>
    </row>
    <row r="25506" spans="26:26" x14ac:dyDescent="0.25">
      <c r="Z25506">
        <v>400000</v>
      </c>
    </row>
    <row r="25507" spans="26:26" x14ac:dyDescent="0.25">
      <c r="Z25507">
        <v>400000</v>
      </c>
    </row>
    <row r="25508" spans="26:26" x14ac:dyDescent="0.25">
      <c r="Z25508">
        <v>400000</v>
      </c>
    </row>
    <row r="25509" spans="26:26" x14ac:dyDescent="0.25">
      <c r="Z25509">
        <v>400000</v>
      </c>
    </row>
    <row r="25510" spans="26:26" x14ac:dyDescent="0.25">
      <c r="Z25510">
        <v>400000</v>
      </c>
    </row>
    <row r="25511" spans="26:26" x14ac:dyDescent="0.25">
      <c r="Z25511">
        <v>400000</v>
      </c>
    </row>
    <row r="25512" spans="26:26" x14ac:dyDescent="0.25">
      <c r="Z25512">
        <v>400000</v>
      </c>
    </row>
    <row r="25513" spans="26:26" x14ac:dyDescent="0.25">
      <c r="Z25513">
        <v>400000</v>
      </c>
    </row>
    <row r="25514" spans="26:26" x14ac:dyDescent="0.25">
      <c r="Z25514">
        <v>400000</v>
      </c>
    </row>
    <row r="25515" spans="26:26" x14ac:dyDescent="0.25">
      <c r="Z25515">
        <v>400000</v>
      </c>
    </row>
    <row r="25516" spans="26:26" x14ac:dyDescent="0.25">
      <c r="Z25516">
        <v>400000</v>
      </c>
    </row>
    <row r="25517" spans="26:26" x14ac:dyDescent="0.25">
      <c r="Z25517">
        <v>400000</v>
      </c>
    </row>
    <row r="25518" spans="26:26" x14ac:dyDescent="0.25">
      <c r="Z25518">
        <v>400000</v>
      </c>
    </row>
    <row r="25519" spans="26:26" x14ac:dyDescent="0.25">
      <c r="Z25519">
        <v>400000</v>
      </c>
    </row>
    <row r="25520" spans="26:26" x14ac:dyDescent="0.25">
      <c r="Z25520">
        <v>400000</v>
      </c>
    </row>
    <row r="25521" spans="26:26" x14ac:dyDescent="0.25">
      <c r="Z25521">
        <v>400000</v>
      </c>
    </row>
    <row r="25522" spans="26:26" x14ac:dyDescent="0.25">
      <c r="Z25522">
        <v>400000</v>
      </c>
    </row>
    <row r="25523" spans="26:26" x14ac:dyDescent="0.25">
      <c r="Z25523">
        <v>400000</v>
      </c>
    </row>
    <row r="25524" spans="26:26" x14ac:dyDescent="0.25">
      <c r="Z25524">
        <v>400000</v>
      </c>
    </row>
    <row r="25525" spans="26:26" x14ac:dyDescent="0.25">
      <c r="Z25525">
        <v>400000</v>
      </c>
    </row>
    <row r="25526" spans="26:26" x14ac:dyDescent="0.25">
      <c r="Z25526">
        <v>400000</v>
      </c>
    </row>
    <row r="25527" spans="26:26" x14ac:dyDescent="0.25">
      <c r="Z25527">
        <v>400000</v>
      </c>
    </row>
    <row r="25528" spans="26:26" x14ac:dyDescent="0.25">
      <c r="Z25528">
        <v>400000</v>
      </c>
    </row>
    <row r="25529" spans="26:26" x14ac:dyDescent="0.25">
      <c r="Z25529">
        <v>400000</v>
      </c>
    </row>
    <row r="25530" spans="26:26" x14ac:dyDescent="0.25">
      <c r="Z25530">
        <v>400000</v>
      </c>
    </row>
    <row r="25531" spans="26:26" x14ac:dyDescent="0.25">
      <c r="Z25531">
        <v>400000</v>
      </c>
    </row>
    <row r="25532" spans="26:26" x14ac:dyDescent="0.25">
      <c r="Z25532">
        <v>400000</v>
      </c>
    </row>
    <row r="25533" spans="26:26" x14ac:dyDescent="0.25">
      <c r="Z25533">
        <v>400000</v>
      </c>
    </row>
    <row r="25534" spans="26:26" x14ac:dyDescent="0.25">
      <c r="Z25534">
        <v>400000</v>
      </c>
    </row>
    <row r="25535" spans="26:26" x14ac:dyDescent="0.25">
      <c r="Z25535">
        <v>400000</v>
      </c>
    </row>
    <row r="25536" spans="26:26" x14ac:dyDescent="0.25">
      <c r="Z25536">
        <v>400000</v>
      </c>
    </row>
    <row r="25537" spans="26:26" x14ac:dyDescent="0.25">
      <c r="Z25537">
        <v>400000</v>
      </c>
    </row>
    <row r="25538" spans="26:26" x14ac:dyDescent="0.25">
      <c r="Z25538">
        <v>400000</v>
      </c>
    </row>
    <row r="25539" spans="26:26" x14ac:dyDescent="0.25">
      <c r="Z25539">
        <v>400000</v>
      </c>
    </row>
    <row r="25540" spans="26:26" x14ac:dyDescent="0.25">
      <c r="Z25540">
        <v>400000</v>
      </c>
    </row>
    <row r="25541" spans="26:26" x14ac:dyDescent="0.25">
      <c r="Z25541">
        <v>400000</v>
      </c>
    </row>
    <row r="25542" spans="26:26" x14ac:dyDescent="0.25">
      <c r="Z25542">
        <v>400000</v>
      </c>
    </row>
    <row r="25543" spans="26:26" x14ac:dyDescent="0.25">
      <c r="Z25543">
        <v>400000</v>
      </c>
    </row>
    <row r="25544" spans="26:26" x14ac:dyDescent="0.25">
      <c r="Z25544">
        <v>400000</v>
      </c>
    </row>
    <row r="25545" spans="26:26" x14ac:dyDescent="0.25">
      <c r="Z25545">
        <v>400000</v>
      </c>
    </row>
    <row r="25546" spans="26:26" x14ac:dyDescent="0.25">
      <c r="Z25546">
        <v>400000</v>
      </c>
    </row>
    <row r="25547" spans="26:26" x14ac:dyDescent="0.25">
      <c r="Z25547">
        <v>400000</v>
      </c>
    </row>
    <row r="25548" spans="26:26" x14ac:dyDescent="0.25">
      <c r="Z25548">
        <v>400000</v>
      </c>
    </row>
    <row r="25549" spans="26:26" x14ac:dyDescent="0.25">
      <c r="Z25549">
        <v>400000</v>
      </c>
    </row>
    <row r="25550" spans="26:26" x14ac:dyDescent="0.25">
      <c r="Z25550">
        <v>400000</v>
      </c>
    </row>
    <row r="25551" spans="26:26" x14ac:dyDescent="0.25">
      <c r="Z25551">
        <v>400000</v>
      </c>
    </row>
    <row r="25552" spans="26:26" x14ac:dyDescent="0.25">
      <c r="Z25552">
        <v>400000</v>
      </c>
    </row>
    <row r="25553" spans="26:26" x14ac:dyDescent="0.25">
      <c r="Z25553">
        <v>400000</v>
      </c>
    </row>
    <row r="25554" spans="26:26" x14ac:dyDescent="0.25">
      <c r="Z25554">
        <v>400000</v>
      </c>
    </row>
    <row r="25555" spans="26:26" x14ac:dyDescent="0.25">
      <c r="Z25555">
        <v>400000</v>
      </c>
    </row>
    <row r="25556" spans="26:26" x14ac:dyDescent="0.25">
      <c r="Z25556">
        <v>400000</v>
      </c>
    </row>
    <row r="25557" spans="26:26" x14ac:dyDescent="0.25">
      <c r="Z25557">
        <v>400000</v>
      </c>
    </row>
    <row r="25558" spans="26:26" x14ac:dyDescent="0.25">
      <c r="Z25558">
        <v>400000</v>
      </c>
    </row>
    <row r="25559" spans="26:26" x14ac:dyDescent="0.25">
      <c r="Z25559">
        <v>400000</v>
      </c>
    </row>
    <row r="25560" spans="26:26" x14ac:dyDescent="0.25">
      <c r="Z25560">
        <v>400000</v>
      </c>
    </row>
    <row r="25561" spans="26:26" x14ac:dyDescent="0.25">
      <c r="Z25561">
        <v>400000</v>
      </c>
    </row>
    <row r="25562" spans="26:26" x14ac:dyDescent="0.25">
      <c r="Z25562">
        <v>400000</v>
      </c>
    </row>
    <row r="25563" spans="26:26" x14ac:dyDescent="0.25">
      <c r="Z25563">
        <v>400000</v>
      </c>
    </row>
    <row r="25564" spans="26:26" x14ac:dyDescent="0.25">
      <c r="Z25564">
        <v>400000</v>
      </c>
    </row>
    <row r="25565" spans="26:26" x14ac:dyDescent="0.25">
      <c r="Z25565">
        <v>400000</v>
      </c>
    </row>
    <row r="25566" spans="26:26" x14ac:dyDescent="0.25">
      <c r="Z25566">
        <v>400000</v>
      </c>
    </row>
    <row r="25567" spans="26:26" x14ac:dyDescent="0.25">
      <c r="Z25567">
        <v>400000</v>
      </c>
    </row>
    <row r="25568" spans="26:26" x14ac:dyDescent="0.25">
      <c r="Z25568">
        <v>400000</v>
      </c>
    </row>
    <row r="25569" spans="26:26" x14ac:dyDescent="0.25">
      <c r="Z25569">
        <v>400000</v>
      </c>
    </row>
    <row r="25570" spans="26:26" x14ac:dyDescent="0.25">
      <c r="Z25570">
        <v>400000</v>
      </c>
    </row>
    <row r="25571" spans="26:26" x14ac:dyDescent="0.25">
      <c r="Z25571">
        <v>400000</v>
      </c>
    </row>
    <row r="25572" spans="26:26" x14ac:dyDescent="0.25">
      <c r="Z25572">
        <v>400000</v>
      </c>
    </row>
    <row r="25573" spans="26:26" x14ac:dyDescent="0.25">
      <c r="Z25573">
        <v>400000</v>
      </c>
    </row>
    <row r="25574" spans="26:26" x14ac:dyDescent="0.25">
      <c r="Z25574">
        <v>400000</v>
      </c>
    </row>
    <row r="25575" spans="26:26" x14ac:dyDescent="0.25">
      <c r="Z25575">
        <v>400000</v>
      </c>
    </row>
    <row r="25576" spans="26:26" x14ac:dyDescent="0.25">
      <c r="Z25576">
        <v>400000</v>
      </c>
    </row>
    <row r="25577" spans="26:26" x14ac:dyDescent="0.25">
      <c r="Z25577">
        <v>400000</v>
      </c>
    </row>
    <row r="25578" spans="26:26" x14ac:dyDescent="0.25">
      <c r="Z25578">
        <v>400000</v>
      </c>
    </row>
    <row r="25579" spans="26:26" x14ac:dyDescent="0.25">
      <c r="Z25579">
        <v>400000</v>
      </c>
    </row>
    <row r="25580" spans="26:26" x14ac:dyDescent="0.25">
      <c r="Z25580">
        <v>400000</v>
      </c>
    </row>
    <row r="25581" spans="26:26" x14ac:dyDescent="0.25">
      <c r="Z25581">
        <v>400000</v>
      </c>
    </row>
    <row r="25582" spans="26:26" x14ac:dyDescent="0.25">
      <c r="Z25582">
        <v>400000</v>
      </c>
    </row>
    <row r="25583" spans="26:26" x14ac:dyDescent="0.25">
      <c r="Z25583">
        <v>400000</v>
      </c>
    </row>
    <row r="25584" spans="26:26" x14ac:dyDescent="0.25">
      <c r="Z25584">
        <v>400000</v>
      </c>
    </row>
    <row r="25585" spans="26:26" x14ac:dyDescent="0.25">
      <c r="Z25585">
        <v>400000</v>
      </c>
    </row>
    <row r="25586" spans="26:26" x14ac:dyDescent="0.25">
      <c r="Z25586">
        <v>400000</v>
      </c>
    </row>
    <row r="25587" spans="26:26" x14ac:dyDescent="0.25">
      <c r="Z25587">
        <v>400000</v>
      </c>
    </row>
    <row r="25588" spans="26:26" x14ac:dyDescent="0.25">
      <c r="Z25588">
        <v>400000</v>
      </c>
    </row>
    <row r="25589" spans="26:26" x14ac:dyDescent="0.25">
      <c r="Z25589">
        <v>400000</v>
      </c>
    </row>
    <row r="25590" spans="26:26" x14ac:dyDescent="0.25">
      <c r="Z25590">
        <v>400000</v>
      </c>
    </row>
    <row r="25591" spans="26:26" x14ac:dyDescent="0.25">
      <c r="Z25591">
        <v>400000</v>
      </c>
    </row>
    <row r="25592" spans="26:26" x14ac:dyDescent="0.25">
      <c r="Z25592">
        <v>400000</v>
      </c>
    </row>
    <row r="25593" spans="26:26" x14ac:dyDescent="0.25">
      <c r="Z25593">
        <v>400000</v>
      </c>
    </row>
    <row r="25594" spans="26:26" x14ac:dyDescent="0.25">
      <c r="Z25594">
        <v>400000</v>
      </c>
    </row>
    <row r="25595" spans="26:26" x14ac:dyDescent="0.25">
      <c r="Z25595">
        <v>400000</v>
      </c>
    </row>
    <row r="25596" spans="26:26" x14ac:dyDescent="0.25">
      <c r="Z25596">
        <v>400000</v>
      </c>
    </row>
    <row r="25597" spans="26:26" x14ac:dyDescent="0.25">
      <c r="Z25597">
        <v>400000</v>
      </c>
    </row>
    <row r="25598" spans="26:26" x14ac:dyDescent="0.25">
      <c r="Z25598">
        <v>400000</v>
      </c>
    </row>
    <row r="25599" spans="26:26" x14ac:dyDescent="0.25">
      <c r="Z25599">
        <v>400000</v>
      </c>
    </row>
    <row r="25600" spans="26:26" x14ac:dyDescent="0.25">
      <c r="Z25600">
        <v>400000</v>
      </c>
    </row>
    <row r="25601" spans="26:26" x14ac:dyDescent="0.25">
      <c r="Z25601">
        <v>400000</v>
      </c>
    </row>
    <row r="25602" spans="26:26" x14ac:dyDescent="0.25">
      <c r="Z25602">
        <v>400000</v>
      </c>
    </row>
    <row r="25603" spans="26:26" x14ac:dyDescent="0.25">
      <c r="Z25603">
        <v>400000</v>
      </c>
    </row>
    <row r="25604" spans="26:26" x14ac:dyDescent="0.25">
      <c r="Z25604">
        <v>400000</v>
      </c>
    </row>
    <row r="25605" spans="26:26" x14ac:dyDescent="0.25">
      <c r="Z25605">
        <v>400000</v>
      </c>
    </row>
    <row r="25606" spans="26:26" x14ac:dyDescent="0.25">
      <c r="Z25606">
        <v>400000</v>
      </c>
    </row>
    <row r="25607" spans="26:26" x14ac:dyDescent="0.25">
      <c r="Z25607">
        <v>400000</v>
      </c>
    </row>
    <row r="25608" spans="26:26" x14ac:dyDescent="0.25">
      <c r="Z25608">
        <v>400000</v>
      </c>
    </row>
    <row r="25609" spans="26:26" x14ac:dyDescent="0.25">
      <c r="Z25609">
        <v>400000</v>
      </c>
    </row>
    <row r="25610" spans="26:26" x14ac:dyDescent="0.25">
      <c r="Z25610">
        <v>400000</v>
      </c>
    </row>
    <row r="25611" spans="26:26" x14ac:dyDescent="0.25">
      <c r="Z25611">
        <v>400000</v>
      </c>
    </row>
    <row r="25612" spans="26:26" x14ac:dyDescent="0.25">
      <c r="Z25612">
        <v>400000</v>
      </c>
    </row>
    <row r="25613" spans="26:26" x14ac:dyDescent="0.25">
      <c r="Z25613">
        <v>400000</v>
      </c>
    </row>
    <row r="25614" spans="26:26" x14ac:dyDescent="0.25">
      <c r="Z25614">
        <v>400000</v>
      </c>
    </row>
    <row r="25615" spans="26:26" x14ac:dyDescent="0.25">
      <c r="Z25615">
        <v>400000</v>
      </c>
    </row>
    <row r="25616" spans="26:26" x14ac:dyDescent="0.25">
      <c r="Z25616">
        <v>400000</v>
      </c>
    </row>
    <row r="25617" spans="26:26" x14ac:dyDescent="0.25">
      <c r="Z25617">
        <v>400000</v>
      </c>
    </row>
    <row r="25618" spans="26:26" x14ac:dyDescent="0.25">
      <c r="Z25618">
        <v>400000</v>
      </c>
    </row>
    <row r="25619" spans="26:26" x14ac:dyDescent="0.25">
      <c r="Z25619">
        <v>400000</v>
      </c>
    </row>
    <row r="25620" spans="26:26" x14ac:dyDescent="0.25">
      <c r="Z25620">
        <v>400000</v>
      </c>
    </row>
    <row r="25621" spans="26:26" x14ac:dyDescent="0.25">
      <c r="Z25621">
        <v>400000</v>
      </c>
    </row>
    <row r="25622" spans="26:26" x14ac:dyDescent="0.25">
      <c r="Z25622">
        <v>400000</v>
      </c>
    </row>
    <row r="25623" spans="26:26" x14ac:dyDescent="0.25">
      <c r="Z25623">
        <v>400000</v>
      </c>
    </row>
    <row r="25624" spans="26:26" x14ac:dyDescent="0.25">
      <c r="Z25624">
        <v>400000</v>
      </c>
    </row>
    <row r="25625" spans="26:26" x14ac:dyDescent="0.25">
      <c r="Z25625">
        <v>400000</v>
      </c>
    </row>
    <row r="25626" spans="26:26" x14ac:dyDescent="0.25">
      <c r="Z25626">
        <v>400000</v>
      </c>
    </row>
    <row r="25627" spans="26:26" x14ac:dyDescent="0.25">
      <c r="Z25627">
        <v>400000</v>
      </c>
    </row>
    <row r="25628" spans="26:26" x14ac:dyDescent="0.25">
      <c r="Z25628">
        <v>400000</v>
      </c>
    </row>
    <row r="25629" spans="26:26" x14ac:dyDescent="0.25">
      <c r="Z25629">
        <v>400000</v>
      </c>
    </row>
    <row r="25630" spans="26:26" x14ac:dyDescent="0.25">
      <c r="Z25630">
        <v>400000</v>
      </c>
    </row>
    <row r="25631" spans="26:26" x14ac:dyDescent="0.25">
      <c r="Z25631">
        <v>400000</v>
      </c>
    </row>
    <row r="25632" spans="26:26" x14ac:dyDescent="0.25">
      <c r="Z25632">
        <v>400000</v>
      </c>
    </row>
    <row r="25633" spans="26:26" x14ac:dyDescent="0.25">
      <c r="Z25633">
        <v>400000</v>
      </c>
    </row>
    <row r="25634" spans="26:26" x14ac:dyDescent="0.25">
      <c r="Z25634">
        <v>400000</v>
      </c>
    </row>
    <row r="25635" spans="26:26" x14ac:dyDescent="0.25">
      <c r="Z25635">
        <v>400000</v>
      </c>
    </row>
    <row r="25636" spans="26:26" x14ac:dyDescent="0.25">
      <c r="Z25636">
        <v>400000</v>
      </c>
    </row>
    <row r="25637" spans="26:26" x14ac:dyDescent="0.25">
      <c r="Z25637">
        <v>400000</v>
      </c>
    </row>
    <row r="25638" spans="26:26" x14ac:dyDescent="0.25">
      <c r="Z25638">
        <v>400000</v>
      </c>
    </row>
    <row r="25639" spans="26:26" x14ac:dyDescent="0.25">
      <c r="Z25639">
        <v>400000</v>
      </c>
    </row>
    <row r="25640" spans="26:26" x14ac:dyDescent="0.25">
      <c r="Z25640">
        <v>400000</v>
      </c>
    </row>
    <row r="25641" spans="26:26" x14ac:dyDescent="0.25">
      <c r="Z25641">
        <v>400000</v>
      </c>
    </row>
    <row r="25642" spans="26:26" x14ac:dyDescent="0.25">
      <c r="Z25642">
        <v>400000</v>
      </c>
    </row>
    <row r="25643" spans="26:26" x14ac:dyDescent="0.25">
      <c r="Z25643">
        <v>400000</v>
      </c>
    </row>
    <row r="25644" spans="26:26" x14ac:dyDescent="0.25">
      <c r="Z25644">
        <v>400000</v>
      </c>
    </row>
    <row r="25645" spans="26:26" x14ac:dyDescent="0.25">
      <c r="Z25645">
        <v>400000</v>
      </c>
    </row>
    <row r="25646" spans="26:26" x14ac:dyDescent="0.25">
      <c r="Z25646">
        <v>400000</v>
      </c>
    </row>
    <row r="25647" spans="26:26" x14ac:dyDescent="0.25">
      <c r="Z25647">
        <v>400000</v>
      </c>
    </row>
    <row r="25648" spans="26:26" x14ac:dyDescent="0.25">
      <c r="Z25648">
        <v>400000</v>
      </c>
    </row>
    <row r="25649" spans="26:26" x14ac:dyDescent="0.25">
      <c r="Z25649">
        <v>400000</v>
      </c>
    </row>
    <row r="25650" spans="26:26" x14ac:dyDescent="0.25">
      <c r="Z25650">
        <v>400000</v>
      </c>
    </row>
    <row r="25651" spans="26:26" x14ac:dyDescent="0.25">
      <c r="Z25651">
        <v>400000</v>
      </c>
    </row>
    <row r="25652" spans="26:26" x14ac:dyDescent="0.25">
      <c r="Z25652">
        <v>400000</v>
      </c>
    </row>
    <row r="25653" spans="26:26" x14ac:dyDescent="0.25">
      <c r="Z25653">
        <v>400000</v>
      </c>
    </row>
    <row r="25654" spans="26:26" x14ac:dyDescent="0.25">
      <c r="Z25654">
        <v>400000</v>
      </c>
    </row>
    <row r="25655" spans="26:26" x14ac:dyDescent="0.25">
      <c r="Z25655">
        <v>400000</v>
      </c>
    </row>
    <row r="25656" spans="26:26" x14ac:dyDescent="0.25">
      <c r="Z25656">
        <v>400000</v>
      </c>
    </row>
    <row r="25657" spans="26:26" x14ac:dyDescent="0.25">
      <c r="Z25657">
        <v>400000</v>
      </c>
    </row>
    <row r="25658" spans="26:26" x14ac:dyDescent="0.25">
      <c r="Z25658">
        <v>400000</v>
      </c>
    </row>
    <row r="25659" spans="26:26" x14ac:dyDescent="0.25">
      <c r="Z25659">
        <v>400000</v>
      </c>
    </row>
    <row r="25660" spans="26:26" x14ac:dyDescent="0.25">
      <c r="Z25660">
        <v>400000</v>
      </c>
    </row>
    <row r="25661" spans="26:26" x14ac:dyDescent="0.25">
      <c r="Z25661">
        <v>400000</v>
      </c>
    </row>
    <row r="25662" spans="26:26" x14ac:dyDescent="0.25">
      <c r="Z25662">
        <v>400000</v>
      </c>
    </row>
    <row r="25663" spans="26:26" x14ac:dyDescent="0.25">
      <c r="Z25663">
        <v>400000</v>
      </c>
    </row>
    <row r="25664" spans="26:26" x14ac:dyDescent="0.25">
      <c r="Z25664">
        <v>400000</v>
      </c>
    </row>
    <row r="25665" spans="26:26" x14ac:dyDescent="0.25">
      <c r="Z25665">
        <v>400000</v>
      </c>
    </row>
    <row r="25666" spans="26:26" x14ac:dyDescent="0.25">
      <c r="Z25666">
        <v>400000</v>
      </c>
    </row>
    <row r="25667" spans="26:26" x14ac:dyDescent="0.25">
      <c r="Z25667">
        <v>400000</v>
      </c>
    </row>
    <row r="25668" spans="26:26" x14ac:dyDescent="0.25">
      <c r="Z25668">
        <v>400000</v>
      </c>
    </row>
    <row r="25669" spans="26:26" x14ac:dyDescent="0.25">
      <c r="Z25669">
        <v>400000</v>
      </c>
    </row>
    <row r="25670" spans="26:26" x14ac:dyDescent="0.25">
      <c r="Z25670">
        <v>400000</v>
      </c>
    </row>
    <row r="25671" spans="26:26" x14ac:dyDescent="0.25">
      <c r="Z25671">
        <v>400000</v>
      </c>
    </row>
    <row r="25672" spans="26:26" x14ac:dyDescent="0.25">
      <c r="Z25672">
        <v>400000</v>
      </c>
    </row>
    <row r="25673" spans="26:26" x14ac:dyDescent="0.25">
      <c r="Z25673">
        <v>400000</v>
      </c>
    </row>
    <row r="25674" spans="26:26" x14ac:dyDescent="0.25">
      <c r="Z25674">
        <v>400000</v>
      </c>
    </row>
    <row r="25675" spans="26:26" x14ac:dyDescent="0.25">
      <c r="Z25675">
        <v>400000</v>
      </c>
    </row>
    <row r="25676" spans="26:26" x14ac:dyDescent="0.25">
      <c r="Z25676">
        <v>400000</v>
      </c>
    </row>
    <row r="25677" spans="26:26" x14ac:dyDescent="0.25">
      <c r="Z25677">
        <v>400000</v>
      </c>
    </row>
    <row r="25678" spans="26:26" x14ac:dyDescent="0.25">
      <c r="Z25678">
        <v>400000</v>
      </c>
    </row>
    <row r="25679" spans="26:26" x14ac:dyDescent="0.25">
      <c r="Z25679">
        <v>400000</v>
      </c>
    </row>
    <row r="25680" spans="26:26" x14ac:dyDescent="0.25">
      <c r="Z25680">
        <v>400000</v>
      </c>
    </row>
    <row r="25681" spans="26:26" x14ac:dyDescent="0.25">
      <c r="Z25681">
        <v>400000</v>
      </c>
    </row>
    <row r="25682" spans="26:26" x14ac:dyDescent="0.25">
      <c r="Z25682">
        <v>400000</v>
      </c>
    </row>
    <row r="25683" spans="26:26" x14ac:dyDescent="0.25">
      <c r="Z25683">
        <v>400000</v>
      </c>
    </row>
    <row r="25684" spans="26:26" x14ac:dyDescent="0.25">
      <c r="Z25684">
        <v>400000</v>
      </c>
    </row>
    <row r="25685" spans="26:26" x14ac:dyDescent="0.25">
      <c r="Z25685">
        <v>400000</v>
      </c>
    </row>
    <row r="25686" spans="26:26" x14ac:dyDescent="0.25">
      <c r="Z25686">
        <v>400000</v>
      </c>
    </row>
    <row r="25687" spans="26:26" x14ac:dyDescent="0.25">
      <c r="Z25687">
        <v>400000</v>
      </c>
    </row>
    <row r="25688" spans="26:26" x14ac:dyDescent="0.25">
      <c r="Z25688">
        <v>400000</v>
      </c>
    </row>
    <row r="25689" spans="26:26" x14ac:dyDescent="0.25">
      <c r="Z25689">
        <v>400000</v>
      </c>
    </row>
    <row r="25690" spans="26:26" x14ac:dyDescent="0.25">
      <c r="Z25690">
        <v>400000</v>
      </c>
    </row>
    <row r="25691" spans="26:26" x14ac:dyDescent="0.25">
      <c r="Z25691">
        <v>400000</v>
      </c>
    </row>
    <row r="25692" spans="26:26" x14ac:dyDescent="0.25">
      <c r="Z25692">
        <v>400000</v>
      </c>
    </row>
    <row r="25693" spans="26:26" x14ac:dyDescent="0.25">
      <c r="Z25693">
        <v>400000</v>
      </c>
    </row>
    <row r="25694" spans="26:26" x14ac:dyDescent="0.25">
      <c r="Z25694">
        <v>400000</v>
      </c>
    </row>
    <row r="25695" spans="26:26" x14ac:dyDescent="0.25">
      <c r="Z25695">
        <v>400000</v>
      </c>
    </row>
    <row r="25696" spans="26:26" x14ac:dyDescent="0.25">
      <c r="Z25696">
        <v>400000</v>
      </c>
    </row>
    <row r="25697" spans="26:26" x14ac:dyDescent="0.25">
      <c r="Z25697">
        <v>400000</v>
      </c>
    </row>
    <row r="25698" spans="26:26" x14ac:dyDescent="0.25">
      <c r="Z25698">
        <v>400000</v>
      </c>
    </row>
    <row r="25699" spans="26:26" x14ac:dyDescent="0.25">
      <c r="Z25699">
        <v>400000</v>
      </c>
    </row>
    <row r="25700" spans="26:26" x14ac:dyDescent="0.25">
      <c r="Z25700">
        <v>400000</v>
      </c>
    </row>
    <row r="25701" spans="26:26" x14ac:dyDescent="0.25">
      <c r="Z25701">
        <v>400000</v>
      </c>
    </row>
    <row r="25702" spans="26:26" x14ac:dyDescent="0.25">
      <c r="Z25702">
        <v>400000</v>
      </c>
    </row>
    <row r="25703" spans="26:26" x14ac:dyDescent="0.25">
      <c r="Z25703">
        <v>400000</v>
      </c>
    </row>
    <row r="25704" spans="26:26" x14ac:dyDescent="0.25">
      <c r="Z25704">
        <v>400000</v>
      </c>
    </row>
    <row r="25705" spans="26:26" x14ac:dyDescent="0.25">
      <c r="Z25705">
        <v>400000</v>
      </c>
    </row>
    <row r="25706" spans="26:26" x14ac:dyDescent="0.25">
      <c r="Z25706">
        <v>400000</v>
      </c>
    </row>
    <row r="25707" spans="26:26" x14ac:dyDescent="0.25">
      <c r="Z25707">
        <v>400000</v>
      </c>
    </row>
    <row r="25708" spans="26:26" x14ac:dyDescent="0.25">
      <c r="Z25708">
        <v>400000</v>
      </c>
    </row>
    <row r="25709" spans="26:26" x14ac:dyDescent="0.25">
      <c r="Z25709">
        <v>400000</v>
      </c>
    </row>
    <row r="25710" spans="26:26" x14ac:dyDescent="0.25">
      <c r="Z25710">
        <v>400000</v>
      </c>
    </row>
    <row r="25711" spans="26:26" x14ac:dyDescent="0.25">
      <c r="Z25711">
        <v>400000</v>
      </c>
    </row>
    <row r="25712" spans="26:26" x14ac:dyDescent="0.25">
      <c r="Z25712">
        <v>400000</v>
      </c>
    </row>
    <row r="25713" spans="26:26" x14ac:dyDescent="0.25">
      <c r="Z25713">
        <v>400000</v>
      </c>
    </row>
    <row r="25714" spans="26:26" x14ac:dyDescent="0.25">
      <c r="Z25714">
        <v>400000</v>
      </c>
    </row>
    <row r="25715" spans="26:26" x14ac:dyDescent="0.25">
      <c r="Z25715">
        <v>400000</v>
      </c>
    </row>
    <row r="25716" spans="26:26" x14ac:dyDescent="0.25">
      <c r="Z25716">
        <v>400000</v>
      </c>
    </row>
    <row r="25717" spans="26:26" x14ac:dyDescent="0.25">
      <c r="Z25717">
        <v>400000</v>
      </c>
    </row>
    <row r="25718" spans="26:26" x14ac:dyDescent="0.25">
      <c r="Z25718">
        <v>400000</v>
      </c>
    </row>
    <row r="25719" spans="26:26" x14ac:dyDescent="0.25">
      <c r="Z25719">
        <v>400000</v>
      </c>
    </row>
    <row r="25720" spans="26:26" x14ac:dyDescent="0.25">
      <c r="Z25720">
        <v>400000</v>
      </c>
    </row>
    <row r="25721" spans="26:26" x14ac:dyDescent="0.25">
      <c r="Z25721">
        <v>400000</v>
      </c>
    </row>
    <row r="25722" spans="26:26" x14ac:dyDescent="0.25">
      <c r="Z25722">
        <v>400000</v>
      </c>
    </row>
    <row r="25723" spans="26:26" x14ac:dyDescent="0.25">
      <c r="Z25723">
        <v>400000</v>
      </c>
    </row>
    <row r="25724" spans="26:26" x14ac:dyDescent="0.25">
      <c r="Z25724">
        <v>400000</v>
      </c>
    </row>
    <row r="25725" spans="26:26" x14ac:dyDescent="0.25">
      <c r="Z25725">
        <v>400000</v>
      </c>
    </row>
    <row r="25726" spans="26:26" x14ac:dyDescent="0.25">
      <c r="Z25726">
        <v>400000</v>
      </c>
    </row>
    <row r="25727" spans="26:26" x14ac:dyDescent="0.25">
      <c r="Z25727">
        <v>400000</v>
      </c>
    </row>
    <row r="25728" spans="26:26" x14ac:dyDescent="0.25">
      <c r="Z25728">
        <v>400000</v>
      </c>
    </row>
    <row r="25729" spans="26:26" x14ac:dyDescent="0.25">
      <c r="Z25729">
        <v>400000</v>
      </c>
    </row>
    <row r="25730" spans="26:26" x14ac:dyDescent="0.25">
      <c r="Z25730">
        <v>400000</v>
      </c>
    </row>
    <row r="25731" spans="26:26" x14ac:dyDescent="0.25">
      <c r="Z25731">
        <v>400000</v>
      </c>
    </row>
    <row r="25732" spans="26:26" x14ac:dyDescent="0.25">
      <c r="Z25732">
        <v>400000</v>
      </c>
    </row>
    <row r="25733" spans="26:26" x14ac:dyDescent="0.25">
      <c r="Z25733">
        <v>400000</v>
      </c>
    </row>
    <row r="25734" spans="26:26" x14ac:dyDescent="0.25">
      <c r="Z25734">
        <v>400000</v>
      </c>
    </row>
    <row r="25735" spans="26:26" x14ac:dyDescent="0.25">
      <c r="Z25735">
        <v>400000</v>
      </c>
    </row>
    <row r="25736" spans="26:26" x14ac:dyDescent="0.25">
      <c r="Z25736">
        <v>400000</v>
      </c>
    </row>
    <row r="25737" spans="26:26" x14ac:dyDescent="0.25">
      <c r="Z25737">
        <v>400000</v>
      </c>
    </row>
    <row r="25738" spans="26:26" x14ac:dyDescent="0.25">
      <c r="Z25738">
        <v>400000</v>
      </c>
    </row>
    <row r="25739" spans="26:26" x14ac:dyDescent="0.25">
      <c r="Z25739">
        <v>400000</v>
      </c>
    </row>
    <row r="25740" spans="26:26" x14ac:dyDescent="0.25">
      <c r="Z25740">
        <v>400000</v>
      </c>
    </row>
    <row r="25741" spans="26:26" x14ac:dyDescent="0.25">
      <c r="Z25741">
        <v>400000</v>
      </c>
    </row>
    <row r="25742" spans="26:26" x14ac:dyDescent="0.25">
      <c r="Z25742">
        <v>400000</v>
      </c>
    </row>
    <row r="25743" spans="26:26" x14ac:dyDescent="0.25">
      <c r="Z25743">
        <v>400000</v>
      </c>
    </row>
    <row r="25744" spans="26:26" x14ac:dyDescent="0.25">
      <c r="Z25744">
        <v>400000</v>
      </c>
    </row>
    <row r="25745" spans="26:26" x14ac:dyDescent="0.25">
      <c r="Z25745">
        <v>400000</v>
      </c>
    </row>
    <row r="25746" spans="26:26" x14ac:dyDescent="0.25">
      <c r="Z25746">
        <v>400000</v>
      </c>
    </row>
    <row r="25747" spans="26:26" x14ac:dyDescent="0.25">
      <c r="Z25747">
        <v>400000</v>
      </c>
    </row>
    <row r="25748" spans="26:26" x14ac:dyDescent="0.25">
      <c r="Z25748">
        <v>400000</v>
      </c>
    </row>
    <row r="25749" spans="26:26" x14ac:dyDescent="0.25">
      <c r="Z25749">
        <v>400000</v>
      </c>
    </row>
    <row r="25750" spans="26:26" x14ac:dyDescent="0.25">
      <c r="Z25750">
        <v>400000</v>
      </c>
    </row>
    <row r="25751" spans="26:26" x14ac:dyDescent="0.25">
      <c r="Z25751">
        <v>400000</v>
      </c>
    </row>
    <row r="25752" spans="26:26" x14ac:dyDescent="0.25">
      <c r="Z25752">
        <v>400000</v>
      </c>
    </row>
    <row r="25753" spans="26:26" x14ac:dyDescent="0.25">
      <c r="Z25753">
        <v>400000</v>
      </c>
    </row>
    <row r="25754" spans="26:26" x14ac:dyDescent="0.25">
      <c r="Z25754">
        <v>400000</v>
      </c>
    </row>
    <row r="25755" spans="26:26" x14ac:dyDescent="0.25">
      <c r="Z25755">
        <v>400000</v>
      </c>
    </row>
    <row r="25756" spans="26:26" x14ac:dyDescent="0.25">
      <c r="Z25756">
        <v>400000</v>
      </c>
    </row>
    <row r="25757" spans="26:26" x14ac:dyDescent="0.25">
      <c r="Z25757">
        <v>400000</v>
      </c>
    </row>
    <row r="25758" spans="26:26" x14ac:dyDescent="0.25">
      <c r="Z25758">
        <v>400000</v>
      </c>
    </row>
    <row r="25759" spans="26:26" x14ac:dyDescent="0.25">
      <c r="Z25759">
        <v>400000</v>
      </c>
    </row>
    <row r="25760" spans="26:26" x14ac:dyDescent="0.25">
      <c r="Z25760">
        <v>400000</v>
      </c>
    </row>
    <row r="25761" spans="26:26" x14ac:dyDescent="0.25">
      <c r="Z25761">
        <v>400000</v>
      </c>
    </row>
    <row r="25762" spans="26:26" x14ac:dyDescent="0.25">
      <c r="Z25762">
        <v>400000</v>
      </c>
    </row>
    <row r="25763" spans="26:26" x14ac:dyDescent="0.25">
      <c r="Z25763">
        <v>400000</v>
      </c>
    </row>
    <row r="25764" spans="26:26" x14ac:dyDescent="0.25">
      <c r="Z25764">
        <v>400000</v>
      </c>
    </row>
    <row r="25765" spans="26:26" x14ac:dyDescent="0.25">
      <c r="Z25765">
        <v>400000</v>
      </c>
    </row>
    <row r="25766" spans="26:26" x14ac:dyDescent="0.25">
      <c r="Z25766">
        <v>400000</v>
      </c>
    </row>
    <row r="25767" spans="26:26" x14ac:dyDescent="0.25">
      <c r="Z25767">
        <v>400000</v>
      </c>
    </row>
    <row r="25768" spans="26:26" x14ac:dyDescent="0.25">
      <c r="Z25768">
        <v>400000</v>
      </c>
    </row>
    <row r="25769" spans="26:26" x14ac:dyDescent="0.25">
      <c r="Z25769">
        <v>400000</v>
      </c>
    </row>
    <row r="25770" spans="26:26" x14ac:dyDescent="0.25">
      <c r="Z25770">
        <v>400000</v>
      </c>
    </row>
    <row r="25771" spans="26:26" x14ac:dyDescent="0.25">
      <c r="Z25771">
        <v>400000</v>
      </c>
    </row>
    <row r="25772" spans="26:26" x14ac:dyDescent="0.25">
      <c r="Z25772">
        <v>400000</v>
      </c>
    </row>
    <row r="25773" spans="26:26" x14ac:dyDescent="0.25">
      <c r="Z25773">
        <v>400000</v>
      </c>
    </row>
    <row r="25774" spans="26:26" x14ac:dyDescent="0.25">
      <c r="Z25774">
        <v>400000</v>
      </c>
    </row>
    <row r="25775" spans="26:26" x14ac:dyDescent="0.25">
      <c r="Z25775">
        <v>400000</v>
      </c>
    </row>
    <row r="25776" spans="26:26" x14ac:dyDescent="0.25">
      <c r="Z25776">
        <v>400000</v>
      </c>
    </row>
    <row r="25777" spans="26:26" x14ac:dyDescent="0.25">
      <c r="Z25777">
        <v>400000</v>
      </c>
    </row>
    <row r="25778" spans="26:26" x14ac:dyDescent="0.25">
      <c r="Z25778">
        <v>400000</v>
      </c>
    </row>
    <row r="25779" spans="26:26" x14ac:dyDescent="0.25">
      <c r="Z25779">
        <v>400000</v>
      </c>
    </row>
    <row r="25780" spans="26:26" x14ac:dyDescent="0.25">
      <c r="Z25780">
        <v>400000</v>
      </c>
    </row>
    <row r="25781" spans="26:26" x14ac:dyDescent="0.25">
      <c r="Z25781">
        <v>400000</v>
      </c>
    </row>
    <row r="25782" spans="26:26" x14ac:dyDescent="0.25">
      <c r="Z25782">
        <v>400000</v>
      </c>
    </row>
    <row r="25783" spans="26:26" x14ac:dyDescent="0.25">
      <c r="Z25783">
        <v>400000</v>
      </c>
    </row>
    <row r="25784" spans="26:26" x14ac:dyDescent="0.25">
      <c r="Z25784">
        <v>400000</v>
      </c>
    </row>
    <row r="25785" spans="26:26" x14ac:dyDescent="0.25">
      <c r="Z25785">
        <v>400000</v>
      </c>
    </row>
    <row r="25786" spans="26:26" x14ac:dyDescent="0.25">
      <c r="Z25786">
        <v>400000</v>
      </c>
    </row>
    <row r="25787" spans="26:26" x14ac:dyDescent="0.25">
      <c r="Z25787">
        <v>400000</v>
      </c>
    </row>
    <row r="25788" spans="26:26" x14ac:dyDescent="0.25">
      <c r="Z25788">
        <v>400000</v>
      </c>
    </row>
    <row r="25789" spans="26:26" x14ac:dyDescent="0.25">
      <c r="Z25789">
        <v>400000</v>
      </c>
    </row>
    <row r="25790" spans="26:26" x14ac:dyDescent="0.25">
      <c r="Z25790">
        <v>400000</v>
      </c>
    </row>
    <row r="25791" spans="26:26" x14ac:dyDescent="0.25">
      <c r="Z25791">
        <v>400000</v>
      </c>
    </row>
    <row r="25792" spans="26:26" x14ac:dyDescent="0.25">
      <c r="Z25792">
        <v>400000</v>
      </c>
    </row>
    <row r="25793" spans="26:26" x14ac:dyDescent="0.25">
      <c r="Z25793">
        <v>400000</v>
      </c>
    </row>
    <row r="25794" spans="26:26" x14ac:dyDescent="0.25">
      <c r="Z25794">
        <v>400000</v>
      </c>
    </row>
    <row r="25795" spans="26:26" x14ac:dyDescent="0.25">
      <c r="Z25795">
        <v>400000</v>
      </c>
    </row>
    <row r="25796" spans="26:26" x14ac:dyDescent="0.25">
      <c r="Z25796">
        <v>400000</v>
      </c>
    </row>
    <row r="25797" spans="26:26" x14ac:dyDescent="0.25">
      <c r="Z25797">
        <v>400000</v>
      </c>
    </row>
    <row r="25798" spans="26:26" x14ac:dyDescent="0.25">
      <c r="Z25798">
        <v>400000</v>
      </c>
    </row>
    <row r="25799" spans="26:26" x14ac:dyDescent="0.25">
      <c r="Z25799">
        <v>400000</v>
      </c>
    </row>
    <row r="25800" spans="26:26" x14ac:dyDescent="0.25">
      <c r="Z25800">
        <v>400000</v>
      </c>
    </row>
    <row r="25801" spans="26:26" x14ac:dyDescent="0.25">
      <c r="Z25801">
        <v>400000</v>
      </c>
    </row>
    <row r="25802" spans="26:26" x14ac:dyDescent="0.25">
      <c r="Z25802">
        <v>400000</v>
      </c>
    </row>
    <row r="25803" spans="26:26" x14ac:dyDescent="0.25">
      <c r="Z25803">
        <v>400000</v>
      </c>
    </row>
    <row r="25804" spans="26:26" x14ac:dyDescent="0.25">
      <c r="Z25804">
        <v>400000</v>
      </c>
    </row>
    <row r="25805" spans="26:26" x14ac:dyDescent="0.25">
      <c r="Z25805">
        <v>400000</v>
      </c>
    </row>
    <row r="25806" spans="26:26" x14ac:dyDescent="0.25">
      <c r="Z25806">
        <v>400000</v>
      </c>
    </row>
    <row r="25807" spans="26:26" x14ac:dyDescent="0.25">
      <c r="Z25807">
        <v>400000</v>
      </c>
    </row>
    <row r="25808" spans="26:26" x14ac:dyDescent="0.25">
      <c r="Z25808">
        <v>400000</v>
      </c>
    </row>
    <row r="25809" spans="26:26" x14ac:dyDescent="0.25">
      <c r="Z25809">
        <v>400000</v>
      </c>
    </row>
    <row r="25810" spans="26:26" x14ac:dyDescent="0.25">
      <c r="Z25810">
        <v>400000</v>
      </c>
    </row>
    <row r="25811" spans="26:26" x14ac:dyDescent="0.25">
      <c r="Z25811">
        <v>400000</v>
      </c>
    </row>
    <row r="25812" spans="26:26" x14ac:dyDescent="0.25">
      <c r="Z25812">
        <v>400000</v>
      </c>
    </row>
    <row r="25813" spans="26:26" x14ac:dyDescent="0.25">
      <c r="Z25813">
        <v>400000</v>
      </c>
    </row>
    <row r="25814" spans="26:26" x14ac:dyDescent="0.25">
      <c r="Z25814">
        <v>400000</v>
      </c>
    </row>
    <row r="25815" spans="26:26" x14ac:dyDescent="0.25">
      <c r="Z25815">
        <v>400000</v>
      </c>
    </row>
    <row r="25816" spans="26:26" x14ac:dyDescent="0.25">
      <c r="Z25816">
        <v>400000</v>
      </c>
    </row>
    <row r="25817" spans="26:26" x14ac:dyDescent="0.25">
      <c r="Z25817">
        <v>400000</v>
      </c>
    </row>
    <row r="25818" spans="26:26" x14ac:dyDescent="0.25">
      <c r="Z25818">
        <v>400000</v>
      </c>
    </row>
    <row r="25819" spans="26:26" x14ac:dyDescent="0.25">
      <c r="Z25819">
        <v>400000</v>
      </c>
    </row>
    <row r="25820" spans="26:26" x14ac:dyDescent="0.25">
      <c r="Z25820">
        <v>400000</v>
      </c>
    </row>
    <row r="25821" spans="26:26" x14ac:dyDescent="0.25">
      <c r="Z25821">
        <v>400000</v>
      </c>
    </row>
    <row r="25822" spans="26:26" x14ac:dyDescent="0.25">
      <c r="Z25822">
        <v>400000</v>
      </c>
    </row>
    <row r="25823" spans="26:26" x14ac:dyDescent="0.25">
      <c r="Z25823">
        <v>400000</v>
      </c>
    </row>
    <row r="25824" spans="26:26" x14ac:dyDescent="0.25">
      <c r="Z25824">
        <v>400000</v>
      </c>
    </row>
    <row r="25825" spans="26:26" x14ac:dyDescent="0.25">
      <c r="Z25825">
        <v>400000</v>
      </c>
    </row>
    <row r="25826" spans="26:26" x14ac:dyDescent="0.25">
      <c r="Z25826">
        <v>400000</v>
      </c>
    </row>
    <row r="25827" spans="26:26" x14ac:dyDescent="0.25">
      <c r="Z25827">
        <v>400000</v>
      </c>
    </row>
    <row r="25828" spans="26:26" x14ac:dyDescent="0.25">
      <c r="Z25828">
        <v>400000</v>
      </c>
    </row>
    <row r="25829" spans="26:26" x14ac:dyDescent="0.25">
      <c r="Z25829">
        <v>400000</v>
      </c>
    </row>
    <row r="25830" spans="26:26" x14ac:dyDescent="0.25">
      <c r="Z25830">
        <v>400000</v>
      </c>
    </row>
    <row r="25831" spans="26:26" x14ac:dyDescent="0.25">
      <c r="Z25831">
        <v>400000</v>
      </c>
    </row>
    <row r="25832" spans="26:26" x14ac:dyDescent="0.25">
      <c r="Z25832">
        <v>400000</v>
      </c>
    </row>
    <row r="25833" spans="26:26" x14ac:dyDescent="0.25">
      <c r="Z25833">
        <v>400000</v>
      </c>
    </row>
    <row r="25834" spans="26:26" x14ac:dyDescent="0.25">
      <c r="Z25834">
        <v>400000</v>
      </c>
    </row>
    <row r="25835" spans="26:26" x14ac:dyDescent="0.25">
      <c r="Z25835">
        <v>400000</v>
      </c>
    </row>
    <row r="25836" spans="26:26" x14ac:dyDescent="0.25">
      <c r="Z25836">
        <v>400000</v>
      </c>
    </row>
    <row r="25837" spans="26:26" x14ac:dyDescent="0.25">
      <c r="Z25837">
        <v>400000</v>
      </c>
    </row>
    <row r="25838" spans="26:26" x14ac:dyDescent="0.25">
      <c r="Z25838">
        <v>400000</v>
      </c>
    </row>
    <row r="25839" spans="26:26" x14ac:dyDescent="0.25">
      <c r="Z25839">
        <v>400000</v>
      </c>
    </row>
    <row r="25840" spans="26:26" x14ac:dyDescent="0.25">
      <c r="Z25840">
        <v>400000</v>
      </c>
    </row>
    <row r="25841" spans="26:26" x14ac:dyDescent="0.25">
      <c r="Z25841">
        <v>400000</v>
      </c>
    </row>
    <row r="25842" spans="26:26" x14ac:dyDescent="0.25">
      <c r="Z25842">
        <v>400000</v>
      </c>
    </row>
    <row r="25843" spans="26:26" x14ac:dyDescent="0.25">
      <c r="Z25843">
        <v>400000</v>
      </c>
    </row>
    <row r="25844" spans="26:26" x14ac:dyDescent="0.25">
      <c r="Z25844">
        <v>400000</v>
      </c>
    </row>
    <row r="25845" spans="26:26" x14ac:dyDescent="0.25">
      <c r="Z25845">
        <v>400000</v>
      </c>
    </row>
    <row r="25846" spans="26:26" x14ac:dyDescent="0.25">
      <c r="Z25846">
        <v>400000</v>
      </c>
    </row>
    <row r="25847" spans="26:26" x14ac:dyDescent="0.25">
      <c r="Z25847">
        <v>400000</v>
      </c>
    </row>
    <row r="25848" spans="26:26" x14ac:dyDescent="0.25">
      <c r="Z25848">
        <v>400000</v>
      </c>
    </row>
    <row r="25849" spans="26:26" x14ac:dyDescent="0.25">
      <c r="Z25849">
        <v>400000</v>
      </c>
    </row>
    <row r="25850" spans="26:26" x14ac:dyDescent="0.25">
      <c r="Z25850">
        <v>400000</v>
      </c>
    </row>
    <row r="25851" spans="26:26" x14ac:dyDescent="0.25">
      <c r="Z25851">
        <v>400000</v>
      </c>
    </row>
    <row r="25852" spans="26:26" x14ac:dyDescent="0.25">
      <c r="Z25852">
        <v>400000</v>
      </c>
    </row>
    <row r="25853" spans="26:26" x14ac:dyDescent="0.25">
      <c r="Z25853">
        <v>400000</v>
      </c>
    </row>
    <row r="25854" spans="26:26" x14ac:dyDescent="0.25">
      <c r="Z25854">
        <v>400000</v>
      </c>
    </row>
    <row r="25855" spans="26:26" x14ac:dyDescent="0.25">
      <c r="Z25855">
        <v>400000</v>
      </c>
    </row>
    <row r="25856" spans="26:26" x14ac:dyDescent="0.25">
      <c r="Z25856">
        <v>400000</v>
      </c>
    </row>
    <row r="25857" spans="26:26" x14ac:dyDescent="0.25">
      <c r="Z25857">
        <v>400000</v>
      </c>
    </row>
    <row r="25858" spans="26:26" x14ac:dyDescent="0.25">
      <c r="Z25858">
        <v>400000</v>
      </c>
    </row>
    <row r="25859" spans="26:26" x14ac:dyDescent="0.25">
      <c r="Z25859">
        <v>400000</v>
      </c>
    </row>
    <row r="25860" spans="26:26" x14ac:dyDescent="0.25">
      <c r="Z25860">
        <v>400000</v>
      </c>
    </row>
    <row r="25861" spans="26:26" x14ac:dyDescent="0.25">
      <c r="Z25861">
        <v>400000</v>
      </c>
    </row>
    <row r="25862" spans="26:26" x14ac:dyDescent="0.25">
      <c r="Z25862">
        <v>400000</v>
      </c>
    </row>
    <row r="25863" spans="26:26" x14ac:dyDescent="0.25">
      <c r="Z25863">
        <v>400000</v>
      </c>
    </row>
    <row r="25864" spans="26:26" x14ac:dyDescent="0.25">
      <c r="Z25864">
        <v>400000</v>
      </c>
    </row>
    <row r="25865" spans="26:26" x14ac:dyDescent="0.25">
      <c r="Z25865">
        <v>400000</v>
      </c>
    </row>
    <row r="25866" spans="26:26" x14ac:dyDescent="0.25">
      <c r="Z25866">
        <v>400000</v>
      </c>
    </row>
    <row r="25867" spans="26:26" x14ac:dyDescent="0.25">
      <c r="Z25867">
        <v>400000</v>
      </c>
    </row>
    <row r="25868" spans="26:26" x14ac:dyDescent="0.25">
      <c r="Z25868">
        <v>400000</v>
      </c>
    </row>
    <row r="25869" spans="26:26" x14ac:dyDescent="0.25">
      <c r="Z25869">
        <v>400000</v>
      </c>
    </row>
    <row r="25870" spans="26:26" x14ac:dyDescent="0.25">
      <c r="Z25870">
        <v>400000</v>
      </c>
    </row>
    <row r="25871" spans="26:26" x14ac:dyDescent="0.25">
      <c r="Z25871">
        <v>400000</v>
      </c>
    </row>
    <row r="25872" spans="26:26" x14ac:dyDescent="0.25">
      <c r="Z25872">
        <v>400000</v>
      </c>
    </row>
    <row r="25873" spans="26:26" x14ac:dyDescent="0.25">
      <c r="Z25873">
        <v>400000</v>
      </c>
    </row>
    <row r="25874" spans="26:26" x14ac:dyDescent="0.25">
      <c r="Z25874">
        <v>400000</v>
      </c>
    </row>
    <row r="25875" spans="26:26" x14ac:dyDescent="0.25">
      <c r="Z25875">
        <v>400000</v>
      </c>
    </row>
    <row r="25876" spans="26:26" x14ac:dyDescent="0.25">
      <c r="Z25876">
        <v>400000</v>
      </c>
    </row>
    <row r="25877" spans="26:26" x14ac:dyDescent="0.25">
      <c r="Z25877">
        <v>400000</v>
      </c>
    </row>
    <row r="25878" spans="26:26" x14ac:dyDescent="0.25">
      <c r="Z25878">
        <v>400000</v>
      </c>
    </row>
    <row r="25879" spans="26:26" x14ac:dyDescent="0.25">
      <c r="Z25879">
        <v>400000</v>
      </c>
    </row>
    <row r="25880" spans="26:26" x14ac:dyDescent="0.25">
      <c r="Z25880">
        <v>400000</v>
      </c>
    </row>
    <row r="25881" spans="26:26" x14ac:dyDescent="0.25">
      <c r="Z25881">
        <v>400000</v>
      </c>
    </row>
    <row r="25882" spans="26:26" x14ac:dyDescent="0.25">
      <c r="Z25882">
        <v>400000</v>
      </c>
    </row>
    <row r="25883" spans="26:26" x14ac:dyDescent="0.25">
      <c r="Z25883">
        <v>400000</v>
      </c>
    </row>
    <row r="25884" spans="26:26" x14ac:dyDescent="0.25">
      <c r="Z25884">
        <v>400000</v>
      </c>
    </row>
    <row r="25885" spans="26:26" x14ac:dyDescent="0.25">
      <c r="Z25885">
        <v>400000</v>
      </c>
    </row>
    <row r="25886" spans="26:26" x14ac:dyDescent="0.25">
      <c r="Z25886">
        <v>400000</v>
      </c>
    </row>
    <row r="25887" spans="26:26" x14ac:dyDescent="0.25">
      <c r="Z25887">
        <v>400000</v>
      </c>
    </row>
    <row r="25888" spans="26:26" x14ac:dyDescent="0.25">
      <c r="Z25888">
        <v>400000</v>
      </c>
    </row>
    <row r="25889" spans="26:26" x14ac:dyDescent="0.25">
      <c r="Z25889">
        <v>400000</v>
      </c>
    </row>
    <row r="25890" spans="26:26" x14ac:dyDescent="0.25">
      <c r="Z25890">
        <v>400000</v>
      </c>
    </row>
    <row r="25891" spans="26:26" x14ac:dyDescent="0.25">
      <c r="Z25891">
        <v>400000</v>
      </c>
    </row>
    <row r="25892" spans="26:26" x14ac:dyDescent="0.25">
      <c r="Z25892">
        <v>400000</v>
      </c>
    </row>
    <row r="25893" spans="26:26" x14ac:dyDescent="0.25">
      <c r="Z25893">
        <v>400000</v>
      </c>
    </row>
    <row r="25894" spans="26:26" x14ac:dyDescent="0.25">
      <c r="Z25894">
        <v>400000</v>
      </c>
    </row>
    <row r="25895" spans="26:26" x14ac:dyDescent="0.25">
      <c r="Z25895">
        <v>400000</v>
      </c>
    </row>
    <row r="25896" spans="26:26" x14ac:dyDescent="0.25">
      <c r="Z25896">
        <v>400000</v>
      </c>
    </row>
    <row r="25897" spans="26:26" x14ac:dyDescent="0.25">
      <c r="Z25897">
        <v>400000</v>
      </c>
    </row>
    <row r="25898" spans="26:26" x14ac:dyDescent="0.25">
      <c r="Z25898">
        <v>400000</v>
      </c>
    </row>
    <row r="25899" spans="26:26" x14ac:dyDescent="0.25">
      <c r="Z25899">
        <v>400000</v>
      </c>
    </row>
    <row r="25900" spans="26:26" x14ac:dyDescent="0.25">
      <c r="Z25900">
        <v>400000</v>
      </c>
    </row>
    <row r="25901" spans="26:26" x14ac:dyDescent="0.25">
      <c r="Z25901">
        <v>400000</v>
      </c>
    </row>
    <row r="25902" spans="26:26" x14ac:dyDescent="0.25">
      <c r="Z25902">
        <v>400000</v>
      </c>
    </row>
    <row r="25903" spans="26:26" x14ac:dyDescent="0.25">
      <c r="Z25903">
        <v>400000</v>
      </c>
    </row>
    <row r="25904" spans="26:26" x14ac:dyDescent="0.25">
      <c r="Z25904">
        <v>400000</v>
      </c>
    </row>
    <row r="25905" spans="26:26" x14ac:dyDescent="0.25">
      <c r="Z25905">
        <v>400000</v>
      </c>
    </row>
    <row r="25906" spans="26:26" x14ac:dyDescent="0.25">
      <c r="Z25906">
        <v>400000</v>
      </c>
    </row>
    <row r="25907" spans="26:26" x14ac:dyDescent="0.25">
      <c r="Z25907">
        <v>400000</v>
      </c>
    </row>
    <row r="25908" spans="26:26" x14ac:dyDescent="0.25">
      <c r="Z25908">
        <v>400000</v>
      </c>
    </row>
    <row r="25909" spans="26:26" x14ac:dyDescent="0.25">
      <c r="Z25909">
        <v>400000</v>
      </c>
    </row>
    <row r="25910" spans="26:26" x14ac:dyDescent="0.25">
      <c r="Z25910">
        <v>400000</v>
      </c>
    </row>
    <row r="25911" spans="26:26" x14ac:dyDescent="0.25">
      <c r="Z25911">
        <v>400000</v>
      </c>
    </row>
    <row r="25912" spans="26:26" x14ac:dyDescent="0.25">
      <c r="Z25912">
        <v>400000</v>
      </c>
    </row>
    <row r="25913" spans="26:26" x14ac:dyDescent="0.25">
      <c r="Z25913">
        <v>400000</v>
      </c>
    </row>
    <row r="25914" spans="26:26" x14ac:dyDescent="0.25">
      <c r="Z25914">
        <v>400000</v>
      </c>
    </row>
    <row r="25915" spans="26:26" x14ac:dyDescent="0.25">
      <c r="Z25915">
        <v>400000</v>
      </c>
    </row>
    <row r="25916" spans="26:26" x14ac:dyDescent="0.25">
      <c r="Z25916">
        <v>400000</v>
      </c>
    </row>
    <row r="25917" spans="26:26" x14ac:dyDescent="0.25">
      <c r="Z25917">
        <v>400000</v>
      </c>
    </row>
    <row r="25918" spans="26:26" x14ac:dyDescent="0.25">
      <c r="Z25918">
        <v>400000</v>
      </c>
    </row>
    <row r="25919" spans="26:26" x14ac:dyDescent="0.25">
      <c r="Z25919">
        <v>400000</v>
      </c>
    </row>
    <row r="25920" spans="26:26" x14ac:dyDescent="0.25">
      <c r="Z25920">
        <v>400000</v>
      </c>
    </row>
    <row r="25921" spans="26:26" x14ac:dyDescent="0.25">
      <c r="Z25921">
        <v>400000</v>
      </c>
    </row>
    <row r="25922" spans="26:26" x14ac:dyDescent="0.25">
      <c r="Z25922">
        <v>400000</v>
      </c>
    </row>
    <row r="25923" spans="26:26" x14ac:dyDescent="0.25">
      <c r="Z25923">
        <v>400000</v>
      </c>
    </row>
    <row r="25924" spans="26:26" x14ac:dyDescent="0.25">
      <c r="Z25924">
        <v>400000</v>
      </c>
    </row>
    <row r="25925" spans="26:26" x14ac:dyDescent="0.25">
      <c r="Z25925">
        <v>400000</v>
      </c>
    </row>
    <row r="25926" spans="26:26" x14ac:dyDescent="0.25">
      <c r="Z25926">
        <v>400000</v>
      </c>
    </row>
    <row r="25927" spans="26:26" x14ac:dyDescent="0.25">
      <c r="Z25927">
        <v>400000</v>
      </c>
    </row>
    <row r="25928" spans="26:26" x14ac:dyDescent="0.25">
      <c r="Z25928">
        <v>400000</v>
      </c>
    </row>
    <row r="25929" spans="26:26" x14ac:dyDescent="0.25">
      <c r="Z25929">
        <v>400000</v>
      </c>
    </row>
    <row r="25930" spans="26:26" x14ac:dyDescent="0.25">
      <c r="Z25930">
        <v>400000</v>
      </c>
    </row>
    <row r="25931" spans="26:26" x14ac:dyDescent="0.25">
      <c r="Z25931">
        <v>400000</v>
      </c>
    </row>
    <row r="25932" spans="26:26" x14ac:dyDescent="0.25">
      <c r="Z25932">
        <v>400000</v>
      </c>
    </row>
    <row r="25933" spans="26:26" x14ac:dyDescent="0.25">
      <c r="Z25933">
        <v>400000</v>
      </c>
    </row>
    <row r="25934" spans="26:26" x14ac:dyDescent="0.25">
      <c r="Z25934">
        <v>400000</v>
      </c>
    </row>
    <row r="25935" spans="26:26" x14ac:dyDescent="0.25">
      <c r="Z25935">
        <v>400000</v>
      </c>
    </row>
    <row r="25936" spans="26:26" x14ac:dyDescent="0.25">
      <c r="Z25936">
        <v>400000</v>
      </c>
    </row>
    <row r="25937" spans="26:26" x14ac:dyDescent="0.25">
      <c r="Z25937">
        <v>400000</v>
      </c>
    </row>
    <row r="25938" spans="26:26" x14ac:dyDescent="0.25">
      <c r="Z25938">
        <v>400000</v>
      </c>
    </row>
    <row r="25939" spans="26:26" x14ac:dyDescent="0.25">
      <c r="Z25939">
        <v>400000</v>
      </c>
    </row>
    <row r="25940" spans="26:26" x14ac:dyDescent="0.25">
      <c r="Z25940">
        <v>400000</v>
      </c>
    </row>
    <row r="25941" spans="26:26" x14ac:dyDescent="0.25">
      <c r="Z25941">
        <v>400000</v>
      </c>
    </row>
    <row r="25942" spans="26:26" x14ac:dyDescent="0.25">
      <c r="Z25942">
        <v>400000</v>
      </c>
    </row>
    <row r="25943" spans="26:26" x14ac:dyDescent="0.25">
      <c r="Z25943">
        <v>400000</v>
      </c>
    </row>
    <row r="25944" spans="26:26" x14ac:dyDescent="0.25">
      <c r="Z25944">
        <v>400000</v>
      </c>
    </row>
    <row r="25945" spans="26:26" x14ac:dyDescent="0.25">
      <c r="Z25945">
        <v>400000</v>
      </c>
    </row>
    <row r="25946" spans="26:26" x14ac:dyDescent="0.25">
      <c r="Z25946">
        <v>400000</v>
      </c>
    </row>
    <row r="25947" spans="26:26" x14ac:dyDescent="0.25">
      <c r="Z25947">
        <v>400000</v>
      </c>
    </row>
    <row r="25948" spans="26:26" x14ac:dyDescent="0.25">
      <c r="Z25948">
        <v>400000</v>
      </c>
    </row>
    <row r="25949" spans="26:26" x14ac:dyDescent="0.25">
      <c r="Z25949">
        <v>400000</v>
      </c>
    </row>
    <row r="25950" spans="26:26" x14ac:dyDescent="0.25">
      <c r="Z25950">
        <v>400000</v>
      </c>
    </row>
    <row r="25951" spans="26:26" x14ac:dyDescent="0.25">
      <c r="Z25951">
        <v>400000</v>
      </c>
    </row>
    <row r="25952" spans="26:26" x14ac:dyDescent="0.25">
      <c r="Z25952">
        <v>400000</v>
      </c>
    </row>
    <row r="25953" spans="26:26" x14ac:dyDescent="0.25">
      <c r="Z25953">
        <v>400000</v>
      </c>
    </row>
    <row r="25954" spans="26:26" x14ac:dyDescent="0.25">
      <c r="Z25954">
        <v>400000</v>
      </c>
    </row>
    <row r="25955" spans="26:26" x14ac:dyDescent="0.25">
      <c r="Z25955">
        <v>400000</v>
      </c>
    </row>
    <row r="25956" spans="26:26" x14ac:dyDescent="0.25">
      <c r="Z25956">
        <v>400000</v>
      </c>
    </row>
    <row r="25957" spans="26:26" x14ac:dyDescent="0.25">
      <c r="Z25957">
        <v>400000</v>
      </c>
    </row>
    <row r="25958" spans="26:26" x14ac:dyDescent="0.25">
      <c r="Z25958">
        <v>400000</v>
      </c>
    </row>
    <row r="25959" spans="26:26" x14ac:dyDescent="0.25">
      <c r="Z25959">
        <v>400000</v>
      </c>
    </row>
    <row r="25960" spans="26:26" x14ac:dyDescent="0.25">
      <c r="Z25960">
        <v>400000</v>
      </c>
    </row>
    <row r="25961" spans="26:26" x14ac:dyDescent="0.25">
      <c r="Z25961">
        <v>400000</v>
      </c>
    </row>
    <row r="25962" spans="26:26" x14ac:dyDescent="0.25">
      <c r="Z25962">
        <v>400000</v>
      </c>
    </row>
    <row r="25963" spans="26:26" x14ac:dyDescent="0.25">
      <c r="Z25963">
        <v>400000</v>
      </c>
    </row>
    <row r="25964" spans="26:26" x14ac:dyDescent="0.25">
      <c r="Z25964">
        <v>400000</v>
      </c>
    </row>
    <row r="25965" spans="26:26" x14ac:dyDescent="0.25">
      <c r="Z25965">
        <v>400000</v>
      </c>
    </row>
    <row r="25966" spans="26:26" x14ac:dyDescent="0.25">
      <c r="Z25966">
        <v>400000</v>
      </c>
    </row>
    <row r="25967" spans="26:26" x14ac:dyDescent="0.25">
      <c r="Z25967">
        <v>400000</v>
      </c>
    </row>
    <row r="25968" spans="26:26" x14ac:dyDescent="0.25">
      <c r="Z25968">
        <v>400000</v>
      </c>
    </row>
    <row r="25969" spans="26:26" x14ac:dyDescent="0.25">
      <c r="Z25969">
        <v>400000</v>
      </c>
    </row>
    <row r="25970" spans="26:26" x14ac:dyDescent="0.25">
      <c r="Z25970">
        <v>400000</v>
      </c>
    </row>
    <row r="25971" spans="26:26" x14ac:dyDescent="0.25">
      <c r="Z25971">
        <v>400000</v>
      </c>
    </row>
    <row r="25972" spans="26:26" x14ac:dyDescent="0.25">
      <c r="Z25972">
        <v>400000</v>
      </c>
    </row>
    <row r="25973" spans="26:26" x14ac:dyDescent="0.25">
      <c r="Z25973">
        <v>400000</v>
      </c>
    </row>
    <row r="25974" spans="26:26" x14ac:dyDescent="0.25">
      <c r="Z25974">
        <v>400000</v>
      </c>
    </row>
    <row r="25975" spans="26:26" x14ac:dyDescent="0.25">
      <c r="Z25975">
        <v>400000</v>
      </c>
    </row>
    <row r="25976" spans="26:26" x14ac:dyDescent="0.25">
      <c r="Z25976">
        <v>400000</v>
      </c>
    </row>
    <row r="25977" spans="26:26" x14ac:dyDescent="0.25">
      <c r="Z25977">
        <v>400000</v>
      </c>
    </row>
    <row r="25978" spans="26:26" x14ac:dyDescent="0.25">
      <c r="Z25978">
        <v>400000</v>
      </c>
    </row>
    <row r="25979" spans="26:26" x14ac:dyDescent="0.25">
      <c r="Z25979">
        <v>400000</v>
      </c>
    </row>
    <row r="25980" spans="26:26" x14ac:dyDescent="0.25">
      <c r="Z25980">
        <v>400000</v>
      </c>
    </row>
    <row r="25981" spans="26:26" x14ac:dyDescent="0.25">
      <c r="Z25981">
        <v>400000</v>
      </c>
    </row>
    <row r="25982" spans="26:26" x14ac:dyDescent="0.25">
      <c r="Z25982">
        <v>400000</v>
      </c>
    </row>
    <row r="25983" spans="26:26" x14ac:dyDescent="0.25">
      <c r="Z25983">
        <v>400000</v>
      </c>
    </row>
    <row r="25984" spans="26:26" x14ac:dyDescent="0.25">
      <c r="Z25984">
        <v>400000</v>
      </c>
    </row>
    <row r="25985" spans="26:26" x14ac:dyDescent="0.25">
      <c r="Z25985">
        <v>400000</v>
      </c>
    </row>
    <row r="25986" spans="26:26" x14ac:dyDescent="0.25">
      <c r="Z25986">
        <v>400000</v>
      </c>
    </row>
    <row r="25987" spans="26:26" x14ac:dyDescent="0.25">
      <c r="Z25987">
        <v>400000</v>
      </c>
    </row>
    <row r="25988" spans="26:26" x14ac:dyDescent="0.25">
      <c r="Z25988">
        <v>400000</v>
      </c>
    </row>
    <row r="25989" spans="26:26" x14ac:dyDescent="0.25">
      <c r="Z25989">
        <v>400000</v>
      </c>
    </row>
    <row r="25990" spans="26:26" x14ac:dyDescent="0.25">
      <c r="Z25990">
        <v>400000</v>
      </c>
    </row>
    <row r="25991" spans="26:26" x14ac:dyDescent="0.25">
      <c r="Z25991">
        <v>400000</v>
      </c>
    </row>
    <row r="25992" spans="26:26" x14ac:dyDescent="0.25">
      <c r="Z25992">
        <v>400000</v>
      </c>
    </row>
    <row r="25993" spans="26:26" x14ac:dyDescent="0.25">
      <c r="Z25993">
        <v>400000</v>
      </c>
    </row>
    <row r="25994" spans="26:26" x14ac:dyDescent="0.25">
      <c r="Z25994">
        <v>400000</v>
      </c>
    </row>
    <row r="25995" spans="26:26" x14ac:dyDescent="0.25">
      <c r="Z25995">
        <v>400000</v>
      </c>
    </row>
    <row r="25996" spans="26:26" x14ac:dyDescent="0.25">
      <c r="Z25996">
        <v>400000</v>
      </c>
    </row>
    <row r="25997" spans="26:26" x14ac:dyDescent="0.25">
      <c r="Z25997">
        <v>400000</v>
      </c>
    </row>
    <row r="25998" spans="26:26" x14ac:dyDescent="0.25">
      <c r="Z25998">
        <v>400000</v>
      </c>
    </row>
    <row r="25999" spans="26:26" x14ac:dyDescent="0.25">
      <c r="Z25999">
        <v>400000</v>
      </c>
    </row>
    <row r="26000" spans="26:26" x14ac:dyDescent="0.25">
      <c r="Z26000">
        <v>400000</v>
      </c>
    </row>
    <row r="26001" spans="26:26" x14ac:dyDescent="0.25">
      <c r="Z26001">
        <v>400000</v>
      </c>
    </row>
    <row r="26002" spans="26:26" x14ac:dyDescent="0.25">
      <c r="Z26002">
        <v>400000</v>
      </c>
    </row>
    <row r="26003" spans="26:26" x14ac:dyDescent="0.25">
      <c r="Z26003">
        <v>400000</v>
      </c>
    </row>
    <row r="26004" spans="26:26" x14ac:dyDescent="0.25">
      <c r="Z26004">
        <v>400000</v>
      </c>
    </row>
    <row r="26005" spans="26:26" x14ac:dyDescent="0.25">
      <c r="Z26005">
        <v>400000</v>
      </c>
    </row>
    <row r="26006" spans="26:26" x14ac:dyDescent="0.25">
      <c r="Z26006">
        <v>400000</v>
      </c>
    </row>
    <row r="26007" spans="26:26" x14ac:dyDescent="0.25">
      <c r="Z26007">
        <v>400000</v>
      </c>
    </row>
    <row r="26008" spans="26:26" x14ac:dyDescent="0.25">
      <c r="Z26008">
        <v>400000</v>
      </c>
    </row>
    <row r="26009" spans="26:26" x14ac:dyDescent="0.25">
      <c r="Z26009">
        <v>400000</v>
      </c>
    </row>
    <row r="26010" spans="26:26" x14ac:dyDescent="0.25">
      <c r="Z26010">
        <v>400000</v>
      </c>
    </row>
    <row r="26011" spans="26:26" x14ac:dyDescent="0.25">
      <c r="Z26011">
        <v>400000</v>
      </c>
    </row>
    <row r="26012" spans="26:26" x14ac:dyDescent="0.25">
      <c r="Z26012">
        <v>400000</v>
      </c>
    </row>
    <row r="26013" spans="26:26" x14ac:dyDescent="0.25">
      <c r="Z26013">
        <v>400000</v>
      </c>
    </row>
    <row r="26014" spans="26:26" x14ac:dyDescent="0.25">
      <c r="Z26014">
        <v>400000</v>
      </c>
    </row>
    <row r="26015" spans="26:26" x14ac:dyDescent="0.25">
      <c r="Z26015">
        <v>400000</v>
      </c>
    </row>
    <row r="26016" spans="26:26" x14ac:dyDescent="0.25">
      <c r="Z26016">
        <v>400000</v>
      </c>
    </row>
    <row r="26017" spans="26:26" x14ac:dyDescent="0.25">
      <c r="Z26017">
        <v>400000</v>
      </c>
    </row>
    <row r="26018" spans="26:26" x14ac:dyDescent="0.25">
      <c r="Z26018">
        <v>400000</v>
      </c>
    </row>
    <row r="26019" spans="26:26" x14ac:dyDescent="0.25">
      <c r="Z26019">
        <v>400000</v>
      </c>
    </row>
    <row r="26020" spans="26:26" x14ac:dyDescent="0.25">
      <c r="Z26020">
        <v>400000</v>
      </c>
    </row>
    <row r="26021" spans="26:26" x14ac:dyDescent="0.25">
      <c r="Z26021">
        <v>400000</v>
      </c>
    </row>
    <row r="26022" spans="26:26" x14ac:dyDescent="0.25">
      <c r="Z26022">
        <v>400000</v>
      </c>
    </row>
    <row r="26023" spans="26:26" x14ac:dyDescent="0.25">
      <c r="Z26023">
        <v>400000</v>
      </c>
    </row>
    <row r="26024" spans="26:26" x14ac:dyDescent="0.25">
      <c r="Z26024">
        <v>400000</v>
      </c>
    </row>
    <row r="26025" spans="26:26" x14ac:dyDescent="0.25">
      <c r="Z26025">
        <v>400000</v>
      </c>
    </row>
    <row r="26026" spans="26:26" x14ac:dyDescent="0.25">
      <c r="Z26026">
        <v>400000</v>
      </c>
    </row>
    <row r="26027" spans="26:26" x14ac:dyDescent="0.25">
      <c r="Z26027">
        <v>400000</v>
      </c>
    </row>
    <row r="26028" spans="26:26" x14ac:dyDescent="0.25">
      <c r="Z26028">
        <v>400000</v>
      </c>
    </row>
    <row r="26029" spans="26:26" x14ac:dyDescent="0.25">
      <c r="Z26029">
        <v>400000</v>
      </c>
    </row>
    <row r="26030" spans="26:26" x14ac:dyDescent="0.25">
      <c r="Z26030">
        <v>400000</v>
      </c>
    </row>
    <row r="26031" spans="26:26" x14ac:dyDescent="0.25">
      <c r="Z26031">
        <v>400000</v>
      </c>
    </row>
    <row r="26032" spans="26:26" x14ac:dyDescent="0.25">
      <c r="Z26032">
        <v>400000</v>
      </c>
    </row>
    <row r="26033" spans="26:26" x14ac:dyDescent="0.25">
      <c r="Z26033">
        <v>400000</v>
      </c>
    </row>
    <row r="26034" spans="26:26" x14ac:dyDescent="0.25">
      <c r="Z26034">
        <v>400000</v>
      </c>
    </row>
    <row r="26035" spans="26:26" x14ac:dyDescent="0.25">
      <c r="Z26035">
        <v>400000</v>
      </c>
    </row>
    <row r="26036" spans="26:26" x14ac:dyDescent="0.25">
      <c r="Z26036">
        <v>400000</v>
      </c>
    </row>
    <row r="26037" spans="26:26" x14ac:dyDescent="0.25">
      <c r="Z26037">
        <v>400000</v>
      </c>
    </row>
    <row r="26038" spans="26:26" x14ac:dyDescent="0.25">
      <c r="Z26038">
        <v>400000</v>
      </c>
    </row>
    <row r="26039" spans="26:26" x14ac:dyDescent="0.25">
      <c r="Z26039">
        <v>400000</v>
      </c>
    </row>
    <row r="26040" spans="26:26" x14ac:dyDescent="0.25">
      <c r="Z26040">
        <v>400000</v>
      </c>
    </row>
    <row r="26041" spans="26:26" x14ac:dyDescent="0.25">
      <c r="Z26041">
        <v>400000</v>
      </c>
    </row>
    <row r="26042" spans="26:26" x14ac:dyDescent="0.25">
      <c r="Z26042">
        <v>400000</v>
      </c>
    </row>
    <row r="26043" spans="26:26" x14ac:dyDescent="0.25">
      <c r="Z26043">
        <v>400000</v>
      </c>
    </row>
    <row r="26044" spans="26:26" x14ac:dyDescent="0.25">
      <c r="Z26044">
        <v>400000</v>
      </c>
    </row>
    <row r="26045" spans="26:26" x14ac:dyDescent="0.25">
      <c r="Z26045">
        <v>400000</v>
      </c>
    </row>
    <row r="26046" spans="26:26" x14ac:dyDescent="0.25">
      <c r="Z26046">
        <v>400000</v>
      </c>
    </row>
    <row r="26047" spans="26:26" x14ac:dyDescent="0.25">
      <c r="Z26047">
        <v>400000</v>
      </c>
    </row>
    <row r="26048" spans="26:26" x14ac:dyDescent="0.25">
      <c r="Z26048">
        <v>400000</v>
      </c>
    </row>
    <row r="26049" spans="26:26" x14ac:dyDescent="0.25">
      <c r="Z26049">
        <v>400000</v>
      </c>
    </row>
    <row r="26050" spans="26:26" x14ac:dyDescent="0.25">
      <c r="Z26050">
        <v>400000</v>
      </c>
    </row>
    <row r="26051" spans="26:26" x14ac:dyDescent="0.25">
      <c r="Z26051">
        <v>400000</v>
      </c>
    </row>
    <row r="26052" spans="26:26" x14ac:dyDescent="0.25">
      <c r="Z26052">
        <v>400000</v>
      </c>
    </row>
    <row r="26053" spans="26:26" x14ac:dyDescent="0.25">
      <c r="Z26053">
        <v>400000</v>
      </c>
    </row>
    <row r="26054" spans="26:26" x14ac:dyDescent="0.25">
      <c r="Z26054">
        <v>400000</v>
      </c>
    </row>
    <row r="26055" spans="26:26" x14ac:dyDescent="0.25">
      <c r="Z26055">
        <v>400000</v>
      </c>
    </row>
    <row r="26056" spans="26:26" x14ac:dyDescent="0.25">
      <c r="Z26056">
        <v>400000</v>
      </c>
    </row>
    <row r="26057" spans="26:26" x14ac:dyDescent="0.25">
      <c r="Z26057">
        <v>400000</v>
      </c>
    </row>
    <row r="26058" spans="26:26" x14ac:dyDescent="0.25">
      <c r="Z26058">
        <v>400000</v>
      </c>
    </row>
    <row r="26059" spans="26:26" x14ac:dyDescent="0.25">
      <c r="Z26059">
        <v>400000</v>
      </c>
    </row>
    <row r="26060" spans="26:26" x14ac:dyDescent="0.25">
      <c r="Z26060">
        <v>400000</v>
      </c>
    </row>
    <row r="26061" spans="26:26" x14ac:dyDescent="0.25">
      <c r="Z26061">
        <v>400000</v>
      </c>
    </row>
    <row r="26062" spans="26:26" x14ac:dyDescent="0.25">
      <c r="Z26062">
        <v>400000</v>
      </c>
    </row>
    <row r="26063" spans="26:26" x14ac:dyDescent="0.25">
      <c r="Z26063">
        <v>400000</v>
      </c>
    </row>
    <row r="26064" spans="26:26" x14ac:dyDescent="0.25">
      <c r="Z26064">
        <v>400000</v>
      </c>
    </row>
    <row r="26065" spans="26:26" x14ac:dyDescent="0.25">
      <c r="Z26065">
        <v>400000</v>
      </c>
    </row>
    <row r="26066" spans="26:26" x14ac:dyDescent="0.25">
      <c r="Z26066">
        <v>400000</v>
      </c>
    </row>
    <row r="26067" spans="26:26" x14ac:dyDescent="0.25">
      <c r="Z26067">
        <v>400000</v>
      </c>
    </row>
    <row r="26068" spans="26:26" x14ac:dyDescent="0.25">
      <c r="Z26068">
        <v>400000</v>
      </c>
    </row>
    <row r="26069" spans="26:26" x14ac:dyDescent="0.25">
      <c r="Z26069">
        <v>400000</v>
      </c>
    </row>
    <row r="26070" spans="26:26" x14ac:dyDescent="0.25">
      <c r="Z26070">
        <v>400000</v>
      </c>
    </row>
    <row r="26071" spans="26:26" x14ac:dyDescent="0.25">
      <c r="Z26071">
        <v>400000</v>
      </c>
    </row>
    <row r="26072" spans="26:26" x14ac:dyDescent="0.25">
      <c r="Z26072">
        <v>400000</v>
      </c>
    </row>
    <row r="26073" spans="26:26" x14ac:dyDescent="0.25">
      <c r="Z26073">
        <v>400000</v>
      </c>
    </row>
    <row r="26074" spans="26:26" x14ac:dyDescent="0.25">
      <c r="Z26074">
        <v>400000</v>
      </c>
    </row>
    <row r="26075" spans="26:26" x14ac:dyDescent="0.25">
      <c r="Z26075">
        <v>400000</v>
      </c>
    </row>
    <row r="26076" spans="26:26" x14ac:dyDescent="0.25">
      <c r="Z26076">
        <v>400000</v>
      </c>
    </row>
    <row r="26077" spans="26:26" x14ac:dyDescent="0.25">
      <c r="Z26077">
        <v>400000</v>
      </c>
    </row>
    <row r="26078" spans="26:26" x14ac:dyDescent="0.25">
      <c r="Z26078">
        <v>400000</v>
      </c>
    </row>
    <row r="26079" spans="26:26" x14ac:dyDescent="0.25">
      <c r="Z26079">
        <v>400000</v>
      </c>
    </row>
    <row r="26080" spans="26:26" x14ac:dyDescent="0.25">
      <c r="Z26080">
        <v>400000</v>
      </c>
    </row>
    <row r="26081" spans="26:26" x14ac:dyDescent="0.25">
      <c r="Z26081">
        <v>400000</v>
      </c>
    </row>
    <row r="26082" spans="26:26" x14ac:dyDescent="0.25">
      <c r="Z26082">
        <v>400000</v>
      </c>
    </row>
    <row r="26083" spans="26:26" x14ac:dyDescent="0.25">
      <c r="Z26083">
        <v>400000</v>
      </c>
    </row>
    <row r="26084" spans="26:26" x14ac:dyDescent="0.25">
      <c r="Z26084">
        <v>400000</v>
      </c>
    </row>
    <row r="26085" spans="26:26" x14ac:dyDescent="0.25">
      <c r="Z26085">
        <v>400000</v>
      </c>
    </row>
    <row r="26086" spans="26:26" x14ac:dyDescent="0.25">
      <c r="Z26086">
        <v>400000</v>
      </c>
    </row>
    <row r="26087" spans="26:26" x14ac:dyDescent="0.25">
      <c r="Z26087">
        <v>400000</v>
      </c>
    </row>
    <row r="26088" spans="26:26" x14ac:dyDescent="0.25">
      <c r="Z26088">
        <v>400000</v>
      </c>
    </row>
    <row r="26089" spans="26:26" x14ac:dyDescent="0.25">
      <c r="Z26089">
        <v>400000</v>
      </c>
    </row>
    <row r="26090" spans="26:26" x14ac:dyDescent="0.25">
      <c r="Z26090">
        <v>400000</v>
      </c>
    </row>
    <row r="26091" spans="26:26" x14ac:dyDescent="0.25">
      <c r="Z26091">
        <v>400000</v>
      </c>
    </row>
    <row r="26092" spans="26:26" x14ac:dyDescent="0.25">
      <c r="Z26092">
        <v>400000</v>
      </c>
    </row>
    <row r="26093" spans="26:26" x14ac:dyDescent="0.25">
      <c r="Z26093">
        <v>400000</v>
      </c>
    </row>
    <row r="26094" spans="26:26" x14ac:dyDescent="0.25">
      <c r="Z26094">
        <v>400000</v>
      </c>
    </row>
    <row r="26095" spans="26:26" x14ac:dyDescent="0.25">
      <c r="Z26095">
        <v>400000</v>
      </c>
    </row>
    <row r="26096" spans="26:26" x14ac:dyDescent="0.25">
      <c r="Z26096">
        <v>400000</v>
      </c>
    </row>
    <row r="26097" spans="26:26" x14ac:dyDescent="0.25">
      <c r="Z26097">
        <v>400000</v>
      </c>
    </row>
    <row r="26098" spans="26:26" x14ac:dyDescent="0.25">
      <c r="Z26098">
        <v>400000</v>
      </c>
    </row>
    <row r="26099" spans="26:26" x14ac:dyDescent="0.25">
      <c r="Z26099">
        <v>400000</v>
      </c>
    </row>
    <row r="26100" spans="26:26" x14ac:dyDescent="0.25">
      <c r="Z26100">
        <v>400000</v>
      </c>
    </row>
    <row r="26101" spans="26:26" x14ac:dyDescent="0.25">
      <c r="Z26101">
        <v>400000</v>
      </c>
    </row>
    <row r="26102" spans="26:26" x14ac:dyDescent="0.25">
      <c r="Z26102">
        <v>400000</v>
      </c>
    </row>
    <row r="26103" spans="26:26" x14ac:dyDescent="0.25">
      <c r="Z26103">
        <v>400000</v>
      </c>
    </row>
    <row r="26104" spans="26:26" x14ac:dyDescent="0.25">
      <c r="Z26104">
        <v>400000</v>
      </c>
    </row>
    <row r="26105" spans="26:26" x14ac:dyDescent="0.25">
      <c r="Z26105">
        <v>400000</v>
      </c>
    </row>
    <row r="26106" spans="26:26" x14ac:dyDescent="0.25">
      <c r="Z26106">
        <v>400000</v>
      </c>
    </row>
    <row r="26107" spans="26:26" x14ac:dyDescent="0.25">
      <c r="Z26107">
        <v>400000</v>
      </c>
    </row>
    <row r="26108" spans="26:26" x14ac:dyDescent="0.25">
      <c r="Z26108">
        <v>400000</v>
      </c>
    </row>
    <row r="26109" spans="26:26" x14ac:dyDescent="0.25">
      <c r="Z26109">
        <v>400000</v>
      </c>
    </row>
    <row r="26110" spans="26:26" x14ac:dyDescent="0.25">
      <c r="Z26110">
        <v>400000</v>
      </c>
    </row>
    <row r="26111" spans="26:26" x14ac:dyDescent="0.25">
      <c r="Z26111">
        <v>400000</v>
      </c>
    </row>
    <row r="26112" spans="26:26" x14ac:dyDescent="0.25">
      <c r="Z26112">
        <v>400000</v>
      </c>
    </row>
    <row r="26113" spans="26:26" x14ac:dyDescent="0.25">
      <c r="Z26113">
        <v>400000</v>
      </c>
    </row>
    <row r="26114" spans="26:26" x14ac:dyDescent="0.25">
      <c r="Z26114">
        <v>400000</v>
      </c>
    </row>
    <row r="26115" spans="26:26" x14ac:dyDescent="0.25">
      <c r="Z26115">
        <v>400000</v>
      </c>
    </row>
    <row r="26116" spans="26:26" x14ac:dyDescent="0.25">
      <c r="Z26116">
        <v>400000</v>
      </c>
    </row>
    <row r="26117" spans="26:26" x14ac:dyDescent="0.25">
      <c r="Z26117">
        <v>400000</v>
      </c>
    </row>
    <row r="26118" spans="26:26" x14ac:dyDescent="0.25">
      <c r="Z26118">
        <v>400000</v>
      </c>
    </row>
    <row r="26119" spans="26:26" x14ac:dyDescent="0.25">
      <c r="Z26119">
        <v>400000</v>
      </c>
    </row>
    <row r="26120" spans="26:26" x14ac:dyDescent="0.25">
      <c r="Z26120">
        <v>400000</v>
      </c>
    </row>
    <row r="26121" spans="26:26" x14ac:dyDescent="0.25">
      <c r="Z26121">
        <v>400000</v>
      </c>
    </row>
    <row r="26122" spans="26:26" x14ac:dyDescent="0.25">
      <c r="Z26122">
        <v>400000</v>
      </c>
    </row>
    <row r="26123" spans="26:26" x14ac:dyDescent="0.25">
      <c r="Z26123">
        <v>400000</v>
      </c>
    </row>
    <row r="26124" spans="26:26" x14ac:dyDescent="0.25">
      <c r="Z26124">
        <v>400000</v>
      </c>
    </row>
    <row r="26125" spans="26:26" x14ac:dyDescent="0.25">
      <c r="Z26125">
        <v>400000</v>
      </c>
    </row>
    <row r="26126" spans="26:26" x14ac:dyDescent="0.25">
      <c r="Z26126">
        <v>400000</v>
      </c>
    </row>
    <row r="26127" spans="26:26" x14ac:dyDescent="0.25">
      <c r="Z26127">
        <v>400000</v>
      </c>
    </row>
    <row r="26128" spans="26:26" x14ac:dyDescent="0.25">
      <c r="Z26128">
        <v>400000</v>
      </c>
    </row>
    <row r="26129" spans="26:26" x14ac:dyDescent="0.25">
      <c r="Z26129">
        <v>400000</v>
      </c>
    </row>
    <row r="26130" spans="26:26" x14ac:dyDescent="0.25">
      <c r="Z26130">
        <v>400000</v>
      </c>
    </row>
    <row r="26131" spans="26:26" x14ac:dyDescent="0.25">
      <c r="Z26131">
        <v>400000</v>
      </c>
    </row>
    <row r="26132" spans="26:26" x14ac:dyDescent="0.25">
      <c r="Z26132">
        <v>400000</v>
      </c>
    </row>
    <row r="26133" spans="26:26" x14ac:dyDescent="0.25">
      <c r="Z26133">
        <v>400000</v>
      </c>
    </row>
    <row r="26134" spans="26:26" x14ac:dyDescent="0.25">
      <c r="Z26134">
        <v>400000</v>
      </c>
    </row>
    <row r="26135" spans="26:26" x14ac:dyDescent="0.25">
      <c r="Z26135">
        <v>400000</v>
      </c>
    </row>
    <row r="26136" spans="26:26" x14ac:dyDescent="0.25">
      <c r="Z26136">
        <v>400000</v>
      </c>
    </row>
    <row r="26137" spans="26:26" x14ac:dyDescent="0.25">
      <c r="Z26137">
        <v>400000</v>
      </c>
    </row>
    <row r="26138" spans="26:26" x14ac:dyDescent="0.25">
      <c r="Z26138">
        <v>400000</v>
      </c>
    </row>
    <row r="26139" spans="26:26" x14ac:dyDescent="0.25">
      <c r="Z26139">
        <v>400000</v>
      </c>
    </row>
    <row r="26140" spans="26:26" x14ac:dyDescent="0.25">
      <c r="Z26140">
        <v>400000</v>
      </c>
    </row>
    <row r="26141" spans="26:26" x14ac:dyDescent="0.25">
      <c r="Z26141">
        <v>400000</v>
      </c>
    </row>
    <row r="26142" spans="26:26" x14ac:dyDescent="0.25">
      <c r="Z26142">
        <v>400000</v>
      </c>
    </row>
    <row r="26143" spans="26:26" x14ac:dyDescent="0.25">
      <c r="Z26143">
        <v>400000</v>
      </c>
    </row>
    <row r="26144" spans="26:26" x14ac:dyDescent="0.25">
      <c r="Z26144">
        <v>400000</v>
      </c>
    </row>
    <row r="26145" spans="26:26" x14ac:dyDescent="0.25">
      <c r="Z26145">
        <v>400000</v>
      </c>
    </row>
    <row r="26146" spans="26:26" x14ac:dyDescent="0.25">
      <c r="Z26146">
        <v>400000</v>
      </c>
    </row>
    <row r="26147" spans="26:26" x14ac:dyDescent="0.25">
      <c r="Z26147">
        <v>400000</v>
      </c>
    </row>
    <row r="26148" spans="26:26" x14ac:dyDescent="0.25">
      <c r="Z26148">
        <v>400000</v>
      </c>
    </row>
    <row r="26149" spans="26:26" x14ac:dyDescent="0.25">
      <c r="Z26149">
        <v>400000</v>
      </c>
    </row>
    <row r="26150" spans="26:26" x14ac:dyDescent="0.25">
      <c r="Z26150">
        <v>400000</v>
      </c>
    </row>
    <row r="26151" spans="26:26" x14ac:dyDescent="0.25">
      <c r="Z26151">
        <v>400000</v>
      </c>
    </row>
    <row r="26152" spans="26:26" x14ac:dyDescent="0.25">
      <c r="Z26152">
        <v>400000</v>
      </c>
    </row>
    <row r="26153" spans="26:26" x14ac:dyDescent="0.25">
      <c r="Z26153">
        <v>400000</v>
      </c>
    </row>
    <row r="26154" spans="26:26" x14ac:dyDescent="0.25">
      <c r="Z26154">
        <v>400000</v>
      </c>
    </row>
    <row r="26155" spans="26:26" x14ac:dyDescent="0.25">
      <c r="Z26155">
        <v>400000</v>
      </c>
    </row>
    <row r="26156" spans="26:26" x14ac:dyDescent="0.25">
      <c r="Z26156">
        <v>400000</v>
      </c>
    </row>
    <row r="26157" spans="26:26" x14ac:dyDescent="0.25">
      <c r="Z26157">
        <v>400000</v>
      </c>
    </row>
    <row r="26158" spans="26:26" x14ac:dyDescent="0.25">
      <c r="Z26158">
        <v>400000</v>
      </c>
    </row>
    <row r="26159" spans="26:26" x14ac:dyDescent="0.25">
      <c r="Z26159">
        <v>400000</v>
      </c>
    </row>
    <row r="26160" spans="26:26" x14ac:dyDescent="0.25">
      <c r="Z26160">
        <v>400000</v>
      </c>
    </row>
    <row r="26161" spans="26:26" x14ac:dyDescent="0.25">
      <c r="Z26161">
        <v>400000</v>
      </c>
    </row>
    <row r="26162" spans="26:26" x14ac:dyDescent="0.25">
      <c r="Z26162">
        <v>400000</v>
      </c>
    </row>
    <row r="26163" spans="26:26" x14ac:dyDescent="0.25">
      <c r="Z26163">
        <v>400000</v>
      </c>
    </row>
    <row r="26164" spans="26:26" x14ac:dyDescent="0.25">
      <c r="Z26164">
        <v>400000</v>
      </c>
    </row>
    <row r="26165" spans="26:26" x14ac:dyDescent="0.25">
      <c r="Z26165">
        <v>400000</v>
      </c>
    </row>
    <row r="26166" spans="26:26" x14ac:dyDescent="0.25">
      <c r="Z26166">
        <v>400000</v>
      </c>
    </row>
    <row r="26167" spans="26:26" x14ac:dyDescent="0.25">
      <c r="Z26167">
        <v>400000</v>
      </c>
    </row>
    <row r="26168" spans="26:26" x14ac:dyDescent="0.25">
      <c r="Z26168">
        <v>400000</v>
      </c>
    </row>
    <row r="26169" spans="26:26" x14ac:dyDescent="0.25">
      <c r="Z26169">
        <v>400000</v>
      </c>
    </row>
    <row r="26170" spans="26:26" x14ac:dyDescent="0.25">
      <c r="Z26170">
        <v>400000</v>
      </c>
    </row>
    <row r="26171" spans="26:26" x14ac:dyDescent="0.25">
      <c r="Z26171">
        <v>400000</v>
      </c>
    </row>
    <row r="26172" spans="26:26" x14ac:dyDescent="0.25">
      <c r="Z26172">
        <v>400000</v>
      </c>
    </row>
    <row r="26173" spans="26:26" x14ac:dyDescent="0.25">
      <c r="Z26173">
        <v>400000</v>
      </c>
    </row>
    <row r="26174" spans="26:26" x14ac:dyDescent="0.25">
      <c r="Z26174">
        <v>400000</v>
      </c>
    </row>
    <row r="26175" spans="26:26" x14ac:dyDescent="0.25">
      <c r="Z26175">
        <v>400000</v>
      </c>
    </row>
    <row r="26176" spans="26:26" x14ac:dyDescent="0.25">
      <c r="Z26176">
        <v>400000</v>
      </c>
    </row>
    <row r="26177" spans="26:26" x14ac:dyDescent="0.25">
      <c r="Z26177">
        <v>400000</v>
      </c>
    </row>
    <row r="26178" spans="26:26" x14ac:dyDescent="0.25">
      <c r="Z26178">
        <v>400000</v>
      </c>
    </row>
    <row r="26179" spans="26:26" x14ac:dyDescent="0.25">
      <c r="Z26179">
        <v>400000</v>
      </c>
    </row>
    <row r="26180" spans="26:26" x14ac:dyDescent="0.25">
      <c r="Z26180">
        <v>400000</v>
      </c>
    </row>
    <row r="26181" spans="26:26" x14ac:dyDescent="0.25">
      <c r="Z26181">
        <v>400000</v>
      </c>
    </row>
    <row r="26182" spans="26:26" x14ac:dyDescent="0.25">
      <c r="Z26182">
        <v>400000</v>
      </c>
    </row>
    <row r="26183" spans="26:26" x14ac:dyDescent="0.25">
      <c r="Z26183">
        <v>400000</v>
      </c>
    </row>
    <row r="26184" spans="26:26" x14ac:dyDescent="0.25">
      <c r="Z26184">
        <v>400000</v>
      </c>
    </row>
    <row r="26185" spans="26:26" x14ac:dyDescent="0.25">
      <c r="Z26185">
        <v>400000</v>
      </c>
    </row>
    <row r="26186" spans="26:26" x14ac:dyDescent="0.25">
      <c r="Z26186">
        <v>400000</v>
      </c>
    </row>
    <row r="26187" spans="26:26" x14ac:dyDescent="0.25">
      <c r="Z26187">
        <v>400000</v>
      </c>
    </row>
    <row r="26188" spans="26:26" x14ac:dyDescent="0.25">
      <c r="Z26188">
        <v>400000</v>
      </c>
    </row>
    <row r="26189" spans="26:26" x14ac:dyDescent="0.25">
      <c r="Z26189">
        <v>400000</v>
      </c>
    </row>
    <row r="26190" spans="26:26" x14ac:dyDescent="0.25">
      <c r="Z26190">
        <v>400000</v>
      </c>
    </row>
    <row r="26191" spans="26:26" x14ac:dyDescent="0.25">
      <c r="Z26191">
        <v>400000</v>
      </c>
    </row>
    <row r="26192" spans="26:26" x14ac:dyDescent="0.25">
      <c r="Z26192">
        <v>400000</v>
      </c>
    </row>
    <row r="26193" spans="26:26" x14ac:dyDescent="0.25">
      <c r="Z26193">
        <v>400000</v>
      </c>
    </row>
    <row r="26194" spans="26:26" x14ac:dyDescent="0.25">
      <c r="Z26194">
        <v>400000</v>
      </c>
    </row>
    <row r="26195" spans="26:26" x14ac:dyDescent="0.25">
      <c r="Z26195">
        <v>400000</v>
      </c>
    </row>
    <row r="26196" spans="26:26" x14ac:dyDescent="0.25">
      <c r="Z26196">
        <v>400000</v>
      </c>
    </row>
    <row r="26197" spans="26:26" x14ac:dyDescent="0.25">
      <c r="Z26197">
        <v>400000</v>
      </c>
    </row>
    <row r="26198" spans="26:26" x14ac:dyDescent="0.25">
      <c r="Z26198">
        <v>400000</v>
      </c>
    </row>
    <row r="26199" spans="26:26" x14ac:dyDescent="0.25">
      <c r="Z26199">
        <v>400000</v>
      </c>
    </row>
    <row r="26200" spans="26:26" x14ac:dyDescent="0.25">
      <c r="Z26200">
        <v>400000</v>
      </c>
    </row>
    <row r="26201" spans="26:26" x14ac:dyDescent="0.25">
      <c r="Z26201">
        <v>400000</v>
      </c>
    </row>
    <row r="26202" spans="26:26" x14ac:dyDescent="0.25">
      <c r="Z26202">
        <v>400000</v>
      </c>
    </row>
    <row r="26203" spans="26:26" x14ac:dyDescent="0.25">
      <c r="Z26203">
        <v>400000</v>
      </c>
    </row>
    <row r="26204" spans="26:26" x14ac:dyDescent="0.25">
      <c r="Z26204">
        <v>400000</v>
      </c>
    </row>
    <row r="26205" spans="26:26" x14ac:dyDescent="0.25">
      <c r="Z26205">
        <v>400000</v>
      </c>
    </row>
    <row r="26206" spans="26:26" x14ac:dyDescent="0.25">
      <c r="Z26206">
        <v>400000</v>
      </c>
    </row>
    <row r="26207" spans="26:26" x14ac:dyDescent="0.25">
      <c r="Z26207">
        <v>400000</v>
      </c>
    </row>
    <row r="26208" spans="26:26" x14ac:dyDescent="0.25">
      <c r="Z26208">
        <v>400000</v>
      </c>
    </row>
    <row r="26209" spans="26:26" x14ac:dyDescent="0.25">
      <c r="Z26209">
        <v>400000</v>
      </c>
    </row>
    <row r="26210" spans="26:26" x14ac:dyDescent="0.25">
      <c r="Z26210">
        <v>400000</v>
      </c>
    </row>
    <row r="26211" spans="26:26" x14ac:dyDescent="0.25">
      <c r="Z26211">
        <v>400000</v>
      </c>
    </row>
    <row r="26212" spans="26:26" x14ac:dyDescent="0.25">
      <c r="Z26212">
        <v>400000</v>
      </c>
    </row>
    <row r="26213" spans="26:26" x14ac:dyDescent="0.25">
      <c r="Z26213">
        <v>400000</v>
      </c>
    </row>
    <row r="26214" spans="26:26" x14ac:dyDescent="0.25">
      <c r="Z26214">
        <v>400000</v>
      </c>
    </row>
    <row r="26215" spans="26:26" x14ac:dyDescent="0.25">
      <c r="Z26215">
        <v>400000</v>
      </c>
    </row>
    <row r="26216" spans="26:26" x14ac:dyDescent="0.25">
      <c r="Z26216">
        <v>400000</v>
      </c>
    </row>
    <row r="26217" spans="26:26" x14ac:dyDescent="0.25">
      <c r="Z26217">
        <v>400000</v>
      </c>
    </row>
    <row r="26218" spans="26:26" x14ac:dyDescent="0.25">
      <c r="Z26218">
        <v>400000</v>
      </c>
    </row>
    <row r="26219" spans="26:26" x14ac:dyDescent="0.25">
      <c r="Z26219">
        <v>400000</v>
      </c>
    </row>
    <row r="26220" spans="26:26" x14ac:dyDescent="0.25">
      <c r="Z26220">
        <v>400000</v>
      </c>
    </row>
    <row r="26221" spans="26:26" x14ac:dyDescent="0.25">
      <c r="Z26221">
        <v>400000</v>
      </c>
    </row>
    <row r="26222" spans="26:26" x14ac:dyDescent="0.25">
      <c r="Z26222">
        <v>400000</v>
      </c>
    </row>
    <row r="26223" spans="26:26" x14ac:dyDescent="0.25">
      <c r="Z26223">
        <v>400000</v>
      </c>
    </row>
    <row r="26224" spans="26:26" x14ac:dyDescent="0.25">
      <c r="Z26224">
        <v>400000</v>
      </c>
    </row>
    <row r="26225" spans="26:26" x14ac:dyDescent="0.25">
      <c r="Z26225">
        <v>400000</v>
      </c>
    </row>
    <row r="26226" spans="26:26" x14ac:dyDescent="0.25">
      <c r="Z26226">
        <v>400000</v>
      </c>
    </row>
    <row r="26227" spans="26:26" x14ac:dyDescent="0.25">
      <c r="Z26227">
        <v>400000</v>
      </c>
    </row>
    <row r="26228" spans="26:26" x14ac:dyDescent="0.25">
      <c r="Z26228">
        <v>400000</v>
      </c>
    </row>
    <row r="26229" spans="26:26" x14ac:dyDescent="0.25">
      <c r="Z26229">
        <v>400000</v>
      </c>
    </row>
    <row r="26230" spans="26:26" x14ac:dyDescent="0.25">
      <c r="Z26230">
        <v>400000</v>
      </c>
    </row>
    <row r="26231" spans="26:26" x14ac:dyDescent="0.25">
      <c r="Z26231">
        <v>400000</v>
      </c>
    </row>
    <row r="26232" spans="26:26" x14ac:dyDescent="0.25">
      <c r="Z26232">
        <v>400000</v>
      </c>
    </row>
    <row r="26233" spans="26:26" x14ac:dyDescent="0.25">
      <c r="Z26233">
        <v>400000</v>
      </c>
    </row>
    <row r="26234" spans="26:26" x14ac:dyDescent="0.25">
      <c r="Z26234">
        <v>400000</v>
      </c>
    </row>
    <row r="26235" spans="26:26" x14ac:dyDescent="0.25">
      <c r="Z26235">
        <v>400000</v>
      </c>
    </row>
    <row r="26236" spans="26:26" x14ac:dyDescent="0.25">
      <c r="Z26236">
        <v>400000</v>
      </c>
    </row>
    <row r="26237" spans="26:26" x14ac:dyDescent="0.25">
      <c r="Z26237">
        <v>400000</v>
      </c>
    </row>
    <row r="26238" spans="26:26" x14ac:dyDescent="0.25">
      <c r="Z26238">
        <v>400000</v>
      </c>
    </row>
    <row r="26239" spans="26:26" x14ac:dyDescent="0.25">
      <c r="Z26239">
        <v>400000</v>
      </c>
    </row>
    <row r="26240" spans="26:26" x14ac:dyDescent="0.25">
      <c r="Z26240">
        <v>400000</v>
      </c>
    </row>
    <row r="26241" spans="26:26" x14ac:dyDescent="0.25">
      <c r="Z26241">
        <v>400000</v>
      </c>
    </row>
    <row r="26242" spans="26:26" x14ac:dyDescent="0.25">
      <c r="Z26242">
        <v>400000</v>
      </c>
    </row>
    <row r="26243" spans="26:26" x14ac:dyDescent="0.25">
      <c r="Z26243">
        <v>400000</v>
      </c>
    </row>
    <row r="26244" spans="26:26" x14ac:dyDescent="0.25">
      <c r="Z26244">
        <v>400000</v>
      </c>
    </row>
    <row r="26245" spans="26:26" x14ac:dyDescent="0.25">
      <c r="Z26245">
        <v>400000</v>
      </c>
    </row>
    <row r="26246" spans="26:26" x14ac:dyDescent="0.25">
      <c r="Z26246">
        <v>400000</v>
      </c>
    </row>
    <row r="26247" spans="26:26" x14ac:dyDescent="0.25">
      <c r="Z26247">
        <v>400000</v>
      </c>
    </row>
    <row r="26248" spans="26:26" x14ac:dyDescent="0.25">
      <c r="Z26248">
        <v>400000</v>
      </c>
    </row>
    <row r="26249" spans="26:26" x14ac:dyDescent="0.25">
      <c r="Z26249">
        <v>400000</v>
      </c>
    </row>
    <row r="26250" spans="26:26" x14ac:dyDescent="0.25">
      <c r="Z26250">
        <v>400000</v>
      </c>
    </row>
    <row r="26251" spans="26:26" x14ac:dyDescent="0.25">
      <c r="Z26251">
        <v>400000</v>
      </c>
    </row>
    <row r="26252" spans="26:26" x14ac:dyDescent="0.25">
      <c r="Z26252">
        <v>400000</v>
      </c>
    </row>
    <row r="26253" spans="26:26" x14ac:dyDescent="0.25">
      <c r="Z26253">
        <v>400000</v>
      </c>
    </row>
    <row r="26254" spans="26:26" x14ac:dyDescent="0.25">
      <c r="Z26254">
        <v>400000</v>
      </c>
    </row>
    <row r="26255" spans="26:26" x14ac:dyDescent="0.25">
      <c r="Z26255">
        <v>400000</v>
      </c>
    </row>
    <row r="26256" spans="26:26" x14ac:dyDescent="0.25">
      <c r="Z26256">
        <v>400000</v>
      </c>
    </row>
    <row r="26257" spans="26:26" x14ac:dyDescent="0.25">
      <c r="Z26257">
        <v>400000</v>
      </c>
    </row>
    <row r="26258" spans="26:26" x14ac:dyDescent="0.25">
      <c r="Z26258">
        <v>400000</v>
      </c>
    </row>
    <row r="26259" spans="26:26" x14ac:dyDescent="0.25">
      <c r="Z26259">
        <v>400000</v>
      </c>
    </row>
    <row r="26260" spans="26:26" x14ac:dyDescent="0.25">
      <c r="Z26260">
        <v>400000</v>
      </c>
    </row>
    <row r="26261" spans="26:26" x14ac:dyDescent="0.25">
      <c r="Z26261">
        <v>400000</v>
      </c>
    </row>
    <row r="26262" spans="26:26" x14ac:dyDescent="0.25">
      <c r="Z26262">
        <v>400000</v>
      </c>
    </row>
    <row r="26263" spans="26:26" x14ac:dyDescent="0.25">
      <c r="Z26263">
        <v>400000</v>
      </c>
    </row>
    <row r="26264" spans="26:26" x14ac:dyDescent="0.25">
      <c r="Z26264">
        <v>400000</v>
      </c>
    </row>
    <row r="26265" spans="26:26" x14ac:dyDescent="0.25">
      <c r="Z26265">
        <v>400000</v>
      </c>
    </row>
    <row r="26266" spans="26:26" x14ac:dyDescent="0.25">
      <c r="Z26266">
        <v>400000</v>
      </c>
    </row>
    <row r="26267" spans="26:26" x14ac:dyDescent="0.25">
      <c r="Z26267">
        <v>400000</v>
      </c>
    </row>
    <row r="26268" spans="26:26" x14ac:dyDescent="0.25">
      <c r="Z26268">
        <v>400000</v>
      </c>
    </row>
    <row r="26269" spans="26:26" x14ac:dyDescent="0.25">
      <c r="Z26269">
        <v>400000</v>
      </c>
    </row>
    <row r="26270" spans="26:26" x14ac:dyDescent="0.25">
      <c r="Z26270">
        <v>400000</v>
      </c>
    </row>
    <row r="26271" spans="26:26" x14ac:dyDescent="0.25">
      <c r="Z26271">
        <v>400000</v>
      </c>
    </row>
    <row r="26272" spans="26:26" x14ac:dyDescent="0.25">
      <c r="Z26272">
        <v>400000</v>
      </c>
    </row>
    <row r="26273" spans="26:26" x14ac:dyDescent="0.25">
      <c r="Z26273">
        <v>400000</v>
      </c>
    </row>
    <row r="26274" spans="26:26" x14ac:dyDescent="0.25">
      <c r="Z26274">
        <v>400000</v>
      </c>
    </row>
    <row r="26275" spans="26:26" x14ac:dyDescent="0.25">
      <c r="Z26275">
        <v>400000</v>
      </c>
    </row>
    <row r="26276" spans="26:26" x14ac:dyDescent="0.25">
      <c r="Z26276">
        <v>400000</v>
      </c>
    </row>
    <row r="26277" spans="26:26" x14ac:dyDescent="0.25">
      <c r="Z26277">
        <v>400000</v>
      </c>
    </row>
    <row r="26278" spans="26:26" x14ac:dyDescent="0.25">
      <c r="Z26278">
        <v>400000</v>
      </c>
    </row>
    <row r="26279" spans="26:26" x14ac:dyDescent="0.25">
      <c r="Z26279">
        <v>400000</v>
      </c>
    </row>
    <row r="26280" spans="26:26" x14ac:dyDescent="0.25">
      <c r="Z26280">
        <v>400000</v>
      </c>
    </row>
    <row r="26281" spans="26:26" x14ac:dyDescent="0.25">
      <c r="Z26281">
        <v>400000</v>
      </c>
    </row>
    <row r="26282" spans="26:26" x14ac:dyDescent="0.25">
      <c r="Z26282">
        <v>400000</v>
      </c>
    </row>
    <row r="26283" spans="26:26" x14ac:dyDescent="0.25">
      <c r="Z26283">
        <v>400000</v>
      </c>
    </row>
    <row r="26284" spans="26:26" x14ac:dyDescent="0.25">
      <c r="Z26284">
        <v>400000</v>
      </c>
    </row>
    <row r="26285" spans="26:26" x14ac:dyDescent="0.25">
      <c r="Z26285">
        <v>400000</v>
      </c>
    </row>
    <row r="26286" spans="26:26" x14ac:dyDescent="0.25">
      <c r="Z26286">
        <v>400000</v>
      </c>
    </row>
    <row r="26287" spans="26:26" x14ac:dyDescent="0.25">
      <c r="Z26287">
        <v>400000</v>
      </c>
    </row>
    <row r="26288" spans="26:26" x14ac:dyDescent="0.25">
      <c r="Z26288">
        <v>400000</v>
      </c>
    </row>
    <row r="26289" spans="26:26" x14ac:dyDescent="0.25">
      <c r="Z26289">
        <v>400000</v>
      </c>
    </row>
    <row r="26290" spans="26:26" x14ac:dyDescent="0.25">
      <c r="Z26290">
        <v>400000</v>
      </c>
    </row>
    <row r="26291" spans="26:26" x14ac:dyDescent="0.25">
      <c r="Z26291">
        <v>400000</v>
      </c>
    </row>
    <row r="26292" spans="26:26" x14ac:dyDescent="0.25">
      <c r="Z26292">
        <v>400000</v>
      </c>
    </row>
    <row r="26293" spans="26:26" x14ac:dyDescent="0.25">
      <c r="Z26293">
        <v>400000</v>
      </c>
    </row>
    <row r="26294" spans="26:26" x14ac:dyDescent="0.25">
      <c r="Z26294">
        <v>400000</v>
      </c>
    </row>
    <row r="26295" spans="26:26" x14ac:dyDescent="0.25">
      <c r="Z26295">
        <v>400000</v>
      </c>
    </row>
    <row r="26296" spans="26:26" x14ac:dyDescent="0.25">
      <c r="Z26296">
        <v>400000</v>
      </c>
    </row>
    <row r="26297" spans="26:26" x14ac:dyDescent="0.25">
      <c r="Z26297">
        <v>400000</v>
      </c>
    </row>
    <row r="26298" spans="26:26" x14ac:dyDescent="0.25">
      <c r="Z26298">
        <v>400000</v>
      </c>
    </row>
    <row r="26299" spans="26:26" x14ac:dyDescent="0.25">
      <c r="Z26299">
        <v>400000</v>
      </c>
    </row>
    <row r="26300" spans="26:26" x14ac:dyDescent="0.25">
      <c r="Z26300">
        <v>400000</v>
      </c>
    </row>
    <row r="26301" spans="26:26" x14ac:dyDescent="0.25">
      <c r="Z26301">
        <v>400000</v>
      </c>
    </row>
    <row r="26302" spans="26:26" x14ac:dyDescent="0.25">
      <c r="Z26302">
        <v>400000</v>
      </c>
    </row>
    <row r="26303" spans="26:26" x14ac:dyDescent="0.25">
      <c r="Z26303">
        <v>400000</v>
      </c>
    </row>
    <row r="26304" spans="26:26" x14ac:dyDescent="0.25">
      <c r="Z26304">
        <v>400000</v>
      </c>
    </row>
    <row r="26305" spans="26:26" x14ac:dyDescent="0.25">
      <c r="Z26305">
        <v>400000</v>
      </c>
    </row>
    <row r="26306" spans="26:26" x14ac:dyDescent="0.25">
      <c r="Z26306">
        <v>400000</v>
      </c>
    </row>
    <row r="26307" spans="26:26" x14ac:dyDescent="0.25">
      <c r="Z26307">
        <v>400000</v>
      </c>
    </row>
    <row r="26308" spans="26:26" x14ac:dyDescent="0.25">
      <c r="Z26308">
        <v>400000</v>
      </c>
    </row>
    <row r="26309" spans="26:26" x14ac:dyDescent="0.25">
      <c r="Z26309">
        <v>400000</v>
      </c>
    </row>
    <row r="26310" spans="26:26" x14ac:dyDescent="0.25">
      <c r="Z26310">
        <v>400000</v>
      </c>
    </row>
    <row r="26311" spans="26:26" x14ac:dyDescent="0.25">
      <c r="Z26311">
        <v>400000</v>
      </c>
    </row>
    <row r="26312" spans="26:26" x14ac:dyDescent="0.25">
      <c r="Z26312">
        <v>400000</v>
      </c>
    </row>
    <row r="26313" spans="26:26" x14ac:dyDescent="0.25">
      <c r="Z26313">
        <v>400000</v>
      </c>
    </row>
    <row r="26314" spans="26:26" x14ac:dyDescent="0.25">
      <c r="Z26314">
        <v>400000</v>
      </c>
    </row>
    <row r="26315" spans="26:26" x14ac:dyDescent="0.25">
      <c r="Z26315">
        <v>400000</v>
      </c>
    </row>
    <row r="26316" spans="26:26" x14ac:dyDescent="0.25">
      <c r="Z26316">
        <v>400000</v>
      </c>
    </row>
    <row r="26317" spans="26:26" x14ac:dyDescent="0.25">
      <c r="Z26317">
        <v>400000</v>
      </c>
    </row>
    <row r="26318" spans="26:26" x14ac:dyDescent="0.25">
      <c r="Z26318">
        <v>400000</v>
      </c>
    </row>
    <row r="26319" spans="26:26" x14ac:dyDescent="0.25">
      <c r="Z26319">
        <v>400000</v>
      </c>
    </row>
    <row r="26320" spans="26:26" x14ac:dyDescent="0.25">
      <c r="Z26320">
        <v>400000</v>
      </c>
    </row>
    <row r="26321" spans="26:26" x14ac:dyDescent="0.25">
      <c r="Z26321">
        <v>400000</v>
      </c>
    </row>
    <row r="26322" spans="26:26" x14ac:dyDescent="0.25">
      <c r="Z26322">
        <v>400000</v>
      </c>
    </row>
    <row r="26323" spans="26:26" x14ac:dyDescent="0.25">
      <c r="Z26323">
        <v>400000</v>
      </c>
    </row>
    <row r="26324" spans="26:26" x14ac:dyDescent="0.25">
      <c r="Z26324">
        <v>400000</v>
      </c>
    </row>
    <row r="26325" spans="26:26" x14ac:dyDescent="0.25">
      <c r="Z26325">
        <v>400000</v>
      </c>
    </row>
    <row r="26326" spans="26:26" x14ac:dyDescent="0.25">
      <c r="Z26326">
        <v>400000</v>
      </c>
    </row>
    <row r="26327" spans="26:26" x14ac:dyDescent="0.25">
      <c r="Z26327">
        <v>400000</v>
      </c>
    </row>
    <row r="26328" spans="26:26" x14ac:dyDescent="0.25">
      <c r="Z26328">
        <v>400000</v>
      </c>
    </row>
    <row r="26329" spans="26:26" x14ac:dyDescent="0.25">
      <c r="Z26329">
        <v>400000</v>
      </c>
    </row>
    <row r="26330" spans="26:26" x14ac:dyDescent="0.25">
      <c r="Z26330">
        <v>400000</v>
      </c>
    </row>
    <row r="26331" spans="26:26" x14ac:dyDescent="0.25">
      <c r="Z26331">
        <v>400000</v>
      </c>
    </row>
    <row r="26332" spans="26:26" x14ac:dyDescent="0.25">
      <c r="Z26332">
        <v>400000</v>
      </c>
    </row>
    <row r="26333" spans="26:26" x14ac:dyDescent="0.25">
      <c r="Z26333">
        <v>400000</v>
      </c>
    </row>
    <row r="26334" spans="26:26" x14ac:dyDescent="0.25">
      <c r="Z26334">
        <v>400000</v>
      </c>
    </row>
    <row r="26335" spans="26:26" x14ac:dyDescent="0.25">
      <c r="Z26335">
        <v>400000</v>
      </c>
    </row>
    <row r="26336" spans="26:26" x14ac:dyDescent="0.25">
      <c r="Z26336">
        <v>400000</v>
      </c>
    </row>
    <row r="26337" spans="26:26" x14ac:dyDescent="0.25">
      <c r="Z26337">
        <v>400000</v>
      </c>
    </row>
    <row r="26338" spans="26:26" x14ac:dyDescent="0.25">
      <c r="Z26338">
        <v>400000</v>
      </c>
    </row>
    <row r="26339" spans="26:26" x14ac:dyDescent="0.25">
      <c r="Z26339">
        <v>400000</v>
      </c>
    </row>
    <row r="26340" spans="26:26" x14ac:dyDescent="0.25">
      <c r="Z26340">
        <v>400000</v>
      </c>
    </row>
    <row r="26341" spans="26:26" x14ac:dyDescent="0.25">
      <c r="Z26341">
        <v>400000</v>
      </c>
    </row>
    <row r="26342" spans="26:26" x14ac:dyDescent="0.25">
      <c r="Z26342">
        <v>400000</v>
      </c>
    </row>
    <row r="26343" spans="26:26" x14ac:dyDescent="0.25">
      <c r="Z26343">
        <v>400000</v>
      </c>
    </row>
    <row r="26344" spans="26:26" x14ac:dyDescent="0.25">
      <c r="Z26344">
        <v>400000</v>
      </c>
    </row>
    <row r="26345" spans="26:26" x14ac:dyDescent="0.25">
      <c r="Z26345">
        <v>400000</v>
      </c>
    </row>
    <row r="26346" spans="26:26" x14ac:dyDescent="0.25">
      <c r="Z26346">
        <v>400000</v>
      </c>
    </row>
    <row r="26347" spans="26:26" x14ac:dyDescent="0.25">
      <c r="Z26347">
        <v>400000</v>
      </c>
    </row>
    <row r="26348" spans="26:26" x14ac:dyDescent="0.25">
      <c r="Z26348">
        <v>400000</v>
      </c>
    </row>
    <row r="26349" spans="26:26" x14ac:dyDescent="0.25">
      <c r="Z26349">
        <v>400000</v>
      </c>
    </row>
    <row r="26350" spans="26:26" x14ac:dyDescent="0.25">
      <c r="Z26350">
        <v>400000</v>
      </c>
    </row>
    <row r="26351" spans="26:26" x14ac:dyDescent="0.25">
      <c r="Z26351">
        <v>400000</v>
      </c>
    </row>
    <row r="26352" spans="26:26" x14ac:dyDescent="0.25">
      <c r="Z26352">
        <v>400000</v>
      </c>
    </row>
    <row r="26353" spans="26:26" x14ac:dyDescent="0.25">
      <c r="Z26353">
        <v>400000</v>
      </c>
    </row>
    <row r="26354" spans="26:26" x14ac:dyDescent="0.25">
      <c r="Z26354">
        <v>400000</v>
      </c>
    </row>
    <row r="26355" spans="26:26" x14ac:dyDescent="0.25">
      <c r="Z26355">
        <v>400000</v>
      </c>
    </row>
    <row r="26356" spans="26:26" x14ac:dyDescent="0.25">
      <c r="Z26356">
        <v>400000</v>
      </c>
    </row>
    <row r="26357" spans="26:26" x14ac:dyDescent="0.25">
      <c r="Z26357">
        <v>400000</v>
      </c>
    </row>
    <row r="26358" spans="26:26" x14ac:dyDescent="0.25">
      <c r="Z26358">
        <v>400000</v>
      </c>
    </row>
    <row r="26359" spans="26:26" x14ac:dyDescent="0.25">
      <c r="Z26359">
        <v>400000</v>
      </c>
    </row>
    <row r="26360" spans="26:26" x14ac:dyDescent="0.25">
      <c r="Z26360">
        <v>400000</v>
      </c>
    </row>
    <row r="26361" spans="26:26" x14ac:dyDescent="0.25">
      <c r="Z26361">
        <v>400000</v>
      </c>
    </row>
    <row r="26362" spans="26:26" x14ac:dyDescent="0.25">
      <c r="Z26362">
        <v>400000</v>
      </c>
    </row>
    <row r="26363" spans="26:26" x14ac:dyDescent="0.25">
      <c r="Z26363">
        <v>400000</v>
      </c>
    </row>
    <row r="26364" spans="26:26" x14ac:dyDescent="0.25">
      <c r="Z26364">
        <v>400000</v>
      </c>
    </row>
    <row r="26365" spans="26:26" x14ac:dyDescent="0.25">
      <c r="Z26365">
        <v>400000</v>
      </c>
    </row>
    <row r="26366" spans="26:26" x14ac:dyDescent="0.25">
      <c r="Z26366">
        <v>400000</v>
      </c>
    </row>
    <row r="26367" spans="26:26" x14ac:dyDescent="0.25">
      <c r="Z26367">
        <v>400000</v>
      </c>
    </row>
    <row r="26368" spans="26:26" x14ac:dyDescent="0.25">
      <c r="Z26368">
        <v>400000</v>
      </c>
    </row>
    <row r="26369" spans="26:26" x14ac:dyDescent="0.25">
      <c r="Z26369">
        <v>400000</v>
      </c>
    </row>
    <row r="26370" spans="26:26" x14ac:dyDescent="0.25">
      <c r="Z26370">
        <v>400000</v>
      </c>
    </row>
    <row r="26371" spans="26:26" x14ac:dyDescent="0.25">
      <c r="Z26371">
        <v>400000</v>
      </c>
    </row>
    <row r="26372" spans="26:26" x14ac:dyDescent="0.25">
      <c r="Z26372">
        <v>400000</v>
      </c>
    </row>
    <row r="26373" spans="26:26" x14ac:dyDescent="0.25">
      <c r="Z26373">
        <v>400000</v>
      </c>
    </row>
    <row r="26374" spans="26:26" x14ac:dyDescent="0.25">
      <c r="Z26374">
        <v>400000</v>
      </c>
    </row>
    <row r="26375" spans="26:26" x14ac:dyDescent="0.25">
      <c r="Z26375">
        <v>400000</v>
      </c>
    </row>
    <row r="26376" spans="26:26" x14ac:dyDescent="0.25">
      <c r="Z26376">
        <v>400000</v>
      </c>
    </row>
    <row r="26377" spans="26:26" x14ac:dyDescent="0.25">
      <c r="Z26377">
        <v>400000</v>
      </c>
    </row>
    <row r="26378" spans="26:26" x14ac:dyDescent="0.25">
      <c r="Z26378">
        <v>400000</v>
      </c>
    </row>
    <row r="26379" spans="26:26" x14ac:dyDescent="0.25">
      <c r="Z26379">
        <v>400000</v>
      </c>
    </row>
    <row r="26380" spans="26:26" x14ac:dyDescent="0.25">
      <c r="Z26380">
        <v>400000</v>
      </c>
    </row>
    <row r="26381" spans="26:26" x14ac:dyDescent="0.25">
      <c r="Z26381">
        <v>400000</v>
      </c>
    </row>
    <row r="26382" spans="26:26" x14ac:dyDescent="0.25">
      <c r="Z26382">
        <v>400000</v>
      </c>
    </row>
    <row r="26383" spans="26:26" x14ac:dyDescent="0.25">
      <c r="Z26383">
        <v>400000</v>
      </c>
    </row>
    <row r="26384" spans="26:26" x14ac:dyDescent="0.25">
      <c r="Z26384">
        <v>400000</v>
      </c>
    </row>
    <row r="26385" spans="26:26" x14ac:dyDescent="0.25">
      <c r="Z26385">
        <v>400000</v>
      </c>
    </row>
    <row r="26386" spans="26:26" x14ac:dyDescent="0.25">
      <c r="Z26386">
        <v>400000</v>
      </c>
    </row>
    <row r="26387" spans="26:26" x14ac:dyDescent="0.25">
      <c r="Z26387">
        <v>400000</v>
      </c>
    </row>
    <row r="26388" spans="26:26" x14ac:dyDescent="0.25">
      <c r="Z26388">
        <v>400000</v>
      </c>
    </row>
    <row r="26389" spans="26:26" x14ac:dyDescent="0.25">
      <c r="Z26389">
        <v>400000</v>
      </c>
    </row>
    <row r="26390" spans="26:26" x14ac:dyDescent="0.25">
      <c r="Z26390">
        <v>400000</v>
      </c>
    </row>
    <row r="26391" spans="26:26" x14ac:dyDescent="0.25">
      <c r="Z26391">
        <v>400000</v>
      </c>
    </row>
    <row r="26392" spans="26:26" x14ac:dyDescent="0.25">
      <c r="Z26392">
        <v>400000</v>
      </c>
    </row>
    <row r="26393" spans="26:26" x14ac:dyDescent="0.25">
      <c r="Z26393">
        <v>400000</v>
      </c>
    </row>
    <row r="26394" spans="26:26" x14ac:dyDescent="0.25">
      <c r="Z26394">
        <v>400000</v>
      </c>
    </row>
    <row r="26395" spans="26:26" x14ac:dyDescent="0.25">
      <c r="Z26395">
        <v>400000</v>
      </c>
    </row>
    <row r="26396" spans="26:26" x14ac:dyDescent="0.25">
      <c r="Z26396">
        <v>400000</v>
      </c>
    </row>
    <row r="26397" spans="26:26" x14ac:dyDescent="0.25">
      <c r="Z26397">
        <v>400000</v>
      </c>
    </row>
    <row r="26398" spans="26:26" x14ac:dyDescent="0.25">
      <c r="Z26398">
        <v>400000</v>
      </c>
    </row>
    <row r="26399" spans="26:26" x14ac:dyDescent="0.25">
      <c r="Z26399">
        <v>400000</v>
      </c>
    </row>
    <row r="26400" spans="26:26" x14ac:dyDescent="0.25">
      <c r="Z26400">
        <v>400000</v>
      </c>
    </row>
    <row r="26401" spans="26:26" x14ac:dyDescent="0.25">
      <c r="Z26401">
        <v>400000</v>
      </c>
    </row>
    <row r="26402" spans="26:26" x14ac:dyDescent="0.25">
      <c r="Z26402">
        <v>400000</v>
      </c>
    </row>
    <row r="26403" spans="26:26" x14ac:dyDescent="0.25">
      <c r="Z26403">
        <v>400000</v>
      </c>
    </row>
    <row r="26404" spans="26:26" x14ac:dyDescent="0.25">
      <c r="Z26404">
        <v>400000</v>
      </c>
    </row>
    <row r="26405" spans="26:26" x14ac:dyDescent="0.25">
      <c r="Z26405">
        <v>400000</v>
      </c>
    </row>
    <row r="26406" spans="26:26" x14ac:dyDescent="0.25">
      <c r="Z26406">
        <v>400000</v>
      </c>
    </row>
    <row r="26407" spans="26:26" x14ac:dyDescent="0.25">
      <c r="Z26407">
        <v>400000</v>
      </c>
    </row>
    <row r="26408" spans="26:26" x14ac:dyDescent="0.25">
      <c r="Z26408">
        <v>400000</v>
      </c>
    </row>
    <row r="26409" spans="26:26" x14ac:dyDescent="0.25">
      <c r="Z26409">
        <v>400000</v>
      </c>
    </row>
    <row r="26410" spans="26:26" x14ac:dyDescent="0.25">
      <c r="Z26410">
        <v>400000</v>
      </c>
    </row>
    <row r="26411" spans="26:26" x14ac:dyDescent="0.25">
      <c r="Z26411">
        <v>400000</v>
      </c>
    </row>
    <row r="26412" spans="26:26" x14ac:dyDescent="0.25">
      <c r="Z26412">
        <v>400000</v>
      </c>
    </row>
    <row r="26413" spans="26:26" x14ac:dyDescent="0.25">
      <c r="Z26413">
        <v>400000</v>
      </c>
    </row>
    <row r="26414" spans="26:26" x14ac:dyDescent="0.25">
      <c r="Z26414">
        <v>400000</v>
      </c>
    </row>
    <row r="26415" spans="26:26" x14ac:dyDescent="0.25">
      <c r="Z26415">
        <v>400000</v>
      </c>
    </row>
    <row r="26416" spans="26:26" x14ac:dyDescent="0.25">
      <c r="Z26416">
        <v>400000</v>
      </c>
    </row>
    <row r="26417" spans="26:26" x14ac:dyDescent="0.25">
      <c r="Z26417">
        <v>400000</v>
      </c>
    </row>
    <row r="26418" spans="26:26" x14ac:dyDescent="0.25">
      <c r="Z26418">
        <v>400000</v>
      </c>
    </row>
    <row r="26419" spans="26:26" x14ac:dyDescent="0.25">
      <c r="Z26419">
        <v>400000</v>
      </c>
    </row>
    <row r="26420" spans="26:26" x14ac:dyDescent="0.25">
      <c r="Z26420">
        <v>400000</v>
      </c>
    </row>
    <row r="26421" spans="26:26" x14ac:dyDescent="0.25">
      <c r="Z26421">
        <v>400000</v>
      </c>
    </row>
    <row r="26422" spans="26:26" x14ac:dyDescent="0.25">
      <c r="Z26422">
        <v>400000</v>
      </c>
    </row>
    <row r="26423" spans="26:26" x14ac:dyDescent="0.25">
      <c r="Z26423">
        <v>400000</v>
      </c>
    </row>
    <row r="26424" spans="26:26" x14ac:dyDescent="0.25">
      <c r="Z26424">
        <v>400000</v>
      </c>
    </row>
    <row r="26425" spans="26:26" x14ac:dyDescent="0.25">
      <c r="Z26425">
        <v>400000</v>
      </c>
    </row>
    <row r="26426" spans="26:26" x14ac:dyDescent="0.25">
      <c r="Z26426">
        <v>400000</v>
      </c>
    </row>
    <row r="26427" spans="26:26" x14ac:dyDescent="0.25">
      <c r="Z26427">
        <v>400000</v>
      </c>
    </row>
    <row r="26428" spans="26:26" x14ac:dyDescent="0.25">
      <c r="Z26428">
        <v>400000</v>
      </c>
    </row>
    <row r="26429" spans="26:26" x14ac:dyDescent="0.25">
      <c r="Z26429">
        <v>400000</v>
      </c>
    </row>
    <row r="26430" spans="26:26" x14ac:dyDescent="0.25">
      <c r="Z26430">
        <v>400000</v>
      </c>
    </row>
    <row r="26431" spans="26:26" x14ac:dyDescent="0.25">
      <c r="Z26431">
        <v>400000</v>
      </c>
    </row>
    <row r="26432" spans="26:26" x14ac:dyDescent="0.25">
      <c r="Z26432">
        <v>400000</v>
      </c>
    </row>
    <row r="26433" spans="26:26" x14ac:dyDescent="0.25">
      <c r="Z26433">
        <v>400000</v>
      </c>
    </row>
    <row r="26434" spans="26:26" x14ac:dyDescent="0.25">
      <c r="Z26434">
        <v>400000</v>
      </c>
    </row>
    <row r="26435" spans="26:26" x14ac:dyDescent="0.25">
      <c r="Z26435">
        <v>400000</v>
      </c>
    </row>
    <row r="26436" spans="26:26" x14ac:dyDescent="0.25">
      <c r="Z26436">
        <v>400000</v>
      </c>
    </row>
    <row r="26437" spans="26:26" x14ac:dyDescent="0.25">
      <c r="Z26437">
        <v>400000</v>
      </c>
    </row>
    <row r="26438" spans="26:26" x14ac:dyDescent="0.25">
      <c r="Z26438">
        <v>400000</v>
      </c>
    </row>
    <row r="26439" spans="26:26" x14ac:dyDescent="0.25">
      <c r="Z26439">
        <v>400000</v>
      </c>
    </row>
    <row r="26440" spans="26:26" x14ac:dyDescent="0.25">
      <c r="Z26440">
        <v>400000</v>
      </c>
    </row>
    <row r="26441" spans="26:26" x14ac:dyDescent="0.25">
      <c r="Z26441">
        <v>400000</v>
      </c>
    </row>
    <row r="26442" spans="26:26" x14ac:dyDescent="0.25">
      <c r="Z26442">
        <v>400000</v>
      </c>
    </row>
    <row r="26443" spans="26:26" x14ac:dyDescent="0.25">
      <c r="Z26443">
        <v>400000</v>
      </c>
    </row>
    <row r="26444" spans="26:26" x14ac:dyDescent="0.25">
      <c r="Z26444">
        <v>400000</v>
      </c>
    </row>
    <row r="26445" spans="26:26" x14ac:dyDescent="0.25">
      <c r="Z26445">
        <v>400000</v>
      </c>
    </row>
    <row r="26446" spans="26:26" x14ac:dyDescent="0.25">
      <c r="Z26446">
        <v>400000</v>
      </c>
    </row>
    <row r="26447" spans="26:26" x14ac:dyDescent="0.25">
      <c r="Z26447">
        <v>400000</v>
      </c>
    </row>
    <row r="26448" spans="26:26" x14ac:dyDescent="0.25">
      <c r="Z26448">
        <v>400000</v>
      </c>
    </row>
    <row r="26449" spans="26:26" x14ac:dyDescent="0.25">
      <c r="Z26449">
        <v>400000</v>
      </c>
    </row>
    <row r="26450" spans="26:26" x14ac:dyDescent="0.25">
      <c r="Z26450">
        <v>400000</v>
      </c>
    </row>
    <row r="26451" spans="26:26" x14ac:dyDescent="0.25">
      <c r="Z26451">
        <v>400000</v>
      </c>
    </row>
    <row r="26452" spans="26:26" x14ac:dyDescent="0.25">
      <c r="Z26452">
        <v>400000</v>
      </c>
    </row>
    <row r="26453" spans="26:26" x14ac:dyDescent="0.25">
      <c r="Z26453">
        <v>400000</v>
      </c>
    </row>
    <row r="26454" spans="26:26" x14ac:dyDescent="0.25">
      <c r="Z26454">
        <v>400000</v>
      </c>
    </row>
    <row r="26455" spans="26:26" x14ac:dyDescent="0.25">
      <c r="Z26455">
        <v>400000</v>
      </c>
    </row>
    <row r="26456" spans="26:26" x14ac:dyDescent="0.25">
      <c r="Z26456">
        <v>400000</v>
      </c>
    </row>
    <row r="26457" spans="26:26" x14ac:dyDescent="0.25">
      <c r="Z26457">
        <v>400000</v>
      </c>
    </row>
    <row r="26458" spans="26:26" x14ac:dyDescent="0.25">
      <c r="Z26458">
        <v>400000</v>
      </c>
    </row>
    <row r="26459" spans="26:26" x14ac:dyDescent="0.25">
      <c r="Z26459">
        <v>400000</v>
      </c>
    </row>
    <row r="26460" spans="26:26" x14ac:dyDescent="0.25">
      <c r="Z26460">
        <v>400000</v>
      </c>
    </row>
    <row r="26461" spans="26:26" x14ac:dyDescent="0.25">
      <c r="Z26461">
        <v>400000</v>
      </c>
    </row>
    <row r="26462" spans="26:26" x14ac:dyDescent="0.25">
      <c r="Z26462">
        <v>400000</v>
      </c>
    </row>
    <row r="26463" spans="26:26" x14ac:dyDescent="0.25">
      <c r="Z26463">
        <v>400000</v>
      </c>
    </row>
    <row r="26464" spans="26:26" x14ac:dyDescent="0.25">
      <c r="Z26464">
        <v>400000</v>
      </c>
    </row>
    <row r="26465" spans="26:26" x14ac:dyDescent="0.25">
      <c r="Z26465">
        <v>400000</v>
      </c>
    </row>
    <row r="26466" spans="26:26" x14ac:dyDescent="0.25">
      <c r="Z26466">
        <v>400000</v>
      </c>
    </row>
    <row r="26467" spans="26:26" x14ac:dyDescent="0.25">
      <c r="Z26467">
        <v>400000</v>
      </c>
    </row>
    <row r="26468" spans="26:26" x14ac:dyDescent="0.25">
      <c r="Z26468">
        <v>400000</v>
      </c>
    </row>
    <row r="26469" spans="26:26" x14ac:dyDescent="0.25">
      <c r="Z26469">
        <v>400000</v>
      </c>
    </row>
    <row r="26470" spans="26:26" x14ac:dyDescent="0.25">
      <c r="Z26470">
        <v>400000</v>
      </c>
    </row>
    <row r="26471" spans="26:26" x14ac:dyDescent="0.25">
      <c r="Z26471">
        <v>400000</v>
      </c>
    </row>
    <row r="26472" spans="26:26" x14ac:dyDescent="0.25">
      <c r="Z26472">
        <v>400000</v>
      </c>
    </row>
    <row r="26473" spans="26:26" x14ac:dyDescent="0.25">
      <c r="Z26473">
        <v>400000</v>
      </c>
    </row>
    <row r="26474" spans="26:26" x14ac:dyDescent="0.25">
      <c r="Z26474">
        <v>400000</v>
      </c>
    </row>
    <row r="26475" spans="26:26" x14ac:dyDescent="0.25">
      <c r="Z26475">
        <v>400000</v>
      </c>
    </row>
    <row r="26476" spans="26:26" x14ac:dyDescent="0.25">
      <c r="Z26476">
        <v>400000</v>
      </c>
    </row>
    <row r="26477" spans="26:26" x14ac:dyDescent="0.25">
      <c r="Z26477">
        <v>400000</v>
      </c>
    </row>
    <row r="26478" spans="26:26" x14ac:dyDescent="0.25">
      <c r="Z26478">
        <v>400000</v>
      </c>
    </row>
    <row r="26479" spans="26:26" x14ac:dyDescent="0.25">
      <c r="Z26479">
        <v>400000</v>
      </c>
    </row>
    <row r="26480" spans="26:26" x14ac:dyDescent="0.25">
      <c r="Z26480">
        <v>400000</v>
      </c>
    </row>
    <row r="26481" spans="26:26" x14ac:dyDescent="0.25">
      <c r="Z26481">
        <v>400000</v>
      </c>
    </row>
    <row r="26482" spans="26:26" x14ac:dyDescent="0.25">
      <c r="Z26482">
        <v>400000</v>
      </c>
    </row>
    <row r="26483" spans="26:26" x14ac:dyDescent="0.25">
      <c r="Z26483">
        <v>400000</v>
      </c>
    </row>
    <row r="26484" spans="26:26" x14ac:dyDescent="0.25">
      <c r="Z26484">
        <v>400000</v>
      </c>
    </row>
    <row r="26485" spans="26:26" x14ac:dyDescent="0.25">
      <c r="Z26485">
        <v>400000</v>
      </c>
    </row>
    <row r="26486" spans="26:26" x14ac:dyDescent="0.25">
      <c r="Z26486">
        <v>400000</v>
      </c>
    </row>
    <row r="26487" spans="26:26" x14ac:dyDescent="0.25">
      <c r="Z26487">
        <v>400000</v>
      </c>
    </row>
    <row r="26488" spans="26:26" x14ac:dyDescent="0.25">
      <c r="Z26488">
        <v>400000</v>
      </c>
    </row>
    <row r="26489" spans="26:26" x14ac:dyDescent="0.25">
      <c r="Z26489">
        <v>400000</v>
      </c>
    </row>
    <row r="26490" spans="26:26" x14ac:dyDescent="0.25">
      <c r="Z26490">
        <v>400000</v>
      </c>
    </row>
    <row r="26491" spans="26:26" x14ac:dyDescent="0.25">
      <c r="Z26491">
        <v>400000</v>
      </c>
    </row>
    <row r="26492" spans="26:26" x14ac:dyDescent="0.25">
      <c r="Z26492">
        <v>400000</v>
      </c>
    </row>
    <row r="26493" spans="26:26" x14ac:dyDescent="0.25">
      <c r="Z26493">
        <v>400000</v>
      </c>
    </row>
    <row r="26494" spans="26:26" x14ac:dyDescent="0.25">
      <c r="Z26494">
        <v>400000</v>
      </c>
    </row>
    <row r="26495" spans="26:26" x14ac:dyDescent="0.25">
      <c r="Z26495">
        <v>400000</v>
      </c>
    </row>
    <row r="26496" spans="26:26" x14ac:dyDescent="0.25">
      <c r="Z26496">
        <v>400000</v>
      </c>
    </row>
    <row r="26497" spans="26:26" x14ac:dyDescent="0.25">
      <c r="Z26497">
        <v>400000</v>
      </c>
    </row>
    <row r="26498" spans="26:26" x14ac:dyDescent="0.25">
      <c r="Z26498">
        <v>400000</v>
      </c>
    </row>
    <row r="26499" spans="26:26" x14ac:dyDescent="0.25">
      <c r="Z26499">
        <v>400000</v>
      </c>
    </row>
    <row r="26500" spans="26:26" x14ac:dyDescent="0.25">
      <c r="Z26500">
        <v>400000</v>
      </c>
    </row>
    <row r="26501" spans="26:26" x14ac:dyDescent="0.25">
      <c r="Z26501">
        <v>400000</v>
      </c>
    </row>
    <row r="26502" spans="26:26" x14ac:dyDescent="0.25">
      <c r="Z26502">
        <v>400000</v>
      </c>
    </row>
    <row r="26503" spans="26:26" x14ac:dyDescent="0.25">
      <c r="Z26503">
        <v>400000</v>
      </c>
    </row>
    <row r="26504" spans="26:26" x14ac:dyDescent="0.25">
      <c r="Z26504">
        <v>400000</v>
      </c>
    </row>
    <row r="26505" spans="26:26" x14ac:dyDescent="0.25">
      <c r="Z26505">
        <v>400000</v>
      </c>
    </row>
    <row r="26506" spans="26:26" x14ac:dyDescent="0.25">
      <c r="Z26506">
        <v>400000</v>
      </c>
    </row>
    <row r="26507" spans="26:26" x14ac:dyDescent="0.25">
      <c r="Z26507">
        <v>400000</v>
      </c>
    </row>
    <row r="26508" spans="26:26" x14ac:dyDescent="0.25">
      <c r="Z26508">
        <v>400000</v>
      </c>
    </row>
    <row r="26509" spans="26:26" x14ac:dyDescent="0.25">
      <c r="Z26509">
        <v>400000</v>
      </c>
    </row>
    <row r="26510" spans="26:26" x14ac:dyDescent="0.25">
      <c r="Z26510">
        <v>400000</v>
      </c>
    </row>
    <row r="26511" spans="26:26" x14ac:dyDescent="0.25">
      <c r="Z26511">
        <v>400000</v>
      </c>
    </row>
    <row r="26512" spans="26:26" x14ac:dyDescent="0.25">
      <c r="Z26512">
        <v>400000</v>
      </c>
    </row>
    <row r="26513" spans="26:26" x14ac:dyDescent="0.25">
      <c r="Z26513">
        <v>400000</v>
      </c>
    </row>
    <row r="26514" spans="26:26" x14ac:dyDescent="0.25">
      <c r="Z26514">
        <v>400000</v>
      </c>
    </row>
    <row r="26515" spans="26:26" x14ac:dyDescent="0.25">
      <c r="Z26515">
        <v>400000</v>
      </c>
    </row>
    <row r="26516" spans="26:26" x14ac:dyDescent="0.25">
      <c r="Z26516">
        <v>400000</v>
      </c>
    </row>
    <row r="26517" spans="26:26" x14ac:dyDescent="0.25">
      <c r="Z26517">
        <v>400000</v>
      </c>
    </row>
    <row r="26518" spans="26:26" x14ac:dyDescent="0.25">
      <c r="Z26518">
        <v>400000</v>
      </c>
    </row>
    <row r="26519" spans="26:26" x14ac:dyDescent="0.25">
      <c r="Z26519">
        <v>400000</v>
      </c>
    </row>
    <row r="26520" spans="26:26" x14ac:dyDescent="0.25">
      <c r="Z26520">
        <v>400000</v>
      </c>
    </row>
    <row r="26521" spans="26:26" x14ac:dyDescent="0.25">
      <c r="Z26521">
        <v>400000</v>
      </c>
    </row>
    <row r="26522" spans="26:26" x14ac:dyDescent="0.25">
      <c r="Z26522">
        <v>400000</v>
      </c>
    </row>
    <row r="26523" spans="26:26" x14ac:dyDescent="0.25">
      <c r="Z26523">
        <v>400000</v>
      </c>
    </row>
    <row r="26524" spans="26:26" x14ac:dyDescent="0.25">
      <c r="Z26524">
        <v>400000</v>
      </c>
    </row>
    <row r="26525" spans="26:26" x14ac:dyDescent="0.25">
      <c r="Z26525">
        <v>400000</v>
      </c>
    </row>
    <row r="26526" spans="26:26" x14ac:dyDescent="0.25">
      <c r="Z26526">
        <v>400000</v>
      </c>
    </row>
    <row r="26527" spans="26:26" x14ac:dyDescent="0.25">
      <c r="Z26527">
        <v>400000</v>
      </c>
    </row>
    <row r="26528" spans="26:26" x14ac:dyDescent="0.25">
      <c r="Z26528">
        <v>400000</v>
      </c>
    </row>
    <row r="26529" spans="26:26" x14ac:dyDescent="0.25">
      <c r="Z26529">
        <v>400000</v>
      </c>
    </row>
    <row r="26530" spans="26:26" x14ac:dyDescent="0.25">
      <c r="Z26530">
        <v>400000</v>
      </c>
    </row>
    <row r="26531" spans="26:26" x14ac:dyDescent="0.25">
      <c r="Z26531">
        <v>400000</v>
      </c>
    </row>
    <row r="26532" spans="26:26" x14ac:dyDescent="0.25">
      <c r="Z26532">
        <v>400000</v>
      </c>
    </row>
    <row r="26533" spans="26:26" x14ac:dyDescent="0.25">
      <c r="Z26533">
        <v>400000</v>
      </c>
    </row>
    <row r="26534" spans="26:26" x14ac:dyDescent="0.25">
      <c r="Z26534">
        <v>400000</v>
      </c>
    </row>
    <row r="26535" spans="26:26" x14ac:dyDescent="0.25">
      <c r="Z26535">
        <v>400000</v>
      </c>
    </row>
    <row r="26536" spans="26:26" x14ac:dyDescent="0.25">
      <c r="Z26536">
        <v>400000</v>
      </c>
    </row>
    <row r="26537" spans="26:26" x14ac:dyDescent="0.25">
      <c r="Z26537">
        <v>400000</v>
      </c>
    </row>
    <row r="26538" spans="26:26" x14ac:dyDescent="0.25">
      <c r="Z26538">
        <v>400000</v>
      </c>
    </row>
    <row r="26539" spans="26:26" x14ac:dyDescent="0.25">
      <c r="Z26539">
        <v>400000</v>
      </c>
    </row>
    <row r="26540" spans="26:26" x14ac:dyDescent="0.25">
      <c r="Z26540">
        <v>400000</v>
      </c>
    </row>
    <row r="26541" spans="26:26" x14ac:dyDescent="0.25">
      <c r="Z26541">
        <v>400000</v>
      </c>
    </row>
    <row r="26542" spans="26:26" x14ac:dyDescent="0.25">
      <c r="Z26542">
        <v>400000</v>
      </c>
    </row>
    <row r="26543" spans="26:26" x14ac:dyDescent="0.25">
      <c r="Z26543">
        <v>400000</v>
      </c>
    </row>
    <row r="26544" spans="26:26" x14ac:dyDescent="0.25">
      <c r="Z26544">
        <v>400000</v>
      </c>
    </row>
    <row r="26545" spans="26:26" x14ac:dyDescent="0.25">
      <c r="Z26545">
        <v>400000</v>
      </c>
    </row>
    <row r="26546" spans="26:26" x14ac:dyDescent="0.25">
      <c r="Z26546">
        <v>400000</v>
      </c>
    </row>
    <row r="26547" spans="26:26" x14ac:dyDescent="0.25">
      <c r="Z26547">
        <v>400000</v>
      </c>
    </row>
    <row r="26548" spans="26:26" x14ac:dyDescent="0.25">
      <c r="Z26548">
        <v>400000</v>
      </c>
    </row>
    <row r="26549" spans="26:26" x14ac:dyDescent="0.25">
      <c r="Z26549">
        <v>400000</v>
      </c>
    </row>
    <row r="26550" spans="26:26" x14ac:dyDescent="0.25">
      <c r="Z26550">
        <v>400000</v>
      </c>
    </row>
    <row r="26551" spans="26:26" x14ac:dyDescent="0.25">
      <c r="Z26551">
        <v>400000</v>
      </c>
    </row>
    <row r="26552" spans="26:26" x14ac:dyDescent="0.25">
      <c r="Z26552">
        <v>400000</v>
      </c>
    </row>
    <row r="26553" spans="26:26" x14ac:dyDescent="0.25">
      <c r="Z26553">
        <v>400000</v>
      </c>
    </row>
    <row r="26554" spans="26:26" x14ac:dyDescent="0.25">
      <c r="Z26554">
        <v>400000</v>
      </c>
    </row>
    <row r="26555" spans="26:26" x14ac:dyDescent="0.25">
      <c r="Z26555">
        <v>400000</v>
      </c>
    </row>
    <row r="26556" spans="26:26" x14ac:dyDescent="0.25">
      <c r="Z26556">
        <v>400000</v>
      </c>
    </row>
    <row r="26557" spans="26:26" x14ac:dyDescent="0.25">
      <c r="Z26557">
        <v>400000</v>
      </c>
    </row>
    <row r="26558" spans="26:26" x14ac:dyDescent="0.25">
      <c r="Z26558">
        <v>400000</v>
      </c>
    </row>
    <row r="26559" spans="26:26" x14ac:dyDescent="0.25">
      <c r="Z26559">
        <v>400000</v>
      </c>
    </row>
    <row r="26560" spans="26:26" x14ac:dyDescent="0.25">
      <c r="Z26560">
        <v>400000</v>
      </c>
    </row>
    <row r="26561" spans="26:26" x14ac:dyDescent="0.25">
      <c r="Z26561">
        <v>400000</v>
      </c>
    </row>
    <row r="26562" spans="26:26" x14ac:dyDescent="0.25">
      <c r="Z26562">
        <v>400000</v>
      </c>
    </row>
    <row r="26563" spans="26:26" x14ac:dyDescent="0.25">
      <c r="Z26563">
        <v>400000</v>
      </c>
    </row>
    <row r="26564" spans="26:26" x14ac:dyDescent="0.25">
      <c r="Z26564">
        <v>400000</v>
      </c>
    </row>
    <row r="26565" spans="26:26" x14ac:dyDescent="0.25">
      <c r="Z26565">
        <v>400000</v>
      </c>
    </row>
    <row r="26566" spans="26:26" x14ac:dyDescent="0.25">
      <c r="Z26566">
        <v>400000</v>
      </c>
    </row>
    <row r="26567" spans="26:26" x14ac:dyDescent="0.25">
      <c r="Z26567">
        <v>400000</v>
      </c>
    </row>
    <row r="26568" spans="26:26" x14ac:dyDescent="0.25">
      <c r="Z26568">
        <v>400000</v>
      </c>
    </row>
    <row r="26569" spans="26:26" x14ac:dyDescent="0.25">
      <c r="Z26569">
        <v>400000</v>
      </c>
    </row>
    <row r="26570" spans="26:26" x14ac:dyDescent="0.25">
      <c r="Z26570">
        <v>400000</v>
      </c>
    </row>
    <row r="26571" spans="26:26" x14ac:dyDescent="0.25">
      <c r="Z26571">
        <v>400000</v>
      </c>
    </row>
    <row r="26572" spans="26:26" x14ac:dyDescent="0.25">
      <c r="Z26572">
        <v>400000</v>
      </c>
    </row>
    <row r="26573" spans="26:26" x14ac:dyDescent="0.25">
      <c r="Z26573">
        <v>400000</v>
      </c>
    </row>
    <row r="26574" spans="26:26" x14ac:dyDescent="0.25">
      <c r="Z26574">
        <v>400000</v>
      </c>
    </row>
    <row r="26575" spans="26:26" x14ac:dyDescent="0.25">
      <c r="Z26575">
        <v>400000</v>
      </c>
    </row>
    <row r="26576" spans="26:26" x14ac:dyDescent="0.25">
      <c r="Z26576">
        <v>400000</v>
      </c>
    </row>
    <row r="26577" spans="26:26" x14ac:dyDescent="0.25">
      <c r="Z26577">
        <v>400000</v>
      </c>
    </row>
    <row r="26578" spans="26:26" x14ac:dyDescent="0.25">
      <c r="Z26578">
        <v>400000</v>
      </c>
    </row>
    <row r="26579" spans="26:26" x14ac:dyDescent="0.25">
      <c r="Z26579">
        <v>400000</v>
      </c>
    </row>
    <row r="26580" spans="26:26" x14ac:dyDescent="0.25">
      <c r="Z26580">
        <v>400000</v>
      </c>
    </row>
    <row r="26581" spans="26:26" x14ac:dyDescent="0.25">
      <c r="Z26581">
        <v>400000</v>
      </c>
    </row>
    <row r="26582" spans="26:26" x14ac:dyDescent="0.25">
      <c r="Z26582">
        <v>400000</v>
      </c>
    </row>
    <row r="26583" spans="26:26" x14ac:dyDescent="0.25">
      <c r="Z26583">
        <v>400000</v>
      </c>
    </row>
    <row r="26584" spans="26:26" x14ac:dyDescent="0.25">
      <c r="Z26584">
        <v>400000</v>
      </c>
    </row>
    <row r="26585" spans="26:26" x14ac:dyDescent="0.25">
      <c r="Z26585">
        <v>400000</v>
      </c>
    </row>
    <row r="26586" spans="26:26" x14ac:dyDescent="0.25">
      <c r="Z26586">
        <v>400000</v>
      </c>
    </row>
    <row r="26587" spans="26:26" x14ac:dyDescent="0.25">
      <c r="Z26587">
        <v>400000</v>
      </c>
    </row>
    <row r="26588" spans="26:26" x14ac:dyDescent="0.25">
      <c r="Z26588">
        <v>400000</v>
      </c>
    </row>
    <row r="26589" spans="26:26" x14ac:dyDescent="0.25">
      <c r="Z26589">
        <v>400000</v>
      </c>
    </row>
    <row r="26590" spans="26:26" x14ac:dyDescent="0.25">
      <c r="Z26590">
        <v>400000</v>
      </c>
    </row>
    <row r="26591" spans="26:26" x14ac:dyDescent="0.25">
      <c r="Z26591">
        <v>400000</v>
      </c>
    </row>
    <row r="26592" spans="26:26" x14ac:dyDescent="0.25">
      <c r="Z26592">
        <v>400000</v>
      </c>
    </row>
    <row r="26593" spans="26:26" x14ac:dyDescent="0.25">
      <c r="Z26593">
        <v>400000</v>
      </c>
    </row>
    <row r="26594" spans="26:26" x14ac:dyDescent="0.25">
      <c r="Z26594">
        <v>400000</v>
      </c>
    </row>
    <row r="26595" spans="26:26" x14ac:dyDescent="0.25">
      <c r="Z26595">
        <v>400000</v>
      </c>
    </row>
    <row r="26596" spans="26:26" x14ac:dyDescent="0.25">
      <c r="Z26596">
        <v>400000</v>
      </c>
    </row>
    <row r="26597" spans="26:26" x14ac:dyDescent="0.25">
      <c r="Z26597">
        <v>400000</v>
      </c>
    </row>
    <row r="26598" spans="26:26" x14ac:dyDescent="0.25">
      <c r="Z26598">
        <v>400000</v>
      </c>
    </row>
    <row r="26599" spans="26:26" x14ac:dyDescent="0.25">
      <c r="Z26599">
        <v>400000</v>
      </c>
    </row>
    <row r="26600" spans="26:26" x14ac:dyDescent="0.25">
      <c r="Z26600">
        <v>400000</v>
      </c>
    </row>
    <row r="26601" spans="26:26" x14ac:dyDescent="0.25">
      <c r="Z26601">
        <v>400000</v>
      </c>
    </row>
    <row r="26602" spans="26:26" x14ac:dyDescent="0.25">
      <c r="Z26602">
        <v>400000</v>
      </c>
    </row>
    <row r="26603" spans="26:26" x14ac:dyDescent="0.25">
      <c r="Z26603">
        <v>400000</v>
      </c>
    </row>
    <row r="26604" spans="26:26" x14ac:dyDescent="0.25">
      <c r="Z26604">
        <v>400000</v>
      </c>
    </row>
    <row r="26605" spans="26:26" x14ac:dyDescent="0.25">
      <c r="Z26605">
        <v>400000</v>
      </c>
    </row>
    <row r="26606" spans="26:26" x14ac:dyDescent="0.25">
      <c r="Z26606">
        <v>400000</v>
      </c>
    </row>
    <row r="26607" spans="26:26" x14ac:dyDescent="0.25">
      <c r="Z26607">
        <v>400000</v>
      </c>
    </row>
    <row r="26608" spans="26:26" x14ac:dyDescent="0.25">
      <c r="Z26608">
        <v>400000</v>
      </c>
    </row>
    <row r="26609" spans="26:26" x14ac:dyDescent="0.25">
      <c r="Z26609">
        <v>400000</v>
      </c>
    </row>
    <row r="26610" spans="26:26" x14ac:dyDescent="0.25">
      <c r="Z26610">
        <v>400000</v>
      </c>
    </row>
    <row r="26611" spans="26:26" x14ac:dyDescent="0.25">
      <c r="Z26611">
        <v>400000</v>
      </c>
    </row>
    <row r="26612" spans="26:26" x14ac:dyDescent="0.25">
      <c r="Z26612">
        <v>400000</v>
      </c>
    </row>
    <row r="26613" spans="26:26" x14ac:dyDescent="0.25">
      <c r="Z26613">
        <v>400000</v>
      </c>
    </row>
    <row r="26614" spans="26:26" x14ac:dyDescent="0.25">
      <c r="Z26614">
        <v>400000</v>
      </c>
    </row>
    <row r="26615" spans="26:26" x14ac:dyDescent="0.25">
      <c r="Z26615">
        <v>400000</v>
      </c>
    </row>
    <row r="26616" spans="26:26" x14ac:dyDescent="0.25">
      <c r="Z26616">
        <v>400000</v>
      </c>
    </row>
    <row r="26617" spans="26:26" x14ac:dyDescent="0.25">
      <c r="Z26617">
        <v>400000</v>
      </c>
    </row>
    <row r="26618" spans="26:26" x14ac:dyDescent="0.25">
      <c r="Z26618">
        <v>400000</v>
      </c>
    </row>
    <row r="26619" spans="26:26" x14ac:dyDescent="0.25">
      <c r="Z26619">
        <v>400000</v>
      </c>
    </row>
    <row r="26620" spans="26:26" x14ac:dyDescent="0.25">
      <c r="Z26620">
        <v>400000</v>
      </c>
    </row>
    <row r="26621" spans="26:26" x14ac:dyDescent="0.25">
      <c r="Z26621">
        <v>400000</v>
      </c>
    </row>
    <row r="26622" spans="26:26" x14ac:dyDescent="0.25">
      <c r="Z26622">
        <v>400000</v>
      </c>
    </row>
    <row r="26623" spans="26:26" x14ac:dyDescent="0.25">
      <c r="Z26623">
        <v>400000</v>
      </c>
    </row>
    <row r="26624" spans="26:26" x14ac:dyDescent="0.25">
      <c r="Z26624">
        <v>400000</v>
      </c>
    </row>
    <row r="26625" spans="26:26" x14ac:dyDescent="0.25">
      <c r="Z26625">
        <v>400000</v>
      </c>
    </row>
    <row r="26626" spans="26:26" x14ac:dyDescent="0.25">
      <c r="Z26626">
        <v>400000</v>
      </c>
    </row>
    <row r="26627" spans="26:26" x14ac:dyDescent="0.25">
      <c r="Z26627">
        <v>400000</v>
      </c>
    </row>
    <row r="26628" spans="26:26" x14ac:dyDescent="0.25">
      <c r="Z26628">
        <v>400000</v>
      </c>
    </row>
    <row r="26629" spans="26:26" x14ac:dyDescent="0.25">
      <c r="Z26629">
        <v>400000</v>
      </c>
    </row>
    <row r="26630" spans="26:26" x14ac:dyDescent="0.25">
      <c r="Z26630">
        <v>400000</v>
      </c>
    </row>
    <row r="26631" spans="26:26" x14ac:dyDescent="0.25">
      <c r="Z26631">
        <v>400000</v>
      </c>
    </row>
    <row r="26632" spans="26:26" x14ac:dyDescent="0.25">
      <c r="Z26632">
        <v>400000</v>
      </c>
    </row>
    <row r="26633" spans="26:26" x14ac:dyDescent="0.25">
      <c r="Z26633">
        <v>400000</v>
      </c>
    </row>
    <row r="26634" spans="26:26" x14ac:dyDescent="0.25">
      <c r="Z26634">
        <v>400000</v>
      </c>
    </row>
    <row r="26635" spans="26:26" x14ac:dyDescent="0.25">
      <c r="Z26635">
        <v>400000</v>
      </c>
    </row>
    <row r="26636" spans="26:26" x14ac:dyDescent="0.25">
      <c r="Z26636">
        <v>400000</v>
      </c>
    </row>
    <row r="26637" spans="26:26" x14ac:dyDescent="0.25">
      <c r="Z26637">
        <v>400000</v>
      </c>
    </row>
    <row r="26638" spans="26:26" x14ac:dyDescent="0.25">
      <c r="Z26638">
        <v>400000</v>
      </c>
    </row>
    <row r="26639" spans="26:26" x14ac:dyDescent="0.25">
      <c r="Z26639">
        <v>400000</v>
      </c>
    </row>
    <row r="26640" spans="26:26" x14ac:dyDescent="0.25">
      <c r="Z26640">
        <v>400000</v>
      </c>
    </row>
    <row r="26641" spans="26:26" x14ac:dyDescent="0.25">
      <c r="Z26641">
        <v>400000</v>
      </c>
    </row>
    <row r="26642" spans="26:26" x14ac:dyDescent="0.25">
      <c r="Z26642">
        <v>400000</v>
      </c>
    </row>
    <row r="26643" spans="26:26" x14ac:dyDescent="0.25">
      <c r="Z26643">
        <v>400000</v>
      </c>
    </row>
    <row r="26644" spans="26:26" x14ac:dyDescent="0.25">
      <c r="Z26644">
        <v>400000</v>
      </c>
    </row>
    <row r="26645" spans="26:26" x14ac:dyDescent="0.25">
      <c r="Z26645">
        <v>400000</v>
      </c>
    </row>
    <row r="26646" spans="26:26" x14ac:dyDescent="0.25">
      <c r="Z26646">
        <v>400000</v>
      </c>
    </row>
    <row r="26647" spans="26:26" x14ac:dyDescent="0.25">
      <c r="Z26647">
        <v>400000</v>
      </c>
    </row>
    <row r="26648" spans="26:26" x14ac:dyDescent="0.25">
      <c r="Z26648">
        <v>400000</v>
      </c>
    </row>
    <row r="26649" spans="26:26" x14ac:dyDescent="0.25">
      <c r="Z26649">
        <v>400000</v>
      </c>
    </row>
    <row r="26650" spans="26:26" x14ac:dyDescent="0.25">
      <c r="Z26650">
        <v>400000</v>
      </c>
    </row>
    <row r="26651" spans="26:26" x14ac:dyDescent="0.25">
      <c r="Z26651">
        <v>400000</v>
      </c>
    </row>
    <row r="26652" spans="26:26" x14ac:dyDescent="0.25">
      <c r="Z26652">
        <v>400000</v>
      </c>
    </row>
    <row r="26653" spans="26:26" x14ac:dyDescent="0.25">
      <c r="Z26653">
        <v>400000</v>
      </c>
    </row>
    <row r="26654" spans="26:26" x14ac:dyDescent="0.25">
      <c r="Z26654">
        <v>400000</v>
      </c>
    </row>
    <row r="26655" spans="26:26" x14ac:dyDescent="0.25">
      <c r="Z26655">
        <v>400000</v>
      </c>
    </row>
    <row r="26656" spans="26:26" x14ac:dyDescent="0.25">
      <c r="Z26656">
        <v>400000</v>
      </c>
    </row>
    <row r="26657" spans="26:26" x14ac:dyDescent="0.25">
      <c r="Z26657">
        <v>400000</v>
      </c>
    </row>
    <row r="26658" spans="26:26" x14ac:dyDescent="0.25">
      <c r="Z26658">
        <v>400000</v>
      </c>
    </row>
    <row r="26659" spans="26:26" x14ac:dyDescent="0.25">
      <c r="Z26659">
        <v>400000</v>
      </c>
    </row>
    <row r="26660" spans="26:26" x14ac:dyDescent="0.25">
      <c r="Z26660">
        <v>400000</v>
      </c>
    </row>
    <row r="26661" spans="26:26" x14ac:dyDescent="0.25">
      <c r="Z26661">
        <v>400000</v>
      </c>
    </row>
    <row r="26662" spans="26:26" x14ac:dyDescent="0.25">
      <c r="Z26662">
        <v>400000</v>
      </c>
    </row>
    <row r="26663" spans="26:26" x14ac:dyDescent="0.25">
      <c r="Z26663">
        <v>400000</v>
      </c>
    </row>
    <row r="26664" spans="26:26" x14ac:dyDescent="0.25">
      <c r="Z26664">
        <v>400000</v>
      </c>
    </row>
    <row r="26665" spans="26:26" x14ac:dyDescent="0.25">
      <c r="Z26665">
        <v>400000</v>
      </c>
    </row>
    <row r="26666" spans="26:26" x14ac:dyDescent="0.25">
      <c r="Z26666">
        <v>400000</v>
      </c>
    </row>
    <row r="26667" spans="26:26" x14ac:dyDescent="0.25">
      <c r="Z26667">
        <v>400000</v>
      </c>
    </row>
    <row r="26668" spans="26:26" x14ac:dyDescent="0.25">
      <c r="Z26668">
        <v>400000</v>
      </c>
    </row>
    <row r="26669" spans="26:26" x14ac:dyDescent="0.25">
      <c r="Z26669">
        <v>400000</v>
      </c>
    </row>
    <row r="26670" spans="26:26" x14ac:dyDescent="0.25">
      <c r="Z26670">
        <v>400000</v>
      </c>
    </row>
    <row r="26671" spans="26:26" x14ac:dyDescent="0.25">
      <c r="Z26671">
        <v>400000</v>
      </c>
    </row>
    <row r="26672" spans="26:26" x14ac:dyDescent="0.25">
      <c r="Z26672">
        <v>400000</v>
      </c>
    </row>
    <row r="26673" spans="26:26" x14ac:dyDescent="0.25">
      <c r="Z26673">
        <v>400000</v>
      </c>
    </row>
    <row r="26674" spans="26:26" x14ac:dyDescent="0.25">
      <c r="Z26674">
        <v>400000</v>
      </c>
    </row>
    <row r="26675" spans="26:26" x14ac:dyDescent="0.25">
      <c r="Z26675">
        <v>400000</v>
      </c>
    </row>
    <row r="26676" spans="26:26" x14ac:dyDescent="0.25">
      <c r="Z26676">
        <v>400000</v>
      </c>
    </row>
    <row r="26677" spans="26:26" x14ac:dyDescent="0.25">
      <c r="Z26677">
        <v>400000</v>
      </c>
    </row>
    <row r="26678" spans="26:26" x14ac:dyDescent="0.25">
      <c r="Z26678">
        <v>400000</v>
      </c>
    </row>
    <row r="26679" spans="26:26" x14ac:dyDescent="0.25">
      <c r="Z26679">
        <v>400000</v>
      </c>
    </row>
    <row r="26680" spans="26:26" x14ac:dyDescent="0.25">
      <c r="Z26680">
        <v>400000</v>
      </c>
    </row>
    <row r="26681" spans="26:26" x14ac:dyDescent="0.25">
      <c r="Z26681">
        <v>400000</v>
      </c>
    </row>
    <row r="26682" spans="26:26" x14ac:dyDescent="0.25">
      <c r="Z26682">
        <v>400000</v>
      </c>
    </row>
    <row r="26683" spans="26:26" x14ac:dyDescent="0.25">
      <c r="Z26683">
        <v>400000</v>
      </c>
    </row>
    <row r="26684" spans="26:26" x14ac:dyDescent="0.25">
      <c r="Z26684">
        <v>400000</v>
      </c>
    </row>
    <row r="26685" spans="26:26" x14ac:dyDescent="0.25">
      <c r="Z26685">
        <v>400000</v>
      </c>
    </row>
    <row r="26686" spans="26:26" x14ac:dyDescent="0.25">
      <c r="Z26686">
        <v>400000</v>
      </c>
    </row>
    <row r="26687" spans="26:26" x14ac:dyDescent="0.25">
      <c r="Z26687">
        <v>400000</v>
      </c>
    </row>
    <row r="26688" spans="26:26" x14ac:dyDescent="0.25">
      <c r="Z26688">
        <v>400000</v>
      </c>
    </row>
    <row r="26689" spans="26:26" x14ac:dyDescent="0.25">
      <c r="Z26689">
        <v>400000</v>
      </c>
    </row>
    <row r="26690" spans="26:26" x14ac:dyDescent="0.25">
      <c r="Z26690">
        <v>400000</v>
      </c>
    </row>
    <row r="26691" spans="26:26" x14ac:dyDescent="0.25">
      <c r="Z26691">
        <v>400000</v>
      </c>
    </row>
    <row r="26692" spans="26:26" x14ac:dyDescent="0.25">
      <c r="Z26692">
        <v>400000</v>
      </c>
    </row>
    <row r="26693" spans="26:26" x14ac:dyDescent="0.25">
      <c r="Z26693">
        <v>400000</v>
      </c>
    </row>
    <row r="26694" spans="26:26" x14ac:dyDescent="0.25">
      <c r="Z26694">
        <v>400000</v>
      </c>
    </row>
    <row r="26695" spans="26:26" x14ac:dyDescent="0.25">
      <c r="Z26695">
        <v>400000</v>
      </c>
    </row>
    <row r="26696" spans="26:26" x14ac:dyDescent="0.25">
      <c r="Z26696">
        <v>400000</v>
      </c>
    </row>
    <row r="26697" spans="26:26" x14ac:dyDescent="0.25">
      <c r="Z26697">
        <v>400000</v>
      </c>
    </row>
    <row r="26698" spans="26:26" x14ac:dyDescent="0.25">
      <c r="Z26698">
        <v>400000</v>
      </c>
    </row>
    <row r="26699" spans="26:26" x14ac:dyDescent="0.25">
      <c r="Z26699">
        <v>400000</v>
      </c>
    </row>
    <row r="26700" spans="26:26" x14ac:dyDescent="0.25">
      <c r="Z26700">
        <v>400000</v>
      </c>
    </row>
    <row r="26701" spans="26:26" x14ac:dyDescent="0.25">
      <c r="Z26701">
        <v>400000</v>
      </c>
    </row>
    <row r="26702" spans="26:26" x14ac:dyDescent="0.25">
      <c r="Z26702">
        <v>400000</v>
      </c>
    </row>
    <row r="26703" spans="26:26" x14ac:dyDescent="0.25">
      <c r="Z26703">
        <v>400000</v>
      </c>
    </row>
    <row r="26704" spans="26:26" x14ac:dyDescent="0.25">
      <c r="Z26704">
        <v>400000</v>
      </c>
    </row>
    <row r="26705" spans="26:26" x14ac:dyDescent="0.25">
      <c r="Z26705">
        <v>400000</v>
      </c>
    </row>
    <row r="26706" spans="26:26" x14ac:dyDescent="0.25">
      <c r="Z26706">
        <v>400000</v>
      </c>
    </row>
    <row r="26707" spans="26:26" x14ac:dyDescent="0.25">
      <c r="Z26707">
        <v>400000</v>
      </c>
    </row>
    <row r="26708" spans="26:26" x14ac:dyDescent="0.25">
      <c r="Z26708">
        <v>400000</v>
      </c>
    </row>
    <row r="26709" spans="26:26" x14ac:dyDescent="0.25">
      <c r="Z26709">
        <v>400000</v>
      </c>
    </row>
    <row r="26710" spans="26:26" x14ac:dyDescent="0.25">
      <c r="Z26710">
        <v>400000</v>
      </c>
    </row>
    <row r="26711" spans="26:26" x14ac:dyDescent="0.25">
      <c r="Z26711">
        <v>400000</v>
      </c>
    </row>
    <row r="26712" spans="26:26" x14ac:dyDescent="0.25">
      <c r="Z26712">
        <v>400000</v>
      </c>
    </row>
    <row r="26713" spans="26:26" x14ac:dyDescent="0.25">
      <c r="Z26713">
        <v>400000</v>
      </c>
    </row>
    <row r="26714" spans="26:26" x14ac:dyDescent="0.25">
      <c r="Z26714">
        <v>400000</v>
      </c>
    </row>
    <row r="26715" spans="26:26" x14ac:dyDescent="0.25">
      <c r="Z26715">
        <v>400000</v>
      </c>
    </row>
    <row r="26716" spans="26:26" x14ac:dyDescent="0.25">
      <c r="Z26716">
        <v>400000</v>
      </c>
    </row>
    <row r="26717" spans="26:26" x14ac:dyDescent="0.25">
      <c r="Z26717">
        <v>400000</v>
      </c>
    </row>
    <row r="26718" spans="26:26" x14ac:dyDescent="0.25">
      <c r="Z26718">
        <v>400000</v>
      </c>
    </row>
    <row r="26719" spans="26:26" x14ac:dyDescent="0.25">
      <c r="Z26719">
        <v>400000</v>
      </c>
    </row>
    <row r="26720" spans="26:26" x14ac:dyDescent="0.25">
      <c r="Z26720">
        <v>400000</v>
      </c>
    </row>
    <row r="26721" spans="26:26" x14ac:dyDescent="0.25">
      <c r="Z26721">
        <v>400000</v>
      </c>
    </row>
    <row r="26722" spans="26:26" x14ac:dyDescent="0.25">
      <c r="Z26722">
        <v>400000</v>
      </c>
    </row>
    <row r="26723" spans="26:26" x14ac:dyDescent="0.25">
      <c r="Z26723">
        <v>400000</v>
      </c>
    </row>
    <row r="26724" spans="26:26" x14ac:dyDescent="0.25">
      <c r="Z26724">
        <v>400000</v>
      </c>
    </row>
    <row r="26725" spans="26:26" x14ac:dyDescent="0.25">
      <c r="Z26725">
        <v>400000</v>
      </c>
    </row>
    <row r="26726" spans="26:26" x14ac:dyDescent="0.25">
      <c r="Z26726">
        <v>400000</v>
      </c>
    </row>
    <row r="26727" spans="26:26" x14ac:dyDescent="0.25">
      <c r="Z26727">
        <v>400000</v>
      </c>
    </row>
    <row r="26728" spans="26:26" x14ac:dyDescent="0.25">
      <c r="Z26728">
        <v>400000</v>
      </c>
    </row>
    <row r="26729" spans="26:26" x14ac:dyDescent="0.25">
      <c r="Z26729">
        <v>400000</v>
      </c>
    </row>
    <row r="26730" spans="26:26" x14ac:dyDescent="0.25">
      <c r="Z26730">
        <v>400000</v>
      </c>
    </row>
    <row r="26731" spans="26:26" x14ac:dyDescent="0.25">
      <c r="Z26731">
        <v>400000</v>
      </c>
    </row>
    <row r="26732" spans="26:26" x14ac:dyDescent="0.25">
      <c r="Z26732">
        <v>400000</v>
      </c>
    </row>
    <row r="26733" spans="26:26" x14ac:dyDescent="0.25">
      <c r="Z26733">
        <v>400000</v>
      </c>
    </row>
    <row r="26734" spans="26:26" x14ac:dyDescent="0.25">
      <c r="Z26734">
        <v>400000</v>
      </c>
    </row>
    <row r="26735" spans="26:26" x14ac:dyDescent="0.25">
      <c r="Z26735">
        <v>400000</v>
      </c>
    </row>
    <row r="26736" spans="26:26" x14ac:dyDescent="0.25">
      <c r="Z26736">
        <v>400000</v>
      </c>
    </row>
    <row r="26737" spans="26:26" x14ac:dyDescent="0.25">
      <c r="Z26737">
        <v>400000</v>
      </c>
    </row>
    <row r="26738" spans="26:26" x14ac:dyDescent="0.25">
      <c r="Z26738">
        <v>400000</v>
      </c>
    </row>
    <row r="26739" spans="26:26" x14ac:dyDescent="0.25">
      <c r="Z26739">
        <v>400000</v>
      </c>
    </row>
    <row r="26740" spans="26:26" x14ac:dyDescent="0.25">
      <c r="Z26740">
        <v>400000</v>
      </c>
    </row>
    <row r="26741" spans="26:26" x14ac:dyDescent="0.25">
      <c r="Z26741">
        <v>400000</v>
      </c>
    </row>
    <row r="26742" spans="26:26" x14ac:dyDescent="0.25">
      <c r="Z26742">
        <v>400000</v>
      </c>
    </row>
    <row r="26743" spans="26:26" x14ac:dyDescent="0.25">
      <c r="Z26743">
        <v>400000</v>
      </c>
    </row>
    <row r="26744" spans="26:26" x14ac:dyDescent="0.25">
      <c r="Z26744">
        <v>400000</v>
      </c>
    </row>
    <row r="26745" spans="26:26" x14ac:dyDescent="0.25">
      <c r="Z26745">
        <v>400000</v>
      </c>
    </row>
    <row r="26746" spans="26:26" x14ac:dyDescent="0.25">
      <c r="Z26746">
        <v>400000</v>
      </c>
    </row>
    <row r="26747" spans="26:26" x14ac:dyDescent="0.25">
      <c r="Z26747">
        <v>400000</v>
      </c>
    </row>
    <row r="26748" spans="26:26" x14ac:dyDescent="0.25">
      <c r="Z26748">
        <v>400000</v>
      </c>
    </row>
    <row r="26749" spans="26:26" x14ac:dyDescent="0.25">
      <c r="Z26749">
        <v>400000</v>
      </c>
    </row>
    <row r="26750" spans="26:26" x14ac:dyDescent="0.25">
      <c r="Z26750">
        <v>400000</v>
      </c>
    </row>
    <row r="26751" spans="26:26" x14ac:dyDescent="0.25">
      <c r="Z26751">
        <v>400000</v>
      </c>
    </row>
    <row r="26752" spans="26:26" x14ac:dyDescent="0.25">
      <c r="Z26752">
        <v>400000</v>
      </c>
    </row>
    <row r="26753" spans="26:26" x14ac:dyDescent="0.25">
      <c r="Z26753">
        <v>400000</v>
      </c>
    </row>
    <row r="26754" spans="26:26" x14ac:dyDescent="0.25">
      <c r="Z26754">
        <v>400000</v>
      </c>
    </row>
    <row r="26755" spans="26:26" x14ac:dyDescent="0.25">
      <c r="Z26755">
        <v>400000</v>
      </c>
    </row>
    <row r="26756" spans="26:26" x14ac:dyDescent="0.25">
      <c r="Z26756">
        <v>400000</v>
      </c>
    </row>
    <row r="26757" spans="26:26" x14ac:dyDescent="0.25">
      <c r="Z26757">
        <v>400000</v>
      </c>
    </row>
    <row r="26758" spans="26:26" x14ac:dyDescent="0.25">
      <c r="Z26758">
        <v>400000</v>
      </c>
    </row>
    <row r="26759" spans="26:26" x14ac:dyDescent="0.25">
      <c r="Z26759">
        <v>400000</v>
      </c>
    </row>
    <row r="26760" spans="26:26" x14ac:dyDescent="0.25">
      <c r="Z26760">
        <v>400000</v>
      </c>
    </row>
    <row r="26761" spans="26:26" x14ac:dyDescent="0.25">
      <c r="Z26761">
        <v>400000</v>
      </c>
    </row>
    <row r="26762" spans="26:26" x14ac:dyDescent="0.25">
      <c r="Z26762">
        <v>400000</v>
      </c>
    </row>
    <row r="26763" spans="26:26" x14ac:dyDescent="0.25">
      <c r="Z26763">
        <v>400000</v>
      </c>
    </row>
    <row r="26764" spans="26:26" x14ac:dyDescent="0.25">
      <c r="Z26764">
        <v>400000</v>
      </c>
    </row>
    <row r="26765" spans="26:26" x14ac:dyDescent="0.25">
      <c r="Z26765">
        <v>400000</v>
      </c>
    </row>
    <row r="26766" spans="26:26" x14ac:dyDescent="0.25">
      <c r="Z26766">
        <v>400000</v>
      </c>
    </row>
    <row r="26767" spans="26:26" x14ac:dyDescent="0.25">
      <c r="Z26767">
        <v>400000</v>
      </c>
    </row>
    <row r="26768" spans="26:26" x14ac:dyDescent="0.25">
      <c r="Z26768">
        <v>400000</v>
      </c>
    </row>
    <row r="26769" spans="26:26" x14ac:dyDescent="0.25">
      <c r="Z26769">
        <v>400000</v>
      </c>
    </row>
    <row r="26770" spans="26:26" x14ac:dyDescent="0.25">
      <c r="Z26770">
        <v>400000</v>
      </c>
    </row>
    <row r="26771" spans="26:26" x14ac:dyDescent="0.25">
      <c r="Z26771">
        <v>400000</v>
      </c>
    </row>
    <row r="26772" spans="26:26" x14ac:dyDescent="0.25">
      <c r="Z26772">
        <v>400000</v>
      </c>
    </row>
    <row r="26773" spans="26:26" x14ac:dyDescent="0.25">
      <c r="Z26773">
        <v>400000</v>
      </c>
    </row>
    <row r="26774" spans="26:26" x14ac:dyDescent="0.25">
      <c r="Z26774">
        <v>400000</v>
      </c>
    </row>
    <row r="26775" spans="26:26" x14ac:dyDescent="0.25">
      <c r="Z26775">
        <v>400000</v>
      </c>
    </row>
    <row r="26776" spans="26:26" x14ac:dyDescent="0.25">
      <c r="Z26776">
        <v>400000</v>
      </c>
    </row>
    <row r="26777" spans="26:26" x14ac:dyDescent="0.25">
      <c r="Z26777">
        <v>400000</v>
      </c>
    </row>
    <row r="26778" spans="26:26" x14ac:dyDescent="0.25">
      <c r="Z26778">
        <v>400000</v>
      </c>
    </row>
    <row r="26779" spans="26:26" x14ac:dyDescent="0.25">
      <c r="Z26779">
        <v>400000</v>
      </c>
    </row>
    <row r="26780" spans="26:26" x14ac:dyDescent="0.25">
      <c r="Z26780">
        <v>400000</v>
      </c>
    </row>
    <row r="26781" spans="26:26" x14ac:dyDescent="0.25">
      <c r="Z26781">
        <v>400000</v>
      </c>
    </row>
    <row r="26782" spans="26:26" x14ac:dyDescent="0.25">
      <c r="Z26782">
        <v>400000</v>
      </c>
    </row>
    <row r="26783" spans="26:26" x14ac:dyDescent="0.25">
      <c r="Z26783">
        <v>400000</v>
      </c>
    </row>
    <row r="26784" spans="26:26" x14ac:dyDescent="0.25">
      <c r="Z26784">
        <v>400000</v>
      </c>
    </row>
    <row r="26785" spans="26:26" x14ac:dyDescent="0.25">
      <c r="Z26785">
        <v>400000</v>
      </c>
    </row>
    <row r="26786" spans="26:26" x14ac:dyDescent="0.25">
      <c r="Z26786">
        <v>400000</v>
      </c>
    </row>
    <row r="26787" spans="26:26" x14ac:dyDescent="0.25">
      <c r="Z26787">
        <v>400000</v>
      </c>
    </row>
    <row r="26788" spans="26:26" x14ac:dyDescent="0.25">
      <c r="Z26788">
        <v>400000</v>
      </c>
    </row>
    <row r="26789" spans="26:26" x14ac:dyDescent="0.25">
      <c r="Z26789">
        <v>400000</v>
      </c>
    </row>
    <row r="26790" spans="26:26" x14ac:dyDescent="0.25">
      <c r="Z26790">
        <v>400000</v>
      </c>
    </row>
    <row r="26791" spans="26:26" x14ac:dyDescent="0.25">
      <c r="Z26791">
        <v>400000</v>
      </c>
    </row>
    <row r="26792" spans="26:26" x14ac:dyDescent="0.25">
      <c r="Z26792">
        <v>400000</v>
      </c>
    </row>
    <row r="26793" spans="26:26" x14ac:dyDescent="0.25">
      <c r="Z26793">
        <v>400000</v>
      </c>
    </row>
    <row r="26794" spans="26:26" x14ac:dyDescent="0.25">
      <c r="Z26794">
        <v>400000</v>
      </c>
    </row>
    <row r="26795" spans="26:26" x14ac:dyDescent="0.25">
      <c r="Z26795">
        <v>400000</v>
      </c>
    </row>
    <row r="26796" spans="26:26" x14ac:dyDescent="0.25">
      <c r="Z26796">
        <v>400000</v>
      </c>
    </row>
    <row r="26797" spans="26:26" x14ac:dyDescent="0.25">
      <c r="Z26797">
        <v>400000</v>
      </c>
    </row>
    <row r="26798" spans="26:26" x14ac:dyDescent="0.25">
      <c r="Z26798">
        <v>400000</v>
      </c>
    </row>
    <row r="26799" spans="26:26" x14ac:dyDescent="0.25">
      <c r="Z26799">
        <v>400000</v>
      </c>
    </row>
    <row r="26800" spans="26:26" x14ac:dyDescent="0.25">
      <c r="Z26800">
        <v>400000</v>
      </c>
    </row>
    <row r="26801" spans="26:26" x14ac:dyDescent="0.25">
      <c r="Z26801">
        <v>400000</v>
      </c>
    </row>
    <row r="26802" spans="26:26" x14ac:dyDescent="0.25">
      <c r="Z26802">
        <v>400000</v>
      </c>
    </row>
    <row r="26803" spans="26:26" x14ac:dyDescent="0.25">
      <c r="Z26803">
        <v>400000</v>
      </c>
    </row>
    <row r="26804" spans="26:26" x14ac:dyDescent="0.25">
      <c r="Z26804">
        <v>400000</v>
      </c>
    </row>
    <row r="26805" spans="26:26" x14ac:dyDescent="0.25">
      <c r="Z26805">
        <v>400000</v>
      </c>
    </row>
    <row r="26806" spans="26:26" x14ac:dyDescent="0.25">
      <c r="Z26806">
        <v>400000</v>
      </c>
    </row>
    <row r="26807" spans="26:26" x14ac:dyDescent="0.25">
      <c r="Z26807">
        <v>400000</v>
      </c>
    </row>
    <row r="26808" spans="26:26" x14ac:dyDescent="0.25">
      <c r="Z26808">
        <v>400000</v>
      </c>
    </row>
    <row r="26809" spans="26:26" x14ac:dyDescent="0.25">
      <c r="Z26809">
        <v>400000</v>
      </c>
    </row>
    <row r="26810" spans="26:26" x14ac:dyDescent="0.25">
      <c r="Z26810">
        <v>400000</v>
      </c>
    </row>
    <row r="26811" spans="26:26" x14ac:dyDescent="0.25">
      <c r="Z26811">
        <v>400000</v>
      </c>
    </row>
    <row r="26812" spans="26:26" x14ac:dyDescent="0.25">
      <c r="Z26812">
        <v>400000</v>
      </c>
    </row>
    <row r="26813" spans="26:26" x14ac:dyDescent="0.25">
      <c r="Z26813">
        <v>400000</v>
      </c>
    </row>
    <row r="26814" spans="26:26" x14ac:dyDescent="0.25">
      <c r="Z26814">
        <v>400000</v>
      </c>
    </row>
    <row r="26815" spans="26:26" x14ac:dyDescent="0.25">
      <c r="Z26815">
        <v>400000</v>
      </c>
    </row>
    <row r="26816" spans="26:26" x14ac:dyDescent="0.25">
      <c r="Z26816">
        <v>400000</v>
      </c>
    </row>
    <row r="26817" spans="26:26" x14ac:dyDescent="0.25">
      <c r="Z26817">
        <v>400000</v>
      </c>
    </row>
    <row r="26818" spans="26:26" x14ac:dyDescent="0.25">
      <c r="Z26818">
        <v>400000</v>
      </c>
    </row>
    <row r="26819" spans="26:26" x14ac:dyDescent="0.25">
      <c r="Z26819">
        <v>400000</v>
      </c>
    </row>
    <row r="26820" spans="26:26" x14ac:dyDescent="0.25">
      <c r="Z26820">
        <v>400000</v>
      </c>
    </row>
    <row r="26821" spans="26:26" x14ac:dyDescent="0.25">
      <c r="Z26821">
        <v>400000</v>
      </c>
    </row>
    <row r="26822" spans="26:26" x14ac:dyDescent="0.25">
      <c r="Z26822">
        <v>400000</v>
      </c>
    </row>
    <row r="26823" spans="26:26" x14ac:dyDescent="0.25">
      <c r="Z26823">
        <v>400000</v>
      </c>
    </row>
    <row r="26824" spans="26:26" x14ac:dyDescent="0.25">
      <c r="Z26824">
        <v>400000</v>
      </c>
    </row>
    <row r="26825" spans="26:26" x14ac:dyDescent="0.25">
      <c r="Z26825">
        <v>400000</v>
      </c>
    </row>
    <row r="26826" spans="26:26" x14ac:dyDescent="0.25">
      <c r="Z26826">
        <v>400000</v>
      </c>
    </row>
    <row r="26827" spans="26:26" x14ac:dyDescent="0.25">
      <c r="Z26827">
        <v>400000</v>
      </c>
    </row>
    <row r="26828" spans="26:26" x14ac:dyDescent="0.25">
      <c r="Z26828">
        <v>400000</v>
      </c>
    </row>
    <row r="26829" spans="26:26" x14ac:dyDescent="0.25">
      <c r="Z26829">
        <v>400000</v>
      </c>
    </row>
    <row r="26830" spans="26:26" x14ac:dyDescent="0.25">
      <c r="Z26830">
        <v>400000</v>
      </c>
    </row>
    <row r="26831" spans="26:26" x14ac:dyDescent="0.25">
      <c r="Z26831">
        <v>400000</v>
      </c>
    </row>
    <row r="26832" spans="26:26" x14ac:dyDescent="0.25">
      <c r="Z26832">
        <v>400000</v>
      </c>
    </row>
    <row r="26833" spans="26:26" x14ac:dyDescent="0.25">
      <c r="Z26833">
        <v>400000</v>
      </c>
    </row>
    <row r="26834" spans="26:26" x14ac:dyDescent="0.25">
      <c r="Z26834">
        <v>400000</v>
      </c>
    </row>
    <row r="26835" spans="26:26" x14ac:dyDescent="0.25">
      <c r="Z26835">
        <v>400000</v>
      </c>
    </row>
    <row r="26836" spans="26:26" x14ac:dyDescent="0.25">
      <c r="Z26836">
        <v>400000</v>
      </c>
    </row>
    <row r="26837" spans="26:26" x14ac:dyDescent="0.25">
      <c r="Z26837">
        <v>400000</v>
      </c>
    </row>
    <row r="26838" spans="26:26" x14ac:dyDescent="0.25">
      <c r="Z26838">
        <v>400000</v>
      </c>
    </row>
    <row r="26839" spans="26:26" x14ac:dyDescent="0.25">
      <c r="Z26839">
        <v>400000</v>
      </c>
    </row>
    <row r="26840" spans="26:26" x14ac:dyDescent="0.25">
      <c r="Z26840">
        <v>400000</v>
      </c>
    </row>
    <row r="26841" spans="26:26" x14ac:dyDescent="0.25">
      <c r="Z26841">
        <v>400000</v>
      </c>
    </row>
    <row r="26842" spans="26:26" x14ac:dyDescent="0.25">
      <c r="Z26842">
        <v>400000</v>
      </c>
    </row>
    <row r="26843" spans="26:26" x14ac:dyDescent="0.25">
      <c r="Z26843">
        <v>400000</v>
      </c>
    </row>
    <row r="26844" spans="26:26" x14ac:dyDescent="0.25">
      <c r="Z26844">
        <v>400000</v>
      </c>
    </row>
    <row r="26845" spans="26:26" x14ac:dyDescent="0.25">
      <c r="Z26845">
        <v>400000</v>
      </c>
    </row>
    <row r="26846" spans="26:26" x14ac:dyDescent="0.25">
      <c r="Z26846">
        <v>400000</v>
      </c>
    </row>
    <row r="26847" spans="26:26" x14ac:dyDescent="0.25">
      <c r="Z26847">
        <v>400000</v>
      </c>
    </row>
    <row r="26848" spans="26:26" x14ac:dyDescent="0.25">
      <c r="Z26848">
        <v>400000</v>
      </c>
    </row>
    <row r="26849" spans="26:26" x14ac:dyDescent="0.25">
      <c r="Z26849">
        <v>400000</v>
      </c>
    </row>
    <row r="26850" spans="26:26" x14ac:dyDescent="0.25">
      <c r="Z26850">
        <v>400000</v>
      </c>
    </row>
    <row r="26851" spans="26:26" x14ac:dyDescent="0.25">
      <c r="Z26851">
        <v>400000</v>
      </c>
    </row>
    <row r="26852" spans="26:26" x14ac:dyDescent="0.25">
      <c r="Z26852">
        <v>400000</v>
      </c>
    </row>
    <row r="26853" spans="26:26" x14ac:dyDescent="0.25">
      <c r="Z26853">
        <v>400000</v>
      </c>
    </row>
    <row r="26854" spans="26:26" x14ac:dyDescent="0.25">
      <c r="Z26854">
        <v>400000</v>
      </c>
    </row>
    <row r="26855" spans="26:26" x14ac:dyDescent="0.25">
      <c r="Z26855">
        <v>400000</v>
      </c>
    </row>
    <row r="26856" spans="26:26" x14ac:dyDescent="0.25">
      <c r="Z26856">
        <v>400000</v>
      </c>
    </row>
    <row r="26857" spans="26:26" x14ac:dyDescent="0.25">
      <c r="Z26857">
        <v>400000</v>
      </c>
    </row>
    <row r="26858" spans="26:26" x14ac:dyDescent="0.25">
      <c r="Z26858">
        <v>400000</v>
      </c>
    </row>
    <row r="26859" spans="26:26" x14ac:dyDescent="0.25">
      <c r="Z26859">
        <v>400000</v>
      </c>
    </row>
    <row r="26860" spans="26:26" x14ac:dyDescent="0.25">
      <c r="Z26860">
        <v>400000</v>
      </c>
    </row>
    <row r="26861" spans="26:26" x14ac:dyDescent="0.25">
      <c r="Z26861">
        <v>400000</v>
      </c>
    </row>
    <row r="26862" spans="26:26" x14ac:dyDescent="0.25">
      <c r="Z26862">
        <v>400000</v>
      </c>
    </row>
    <row r="26863" spans="26:26" x14ac:dyDescent="0.25">
      <c r="Z26863">
        <v>400000</v>
      </c>
    </row>
    <row r="26864" spans="26:26" x14ac:dyDescent="0.25">
      <c r="Z26864">
        <v>400000</v>
      </c>
    </row>
    <row r="26865" spans="26:26" x14ac:dyDescent="0.25">
      <c r="Z26865">
        <v>400000</v>
      </c>
    </row>
    <row r="26866" spans="26:26" x14ac:dyDescent="0.25">
      <c r="Z26866">
        <v>400000</v>
      </c>
    </row>
    <row r="26867" spans="26:26" x14ac:dyDescent="0.25">
      <c r="Z26867">
        <v>400000</v>
      </c>
    </row>
    <row r="26868" spans="26:26" x14ac:dyDescent="0.25">
      <c r="Z26868">
        <v>400000</v>
      </c>
    </row>
    <row r="26869" spans="26:26" x14ac:dyDescent="0.25">
      <c r="Z26869">
        <v>400000</v>
      </c>
    </row>
    <row r="26870" spans="26:26" x14ac:dyDescent="0.25">
      <c r="Z26870">
        <v>400000</v>
      </c>
    </row>
    <row r="26871" spans="26:26" x14ac:dyDescent="0.25">
      <c r="Z26871">
        <v>400000</v>
      </c>
    </row>
    <row r="26872" spans="26:26" x14ac:dyDescent="0.25">
      <c r="Z26872">
        <v>400000</v>
      </c>
    </row>
    <row r="26873" spans="26:26" x14ac:dyDescent="0.25">
      <c r="Z26873">
        <v>400000</v>
      </c>
    </row>
    <row r="26874" spans="26:26" x14ac:dyDescent="0.25">
      <c r="Z26874">
        <v>400000</v>
      </c>
    </row>
    <row r="26875" spans="26:26" x14ac:dyDescent="0.25">
      <c r="Z26875">
        <v>400000</v>
      </c>
    </row>
    <row r="26876" spans="26:26" x14ac:dyDescent="0.25">
      <c r="Z26876">
        <v>400000</v>
      </c>
    </row>
    <row r="26877" spans="26:26" x14ac:dyDescent="0.25">
      <c r="Z26877">
        <v>400000</v>
      </c>
    </row>
    <row r="26878" spans="26:26" x14ac:dyDescent="0.25">
      <c r="Z26878">
        <v>400000</v>
      </c>
    </row>
    <row r="26879" spans="26:26" x14ac:dyDescent="0.25">
      <c r="Z26879">
        <v>400000</v>
      </c>
    </row>
    <row r="26880" spans="26:26" x14ac:dyDescent="0.25">
      <c r="Z26880">
        <v>400000</v>
      </c>
    </row>
    <row r="26881" spans="26:26" x14ac:dyDescent="0.25">
      <c r="Z26881">
        <v>400000</v>
      </c>
    </row>
    <row r="26882" spans="26:26" x14ac:dyDescent="0.25">
      <c r="Z26882">
        <v>400000</v>
      </c>
    </row>
    <row r="26883" spans="26:26" x14ac:dyDescent="0.25">
      <c r="Z26883">
        <v>400000</v>
      </c>
    </row>
    <row r="26884" spans="26:26" x14ac:dyDescent="0.25">
      <c r="Z26884">
        <v>400000</v>
      </c>
    </row>
    <row r="26885" spans="26:26" x14ac:dyDescent="0.25">
      <c r="Z26885">
        <v>400000</v>
      </c>
    </row>
    <row r="26886" spans="26:26" x14ac:dyDescent="0.25">
      <c r="Z26886">
        <v>400000</v>
      </c>
    </row>
    <row r="26887" spans="26:26" x14ac:dyDescent="0.25">
      <c r="Z26887">
        <v>400000</v>
      </c>
    </row>
    <row r="26888" spans="26:26" x14ac:dyDescent="0.25">
      <c r="Z26888">
        <v>400000</v>
      </c>
    </row>
    <row r="26889" spans="26:26" x14ac:dyDescent="0.25">
      <c r="Z26889">
        <v>400000</v>
      </c>
    </row>
    <row r="26890" spans="26:26" x14ac:dyDescent="0.25">
      <c r="Z26890">
        <v>400000</v>
      </c>
    </row>
    <row r="26891" spans="26:26" x14ac:dyDescent="0.25">
      <c r="Z26891">
        <v>400000</v>
      </c>
    </row>
    <row r="26892" spans="26:26" x14ac:dyDescent="0.25">
      <c r="Z26892">
        <v>400000</v>
      </c>
    </row>
    <row r="26893" spans="26:26" x14ac:dyDescent="0.25">
      <c r="Z26893">
        <v>400000</v>
      </c>
    </row>
    <row r="26894" spans="26:26" x14ac:dyDescent="0.25">
      <c r="Z26894">
        <v>400000</v>
      </c>
    </row>
    <row r="26895" spans="26:26" x14ac:dyDescent="0.25">
      <c r="Z26895">
        <v>400000</v>
      </c>
    </row>
    <row r="26896" spans="26:26" x14ac:dyDescent="0.25">
      <c r="Z26896">
        <v>400000</v>
      </c>
    </row>
    <row r="26897" spans="26:26" x14ac:dyDescent="0.25">
      <c r="Z26897">
        <v>400000</v>
      </c>
    </row>
    <row r="26898" spans="26:26" x14ac:dyDescent="0.25">
      <c r="Z26898">
        <v>400000</v>
      </c>
    </row>
    <row r="26899" spans="26:26" x14ac:dyDescent="0.25">
      <c r="Z26899">
        <v>400000</v>
      </c>
    </row>
    <row r="26900" spans="26:26" x14ac:dyDescent="0.25">
      <c r="Z26900">
        <v>400000</v>
      </c>
    </row>
    <row r="26901" spans="26:26" x14ac:dyDescent="0.25">
      <c r="Z26901">
        <v>400000</v>
      </c>
    </row>
    <row r="26902" spans="26:26" x14ac:dyDescent="0.25">
      <c r="Z26902">
        <v>400000</v>
      </c>
    </row>
    <row r="26903" spans="26:26" x14ac:dyDescent="0.25">
      <c r="Z26903">
        <v>400000</v>
      </c>
    </row>
    <row r="26904" spans="26:26" x14ac:dyDescent="0.25">
      <c r="Z26904">
        <v>400000</v>
      </c>
    </row>
    <row r="26905" spans="26:26" x14ac:dyDescent="0.25">
      <c r="Z26905">
        <v>400000</v>
      </c>
    </row>
    <row r="26906" spans="26:26" x14ac:dyDescent="0.25">
      <c r="Z26906">
        <v>400000</v>
      </c>
    </row>
    <row r="26907" spans="26:26" x14ac:dyDescent="0.25">
      <c r="Z26907">
        <v>400000</v>
      </c>
    </row>
    <row r="26908" spans="26:26" x14ac:dyDescent="0.25">
      <c r="Z26908">
        <v>400000</v>
      </c>
    </row>
    <row r="26909" spans="26:26" x14ac:dyDescent="0.25">
      <c r="Z26909">
        <v>400000</v>
      </c>
    </row>
    <row r="26910" spans="26:26" x14ac:dyDescent="0.25">
      <c r="Z26910">
        <v>400000</v>
      </c>
    </row>
    <row r="26911" spans="26:26" x14ac:dyDescent="0.25">
      <c r="Z26911">
        <v>400000</v>
      </c>
    </row>
    <row r="26912" spans="26:26" x14ac:dyDescent="0.25">
      <c r="Z26912">
        <v>400000</v>
      </c>
    </row>
    <row r="26913" spans="26:26" x14ac:dyDescent="0.25">
      <c r="Z26913">
        <v>400000</v>
      </c>
    </row>
    <row r="26914" spans="26:26" x14ac:dyDescent="0.25">
      <c r="Z26914">
        <v>400000</v>
      </c>
    </row>
    <row r="26915" spans="26:26" x14ac:dyDescent="0.25">
      <c r="Z26915">
        <v>400000</v>
      </c>
    </row>
    <row r="26916" spans="26:26" x14ac:dyDescent="0.25">
      <c r="Z26916">
        <v>400000</v>
      </c>
    </row>
    <row r="26917" spans="26:26" x14ac:dyDescent="0.25">
      <c r="Z26917">
        <v>400000</v>
      </c>
    </row>
    <row r="26918" spans="26:26" x14ac:dyDescent="0.25">
      <c r="Z26918">
        <v>400000</v>
      </c>
    </row>
    <row r="26919" spans="26:26" x14ac:dyDescent="0.25">
      <c r="Z26919">
        <v>400000</v>
      </c>
    </row>
    <row r="26920" spans="26:26" x14ac:dyDescent="0.25">
      <c r="Z26920">
        <v>400000</v>
      </c>
    </row>
    <row r="26921" spans="26:26" x14ac:dyDescent="0.25">
      <c r="Z26921">
        <v>400000</v>
      </c>
    </row>
    <row r="26922" spans="26:26" x14ac:dyDescent="0.25">
      <c r="Z26922">
        <v>400000</v>
      </c>
    </row>
    <row r="26923" spans="26:26" x14ac:dyDescent="0.25">
      <c r="Z26923">
        <v>400000</v>
      </c>
    </row>
    <row r="26924" spans="26:26" x14ac:dyDescent="0.25">
      <c r="Z26924">
        <v>400000</v>
      </c>
    </row>
    <row r="26925" spans="26:26" x14ac:dyDescent="0.25">
      <c r="Z26925">
        <v>400000</v>
      </c>
    </row>
    <row r="26926" spans="26:26" x14ac:dyDescent="0.25">
      <c r="Z26926">
        <v>400000</v>
      </c>
    </row>
    <row r="26927" spans="26:26" x14ac:dyDescent="0.25">
      <c r="Z26927">
        <v>400000</v>
      </c>
    </row>
    <row r="26928" spans="26:26" x14ac:dyDescent="0.25">
      <c r="Z26928">
        <v>400000</v>
      </c>
    </row>
    <row r="26929" spans="26:26" x14ac:dyDescent="0.25">
      <c r="Z26929">
        <v>400000</v>
      </c>
    </row>
    <row r="26930" spans="26:26" x14ac:dyDescent="0.25">
      <c r="Z26930">
        <v>400000</v>
      </c>
    </row>
    <row r="26931" spans="26:26" x14ac:dyDescent="0.25">
      <c r="Z26931">
        <v>400000</v>
      </c>
    </row>
    <row r="26932" spans="26:26" x14ac:dyDescent="0.25">
      <c r="Z26932">
        <v>400000</v>
      </c>
    </row>
    <row r="26933" spans="26:26" x14ac:dyDescent="0.25">
      <c r="Z26933">
        <v>400000</v>
      </c>
    </row>
    <row r="26934" spans="26:26" x14ac:dyDescent="0.25">
      <c r="Z26934">
        <v>400000</v>
      </c>
    </row>
    <row r="26935" spans="26:26" x14ac:dyDescent="0.25">
      <c r="Z26935">
        <v>400000</v>
      </c>
    </row>
    <row r="26936" spans="26:26" x14ac:dyDescent="0.25">
      <c r="Z26936">
        <v>400000</v>
      </c>
    </row>
    <row r="26937" spans="26:26" x14ac:dyDescent="0.25">
      <c r="Z26937">
        <v>400000</v>
      </c>
    </row>
    <row r="26938" spans="26:26" x14ac:dyDescent="0.25">
      <c r="Z26938">
        <v>400000</v>
      </c>
    </row>
    <row r="26939" spans="26:26" x14ac:dyDescent="0.25">
      <c r="Z26939">
        <v>400000</v>
      </c>
    </row>
    <row r="26940" spans="26:26" x14ac:dyDescent="0.25">
      <c r="Z26940">
        <v>400000</v>
      </c>
    </row>
    <row r="26941" spans="26:26" x14ac:dyDescent="0.25">
      <c r="Z26941">
        <v>400000</v>
      </c>
    </row>
    <row r="26942" spans="26:26" x14ac:dyDescent="0.25">
      <c r="Z26942">
        <v>400000</v>
      </c>
    </row>
    <row r="26943" spans="26:26" x14ac:dyDescent="0.25">
      <c r="Z26943">
        <v>400000</v>
      </c>
    </row>
    <row r="26944" spans="26:26" x14ac:dyDescent="0.25">
      <c r="Z26944">
        <v>400000</v>
      </c>
    </row>
    <row r="26945" spans="26:26" x14ac:dyDescent="0.25">
      <c r="Z26945">
        <v>400000</v>
      </c>
    </row>
    <row r="26946" spans="26:26" x14ac:dyDescent="0.25">
      <c r="Z26946">
        <v>400000</v>
      </c>
    </row>
    <row r="26947" spans="26:26" x14ac:dyDescent="0.25">
      <c r="Z26947">
        <v>400000</v>
      </c>
    </row>
    <row r="26948" spans="26:26" x14ac:dyDescent="0.25">
      <c r="Z26948">
        <v>400000</v>
      </c>
    </row>
    <row r="26949" spans="26:26" x14ac:dyDescent="0.25">
      <c r="Z26949">
        <v>400000</v>
      </c>
    </row>
    <row r="26950" spans="26:26" x14ac:dyDescent="0.25">
      <c r="Z26950">
        <v>400000</v>
      </c>
    </row>
    <row r="26951" spans="26:26" x14ac:dyDescent="0.25">
      <c r="Z26951">
        <v>400000</v>
      </c>
    </row>
    <row r="26952" spans="26:26" x14ac:dyDescent="0.25">
      <c r="Z26952">
        <v>400000</v>
      </c>
    </row>
    <row r="26953" spans="26:26" x14ac:dyDescent="0.25">
      <c r="Z26953">
        <v>400000</v>
      </c>
    </row>
    <row r="26954" spans="26:26" x14ac:dyDescent="0.25">
      <c r="Z26954">
        <v>400000</v>
      </c>
    </row>
    <row r="26955" spans="26:26" x14ac:dyDescent="0.25">
      <c r="Z26955">
        <v>400000</v>
      </c>
    </row>
    <row r="26956" spans="26:26" x14ac:dyDescent="0.25">
      <c r="Z26956">
        <v>400000</v>
      </c>
    </row>
    <row r="26957" spans="26:26" x14ac:dyDescent="0.25">
      <c r="Z26957">
        <v>400000</v>
      </c>
    </row>
    <row r="26958" spans="26:26" x14ac:dyDescent="0.25">
      <c r="Z26958">
        <v>400000</v>
      </c>
    </row>
    <row r="26959" spans="26:26" x14ac:dyDescent="0.25">
      <c r="Z26959">
        <v>400000</v>
      </c>
    </row>
    <row r="26960" spans="26:26" x14ac:dyDescent="0.25">
      <c r="Z26960">
        <v>400000</v>
      </c>
    </row>
    <row r="26961" spans="26:26" x14ac:dyDescent="0.25">
      <c r="Z26961">
        <v>400000</v>
      </c>
    </row>
    <row r="26962" spans="26:26" x14ac:dyDescent="0.25">
      <c r="Z26962">
        <v>400000</v>
      </c>
    </row>
    <row r="26963" spans="26:26" x14ac:dyDescent="0.25">
      <c r="Z26963">
        <v>400000</v>
      </c>
    </row>
    <row r="26964" spans="26:26" x14ac:dyDescent="0.25">
      <c r="Z26964">
        <v>400000</v>
      </c>
    </row>
    <row r="26965" spans="26:26" x14ac:dyDescent="0.25">
      <c r="Z26965">
        <v>400000</v>
      </c>
    </row>
    <row r="26966" spans="26:26" x14ac:dyDescent="0.25">
      <c r="Z26966">
        <v>400000</v>
      </c>
    </row>
    <row r="26967" spans="26:26" x14ac:dyDescent="0.25">
      <c r="Z26967">
        <v>400000</v>
      </c>
    </row>
    <row r="26968" spans="26:26" x14ac:dyDescent="0.25">
      <c r="Z26968">
        <v>400000</v>
      </c>
    </row>
    <row r="26969" spans="26:26" x14ac:dyDescent="0.25">
      <c r="Z26969">
        <v>400000</v>
      </c>
    </row>
    <row r="26970" spans="26:26" x14ac:dyDescent="0.25">
      <c r="Z26970">
        <v>400000</v>
      </c>
    </row>
    <row r="26971" spans="26:26" x14ac:dyDescent="0.25">
      <c r="Z26971">
        <v>400000</v>
      </c>
    </row>
    <row r="26972" spans="26:26" x14ac:dyDescent="0.25">
      <c r="Z26972">
        <v>400000</v>
      </c>
    </row>
    <row r="26973" spans="26:26" x14ac:dyDescent="0.25">
      <c r="Z26973">
        <v>400000</v>
      </c>
    </row>
    <row r="26974" spans="26:26" x14ac:dyDescent="0.25">
      <c r="Z26974">
        <v>400000</v>
      </c>
    </row>
    <row r="26975" spans="26:26" x14ac:dyDescent="0.25">
      <c r="Z26975">
        <v>400000</v>
      </c>
    </row>
    <row r="26976" spans="26:26" x14ac:dyDescent="0.25">
      <c r="Z26976">
        <v>400000</v>
      </c>
    </row>
    <row r="26977" spans="26:26" x14ac:dyDescent="0.25">
      <c r="Z26977">
        <v>400000</v>
      </c>
    </row>
    <row r="26978" spans="26:26" x14ac:dyDescent="0.25">
      <c r="Z26978">
        <v>400000</v>
      </c>
    </row>
    <row r="26979" spans="26:26" x14ac:dyDescent="0.25">
      <c r="Z26979">
        <v>400000</v>
      </c>
    </row>
    <row r="26980" spans="26:26" x14ac:dyDescent="0.25">
      <c r="Z26980">
        <v>400000</v>
      </c>
    </row>
    <row r="26981" spans="26:26" x14ac:dyDescent="0.25">
      <c r="Z26981">
        <v>400000</v>
      </c>
    </row>
    <row r="26982" spans="26:26" x14ac:dyDescent="0.25">
      <c r="Z26982">
        <v>400000</v>
      </c>
    </row>
    <row r="26983" spans="26:26" x14ac:dyDescent="0.25">
      <c r="Z26983">
        <v>400000</v>
      </c>
    </row>
    <row r="26984" spans="26:26" x14ac:dyDescent="0.25">
      <c r="Z26984">
        <v>400000</v>
      </c>
    </row>
    <row r="26985" spans="26:26" x14ac:dyDescent="0.25">
      <c r="Z26985">
        <v>400000</v>
      </c>
    </row>
    <row r="26986" spans="26:26" x14ac:dyDescent="0.25">
      <c r="Z26986">
        <v>400000</v>
      </c>
    </row>
    <row r="26987" spans="26:26" x14ac:dyDescent="0.25">
      <c r="Z26987">
        <v>400000</v>
      </c>
    </row>
    <row r="26988" spans="26:26" x14ac:dyDescent="0.25">
      <c r="Z26988">
        <v>400000</v>
      </c>
    </row>
    <row r="26989" spans="26:26" x14ac:dyDescent="0.25">
      <c r="Z26989">
        <v>400000</v>
      </c>
    </row>
    <row r="26990" spans="26:26" x14ac:dyDescent="0.25">
      <c r="Z26990">
        <v>400000</v>
      </c>
    </row>
    <row r="26991" spans="26:26" x14ac:dyDescent="0.25">
      <c r="Z26991">
        <v>400000</v>
      </c>
    </row>
    <row r="26992" spans="26:26" x14ac:dyDescent="0.25">
      <c r="Z26992">
        <v>400000</v>
      </c>
    </row>
    <row r="26993" spans="26:26" x14ac:dyDescent="0.25">
      <c r="Z26993">
        <v>400000</v>
      </c>
    </row>
    <row r="26994" spans="26:26" x14ac:dyDescent="0.25">
      <c r="Z26994">
        <v>400000</v>
      </c>
    </row>
    <row r="26995" spans="26:26" x14ac:dyDescent="0.25">
      <c r="Z26995">
        <v>400000</v>
      </c>
    </row>
    <row r="26996" spans="26:26" x14ac:dyDescent="0.25">
      <c r="Z26996">
        <v>400000</v>
      </c>
    </row>
    <row r="26997" spans="26:26" x14ac:dyDescent="0.25">
      <c r="Z26997">
        <v>400000</v>
      </c>
    </row>
    <row r="26998" spans="26:26" x14ac:dyDescent="0.25">
      <c r="Z26998">
        <v>400000</v>
      </c>
    </row>
    <row r="26999" spans="26:26" x14ac:dyDescent="0.25">
      <c r="Z26999">
        <v>400000</v>
      </c>
    </row>
    <row r="27000" spans="26:26" x14ac:dyDescent="0.25">
      <c r="Z27000">
        <v>400000</v>
      </c>
    </row>
    <row r="27001" spans="26:26" x14ac:dyDescent="0.25">
      <c r="Z27001">
        <v>400000</v>
      </c>
    </row>
    <row r="27002" spans="26:26" x14ac:dyDescent="0.25">
      <c r="Z27002">
        <v>400000</v>
      </c>
    </row>
    <row r="27003" spans="26:26" x14ac:dyDescent="0.25">
      <c r="Z27003">
        <v>400000</v>
      </c>
    </row>
    <row r="27004" spans="26:26" x14ac:dyDescent="0.25">
      <c r="Z27004">
        <v>400000</v>
      </c>
    </row>
    <row r="27005" spans="26:26" x14ac:dyDescent="0.25">
      <c r="Z27005">
        <v>400000</v>
      </c>
    </row>
    <row r="27006" spans="26:26" x14ac:dyDescent="0.25">
      <c r="Z27006">
        <v>400000</v>
      </c>
    </row>
    <row r="27007" spans="26:26" x14ac:dyDescent="0.25">
      <c r="Z27007">
        <v>400000</v>
      </c>
    </row>
    <row r="27008" spans="26:26" x14ac:dyDescent="0.25">
      <c r="Z27008">
        <v>400000</v>
      </c>
    </row>
    <row r="27009" spans="26:26" x14ac:dyDescent="0.25">
      <c r="Z27009">
        <v>400000</v>
      </c>
    </row>
    <row r="27010" spans="26:26" x14ac:dyDescent="0.25">
      <c r="Z27010">
        <v>400000</v>
      </c>
    </row>
    <row r="27011" spans="26:26" x14ac:dyDescent="0.25">
      <c r="Z27011">
        <v>400000</v>
      </c>
    </row>
    <row r="27012" spans="26:26" x14ac:dyDescent="0.25">
      <c r="Z27012">
        <v>400000</v>
      </c>
    </row>
    <row r="27013" spans="26:26" x14ac:dyDescent="0.25">
      <c r="Z27013">
        <v>400000</v>
      </c>
    </row>
    <row r="27014" spans="26:26" x14ac:dyDescent="0.25">
      <c r="Z27014">
        <v>400000</v>
      </c>
    </row>
    <row r="27015" spans="26:26" x14ac:dyDescent="0.25">
      <c r="Z27015">
        <v>400000</v>
      </c>
    </row>
    <row r="27016" spans="26:26" x14ac:dyDescent="0.25">
      <c r="Z27016">
        <v>400000</v>
      </c>
    </row>
    <row r="27017" spans="26:26" x14ac:dyDescent="0.25">
      <c r="Z27017">
        <v>400000</v>
      </c>
    </row>
    <row r="27018" spans="26:26" x14ac:dyDescent="0.25">
      <c r="Z27018">
        <v>400000</v>
      </c>
    </row>
    <row r="27019" spans="26:26" x14ac:dyDescent="0.25">
      <c r="Z27019">
        <v>400000</v>
      </c>
    </row>
    <row r="27020" spans="26:26" x14ac:dyDescent="0.25">
      <c r="Z27020">
        <v>400000</v>
      </c>
    </row>
    <row r="27021" spans="26:26" x14ac:dyDescent="0.25">
      <c r="Z27021">
        <v>400000</v>
      </c>
    </row>
    <row r="27022" spans="26:26" x14ac:dyDescent="0.25">
      <c r="Z27022">
        <v>400000</v>
      </c>
    </row>
    <row r="27023" spans="26:26" x14ac:dyDescent="0.25">
      <c r="Z27023">
        <v>400000</v>
      </c>
    </row>
    <row r="27024" spans="26:26" x14ac:dyDescent="0.25">
      <c r="Z27024">
        <v>400000</v>
      </c>
    </row>
    <row r="27025" spans="26:26" x14ac:dyDescent="0.25">
      <c r="Z27025">
        <v>400000</v>
      </c>
    </row>
    <row r="27026" spans="26:26" x14ac:dyDescent="0.25">
      <c r="Z27026">
        <v>400000</v>
      </c>
    </row>
    <row r="27027" spans="26:26" x14ac:dyDescent="0.25">
      <c r="Z27027">
        <v>400000</v>
      </c>
    </row>
    <row r="27028" spans="26:26" x14ac:dyDescent="0.25">
      <c r="Z27028">
        <v>400000</v>
      </c>
    </row>
    <row r="27029" spans="26:26" x14ac:dyDescent="0.25">
      <c r="Z27029">
        <v>400000</v>
      </c>
    </row>
    <row r="27030" spans="26:26" x14ac:dyDescent="0.25">
      <c r="Z27030">
        <v>400000</v>
      </c>
    </row>
    <row r="27031" spans="26:26" x14ac:dyDescent="0.25">
      <c r="Z27031">
        <v>400000</v>
      </c>
    </row>
    <row r="27032" spans="26:26" x14ac:dyDescent="0.25">
      <c r="Z27032">
        <v>400000</v>
      </c>
    </row>
    <row r="27033" spans="26:26" x14ac:dyDescent="0.25">
      <c r="Z27033">
        <v>400000</v>
      </c>
    </row>
    <row r="27034" spans="26:26" x14ac:dyDescent="0.25">
      <c r="Z27034">
        <v>400000</v>
      </c>
    </row>
    <row r="27035" spans="26:26" x14ac:dyDescent="0.25">
      <c r="Z27035">
        <v>400000</v>
      </c>
    </row>
    <row r="27036" spans="26:26" x14ac:dyDescent="0.25">
      <c r="Z27036">
        <v>400000</v>
      </c>
    </row>
    <row r="27037" spans="26:26" x14ac:dyDescent="0.25">
      <c r="Z27037">
        <v>400000</v>
      </c>
    </row>
    <row r="27038" spans="26:26" x14ac:dyDescent="0.25">
      <c r="Z27038">
        <v>400000</v>
      </c>
    </row>
    <row r="27039" spans="26:26" x14ac:dyDescent="0.25">
      <c r="Z27039">
        <v>400000</v>
      </c>
    </row>
    <row r="27040" spans="26:26" x14ac:dyDescent="0.25">
      <c r="Z27040">
        <v>400000</v>
      </c>
    </row>
    <row r="27041" spans="26:26" x14ac:dyDescent="0.25">
      <c r="Z27041">
        <v>400000</v>
      </c>
    </row>
    <row r="27042" spans="26:26" x14ac:dyDescent="0.25">
      <c r="Z27042">
        <v>400000</v>
      </c>
    </row>
    <row r="27043" spans="26:26" x14ac:dyDescent="0.25">
      <c r="Z27043">
        <v>400000</v>
      </c>
    </row>
    <row r="27044" spans="26:26" x14ac:dyDescent="0.25">
      <c r="Z27044">
        <v>400000</v>
      </c>
    </row>
    <row r="27045" spans="26:26" x14ac:dyDescent="0.25">
      <c r="Z27045">
        <v>400000</v>
      </c>
    </row>
    <row r="27046" spans="26:26" x14ac:dyDescent="0.25">
      <c r="Z27046">
        <v>400000</v>
      </c>
    </row>
    <row r="27047" spans="26:26" x14ac:dyDescent="0.25">
      <c r="Z27047">
        <v>400000</v>
      </c>
    </row>
    <row r="27048" spans="26:26" x14ac:dyDescent="0.25">
      <c r="Z27048">
        <v>400000</v>
      </c>
    </row>
    <row r="27049" spans="26:26" x14ac:dyDescent="0.25">
      <c r="Z27049">
        <v>400000</v>
      </c>
    </row>
    <row r="27050" spans="26:26" x14ac:dyDescent="0.25">
      <c r="Z27050">
        <v>400000</v>
      </c>
    </row>
    <row r="27051" spans="26:26" x14ac:dyDescent="0.25">
      <c r="Z27051">
        <v>400000</v>
      </c>
    </row>
    <row r="27052" spans="26:26" x14ac:dyDescent="0.25">
      <c r="Z27052">
        <v>400000</v>
      </c>
    </row>
    <row r="27053" spans="26:26" x14ac:dyDescent="0.25">
      <c r="Z27053">
        <v>400000</v>
      </c>
    </row>
    <row r="27054" spans="26:26" x14ac:dyDescent="0.25">
      <c r="Z27054">
        <v>400000</v>
      </c>
    </row>
    <row r="27055" spans="26:26" x14ac:dyDescent="0.25">
      <c r="Z27055">
        <v>400000</v>
      </c>
    </row>
    <row r="27056" spans="26:26" x14ac:dyDescent="0.25">
      <c r="Z27056">
        <v>400000</v>
      </c>
    </row>
    <row r="27057" spans="26:26" x14ac:dyDescent="0.25">
      <c r="Z27057">
        <v>400000</v>
      </c>
    </row>
    <row r="27058" spans="26:26" x14ac:dyDescent="0.25">
      <c r="Z27058">
        <v>400000</v>
      </c>
    </row>
    <row r="27059" spans="26:26" x14ac:dyDescent="0.25">
      <c r="Z27059">
        <v>400000</v>
      </c>
    </row>
    <row r="27060" spans="26:26" x14ac:dyDescent="0.25">
      <c r="Z27060">
        <v>400000</v>
      </c>
    </row>
    <row r="27061" spans="26:26" x14ac:dyDescent="0.25">
      <c r="Z27061">
        <v>400000</v>
      </c>
    </row>
    <row r="27062" spans="26:26" x14ac:dyDescent="0.25">
      <c r="Z27062">
        <v>400000</v>
      </c>
    </row>
    <row r="27063" spans="26:26" x14ac:dyDescent="0.25">
      <c r="Z27063">
        <v>400000</v>
      </c>
    </row>
    <row r="27064" spans="26:26" x14ac:dyDescent="0.25">
      <c r="Z27064">
        <v>400000</v>
      </c>
    </row>
    <row r="27065" spans="26:26" x14ac:dyDescent="0.25">
      <c r="Z27065">
        <v>400000</v>
      </c>
    </row>
    <row r="27066" spans="26:26" x14ac:dyDescent="0.25">
      <c r="Z27066">
        <v>400000</v>
      </c>
    </row>
    <row r="27067" spans="26:26" x14ac:dyDescent="0.25">
      <c r="Z27067">
        <v>400000</v>
      </c>
    </row>
    <row r="27068" spans="26:26" x14ac:dyDescent="0.25">
      <c r="Z27068">
        <v>400000</v>
      </c>
    </row>
    <row r="27069" spans="26:26" x14ac:dyDescent="0.25">
      <c r="Z27069">
        <v>400000</v>
      </c>
    </row>
    <row r="27070" spans="26:26" x14ac:dyDescent="0.25">
      <c r="Z27070">
        <v>400000</v>
      </c>
    </row>
    <row r="27071" spans="26:26" x14ac:dyDescent="0.25">
      <c r="Z27071">
        <v>400000</v>
      </c>
    </row>
    <row r="27072" spans="26:26" x14ac:dyDescent="0.25">
      <c r="Z27072">
        <v>400000</v>
      </c>
    </row>
    <row r="27073" spans="26:26" x14ac:dyDescent="0.25">
      <c r="Z27073">
        <v>400000</v>
      </c>
    </row>
    <row r="27074" spans="26:26" x14ac:dyDescent="0.25">
      <c r="Z27074">
        <v>400000</v>
      </c>
    </row>
    <row r="27075" spans="26:26" x14ac:dyDescent="0.25">
      <c r="Z27075">
        <v>400000</v>
      </c>
    </row>
    <row r="27076" spans="26:26" x14ac:dyDescent="0.25">
      <c r="Z27076">
        <v>400000</v>
      </c>
    </row>
    <row r="27077" spans="26:26" x14ac:dyDescent="0.25">
      <c r="Z27077">
        <v>400000</v>
      </c>
    </row>
    <row r="27078" spans="26:26" x14ac:dyDescent="0.25">
      <c r="Z27078">
        <v>400000</v>
      </c>
    </row>
    <row r="27079" spans="26:26" x14ac:dyDescent="0.25">
      <c r="Z27079">
        <v>400000</v>
      </c>
    </row>
    <row r="27080" spans="26:26" x14ac:dyDescent="0.25">
      <c r="Z27080">
        <v>400000</v>
      </c>
    </row>
    <row r="27081" spans="26:26" x14ac:dyDescent="0.25">
      <c r="Z27081">
        <v>400000</v>
      </c>
    </row>
    <row r="27082" spans="26:26" x14ac:dyDescent="0.25">
      <c r="Z27082">
        <v>400000</v>
      </c>
    </row>
    <row r="27083" spans="26:26" x14ac:dyDescent="0.25">
      <c r="Z27083">
        <v>400000</v>
      </c>
    </row>
    <row r="27084" spans="26:26" x14ac:dyDescent="0.25">
      <c r="Z27084">
        <v>400000</v>
      </c>
    </row>
    <row r="27085" spans="26:26" x14ac:dyDescent="0.25">
      <c r="Z27085">
        <v>400000</v>
      </c>
    </row>
    <row r="27086" spans="26:26" x14ac:dyDescent="0.25">
      <c r="Z27086">
        <v>400000</v>
      </c>
    </row>
    <row r="27087" spans="26:26" x14ac:dyDescent="0.25">
      <c r="Z27087">
        <v>400000</v>
      </c>
    </row>
    <row r="27088" spans="26:26" x14ac:dyDescent="0.25">
      <c r="Z27088">
        <v>400000</v>
      </c>
    </row>
    <row r="27089" spans="26:26" x14ac:dyDescent="0.25">
      <c r="Z27089">
        <v>400000</v>
      </c>
    </row>
    <row r="27090" spans="26:26" x14ac:dyDescent="0.25">
      <c r="Z27090">
        <v>400000</v>
      </c>
    </row>
    <row r="27091" spans="26:26" x14ac:dyDescent="0.25">
      <c r="Z27091">
        <v>400000</v>
      </c>
    </row>
    <row r="27092" spans="26:26" x14ac:dyDescent="0.25">
      <c r="Z27092">
        <v>400000</v>
      </c>
    </row>
    <row r="27093" spans="26:26" x14ac:dyDescent="0.25">
      <c r="Z27093">
        <v>400000</v>
      </c>
    </row>
    <row r="27094" spans="26:26" x14ac:dyDescent="0.25">
      <c r="Z27094">
        <v>400000</v>
      </c>
    </row>
    <row r="27095" spans="26:26" x14ac:dyDescent="0.25">
      <c r="Z27095">
        <v>400000</v>
      </c>
    </row>
    <row r="27096" spans="26:26" x14ac:dyDescent="0.25">
      <c r="Z27096">
        <v>400000</v>
      </c>
    </row>
    <row r="27097" spans="26:26" x14ac:dyDescent="0.25">
      <c r="Z27097">
        <v>400000</v>
      </c>
    </row>
    <row r="27098" spans="26:26" x14ac:dyDescent="0.25">
      <c r="Z27098">
        <v>400000</v>
      </c>
    </row>
    <row r="27099" spans="26:26" x14ac:dyDescent="0.25">
      <c r="Z27099">
        <v>400000</v>
      </c>
    </row>
    <row r="27100" spans="26:26" x14ac:dyDescent="0.25">
      <c r="Z27100">
        <v>400000</v>
      </c>
    </row>
    <row r="27101" spans="26:26" x14ac:dyDescent="0.25">
      <c r="Z27101">
        <v>400000</v>
      </c>
    </row>
    <row r="27102" spans="26:26" x14ac:dyDescent="0.25">
      <c r="Z27102">
        <v>400000</v>
      </c>
    </row>
    <row r="27103" spans="26:26" x14ac:dyDescent="0.25">
      <c r="Z27103">
        <v>400000</v>
      </c>
    </row>
    <row r="27104" spans="26:26" x14ac:dyDescent="0.25">
      <c r="Z27104">
        <v>400000</v>
      </c>
    </row>
    <row r="27105" spans="26:26" x14ac:dyDescent="0.25">
      <c r="Z27105">
        <v>400000</v>
      </c>
    </row>
    <row r="27106" spans="26:26" x14ac:dyDescent="0.25">
      <c r="Z27106">
        <v>400000</v>
      </c>
    </row>
    <row r="27107" spans="26:26" x14ac:dyDescent="0.25">
      <c r="Z27107">
        <v>400000</v>
      </c>
    </row>
    <row r="27108" spans="26:26" x14ac:dyDescent="0.25">
      <c r="Z27108">
        <v>400000</v>
      </c>
    </row>
    <row r="27109" spans="26:26" x14ac:dyDescent="0.25">
      <c r="Z27109">
        <v>400000</v>
      </c>
    </row>
    <row r="27110" spans="26:26" x14ac:dyDescent="0.25">
      <c r="Z27110">
        <v>400000</v>
      </c>
    </row>
    <row r="27111" spans="26:26" x14ac:dyDescent="0.25">
      <c r="Z27111">
        <v>400000</v>
      </c>
    </row>
    <row r="27112" spans="26:26" x14ac:dyDescent="0.25">
      <c r="Z27112">
        <v>400000</v>
      </c>
    </row>
    <row r="27113" spans="26:26" x14ac:dyDescent="0.25">
      <c r="Z27113">
        <v>400000</v>
      </c>
    </row>
    <row r="27114" spans="26:26" x14ac:dyDescent="0.25">
      <c r="Z27114">
        <v>400000</v>
      </c>
    </row>
    <row r="27115" spans="26:26" x14ac:dyDescent="0.25">
      <c r="Z27115">
        <v>400000</v>
      </c>
    </row>
    <row r="27116" spans="26:26" x14ac:dyDescent="0.25">
      <c r="Z27116">
        <v>400000</v>
      </c>
    </row>
    <row r="27117" spans="26:26" x14ac:dyDescent="0.25">
      <c r="Z27117">
        <v>400000</v>
      </c>
    </row>
    <row r="27118" spans="26:26" x14ac:dyDescent="0.25">
      <c r="Z27118">
        <v>400000</v>
      </c>
    </row>
    <row r="27119" spans="26:26" x14ac:dyDescent="0.25">
      <c r="Z27119">
        <v>400000</v>
      </c>
    </row>
    <row r="27120" spans="26:26" x14ac:dyDescent="0.25">
      <c r="Z27120">
        <v>400000</v>
      </c>
    </row>
    <row r="27121" spans="26:26" x14ac:dyDescent="0.25">
      <c r="Z27121">
        <v>400000</v>
      </c>
    </row>
    <row r="27122" spans="26:26" x14ac:dyDescent="0.25">
      <c r="Z27122">
        <v>400000</v>
      </c>
    </row>
    <row r="27123" spans="26:26" x14ac:dyDescent="0.25">
      <c r="Z27123">
        <v>400000</v>
      </c>
    </row>
    <row r="27124" spans="26:26" x14ac:dyDescent="0.25">
      <c r="Z27124">
        <v>400000</v>
      </c>
    </row>
    <row r="27125" spans="26:26" x14ac:dyDescent="0.25">
      <c r="Z27125">
        <v>400000</v>
      </c>
    </row>
    <row r="27126" spans="26:26" x14ac:dyDescent="0.25">
      <c r="Z27126">
        <v>400000</v>
      </c>
    </row>
    <row r="27127" spans="26:26" x14ac:dyDescent="0.25">
      <c r="Z27127">
        <v>400000</v>
      </c>
    </row>
    <row r="27128" spans="26:26" x14ac:dyDescent="0.25">
      <c r="Z27128">
        <v>400000</v>
      </c>
    </row>
    <row r="27129" spans="26:26" x14ac:dyDescent="0.25">
      <c r="Z27129">
        <v>400000</v>
      </c>
    </row>
    <row r="27130" spans="26:26" x14ac:dyDescent="0.25">
      <c r="Z27130">
        <v>400000</v>
      </c>
    </row>
    <row r="27131" spans="26:26" x14ac:dyDescent="0.25">
      <c r="Z27131">
        <v>400000</v>
      </c>
    </row>
    <row r="27132" spans="26:26" x14ac:dyDescent="0.25">
      <c r="Z27132">
        <v>400000</v>
      </c>
    </row>
    <row r="27133" spans="26:26" x14ac:dyDescent="0.25">
      <c r="Z27133">
        <v>400000</v>
      </c>
    </row>
    <row r="27134" spans="26:26" x14ac:dyDescent="0.25">
      <c r="Z27134">
        <v>400000</v>
      </c>
    </row>
    <row r="27135" spans="26:26" x14ac:dyDescent="0.25">
      <c r="Z27135">
        <v>400000</v>
      </c>
    </row>
    <row r="27136" spans="26:26" x14ac:dyDescent="0.25">
      <c r="Z27136">
        <v>400000</v>
      </c>
    </row>
    <row r="27137" spans="26:26" x14ac:dyDescent="0.25">
      <c r="Z27137">
        <v>400000</v>
      </c>
    </row>
    <row r="27138" spans="26:26" x14ac:dyDescent="0.25">
      <c r="Z27138">
        <v>400000</v>
      </c>
    </row>
    <row r="27139" spans="26:26" x14ac:dyDescent="0.25">
      <c r="Z27139">
        <v>400000</v>
      </c>
    </row>
    <row r="27140" spans="26:26" x14ac:dyDescent="0.25">
      <c r="Z27140">
        <v>400000</v>
      </c>
    </row>
    <row r="27141" spans="26:26" x14ac:dyDescent="0.25">
      <c r="Z27141">
        <v>400000</v>
      </c>
    </row>
    <row r="27142" spans="26:26" x14ac:dyDescent="0.25">
      <c r="Z27142">
        <v>400000</v>
      </c>
    </row>
    <row r="27143" spans="26:26" x14ac:dyDescent="0.25">
      <c r="Z27143">
        <v>400000</v>
      </c>
    </row>
    <row r="27144" spans="26:26" x14ac:dyDescent="0.25">
      <c r="Z27144">
        <v>400000</v>
      </c>
    </row>
    <row r="27145" spans="26:26" x14ac:dyDescent="0.25">
      <c r="Z27145">
        <v>400000</v>
      </c>
    </row>
    <row r="27146" spans="26:26" x14ac:dyDescent="0.25">
      <c r="Z27146">
        <v>400000</v>
      </c>
    </row>
    <row r="27147" spans="26:26" x14ac:dyDescent="0.25">
      <c r="Z27147">
        <v>400000</v>
      </c>
    </row>
    <row r="27148" spans="26:26" x14ac:dyDescent="0.25">
      <c r="Z27148">
        <v>400000</v>
      </c>
    </row>
    <row r="27149" spans="26:26" x14ac:dyDescent="0.25">
      <c r="Z27149">
        <v>400000</v>
      </c>
    </row>
    <row r="27150" spans="26:26" x14ac:dyDescent="0.25">
      <c r="Z27150">
        <v>400000</v>
      </c>
    </row>
    <row r="27151" spans="26:26" x14ac:dyDescent="0.25">
      <c r="Z27151">
        <v>400000</v>
      </c>
    </row>
    <row r="27152" spans="26:26" x14ac:dyDescent="0.25">
      <c r="Z27152">
        <v>400000</v>
      </c>
    </row>
    <row r="27153" spans="26:26" x14ac:dyDescent="0.25">
      <c r="Z27153">
        <v>400000</v>
      </c>
    </row>
    <row r="27154" spans="26:26" x14ac:dyDescent="0.25">
      <c r="Z27154">
        <v>400000</v>
      </c>
    </row>
    <row r="27155" spans="26:26" x14ac:dyDescent="0.25">
      <c r="Z27155">
        <v>400000</v>
      </c>
    </row>
    <row r="27156" spans="26:26" x14ac:dyDescent="0.25">
      <c r="Z27156">
        <v>400000</v>
      </c>
    </row>
    <row r="27157" spans="26:26" x14ac:dyDescent="0.25">
      <c r="Z27157">
        <v>400000</v>
      </c>
    </row>
    <row r="27158" spans="26:26" x14ac:dyDescent="0.25">
      <c r="Z27158">
        <v>400000</v>
      </c>
    </row>
    <row r="27159" spans="26:26" x14ac:dyDescent="0.25">
      <c r="Z27159">
        <v>400000</v>
      </c>
    </row>
    <row r="27160" spans="26:26" x14ac:dyDescent="0.25">
      <c r="Z27160">
        <v>400000</v>
      </c>
    </row>
    <row r="27161" spans="26:26" x14ac:dyDescent="0.25">
      <c r="Z27161">
        <v>400000</v>
      </c>
    </row>
    <row r="27162" spans="26:26" x14ac:dyDescent="0.25">
      <c r="Z27162">
        <v>400000</v>
      </c>
    </row>
    <row r="27163" spans="26:26" x14ac:dyDescent="0.25">
      <c r="Z27163">
        <v>400000</v>
      </c>
    </row>
    <row r="27164" spans="26:26" x14ac:dyDescent="0.25">
      <c r="Z27164">
        <v>400000</v>
      </c>
    </row>
    <row r="27165" spans="26:26" x14ac:dyDescent="0.25">
      <c r="Z27165">
        <v>400000</v>
      </c>
    </row>
    <row r="27166" spans="26:26" x14ac:dyDescent="0.25">
      <c r="Z27166">
        <v>400000</v>
      </c>
    </row>
    <row r="27167" spans="26:26" x14ac:dyDescent="0.25">
      <c r="Z27167">
        <v>400000</v>
      </c>
    </row>
    <row r="27168" spans="26:26" x14ac:dyDescent="0.25">
      <c r="Z27168">
        <v>400000</v>
      </c>
    </row>
    <row r="27169" spans="26:26" x14ac:dyDescent="0.25">
      <c r="Z27169">
        <v>400000</v>
      </c>
    </row>
    <row r="27170" spans="26:26" x14ac:dyDescent="0.25">
      <c r="Z27170">
        <v>400000</v>
      </c>
    </row>
    <row r="27171" spans="26:26" x14ac:dyDescent="0.25">
      <c r="Z27171">
        <v>400000</v>
      </c>
    </row>
    <row r="27172" spans="26:26" x14ac:dyDescent="0.25">
      <c r="Z27172">
        <v>400000</v>
      </c>
    </row>
    <row r="27173" spans="26:26" x14ac:dyDescent="0.25">
      <c r="Z27173">
        <v>400000</v>
      </c>
    </row>
    <row r="27174" spans="26:26" x14ac:dyDescent="0.25">
      <c r="Z27174">
        <v>400000</v>
      </c>
    </row>
    <row r="27175" spans="26:26" x14ac:dyDescent="0.25">
      <c r="Z27175">
        <v>400000</v>
      </c>
    </row>
    <row r="27176" spans="26:26" x14ac:dyDescent="0.25">
      <c r="Z27176">
        <v>400000</v>
      </c>
    </row>
    <row r="27177" spans="26:26" x14ac:dyDescent="0.25">
      <c r="Z27177">
        <v>400000</v>
      </c>
    </row>
    <row r="27178" spans="26:26" x14ac:dyDescent="0.25">
      <c r="Z27178">
        <v>400000</v>
      </c>
    </row>
    <row r="27179" spans="26:26" x14ac:dyDescent="0.25">
      <c r="Z27179">
        <v>400000</v>
      </c>
    </row>
    <row r="27180" spans="26:26" x14ac:dyDescent="0.25">
      <c r="Z27180">
        <v>400000</v>
      </c>
    </row>
    <row r="27181" spans="26:26" x14ac:dyDescent="0.25">
      <c r="Z27181">
        <v>400000</v>
      </c>
    </row>
    <row r="27182" spans="26:26" x14ac:dyDescent="0.25">
      <c r="Z27182">
        <v>400000</v>
      </c>
    </row>
    <row r="27183" spans="26:26" x14ac:dyDescent="0.25">
      <c r="Z27183">
        <v>400000</v>
      </c>
    </row>
    <row r="27184" spans="26:26" x14ac:dyDescent="0.25">
      <c r="Z27184">
        <v>400000</v>
      </c>
    </row>
    <row r="27185" spans="26:26" x14ac:dyDescent="0.25">
      <c r="Z27185">
        <v>400000</v>
      </c>
    </row>
    <row r="27186" spans="26:26" x14ac:dyDescent="0.25">
      <c r="Z27186">
        <v>400000</v>
      </c>
    </row>
    <row r="27187" spans="26:26" x14ac:dyDescent="0.25">
      <c r="Z27187">
        <v>400000</v>
      </c>
    </row>
    <row r="27188" spans="26:26" x14ac:dyDescent="0.25">
      <c r="Z27188">
        <v>400000</v>
      </c>
    </row>
    <row r="27189" spans="26:26" x14ac:dyDescent="0.25">
      <c r="Z27189">
        <v>400000</v>
      </c>
    </row>
    <row r="27190" spans="26:26" x14ac:dyDescent="0.25">
      <c r="Z27190">
        <v>400000</v>
      </c>
    </row>
    <row r="27191" spans="26:26" x14ac:dyDescent="0.25">
      <c r="Z27191">
        <v>400000</v>
      </c>
    </row>
    <row r="27192" spans="26:26" x14ac:dyDescent="0.25">
      <c r="Z27192">
        <v>400000</v>
      </c>
    </row>
    <row r="27193" spans="26:26" x14ac:dyDescent="0.25">
      <c r="Z27193">
        <v>400000</v>
      </c>
    </row>
    <row r="27194" spans="26:26" x14ac:dyDescent="0.25">
      <c r="Z27194">
        <v>400000</v>
      </c>
    </row>
    <row r="27195" spans="26:26" x14ac:dyDescent="0.25">
      <c r="Z27195">
        <v>400000</v>
      </c>
    </row>
    <row r="27196" spans="26:26" x14ac:dyDescent="0.25">
      <c r="Z27196">
        <v>400000</v>
      </c>
    </row>
    <row r="27197" spans="26:26" x14ac:dyDescent="0.25">
      <c r="Z27197">
        <v>400000</v>
      </c>
    </row>
    <row r="27198" spans="26:26" x14ac:dyDescent="0.25">
      <c r="Z27198">
        <v>400000</v>
      </c>
    </row>
    <row r="27199" spans="26:26" x14ac:dyDescent="0.25">
      <c r="Z27199">
        <v>400000</v>
      </c>
    </row>
    <row r="27200" spans="26:26" x14ac:dyDescent="0.25">
      <c r="Z27200">
        <v>400000</v>
      </c>
    </row>
    <row r="27201" spans="26:26" x14ac:dyDescent="0.25">
      <c r="Z27201">
        <v>400000</v>
      </c>
    </row>
    <row r="27202" spans="26:26" x14ac:dyDescent="0.25">
      <c r="Z27202">
        <v>400000</v>
      </c>
    </row>
    <row r="27203" spans="26:26" x14ac:dyDescent="0.25">
      <c r="Z27203">
        <v>400000</v>
      </c>
    </row>
    <row r="27204" spans="26:26" x14ac:dyDescent="0.25">
      <c r="Z27204">
        <v>400000</v>
      </c>
    </row>
    <row r="27205" spans="26:26" x14ac:dyDescent="0.25">
      <c r="Z27205">
        <v>400000</v>
      </c>
    </row>
    <row r="27206" spans="26:26" x14ac:dyDescent="0.25">
      <c r="Z27206">
        <v>400000</v>
      </c>
    </row>
    <row r="27207" spans="26:26" x14ac:dyDescent="0.25">
      <c r="Z27207">
        <v>400000</v>
      </c>
    </row>
    <row r="27208" spans="26:26" x14ac:dyDescent="0.25">
      <c r="Z27208">
        <v>400000</v>
      </c>
    </row>
    <row r="27209" spans="26:26" x14ac:dyDescent="0.25">
      <c r="Z27209">
        <v>400000</v>
      </c>
    </row>
    <row r="27210" spans="26:26" x14ac:dyDescent="0.25">
      <c r="Z27210">
        <v>400000</v>
      </c>
    </row>
    <row r="27211" spans="26:26" x14ac:dyDescent="0.25">
      <c r="Z27211">
        <v>400000</v>
      </c>
    </row>
    <row r="27212" spans="26:26" x14ac:dyDescent="0.25">
      <c r="Z27212">
        <v>400000</v>
      </c>
    </row>
    <row r="27213" spans="26:26" x14ac:dyDescent="0.25">
      <c r="Z27213">
        <v>400000</v>
      </c>
    </row>
    <row r="27214" spans="26:26" x14ac:dyDescent="0.25">
      <c r="Z27214">
        <v>400000</v>
      </c>
    </row>
    <row r="27215" spans="26:26" x14ac:dyDescent="0.25">
      <c r="Z27215">
        <v>400000</v>
      </c>
    </row>
    <row r="27216" spans="26:26" x14ac:dyDescent="0.25">
      <c r="Z27216">
        <v>400000</v>
      </c>
    </row>
    <row r="27217" spans="26:26" x14ac:dyDescent="0.25">
      <c r="Z27217">
        <v>400000</v>
      </c>
    </row>
    <row r="27218" spans="26:26" x14ac:dyDescent="0.25">
      <c r="Z27218">
        <v>400000</v>
      </c>
    </row>
    <row r="27219" spans="26:26" x14ac:dyDescent="0.25">
      <c r="Z27219">
        <v>400000</v>
      </c>
    </row>
    <row r="27220" spans="26:26" x14ac:dyDescent="0.25">
      <c r="Z27220">
        <v>400000</v>
      </c>
    </row>
    <row r="27221" spans="26:26" x14ac:dyDescent="0.25">
      <c r="Z27221">
        <v>400000</v>
      </c>
    </row>
    <row r="27222" spans="26:26" x14ac:dyDescent="0.25">
      <c r="Z27222">
        <v>400000</v>
      </c>
    </row>
    <row r="27223" spans="26:26" x14ac:dyDescent="0.25">
      <c r="Z27223">
        <v>400000</v>
      </c>
    </row>
    <row r="27224" spans="26:26" x14ac:dyDescent="0.25">
      <c r="Z27224">
        <v>400000</v>
      </c>
    </row>
    <row r="27225" spans="26:26" x14ac:dyDescent="0.25">
      <c r="Z27225">
        <v>400000</v>
      </c>
    </row>
    <row r="27226" spans="26:26" x14ac:dyDescent="0.25">
      <c r="Z27226">
        <v>400000</v>
      </c>
    </row>
    <row r="27227" spans="26:26" x14ac:dyDescent="0.25">
      <c r="Z27227">
        <v>400000</v>
      </c>
    </row>
    <row r="27228" spans="26:26" x14ac:dyDescent="0.25">
      <c r="Z27228">
        <v>400000</v>
      </c>
    </row>
    <row r="27229" spans="26:26" x14ac:dyDescent="0.25">
      <c r="Z27229">
        <v>400000</v>
      </c>
    </row>
    <row r="27230" spans="26:26" x14ac:dyDescent="0.25">
      <c r="Z27230">
        <v>400000</v>
      </c>
    </row>
    <row r="27231" spans="26:26" x14ac:dyDescent="0.25">
      <c r="Z27231">
        <v>400000</v>
      </c>
    </row>
    <row r="27232" spans="26:26" x14ac:dyDescent="0.25">
      <c r="Z27232">
        <v>400000</v>
      </c>
    </row>
    <row r="27233" spans="26:26" x14ac:dyDescent="0.25">
      <c r="Z27233">
        <v>400000</v>
      </c>
    </row>
    <row r="27234" spans="26:26" x14ac:dyDescent="0.25">
      <c r="Z27234">
        <v>400000</v>
      </c>
    </row>
    <row r="27235" spans="26:26" x14ac:dyDescent="0.25">
      <c r="Z27235">
        <v>400000</v>
      </c>
    </row>
    <row r="27236" spans="26:26" x14ac:dyDescent="0.25">
      <c r="Z27236">
        <v>400000</v>
      </c>
    </row>
    <row r="27237" spans="26:26" x14ac:dyDescent="0.25">
      <c r="Z27237">
        <v>400000</v>
      </c>
    </row>
    <row r="27238" spans="26:26" x14ac:dyDescent="0.25">
      <c r="Z27238">
        <v>400000</v>
      </c>
    </row>
    <row r="27239" spans="26:26" x14ac:dyDescent="0.25">
      <c r="Z27239">
        <v>400000</v>
      </c>
    </row>
    <row r="27240" spans="26:26" x14ac:dyDescent="0.25">
      <c r="Z27240">
        <v>400000</v>
      </c>
    </row>
    <row r="27241" spans="26:26" x14ac:dyDescent="0.25">
      <c r="Z27241">
        <v>400000</v>
      </c>
    </row>
    <row r="27242" spans="26:26" x14ac:dyDescent="0.25">
      <c r="Z27242">
        <v>400000</v>
      </c>
    </row>
    <row r="27243" spans="26:26" x14ac:dyDescent="0.25">
      <c r="Z27243">
        <v>400000</v>
      </c>
    </row>
    <row r="27244" spans="26:26" x14ac:dyDescent="0.25">
      <c r="Z27244">
        <v>400000</v>
      </c>
    </row>
    <row r="27245" spans="26:26" x14ac:dyDescent="0.25">
      <c r="Z27245">
        <v>400000</v>
      </c>
    </row>
    <row r="27246" spans="26:26" x14ac:dyDescent="0.25">
      <c r="Z27246">
        <v>400000</v>
      </c>
    </row>
    <row r="27247" spans="26:26" x14ac:dyDescent="0.25">
      <c r="Z27247">
        <v>400000</v>
      </c>
    </row>
    <row r="27248" spans="26:26" x14ac:dyDescent="0.25">
      <c r="Z27248">
        <v>400000</v>
      </c>
    </row>
    <row r="27249" spans="26:26" x14ac:dyDescent="0.25">
      <c r="Z27249">
        <v>400000</v>
      </c>
    </row>
    <row r="27250" spans="26:26" x14ac:dyDescent="0.25">
      <c r="Z27250">
        <v>400000</v>
      </c>
    </row>
    <row r="27251" spans="26:26" x14ac:dyDescent="0.25">
      <c r="Z27251">
        <v>400000</v>
      </c>
    </row>
    <row r="27252" spans="26:26" x14ac:dyDescent="0.25">
      <c r="Z27252">
        <v>400000</v>
      </c>
    </row>
    <row r="27253" spans="26:26" x14ac:dyDescent="0.25">
      <c r="Z27253">
        <v>400000</v>
      </c>
    </row>
    <row r="27254" spans="26:26" x14ac:dyDescent="0.25">
      <c r="Z27254">
        <v>400000</v>
      </c>
    </row>
    <row r="27255" spans="26:26" x14ac:dyDescent="0.25">
      <c r="Z27255">
        <v>400000</v>
      </c>
    </row>
    <row r="27256" spans="26:26" x14ac:dyDescent="0.25">
      <c r="Z27256">
        <v>400000</v>
      </c>
    </row>
    <row r="27257" spans="26:26" x14ac:dyDescent="0.25">
      <c r="Z27257">
        <v>400000</v>
      </c>
    </row>
    <row r="27258" spans="26:26" x14ac:dyDescent="0.25">
      <c r="Z27258">
        <v>400000</v>
      </c>
    </row>
    <row r="27259" spans="26:26" x14ac:dyDescent="0.25">
      <c r="Z27259">
        <v>400000</v>
      </c>
    </row>
    <row r="27260" spans="26:26" x14ac:dyDescent="0.25">
      <c r="Z27260">
        <v>400000</v>
      </c>
    </row>
    <row r="27261" spans="26:26" x14ac:dyDescent="0.25">
      <c r="Z27261">
        <v>400000</v>
      </c>
    </row>
    <row r="27262" spans="26:26" x14ac:dyDescent="0.25">
      <c r="Z27262">
        <v>400000</v>
      </c>
    </row>
    <row r="27263" spans="26:26" x14ac:dyDescent="0.25">
      <c r="Z27263">
        <v>400000</v>
      </c>
    </row>
    <row r="27264" spans="26:26" x14ac:dyDescent="0.25">
      <c r="Z27264">
        <v>400000</v>
      </c>
    </row>
    <row r="27265" spans="26:26" x14ac:dyDescent="0.25">
      <c r="Z27265">
        <v>400000</v>
      </c>
    </row>
    <row r="27266" spans="26:26" x14ac:dyDescent="0.25">
      <c r="Z27266">
        <v>400000</v>
      </c>
    </row>
    <row r="27267" spans="26:26" x14ac:dyDescent="0.25">
      <c r="Z27267">
        <v>400000</v>
      </c>
    </row>
    <row r="27268" spans="26:26" x14ac:dyDescent="0.25">
      <c r="Z27268">
        <v>400000</v>
      </c>
    </row>
    <row r="27269" spans="26:26" x14ac:dyDescent="0.25">
      <c r="Z27269">
        <v>400000</v>
      </c>
    </row>
    <row r="27270" spans="26:26" x14ac:dyDescent="0.25">
      <c r="Z27270">
        <v>400000</v>
      </c>
    </row>
    <row r="27271" spans="26:26" x14ac:dyDescent="0.25">
      <c r="Z27271">
        <v>400000</v>
      </c>
    </row>
    <row r="27272" spans="26:26" x14ac:dyDescent="0.25">
      <c r="Z27272">
        <v>400000</v>
      </c>
    </row>
    <row r="27273" spans="26:26" x14ac:dyDescent="0.25">
      <c r="Z27273">
        <v>400000</v>
      </c>
    </row>
    <row r="27274" spans="26:26" x14ac:dyDescent="0.25">
      <c r="Z27274">
        <v>400000</v>
      </c>
    </row>
    <row r="27275" spans="26:26" x14ac:dyDescent="0.25">
      <c r="Z27275">
        <v>400000</v>
      </c>
    </row>
    <row r="27276" spans="26:26" x14ac:dyDescent="0.25">
      <c r="Z27276">
        <v>400000</v>
      </c>
    </row>
    <row r="27277" spans="26:26" x14ac:dyDescent="0.25">
      <c r="Z27277">
        <v>400000</v>
      </c>
    </row>
    <row r="27278" spans="26:26" x14ac:dyDescent="0.25">
      <c r="Z27278">
        <v>400000</v>
      </c>
    </row>
    <row r="27279" spans="26:26" x14ac:dyDescent="0.25">
      <c r="Z27279">
        <v>400000</v>
      </c>
    </row>
    <row r="27280" spans="26:26" x14ac:dyDescent="0.25">
      <c r="Z27280">
        <v>400000</v>
      </c>
    </row>
    <row r="27281" spans="26:26" x14ac:dyDescent="0.25">
      <c r="Z27281">
        <v>400000</v>
      </c>
    </row>
    <row r="27282" spans="26:26" x14ac:dyDescent="0.25">
      <c r="Z27282">
        <v>400000</v>
      </c>
    </row>
    <row r="27283" spans="26:26" x14ac:dyDescent="0.25">
      <c r="Z27283">
        <v>400000</v>
      </c>
    </row>
    <row r="27284" spans="26:26" x14ac:dyDescent="0.25">
      <c r="Z27284">
        <v>400000</v>
      </c>
    </row>
    <row r="27285" spans="26:26" x14ac:dyDescent="0.25">
      <c r="Z27285">
        <v>400000</v>
      </c>
    </row>
    <row r="27286" spans="26:26" x14ac:dyDescent="0.25">
      <c r="Z27286">
        <v>400000</v>
      </c>
    </row>
    <row r="27287" spans="26:26" x14ac:dyDescent="0.25">
      <c r="Z27287">
        <v>400000</v>
      </c>
    </row>
    <row r="27288" spans="26:26" x14ac:dyDescent="0.25">
      <c r="Z27288">
        <v>400000</v>
      </c>
    </row>
    <row r="27289" spans="26:26" x14ac:dyDescent="0.25">
      <c r="Z27289">
        <v>400000</v>
      </c>
    </row>
    <row r="27290" spans="26:26" x14ac:dyDescent="0.25">
      <c r="Z27290">
        <v>400000</v>
      </c>
    </row>
    <row r="27291" spans="26:26" x14ac:dyDescent="0.25">
      <c r="Z27291">
        <v>400000</v>
      </c>
    </row>
    <row r="27292" spans="26:26" x14ac:dyDescent="0.25">
      <c r="Z27292">
        <v>400000</v>
      </c>
    </row>
    <row r="27293" spans="26:26" x14ac:dyDescent="0.25">
      <c r="Z27293">
        <v>400000</v>
      </c>
    </row>
    <row r="27294" spans="26:26" x14ac:dyDescent="0.25">
      <c r="Z27294">
        <v>400000</v>
      </c>
    </row>
    <row r="27295" spans="26:26" x14ac:dyDescent="0.25">
      <c r="Z27295">
        <v>400000</v>
      </c>
    </row>
    <row r="27296" spans="26:26" x14ac:dyDescent="0.25">
      <c r="Z27296">
        <v>400000</v>
      </c>
    </row>
    <row r="27297" spans="26:26" x14ac:dyDescent="0.25">
      <c r="Z27297">
        <v>400000</v>
      </c>
    </row>
    <row r="27298" spans="26:26" x14ac:dyDescent="0.25">
      <c r="Z27298">
        <v>400000</v>
      </c>
    </row>
    <row r="27299" spans="26:26" x14ac:dyDescent="0.25">
      <c r="Z27299">
        <v>400000</v>
      </c>
    </row>
    <row r="27300" spans="26:26" x14ac:dyDescent="0.25">
      <c r="Z27300">
        <v>400000</v>
      </c>
    </row>
    <row r="27301" spans="26:26" x14ac:dyDescent="0.25">
      <c r="Z27301">
        <v>400000</v>
      </c>
    </row>
    <row r="27302" spans="26:26" x14ac:dyDescent="0.25">
      <c r="Z27302">
        <v>400000</v>
      </c>
    </row>
    <row r="27303" spans="26:26" x14ac:dyDescent="0.25">
      <c r="Z27303">
        <v>400000</v>
      </c>
    </row>
    <row r="27304" spans="26:26" x14ac:dyDescent="0.25">
      <c r="Z27304">
        <v>400000</v>
      </c>
    </row>
    <row r="27305" spans="26:26" x14ac:dyDescent="0.25">
      <c r="Z27305">
        <v>400000</v>
      </c>
    </row>
    <row r="27306" spans="26:26" x14ac:dyDescent="0.25">
      <c r="Z27306">
        <v>400000</v>
      </c>
    </row>
    <row r="27307" spans="26:26" x14ac:dyDescent="0.25">
      <c r="Z27307">
        <v>400000</v>
      </c>
    </row>
    <row r="27308" spans="26:26" x14ac:dyDescent="0.25">
      <c r="Z27308">
        <v>400000</v>
      </c>
    </row>
    <row r="27309" spans="26:26" x14ac:dyDescent="0.25">
      <c r="Z27309">
        <v>400000</v>
      </c>
    </row>
    <row r="27310" spans="26:26" x14ac:dyDescent="0.25">
      <c r="Z27310">
        <v>400000</v>
      </c>
    </row>
    <row r="27311" spans="26:26" x14ac:dyDescent="0.25">
      <c r="Z27311">
        <v>400000</v>
      </c>
    </row>
    <row r="27312" spans="26:26" x14ac:dyDescent="0.25">
      <c r="Z27312">
        <v>400000</v>
      </c>
    </row>
    <row r="27313" spans="26:26" x14ac:dyDescent="0.25">
      <c r="Z27313">
        <v>400000</v>
      </c>
    </row>
    <row r="27314" spans="26:26" x14ac:dyDescent="0.25">
      <c r="Z27314">
        <v>400000</v>
      </c>
    </row>
    <row r="27315" spans="26:26" x14ac:dyDescent="0.25">
      <c r="Z27315">
        <v>400000</v>
      </c>
    </row>
    <row r="27316" spans="26:26" x14ac:dyDescent="0.25">
      <c r="Z27316">
        <v>400000</v>
      </c>
    </row>
    <row r="27317" spans="26:26" x14ac:dyDescent="0.25">
      <c r="Z27317">
        <v>400000</v>
      </c>
    </row>
    <row r="27318" spans="26:26" x14ac:dyDescent="0.25">
      <c r="Z27318">
        <v>400000</v>
      </c>
    </row>
    <row r="27319" spans="26:26" x14ac:dyDescent="0.25">
      <c r="Z27319">
        <v>400000</v>
      </c>
    </row>
    <row r="27320" spans="26:26" x14ac:dyDescent="0.25">
      <c r="Z27320">
        <v>400000</v>
      </c>
    </row>
    <row r="27321" spans="26:26" x14ac:dyDescent="0.25">
      <c r="Z27321">
        <v>400000</v>
      </c>
    </row>
    <row r="27322" spans="26:26" x14ac:dyDescent="0.25">
      <c r="Z27322">
        <v>400000</v>
      </c>
    </row>
    <row r="27323" spans="26:26" x14ac:dyDescent="0.25">
      <c r="Z27323">
        <v>400000</v>
      </c>
    </row>
    <row r="27324" spans="26:26" x14ac:dyDescent="0.25">
      <c r="Z27324">
        <v>400000</v>
      </c>
    </row>
    <row r="27325" spans="26:26" x14ac:dyDescent="0.25">
      <c r="Z27325">
        <v>400000</v>
      </c>
    </row>
    <row r="27326" spans="26:26" x14ac:dyDescent="0.25">
      <c r="Z27326">
        <v>400000</v>
      </c>
    </row>
    <row r="27327" spans="26:26" x14ac:dyDescent="0.25">
      <c r="Z27327">
        <v>400000</v>
      </c>
    </row>
    <row r="27328" spans="26:26" x14ac:dyDescent="0.25">
      <c r="Z27328">
        <v>400000</v>
      </c>
    </row>
    <row r="27329" spans="26:26" x14ac:dyDescent="0.25">
      <c r="Z27329">
        <v>400000</v>
      </c>
    </row>
    <row r="27330" spans="26:26" x14ac:dyDescent="0.25">
      <c r="Z27330">
        <v>400000</v>
      </c>
    </row>
    <row r="27331" spans="26:26" x14ac:dyDescent="0.25">
      <c r="Z27331">
        <v>400000</v>
      </c>
    </row>
    <row r="27332" spans="26:26" x14ac:dyDescent="0.25">
      <c r="Z27332">
        <v>400000</v>
      </c>
    </row>
    <row r="27333" spans="26:26" x14ac:dyDescent="0.25">
      <c r="Z27333">
        <v>400000</v>
      </c>
    </row>
    <row r="27334" spans="26:26" x14ac:dyDescent="0.25">
      <c r="Z27334">
        <v>400000</v>
      </c>
    </row>
    <row r="27335" spans="26:26" x14ac:dyDescent="0.25">
      <c r="Z27335">
        <v>400000</v>
      </c>
    </row>
    <row r="27336" spans="26:26" x14ac:dyDescent="0.25">
      <c r="Z27336">
        <v>400000</v>
      </c>
    </row>
    <row r="27337" spans="26:26" x14ac:dyDescent="0.25">
      <c r="Z27337">
        <v>400000</v>
      </c>
    </row>
    <row r="27338" spans="26:26" x14ac:dyDescent="0.25">
      <c r="Z27338">
        <v>400000</v>
      </c>
    </row>
    <row r="27339" spans="26:26" x14ac:dyDescent="0.25">
      <c r="Z27339">
        <v>400000</v>
      </c>
    </row>
    <row r="27340" spans="26:26" x14ac:dyDescent="0.25">
      <c r="Z27340">
        <v>400000</v>
      </c>
    </row>
    <row r="27341" spans="26:26" x14ac:dyDescent="0.25">
      <c r="Z27341">
        <v>400000</v>
      </c>
    </row>
    <row r="27342" spans="26:26" x14ac:dyDescent="0.25">
      <c r="Z27342">
        <v>400000</v>
      </c>
    </row>
    <row r="27343" spans="26:26" x14ac:dyDescent="0.25">
      <c r="Z27343">
        <v>400000</v>
      </c>
    </row>
    <row r="27344" spans="26:26" x14ac:dyDescent="0.25">
      <c r="Z27344">
        <v>400000</v>
      </c>
    </row>
    <row r="27345" spans="26:26" x14ac:dyDescent="0.25">
      <c r="Z27345">
        <v>400000</v>
      </c>
    </row>
    <row r="27346" spans="26:26" x14ac:dyDescent="0.25">
      <c r="Z27346">
        <v>400000</v>
      </c>
    </row>
    <row r="27347" spans="26:26" x14ac:dyDescent="0.25">
      <c r="Z27347">
        <v>400000</v>
      </c>
    </row>
    <row r="27348" spans="26:26" x14ac:dyDescent="0.25">
      <c r="Z27348">
        <v>400000</v>
      </c>
    </row>
    <row r="27349" spans="26:26" x14ac:dyDescent="0.25">
      <c r="Z27349">
        <v>400000</v>
      </c>
    </row>
    <row r="27350" spans="26:26" x14ac:dyDescent="0.25">
      <c r="Z27350">
        <v>400000</v>
      </c>
    </row>
    <row r="27351" spans="26:26" x14ac:dyDescent="0.25">
      <c r="Z27351">
        <v>400000</v>
      </c>
    </row>
    <row r="27352" spans="26:26" x14ac:dyDescent="0.25">
      <c r="Z27352">
        <v>400000</v>
      </c>
    </row>
    <row r="27353" spans="26:26" x14ac:dyDescent="0.25">
      <c r="Z27353">
        <v>400000</v>
      </c>
    </row>
    <row r="27354" spans="26:26" x14ac:dyDescent="0.25">
      <c r="Z27354">
        <v>400000</v>
      </c>
    </row>
    <row r="27355" spans="26:26" x14ac:dyDescent="0.25">
      <c r="Z27355">
        <v>400000</v>
      </c>
    </row>
    <row r="27356" spans="26:26" x14ac:dyDescent="0.25">
      <c r="Z27356">
        <v>400000</v>
      </c>
    </row>
    <row r="27357" spans="26:26" x14ac:dyDescent="0.25">
      <c r="Z27357">
        <v>400000</v>
      </c>
    </row>
    <row r="27358" spans="26:26" x14ac:dyDescent="0.25">
      <c r="Z27358">
        <v>400000</v>
      </c>
    </row>
    <row r="27359" spans="26:26" x14ac:dyDescent="0.25">
      <c r="Z27359">
        <v>400000</v>
      </c>
    </row>
    <row r="27360" spans="26:26" x14ac:dyDescent="0.25">
      <c r="Z27360">
        <v>400000</v>
      </c>
    </row>
    <row r="27361" spans="26:26" x14ac:dyDescent="0.25">
      <c r="Z27361">
        <v>400000</v>
      </c>
    </row>
    <row r="27362" spans="26:26" x14ac:dyDescent="0.25">
      <c r="Z27362">
        <v>400000</v>
      </c>
    </row>
    <row r="27363" spans="26:26" x14ac:dyDescent="0.25">
      <c r="Z27363">
        <v>400000</v>
      </c>
    </row>
    <row r="27364" spans="26:26" x14ac:dyDescent="0.25">
      <c r="Z27364">
        <v>400000</v>
      </c>
    </row>
    <row r="27365" spans="26:26" x14ac:dyDescent="0.25">
      <c r="Z27365">
        <v>400000</v>
      </c>
    </row>
    <row r="27366" spans="26:26" x14ac:dyDescent="0.25">
      <c r="Z27366">
        <v>400000</v>
      </c>
    </row>
    <row r="27367" spans="26:26" x14ac:dyDescent="0.25">
      <c r="Z27367">
        <v>400000</v>
      </c>
    </row>
    <row r="27368" spans="26:26" x14ac:dyDescent="0.25">
      <c r="Z27368">
        <v>400000</v>
      </c>
    </row>
    <row r="27369" spans="26:26" x14ac:dyDescent="0.25">
      <c r="Z27369">
        <v>400000</v>
      </c>
    </row>
    <row r="27370" spans="26:26" x14ac:dyDescent="0.25">
      <c r="Z27370">
        <v>400000</v>
      </c>
    </row>
    <row r="27371" spans="26:26" x14ac:dyDescent="0.25">
      <c r="Z27371">
        <v>400000</v>
      </c>
    </row>
    <row r="27372" spans="26:26" x14ac:dyDescent="0.25">
      <c r="Z27372">
        <v>400000</v>
      </c>
    </row>
    <row r="27373" spans="26:26" x14ac:dyDescent="0.25">
      <c r="Z27373">
        <v>400000</v>
      </c>
    </row>
    <row r="27374" spans="26:26" x14ac:dyDescent="0.25">
      <c r="Z27374">
        <v>400000</v>
      </c>
    </row>
    <row r="27375" spans="26:26" x14ac:dyDescent="0.25">
      <c r="Z27375">
        <v>400000</v>
      </c>
    </row>
    <row r="27376" spans="26:26" x14ac:dyDescent="0.25">
      <c r="Z27376">
        <v>400000</v>
      </c>
    </row>
    <row r="27377" spans="26:26" x14ac:dyDescent="0.25">
      <c r="Z27377">
        <v>400000</v>
      </c>
    </row>
    <row r="27378" spans="26:26" x14ac:dyDescent="0.25">
      <c r="Z27378">
        <v>400000</v>
      </c>
    </row>
    <row r="27379" spans="26:26" x14ac:dyDescent="0.25">
      <c r="Z27379">
        <v>400000</v>
      </c>
    </row>
    <row r="27380" spans="26:26" x14ac:dyDescent="0.25">
      <c r="Z27380">
        <v>400000</v>
      </c>
    </row>
    <row r="27381" spans="26:26" x14ac:dyDescent="0.25">
      <c r="Z27381">
        <v>400000</v>
      </c>
    </row>
    <row r="27382" spans="26:26" x14ac:dyDescent="0.25">
      <c r="Z27382">
        <v>400000</v>
      </c>
    </row>
    <row r="27383" spans="26:26" x14ac:dyDescent="0.25">
      <c r="Z27383">
        <v>400000</v>
      </c>
    </row>
    <row r="27384" spans="26:26" x14ac:dyDescent="0.25">
      <c r="Z27384">
        <v>400000</v>
      </c>
    </row>
    <row r="27385" spans="26:26" x14ac:dyDescent="0.25">
      <c r="Z27385">
        <v>400000</v>
      </c>
    </row>
    <row r="27386" spans="26:26" x14ac:dyDescent="0.25">
      <c r="Z27386">
        <v>400000</v>
      </c>
    </row>
    <row r="27387" spans="26:26" x14ac:dyDescent="0.25">
      <c r="Z27387">
        <v>400000</v>
      </c>
    </row>
    <row r="27388" spans="26:26" x14ac:dyDescent="0.25">
      <c r="Z27388">
        <v>400000</v>
      </c>
    </row>
    <row r="27389" spans="26:26" x14ac:dyDescent="0.25">
      <c r="Z27389">
        <v>400000</v>
      </c>
    </row>
    <row r="27390" spans="26:26" x14ac:dyDescent="0.25">
      <c r="Z27390">
        <v>400000</v>
      </c>
    </row>
    <row r="27391" spans="26:26" x14ac:dyDescent="0.25">
      <c r="Z27391">
        <v>400000</v>
      </c>
    </row>
    <row r="27392" spans="26:26" x14ac:dyDescent="0.25">
      <c r="Z27392">
        <v>400000</v>
      </c>
    </row>
    <row r="27393" spans="26:26" x14ac:dyDescent="0.25">
      <c r="Z27393">
        <v>400000</v>
      </c>
    </row>
    <row r="27394" spans="26:26" x14ac:dyDescent="0.25">
      <c r="Z27394">
        <v>400000</v>
      </c>
    </row>
    <row r="27395" spans="26:26" x14ac:dyDescent="0.25">
      <c r="Z27395">
        <v>400000</v>
      </c>
    </row>
    <row r="27396" spans="26:26" x14ac:dyDescent="0.25">
      <c r="Z27396">
        <v>400000</v>
      </c>
    </row>
    <row r="27397" spans="26:26" x14ac:dyDescent="0.25">
      <c r="Z27397">
        <v>400000</v>
      </c>
    </row>
    <row r="27398" spans="26:26" x14ac:dyDescent="0.25">
      <c r="Z27398">
        <v>400000</v>
      </c>
    </row>
    <row r="27399" spans="26:26" x14ac:dyDescent="0.25">
      <c r="Z27399">
        <v>400000</v>
      </c>
    </row>
    <row r="27400" spans="26:26" x14ac:dyDescent="0.25">
      <c r="Z27400">
        <v>400000</v>
      </c>
    </row>
    <row r="27401" spans="26:26" x14ac:dyDescent="0.25">
      <c r="Z27401">
        <v>400000</v>
      </c>
    </row>
    <row r="27402" spans="26:26" x14ac:dyDescent="0.25">
      <c r="Z27402">
        <v>400000</v>
      </c>
    </row>
    <row r="27403" spans="26:26" x14ac:dyDescent="0.25">
      <c r="Z27403">
        <v>400000</v>
      </c>
    </row>
    <row r="27404" spans="26:26" x14ac:dyDescent="0.25">
      <c r="Z27404">
        <v>400000</v>
      </c>
    </row>
    <row r="27405" spans="26:26" x14ac:dyDescent="0.25">
      <c r="Z27405">
        <v>400000</v>
      </c>
    </row>
    <row r="27406" spans="26:26" x14ac:dyDescent="0.25">
      <c r="Z27406">
        <v>400000</v>
      </c>
    </row>
    <row r="27407" spans="26:26" x14ac:dyDescent="0.25">
      <c r="Z27407">
        <v>400000</v>
      </c>
    </row>
    <row r="27408" spans="26:26" x14ac:dyDescent="0.25">
      <c r="Z27408">
        <v>400000</v>
      </c>
    </row>
    <row r="27409" spans="26:26" x14ac:dyDescent="0.25">
      <c r="Z27409">
        <v>400000</v>
      </c>
    </row>
    <row r="27410" spans="26:26" x14ac:dyDescent="0.25">
      <c r="Z27410">
        <v>400000</v>
      </c>
    </row>
    <row r="27411" spans="26:26" x14ac:dyDescent="0.25">
      <c r="Z27411">
        <v>400000</v>
      </c>
    </row>
    <row r="27412" spans="26:26" x14ac:dyDescent="0.25">
      <c r="Z27412">
        <v>400000</v>
      </c>
    </row>
    <row r="27413" spans="26:26" x14ac:dyDescent="0.25">
      <c r="Z27413">
        <v>400000</v>
      </c>
    </row>
    <row r="27414" spans="26:26" x14ac:dyDescent="0.25">
      <c r="Z27414">
        <v>400000</v>
      </c>
    </row>
    <row r="27415" spans="26:26" x14ac:dyDescent="0.25">
      <c r="Z27415">
        <v>400000</v>
      </c>
    </row>
    <row r="27416" spans="26:26" x14ac:dyDescent="0.25">
      <c r="Z27416">
        <v>400000</v>
      </c>
    </row>
    <row r="27417" spans="26:26" x14ac:dyDescent="0.25">
      <c r="Z27417">
        <v>400000</v>
      </c>
    </row>
    <row r="27418" spans="26:26" x14ac:dyDescent="0.25">
      <c r="Z27418">
        <v>400000</v>
      </c>
    </row>
    <row r="27419" spans="26:26" x14ac:dyDescent="0.25">
      <c r="Z27419">
        <v>400000</v>
      </c>
    </row>
    <row r="27420" spans="26:26" x14ac:dyDescent="0.25">
      <c r="Z27420">
        <v>400000</v>
      </c>
    </row>
    <row r="27421" spans="26:26" x14ac:dyDescent="0.25">
      <c r="Z27421">
        <v>400000</v>
      </c>
    </row>
    <row r="27422" spans="26:26" x14ac:dyDescent="0.25">
      <c r="Z27422">
        <v>400000</v>
      </c>
    </row>
    <row r="27423" spans="26:26" x14ac:dyDescent="0.25">
      <c r="Z27423">
        <v>400000</v>
      </c>
    </row>
    <row r="27424" spans="26:26" x14ac:dyDescent="0.25">
      <c r="Z27424">
        <v>400000</v>
      </c>
    </row>
    <row r="27425" spans="26:26" x14ac:dyDescent="0.25">
      <c r="Z27425">
        <v>400000</v>
      </c>
    </row>
    <row r="27426" spans="26:26" x14ac:dyDescent="0.25">
      <c r="Z27426">
        <v>400000</v>
      </c>
    </row>
    <row r="27427" spans="26:26" x14ac:dyDescent="0.25">
      <c r="Z27427">
        <v>400000</v>
      </c>
    </row>
    <row r="27428" spans="26:26" x14ac:dyDescent="0.25">
      <c r="Z27428">
        <v>400000</v>
      </c>
    </row>
    <row r="27429" spans="26:26" x14ac:dyDescent="0.25">
      <c r="Z27429">
        <v>400000</v>
      </c>
    </row>
    <row r="27430" spans="26:26" x14ac:dyDescent="0.25">
      <c r="Z27430">
        <v>400000</v>
      </c>
    </row>
    <row r="27431" spans="26:26" x14ac:dyDescent="0.25">
      <c r="Z27431">
        <v>400000</v>
      </c>
    </row>
    <row r="27432" spans="26:26" x14ac:dyDescent="0.25">
      <c r="Z27432">
        <v>400000</v>
      </c>
    </row>
    <row r="27433" spans="26:26" x14ac:dyDescent="0.25">
      <c r="Z27433">
        <v>400000</v>
      </c>
    </row>
    <row r="27434" spans="26:26" x14ac:dyDescent="0.25">
      <c r="Z27434">
        <v>400000</v>
      </c>
    </row>
    <row r="27435" spans="26:26" x14ac:dyDescent="0.25">
      <c r="Z27435">
        <v>400000</v>
      </c>
    </row>
    <row r="27436" spans="26:26" x14ac:dyDescent="0.25">
      <c r="Z27436">
        <v>400000</v>
      </c>
    </row>
    <row r="27437" spans="26:26" x14ac:dyDescent="0.25">
      <c r="Z27437">
        <v>400000</v>
      </c>
    </row>
    <row r="27438" spans="26:26" x14ac:dyDescent="0.25">
      <c r="Z27438">
        <v>400000</v>
      </c>
    </row>
    <row r="27439" spans="26:26" x14ac:dyDescent="0.25">
      <c r="Z27439">
        <v>400000</v>
      </c>
    </row>
    <row r="27440" spans="26:26" x14ac:dyDescent="0.25">
      <c r="Z27440">
        <v>400000</v>
      </c>
    </row>
    <row r="27441" spans="26:26" x14ac:dyDescent="0.25">
      <c r="Z27441">
        <v>400000</v>
      </c>
    </row>
    <row r="27442" spans="26:26" x14ac:dyDescent="0.25">
      <c r="Z27442">
        <v>400000</v>
      </c>
    </row>
    <row r="27443" spans="26:26" x14ac:dyDescent="0.25">
      <c r="Z27443">
        <v>400000</v>
      </c>
    </row>
    <row r="27444" spans="26:26" x14ac:dyDescent="0.25">
      <c r="Z27444">
        <v>400000</v>
      </c>
    </row>
    <row r="27445" spans="26:26" x14ac:dyDescent="0.25">
      <c r="Z27445">
        <v>400000</v>
      </c>
    </row>
    <row r="27446" spans="26:26" x14ac:dyDescent="0.25">
      <c r="Z27446">
        <v>400000</v>
      </c>
    </row>
    <row r="27447" spans="26:26" x14ac:dyDescent="0.25">
      <c r="Z27447">
        <v>400000</v>
      </c>
    </row>
    <row r="27448" spans="26:26" x14ac:dyDescent="0.25">
      <c r="Z27448">
        <v>400000</v>
      </c>
    </row>
    <row r="27449" spans="26:26" x14ac:dyDescent="0.25">
      <c r="Z27449">
        <v>400000</v>
      </c>
    </row>
    <row r="27450" spans="26:26" x14ac:dyDescent="0.25">
      <c r="Z27450">
        <v>400000</v>
      </c>
    </row>
    <row r="27451" spans="26:26" x14ac:dyDescent="0.25">
      <c r="Z27451">
        <v>400000</v>
      </c>
    </row>
    <row r="27452" spans="26:26" x14ac:dyDescent="0.25">
      <c r="Z27452">
        <v>400000</v>
      </c>
    </row>
    <row r="27453" spans="26:26" x14ac:dyDescent="0.25">
      <c r="Z27453">
        <v>400000</v>
      </c>
    </row>
    <row r="27454" spans="26:26" x14ac:dyDescent="0.25">
      <c r="Z27454">
        <v>400000</v>
      </c>
    </row>
    <row r="27455" spans="26:26" x14ac:dyDescent="0.25">
      <c r="Z27455">
        <v>400000</v>
      </c>
    </row>
    <row r="27456" spans="26:26" x14ac:dyDescent="0.25">
      <c r="Z27456">
        <v>400000</v>
      </c>
    </row>
    <row r="27457" spans="26:26" x14ac:dyDescent="0.25">
      <c r="Z27457">
        <v>400000</v>
      </c>
    </row>
    <row r="27458" spans="26:26" x14ac:dyDescent="0.25">
      <c r="Z27458">
        <v>400000</v>
      </c>
    </row>
    <row r="27459" spans="26:26" x14ac:dyDescent="0.25">
      <c r="Z27459">
        <v>400000</v>
      </c>
    </row>
    <row r="27460" spans="26:26" x14ac:dyDescent="0.25">
      <c r="Z27460">
        <v>400000</v>
      </c>
    </row>
    <row r="27461" spans="26:26" x14ac:dyDescent="0.25">
      <c r="Z27461">
        <v>400000</v>
      </c>
    </row>
    <row r="27462" spans="26:26" x14ac:dyDescent="0.25">
      <c r="Z27462">
        <v>400000</v>
      </c>
    </row>
    <row r="27463" spans="26:26" x14ac:dyDescent="0.25">
      <c r="Z27463">
        <v>400000</v>
      </c>
    </row>
    <row r="27464" spans="26:26" x14ac:dyDescent="0.25">
      <c r="Z27464">
        <v>400000</v>
      </c>
    </row>
    <row r="27465" spans="26:26" x14ac:dyDescent="0.25">
      <c r="Z27465">
        <v>400000</v>
      </c>
    </row>
    <row r="27466" spans="26:26" x14ac:dyDescent="0.25">
      <c r="Z27466">
        <v>400000</v>
      </c>
    </row>
    <row r="27467" spans="26:26" x14ac:dyDescent="0.25">
      <c r="Z27467">
        <v>400000</v>
      </c>
    </row>
    <row r="27468" spans="26:26" x14ac:dyDescent="0.25">
      <c r="Z27468">
        <v>400000</v>
      </c>
    </row>
    <row r="27469" spans="26:26" x14ac:dyDescent="0.25">
      <c r="Z27469">
        <v>400000</v>
      </c>
    </row>
    <row r="27470" spans="26:26" x14ac:dyDescent="0.25">
      <c r="Z27470">
        <v>400000</v>
      </c>
    </row>
    <row r="27471" spans="26:26" x14ac:dyDescent="0.25">
      <c r="Z27471">
        <v>400000</v>
      </c>
    </row>
    <row r="27472" spans="26:26" x14ac:dyDescent="0.25">
      <c r="Z27472">
        <v>400000</v>
      </c>
    </row>
    <row r="27473" spans="26:26" x14ac:dyDescent="0.25">
      <c r="Z27473">
        <v>400000</v>
      </c>
    </row>
    <row r="27474" spans="26:26" x14ac:dyDescent="0.25">
      <c r="Z27474">
        <v>400000</v>
      </c>
    </row>
    <row r="27475" spans="26:26" x14ac:dyDescent="0.25">
      <c r="Z27475">
        <v>400000</v>
      </c>
    </row>
    <row r="27476" spans="26:26" x14ac:dyDescent="0.25">
      <c r="Z27476">
        <v>400000</v>
      </c>
    </row>
    <row r="27477" spans="26:26" x14ac:dyDescent="0.25">
      <c r="Z27477">
        <v>400000</v>
      </c>
    </row>
    <row r="27478" spans="26:26" x14ac:dyDescent="0.25">
      <c r="Z27478">
        <v>400000</v>
      </c>
    </row>
    <row r="27479" spans="26:26" x14ac:dyDescent="0.25">
      <c r="Z27479">
        <v>400000</v>
      </c>
    </row>
    <row r="27480" spans="26:26" x14ac:dyDescent="0.25">
      <c r="Z27480">
        <v>400000</v>
      </c>
    </row>
    <row r="27481" spans="26:26" x14ac:dyDescent="0.25">
      <c r="Z27481">
        <v>400000</v>
      </c>
    </row>
    <row r="27482" spans="26:26" x14ac:dyDescent="0.25">
      <c r="Z27482">
        <v>400000</v>
      </c>
    </row>
    <row r="27483" spans="26:26" x14ac:dyDescent="0.25">
      <c r="Z27483">
        <v>400000</v>
      </c>
    </row>
    <row r="27484" spans="26:26" x14ac:dyDescent="0.25">
      <c r="Z27484">
        <v>400000</v>
      </c>
    </row>
    <row r="27485" spans="26:26" x14ac:dyDescent="0.25">
      <c r="Z27485">
        <v>400000</v>
      </c>
    </row>
    <row r="27486" spans="26:26" x14ac:dyDescent="0.25">
      <c r="Z27486">
        <v>400000</v>
      </c>
    </row>
    <row r="27487" spans="26:26" x14ac:dyDescent="0.25">
      <c r="Z27487">
        <v>400000</v>
      </c>
    </row>
    <row r="27488" spans="26:26" x14ac:dyDescent="0.25">
      <c r="Z27488">
        <v>400000</v>
      </c>
    </row>
    <row r="27489" spans="26:26" x14ac:dyDescent="0.25">
      <c r="Z27489">
        <v>400000</v>
      </c>
    </row>
    <row r="27490" spans="26:26" x14ac:dyDescent="0.25">
      <c r="Z27490">
        <v>400000</v>
      </c>
    </row>
    <row r="27491" spans="26:26" x14ac:dyDescent="0.25">
      <c r="Z27491">
        <v>400000</v>
      </c>
    </row>
    <row r="27492" spans="26:26" x14ac:dyDescent="0.25">
      <c r="Z27492">
        <v>400000</v>
      </c>
    </row>
    <row r="27493" spans="26:26" x14ac:dyDescent="0.25">
      <c r="Z27493">
        <v>400000</v>
      </c>
    </row>
    <row r="27494" spans="26:26" x14ac:dyDescent="0.25">
      <c r="Z27494">
        <v>400000</v>
      </c>
    </row>
    <row r="27495" spans="26:26" x14ac:dyDescent="0.25">
      <c r="Z27495">
        <v>400000</v>
      </c>
    </row>
    <row r="27496" spans="26:26" x14ac:dyDescent="0.25">
      <c r="Z27496">
        <v>400000</v>
      </c>
    </row>
    <row r="27497" spans="26:26" x14ac:dyDescent="0.25">
      <c r="Z27497">
        <v>400000</v>
      </c>
    </row>
    <row r="27498" spans="26:26" x14ac:dyDescent="0.25">
      <c r="Z27498">
        <v>400000</v>
      </c>
    </row>
    <row r="27499" spans="26:26" x14ac:dyDescent="0.25">
      <c r="Z27499">
        <v>400000</v>
      </c>
    </row>
    <row r="27500" spans="26:26" x14ac:dyDescent="0.25">
      <c r="Z27500">
        <v>400000</v>
      </c>
    </row>
    <row r="27501" spans="26:26" x14ac:dyDescent="0.25">
      <c r="Z27501">
        <v>400000</v>
      </c>
    </row>
    <row r="27502" spans="26:26" x14ac:dyDescent="0.25">
      <c r="Z27502">
        <v>400000</v>
      </c>
    </row>
    <row r="27503" spans="26:26" x14ac:dyDescent="0.25">
      <c r="Z27503">
        <v>400000</v>
      </c>
    </row>
    <row r="27504" spans="26:26" x14ac:dyDescent="0.25">
      <c r="Z27504">
        <v>400000</v>
      </c>
    </row>
    <row r="27505" spans="26:26" x14ac:dyDescent="0.25">
      <c r="Z27505">
        <v>400000</v>
      </c>
    </row>
    <row r="27506" spans="26:26" x14ac:dyDescent="0.25">
      <c r="Z27506">
        <v>400000</v>
      </c>
    </row>
    <row r="27507" spans="26:26" x14ac:dyDescent="0.25">
      <c r="Z27507">
        <v>400000</v>
      </c>
    </row>
    <row r="27508" spans="26:26" x14ac:dyDescent="0.25">
      <c r="Z27508">
        <v>400000</v>
      </c>
    </row>
    <row r="27509" spans="26:26" x14ac:dyDescent="0.25">
      <c r="Z27509">
        <v>400000</v>
      </c>
    </row>
    <row r="27510" spans="26:26" x14ac:dyDescent="0.25">
      <c r="Z27510">
        <v>400000</v>
      </c>
    </row>
    <row r="27511" spans="26:26" x14ac:dyDescent="0.25">
      <c r="Z27511">
        <v>400000</v>
      </c>
    </row>
    <row r="27512" spans="26:26" x14ac:dyDescent="0.25">
      <c r="Z27512">
        <v>400000</v>
      </c>
    </row>
    <row r="27513" spans="26:26" x14ac:dyDescent="0.25">
      <c r="Z27513">
        <v>400000</v>
      </c>
    </row>
    <row r="27514" spans="26:26" x14ac:dyDescent="0.25">
      <c r="Z27514">
        <v>400000</v>
      </c>
    </row>
    <row r="27515" spans="26:26" x14ac:dyDescent="0.25">
      <c r="Z27515">
        <v>400000</v>
      </c>
    </row>
    <row r="27516" spans="26:26" x14ac:dyDescent="0.25">
      <c r="Z27516">
        <v>400000</v>
      </c>
    </row>
    <row r="27517" spans="26:26" x14ac:dyDescent="0.25">
      <c r="Z27517">
        <v>400000</v>
      </c>
    </row>
    <row r="27518" spans="26:26" x14ac:dyDescent="0.25">
      <c r="Z27518">
        <v>400000</v>
      </c>
    </row>
    <row r="27519" spans="26:26" x14ac:dyDescent="0.25">
      <c r="Z27519">
        <v>400000</v>
      </c>
    </row>
    <row r="27520" spans="26:26" x14ac:dyDescent="0.25">
      <c r="Z27520">
        <v>400000</v>
      </c>
    </row>
    <row r="27521" spans="26:26" x14ac:dyDescent="0.25">
      <c r="Z27521">
        <v>400000</v>
      </c>
    </row>
    <row r="27522" spans="26:26" x14ac:dyDescent="0.25">
      <c r="Z27522">
        <v>400000</v>
      </c>
    </row>
    <row r="27523" spans="26:26" x14ac:dyDescent="0.25">
      <c r="Z27523">
        <v>400000</v>
      </c>
    </row>
    <row r="27524" spans="26:26" x14ac:dyDescent="0.25">
      <c r="Z27524">
        <v>400000</v>
      </c>
    </row>
    <row r="27525" spans="26:26" x14ac:dyDescent="0.25">
      <c r="Z27525">
        <v>400000</v>
      </c>
    </row>
    <row r="27526" spans="26:26" x14ac:dyDescent="0.25">
      <c r="Z27526">
        <v>400000</v>
      </c>
    </row>
    <row r="27527" spans="26:26" x14ac:dyDescent="0.25">
      <c r="Z27527">
        <v>400000</v>
      </c>
    </row>
    <row r="27528" spans="26:26" x14ac:dyDescent="0.25">
      <c r="Z27528">
        <v>400000</v>
      </c>
    </row>
    <row r="27529" spans="26:26" x14ac:dyDescent="0.25">
      <c r="Z27529">
        <v>400000</v>
      </c>
    </row>
    <row r="27530" spans="26:26" x14ac:dyDescent="0.25">
      <c r="Z27530">
        <v>400000</v>
      </c>
    </row>
    <row r="27531" spans="26:26" x14ac:dyDescent="0.25">
      <c r="Z27531">
        <v>400000</v>
      </c>
    </row>
    <row r="27532" spans="26:26" x14ac:dyDescent="0.25">
      <c r="Z27532">
        <v>400000</v>
      </c>
    </row>
    <row r="27533" spans="26:26" x14ac:dyDescent="0.25">
      <c r="Z27533">
        <v>400000</v>
      </c>
    </row>
    <row r="27534" spans="26:26" x14ac:dyDescent="0.25">
      <c r="Z27534">
        <v>400000</v>
      </c>
    </row>
    <row r="27535" spans="26:26" x14ac:dyDescent="0.25">
      <c r="Z27535">
        <v>400000</v>
      </c>
    </row>
    <row r="27536" spans="26:26" x14ac:dyDescent="0.25">
      <c r="Z27536">
        <v>400000</v>
      </c>
    </row>
    <row r="27537" spans="26:26" x14ac:dyDescent="0.25">
      <c r="Z27537">
        <v>400000</v>
      </c>
    </row>
    <row r="27538" spans="26:26" x14ac:dyDescent="0.25">
      <c r="Z27538">
        <v>400000</v>
      </c>
    </row>
    <row r="27539" spans="26:26" x14ac:dyDescent="0.25">
      <c r="Z27539">
        <v>400000</v>
      </c>
    </row>
    <row r="27540" spans="26:26" x14ac:dyDescent="0.25">
      <c r="Z27540">
        <v>400000</v>
      </c>
    </row>
    <row r="27541" spans="26:26" x14ac:dyDescent="0.25">
      <c r="Z27541">
        <v>400000</v>
      </c>
    </row>
    <row r="27542" spans="26:26" x14ac:dyDescent="0.25">
      <c r="Z27542">
        <v>400000</v>
      </c>
    </row>
    <row r="27543" spans="26:26" x14ac:dyDescent="0.25">
      <c r="Z27543">
        <v>400000</v>
      </c>
    </row>
    <row r="27544" spans="26:26" x14ac:dyDescent="0.25">
      <c r="Z27544">
        <v>400000</v>
      </c>
    </row>
    <row r="27545" spans="26:26" x14ac:dyDescent="0.25">
      <c r="Z27545">
        <v>400000</v>
      </c>
    </row>
    <row r="27546" spans="26:26" x14ac:dyDescent="0.25">
      <c r="Z27546">
        <v>400000</v>
      </c>
    </row>
    <row r="27547" spans="26:26" x14ac:dyDescent="0.25">
      <c r="Z27547">
        <v>400000</v>
      </c>
    </row>
    <row r="27548" spans="26:26" x14ac:dyDescent="0.25">
      <c r="Z27548">
        <v>400000</v>
      </c>
    </row>
    <row r="27549" spans="26:26" x14ac:dyDescent="0.25">
      <c r="Z27549">
        <v>400000</v>
      </c>
    </row>
    <row r="27550" spans="26:26" x14ac:dyDescent="0.25">
      <c r="Z27550">
        <v>400000</v>
      </c>
    </row>
    <row r="27551" spans="26:26" x14ac:dyDescent="0.25">
      <c r="Z27551">
        <v>400000</v>
      </c>
    </row>
    <row r="27552" spans="26:26" x14ac:dyDescent="0.25">
      <c r="Z27552">
        <v>400000</v>
      </c>
    </row>
    <row r="27553" spans="26:26" x14ac:dyDescent="0.25">
      <c r="Z27553">
        <v>400000</v>
      </c>
    </row>
    <row r="27554" spans="26:26" x14ac:dyDescent="0.25">
      <c r="Z27554">
        <v>400000</v>
      </c>
    </row>
    <row r="27555" spans="26:26" x14ac:dyDescent="0.25">
      <c r="Z27555">
        <v>400000</v>
      </c>
    </row>
    <row r="27556" spans="26:26" x14ac:dyDescent="0.25">
      <c r="Z27556">
        <v>400000</v>
      </c>
    </row>
    <row r="27557" spans="26:26" x14ac:dyDescent="0.25">
      <c r="Z27557">
        <v>400000</v>
      </c>
    </row>
    <row r="27558" spans="26:26" x14ac:dyDescent="0.25">
      <c r="Z27558">
        <v>400000</v>
      </c>
    </row>
    <row r="27559" spans="26:26" x14ac:dyDescent="0.25">
      <c r="Z27559">
        <v>400000</v>
      </c>
    </row>
    <row r="27560" spans="26:26" x14ac:dyDescent="0.25">
      <c r="Z27560">
        <v>400000</v>
      </c>
    </row>
    <row r="27561" spans="26:26" x14ac:dyDescent="0.25">
      <c r="Z27561">
        <v>400000</v>
      </c>
    </row>
    <row r="27562" spans="26:26" x14ac:dyDescent="0.25">
      <c r="Z27562">
        <v>400000</v>
      </c>
    </row>
    <row r="27563" spans="26:26" x14ac:dyDescent="0.25">
      <c r="Z27563">
        <v>400000</v>
      </c>
    </row>
    <row r="27564" spans="26:26" x14ac:dyDescent="0.25">
      <c r="Z27564">
        <v>400000</v>
      </c>
    </row>
    <row r="27565" spans="26:26" x14ac:dyDescent="0.25">
      <c r="Z27565">
        <v>400000</v>
      </c>
    </row>
    <row r="27566" spans="26:26" x14ac:dyDescent="0.25">
      <c r="Z27566">
        <v>400000</v>
      </c>
    </row>
    <row r="27567" spans="26:26" x14ac:dyDescent="0.25">
      <c r="Z27567">
        <v>400000</v>
      </c>
    </row>
    <row r="27568" spans="26:26" x14ac:dyDescent="0.25">
      <c r="Z27568">
        <v>400000</v>
      </c>
    </row>
    <row r="27569" spans="26:26" x14ac:dyDescent="0.25">
      <c r="Z27569">
        <v>400000</v>
      </c>
    </row>
    <row r="27570" spans="26:26" x14ac:dyDescent="0.25">
      <c r="Z27570">
        <v>400000</v>
      </c>
    </row>
    <row r="27571" spans="26:26" x14ac:dyDescent="0.25">
      <c r="Z27571">
        <v>400000</v>
      </c>
    </row>
    <row r="27572" spans="26:26" x14ac:dyDescent="0.25">
      <c r="Z27572">
        <v>400000</v>
      </c>
    </row>
    <row r="27573" spans="26:26" x14ac:dyDescent="0.25">
      <c r="Z27573">
        <v>400000</v>
      </c>
    </row>
    <row r="27574" spans="26:26" x14ac:dyDescent="0.25">
      <c r="Z27574">
        <v>400000</v>
      </c>
    </row>
    <row r="27575" spans="26:26" x14ac:dyDescent="0.25">
      <c r="Z27575">
        <v>400000</v>
      </c>
    </row>
    <row r="27576" spans="26:26" x14ac:dyDescent="0.25">
      <c r="Z27576">
        <v>400000</v>
      </c>
    </row>
    <row r="27577" spans="26:26" x14ac:dyDescent="0.25">
      <c r="Z27577">
        <v>400000</v>
      </c>
    </row>
    <row r="27578" spans="26:26" x14ac:dyDescent="0.25">
      <c r="Z27578">
        <v>400000</v>
      </c>
    </row>
    <row r="27579" spans="26:26" x14ac:dyDescent="0.25">
      <c r="Z27579">
        <v>400000</v>
      </c>
    </row>
    <row r="27580" spans="26:26" x14ac:dyDescent="0.25">
      <c r="Z27580">
        <v>400000</v>
      </c>
    </row>
    <row r="27581" spans="26:26" x14ac:dyDescent="0.25">
      <c r="Z27581">
        <v>400000</v>
      </c>
    </row>
    <row r="27582" spans="26:26" x14ac:dyDescent="0.25">
      <c r="Z27582">
        <v>400000</v>
      </c>
    </row>
    <row r="27583" spans="26:26" x14ac:dyDescent="0.25">
      <c r="Z27583">
        <v>400000</v>
      </c>
    </row>
    <row r="27584" spans="26:26" x14ac:dyDescent="0.25">
      <c r="Z27584">
        <v>400000</v>
      </c>
    </row>
    <row r="27585" spans="26:26" x14ac:dyDescent="0.25">
      <c r="Z27585">
        <v>400000</v>
      </c>
    </row>
    <row r="27586" spans="26:26" x14ac:dyDescent="0.25">
      <c r="Z27586">
        <v>400000</v>
      </c>
    </row>
    <row r="27587" spans="26:26" x14ac:dyDescent="0.25">
      <c r="Z27587">
        <v>400000</v>
      </c>
    </row>
    <row r="27588" spans="26:26" x14ac:dyDescent="0.25">
      <c r="Z27588">
        <v>400000</v>
      </c>
    </row>
    <row r="27589" spans="26:26" x14ac:dyDescent="0.25">
      <c r="Z27589">
        <v>400000</v>
      </c>
    </row>
    <row r="27590" spans="26:26" x14ac:dyDescent="0.25">
      <c r="Z27590">
        <v>400000</v>
      </c>
    </row>
    <row r="27591" spans="26:26" x14ac:dyDescent="0.25">
      <c r="Z27591">
        <v>400000</v>
      </c>
    </row>
    <row r="27592" spans="26:26" x14ac:dyDescent="0.25">
      <c r="Z27592">
        <v>400000</v>
      </c>
    </row>
    <row r="27593" spans="26:26" x14ac:dyDescent="0.25">
      <c r="Z27593">
        <v>400000</v>
      </c>
    </row>
    <row r="27594" spans="26:26" x14ac:dyDescent="0.25">
      <c r="Z27594">
        <v>400000</v>
      </c>
    </row>
    <row r="27595" spans="26:26" x14ac:dyDescent="0.25">
      <c r="Z27595">
        <v>400000</v>
      </c>
    </row>
    <row r="27596" spans="26:26" x14ac:dyDescent="0.25">
      <c r="Z27596">
        <v>400000</v>
      </c>
    </row>
    <row r="27597" spans="26:26" x14ac:dyDescent="0.25">
      <c r="Z27597">
        <v>400000</v>
      </c>
    </row>
    <row r="27598" spans="26:26" x14ac:dyDescent="0.25">
      <c r="Z27598">
        <v>400000</v>
      </c>
    </row>
    <row r="27599" spans="26:26" x14ac:dyDescent="0.25">
      <c r="Z27599">
        <v>400000</v>
      </c>
    </row>
    <row r="27600" spans="26:26" x14ac:dyDescent="0.25">
      <c r="Z27600">
        <v>400000</v>
      </c>
    </row>
    <row r="27601" spans="26:26" x14ac:dyDescent="0.25">
      <c r="Z27601">
        <v>400000</v>
      </c>
    </row>
    <row r="27602" spans="26:26" x14ac:dyDescent="0.25">
      <c r="Z27602">
        <v>400000</v>
      </c>
    </row>
    <row r="27603" spans="26:26" x14ac:dyDescent="0.25">
      <c r="Z27603">
        <v>400000</v>
      </c>
    </row>
    <row r="27604" spans="26:26" x14ac:dyDescent="0.25">
      <c r="Z27604">
        <v>400000</v>
      </c>
    </row>
    <row r="27605" spans="26:26" x14ac:dyDescent="0.25">
      <c r="Z27605">
        <v>400000</v>
      </c>
    </row>
    <row r="27606" spans="26:26" x14ac:dyDescent="0.25">
      <c r="Z27606">
        <v>400000</v>
      </c>
    </row>
    <row r="27607" spans="26:26" x14ac:dyDescent="0.25">
      <c r="Z27607">
        <v>400000</v>
      </c>
    </row>
    <row r="27608" spans="26:26" x14ac:dyDescent="0.25">
      <c r="Z27608">
        <v>400000</v>
      </c>
    </row>
    <row r="27609" spans="26:26" x14ac:dyDescent="0.25">
      <c r="Z27609">
        <v>400000</v>
      </c>
    </row>
    <row r="27610" spans="26:26" x14ac:dyDescent="0.25">
      <c r="Z27610">
        <v>400000</v>
      </c>
    </row>
    <row r="27611" spans="26:26" x14ac:dyDescent="0.25">
      <c r="Z27611">
        <v>400000</v>
      </c>
    </row>
    <row r="27612" spans="26:26" x14ac:dyDescent="0.25">
      <c r="Z27612">
        <v>400000</v>
      </c>
    </row>
    <row r="27613" spans="26:26" x14ac:dyDescent="0.25">
      <c r="Z27613">
        <v>400000</v>
      </c>
    </row>
    <row r="27614" spans="26:26" x14ac:dyDescent="0.25">
      <c r="Z27614">
        <v>400000</v>
      </c>
    </row>
    <row r="27615" spans="26:26" x14ac:dyDescent="0.25">
      <c r="Z27615">
        <v>400000</v>
      </c>
    </row>
    <row r="27616" spans="26:26" x14ac:dyDescent="0.25">
      <c r="Z27616">
        <v>400000</v>
      </c>
    </row>
    <row r="27617" spans="26:26" x14ac:dyDescent="0.25">
      <c r="Z27617">
        <v>400000</v>
      </c>
    </row>
    <row r="27618" spans="26:26" x14ac:dyDescent="0.25">
      <c r="Z27618">
        <v>400000</v>
      </c>
    </row>
    <row r="27619" spans="26:26" x14ac:dyDescent="0.25">
      <c r="Z27619">
        <v>400000</v>
      </c>
    </row>
    <row r="27620" spans="26:26" x14ac:dyDescent="0.25">
      <c r="Z27620">
        <v>400000</v>
      </c>
    </row>
    <row r="27621" spans="26:26" x14ac:dyDescent="0.25">
      <c r="Z27621">
        <v>400000</v>
      </c>
    </row>
    <row r="27622" spans="26:26" x14ac:dyDescent="0.25">
      <c r="Z27622">
        <v>400000</v>
      </c>
    </row>
    <row r="27623" spans="26:26" x14ac:dyDescent="0.25">
      <c r="Z27623">
        <v>400000</v>
      </c>
    </row>
    <row r="27624" spans="26:26" x14ac:dyDescent="0.25">
      <c r="Z27624">
        <v>400000</v>
      </c>
    </row>
    <row r="27625" spans="26:26" x14ac:dyDescent="0.25">
      <c r="Z27625">
        <v>400000</v>
      </c>
    </row>
    <row r="27626" spans="26:26" x14ac:dyDescent="0.25">
      <c r="Z27626">
        <v>400000</v>
      </c>
    </row>
    <row r="27627" spans="26:26" x14ac:dyDescent="0.25">
      <c r="Z27627">
        <v>400000</v>
      </c>
    </row>
    <row r="27628" spans="26:26" x14ac:dyDescent="0.25">
      <c r="Z27628">
        <v>400000</v>
      </c>
    </row>
    <row r="27629" spans="26:26" x14ac:dyDescent="0.25">
      <c r="Z27629">
        <v>400000</v>
      </c>
    </row>
    <row r="27630" spans="26:26" x14ac:dyDescent="0.25">
      <c r="Z27630">
        <v>400000</v>
      </c>
    </row>
    <row r="27631" spans="26:26" x14ac:dyDescent="0.25">
      <c r="Z27631">
        <v>400000</v>
      </c>
    </row>
    <row r="27632" spans="26:26" x14ac:dyDescent="0.25">
      <c r="Z27632">
        <v>400000</v>
      </c>
    </row>
    <row r="27633" spans="26:26" x14ac:dyDescent="0.25">
      <c r="Z27633">
        <v>400000</v>
      </c>
    </row>
    <row r="27634" spans="26:26" x14ac:dyDescent="0.25">
      <c r="Z27634">
        <v>400000</v>
      </c>
    </row>
    <row r="27635" spans="26:26" x14ac:dyDescent="0.25">
      <c r="Z27635">
        <v>400000</v>
      </c>
    </row>
    <row r="27636" spans="26:26" x14ac:dyDescent="0.25">
      <c r="Z27636">
        <v>400000</v>
      </c>
    </row>
    <row r="27637" spans="26:26" x14ac:dyDescent="0.25">
      <c r="Z27637">
        <v>400000</v>
      </c>
    </row>
    <row r="27638" spans="26:26" x14ac:dyDescent="0.25">
      <c r="Z27638">
        <v>400000</v>
      </c>
    </row>
    <row r="27639" spans="26:26" x14ac:dyDescent="0.25">
      <c r="Z27639">
        <v>400000</v>
      </c>
    </row>
    <row r="27640" spans="26:26" x14ac:dyDescent="0.25">
      <c r="Z27640">
        <v>400000</v>
      </c>
    </row>
    <row r="27641" spans="26:26" x14ac:dyDescent="0.25">
      <c r="Z27641">
        <v>400000</v>
      </c>
    </row>
    <row r="27642" spans="26:26" x14ac:dyDescent="0.25">
      <c r="Z27642">
        <v>400000</v>
      </c>
    </row>
    <row r="27643" spans="26:26" x14ac:dyDescent="0.25">
      <c r="Z27643">
        <v>400000</v>
      </c>
    </row>
    <row r="27644" spans="26:26" x14ac:dyDescent="0.25">
      <c r="Z27644">
        <v>400000</v>
      </c>
    </row>
    <row r="27645" spans="26:26" x14ac:dyDescent="0.25">
      <c r="Z27645">
        <v>400000</v>
      </c>
    </row>
    <row r="27646" spans="26:26" x14ac:dyDescent="0.25">
      <c r="Z27646">
        <v>400000</v>
      </c>
    </row>
    <row r="27647" spans="26:26" x14ac:dyDescent="0.25">
      <c r="Z27647">
        <v>400000</v>
      </c>
    </row>
    <row r="27648" spans="26:26" x14ac:dyDescent="0.25">
      <c r="Z27648">
        <v>400000</v>
      </c>
    </row>
    <row r="27649" spans="26:26" x14ac:dyDescent="0.25">
      <c r="Z27649">
        <v>400000</v>
      </c>
    </row>
    <row r="27650" spans="26:26" x14ac:dyDescent="0.25">
      <c r="Z27650">
        <v>400000</v>
      </c>
    </row>
    <row r="27651" spans="26:26" x14ac:dyDescent="0.25">
      <c r="Z27651">
        <v>400000</v>
      </c>
    </row>
    <row r="27652" spans="26:26" x14ac:dyDescent="0.25">
      <c r="Z27652">
        <v>400000</v>
      </c>
    </row>
    <row r="27653" spans="26:26" x14ac:dyDescent="0.25">
      <c r="Z27653">
        <v>400000</v>
      </c>
    </row>
    <row r="27654" spans="26:26" x14ac:dyDescent="0.25">
      <c r="Z27654">
        <v>400000</v>
      </c>
    </row>
    <row r="27655" spans="26:26" x14ac:dyDescent="0.25">
      <c r="Z27655">
        <v>400000</v>
      </c>
    </row>
    <row r="27656" spans="26:26" x14ac:dyDescent="0.25">
      <c r="Z27656">
        <v>400000</v>
      </c>
    </row>
    <row r="27657" spans="26:26" x14ac:dyDescent="0.25">
      <c r="Z27657">
        <v>400000</v>
      </c>
    </row>
    <row r="27658" spans="26:26" x14ac:dyDescent="0.25">
      <c r="Z27658">
        <v>400000</v>
      </c>
    </row>
    <row r="27659" spans="26:26" x14ac:dyDescent="0.25">
      <c r="Z27659">
        <v>400000</v>
      </c>
    </row>
    <row r="27660" spans="26:26" x14ac:dyDescent="0.25">
      <c r="Z27660">
        <v>400000</v>
      </c>
    </row>
    <row r="27661" spans="26:26" x14ac:dyDescent="0.25">
      <c r="Z27661">
        <v>400000</v>
      </c>
    </row>
    <row r="27662" spans="26:26" x14ac:dyDescent="0.25">
      <c r="Z27662">
        <v>400000</v>
      </c>
    </row>
    <row r="27663" spans="26:26" x14ac:dyDescent="0.25">
      <c r="Z27663">
        <v>400000</v>
      </c>
    </row>
    <row r="27664" spans="26:26" x14ac:dyDescent="0.25">
      <c r="Z27664">
        <v>400000</v>
      </c>
    </row>
    <row r="27665" spans="26:26" x14ac:dyDescent="0.25">
      <c r="Z27665">
        <v>400000</v>
      </c>
    </row>
    <row r="27666" spans="26:26" x14ac:dyDescent="0.25">
      <c r="Z27666">
        <v>400000</v>
      </c>
    </row>
    <row r="27667" spans="26:26" x14ac:dyDescent="0.25">
      <c r="Z27667">
        <v>400000</v>
      </c>
    </row>
    <row r="27668" spans="26:26" x14ac:dyDescent="0.25">
      <c r="Z27668">
        <v>400000</v>
      </c>
    </row>
    <row r="27669" spans="26:26" x14ac:dyDescent="0.25">
      <c r="Z27669">
        <v>400000</v>
      </c>
    </row>
    <row r="27670" spans="26:26" x14ac:dyDescent="0.25">
      <c r="Z27670">
        <v>400000</v>
      </c>
    </row>
    <row r="27671" spans="26:26" x14ac:dyDescent="0.25">
      <c r="Z27671">
        <v>400000</v>
      </c>
    </row>
    <row r="27672" spans="26:26" x14ac:dyDescent="0.25">
      <c r="Z27672">
        <v>400000</v>
      </c>
    </row>
    <row r="27673" spans="26:26" x14ac:dyDescent="0.25">
      <c r="Z27673">
        <v>400000</v>
      </c>
    </row>
    <row r="27674" spans="26:26" x14ac:dyDescent="0.25">
      <c r="Z27674">
        <v>400000</v>
      </c>
    </row>
    <row r="27675" spans="26:26" x14ac:dyDescent="0.25">
      <c r="Z27675">
        <v>400000</v>
      </c>
    </row>
    <row r="27676" spans="26:26" x14ac:dyDescent="0.25">
      <c r="Z27676">
        <v>400000</v>
      </c>
    </row>
    <row r="27677" spans="26:26" x14ac:dyDescent="0.25">
      <c r="Z27677">
        <v>400000</v>
      </c>
    </row>
    <row r="27678" spans="26:26" x14ac:dyDescent="0.25">
      <c r="Z27678">
        <v>400000</v>
      </c>
    </row>
    <row r="27679" spans="26:26" x14ac:dyDescent="0.25">
      <c r="Z27679">
        <v>400000</v>
      </c>
    </row>
    <row r="27680" spans="26:26" x14ac:dyDescent="0.25">
      <c r="Z27680">
        <v>400000</v>
      </c>
    </row>
    <row r="27681" spans="26:26" x14ac:dyDescent="0.25">
      <c r="Z27681">
        <v>400000</v>
      </c>
    </row>
    <row r="27682" spans="26:26" x14ac:dyDescent="0.25">
      <c r="Z27682">
        <v>400000</v>
      </c>
    </row>
    <row r="27683" spans="26:26" x14ac:dyDescent="0.25">
      <c r="Z27683">
        <v>400000</v>
      </c>
    </row>
    <row r="27684" spans="26:26" x14ac:dyDescent="0.25">
      <c r="Z27684">
        <v>400000</v>
      </c>
    </row>
    <row r="27685" spans="26:26" x14ac:dyDescent="0.25">
      <c r="Z27685">
        <v>400000</v>
      </c>
    </row>
    <row r="27686" spans="26:26" x14ac:dyDescent="0.25">
      <c r="Z27686">
        <v>400000</v>
      </c>
    </row>
    <row r="27687" spans="26:26" x14ac:dyDescent="0.25">
      <c r="Z27687">
        <v>400000</v>
      </c>
    </row>
    <row r="27688" spans="26:26" x14ac:dyDescent="0.25">
      <c r="Z27688">
        <v>400000</v>
      </c>
    </row>
    <row r="27689" spans="26:26" x14ac:dyDescent="0.25">
      <c r="Z27689">
        <v>400000</v>
      </c>
    </row>
    <row r="27690" spans="26:26" x14ac:dyDescent="0.25">
      <c r="Z27690">
        <v>400000</v>
      </c>
    </row>
    <row r="27691" spans="26:26" x14ac:dyDescent="0.25">
      <c r="Z27691">
        <v>400000</v>
      </c>
    </row>
    <row r="27692" spans="26:26" x14ac:dyDescent="0.25">
      <c r="Z27692">
        <v>400000</v>
      </c>
    </row>
    <row r="27693" spans="26:26" x14ac:dyDescent="0.25">
      <c r="Z27693">
        <v>400000</v>
      </c>
    </row>
    <row r="27694" spans="26:26" x14ac:dyDescent="0.25">
      <c r="Z27694">
        <v>400000</v>
      </c>
    </row>
    <row r="27695" spans="26:26" x14ac:dyDescent="0.25">
      <c r="Z27695">
        <v>400000</v>
      </c>
    </row>
    <row r="27696" spans="26:26" x14ac:dyDescent="0.25">
      <c r="Z27696">
        <v>400000</v>
      </c>
    </row>
    <row r="27697" spans="26:26" x14ac:dyDescent="0.25">
      <c r="Z27697">
        <v>400000</v>
      </c>
    </row>
    <row r="27698" spans="26:26" x14ac:dyDescent="0.25">
      <c r="Z27698">
        <v>400000</v>
      </c>
    </row>
    <row r="27699" spans="26:26" x14ac:dyDescent="0.25">
      <c r="Z27699">
        <v>400000</v>
      </c>
    </row>
    <row r="27700" spans="26:26" x14ac:dyDescent="0.25">
      <c r="Z27700">
        <v>400000</v>
      </c>
    </row>
    <row r="27701" spans="26:26" x14ac:dyDescent="0.25">
      <c r="Z27701">
        <v>400000</v>
      </c>
    </row>
    <row r="27702" spans="26:26" x14ac:dyDescent="0.25">
      <c r="Z27702">
        <v>400000</v>
      </c>
    </row>
    <row r="27703" spans="26:26" x14ac:dyDescent="0.25">
      <c r="Z27703">
        <v>400000</v>
      </c>
    </row>
    <row r="27704" spans="26:26" x14ac:dyDescent="0.25">
      <c r="Z27704">
        <v>400000</v>
      </c>
    </row>
    <row r="27705" spans="26:26" x14ac:dyDescent="0.25">
      <c r="Z27705">
        <v>400000</v>
      </c>
    </row>
    <row r="27706" spans="26:26" x14ac:dyDescent="0.25">
      <c r="Z27706">
        <v>400000</v>
      </c>
    </row>
    <row r="27707" spans="26:26" x14ac:dyDescent="0.25">
      <c r="Z27707">
        <v>400000</v>
      </c>
    </row>
    <row r="27708" spans="26:26" x14ac:dyDescent="0.25">
      <c r="Z27708">
        <v>400000</v>
      </c>
    </row>
    <row r="27709" spans="26:26" x14ac:dyDescent="0.25">
      <c r="Z27709">
        <v>400000</v>
      </c>
    </row>
    <row r="27710" spans="26:26" x14ac:dyDescent="0.25">
      <c r="Z27710">
        <v>400000</v>
      </c>
    </row>
    <row r="27711" spans="26:26" x14ac:dyDescent="0.25">
      <c r="Z27711">
        <v>400000</v>
      </c>
    </row>
    <row r="27712" spans="26:26" x14ac:dyDescent="0.25">
      <c r="Z27712">
        <v>400000</v>
      </c>
    </row>
    <row r="27713" spans="26:26" x14ac:dyDescent="0.25">
      <c r="Z27713">
        <v>400000</v>
      </c>
    </row>
    <row r="27714" spans="26:26" x14ac:dyDescent="0.25">
      <c r="Z27714">
        <v>400000</v>
      </c>
    </row>
    <row r="27715" spans="26:26" x14ac:dyDescent="0.25">
      <c r="Z27715">
        <v>400000</v>
      </c>
    </row>
    <row r="27716" spans="26:26" x14ac:dyDescent="0.25">
      <c r="Z27716">
        <v>400000</v>
      </c>
    </row>
    <row r="27717" spans="26:26" x14ac:dyDescent="0.25">
      <c r="Z27717">
        <v>400000</v>
      </c>
    </row>
    <row r="27718" spans="26:26" x14ac:dyDescent="0.25">
      <c r="Z27718">
        <v>400000</v>
      </c>
    </row>
    <row r="27719" spans="26:26" x14ac:dyDescent="0.25">
      <c r="Z27719">
        <v>400000</v>
      </c>
    </row>
    <row r="27720" spans="26:26" x14ac:dyDescent="0.25">
      <c r="Z27720">
        <v>400000</v>
      </c>
    </row>
    <row r="27721" spans="26:26" x14ac:dyDescent="0.25">
      <c r="Z27721">
        <v>400000</v>
      </c>
    </row>
    <row r="27722" spans="26:26" x14ac:dyDescent="0.25">
      <c r="Z27722">
        <v>400000</v>
      </c>
    </row>
    <row r="27723" spans="26:26" x14ac:dyDescent="0.25">
      <c r="Z27723">
        <v>400000</v>
      </c>
    </row>
    <row r="27724" spans="26:26" x14ac:dyDescent="0.25">
      <c r="Z27724">
        <v>400000</v>
      </c>
    </row>
    <row r="27725" spans="26:26" x14ac:dyDescent="0.25">
      <c r="Z27725">
        <v>400000</v>
      </c>
    </row>
    <row r="27726" spans="26:26" x14ac:dyDescent="0.25">
      <c r="Z27726">
        <v>400000</v>
      </c>
    </row>
    <row r="27727" spans="26:26" x14ac:dyDescent="0.25">
      <c r="Z27727">
        <v>400000</v>
      </c>
    </row>
    <row r="27728" spans="26:26" x14ac:dyDescent="0.25">
      <c r="Z27728">
        <v>400000</v>
      </c>
    </row>
    <row r="27729" spans="26:26" x14ac:dyDescent="0.25">
      <c r="Z27729">
        <v>400000</v>
      </c>
    </row>
    <row r="27730" spans="26:26" x14ac:dyDescent="0.25">
      <c r="Z27730">
        <v>400000</v>
      </c>
    </row>
    <row r="27731" spans="26:26" x14ac:dyDescent="0.25">
      <c r="Z27731">
        <v>400000</v>
      </c>
    </row>
    <row r="27732" spans="26:26" x14ac:dyDescent="0.25">
      <c r="Z27732">
        <v>400000</v>
      </c>
    </row>
    <row r="27733" spans="26:26" x14ac:dyDescent="0.25">
      <c r="Z27733">
        <v>400000</v>
      </c>
    </row>
    <row r="27734" spans="26:26" x14ac:dyDescent="0.25">
      <c r="Z27734">
        <v>400000</v>
      </c>
    </row>
    <row r="27735" spans="26:26" x14ac:dyDescent="0.25">
      <c r="Z27735">
        <v>400000</v>
      </c>
    </row>
    <row r="27736" spans="26:26" x14ac:dyDescent="0.25">
      <c r="Z27736">
        <v>400000</v>
      </c>
    </row>
    <row r="27737" spans="26:26" x14ac:dyDescent="0.25">
      <c r="Z27737">
        <v>400000</v>
      </c>
    </row>
    <row r="27738" spans="26:26" x14ac:dyDescent="0.25">
      <c r="Z27738">
        <v>400000</v>
      </c>
    </row>
    <row r="27739" spans="26:26" x14ac:dyDescent="0.25">
      <c r="Z27739">
        <v>400000</v>
      </c>
    </row>
    <row r="27740" spans="26:26" x14ac:dyDescent="0.25">
      <c r="Z27740">
        <v>400000</v>
      </c>
    </row>
    <row r="27741" spans="26:26" x14ac:dyDescent="0.25">
      <c r="Z27741">
        <v>400000</v>
      </c>
    </row>
    <row r="27742" spans="26:26" x14ac:dyDescent="0.25">
      <c r="Z27742">
        <v>400000</v>
      </c>
    </row>
    <row r="27743" spans="26:26" x14ac:dyDescent="0.25">
      <c r="Z27743">
        <v>400000</v>
      </c>
    </row>
    <row r="27744" spans="26:26" x14ac:dyDescent="0.25">
      <c r="Z27744">
        <v>400000</v>
      </c>
    </row>
    <row r="27745" spans="26:26" x14ac:dyDescent="0.25">
      <c r="Z27745">
        <v>400000</v>
      </c>
    </row>
    <row r="27746" spans="26:26" x14ac:dyDescent="0.25">
      <c r="Z27746">
        <v>400000</v>
      </c>
    </row>
    <row r="27747" spans="26:26" x14ac:dyDescent="0.25">
      <c r="Z27747">
        <v>400000</v>
      </c>
    </row>
    <row r="27748" spans="26:26" x14ac:dyDescent="0.25">
      <c r="Z27748">
        <v>400000</v>
      </c>
    </row>
    <row r="27749" spans="26:26" x14ac:dyDescent="0.25">
      <c r="Z27749">
        <v>400000</v>
      </c>
    </row>
    <row r="27750" spans="26:26" x14ac:dyDescent="0.25">
      <c r="Z27750">
        <v>400000</v>
      </c>
    </row>
    <row r="27751" spans="26:26" x14ac:dyDescent="0.25">
      <c r="Z27751">
        <v>400000</v>
      </c>
    </row>
    <row r="27752" spans="26:26" x14ac:dyDescent="0.25">
      <c r="Z27752">
        <v>400000</v>
      </c>
    </row>
    <row r="27753" spans="26:26" x14ac:dyDescent="0.25">
      <c r="Z27753">
        <v>400000</v>
      </c>
    </row>
    <row r="27754" spans="26:26" x14ac:dyDescent="0.25">
      <c r="Z27754">
        <v>400000</v>
      </c>
    </row>
    <row r="27755" spans="26:26" x14ac:dyDescent="0.25">
      <c r="Z27755">
        <v>400000</v>
      </c>
    </row>
    <row r="27756" spans="26:26" x14ac:dyDescent="0.25">
      <c r="Z27756">
        <v>400000</v>
      </c>
    </row>
    <row r="27757" spans="26:26" x14ac:dyDescent="0.25">
      <c r="Z27757">
        <v>400000</v>
      </c>
    </row>
    <row r="27758" spans="26:26" x14ac:dyDescent="0.25">
      <c r="Z27758">
        <v>400000</v>
      </c>
    </row>
    <row r="27759" spans="26:26" x14ac:dyDescent="0.25">
      <c r="Z27759">
        <v>400000</v>
      </c>
    </row>
    <row r="27760" spans="26:26" x14ac:dyDescent="0.25">
      <c r="Z27760">
        <v>400000</v>
      </c>
    </row>
    <row r="27761" spans="26:26" x14ac:dyDescent="0.25">
      <c r="Z27761">
        <v>400000</v>
      </c>
    </row>
    <row r="27762" spans="26:26" x14ac:dyDescent="0.25">
      <c r="Z27762">
        <v>400000</v>
      </c>
    </row>
    <row r="27763" spans="26:26" x14ac:dyDescent="0.25">
      <c r="Z27763">
        <v>400000</v>
      </c>
    </row>
    <row r="27764" spans="26:26" x14ac:dyDescent="0.25">
      <c r="Z27764">
        <v>400000</v>
      </c>
    </row>
    <row r="27765" spans="26:26" x14ac:dyDescent="0.25">
      <c r="Z27765">
        <v>400000</v>
      </c>
    </row>
    <row r="27766" spans="26:26" x14ac:dyDescent="0.25">
      <c r="Z27766">
        <v>400000</v>
      </c>
    </row>
    <row r="27767" spans="26:26" x14ac:dyDescent="0.25">
      <c r="Z27767">
        <v>400000</v>
      </c>
    </row>
    <row r="27768" spans="26:26" x14ac:dyDescent="0.25">
      <c r="Z27768">
        <v>400000</v>
      </c>
    </row>
    <row r="27769" spans="26:26" x14ac:dyDescent="0.25">
      <c r="Z27769">
        <v>400000</v>
      </c>
    </row>
    <row r="27770" spans="26:26" x14ac:dyDescent="0.25">
      <c r="Z27770">
        <v>400000</v>
      </c>
    </row>
    <row r="27771" spans="26:26" x14ac:dyDescent="0.25">
      <c r="Z27771">
        <v>400000</v>
      </c>
    </row>
    <row r="27772" spans="26:26" x14ac:dyDescent="0.25">
      <c r="Z27772">
        <v>400000</v>
      </c>
    </row>
    <row r="27773" spans="26:26" x14ac:dyDescent="0.25">
      <c r="Z27773">
        <v>400000</v>
      </c>
    </row>
    <row r="27774" spans="26:26" x14ac:dyDescent="0.25">
      <c r="Z27774">
        <v>400000</v>
      </c>
    </row>
    <row r="27775" spans="26:26" x14ac:dyDescent="0.25">
      <c r="Z27775">
        <v>400000</v>
      </c>
    </row>
    <row r="27776" spans="26:26" x14ac:dyDescent="0.25">
      <c r="Z27776">
        <v>400000</v>
      </c>
    </row>
    <row r="27777" spans="26:26" x14ac:dyDescent="0.25">
      <c r="Z27777">
        <v>400000</v>
      </c>
    </row>
    <row r="27778" spans="26:26" x14ac:dyDescent="0.25">
      <c r="Z27778">
        <v>400000</v>
      </c>
    </row>
    <row r="27779" spans="26:26" x14ac:dyDescent="0.25">
      <c r="Z27779">
        <v>400000</v>
      </c>
    </row>
    <row r="27780" spans="26:26" x14ac:dyDescent="0.25">
      <c r="Z27780">
        <v>400000</v>
      </c>
    </row>
    <row r="27781" spans="26:26" x14ac:dyDescent="0.25">
      <c r="Z27781">
        <v>400000</v>
      </c>
    </row>
    <row r="27782" spans="26:26" x14ac:dyDescent="0.25">
      <c r="Z27782">
        <v>400000</v>
      </c>
    </row>
    <row r="27783" spans="26:26" x14ac:dyDescent="0.25">
      <c r="Z27783">
        <v>400000</v>
      </c>
    </row>
    <row r="27784" spans="26:26" x14ac:dyDescent="0.25">
      <c r="Z27784">
        <v>400000</v>
      </c>
    </row>
    <row r="27785" spans="26:26" x14ac:dyDescent="0.25">
      <c r="Z27785">
        <v>400000</v>
      </c>
    </row>
    <row r="27786" spans="26:26" x14ac:dyDescent="0.25">
      <c r="Z27786">
        <v>400000</v>
      </c>
    </row>
    <row r="27787" spans="26:26" x14ac:dyDescent="0.25">
      <c r="Z27787">
        <v>400000</v>
      </c>
    </row>
    <row r="27788" spans="26:26" x14ac:dyDescent="0.25">
      <c r="Z27788">
        <v>400000</v>
      </c>
    </row>
    <row r="27789" spans="26:26" x14ac:dyDescent="0.25">
      <c r="Z27789">
        <v>400000</v>
      </c>
    </row>
    <row r="27790" spans="26:26" x14ac:dyDescent="0.25">
      <c r="Z27790">
        <v>400000</v>
      </c>
    </row>
    <row r="27791" spans="26:26" x14ac:dyDescent="0.25">
      <c r="Z27791">
        <v>400000</v>
      </c>
    </row>
    <row r="27792" spans="26:26" x14ac:dyDescent="0.25">
      <c r="Z27792">
        <v>400000</v>
      </c>
    </row>
    <row r="27793" spans="26:26" x14ac:dyDescent="0.25">
      <c r="Z27793">
        <v>400000</v>
      </c>
    </row>
    <row r="27794" spans="26:26" x14ac:dyDescent="0.25">
      <c r="Z27794">
        <v>400000</v>
      </c>
    </row>
    <row r="27795" spans="26:26" x14ac:dyDescent="0.25">
      <c r="Z27795">
        <v>400000</v>
      </c>
    </row>
    <row r="27796" spans="26:26" x14ac:dyDescent="0.25">
      <c r="Z27796">
        <v>400000</v>
      </c>
    </row>
    <row r="27797" spans="26:26" x14ac:dyDescent="0.25">
      <c r="Z27797">
        <v>400000</v>
      </c>
    </row>
    <row r="27798" spans="26:26" x14ac:dyDescent="0.25">
      <c r="Z27798">
        <v>400000</v>
      </c>
    </row>
    <row r="27799" spans="26:26" x14ac:dyDescent="0.25">
      <c r="Z27799">
        <v>400000</v>
      </c>
    </row>
    <row r="27800" spans="26:26" x14ac:dyDescent="0.25">
      <c r="Z27800">
        <v>400000</v>
      </c>
    </row>
    <row r="27801" spans="26:26" x14ac:dyDescent="0.25">
      <c r="Z27801">
        <v>400000</v>
      </c>
    </row>
    <row r="27802" spans="26:26" x14ac:dyDescent="0.25">
      <c r="Z27802">
        <v>400000</v>
      </c>
    </row>
    <row r="27803" spans="26:26" x14ac:dyDescent="0.25">
      <c r="Z27803">
        <v>400000</v>
      </c>
    </row>
    <row r="27804" spans="26:26" x14ac:dyDescent="0.25">
      <c r="Z27804">
        <v>400000</v>
      </c>
    </row>
    <row r="27805" spans="26:26" x14ac:dyDescent="0.25">
      <c r="Z27805">
        <v>400000</v>
      </c>
    </row>
    <row r="27806" spans="26:26" x14ac:dyDescent="0.25">
      <c r="Z27806">
        <v>400000</v>
      </c>
    </row>
    <row r="27807" spans="26:26" x14ac:dyDescent="0.25">
      <c r="Z27807">
        <v>400000</v>
      </c>
    </row>
    <row r="27808" spans="26:26" x14ac:dyDescent="0.25">
      <c r="Z27808">
        <v>400000</v>
      </c>
    </row>
    <row r="27809" spans="26:26" x14ac:dyDescent="0.25">
      <c r="Z27809">
        <v>400000</v>
      </c>
    </row>
    <row r="27810" spans="26:26" x14ac:dyDescent="0.25">
      <c r="Z27810">
        <v>400000</v>
      </c>
    </row>
    <row r="27811" spans="26:26" x14ac:dyDescent="0.25">
      <c r="Z27811">
        <v>400000</v>
      </c>
    </row>
    <row r="27812" spans="26:26" x14ac:dyDescent="0.25">
      <c r="Z27812">
        <v>400000</v>
      </c>
    </row>
    <row r="27813" spans="26:26" x14ac:dyDescent="0.25">
      <c r="Z27813">
        <v>400000</v>
      </c>
    </row>
    <row r="27814" spans="26:26" x14ac:dyDescent="0.25">
      <c r="Z27814">
        <v>400000</v>
      </c>
    </row>
    <row r="27815" spans="26:26" x14ac:dyDescent="0.25">
      <c r="Z27815">
        <v>400000</v>
      </c>
    </row>
    <row r="27816" spans="26:26" x14ac:dyDescent="0.25">
      <c r="Z27816">
        <v>400000</v>
      </c>
    </row>
    <row r="27817" spans="26:26" x14ac:dyDescent="0.25">
      <c r="Z27817">
        <v>400000</v>
      </c>
    </row>
    <row r="27818" spans="26:26" x14ac:dyDescent="0.25">
      <c r="Z27818">
        <v>400000</v>
      </c>
    </row>
    <row r="27819" spans="26:26" x14ac:dyDescent="0.25">
      <c r="Z27819">
        <v>400000</v>
      </c>
    </row>
    <row r="27820" spans="26:26" x14ac:dyDescent="0.25">
      <c r="Z27820">
        <v>400000</v>
      </c>
    </row>
    <row r="27821" spans="26:26" x14ac:dyDescent="0.25">
      <c r="Z27821">
        <v>400000</v>
      </c>
    </row>
    <row r="27822" spans="26:26" x14ac:dyDescent="0.25">
      <c r="Z27822">
        <v>400000</v>
      </c>
    </row>
    <row r="27823" spans="26:26" x14ac:dyDescent="0.25">
      <c r="Z27823">
        <v>400000</v>
      </c>
    </row>
    <row r="27824" spans="26:26" x14ac:dyDescent="0.25">
      <c r="Z27824">
        <v>400000</v>
      </c>
    </row>
    <row r="27825" spans="26:26" x14ac:dyDescent="0.25">
      <c r="Z27825">
        <v>400000</v>
      </c>
    </row>
    <row r="27826" spans="26:26" x14ac:dyDescent="0.25">
      <c r="Z27826">
        <v>400000</v>
      </c>
    </row>
    <row r="27827" spans="26:26" x14ac:dyDescent="0.25">
      <c r="Z27827">
        <v>400000</v>
      </c>
    </row>
    <row r="27828" spans="26:26" x14ac:dyDescent="0.25">
      <c r="Z27828">
        <v>400000</v>
      </c>
    </row>
    <row r="27829" spans="26:26" x14ac:dyDescent="0.25">
      <c r="Z27829">
        <v>400000</v>
      </c>
    </row>
    <row r="27830" spans="26:26" x14ac:dyDescent="0.25">
      <c r="Z27830">
        <v>400000</v>
      </c>
    </row>
    <row r="27831" spans="26:26" x14ac:dyDescent="0.25">
      <c r="Z27831">
        <v>400000</v>
      </c>
    </row>
    <row r="27832" spans="26:26" x14ac:dyDescent="0.25">
      <c r="Z27832">
        <v>400000</v>
      </c>
    </row>
    <row r="27833" spans="26:26" x14ac:dyDescent="0.25">
      <c r="Z27833">
        <v>400000</v>
      </c>
    </row>
    <row r="27834" spans="26:26" x14ac:dyDescent="0.25">
      <c r="Z27834">
        <v>400000</v>
      </c>
    </row>
    <row r="27835" spans="26:26" x14ac:dyDescent="0.25">
      <c r="Z27835">
        <v>400000</v>
      </c>
    </row>
    <row r="27836" spans="26:26" x14ac:dyDescent="0.25">
      <c r="Z27836">
        <v>400000</v>
      </c>
    </row>
    <row r="27837" spans="26:26" x14ac:dyDescent="0.25">
      <c r="Z27837">
        <v>400000</v>
      </c>
    </row>
    <row r="27838" spans="26:26" x14ac:dyDescent="0.25">
      <c r="Z27838">
        <v>400000</v>
      </c>
    </row>
    <row r="27839" spans="26:26" x14ac:dyDescent="0.25">
      <c r="Z27839">
        <v>400000</v>
      </c>
    </row>
    <row r="27840" spans="26:26" x14ac:dyDescent="0.25">
      <c r="Z27840">
        <v>400000</v>
      </c>
    </row>
    <row r="27841" spans="26:26" x14ac:dyDescent="0.25">
      <c r="Z27841">
        <v>400000</v>
      </c>
    </row>
    <row r="27842" spans="26:26" x14ac:dyDescent="0.25">
      <c r="Z27842">
        <v>400000</v>
      </c>
    </row>
    <row r="27843" spans="26:26" x14ac:dyDescent="0.25">
      <c r="Z27843">
        <v>400000</v>
      </c>
    </row>
    <row r="27844" spans="26:26" x14ac:dyDescent="0.25">
      <c r="Z27844">
        <v>400000</v>
      </c>
    </row>
    <row r="27845" spans="26:26" x14ac:dyDescent="0.25">
      <c r="Z27845">
        <v>400000</v>
      </c>
    </row>
    <row r="27846" spans="26:26" x14ac:dyDescent="0.25">
      <c r="Z27846">
        <v>400000</v>
      </c>
    </row>
    <row r="27847" spans="26:26" x14ac:dyDescent="0.25">
      <c r="Z27847">
        <v>400000</v>
      </c>
    </row>
    <row r="27848" spans="26:26" x14ac:dyDescent="0.25">
      <c r="Z27848">
        <v>400000</v>
      </c>
    </row>
    <row r="27849" spans="26:26" x14ac:dyDescent="0.25">
      <c r="Z27849">
        <v>400000</v>
      </c>
    </row>
    <row r="27850" spans="26:26" x14ac:dyDescent="0.25">
      <c r="Z27850">
        <v>400000</v>
      </c>
    </row>
    <row r="27851" spans="26:26" x14ac:dyDescent="0.25">
      <c r="Z27851">
        <v>400000</v>
      </c>
    </row>
    <row r="27852" spans="26:26" x14ac:dyDescent="0.25">
      <c r="Z27852">
        <v>400000</v>
      </c>
    </row>
    <row r="27853" spans="26:26" x14ac:dyDescent="0.25">
      <c r="Z27853">
        <v>400000</v>
      </c>
    </row>
    <row r="27854" spans="26:26" x14ac:dyDescent="0.25">
      <c r="Z27854">
        <v>400000</v>
      </c>
    </row>
    <row r="27855" spans="26:26" x14ac:dyDescent="0.25">
      <c r="Z27855">
        <v>400000</v>
      </c>
    </row>
    <row r="27856" spans="26:26" x14ac:dyDescent="0.25">
      <c r="Z27856">
        <v>400000</v>
      </c>
    </row>
    <row r="27857" spans="26:26" x14ac:dyDescent="0.25">
      <c r="Z27857">
        <v>400000</v>
      </c>
    </row>
    <row r="27858" spans="26:26" x14ac:dyDescent="0.25">
      <c r="Z27858">
        <v>400000</v>
      </c>
    </row>
    <row r="27859" spans="26:26" x14ac:dyDescent="0.25">
      <c r="Z27859">
        <v>400000</v>
      </c>
    </row>
    <row r="27860" spans="26:26" x14ac:dyDescent="0.25">
      <c r="Z27860">
        <v>400000</v>
      </c>
    </row>
    <row r="27861" spans="26:26" x14ac:dyDescent="0.25">
      <c r="Z27861">
        <v>400000</v>
      </c>
    </row>
    <row r="27862" spans="26:26" x14ac:dyDescent="0.25">
      <c r="Z27862">
        <v>400000</v>
      </c>
    </row>
    <row r="27863" spans="26:26" x14ac:dyDescent="0.25">
      <c r="Z27863">
        <v>400000</v>
      </c>
    </row>
    <row r="27864" spans="26:26" x14ac:dyDescent="0.25">
      <c r="Z27864">
        <v>400000</v>
      </c>
    </row>
    <row r="27865" spans="26:26" x14ac:dyDescent="0.25">
      <c r="Z27865">
        <v>400000</v>
      </c>
    </row>
    <row r="27866" spans="26:26" x14ac:dyDescent="0.25">
      <c r="Z27866">
        <v>400000</v>
      </c>
    </row>
    <row r="27867" spans="26:26" x14ac:dyDescent="0.25">
      <c r="Z27867">
        <v>400000</v>
      </c>
    </row>
    <row r="27868" spans="26:26" x14ac:dyDescent="0.25">
      <c r="Z27868">
        <v>400000</v>
      </c>
    </row>
    <row r="27869" spans="26:26" x14ac:dyDescent="0.25">
      <c r="Z27869">
        <v>400000</v>
      </c>
    </row>
    <row r="27870" spans="26:26" x14ac:dyDescent="0.25">
      <c r="Z27870">
        <v>400000</v>
      </c>
    </row>
    <row r="27871" spans="26:26" x14ac:dyDescent="0.25">
      <c r="Z27871">
        <v>400000</v>
      </c>
    </row>
    <row r="27872" spans="26:26" x14ac:dyDescent="0.25">
      <c r="Z27872">
        <v>400000</v>
      </c>
    </row>
    <row r="27873" spans="26:26" x14ac:dyDescent="0.25">
      <c r="Z27873">
        <v>400000</v>
      </c>
    </row>
    <row r="27874" spans="26:26" x14ac:dyDescent="0.25">
      <c r="Z27874">
        <v>400000</v>
      </c>
    </row>
    <row r="27875" spans="26:26" x14ac:dyDescent="0.25">
      <c r="Z27875">
        <v>400000</v>
      </c>
    </row>
    <row r="27876" spans="26:26" x14ac:dyDescent="0.25">
      <c r="Z27876">
        <v>400000</v>
      </c>
    </row>
    <row r="27877" spans="26:26" x14ac:dyDescent="0.25">
      <c r="Z27877">
        <v>400000</v>
      </c>
    </row>
    <row r="27878" spans="26:26" x14ac:dyDescent="0.25">
      <c r="Z27878">
        <v>400000</v>
      </c>
    </row>
    <row r="27879" spans="26:26" x14ac:dyDescent="0.25">
      <c r="Z27879">
        <v>400000</v>
      </c>
    </row>
    <row r="27880" spans="26:26" x14ac:dyDescent="0.25">
      <c r="Z27880">
        <v>400000</v>
      </c>
    </row>
    <row r="27881" spans="26:26" x14ac:dyDescent="0.25">
      <c r="Z27881">
        <v>400000</v>
      </c>
    </row>
    <row r="27882" spans="26:26" x14ac:dyDescent="0.25">
      <c r="Z27882">
        <v>400000</v>
      </c>
    </row>
    <row r="27883" spans="26:26" x14ac:dyDescent="0.25">
      <c r="Z27883">
        <v>400000</v>
      </c>
    </row>
    <row r="27884" spans="26:26" x14ac:dyDescent="0.25">
      <c r="Z27884">
        <v>400000</v>
      </c>
    </row>
    <row r="27885" spans="26:26" x14ac:dyDescent="0.25">
      <c r="Z27885">
        <v>400000</v>
      </c>
    </row>
    <row r="27886" spans="26:26" x14ac:dyDescent="0.25">
      <c r="Z27886">
        <v>400000</v>
      </c>
    </row>
    <row r="27887" spans="26:26" x14ac:dyDescent="0.25">
      <c r="Z27887">
        <v>400000</v>
      </c>
    </row>
    <row r="27888" spans="26:26" x14ac:dyDescent="0.25">
      <c r="Z27888">
        <v>400000</v>
      </c>
    </row>
    <row r="27889" spans="26:26" x14ac:dyDescent="0.25">
      <c r="Z27889">
        <v>400000</v>
      </c>
    </row>
    <row r="27890" spans="26:26" x14ac:dyDescent="0.25">
      <c r="Z27890">
        <v>400000</v>
      </c>
    </row>
    <row r="27891" spans="26:26" x14ac:dyDescent="0.25">
      <c r="Z27891">
        <v>400000</v>
      </c>
    </row>
    <row r="27892" spans="26:26" x14ac:dyDescent="0.25">
      <c r="Z27892">
        <v>400000</v>
      </c>
    </row>
    <row r="27893" spans="26:26" x14ac:dyDescent="0.25">
      <c r="Z27893">
        <v>400000</v>
      </c>
    </row>
    <row r="27894" spans="26:26" x14ac:dyDescent="0.25">
      <c r="Z27894">
        <v>400000</v>
      </c>
    </row>
    <row r="27895" spans="26:26" x14ac:dyDescent="0.25">
      <c r="Z27895">
        <v>400000</v>
      </c>
    </row>
    <row r="27896" spans="26:26" x14ac:dyDescent="0.25">
      <c r="Z27896">
        <v>400000</v>
      </c>
    </row>
    <row r="27897" spans="26:26" x14ac:dyDescent="0.25">
      <c r="Z27897">
        <v>400000</v>
      </c>
    </row>
    <row r="27898" spans="26:26" x14ac:dyDescent="0.25">
      <c r="Z27898">
        <v>400000</v>
      </c>
    </row>
    <row r="27899" spans="26:26" x14ac:dyDescent="0.25">
      <c r="Z27899">
        <v>400000</v>
      </c>
    </row>
    <row r="27900" spans="26:26" x14ac:dyDescent="0.25">
      <c r="Z27900">
        <v>400000</v>
      </c>
    </row>
    <row r="27901" spans="26:26" x14ac:dyDescent="0.25">
      <c r="Z27901">
        <v>400000</v>
      </c>
    </row>
    <row r="27902" spans="26:26" x14ac:dyDescent="0.25">
      <c r="Z27902">
        <v>400000</v>
      </c>
    </row>
    <row r="27903" spans="26:26" x14ac:dyDescent="0.25">
      <c r="Z27903">
        <v>400000</v>
      </c>
    </row>
    <row r="27904" spans="26:26" x14ac:dyDescent="0.25">
      <c r="Z27904">
        <v>400000</v>
      </c>
    </row>
    <row r="27905" spans="26:26" x14ac:dyDescent="0.25">
      <c r="Z27905">
        <v>400000</v>
      </c>
    </row>
    <row r="27906" spans="26:26" x14ac:dyDescent="0.25">
      <c r="Z27906">
        <v>400000</v>
      </c>
    </row>
    <row r="27907" spans="26:26" x14ac:dyDescent="0.25">
      <c r="Z27907">
        <v>400000</v>
      </c>
    </row>
    <row r="27908" spans="26:26" x14ac:dyDescent="0.25">
      <c r="Z27908">
        <v>400000</v>
      </c>
    </row>
    <row r="27909" spans="26:26" x14ac:dyDescent="0.25">
      <c r="Z27909">
        <v>400000</v>
      </c>
    </row>
    <row r="27910" spans="26:26" x14ac:dyDescent="0.25">
      <c r="Z27910">
        <v>400000</v>
      </c>
    </row>
    <row r="27911" spans="26:26" x14ac:dyDescent="0.25">
      <c r="Z27911">
        <v>400000</v>
      </c>
    </row>
    <row r="27912" spans="26:26" x14ac:dyDescent="0.25">
      <c r="Z27912">
        <v>400000</v>
      </c>
    </row>
    <row r="27913" spans="26:26" x14ac:dyDescent="0.25">
      <c r="Z27913">
        <v>400000</v>
      </c>
    </row>
    <row r="27914" spans="26:26" x14ac:dyDescent="0.25">
      <c r="Z27914">
        <v>400000</v>
      </c>
    </row>
    <row r="27915" spans="26:26" x14ac:dyDescent="0.25">
      <c r="Z27915">
        <v>400000</v>
      </c>
    </row>
    <row r="27916" spans="26:26" x14ac:dyDescent="0.25">
      <c r="Z27916">
        <v>400000</v>
      </c>
    </row>
    <row r="27917" spans="26:26" x14ac:dyDescent="0.25">
      <c r="Z27917">
        <v>400000</v>
      </c>
    </row>
    <row r="27918" spans="26:26" x14ac:dyDescent="0.25">
      <c r="Z27918">
        <v>400000</v>
      </c>
    </row>
    <row r="27919" spans="26:26" x14ac:dyDescent="0.25">
      <c r="Z27919">
        <v>400000</v>
      </c>
    </row>
    <row r="27920" spans="26:26" x14ac:dyDescent="0.25">
      <c r="Z27920">
        <v>400000</v>
      </c>
    </row>
    <row r="27921" spans="26:26" x14ac:dyDescent="0.25">
      <c r="Z27921">
        <v>400000</v>
      </c>
    </row>
    <row r="27922" spans="26:26" x14ac:dyDescent="0.25">
      <c r="Z27922">
        <v>400000</v>
      </c>
    </row>
    <row r="27923" spans="26:26" x14ac:dyDescent="0.25">
      <c r="Z27923">
        <v>400000</v>
      </c>
    </row>
    <row r="27924" spans="26:26" x14ac:dyDescent="0.25">
      <c r="Z27924">
        <v>400000</v>
      </c>
    </row>
    <row r="27925" spans="26:26" x14ac:dyDescent="0.25">
      <c r="Z27925">
        <v>400000</v>
      </c>
    </row>
    <row r="27926" spans="26:26" x14ac:dyDescent="0.25">
      <c r="Z27926">
        <v>400000</v>
      </c>
    </row>
    <row r="27927" spans="26:26" x14ac:dyDescent="0.25">
      <c r="Z27927">
        <v>400000</v>
      </c>
    </row>
    <row r="27928" spans="26:26" x14ac:dyDescent="0.25">
      <c r="Z27928">
        <v>400000</v>
      </c>
    </row>
    <row r="27929" spans="26:26" x14ac:dyDescent="0.25">
      <c r="Z27929">
        <v>400000</v>
      </c>
    </row>
    <row r="27930" spans="26:26" x14ac:dyDescent="0.25">
      <c r="Z27930">
        <v>400000</v>
      </c>
    </row>
    <row r="27931" spans="26:26" x14ac:dyDescent="0.25">
      <c r="Z27931">
        <v>400000</v>
      </c>
    </row>
    <row r="27932" spans="26:26" x14ac:dyDescent="0.25">
      <c r="Z27932">
        <v>400000</v>
      </c>
    </row>
    <row r="27933" spans="26:26" x14ac:dyDescent="0.25">
      <c r="Z27933">
        <v>400000</v>
      </c>
    </row>
    <row r="27934" spans="26:26" x14ac:dyDescent="0.25">
      <c r="Z27934">
        <v>400000</v>
      </c>
    </row>
    <row r="27935" spans="26:26" x14ac:dyDescent="0.25">
      <c r="Z27935">
        <v>400000</v>
      </c>
    </row>
    <row r="27936" spans="26:26" x14ac:dyDescent="0.25">
      <c r="Z27936">
        <v>400000</v>
      </c>
    </row>
    <row r="27937" spans="26:26" x14ac:dyDescent="0.25">
      <c r="Z27937">
        <v>400000</v>
      </c>
    </row>
    <row r="27938" spans="26:26" x14ac:dyDescent="0.25">
      <c r="Z27938">
        <v>400000</v>
      </c>
    </row>
    <row r="27939" spans="26:26" x14ac:dyDescent="0.25">
      <c r="Z27939">
        <v>400000</v>
      </c>
    </row>
    <row r="27940" spans="26:26" x14ac:dyDescent="0.25">
      <c r="Z27940">
        <v>400000</v>
      </c>
    </row>
    <row r="27941" spans="26:26" x14ac:dyDescent="0.25">
      <c r="Z27941">
        <v>400000</v>
      </c>
    </row>
    <row r="27942" spans="26:26" x14ac:dyDescent="0.25">
      <c r="Z27942">
        <v>400000</v>
      </c>
    </row>
    <row r="27943" spans="26:26" x14ac:dyDescent="0.25">
      <c r="Z27943">
        <v>400000</v>
      </c>
    </row>
    <row r="27944" spans="26:26" x14ac:dyDescent="0.25">
      <c r="Z27944">
        <v>400000</v>
      </c>
    </row>
    <row r="27945" spans="26:26" x14ac:dyDescent="0.25">
      <c r="Z27945">
        <v>400000</v>
      </c>
    </row>
    <row r="27946" spans="26:26" x14ac:dyDescent="0.25">
      <c r="Z27946">
        <v>400000</v>
      </c>
    </row>
    <row r="27947" spans="26:26" x14ac:dyDescent="0.25">
      <c r="Z27947">
        <v>400000</v>
      </c>
    </row>
    <row r="27948" spans="26:26" x14ac:dyDescent="0.25">
      <c r="Z27948">
        <v>400000</v>
      </c>
    </row>
    <row r="27949" spans="26:26" x14ac:dyDescent="0.25">
      <c r="Z27949">
        <v>400000</v>
      </c>
    </row>
    <row r="27950" spans="26:26" x14ac:dyDescent="0.25">
      <c r="Z27950">
        <v>400000</v>
      </c>
    </row>
    <row r="27951" spans="26:26" x14ac:dyDescent="0.25">
      <c r="Z27951">
        <v>400000</v>
      </c>
    </row>
    <row r="27952" spans="26:26" x14ac:dyDescent="0.25">
      <c r="Z27952">
        <v>400000</v>
      </c>
    </row>
    <row r="27953" spans="26:26" x14ac:dyDescent="0.25">
      <c r="Z27953">
        <v>400000</v>
      </c>
    </row>
    <row r="27954" spans="26:26" x14ac:dyDescent="0.25">
      <c r="Z27954">
        <v>400000</v>
      </c>
    </row>
    <row r="27955" spans="26:26" x14ac:dyDescent="0.25">
      <c r="Z27955">
        <v>400000</v>
      </c>
    </row>
    <row r="27956" spans="26:26" x14ac:dyDescent="0.25">
      <c r="Z27956">
        <v>400000</v>
      </c>
    </row>
    <row r="27957" spans="26:26" x14ac:dyDescent="0.25">
      <c r="Z27957">
        <v>400000</v>
      </c>
    </row>
    <row r="27958" spans="26:26" x14ac:dyDescent="0.25">
      <c r="Z27958">
        <v>400000</v>
      </c>
    </row>
    <row r="27959" spans="26:26" x14ac:dyDescent="0.25">
      <c r="Z27959">
        <v>400000</v>
      </c>
    </row>
    <row r="27960" spans="26:26" x14ac:dyDescent="0.25">
      <c r="Z27960">
        <v>400000</v>
      </c>
    </row>
    <row r="27961" spans="26:26" x14ac:dyDescent="0.25">
      <c r="Z27961">
        <v>400000</v>
      </c>
    </row>
    <row r="27962" spans="26:26" x14ac:dyDescent="0.25">
      <c r="Z27962">
        <v>400000</v>
      </c>
    </row>
    <row r="27963" spans="26:26" x14ac:dyDescent="0.25">
      <c r="Z27963">
        <v>400000</v>
      </c>
    </row>
    <row r="27964" spans="26:26" x14ac:dyDescent="0.25">
      <c r="Z27964">
        <v>400000</v>
      </c>
    </row>
    <row r="27965" spans="26:26" x14ac:dyDescent="0.25">
      <c r="Z27965">
        <v>400000</v>
      </c>
    </row>
    <row r="27966" spans="26:26" x14ac:dyDescent="0.25">
      <c r="Z27966">
        <v>400000</v>
      </c>
    </row>
    <row r="27967" spans="26:26" x14ac:dyDescent="0.25">
      <c r="Z27967">
        <v>400000</v>
      </c>
    </row>
    <row r="27968" spans="26:26" x14ac:dyDescent="0.25">
      <c r="Z27968">
        <v>400000</v>
      </c>
    </row>
    <row r="27969" spans="26:26" x14ac:dyDescent="0.25">
      <c r="Z27969">
        <v>400000</v>
      </c>
    </row>
    <row r="27970" spans="26:26" x14ac:dyDescent="0.25">
      <c r="Z27970">
        <v>400000</v>
      </c>
    </row>
    <row r="27971" spans="26:26" x14ac:dyDescent="0.25">
      <c r="Z27971">
        <v>400000</v>
      </c>
    </row>
    <row r="27972" spans="26:26" x14ac:dyDescent="0.25">
      <c r="Z27972">
        <v>400000</v>
      </c>
    </row>
    <row r="27973" spans="26:26" x14ac:dyDescent="0.25">
      <c r="Z27973">
        <v>400000</v>
      </c>
    </row>
    <row r="27974" spans="26:26" x14ac:dyDescent="0.25">
      <c r="Z27974">
        <v>400000</v>
      </c>
    </row>
    <row r="27975" spans="26:26" x14ac:dyDescent="0.25">
      <c r="Z27975">
        <v>400000</v>
      </c>
    </row>
    <row r="27976" spans="26:26" x14ac:dyDescent="0.25">
      <c r="Z27976">
        <v>400000</v>
      </c>
    </row>
    <row r="27977" spans="26:26" x14ac:dyDescent="0.25">
      <c r="Z27977">
        <v>400000</v>
      </c>
    </row>
    <row r="27978" spans="26:26" x14ac:dyDescent="0.25">
      <c r="Z27978">
        <v>400000</v>
      </c>
    </row>
    <row r="27979" spans="26:26" x14ac:dyDescent="0.25">
      <c r="Z27979">
        <v>400000</v>
      </c>
    </row>
    <row r="27980" spans="26:26" x14ac:dyDescent="0.25">
      <c r="Z27980">
        <v>400000</v>
      </c>
    </row>
    <row r="27981" spans="26:26" x14ac:dyDescent="0.25">
      <c r="Z27981">
        <v>400000</v>
      </c>
    </row>
    <row r="27982" spans="26:26" x14ac:dyDescent="0.25">
      <c r="Z27982">
        <v>400000</v>
      </c>
    </row>
    <row r="27983" spans="26:26" x14ac:dyDescent="0.25">
      <c r="Z27983">
        <v>400000</v>
      </c>
    </row>
    <row r="27984" spans="26:26" x14ac:dyDescent="0.25">
      <c r="Z27984">
        <v>400000</v>
      </c>
    </row>
    <row r="27985" spans="26:26" x14ac:dyDescent="0.25">
      <c r="Z27985">
        <v>400000</v>
      </c>
    </row>
    <row r="27986" spans="26:26" x14ac:dyDescent="0.25">
      <c r="Z27986">
        <v>400000</v>
      </c>
    </row>
    <row r="27987" spans="26:26" x14ac:dyDescent="0.25">
      <c r="Z27987">
        <v>400000</v>
      </c>
    </row>
    <row r="27988" spans="26:26" x14ac:dyDescent="0.25">
      <c r="Z27988">
        <v>400000</v>
      </c>
    </row>
    <row r="27989" spans="26:26" x14ac:dyDescent="0.25">
      <c r="Z27989">
        <v>400000</v>
      </c>
    </row>
    <row r="27990" spans="26:26" x14ac:dyDescent="0.25">
      <c r="Z27990">
        <v>400000</v>
      </c>
    </row>
    <row r="27991" spans="26:26" x14ac:dyDescent="0.25">
      <c r="Z27991">
        <v>400000</v>
      </c>
    </row>
    <row r="27992" spans="26:26" x14ac:dyDescent="0.25">
      <c r="Z27992">
        <v>400000</v>
      </c>
    </row>
    <row r="27993" spans="26:26" x14ac:dyDescent="0.25">
      <c r="Z27993">
        <v>400000</v>
      </c>
    </row>
    <row r="27994" spans="26:26" x14ac:dyDescent="0.25">
      <c r="Z27994">
        <v>400000</v>
      </c>
    </row>
    <row r="27995" spans="26:26" x14ac:dyDescent="0.25">
      <c r="Z27995">
        <v>400000</v>
      </c>
    </row>
    <row r="27996" spans="26:26" x14ac:dyDescent="0.25">
      <c r="Z27996">
        <v>400000</v>
      </c>
    </row>
    <row r="27997" spans="26:26" x14ac:dyDescent="0.25">
      <c r="Z27997">
        <v>400000</v>
      </c>
    </row>
    <row r="27998" spans="26:26" x14ac:dyDescent="0.25">
      <c r="Z27998">
        <v>400000</v>
      </c>
    </row>
    <row r="27999" spans="26:26" x14ac:dyDescent="0.25">
      <c r="Z27999">
        <v>400000</v>
      </c>
    </row>
    <row r="28000" spans="26:26" x14ac:dyDescent="0.25">
      <c r="Z28000">
        <v>400000</v>
      </c>
    </row>
    <row r="28001" spans="26:26" x14ac:dyDescent="0.25">
      <c r="Z28001">
        <v>400000</v>
      </c>
    </row>
    <row r="28002" spans="26:26" x14ac:dyDescent="0.25">
      <c r="Z28002">
        <v>400000</v>
      </c>
    </row>
    <row r="28003" spans="26:26" x14ac:dyDescent="0.25">
      <c r="Z28003">
        <v>400000</v>
      </c>
    </row>
    <row r="28004" spans="26:26" x14ac:dyDescent="0.25">
      <c r="Z28004">
        <v>400000</v>
      </c>
    </row>
    <row r="28005" spans="26:26" x14ac:dyDescent="0.25">
      <c r="Z28005">
        <v>400000</v>
      </c>
    </row>
    <row r="28006" spans="26:26" x14ac:dyDescent="0.25">
      <c r="Z28006">
        <v>400000</v>
      </c>
    </row>
    <row r="28007" spans="26:26" x14ac:dyDescent="0.25">
      <c r="Z28007">
        <v>400000</v>
      </c>
    </row>
    <row r="28008" spans="26:26" x14ac:dyDescent="0.25">
      <c r="Z28008">
        <v>400000</v>
      </c>
    </row>
    <row r="28009" spans="26:26" x14ac:dyDescent="0.25">
      <c r="Z28009">
        <v>400000</v>
      </c>
    </row>
    <row r="28010" spans="26:26" x14ac:dyDescent="0.25">
      <c r="Z28010">
        <v>400000</v>
      </c>
    </row>
    <row r="28011" spans="26:26" x14ac:dyDescent="0.25">
      <c r="Z28011">
        <v>400000</v>
      </c>
    </row>
    <row r="28012" spans="26:26" x14ac:dyDescent="0.25">
      <c r="Z28012">
        <v>400000</v>
      </c>
    </row>
    <row r="28013" spans="26:26" x14ac:dyDescent="0.25">
      <c r="Z28013">
        <v>400000</v>
      </c>
    </row>
    <row r="28014" spans="26:26" x14ac:dyDescent="0.25">
      <c r="Z28014">
        <v>400000</v>
      </c>
    </row>
    <row r="28015" spans="26:26" x14ac:dyDescent="0.25">
      <c r="Z28015">
        <v>400000</v>
      </c>
    </row>
    <row r="28016" spans="26:26" x14ac:dyDescent="0.25">
      <c r="Z28016">
        <v>400000</v>
      </c>
    </row>
    <row r="28017" spans="26:26" x14ac:dyDescent="0.25">
      <c r="Z28017">
        <v>400000</v>
      </c>
    </row>
    <row r="28018" spans="26:26" x14ac:dyDescent="0.25">
      <c r="Z28018">
        <v>400000</v>
      </c>
    </row>
    <row r="28019" spans="26:26" x14ac:dyDescent="0.25">
      <c r="Z28019">
        <v>400000</v>
      </c>
    </row>
    <row r="28020" spans="26:26" x14ac:dyDescent="0.25">
      <c r="Z28020">
        <v>400000</v>
      </c>
    </row>
    <row r="28021" spans="26:26" x14ac:dyDescent="0.25">
      <c r="Z28021">
        <v>400000</v>
      </c>
    </row>
    <row r="28022" spans="26:26" x14ac:dyDescent="0.25">
      <c r="Z28022">
        <v>400000</v>
      </c>
    </row>
    <row r="28023" spans="26:26" x14ac:dyDescent="0.25">
      <c r="Z28023">
        <v>400000</v>
      </c>
    </row>
    <row r="28024" spans="26:26" x14ac:dyDescent="0.25">
      <c r="Z28024">
        <v>400000</v>
      </c>
    </row>
    <row r="28025" spans="26:26" x14ac:dyDescent="0.25">
      <c r="Z28025">
        <v>400000</v>
      </c>
    </row>
    <row r="28026" spans="26:26" x14ac:dyDescent="0.25">
      <c r="Z28026">
        <v>400000</v>
      </c>
    </row>
    <row r="28027" spans="26:26" x14ac:dyDescent="0.25">
      <c r="Z28027">
        <v>400000</v>
      </c>
    </row>
    <row r="28028" spans="26:26" x14ac:dyDescent="0.25">
      <c r="Z28028">
        <v>400000</v>
      </c>
    </row>
    <row r="28029" spans="26:26" x14ac:dyDescent="0.25">
      <c r="Z28029">
        <v>400000</v>
      </c>
    </row>
    <row r="28030" spans="26:26" x14ac:dyDescent="0.25">
      <c r="Z28030">
        <v>400000</v>
      </c>
    </row>
    <row r="28031" spans="26:26" x14ac:dyDescent="0.25">
      <c r="Z28031">
        <v>400000</v>
      </c>
    </row>
    <row r="28032" spans="26:26" x14ac:dyDescent="0.25">
      <c r="Z28032">
        <v>400000</v>
      </c>
    </row>
    <row r="28033" spans="26:26" x14ac:dyDescent="0.25">
      <c r="Z28033">
        <v>400000</v>
      </c>
    </row>
    <row r="28034" spans="26:26" x14ac:dyDescent="0.25">
      <c r="Z28034">
        <v>400000</v>
      </c>
    </row>
    <row r="28035" spans="26:26" x14ac:dyDescent="0.25">
      <c r="Z28035">
        <v>400000</v>
      </c>
    </row>
    <row r="28036" spans="26:26" x14ac:dyDescent="0.25">
      <c r="Z28036">
        <v>400000</v>
      </c>
    </row>
    <row r="28037" spans="26:26" x14ac:dyDescent="0.25">
      <c r="Z28037">
        <v>400000</v>
      </c>
    </row>
    <row r="28038" spans="26:26" x14ac:dyDescent="0.25">
      <c r="Z28038">
        <v>400000</v>
      </c>
    </row>
    <row r="28039" spans="26:26" x14ac:dyDescent="0.25">
      <c r="Z28039">
        <v>400000</v>
      </c>
    </row>
    <row r="28040" spans="26:26" x14ac:dyDescent="0.25">
      <c r="Z28040">
        <v>400000</v>
      </c>
    </row>
    <row r="28041" spans="26:26" x14ac:dyDescent="0.25">
      <c r="Z28041">
        <v>400000</v>
      </c>
    </row>
    <row r="28042" spans="26:26" x14ac:dyDescent="0.25">
      <c r="Z28042">
        <v>400000</v>
      </c>
    </row>
    <row r="28043" spans="26:26" x14ac:dyDescent="0.25">
      <c r="Z28043">
        <v>400000</v>
      </c>
    </row>
    <row r="28044" spans="26:26" x14ac:dyDescent="0.25">
      <c r="Z28044">
        <v>400000</v>
      </c>
    </row>
    <row r="28045" spans="26:26" x14ac:dyDescent="0.25">
      <c r="Z28045">
        <v>400000</v>
      </c>
    </row>
    <row r="28046" spans="26:26" x14ac:dyDescent="0.25">
      <c r="Z28046">
        <v>400000</v>
      </c>
    </row>
    <row r="28047" spans="26:26" x14ac:dyDescent="0.25">
      <c r="Z28047">
        <v>400000</v>
      </c>
    </row>
    <row r="28048" spans="26:26" x14ac:dyDescent="0.25">
      <c r="Z28048">
        <v>400000</v>
      </c>
    </row>
    <row r="28049" spans="26:26" x14ac:dyDescent="0.25">
      <c r="Z28049">
        <v>400000</v>
      </c>
    </row>
    <row r="28050" spans="26:26" x14ac:dyDescent="0.25">
      <c r="Z28050">
        <v>400000</v>
      </c>
    </row>
    <row r="28051" spans="26:26" x14ac:dyDescent="0.25">
      <c r="Z28051">
        <v>400000</v>
      </c>
    </row>
    <row r="28052" spans="26:26" x14ac:dyDescent="0.25">
      <c r="Z28052">
        <v>400000</v>
      </c>
    </row>
    <row r="28053" spans="26:26" x14ac:dyDescent="0.25">
      <c r="Z28053">
        <v>400000</v>
      </c>
    </row>
    <row r="28054" spans="26:26" x14ac:dyDescent="0.25">
      <c r="Z28054">
        <v>400000</v>
      </c>
    </row>
    <row r="28055" spans="26:26" x14ac:dyDescent="0.25">
      <c r="Z28055">
        <v>400000</v>
      </c>
    </row>
    <row r="28056" spans="26:26" x14ac:dyDescent="0.25">
      <c r="Z28056">
        <v>400000</v>
      </c>
    </row>
    <row r="28057" spans="26:26" x14ac:dyDescent="0.25">
      <c r="Z28057">
        <v>400000</v>
      </c>
    </row>
    <row r="28058" spans="26:26" x14ac:dyDescent="0.25">
      <c r="Z28058">
        <v>400000</v>
      </c>
    </row>
    <row r="28059" spans="26:26" x14ac:dyDescent="0.25">
      <c r="Z28059">
        <v>400000</v>
      </c>
    </row>
    <row r="28060" spans="26:26" x14ac:dyDescent="0.25">
      <c r="Z28060">
        <v>400000</v>
      </c>
    </row>
    <row r="28061" spans="26:26" x14ac:dyDescent="0.25">
      <c r="Z28061">
        <v>400000</v>
      </c>
    </row>
    <row r="28062" spans="26:26" x14ac:dyDescent="0.25">
      <c r="Z28062">
        <v>400000</v>
      </c>
    </row>
    <row r="28063" spans="26:26" x14ac:dyDescent="0.25">
      <c r="Z28063">
        <v>400000</v>
      </c>
    </row>
    <row r="28064" spans="26:26" x14ac:dyDescent="0.25">
      <c r="Z28064">
        <v>400000</v>
      </c>
    </row>
    <row r="28065" spans="26:26" x14ac:dyDescent="0.25">
      <c r="Z28065">
        <v>400000</v>
      </c>
    </row>
    <row r="28066" spans="26:26" x14ac:dyDescent="0.25">
      <c r="Z28066">
        <v>400000</v>
      </c>
    </row>
    <row r="28067" spans="26:26" x14ac:dyDescent="0.25">
      <c r="Z28067">
        <v>400000</v>
      </c>
    </row>
    <row r="28068" spans="26:26" x14ac:dyDescent="0.25">
      <c r="Z28068">
        <v>400000</v>
      </c>
    </row>
    <row r="28069" spans="26:26" x14ac:dyDescent="0.25">
      <c r="Z28069">
        <v>400000</v>
      </c>
    </row>
    <row r="28070" spans="26:26" x14ac:dyDescent="0.25">
      <c r="Z28070">
        <v>400000</v>
      </c>
    </row>
    <row r="28071" spans="26:26" x14ac:dyDescent="0.25">
      <c r="Z28071">
        <v>400000</v>
      </c>
    </row>
    <row r="28072" spans="26:26" x14ac:dyDescent="0.25">
      <c r="Z28072">
        <v>400000</v>
      </c>
    </row>
    <row r="28073" spans="26:26" x14ac:dyDescent="0.25">
      <c r="Z28073">
        <v>400000</v>
      </c>
    </row>
    <row r="28074" spans="26:26" x14ac:dyDescent="0.25">
      <c r="Z28074">
        <v>400000</v>
      </c>
    </row>
    <row r="28075" spans="26:26" x14ac:dyDescent="0.25">
      <c r="Z28075">
        <v>400000</v>
      </c>
    </row>
    <row r="28076" spans="26:26" x14ac:dyDescent="0.25">
      <c r="Z28076">
        <v>400000</v>
      </c>
    </row>
    <row r="28077" spans="26:26" x14ac:dyDescent="0.25">
      <c r="Z28077">
        <v>400000</v>
      </c>
    </row>
    <row r="28078" spans="26:26" x14ac:dyDescent="0.25">
      <c r="Z28078">
        <v>400000</v>
      </c>
    </row>
    <row r="28079" spans="26:26" x14ac:dyDescent="0.25">
      <c r="Z28079">
        <v>400000</v>
      </c>
    </row>
    <row r="28080" spans="26:26" x14ac:dyDescent="0.25">
      <c r="Z28080">
        <v>400000</v>
      </c>
    </row>
    <row r="28081" spans="26:26" x14ac:dyDescent="0.25">
      <c r="Z28081">
        <v>400000</v>
      </c>
    </row>
    <row r="28082" spans="26:26" x14ac:dyDescent="0.25">
      <c r="Z28082">
        <v>400000</v>
      </c>
    </row>
    <row r="28083" spans="26:26" x14ac:dyDescent="0.25">
      <c r="Z28083">
        <v>400000</v>
      </c>
    </row>
    <row r="28084" spans="26:26" x14ac:dyDescent="0.25">
      <c r="Z28084">
        <v>400000</v>
      </c>
    </row>
    <row r="28085" spans="26:26" x14ac:dyDescent="0.25">
      <c r="Z28085">
        <v>400000</v>
      </c>
    </row>
    <row r="28086" spans="26:26" x14ac:dyDescent="0.25">
      <c r="Z28086">
        <v>400000</v>
      </c>
    </row>
    <row r="28087" spans="26:26" x14ac:dyDescent="0.25">
      <c r="Z28087">
        <v>400000</v>
      </c>
    </row>
    <row r="28088" spans="26:26" x14ac:dyDescent="0.25">
      <c r="Z28088">
        <v>400000</v>
      </c>
    </row>
    <row r="28089" spans="26:26" x14ac:dyDescent="0.25">
      <c r="Z28089">
        <v>400000</v>
      </c>
    </row>
    <row r="28090" spans="26:26" x14ac:dyDescent="0.25">
      <c r="Z28090">
        <v>400000</v>
      </c>
    </row>
    <row r="28091" spans="26:26" x14ac:dyDescent="0.25">
      <c r="Z28091">
        <v>400000</v>
      </c>
    </row>
    <row r="28092" spans="26:26" x14ac:dyDescent="0.25">
      <c r="Z28092">
        <v>400000</v>
      </c>
    </row>
    <row r="28093" spans="26:26" x14ac:dyDescent="0.25">
      <c r="Z28093">
        <v>400000</v>
      </c>
    </row>
    <row r="28094" spans="26:26" x14ac:dyDescent="0.25">
      <c r="Z28094">
        <v>400000</v>
      </c>
    </row>
    <row r="28095" spans="26:26" x14ac:dyDescent="0.25">
      <c r="Z28095">
        <v>400000</v>
      </c>
    </row>
    <row r="28096" spans="26:26" x14ac:dyDescent="0.25">
      <c r="Z28096">
        <v>400000</v>
      </c>
    </row>
    <row r="28097" spans="26:26" x14ac:dyDescent="0.25">
      <c r="Z28097">
        <v>400000</v>
      </c>
    </row>
    <row r="28098" spans="26:26" x14ac:dyDescent="0.25">
      <c r="Z28098">
        <v>400000</v>
      </c>
    </row>
    <row r="28099" spans="26:26" x14ac:dyDescent="0.25">
      <c r="Z28099">
        <v>400000</v>
      </c>
    </row>
    <row r="28100" spans="26:26" x14ac:dyDescent="0.25">
      <c r="Z28100">
        <v>400000</v>
      </c>
    </row>
    <row r="28101" spans="26:26" x14ac:dyDescent="0.25">
      <c r="Z28101">
        <v>400000</v>
      </c>
    </row>
    <row r="28102" spans="26:26" x14ac:dyDescent="0.25">
      <c r="Z28102">
        <v>400000</v>
      </c>
    </row>
    <row r="28103" spans="26:26" x14ac:dyDescent="0.25">
      <c r="Z28103">
        <v>400000</v>
      </c>
    </row>
    <row r="28104" spans="26:26" x14ac:dyDescent="0.25">
      <c r="Z28104">
        <v>400000</v>
      </c>
    </row>
    <row r="28105" spans="26:26" x14ac:dyDescent="0.25">
      <c r="Z28105">
        <v>400000</v>
      </c>
    </row>
    <row r="28106" spans="26:26" x14ac:dyDescent="0.25">
      <c r="Z28106">
        <v>400000</v>
      </c>
    </row>
    <row r="28107" spans="26:26" x14ac:dyDescent="0.25">
      <c r="Z28107">
        <v>400000</v>
      </c>
    </row>
    <row r="28108" spans="26:26" x14ac:dyDescent="0.25">
      <c r="Z28108">
        <v>400000</v>
      </c>
    </row>
    <row r="28109" spans="26:26" x14ac:dyDescent="0.25">
      <c r="Z28109">
        <v>400000</v>
      </c>
    </row>
    <row r="28110" spans="26:26" x14ac:dyDescent="0.25">
      <c r="Z28110">
        <v>400000</v>
      </c>
    </row>
    <row r="28111" spans="26:26" x14ac:dyDescent="0.25">
      <c r="Z28111">
        <v>400000</v>
      </c>
    </row>
    <row r="28112" spans="26:26" x14ac:dyDescent="0.25">
      <c r="Z28112">
        <v>400000</v>
      </c>
    </row>
    <row r="28113" spans="26:26" x14ac:dyDescent="0.25">
      <c r="Z28113">
        <v>400000</v>
      </c>
    </row>
    <row r="28114" spans="26:26" x14ac:dyDescent="0.25">
      <c r="Z28114">
        <v>400000</v>
      </c>
    </row>
    <row r="28115" spans="26:26" x14ac:dyDescent="0.25">
      <c r="Z28115">
        <v>400000</v>
      </c>
    </row>
    <row r="28116" spans="26:26" x14ac:dyDescent="0.25">
      <c r="Z28116">
        <v>400000</v>
      </c>
    </row>
    <row r="28117" spans="26:26" x14ac:dyDescent="0.25">
      <c r="Z28117">
        <v>400000</v>
      </c>
    </row>
    <row r="28118" spans="26:26" x14ac:dyDescent="0.25">
      <c r="Z28118">
        <v>400000</v>
      </c>
    </row>
    <row r="28119" spans="26:26" x14ac:dyDescent="0.25">
      <c r="Z28119">
        <v>400000</v>
      </c>
    </row>
    <row r="28120" spans="26:26" x14ac:dyDescent="0.25">
      <c r="Z28120">
        <v>400000</v>
      </c>
    </row>
    <row r="28121" spans="26:26" x14ac:dyDescent="0.25">
      <c r="Z28121">
        <v>400000</v>
      </c>
    </row>
    <row r="28122" spans="26:26" x14ac:dyDescent="0.25">
      <c r="Z28122">
        <v>400000</v>
      </c>
    </row>
    <row r="28123" spans="26:26" x14ac:dyDescent="0.25">
      <c r="Z28123">
        <v>400000</v>
      </c>
    </row>
    <row r="28124" spans="26:26" x14ac:dyDescent="0.25">
      <c r="Z28124">
        <v>400000</v>
      </c>
    </row>
    <row r="28125" spans="26:26" x14ac:dyDescent="0.25">
      <c r="Z28125">
        <v>400000</v>
      </c>
    </row>
    <row r="28126" spans="26:26" x14ac:dyDescent="0.25">
      <c r="Z28126">
        <v>400000</v>
      </c>
    </row>
    <row r="28127" spans="26:26" x14ac:dyDescent="0.25">
      <c r="Z28127">
        <v>400000</v>
      </c>
    </row>
    <row r="28128" spans="26:26" x14ac:dyDescent="0.25">
      <c r="Z28128">
        <v>400000</v>
      </c>
    </row>
    <row r="28129" spans="26:26" x14ac:dyDescent="0.25">
      <c r="Z28129">
        <v>400000</v>
      </c>
    </row>
    <row r="28130" spans="26:26" x14ac:dyDescent="0.25">
      <c r="Z28130">
        <v>400000</v>
      </c>
    </row>
    <row r="28131" spans="26:26" x14ac:dyDescent="0.25">
      <c r="Z28131">
        <v>400000</v>
      </c>
    </row>
    <row r="28132" spans="26:26" x14ac:dyDescent="0.25">
      <c r="Z28132">
        <v>400000</v>
      </c>
    </row>
    <row r="28133" spans="26:26" x14ac:dyDescent="0.25">
      <c r="Z28133">
        <v>400000</v>
      </c>
    </row>
    <row r="28134" spans="26:26" x14ac:dyDescent="0.25">
      <c r="Z28134">
        <v>400000</v>
      </c>
    </row>
    <row r="28135" spans="26:26" x14ac:dyDescent="0.25">
      <c r="Z28135">
        <v>400000</v>
      </c>
    </row>
    <row r="28136" spans="26:26" x14ac:dyDescent="0.25">
      <c r="Z28136">
        <v>400000</v>
      </c>
    </row>
    <row r="28137" spans="26:26" x14ac:dyDescent="0.25">
      <c r="Z28137">
        <v>400000</v>
      </c>
    </row>
    <row r="28138" spans="26:26" x14ac:dyDescent="0.25">
      <c r="Z28138">
        <v>400000</v>
      </c>
    </row>
    <row r="28139" spans="26:26" x14ac:dyDescent="0.25">
      <c r="Z28139">
        <v>400000</v>
      </c>
    </row>
    <row r="28140" spans="26:26" x14ac:dyDescent="0.25">
      <c r="Z28140">
        <v>400000</v>
      </c>
    </row>
    <row r="28141" spans="26:26" x14ac:dyDescent="0.25">
      <c r="Z28141">
        <v>400000</v>
      </c>
    </row>
    <row r="28142" spans="26:26" x14ac:dyDescent="0.25">
      <c r="Z28142">
        <v>400000</v>
      </c>
    </row>
    <row r="28143" spans="26:26" x14ac:dyDescent="0.25">
      <c r="Z28143">
        <v>400000</v>
      </c>
    </row>
    <row r="28144" spans="26:26" x14ac:dyDescent="0.25">
      <c r="Z28144">
        <v>400000</v>
      </c>
    </row>
    <row r="28145" spans="26:26" x14ac:dyDescent="0.25">
      <c r="Z28145">
        <v>400000</v>
      </c>
    </row>
    <row r="28146" spans="26:26" x14ac:dyDescent="0.25">
      <c r="Z28146">
        <v>400000</v>
      </c>
    </row>
    <row r="28147" spans="26:26" x14ac:dyDescent="0.25">
      <c r="Z28147">
        <v>400000</v>
      </c>
    </row>
    <row r="28148" spans="26:26" x14ac:dyDescent="0.25">
      <c r="Z28148">
        <v>400000</v>
      </c>
    </row>
    <row r="28149" spans="26:26" x14ac:dyDescent="0.25">
      <c r="Z28149">
        <v>400000</v>
      </c>
    </row>
    <row r="28150" spans="26:26" x14ac:dyDescent="0.25">
      <c r="Z28150">
        <v>400000</v>
      </c>
    </row>
    <row r="28151" spans="26:26" x14ac:dyDescent="0.25">
      <c r="Z28151">
        <v>400000</v>
      </c>
    </row>
    <row r="28152" spans="26:26" x14ac:dyDescent="0.25">
      <c r="Z28152">
        <v>400000</v>
      </c>
    </row>
    <row r="28153" spans="26:26" x14ac:dyDescent="0.25">
      <c r="Z28153">
        <v>400000</v>
      </c>
    </row>
    <row r="28154" spans="26:26" x14ac:dyDescent="0.25">
      <c r="Z28154">
        <v>400000</v>
      </c>
    </row>
    <row r="28155" spans="26:26" x14ac:dyDescent="0.25">
      <c r="Z28155">
        <v>400000</v>
      </c>
    </row>
    <row r="28156" spans="26:26" x14ac:dyDescent="0.25">
      <c r="Z28156">
        <v>400000</v>
      </c>
    </row>
    <row r="28157" spans="26:26" x14ac:dyDescent="0.25">
      <c r="Z28157">
        <v>400000</v>
      </c>
    </row>
    <row r="28158" spans="26:26" x14ac:dyDescent="0.25">
      <c r="Z28158">
        <v>400000</v>
      </c>
    </row>
    <row r="28159" spans="26:26" x14ac:dyDescent="0.25">
      <c r="Z28159">
        <v>400000</v>
      </c>
    </row>
    <row r="28160" spans="26:26" x14ac:dyDescent="0.25">
      <c r="Z28160">
        <v>400000</v>
      </c>
    </row>
    <row r="28161" spans="26:26" x14ac:dyDescent="0.25">
      <c r="Z28161">
        <v>400000</v>
      </c>
    </row>
    <row r="28162" spans="26:26" x14ac:dyDescent="0.25">
      <c r="Z28162">
        <v>400000</v>
      </c>
    </row>
    <row r="28163" spans="26:26" x14ac:dyDescent="0.25">
      <c r="Z28163">
        <v>400000</v>
      </c>
    </row>
    <row r="28164" spans="26:26" x14ac:dyDescent="0.25">
      <c r="Z28164">
        <v>400000</v>
      </c>
    </row>
    <row r="28165" spans="26:26" x14ac:dyDescent="0.25">
      <c r="Z28165">
        <v>400000</v>
      </c>
    </row>
    <row r="28166" spans="26:26" x14ac:dyDescent="0.25">
      <c r="Z28166">
        <v>400000</v>
      </c>
    </row>
    <row r="28167" spans="26:26" x14ac:dyDescent="0.25">
      <c r="Z28167">
        <v>400000</v>
      </c>
    </row>
    <row r="28168" spans="26:26" x14ac:dyDescent="0.25">
      <c r="Z28168">
        <v>400000</v>
      </c>
    </row>
    <row r="28169" spans="26:26" x14ac:dyDescent="0.25">
      <c r="Z28169">
        <v>400000</v>
      </c>
    </row>
    <row r="28170" spans="26:26" x14ac:dyDescent="0.25">
      <c r="Z28170">
        <v>400000</v>
      </c>
    </row>
    <row r="28171" spans="26:26" x14ac:dyDescent="0.25">
      <c r="Z28171">
        <v>400000</v>
      </c>
    </row>
    <row r="28172" spans="26:26" x14ac:dyDescent="0.25">
      <c r="Z28172">
        <v>400000</v>
      </c>
    </row>
    <row r="28173" spans="26:26" x14ac:dyDescent="0.25">
      <c r="Z28173">
        <v>400000</v>
      </c>
    </row>
    <row r="28174" spans="26:26" x14ac:dyDescent="0.25">
      <c r="Z28174">
        <v>400000</v>
      </c>
    </row>
    <row r="28175" spans="26:26" x14ac:dyDescent="0.25">
      <c r="Z28175">
        <v>400000</v>
      </c>
    </row>
    <row r="28176" spans="26:26" x14ac:dyDescent="0.25">
      <c r="Z28176">
        <v>400000</v>
      </c>
    </row>
    <row r="28177" spans="26:26" x14ac:dyDescent="0.25">
      <c r="Z28177">
        <v>400000</v>
      </c>
    </row>
    <row r="28178" spans="26:26" x14ac:dyDescent="0.25">
      <c r="Z28178">
        <v>400000</v>
      </c>
    </row>
    <row r="28179" spans="26:26" x14ac:dyDescent="0.25">
      <c r="Z28179">
        <v>400000</v>
      </c>
    </row>
    <row r="28180" spans="26:26" x14ac:dyDescent="0.25">
      <c r="Z28180">
        <v>400000</v>
      </c>
    </row>
    <row r="28181" spans="26:26" x14ac:dyDescent="0.25">
      <c r="Z28181">
        <v>400000</v>
      </c>
    </row>
    <row r="28182" spans="26:26" x14ac:dyDescent="0.25">
      <c r="Z28182">
        <v>400000</v>
      </c>
    </row>
    <row r="28183" spans="26:26" x14ac:dyDescent="0.25">
      <c r="Z28183">
        <v>400000</v>
      </c>
    </row>
    <row r="28184" spans="26:26" x14ac:dyDescent="0.25">
      <c r="Z28184">
        <v>400000</v>
      </c>
    </row>
    <row r="28185" spans="26:26" x14ac:dyDescent="0.25">
      <c r="Z28185">
        <v>400000</v>
      </c>
    </row>
    <row r="28186" spans="26:26" x14ac:dyDescent="0.25">
      <c r="Z28186">
        <v>400000</v>
      </c>
    </row>
    <row r="28187" spans="26:26" x14ac:dyDescent="0.25">
      <c r="Z28187">
        <v>400000</v>
      </c>
    </row>
    <row r="28188" spans="26:26" x14ac:dyDescent="0.25">
      <c r="Z28188">
        <v>400000</v>
      </c>
    </row>
    <row r="28189" spans="26:26" x14ac:dyDescent="0.25">
      <c r="Z28189">
        <v>400000</v>
      </c>
    </row>
    <row r="28190" spans="26:26" x14ac:dyDescent="0.25">
      <c r="Z28190">
        <v>400000</v>
      </c>
    </row>
    <row r="28191" spans="26:26" x14ac:dyDescent="0.25">
      <c r="Z28191">
        <v>400000</v>
      </c>
    </row>
    <row r="28192" spans="26:26" x14ac:dyDescent="0.25">
      <c r="Z28192">
        <v>400000</v>
      </c>
    </row>
    <row r="28193" spans="26:26" x14ac:dyDescent="0.25">
      <c r="Z28193">
        <v>400000</v>
      </c>
    </row>
    <row r="28194" spans="26:26" x14ac:dyDescent="0.25">
      <c r="Z28194">
        <v>400000</v>
      </c>
    </row>
    <row r="28195" spans="26:26" x14ac:dyDescent="0.25">
      <c r="Z28195">
        <v>400000</v>
      </c>
    </row>
    <row r="28196" spans="26:26" x14ac:dyDescent="0.25">
      <c r="Z28196">
        <v>400000</v>
      </c>
    </row>
    <row r="28197" spans="26:26" x14ac:dyDescent="0.25">
      <c r="Z28197">
        <v>400000</v>
      </c>
    </row>
    <row r="28198" spans="26:26" x14ac:dyDescent="0.25">
      <c r="Z28198">
        <v>400000</v>
      </c>
    </row>
    <row r="28199" spans="26:26" x14ac:dyDescent="0.25">
      <c r="Z28199">
        <v>400000</v>
      </c>
    </row>
    <row r="28200" spans="26:26" x14ac:dyDescent="0.25">
      <c r="Z28200">
        <v>400000</v>
      </c>
    </row>
    <row r="28201" spans="26:26" x14ac:dyDescent="0.25">
      <c r="Z28201">
        <v>400000</v>
      </c>
    </row>
    <row r="28202" spans="26:26" x14ac:dyDescent="0.25">
      <c r="Z28202">
        <v>400000</v>
      </c>
    </row>
    <row r="28203" spans="26:26" x14ac:dyDescent="0.25">
      <c r="Z28203">
        <v>400000</v>
      </c>
    </row>
    <row r="28204" spans="26:26" x14ac:dyDescent="0.25">
      <c r="Z28204">
        <v>400000</v>
      </c>
    </row>
    <row r="28205" spans="26:26" x14ac:dyDescent="0.25">
      <c r="Z28205">
        <v>400000</v>
      </c>
    </row>
    <row r="28206" spans="26:26" x14ac:dyDescent="0.25">
      <c r="Z28206">
        <v>400000</v>
      </c>
    </row>
    <row r="28207" spans="26:26" x14ac:dyDescent="0.25">
      <c r="Z28207">
        <v>400000</v>
      </c>
    </row>
    <row r="28208" spans="26:26" x14ac:dyDescent="0.25">
      <c r="Z28208">
        <v>400000</v>
      </c>
    </row>
    <row r="28209" spans="26:26" x14ac:dyDescent="0.25">
      <c r="Z28209">
        <v>400000</v>
      </c>
    </row>
    <row r="28210" spans="26:26" x14ac:dyDescent="0.25">
      <c r="Z28210">
        <v>400000</v>
      </c>
    </row>
    <row r="28211" spans="26:26" x14ac:dyDescent="0.25">
      <c r="Z28211">
        <v>400000</v>
      </c>
    </row>
    <row r="28212" spans="26:26" x14ac:dyDescent="0.25">
      <c r="Z28212">
        <v>400000</v>
      </c>
    </row>
    <row r="28213" spans="26:26" x14ac:dyDescent="0.25">
      <c r="Z28213">
        <v>400000</v>
      </c>
    </row>
    <row r="28214" spans="26:26" x14ac:dyDescent="0.25">
      <c r="Z28214">
        <v>400000</v>
      </c>
    </row>
    <row r="28215" spans="26:26" x14ac:dyDescent="0.25">
      <c r="Z28215">
        <v>400000</v>
      </c>
    </row>
    <row r="28216" spans="26:26" x14ac:dyDescent="0.25">
      <c r="Z28216">
        <v>400000</v>
      </c>
    </row>
    <row r="28217" spans="26:26" x14ac:dyDescent="0.25">
      <c r="Z28217">
        <v>400000</v>
      </c>
    </row>
    <row r="28218" spans="26:26" x14ac:dyDescent="0.25">
      <c r="Z28218">
        <v>400000</v>
      </c>
    </row>
    <row r="28219" spans="26:26" x14ac:dyDescent="0.25">
      <c r="Z28219">
        <v>400000</v>
      </c>
    </row>
    <row r="28220" spans="26:26" x14ac:dyDescent="0.25">
      <c r="Z28220">
        <v>400000</v>
      </c>
    </row>
    <row r="28221" spans="26:26" x14ac:dyDescent="0.25">
      <c r="Z28221">
        <v>400000</v>
      </c>
    </row>
    <row r="28222" spans="26:26" x14ac:dyDescent="0.25">
      <c r="Z28222">
        <v>400000</v>
      </c>
    </row>
    <row r="28223" spans="26:26" x14ac:dyDescent="0.25">
      <c r="Z28223">
        <v>400000</v>
      </c>
    </row>
    <row r="28224" spans="26:26" x14ac:dyDescent="0.25">
      <c r="Z28224">
        <v>400000</v>
      </c>
    </row>
    <row r="28225" spans="26:26" x14ac:dyDescent="0.25">
      <c r="Z28225">
        <v>400000</v>
      </c>
    </row>
    <row r="28226" spans="26:26" x14ac:dyDescent="0.25">
      <c r="Z28226">
        <v>400000</v>
      </c>
    </row>
    <row r="28227" spans="26:26" x14ac:dyDescent="0.25">
      <c r="Z28227">
        <v>400000</v>
      </c>
    </row>
    <row r="28228" spans="26:26" x14ac:dyDescent="0.25">
      <c r="Z28228">
        <v>400000</v>
      </c>
    </row>
    <row r="28229" spans="26:26" x14ac:dyDescent="0.25">
      <c r="Z28229">
        <v>400000</v>
      </c>
    </row>
    <row r="28230" spans="26:26" x14ac:dyDescent="0.25">
      <c r="Z28230">
        <v>400000</v>
      </c>
    </row>
    <row r="28231" spans="26:26" x14ac:dyDescent="0.25">
      <c r="Z28231">
        <v>400000</v>
      </c>
    </row>
    <row r="28232" spans="26:26" x14ac:dyDescent="0.25">
      <c r="Z28232">
        <v>400000</v>
      </c>
    </row>
    <row r="28233" spans="26:26" x14ac:dyDescent="0.25">
      <c r="Z28233">
        <v>400000</v>
      </c>
    </row>
    <row r="28234" spans="26:26" x14ac:dyDescent="0.25">
      <c r="Z28234">
        <v>400000</v>
      </c>
    </row>
    <row r="28235" spans="26:26" x14ac:dyDescent="0.25">
      <c r="Z28235">
        <v>400000</v>
      </c>
    </row>
    <row r="28236" spans="26:26" x14ac:dyDescent="0.25">
      <c r="Z28236">
        <v>400000</v>
      </c>
    </row>
    <row r="28237" spans="26:26" x14ac:dyDescent="0.25">
      <c r="Z28237">
        <v>400000</v>
      </c>
    </row>
    <row r="28238" spans="26:26" x14ac:dyDescent="0.25">
      <c r="Z28238">
        <v>400000</v>
      </c>
    </row>
    <row r="28239" spans="26:26" x14ac:dyDescent="0.25">
      <c r="Z28239">
        <v>400000</v>
      </c>
    </row>
    <row r="28240" spans="26:26" x14ac:dyDescent="0.25">
      <c r="Z28240">
        <v>400000</v>
      </c>
    </row>
    <row r="28241" spans="26:26" x14ac:dyDescent="0.25">
      <c r="Z28241">
        <v>400000</v>
      </c>
    </row>
    <row r="28242" spans="26:26" x14ac:dyDescent="0.25">
      <c r="Z28242">
        <v>400000</v>
      </c>
    </row>
    <row r="28243" spans="26:26" x14ac:dyDescent="0.25">
      <c r="Z28243">
        <v>400000</v>
      </c>
    </row>
    <row r="28244" spans="26:26" x14ac:dyDescent="0.25">
      <c r="Z28244">
        <v>400000</v>
      </c>
    </row>
    <row r="28245" spans="26:26" x14ac:dyDescent="0.25">
      <c r="Z28245">
        <v>400000</v>
      </c>
    </row>
    <row r="28246" spans="26:26" x14ac:dyDescent="0.25">
      <c r="Z28246">
        <v>400000</v>
      </c>
    </row>
    <row r="28247" spans="26:26" x14ac:dyDescent="0.25">
      <c r="Z28247">
        <v>400000</v>
      </c>
    </row>
    <row r="28248" spans="26:26" x14ac:dyDescent="0.25">
      <c r="Z28248">
        <v>400000</v>
      </c>
    </row>
    <row r="28249" spans="26:26" x14ac:dyDescent="0.25">
      <c r="Z28249">
        <v>400000</v>
      </c>
    </row>
    <row r="28250" spans="26:26" x14ac:dyDescent="0.25">
      <c r="Z28250">
        <v>400000</v>
      </c>
    </row>
    <row r="28251" spans="26:26" x14ac:dyDescent="0.25">
      <c r="Z28251">
        <v>400000</v>
      </c>
    </row>
    <row r="28252" spans="26:26" x14ac:dyDescent="0.25">
      <c r="Z28252">
        <v>400000</v>
      </c>
    </row>
    <row r="28253" spans="26:26" x14ac:dyDescent="0.25">
      <c r="Z28253">
        <v>400000</v>
      </c>
    </row>
    <row r="28254" spans="26:26" x14ac:dyDescent="0.25">
      <c r="Z28254">
        <v>400000</v>
      </c>
    </row>
    <row r="28255" spans="26:26" x14ac:dyDescent="0.25">
      <c r="Z28255">
        <v>400000</v>
      </c>
    </row>
    <row r="28256" spans="26:26" x14ac:dyDescent="0.25">
      <c r="Z28256">
        <v>400000</v>
      </c>
    </row>
    <row r="28257" spans="26:26" x14ac:dyDescent="0.25">
      <c r="Z28257">
        <v>400000</v>
      </c>
    </row>
    <row r="28258" spans="26:26" x14ac:dyDescent="0.25">
      <c r="Z28258">
        <v>400000</v>
      </c>
    </row>
    <row r="28259" spans="26:26" x14ac:dyDescent="0.25">
      <c r="Z28259">
        <v>400000</v>
      </c>
    </row>
    <row r="28260" spans="26:26" x14ac:dyDescent="0.25">
      <c r="Z28260">
        <v>400000</v>
      </c>
    </row>
    <row r="28261" spans="26:26" x14ac:dyDescent="0.25">
      <c r="Z28261">
        <v>400000</v>
      </c>
    </row>
    <row r="28262" spans="26:26" x14ac:dyDescent="0.25">
      <c r="Z28262">
        <v>400000</v>
      </c>
    </row>
    <row r="28263" spans="26:26" x14ac:dyDescent="0.25">
      <c r="Z28263">
        <v>400000</v>
      </c>
    </row>
    <row r="28264" spans="26:26" x14ac:dyDescent="0.25">
      <c r="Z28264">
        <v>400000</v>
      </c>
    </row>
    <row r="28265" spans="26:26" x14ac:dyDescent="0.25">
      <c r="Z28265">
        <v>400000</v>
      </c>
    </row>
    <row r="28266" spans="26:26" x14ac:dyDescent="0.25">
      <c r="Z28266">
        <v>400000</v>
      </c>
    </row>
    <row r="28267" spans="26:26" x14ac:dyDescent="0.25">
      <c r="Z28267">
        <v>400000</v>
      </c>
    </row>
    <row r="28268" spans="26:26" x14ac:dyDescent="0.25">
      <c r="Z28268">
        <v>400000</v>
      </c>
    </row>
    <row r="28269" spans="26:26" x14ac:dyDescent="0.25">
      <c r="Z28269">
        <v>400000</v>
      </c>
    </row>
    <row r="28270" spans="26:26" x14ac:dyDescent="0.25">
      <c r="Z28270">
        <v>400000</v>
      </c>
    </row>
    <row r="28271" spans="26:26" x14ac:dyDescent="0.25">
      <c r="Z28271">
        <v>400000</v>
      </c>
    </row>
    <row r="28272" spans="26:26" x14ac:dyDescent="0.25">
      <c r="Z28272">
        <v>400000</v>
      </c>
    </row>
    <row r="28273" spans="26:26" x14ac:dyDescent="0.25">
      <c r="Z28273">
        <v>400000</v>
      </c>
    </row>
    <row r="28274" spans="26:26" x14ac:dyDescent="0.25">
      <c r="Z28274">
        <v>400000</v>
      </c>
    </row>
    <row r="28275" spans="26:26" x14ac:dyDescent="0.25">
      <c r="Z28275">
        <v>400000</v>
      </c>
    </row>
    <row r="28276" spans="26:26" x14ac:dyDescent="0.25">
      <c r="Z28276">
        <v>400000</v>
      </c>
    </row>
    <row r="28277" spans="26:26" x14ac:dyDescent="0.25">
      <c r="Z28277">
        <v>400000</v>
      </c>
    </row>
    <row r="28278" spans="26:26" x14ac:dyDescent="0.25">
      <c r="Z28278">
        <v>400000</v>
      </c>
    </row>
    <row r="28279" spans="26:26" x14ac:dyDescent="0.25">
      <c r="Z28279">
        <v>400000</v>
      </c>
    </row>
    <row r="28280" spans="26:26" x14ac:dyDescent="0.25">
      <c r="Z28280">
        <v>400000</v>
      </c>
    </row>
    <row r="28281" spans="26:26" x14ac:dyDescent="0.25">
      <c r="Z28281">
        <v>400000</v>
      </c>
    </row>
    <row r="28282" spans="26:26" x14ac:dyDescent="0.25">
      <c r="Z28282">
        <v>400000</v>
      </c>
    </row>
    <row r="28283" spans="26:26" x14ac:dyDescent="0.25">
      <c r="Z28283">
        <v>400000</v>
      </c>
    </row>
    <row r="28284" spans="26:26" x14ac:dyDescent="0.25">
      <c r="Z28284">
        <v>400000</v>
      </c>
    </row>
    <row r="28285" spans="26:26" x14ac:dyDescent="0.25">
      <c r="Z28285">
        <v>400000</v>
      </c>
    </row>
    <row r="28286" spans="26:26" x14ac:dyDescent="0.25">
      <c r="Z28286">
        <v>400000</v>
      </c>
    </row>
    <row r="28287" spans="26:26" x14ac:dyDescent="0.25">
      <c r="Z28287">
        <v>400000</v>
      </c>
    </row>
    <row r="28288" spans="26:26" x14ac:dyDescent="0.25">
      <c r="Z28288">
        <v>400000</v>
      </c>
    </row>
    <row r="28289" spans="26:26" x14ac:dyDescent="0.25">
      <c r="Z28289">
        <v>400000</v>
      </c>
    </row>
    <row r="28290" spans="26:26" x14ac:dyDescent="0.25">
      <c r="Z28290">
        <v>400000</v>
      </c>
    </row>
    <row r="28291" spans="26:26" x14ac:dyDescent="0.25">
      <c r="Z28291">
        <v>400000</v>
      </c>
    </row>
    <row r="28292" spans="26:26" x14ac:dyDescent="0.25">
      <c r="Z28292">
        <v>400000</v>
      </c>
    </row>
    <row r="28293" spans="26:26" x14ac:dyDescent="0.25">
      <c r="Z28293">
        <v>400000</v>
      </c>
    </row>
    <row r="28294" spans="26:26" x14ac:dyDescent="0.25">
      <c r="Z28294">
        <v>400000</v>
      </c>
    </row>
    <row r="28295" spans="26:26" x14ac:dyDescent="0.25">
      <c r="Z28295">
        <v>400000</v>
      </c>
    </row>
    <row r="28296" spans="26:26" x14ac:dyDescent="0.25">
      <c r="Z28296">
        <v>400000</v>
      </c>
    </row>
    <row r="28297" spans="26:26" x14ac:dyDescent="0.25">
      <c r="Z28297">
        <v>400000</v>
      </c>
    </row>
    <row r="28298" spans="26:26" x14ac:dyDescent="0.25">
      <c r="Z28298">
        <v>400000</v>
      </c>
    </row>
    <row r="28299" spans="26:26" x14ac:dyDescent="0.25">
      <c r="Z28299">
        <v>400000</v>
      </c>
    </row>
    <row r="28300" spans="26:26" x14ac:dyDescent="0.25">
      <c r="Z28300">
        <v>400000</v>
      </c>
    </row>
    <row r="28301" spans="26:26" x14ac:dyDescent="0.25">
      <c r="Z28301">
        <v>400000</v>
      </c>
    </row>
    <row r="28302" spans="26:26" x14ac:dyDescent="0.25">
      <c r="Z28302">
        <v>400000</v>
      </c>
    </row>
    <row r="28303" spans="26:26" x14ac:dyDescent="0.25">
      <c r="Z28303">
        <v>400000</v>
      </c>
    </row>
    <row r="28304" spans="26:26" x14ac:dyDescent="0.25">
      <c r="Z28304">
        <v>400000</v>
      </c>
    </row>
    <row r="28305" spans="26:26" x14ac:dyDescent="0.25">
      <c r="Z28305">
        <v>400000</v>
      </c>
    </row>
    <row r="28306" spans="26:26" x14ac:dyDescent="0.25">
      <c r="Z28306">
        <v>400000</v>
      </c>
    </row>
    <row r="28307" spans="26:26" x14ac:dyDescent="0.25">
      <c r="Z28307">
        <v>400000</v>
      </c>
    </row>
    <row r="28308" spans="26:26" x14ac:dyDescent="0.25">
      <c r="Z28308">
        <v>400000</v>
      </c>
    </row>
    <row r="28309" spans="26:26" x14ac:dyDescent="0.25">
      <c r="Z28309">
        <v>400000</v>
      </c>
    </row>
    <row r="28310" spans="26:26" x14ac:dyDescent="0.25">
      <c r="Z28310">
        <v>400000</v>
      </c>
    </row>
    <row r="28311" spans="26:26" x14ac:dyDescent="0.25">
      <c r="Z28311">
        <v>400000</v>
      </c>
    </row>
    <row r="28312" spans="26:26" x14ac:dyDescent="0.25">
      <c r="Z28312">
        <v>400000</v>
      </c>
    </row>
    <row r="28313" spans="26:26" x14ac:dyDescent="0.25">
      <c r="Z28313">
        <v>400000</v>
      </c>
    </row>
    <row r="28314" spans="26:26" x14ac:dyDescent="0.25">
      <c r="Z28314">
        <v>400000</v>
      </c>
    </row>
    <row r="28315" spans="26:26" x14ac:dyDescent="0.25">
      <c r="Z28315">
        <v>400000</v>
      </c>
    </row>
    <row r="28316" spans="26:26" x14ac:dyDescent="0.25">
      <c r="Z28316">
        <v>400000</v>
      </c>
    </row>
    <row r="28317" spans="26:26" x14ac:dyDescent="0.25">
      <c r="Z28317">
        <v>400000</v>
      </c>
    </row>
    <row r="28318" spans="26:26" x14ac:dyDescent="0.25">
      <c r="Z28318">
        <v>400000</v>
      </c>
    </row>
    <row r="28319" spans="26:26" x14ac:dyDescent="0.25">
      <c r="Z28319">
        <v>400000</v>
      </c>
    </row>
    <row r="28320" spans="26:26" x14ac:dyDescent="0.25">
      <c r="Z28320">
        <v>400000</v>
      </c>
    </row>
    <row r="28321" spans="26:26" x14ac:dyDescent="0.25">
      <c r="Z28321">
        <v>400000</v>
      </c>
    </row>
    <row r="28322" spans="26:26" x14ac:dyDescent="0.25">
      <c r="Z28322">
        <v>400000</v>
      </c>
    </row>
    <row r="28323" spans="26:26" x14ac:dyDescent="0.25">
      <c r="Z28323">
        <v>400000</v>
      </c>
    </row>
    <row r="28324" spans="26:26" x14ac:dyDescent="0.25">
      <c r="Z28324">
        <v>400000</v>
      </c>
    </row>
    <row r="28325" spans="26:26" x14ac:dyDescent="0.25">
      <c r="Z28325">
        <v>400000</v>
      </c>
    </row>
    <row r="28326" spans="26:26" x14ac:dyDescent="0.25">
      <c r="Z28326">
        <v>400000</v>
      </c>
    </row>
    <row r="28327" spans="26:26" x14ac:dyDescent="0.25">
      <c r="Z28327">
        <v>400000</v>
      </c>
    </row>
    <row r="28328" spans="26:26" x14ac:dyDescent="0.25">
      <c r="Z28328">
        <v>400000</v>
      </c>
    </row>
    <row r="28329" spans="26:26" x14ac:dyDescent="0.25">
      <c r="Z28329">
        <v>400000</v>
      </c>
    </row>
    <row r="28330" spans="26:26" x14ac:dyDescent="0.25">
      <c r="Z28330">
        <v>400000</v>
      </c>
    </row>
    <row r="28331" spans="26:26" x14ac:dyDescent="0.25">
      <c r="Z28331">
        <v>400000</v>
      </c>
    </row>
    <row r="28332" spans="26:26" x14ac:dyDescent="0.25">
      <c r="Z28332">
        <v>400000</v>
      </c>
    </row>
    <row r="28333" spans="26:26" x14ac:dyDescent="0.25">
      <c r="Z28333">
        <v>400000</v>
      </c>
    </row>
    <row r="28334" spans="26:26" x14ac:dyDescent="0.25">
      <c r="Z28334">
        <v>400000</v>
      </c>
    </row>
    <row r="28335" spans="26:26" x14ac:dyDescent="0.25">
      <c r="Z28335">
        <v>400000</v>
      </c>
    </row>
    <row r="28336" spans="26:26" x14ac:dyDescent="0.25">
      <c r="Z28336">
        <v>400000</v>
      </c>
    </row>
    <row r="28337" spans="26:26" x14ac:dyDescent="0.25">
      <c r="Z28337">
        <v>400000</v>
      </c>
    </row>
    <row r="28338" spans="26:26" x14ac:dyDescent="0.25">
      <c r="Z28338">
        <v>400000</v>
      </c>
    </row>
    <row r="28339" spans="26:26" x14ac:dyDescent="0.25">
      <c r="Z28339">
        <v>400000</v>
      </c>
    </row>
    <row r="28340" spans="26:26" x14ac:dyDescent="0.25">
      <c r="Z28340">
        <v>400000</v>
      </c>
    </row>
    <row r="28341" spans="26:26" x14ac:dyDescent="0.25">
      <c r="Z28341">
        <v>400000</v>
      </c>
    </row>
    <row r="28342" spans="26:26" x14ac:dyDescent="0.25">
      <c r="Z28342">
        <v>400000</v>
      </c>
    </row>
    <row r="28343" spans="26:26" x14ac:dyDescent="0.25">
      <c r="Z28343">
        <v>400000</v>
      </c>
    </row>
    <row r="28344" spans="26:26" x14ac:dyDescent="0.25">
      <c r="Z28344">
        <v>400000</v>
      </c>
    </row>
    <row r="28345" spans="26:26" x14ac:dyDescent="0.25">
      <c r="Z28345">
        <v>400000</v>
      </c>
    </row>
    <row r="28346" spans="26:26" x14ac:dyDescent="0.25">
      <c r="Z28346">
        <v>400000</v>
      </c>
    </row>
    <row r="28347" spans="26:26" x14ac:dyDescent="0.25">
      <c r="Z28347">
        <v>400000</v>
      </c>
    </row>
    <row r="28348" spans="26:26" x14ac:dyDescent="0.25">
      <c r="Z28348">
        <v>400000</v>
      </c>
    </row>
    <row r="28349" spans="26:26" x14ac:dyDescent="0.25">
      <c r="Z28349">
        <v>400000</v>
      </c>
    </row>
    <row r="28350" spans="26:26" x14ac:dyDescent="0.25">
      <c r="Z28350">
        <v>400000</v>
      </c>
    </row>
    <row r="28351" spans="26:26" x14ac:dyDescent="0.25">
      <c r="Z28351">
        <v>400000</v>
      </c>
    </row>
    <row r="28352" spans="26:26" x14ac:dyDescent="0.25">
      <c r="Z28352">
        <v>400000</v>
      </c>
    </row>
    <row r="28353" spans="26:26" x14ac:dyDescent="0.25">
      <c r="Z28353">
        <v>400000</v>
      </c>
    </row>
    <row r="28354" spans="26:26" x14ac:dyDescent="0.25">
      <c r="Z28354">
        <v>400000</v>
      </c>
    </row>
    <row r="28355" spans="26:26" x14ac:dyDescent="0.25">
      <c r="Z28355">
        <v>400000</v>
      </c>
    </row>
    <row r="28356" spans="26:26" x14ac:dyDescent="0.25">
      <c r="Z28356">
        <v>400000</v>
      </c>
    </row>
    <row r="28357" spans="26:26" x14ac:dyDescent="0.25">
      <c r="Z28357">
        <v>400000</v>
      </c>
    </row>
    <row r="28358" spans="26:26" x14ac:dyDescent="0.25">
      <c r="Z28358">
        <v>400000</v>
      </c>
    </row>
    <row r="28359" spans="26:26" x14ac:dyDescent="0.25">
      <c r="Z28359">
        <v>400000</v>
      </c>
    </row>
    <row r="28360" spans="26:26" x14ac:dyDescent="0.25">
      <c r="Z28360">
        <v>400000</v>
      </c>
    </row>
    <row r="28361" spans="26:26" x14ac:dyDescent="0.25">
      <c r="Z28361">
        <v>400000</v>
      </c>
    </row>
    <row r="28362" spans="26:26" x14ac:dyDescent="0.25">
      <c r="Z28362">
        <v>400000</v>
      </c>
    </row>
    <row r="28363" spans="26:26" x14ac:dyDescent="0.25">
      <c r="Z28363">
        <v>400000</v>
      </c>
    </row>
    <row r="28364" spans="26:26" x14ac:dyDescent="0.25">
      <c r="Z28364">
        <v>400000</v>
      </c>
    </row>
    <row r="28365" spans="26:26" x14ac:dyDescent="0.25">
      <c r="Z28365">
        <v>400000</v>
      </c>
    </row>
    <row r="28366" spans="26:26" x14ac:dyDescent="0.25">
      <c r="Z28366">
        <v>400000</v>
      </c>
    </row>
    <row r="28367" spans="26:26" x14ac:dyDescent="0.25">
      <c r="Z28367">
        <v>400000</v>
      </c>
    </row>
    <row r="28368" spans="26:26" x14ac:dyDescent="0.25">
      <c r="Z28368">
        <v>400000</v>
      </c>
    </row>
    <row r="28369" spans="26:26" x14ac:dyDescent="0.25">
      <c r="Z28369">
        <v>400000</v>
      </c>
    </row>
    <row r="28370" spans="26:26" x14ac:dyDescent="0.25">
      <c r="Z28370">
        <v>400000</v>
      </c>
    </row>
    <row r="28371" spans="26:26" x14ac:dyDescent="0.25">
      <c r="Z28371">
        <v>400000</v>
      </c>
    </row>
    <row r="28372" spans="26:26" x14ac:dyDescent="0.25">
      <c r="Z28372">
        <v>400000</v>
      </c>
    </row>
    <row r="28373" spans="26:26" x14ac:dyDescent="0.25">
      <c r="Z28373">
        <v>400000</v>
      </c>
    </row>
    <row r="28374" spans="26:26" x14ac:dyDescent="0.25">
      <c r="Z28374">
        <v>400000</v>
      </c>
    </row>
    <row r="28375" spans="26:26" x14ac:dyDescent="0.25">
      <c r="Z28375">
        <v>400000</v>
      </c>
    </row>
    <row r="28376" spans="26:26" x14ac:dyDescent="0.25">
      <c r="Z28376">
        <v>400000</v>
      </c>
    </row>
    <row r="28377" spans="26:26" x14ac:dyDescent="0.25">
      <c r="Z28377">
        <v>400000</v>
      </c>
    </row>
    <row r="28378" spans="26:26" x14ac:dyDescent="0.25">
      <c r="Z28378">
        <v>400000</v>
      </c>
    </row>
    <row r="28379" spans="26:26" x14ac:dyDescent="0.25">
      <c r="Z28379">
        <v>400000</v>
      </c>
    </row>
    <row r="28380" spans="26:26" x14ac:dyDescent="0.25">
      <c r="Z28380">
        <v>400000</v>
      </c>
    </row>
    <row r="28381" spans="26:26" x14ac:dyDescent="0.25">
      <c r="Z28381">
        <v>400000</v>
      </c>
    </row>
    <row r="28382" spans="26:26" x14ac:dyDescent="0.25">
      <c r="Z28382">
        <v>400000</v>
      </c>
    </row>
    <row r="28383" spans="26:26" x14ac:dyDescent="0.25">
      <c r="Z28383">
        <v>400000</v>
      </c>
    </row>
    <row r="28384" spans="26:26" x14ac:dyDescent="0.25">
      <c r="Z28384">
        <v>400000</v>
      </c>
    </row>
    <row r="28385" spans="26:26" x14ac:dyDescent="0.25">
      <c r="Z28385">
        <v>400000</v>
      </c>
    </row>
    <row r="28386" spans="26:26" x14ac:dyDescent="0.25">
      <c r="Z28386">
        <v>400000</v>
      </c>
    </row>
    <row r="28387" spans="26:26" x14ac:dyDescent="0.25">
      <c r="Z28387">
        <v>400000</v>
      </c>
    </row>
    <row r="28388" spans="26:26" x14ac:dyDescent="0.25">
      <c r="Z28388">
        <v>400000</v>
      </c>
    </row>
    <row r="28389" spans="26:26" x14ac:dyDescent="0.25">
      <c r="Z28389">
        <v>400000</v>
      </c>
    </row>
    <row r="28390" spans="26:26" x14ac:dyDescent="0.25">
      <c r="Z28390">
        <v>400000</v>
      </c>
    </row>
    <row r="28391" spans="26:26" x14ac:dyDescent="0.25">
      <c r="Z28391">
        <v>400000</v>
      </c>
    </row>
    <row r="28392" spans="26:26" x14ac:dyDescent="0.25">
      <c r="Z28392">
        <v>400000</v>
      </c>
    </row>
    <row r="28393" spans="26:26" x14ac:dyDescent="0.25">
      <c r="Z28393">
        <v>400000</v>
      </c>
    </row>
    <row r="28394" spans="26:26" x14ac:dyDescent="0.25">
      <c r="Z28394">
        <v>400000</v>
      </c>
    </row>
    <row r="28395" spans="26:26" x14ac:dyDescent="0.25">
      <c r="Z28395">
        <v>400000</v>
      </c>
    </row>
    <row r="28396" spans="26:26" x14ac:dyDescent="0.25">
      <c r="Z28396">
        <v>400000</v>
      </c>
    </row>
    <row r="28397" spans="26:26" x14ac:dyDescent="0.25">
      <c r="Z28397">
        <v>400000</v>
      </c>
    </row>
    <row r="28398" spans="26:26" x14ac:dyDescent="0.25">
      <c r="Z28398">
        <v>400000</v>
      </c>
    </row>
    <row r="28399" spans="26:26" x14ac:dyDescent="0.25">
      <c r="Z28399">
        <v>400000</v>
      </c>
    </row>
    <row r="28400" spans="26:26" x14ac:dyDescent="0.25">
      <c r="Z28400">
        <v>400000</v>
      </c>
    </row>
    <row r="28401" spans="26:26" x14ac:dyDescent="0.25">
      <c r="Z28401">
        <v>400000</v>
      </c>
    </row>
    <row r="28402" spans="26:26" x14ac:dyDescent="0.25">
      <c r="Z28402">
        <v>400000</v>
      </c>
    </row>
    <row r="28403" spans="26:26" x14ac:dyDescent="0.25">
      <c r="Z28403">
        <v>400000</v>
      </c>
    </row>
    <row r="28404" spans="26:26" x14ac:dyDescent="0.25">
      <c r="Z28404">
        <v>400000</v>
      </c>
    </row>
    <row r="28405" spans="26:26" x14ac:dyDescent="0.25">
      <c r="Z28405">
        <v>400000</v>
      </c>
    </row>
    <row r="28406" spans="26:26" x14ac:dyDescent="0.25">
      <c r="Z28406">
        <v>400000</v>
      </c>
    </row>
    <row r="28407" spans="26:26" x14ac:dyDescent="0.25">
      <c r="Z28407">
        <v>400000</v>
      </c>
    </row>
    <row r="28408" spans="26:26" x14ac:dyDescent="0.25">
      <c r="Z28408">
        <v>400000</v>
      </c>
    </row>
    <row r="28409" spans="26:26" x14ac:dyDescent="0.25">
      <c r="Z28409">
        <v>400000</v>
      </c>
    </row>
    <row r="28410" spans="26:26" x14ac:dyDescent="0.25">
      <c r="Z28410">
        <v>400000</v>
      </c>
    </row>
    <row r="28411" spans="26:26" x14ac:dyDescent="0.25">
      <c r="Z28411">
        <v>400000</v>
      </c>
    </row>
    <row r="28412" spans="26:26" x14ac:dyDescent="0.25">
      <c r="Z28412">
        <v>400000</v>
      </c>
    </row>
    <row r="28413" spans="26:26" x14ac:dyDescent="0.25">
      <c r="Z28413">
        <v>400000</v>
      </c>
    </row>
    <row r="28414" spans="26:26" x14ac:dyDescent="0.25">
      <c r="Z28414">
        <v>400000</v>
      </c>
    </row>
    <row r="28415" spans="26:26" x14ac:dyDescent="0.25">
      <c r="Z28415">
        <v>400000</v>
      </c>
    </row>
    <row r="28416" spans="26:26" x14ac:dyDescent="0.25">
      <c r="Z28416">
        <v>400000</v>
      </c>
    </row>
    <row r="28417" spans="26:26" x14ac:dyDescent="0.25">
      <c r="Z28417">
        <v>400000</v>
      </c>
    </row>
    <row r="28418" spans="26:26" x14ac:dyDescent="0.25">
      <c r="Z28418">
        <v>400000</v>
      </c>
    </row>
    <row r="28419" spans="26:26" x14ac:dyDescent="0.25">
      <c r="Z28419">
        <v>400000</v>
      </c>
    </row>
    <row r="28420" spans="26:26" x14ac:dyDescent="0.25">
      <c r="Z28420">
        <v>400000</v>
      </c>
    </row>
    <row r="28421" spans="26:26" x14ac:dyDescent="0.25">
      <c r="Z28421">
        <v>400000</v>
      </c>
    </row>
    <row r="28422" spans="26:26" x14ac:dyDescent="0.25">
      <c r="Z28422">
        <v>400000</v>
      </c>
    </row>
    <row r="28423" spans="26:26" x14ac:dyDescent="0.25">
      <c r="Z28423">
        <v>400000</v>
      </c>
    </row>
    <row r="28424" spans="26:26" x14ac:dyDescent="0.25">
      <c r="Z28424">
        <v>400000</v>
      </c>
    </row>
    <row r="28425" spans="26:26" x14ac:dyDescent="0.25">
      <c r="Z28425">
        <v>400000</v>
      </c>
    </row>
    <row r="28426" spans="26:26" x14ac:dyDescent="0.25">
      <c r="Z28426">
        <v>400000</v>
      </c>
    </row>
    <row r="28427" spans="26:26" x14ac:dyDescent="0.25">
      <c r="Z28427">
        <v>400000</v>
      </c>
    </row>
    <row r="28428" spans="26:26" x14ac:dyDescent="0.25">
      <c r="Z28428">
        <v>400000</v>
      </c>
    </row>
    <row r="28429" spans="26:26" x14ac:dyDescent="0.25">
      <c r="Z28429">
        <v>400000</v>
      </c>
    </row>
    <row r="28430" spans="26:26" x14ac:dyDescent="0.25">
      <c r="Z28430">
        <v>400000</v>
      </c>
    </row>
    <row r="28431" spans="26:26" x14ac:dyDescent="0.25">
      <c r="Z28431">
        <v>400000</v>
      </c>
    </row>
    <row r="28432" spans="26:26" x14ac:dyDescent="0.25">
      <c r="Z28432">
        <v>400000</v>
      </c>
    </row>
    <row r="28433" spans="26:26" x14ac:dyDescent="0.25">
      <c r="Z28433">
        <v>400000</v>
      </c>
    </row>
    <row r="28434" spans="26:26" x14ac:dyDescent="0.25">
      <c r="Z28434">
        <v>400000</v>
      </c>
    </row>
    <row r="28435" spans="26:26" x14ac:dyDescent="0.25">
      <c r="Z28435">
        <v>400000</v>
      </c>
    </row>
    <row r="28436" spans="26:26" x14ac:dyDescent="0.25">
      <c r="Z28436">
        <v>400000</v>
      </c>
    </row>
    <row r="28437" spans="26:26" x14ac:dyDescent="0.25">
      <c r="Z28437">
        <v>400000</v>
      </c>
    </row>
    <row r="28438" spans="26:26" x14ac:dyDescent="0.25">
      <c r="Z28438">
        <v>400000</v>
      </c>
    </row>
    <row r="28439" spans="26:26" x14ac:dyDescent="0.25">
      <c r="Z28439">
        <v>400000</v>
      </c>
    </row>
    <row r="28440" spans="26:26" x14ac:dyDescent="0.25">
      <c r="Z28440">
        <v>400000</v>
      </c>
    </row>
    <row r="28441" spans="26:26" x14ac:dyDescent="0.25">
      <c r="Z28441">
        <v>400000</v>
      </c>
    </row>
    <row r="28442" spans="26:26" x14ac:dyDescent="0.25">
      <c r="Z28442">
        <v>400000</v>
      </c>
    </row>
    <row r="28443" spans="26:26" x14ac:dyDescent="0.25">
      <c r="Z28443">
        <v>400000</v>
      </c>
    </row>
    <row r="28444" spans="26:26" x14ac:dyDescent="0.25">
      <c r="Z28444">
        <v>400000</v>
      </c>
    </row>
    <row r="28445" spans="26:26" x14ac:dyDescent="0.25">
      <c r="Z28445">
        <v>400000</v>
      </c>
    </row>
    <row r="28446" spans="26:26" x14ac:dyDescent="0.25">
      <c r="Z28446">
        <v>400000</v>
      </c>
    </row>
    <row r="28447" spans="26:26" x14ac:dyDescent="0.25">
      <c r="Z28447">
        <v>400000</v>
      </c>
    </row>
    <row r="28448" spans="26:26" x14ac:dyDescent="0.25">
      <c r="Z28448">
        <v>400000</v>
      </c>
    </row>
    <row r="28449" spans="26:26" x14ac:dyDescent="0.25">
      <c r="Z28449">
        <v>400000</v>
      </c>
    </row>
    <row r="28450" spans="26:26" x14ac:dyDescent="0.25">
      <c r="Z28450">
        <v>400000</v>
      </c>
    </row>
    <row r="28451" spans="26:26" x14ac:dyDescent="0.25">
      <c r="Z28451">
        <v>400000</v>
      </c>
    </row>
    <row r="28452" spans="26:26" x14ac:dyDescent="0.25">
      <c r="Z28452">
        <v>400000</v>
      </c>
    </row>
    <row r="28453" spans="26:26" x14ac:dyDescent="0.25">
      <c r="Z28453">
        <v>400000</v>
      </c>
    </row>
    <row r="28454" spans="26:26" x14ac:dyDescent="0.25">
      <c r="Z28454">
        <v>400000</v>
      </c>
    </row>
    <row r="28455" spans="26:26" x14ac:dyDescent="0.25">
      <c r="Z28455">
        <v>400000</v>
      </c>
    </row>
    <row r="28456" spans="26:26" x14ac:dyDescent="0.25">
      <c r="Z28456">
        <v>400000</v>
      </c>
    </row>
    <row r="28457" spans="26:26" x14ac:dyDescent="0.25">
      <c r="Z28457">
        <v>400000</v>
      </c>
    </row>
    <row r="28458" spans="26:26" x14ac:dyDescent="0.25">
      <c r="Z28458">
        <v>400000</v>
      </c>
    </row>
    <row r="28459" spans="26:26" x14ac:dyDescent="0.25">
      <c r="Z28459">
        <v>400000</v>
      </c>
    </row>
    <row r="28460" spans="26:26" x14ac:dyDescent="0.25">
      <c r="Z28460">
        <v>400000</v>
      </c>
    </row>
    <row r="28461" spans="26:26" x14ac:dyDescent="0.25">
      <c r="Z28461">
        <v>400000</v>
      </c>
    </row>
    <row r="28462" spans="26:26" x14ac:dyDescent="0.25">
      <c r="Z28462">
        <v>400000</v>
      </c>
    </row>
    <row r="28463" spans="26:26" x14ac:dyDescent="0.25">
      <c r="Z28463">
        <v>400000</v>
      </c>
    </row>
    <row r="28464" spans="26:26" x14ac:dyDescent="0.25">
      <c r="Z28464">
        <v>400000</v>
      </c>
    </row>
    <row r="28465" spans="26:26" x14ac:dyDescent="0.25">
      <c r="Z28465">
        <v>400000</v>
      </c>
    </row>
    <row r="28466" spans="26:26" x14ac:dyDescent="0.25">
      <c r="Z28466">
        <v>400000</v>
      </c>
    </row>
    <row r="28467" spans="26:26" x14ac:dyDescent="0.25">
      <c r="Z28467">
        <v>400000</v>
      </c>
    </row>
    <row r="28468" spans="26:26" x14ac:dyDescent="0.25">
      <c r="Z28468">
        <v>400000</v>
      </c>
    </row>
    <row r="28469" spans="26:26" x14ac:dyDescent="0.25">
      <c r="Z28469">
        <v>400000</v>
      </c>
    </row>
    <row r="28470" spans="26:26" x14ac:dyDescent="0.25">
      <c r="Z28470">
        <v>400000</v>
      </c>
    </row>
    <row r="28471" spans="26:26" x14ac:dyDescent="0.25">
      <c r="Z28471">
        <v>400000</v>
      </c>
    </row>
    <row r="28472" spans="26:26" x14ac:dyDescent="0.25">
      <c r="Z28472">
        <v>400000</v>
      </c>
    </row>
    <row r="28473" spans="26:26" x14ac:dyDescent="0.25">
      <c r="Z28473">
        <v>400000</v>
      </c>
    </row>
    <row r="28474" spans="26:26" x14ac:dyDescent="0.25">
      <c r="Z28474">
        <v>400000</v>
      </c>
    </row>
    <row r="28475" spans="26:26" x14ac:dyDescent="0.25">
      <c r="Z28475">
        <v>400000</v>
      </c>
    </row>
    <row r="28476" spans="26:26" x14ac:dyDescent="0.25">
      <c r="Z28476">
        <v>400000</v>
      </c>
    </row>
    <row r="28477" spans="26:26" x14ac:dyDescent="0.25">
      <c r="Z28477">
        <v>400000</v>
      </c>
    </row>
    <row r="28478" spans="26:26" x14ac:dyDescent="0.25">
      <c r="Z28478">
        <v>400000</v>
      </c>
    </row>
    <row r="28479" spans="26:26" x14ac:dyDescent="0.25">
      <c r="Z28479">
        <v>400000</v>
      </c>
    </row>
    <row r="28480" spans="26:26" x14ac:dyDescent="0.25">
      <c r="Z28480">
        <v>400000</v>
      </c>
    </row>
    <row r="28481" spans="26:26" x14ac:dyDescent="0.25">
      <c r="Z28481">
        <v>400000</v>
      </c>
    </row>
    <row r="28482" spans="26:26" x14ac:dyDescent="0.25">
      <c r="Z28482">
        <v>400000</v>
      </c>
    </row>
    <row r="28483" spans="26:26" x14ac:dyDescent="0.25">
      <c r="Z28483">
        <v>400000</v>
      </c>
    </row>
    <row r="28484" spans="26:26" x14ac:dyDescent="0.25">
      <c r="Z28484">
        <v>400000</v>
      </c>
    </row>
    <row r="28485" spans="26:26" x14ac:dyDescent="0.25">
      <c r="Z28485">
        <v>400000</v>
      </c>
    </row>
    <row r="28486" spans="26:26" x14ac:dyDescent="0.25">
      <c r="Z28486">
        <v>400000</v>
      </c>
    </row>
    <row r="28487" spans="26:26" x14ac:dyDescent="0.25">
      <c r="Z28487">
        <v>400000</v>
      </c>
    </row>
    <row r="28488" spans="26:26" x14ac:dyDescent="0.25">
      <c r="Z28488">
        <v>400000</v>
      </c>
    </row>
    <row r="28489" spans="26:26" x14ac:dyDescent="0.25">
      <c r="Z28489">
        <v>400000</v>
      </c>
    </row>
    <row r="28490" spans="26:26" x14ac:dyDescent="0.25">
      <c r="Z28490">
        <v>400000</v>
      </c>
    </row>
    <row r="28491" spans="26:26" x14ac:dyDescent="0.25">
      <c r="Z28491">
        <v>400000</v>
      </c>
    </row>
    <row r="28492" spans="26:26" x14ac:dyDescent="0.25">
      <c r="Z28492">
        <v>400000</v>
      </c>
    </row>
    <row r="28493" spans="26:26" x14ac:dyDescent="0.25">
      <c r="Z28493">
        <v>400000</v>
      </c>
    </row>
    <row r="28494" spans="26:26" x14ac:dyDescent="0.25">
      <c r="Z28494">
        <v>400000</v>
      </c>
    </row>
    <row r="28495" spans="26:26" x14ac:dyDescent="0.25">
      <c r="Z28495">
        <v>400000</v>
      </c>
    </row>
    <row r="28496" spans="26:26" x14ac:dyDescent="0.25">
      <c r="Z28496">
        <v>400000</v>
      </c>
    </row>
    <row r="28497" spans="26:26" x14ac:dyDescent="0.25">
      <c r="Z28497">
        <v>400000</v>
      </c>
    </row>
    <row r="28498" spans="26:26" x14ac:dyDescent="0.25">
      <c r="Z28498">
        <v>400000</v>
      </c>
    </row>
    <row r="28499" spans="26:26" x14ac:dyDescent="0.25">
      <c r="Z28499">
        <v>400000</v>
      </c>
    </row>
    <row r="28500" spans="26:26" x14ac:dyDescent="0.25">
      <c r="Z28500">
        <v>400000</v>
      </c>
    </row>
    <row r="28501" spans="26:26" x14ac:dyDescent="0.25">
      <c r="Z28501">
        <v>400000</v>
      </c>
    </row>
    <row r="28502" spans="26:26" x14ac:dyDescent="0.25">
      <c r="Z28502">
        <v>400000</v>
      </c>
    </row>
    <row r="28503" spans="26:26" x14ac:dyDescent="0.25">
      <c r="Z28503">
        <v>400000</v>
      </c>
    </row>
    <row r="28504" spans="26:26" x14ac:dyDescent="0.25">
      <c r="Z28504">
        <v>400000</v>
      </c>
    </row>
    <row r="28505" spans="26:26" x14ac:dyDescent="0.25">
      <c r="Z28505">
        <v>400000</v>
      </c>
    </row>
    <row r="28506" spans="26:26" x14ac:dyDescent="0.25">
      <c r="Z28506">
        <v>400000</v>
      </c>
    </row>
    <row r="28507" spans="26:26" x14ac:dyDescent="0.25">
      <c r="Z28507">
        <v>400000</v>
      </c>
    </row>
    <row r="28508" spans="26:26" x14ac:dyDescent="0.25">
      <c r="Z28508">
        <v>400000</v>
      </c>
    </row>
    <row r="28509" spans="26:26" x14ac:dyDescent="0.25">
      <c r="Z28509">
        <v>400000</v>
      </c>
    </row>
    <row r="28510" spans="26:26" x14ac:dyDescent="0.25">
      <c r="Z28510">
        <v>400000</v>
      </c>
    </row>
    <row r="28511" spans="26:26" x14ac:dyDescent="0.25">
      <c r="Z28511">
        <v>400000</v>
      </c>
    </row>
    <row r="28512" spans="26:26" x14ac:dyDescent="0.25">
      <c r="Z28512">
        <v>400000</v>
      </c>
    </row>
    <row r="28513" spans="26:26" x14ac:dyDescent="0.25">
      <c r="Z28513">
        <v>400000</v>
      </c>
    </row>
    <row r="28514" spans="26:26" x14ac:dyDescent="0.25">
      <c r="Z28514">
        <v>400000</v>
      </c>
    </row>
    <row r="28515" spans="26:26" x14ac:dyDescent="0.25">
      <c r="Z28515">
        <v>400000</v>
      </c>
    </row>
    <row r="28516" spans="26:26" x14ac:dyDescent="0.25">
      <c r="Z28516">
        <v>400000</v>
      </c>
    </row>
    <row r="28517" spans="26:26" x14ac:dyDescent="0.25">
      <c r="Z28517">
        <v>400000</v>
      </c>
    </row>
    <row r="28518" spans="26:26" x14ac:dyDescent="0.25">
      <c r="Z28518">
        <v>400000</v>
      </c>
    </row>
    <row r="28519" spans="26:26" x14ac:dyDescent="0.25">
      <c r="Z28519">
        <v>400000</v>
      </c>
    </row>
    <row r="28520" spans="26:26" x14ac:dyDescent="0.25">
      <c r="Z28520">
        <v>400000</v>
      </c>
    </row>
    <row r="28521" spans="26:26" x14ac:dyDescent="0.25">
      <c r="Z28521">
        <v>400000</v>
      </c>
    </row>
    <row r="28522" spans="26:26" x14ac:dyDescent="0.25">
      <c r="Z28522">
        <v>400000</v>
      </c>
    </row>
    <row r="28523" spans="26:26" x14ac:dyDescent="0.25">
      <c r="Z28523">
        <v>400000</v>
      </c>
    </row>
    <row r="28524" spans="26:26" x14ac:dyDescent="0.25">
      <c r="Z28524">
        <v>400000</v>
      </c>
    </row>
    <row r="28525" spans="26:26" x14ac:dyDescent="0.25">
      <c r="Z28525">
        <v>400000</v>
      </c>
    </row>
    <row r="28526" spans="26:26" x14ac:dyDescent="0.25">
      <c r="Z28526">
        <v>400000</v>
      </c>
    </row>
    <row r="28527" spans="26:26" x14ac:dyDescent="0.25">
      <c r="Z28527">
        <v>400000</v>
      </c>
    </row>
    <row r="28528" spans="26:26" x14ac:dyDescent="0.25">
      <c r="Z28528">
        <v>400000</v>
      </c>
    </row>
    <row r="28529" spans="26:26" x14ac:dyDescent="0.25">
      <c r="Z28529">
        <v>400000</v>
      </c>
    </row>
    <row r="28530" spans="26:26" x14ac:dyDescent="0.25">
      <c r="Z28530">
        <v>400000</v>
      </c>
    </row>
    <row r="28531" spans="26:26" x14ac:dyDescent="0.25">
      <c r="Z28531">
        <v>400000</v>
      </c>
    </row>
    <row r="28532" spans="26:26" x14ac:dyDescent="0.25">
      <c r="Z28532">
        <v>400000</v>
      </c>
    </row>
    <row r="28533" spans="26:26" x14ac:dyDescent="0.25">
      <c r="Z28533">
        <v>400000</v>
      </c>
    </row>
    <row r="28534" spans="26:26" x14ac:dyDescent="0.25">
      <c r="Z28534">
        <v>400000</v>
      </c>
    </row>
    <row r="28535" spans="26:26" x14ac:dyDescent="0.25">
      <c r="Z28535">
        <v>400000</v>
      </c>
    </row>
    <row r="28536" spans="26:26" x14ac:dyDescent="0.25">
      <c r="Z28536">
        <v>400000</v>
      </c>
    </row>
    <row r="28537" spans="26:26" x14ac:dyDescent="0.25">
      <c r="Z28537">
        <v>400000</v>
      </c>
    </row>
    <row r="28538" spans="26:26" x14ac:dyDescent="0.25">
      <c r="Z28538">
        <v>400000</v>
      </c>
    </row>
    <row r="28539" spans="26:26" x14ac:dyDescent="0.25">
      <c r="Z28539">
        <v>400000</v>
      </c>
    </row>
    <row r="28540" spans="26:26" x14ac:dyDescent="0.25">
      <c r="Z28540">
        <v>400000</v>
      </c>
    </row>
    <row r="28541" spans="26:26" x14ac:dyDescent="0.25">
      <c r="Z28541">
        <v>400000</v>
      </c>
    </row>
    <row r="28542" spans="26:26" x14ac:dyDescent="0.25">
      <c r="Z28542">
        <v>400000</v>
      </c>
    </row>
    <row r="28543" spans="26:26" x14ac:dyDescent="0.25">
      <c r="Z28543">
        <v>400000</v>
      </c>
    </row>
    <row r="28544" spans="26:26" x14ac:dyDescent="0.25">
      <c r="Z28544">
        <v>400000</v>
      </c>
    </row>
    <row r="28545" spans="26:26" x14ac:dyDescent="0.25">
      <c r="Z28545">
        <v>400000</v>
      </c>
    </row>
    <row r="28546" spans="26:26" x14ac:dyDescent="0.25">
      <c r="Z28546">
        <v>400000</v>
      </c>
    </row>
    <row r="28547" spans="26:26" x14ac:dyDescent="0.25">
      <c r="Z28547">
        <v>400000</v>
      </c>
    </row>
    <row r="28548" spans="26:26" x14ac:dyDescent="0.25">
      <c r="Z28548">
        <v>400000</v>
      </c>
    </row>
    <row r="28549" spans="26:26" x14ac:dyDescent="0.25">
      <c r="Z28549">
        <v>400000</v>
      </c>
    </row>
    <row r="28550" spans="26:26" x14ac:dyDescent="0.25">
      <c r="Z28550">
        <v>400000</v>
      </c>
    </row>
    <row r="28551" spans="26:26" x14ac:dyDescent="0.25">
      <c r="Z28551">
        <v>400000</v>
      </c>
    </row>
    <row r="28552" spans="26:26" x14ac:dyDescent="0.25">
      <c r="Z28552">
        <v>400000</v>
      </c>
    </row>
    <row r="28553" spans="26:26" x14ac:dyDescent="0.25">
      <c r="Z28553">
        <v>400000</v>
      </c>
    </row>
    <row r="28554" spans="26:26" x14ac:dyDescent="0.25">
      <c r="Z28554">
        <v>400000</v>
      </c>
    </row>
    <row r="28555" spans="26:26" x14ac:dyDescent="0.25">
      <c r="Z28555">
        <v>400000</v>
      </c>
    </row>
    <row r="28556" spans="26:26" x14ac:dyDescent="0.25">
      <c r="Z28556">
        <v>400000</v>
      </c>
    </row>
    <row r="28557" spans="26:26" x14ac:dyDescent="0.25">
      <c r="Z28557">
        <v>400000</v>
      </c>
    </row>
    <row r="28558" spans="26:26" x14ac:dyDescent="0.25">
      <c r="Z28558">
        <v>400000</v>
      </c>
    </row>
    <row r="28559" spans="26:26" x14ac:dyDescent="0.25">
      <c r="Z28559">
        <v>400000</v>
      </c>
    </row>
    <row r="28560" spans="26:26" x14ac:dyDescent="0.25">
      <c r="Z28560">
        <v>400000</v>
      </c>
    </row>
    <row r="28561" spans="26:26" x14ac:dyDescent="0.25">
      <c r="Z28561">
        <v>400000</v>
      </c>
    </row>
    <row r="28562" spans="26:26" x14ac:dyDescent="0.25">
      <c r="Z28562">
        <v>400000</v>
      </c>
    </row>
    <row r="28563" spans="26:26" x14ac:dyDescent="0.25">
      <c r="Z28563">
        <v>400000</v>
      </c>
    </row>
    <row r="28564" spans="26:26" x14ac:dyDescent="0.25">
      <c r="Z28564">
        <v>400000</v>
      </c>
    </row>
    <row r="28565" spans="26:26" x14ac:dyDescent="0.25">
      <c r="Z28565">
        <v>400000</v>
      </c>
    </row>
    <row r="28566" spans="26:26" x14ac:dyDescent="0.25">
      <c r="Z28566">
        <v>400000</v>
      </c>
    </row>
    <row r="28567" spans="26:26" x14ac:dyDescent="0.25">
      <c r="Z28567">
        <v>400000</v>
      </c>
    </row>
    <row r="28568" spans="26:26" x14ac:dyDescent="0.25">
      <c r="Z28568">
        <v>400000</v>
      </c>
    </row>
    <row r="28569" spans="26:26" x14ac:dyDescent="0.25">
      <c r="Z28569">
        <v>400000</v>
      </c>
    </row>
    <row r="28570" spans="26:26" x14ac:dyDescent="0.25">
      <c r="Z28570">
        <v>400000</v>
      </c>
    </row>
    <row r="28571" spans="26:26" x14ac:dyDescent="0.25">
      <c r="Z28571">
        <v>400000</v>
      </c>
    </row>
    <row r="28572" spans="26:26" x14ac:dyDescent="0.25">
      <c r="Z28572">
        <v>400000</v>
      </c>
    </row>
    <row r="28573" spans="26:26" x14ac:dyDescent="0.25">
      <c r="Z28573">
        <v>400000</v>
      </c>
    </row>
    <row r="28574" spans="26:26" x14ac:dyDescent="0.25">
      <c r="Z28574">
        <v>400000</v>
      </c>
    </row>
    <row r="28575" spans="26:26" x14ac:dyDescent="0.25">
      <c r="Z28575">
        <v>400000</v>
      </c>
    </row>
    <row r="28576" spans="26:26" x14ac:dyDescent="0.25">
      <c r="Z28576">
        <v>400000</v>
      </c>
    </row>
    <row r="28577" spans="26:26" x14ac:dyDescent="0.25">
      <c r="Z28577">
        <v>400000</v>
      </c>
    </row>
    <row r="28578" spans="26:26" x14ac:dyDescent="0.25">
      <c r="Z28578">
        <v>400000</v>
      </c>
    </row>
    <row r="28579" spans="26:26" x14ac:dyDescent="0.25">
      <c r="Z28579">
        <v>400000</v>
      </c>
    </row>
    <row r="28580" spans="26:26" x14ac:dyDescent="0.25">
      <c r="Z28580">
        <v>400000</v>
      </c>
    </row>
    <row r="28581" spans="26:26" x14ac:dyDescent="0.25">
      <c r="Z28581">
        <v>400000</v>
      </c>
    </row>
    <row r="28582" spans="26:26" x14ac:dyDescent="0.25">
      <c r="Z28582">
        <v>400000</v>
      </c>
    </row>
    <row r="28583" spans="26:26" x14ac:dyDescent="0.25">
      <c r="Z28583">
        <v>400000</v>
      </c>
    </row>
    <row r="28584" spans="26:26" x14ac:dyDescent="0.25">
      <c r="Z28584">
        <v>400000</v>
      </c>
    </row>
    <row r="28585" spans="26:26" x14ac:dyDescent="0.25">
      <c r="Z28585">
        <v>400000</v>
      </c>
    </row>
    <row r="28586" spans="26:26" x14ac:dyDescent="0.25">
      <c r="Z28586">
        <v>400000</v>
      </c>
    </row>
    <row r="28587" spans="26:26" x14ac:dyDescent="0.25">
      <c r="Z28587">
        <v>400000</v>
      </c>
    </row>
    <row r="28588" spans="26:26" x14ac:dyDescent="0.25">
      <c r="Z28588">
        <v>400000</v>
      </c>
    </row>
    <row r="28589" spans="26:26" x14ac:dyDescent="0.25">
      <c r="Z28589">
        <v>400000</v>
      </c>
    </row>
    <row r="28590" spans="26:26" x14ac:dyDescent="0.25">
      <c r="Z28590">
        <v>400000</v>
      </c>
    </row>
    <row r="28591" spans="26:26" x14ac:dyDescent="0.25">
      <c r="Z28591">
        <v>400000</v>
      </c>
    </row>
    <row r="28592" spans="26:26" x14ac:dyDescent="0.25">
      <c r="Z28592">
        <v>400000</v>
      </c>
    </row>
    <row r="28593" spans="26:26" x14ac:dyDescent="0.25">
      <c r="Z28593">
        <v>400000</v>
      </c>
    </row>
    <row r="28594" spans="26:26" x14ac:dyDescent="0.25">
      <c r="Z28594">
        <v>400000</v>
      </c>
    </row>
    <row r="28595" spans="26:26" x14ac:dyDescent="0.25">
      <c r="Z28595">
        <v>400000</v>
      </c>
    </row>
    <row r="28596" spans="26:26" x14ac:dyDescent="0.25">
      <c r="Z28596">
        <v>400000</v>
      </c>
    </row>
    <row r="28597" spans="26:26" x14ac:dyDescent="0.25">
      <c r="Z28597">
        <v>400000</v>
      </c>
    </row>
    <row r="28598" spans="26:26" x14ac:dyDescent="0.25">
      <c r="Z28598">
        <v>400000</v>
      </c>
    </row>
    <row r="28599" spans="26:26" x14ac:dyDescent="0.25">
      <c r="Z28599">
        <v>400000</v>
      </c>
    </row>
    <row r="28600" spans="26:26" x14ac:dyDescent="0.25">
      <c r="Z28600">
        <v>400000</v>
      </c>
    </row>
    <row r="28601" spans="26:26" x14ac:dyDescent="0.25">
      <c r="Z28601">
        <v>400000</v>
      </c>
    </row>
    <row r="28602" spans="26:26" x14ac:dyDescent="0.25">
      <c r="Z28602">
        <v>400000</v>
      </c>
    </row>
    <row r="28603" spans="26:26" x14ac:dyDescent="0.25">
      <c r="Z28603">
        <v>400000</v>
      </c>
    </row>
    <row r="28604" spans="26:26" x14ac:dyDescent="0.25">
      <c r="Z28604">
        <v>400000</v>
      </c>
    </row>
    <row r="28605" spans="26:26" x14ac:dyDescent="0.25">
      <c r="Z28605">
        <v>400000</v>
      </c>
    </row>
    <row r="28606" spans="26:26" x14ac:dyDescent="0.25">
      <c r="Z28606">
        <v>400000</v>
      </c>
    </row>
    <row r="28607" spans="26:26" x14ac:dyDescent="0.25">
      <c r="Z28607">
        <v>400000</v>
      </c>
    </row>
    <row r="28608" spans="26:26" x14ac:dyDescent="0.25">
      <c r="Z28608">
        <v>400000</v>
      </c>
    </row>
    <row r="28609" spans="26:26" x14ac:dyDescent="0.25">
      <c r="Z28609">
        <v>400000</v>
      </c>
    </row>
    <row r="28610" spans="26:26" x14ac:dyDescent="0.25">
      <c r="Z28610">
        <v>400000</v>
      </c>
    </row>
    <row r="28611" spans="26:26" x14ac:dyDescent="0.25">
      <c r="Z28611">
        <v>400000</v>
      </c>
    </row>
    <row r="28612" spans="26:26" x14ac:dyDescent="0.25">
      <c r="Z28612">
        <v>400000</v>
      </c>
    </row>
    <row r="28613" spans="26:26" x14ac:dyDescent="0.25">
      <c r="Z28613">
        <v>400000</v>
      </c>
    </row>
    <row r="28614" spans="26:26" x14ac:dyDescent="0.25">
      <c r="Z28614">
        <v>400000</v>
      </c>
    </row>
    <row r="28615" spans="26:26" x14ac:dyDescent="0.25">
      <c r="Z28615">
        <v>400000</v>
      </c>
    </row>
    <row r="28616" spans="26:26" x14ac:dyDescent="0.25">
      <c r="Z28616">
        <v>400000</v>
      </c>
    </row>
    <row r="28617" spans="26:26" x14ac:dyDescent="0.25">
      <c r="Z28617">
        <v>400000</v>
      </c>
    </row>
    <row r="28618" spans="26:26" x14ac:dyDescent="0.25">
      <c r="Z28618">
        <v>400000</v>
      </c>
    </row>
    <row r="28619" spans="26:26" x14ac:dyDescent="0.25">
      <c r="Z28619">
        <v>400000</v>
      </c>
    </row>
    <row r="28620" spans="26:26" x14ac:dyDescent="0.25">
      <c r="Z28620">
        <v>400000</v>
      </c>
    </row>
    <row r="28621" spans="26:26" x14ac:dyDescent="0.25">
      <c r="Z28621">
        <v>400000</v>
      </c>
    </row>
    <row r="28622" spans="26:26" x14ac:dyDescent="0.25">
      <c r="Z28622">
        <v>400000</v>
      </c>
    </row>
    <row r="28623" spans="26:26" x14ac:dyDescent="0.25">
      <c r="Z28623">
        <v>400000</v>
      </c>
    </row>
    <row r="28624" spans="26:26" x14ac:dyDescent="0.25">
      <c r="Z28624">
        <v>400000</v>
      </c>
    </row>
    <row r="28625" spans="26:26" x14ac:dyDescent="0.25">
      <c r="Z28625">
        <v>400000</v>
      </c>
    </row>
    <row r="28626" spans="26:26" x14ac:dyDescent="0.25">
      <c r="Z28626">
        <v>400000</v>
      </c>
    </row>
    <row r="28627" spans="26:26" x14ac:dyDescent="0.25">
      <c r="Z28627">
        <v>400000</v>
      </c>
    </row>
    <row r="28628" spans="26:26" x14ac:dyDescent="0.25">
      <c r="Z28628">
        <v>400000</v>
      </c>
    </row>
    <row r="28629" spans="26:26" x14ac:dyDescent="0.25">
      <c r="Z28629">
        <v>400000</v>
      </c>
    </row>
    <row r="28630" spans="26:26" x14ac:dyDescent="0.25">
      <c r="Z28630">
        <v>400000</v>
      </c>
    </row>
    <row r="28631" spans="26:26" x14ac:dyDescent="0.25">
      <c r="Z28631">
        <v>400000</v>
      </c>
    </row>
    <row r="28632" spans="26:26" x14ac:dyDescent="0.25">
      <c r="Z28632">
        <v>400000</v>
      </c>
    </row>
    <row r="28633" spans="26:26" x14ac:dyDescent="0.25">
      <c r="Z28633">
        <v>400000</v>
      </c>
    </row>
    <row r="28634" spans="26:26" x14ac:dyDescent="0.25">
      <c r="Z28634">
        <v>400000</v>
      </c>
    </row>
    <row r="28635" spans="26:26" x14ac:dyDescent="0.25">
      <c r="Z28635">
        <v>400000</v>
      </c>
    </row>
    <row r="28636" spans="26:26" x14ac:dyDescent="0.25">
      <c r="Z28636">
        <v>400000</v>
      </c>
    </row>
    <row r="28637" spans="26:26" x14ac:dyDescent="0.25">
      <c r="Z28637">
        <v>400000</v>
      </c>
    </row>
    <row r="28638" spans="26:26" x14ac:dyDescent="0.25">
      <c r="Z28638">
        <v>400000</v>
      </c>
    </row>
    <row r="28639" spans="26:26" x14ac:dyDescent="0.25">
      <c r="Z28639">
        <v>400000</v>
      </c>
    </row>
    <row r="28640" spans="26:26" x14ac:dyDescent="0.25">
      <c r="Z28640">
        <v>400000</v>
      </c>
    </row>
    <row r="28641" spans="26:26" x14ac:dyDescent="0.25">
      <c r="Z28641">
        <v>400000</v>
      </c>
    </row>
    <row r="28642" spans="26:26" x14ac:dyDescent="0.25">
      <c r="Z28642">
        <v>400000</v>
      </c>
    </row>
    <row r="28643" spans="26:26" x14ac:dyDescent="0.25">
      <c r="Z28643">
        <v>400000</v>
      </c>
    </row>
    <row r="28644" spans="26:26" x14ac:dyDescent="0.25">
      <c r="Z28644">
        <v>400000</v>
      </c>
    </row>
    <row r="28645" spans="26:26" x14ac:dyDescent="0.25">
      <c r="Z28645">
        <v>400000</v>
      </c>
    </row>
    <row r="28646" spans="26:26" x14ac:dyDescent="0.25">
      <c r="Z28646">
        <v>400000</v>
      </c>
    </row>
    <row r="28647" spans="26:26" x14ac:dyDescent="0.25">
      <c r="Z28647">
        <v>400000</v>
      </c>
    </row>
    <row r="28648" spans="26:26" x14ac:dyDescent="0.25">
      <c r="Z28648">
        <v>400000</v>
      </c>
    </row>
    <row r="28649" spans="26:26" x14ac:dyDescent="0.25">
      <c r="Z28649">
        <v>400000</v>
      </c>
    </row>
    <row r="28650" spans="26:26" x14ac:dyDescent="0.25">
      <c r="Z28650">
        <v>400000</v>
      </c>
    </row>
    <row r="28651" spans="26:26" x14ac:dyDescent="0.25">
      <c r="Z28651">
        <v>400000</v>
      </c>
    </row>
    <row r="28652" spans="26:26" x14ac:dyDescent="0.25">
      <c r="Z28652">
        <v>400000</v>
      </c>
    </row>
    <row r="28653" spans="26:26" x14ac:dyDescent="0.25">
      <c r="Z28653">
        <v>400000</v>
      </c>
    </row>
    <row r="28654" spans="26:26" x14ac:dyDescent="0.25">
      <c r="Z28654">
        <v>400000</v>
      </c>
    </row>
    <row r="28655" spans="26:26" x14ac:dyDescent="0.25">
      <c r="Z28655">
        <v>400000</v>
      </c>
    </row>
    <row r="28656" spans="26:26" x14ac:dyDescent="0.25">
      <c r="Z28656">
        <v>400000</v>
      </c>
    </row>
    <row r="28657" spans="26:26" x14ac:dyDescent="0.25">
      <c r="Z28657">
        <v>400000</v>
      </c>
    </row>
    <row r="28658" spans="26:26" x14ac:dyDescent="0.25">
      <c r="Z28658">
        <v>400000</v>
      </c>
    </row>
    <row r="28659" spans="26:26" x14ac:dyDescent="0.25">
      <c r="Z28659">
        <v>400000</v>
      </c>
    </row>
    <row r="28660" spans="26:26" x14ac:dyDescent="0.25">
      <c r="Z28660">
        <v>400000</v>
      </c>
    </row>
    <row r="28661" spans="26:26" x14ac:dyDescent="0.25">
      <c r="Z28661">
        <v>400000</v>
      </c>
    </row>
    <row r="28662" spans="26:26" x14ac:dyDescent="0.25">
      <c r="Z28662">
        <v>400000</v>
      </c>
    </row>
    <row r="28663" spans="26:26" x14ac:dyDescent="0.25">
      <c r="Z28663">
        <v>400000</v>
      </c>
    </row>
    <row r="28664" spans="26:26" x14ac:dyDescent="0.25">
      <c r="Z28664">
        <v>400000</v>
      </c>
    </row>
    <row r="28665" spans="26:26" x14ac:dyDescent="0.25">
      <c r="Z28665">
        <v>400000</v>
      </c>
    </row>
    <row r="28666" spans="26:26" x14ac:dyDescent="0.25">
      <c r="Z28666">
        <v>400000</v>
      </c>
    </row>
    <row r="28667" spans="26:26" x14ac:dyDescent="0.25">
      <c r="Z28667">
        <v>400000</v>
      </c>
    </row>
    <row r="28668" spans="26:26" x14ac:dyDescent="0.25">
      <c r="Z28668">
        <v>400000</v>
      </c>
    </row>
    <row r="28669" spans="26:26" x14ac:dyDescent="0.25">
      <c r="Z28669">
        <v>400000</v>
      </c>
    </row>
    <row r="28670" spans="26:26" x14ac:dyDescent="0.25">
      <c r="Z28670">
        <v>400000</v>
      </c>
    </row>
    <row r="28671" spans="26:26" x14ac:dyDescent="0.25">
      <c r="Z28671">
        <v>400000</v>
      </c>
    </row>
    <row r="28672" spans="26:26" x14ac:dyDescent="0.25">
      <c r="Z28672">
        <v>400000</v>
      </c>
    </row>
    <row r="28673" spans="26:26" x14ac:dyDescent="0.25">
      <c r="Z28673">
        <v>400000</v>
      </c>
    </row>
    <row r="28674" spans="26:26" x14ac:dyDescent="0.25">
      <c r="Z28674">
        <v>400000</v>
      </c>
    </row>
    <row r="28675" spans="26:26" x14ac:dyDescent="0.25">
      <c r="Z28675">
        <v>400000</v>
      </c>
    </row>
    <row r="28676" spans="26:26" x14ac:dyDescent="0.25">
      <c r="Z28676">
        <v>400000</v>
      </c>
    </row>
    <row r="28677" spans="26:26" x14ac:dyDescent="0.25">
      <c r="Z28677">
        <v>400000</v>
      </c>
    </row>
    <row r="28678" spans="26:26" x14ac:dyDescent="0.25">
      <c r="Z28678">
        <v>400000</v>
      </c>
    </row>
    <row r="28679" spans="26:26" x14ac:dyDescent="0.25">
      <c r="Z28679">
        <v>400000</v>
      </c>
    </row>
    <row r="28680" spans="26:26" x14ac:dyDescent="0.25">
      <c r="Z28680">
        <v>400000</v>
      </c>
    </row>
    <row r="28681" spans="26:26" x14ac:dyDescent="0.25">
      <c r="Z28681">
        <v>400000</v>
      </c>
    </row>
    <row r="28682" spans="26:26" x14ac:dyDescent="0.25">
      <c r="Z28682">
        <v>400000</v>
      </c>
    </row>
    <row r="28683" spans="26:26" x14ac:dyDescent="0.25">
      <c r="Z28683">
        <v>400000</v>
      </c>
    </row>
    <row r="28684" spans="26:26" x14ac:dyDescent="0.25">
      <c r="Z28684">
        <v>400000</v>
      </c>
    </row>
    <row r="28685" spans="26:26" x14ac:dyDescent="0.25">
      <c r="Z28685">
        <v>400000</v>
      </c>
    </row>
    <row r="28686" spans="26:26" x14ac:dyDescent="0.25">
      <c r="Z28686">
        <v>400000</v>
      </c>
    </row>
    <row r="28687" spans="26:26" x14ac:dyDescent="0.25">
      <c r="Z28687">
        <v>400000</v>
      </c>
    </row>
    <row r="28688" spans="26:26" x14ac:dyDescent="0.25">
      <c r="Z28688">
        <v>400000</v>
      </c>
    </row>
    <row r="28689" spans="26:26" x14ac:dyDescent="0.25">
      <c r="Z28689">
        <v>400000</v>
      </c>
    </row>
    <row r="28690" spans="26:26" x14ac:dyDescent="0.25">
      <c r="Z28690">
        <v>400000</v>
      </c>
    </row>
    <row r="28691" spans="26:26" x14ac:dyDescent="0.25">
      <c r="Z28691">
        <v>400000</v>
      </c>
    </row>
    <row r="28692" spans="26:26" x14ac:dyDescent="0.25">
      <c r="Z28692">
        <v>400000</v>
      </c>
    </row>
    <row r="28693" spans="26:26" x14ac:dyDescent="0.25">
      <c r="Z28693">
        <v>400000</v>
      </c>
    </row>
    <row r="28694" spans="26:26" x14ac:dyDescent="0.25">
      <c r="Z28694">
        <v>400000</v>
      </c>
    </row>
    <row r="28695" spans="26:26" x14ac:dyDescent="0.25">
      <c r="Z28695">
        <v>400000</v>
      </c>
    </row>
    <row r="28696" spans="26:26" x14ac:dyDescent="0.25">
      <c r="Z28696">
        <v>400000</v>
      </c>
    </row>
    <row r="28697" spans="26:26" x14ac:dyDescent="0.25">
      <c r="Z28697">
        <v>400000</v>
      </c>
    </row>
    <row r="28698" spans="26:26" x14ac:dyDescent="0.25">
      <c r="Z28698">
        <v>400000</v>
      </c>
    </row>
    <row r="28699" spans="26:26" x14ac:dyDescent="0.25">
      <c r="Z28699">
        <v>400000</v>
      </c>
    </row>
    <row r="28700" spans="26:26" x14ac:dyDescent="0.25">
      <c r="Z28700">
        <v>400000</v>
      </c>
    </row>
    <row r="28701" spans="26:26" x14ac:dyDescent="0.25">
      <c r="Z28701">
        <v>400000</v>
      </c>
    </row>
    <row r="28702" spans="26:26" x14ac:dyDescent="0.25">
      <c r="Z28702">
        <v>400000</v>
      </c>
    </row>
    <row r="28703" spans="26:26" x14ac:dyDescent="0.25">
      <c r="Z28703">
        <v>400000</v>
      </c>
    </row>
    <row r="28704" spans="26:26" x14ac:dyDescent="0.25">
      <c r="Z28704">
        <v>400000</v>
      </c>
    </row>
    <row r="28705" spans="26:26" x14ac:dyDescent="0.25">
      <c r="Z28705">
        <v>400000</v>
      </c>
    </row>
    <row r="28706" spans="26:26" x14ac:dyDescent="0.25">
      <c r="Z28706">
        <v>400000</v>
      </c>
    </row>
    <row r="28707" spans="26:26" x14ac:dyDescent="0.25">
      <c r="Z28707">
        <v>400000</v>
      </c>
    </row>
    <row r="28708" spans="26:26" x14ac:dyDescent="0.25">
      <c r="Z28708">
        <v>400000</v>
      </c>
    </row>
    <row r="28709" spans="26:26" x14ac:dyDescent="0.25">
      <c r="Z28709">
        <v>400000</v>
      </c>
    </row>
    <row r="28710" spans="26:26" x14ac:dyDescent="0.25">
      <c r="Z28710">
        <v>400000</v>
      </c>
    </row>
    <row r="28711" spans="26:26" x14ac:dyDescent="0.25">
      <c r="Z28711">
        <v>400000</v>
      </c>
    </row>
    <row r="28712" spans="26:26" x14ac:dyDescent="0.25">
      <c r="Z28712">
        <v>400000</v>
      </c>
    </row>
    <row r="28713" spans="26:26" x14ac:dyDescent="0.25">
      <c r="Z28713">
        <v>400000</v>
      </c>
    </row>
    <row r="28714" spans="26:26" x14ac:dyDescent="0.25">
      <c r="Z28714">
        <v>400000</v>
      </c>
    </row>
    <row r="28715" spans="26:26" x14ac:dyDescent="0.25">
      <c r="Z28715">
        <v>400000</v>
      </c>
    </row>
    <row r="28716" spans="26:26" x14ac:dyDescent="0.25">
      <c r="Z28716">
        <v>400000</v>
      </c>
    </row>
    <row r="28717" spans="26:26" x14ac:dyDescent="0.25">
      <c r="Z28717">
        <v>400000</v>
      </c>
    </row>
    <row r="28718" spans="26:26" x14ac:dyDescent="0.25">
      <c r="Z28718">
        <v>400000</v>
      </c>
    </row>
    <row r="28719" spans="26:26" x14ac:dyDescent="0.25">
      <c r="Z28719">
        <v>400000</v>
      </c>
    </row>
    <row r="28720" spans="26:26" x14ac:dyDescent="0.25">
      <c r="Z28720">
        <v>400000</v>
      </c>
    </row>
    <row r="28721" spans="26:26" x14ac:dyDescent="0.25">
      <c r="Z28721">
        <v>400000</v>
      </c>
    </row>
    <row r="28722" spans="26:26" x14ac:dyDescent="0.25">
      <c r="Z28722">
        <v>400000</v>
      </c>
    </row>
    <row r="28723" spans="26:26" x14ac:dyDescent="0.25">
      <c r="Z28723">
        <v>400000</v>
      </c>
    </row>
    <row r="28724" spans="26:26" x14ac:dyDescent="0.25">
      <c r="Z28724">
        <v>400000</v>
      </c>
    </row>
    <row r="28725" spans="26:26" x14ac:dyDescent="0.25">
      <c r="Z28725">
        <v>400000</v>
      </c>
    </row>
    <row r="28726" spans="26:26" x14ac:dyDescent="0.25">
      <c r="Z28726">
        <v>400000</v>
      </c>
    </row>
    <row r="28727" spans="26:26" x14ac:dyDescent="0.25">
      <c r="Z28727">
        <v>400000</v>
      </c>
    </row>
    <row r="28728" spans="26:26" x14ac:dyDescent="0.25">
      <c r="Z28728">
        <v>400000</v>
      </c>
    </row>
    <row r="28729" spans="26:26" x14ac:dyDescent="0.25">
      <c r="Z28729">
        <v>400000</v>
      </c>
    </row>
    <row r="28730" spans="26:26" x14ac:dyDescent="0.25">
      <c r="Z28730">
        <v>400000</v>
      </c>
    </row>
    <row r="28731" spans="26:26" x14ac:dyDescent="0.25">
      <c r="Z28731">
        <v>400000</v>
      </c>
    </row>
    <row r="28732" spans="26:26" x14ac:dyDescent="0.25">
      <c r="Z28732">
        <v>400000</v>
      </c>
    </row>
    <row r="28733" spans="26:26" x14ac:dyDescent="0.25">
      <c r="Z28733">
        <v>400000</v>
      </c>
    </row>
    <row r="28734" spans="26:26" x14ac:dyDescent="0.25">
      <c r="Z28734">
        <v>400000</v>
      </c>
    </row>
    <row r="28735" spans="26:26" x14ac:dyDescent="0.25">
      <c r="Z28735">
        <v>400000</v>
      </c>
    </row>
    <row r="28736" spans="26:26" x14ac:dyDescent="0.25">
      <c r="Z28736">
        <v>400000</v>
      </c>
    </row>
    <row r="28737" spans="26:26" x14ac:dyDescent="0.25">
      <c r="Z28737">
        <v>400000</v>
      </c>
    </row>
    <row r="28738" spans="26:26" x14ac:dyDescent="0.25">
      <c r="Z28738">
        <v>400000</v>
      </c>
    </row>
    <row r="28739" spans="26:26" x14ac:dyDescent="0.25">
      <c r="Z28739">
        <v>400000</v>
      </c>
    </row>
    <row r="28740" spans="26:26" x14ac:dyDescent="0.25">
      <c r="Z28740">
        <v>400000</v>
      </c>
    </row>
    <row r="28741" spans="26:26" x14ac:dyDescent="0.25">
      <c r="Z28741">
        <v>400000</v>
      </c>
    </row>
    <row r="28742" spans="26:26" x14ac:dyDescent="0.25">
      <c r="Z28742">
        <v>400000</v>
      </c>
    </row>
    <row r="28743" spans="26:26" x14ac:dyDescent="0.25">
      <c r="Z28743">
        <v>400000</v>
      </c>
    </row>
    <row r="28744" spans="26:26" x14ac:dyDescent="0.25">
      <c r="Z28744">
        <v>400000</v>
      </c>
    </row>
    <row r="28745" spans="26:26" x14ac:dyDescent="0.25">
      <c r="Z28745">
        <v>400000</v>
      </c>
    </row>
    <row r="28746" spans="26:26" x14ac:dyDescent="0.25">
      <c r="Z28746">
        <v>400000</v>
      </c>
    </row>
    <row r="28747" spans="26:26" x14ac:dyDescent="0.25">
      <c r="Z28747">
        <v>400000</v>
      </c>
    </row>
    <row r="28748" spans="26:26" x14ac:dyDescent="0.25">
      <c r="Z28748">
        <v>400000</v>
      </c>
    </row>
    <row r="28749" spans="26:26" x14ac:dyDescent="0.25">
      <c r="Z28749">
        <v>400000</v>
      </c>
    </row>
    <row r="28750" spans="26:26" x14ac:dyDescent="0.25">
      <c r="Z28750">
        <v>400000</v>
      </c>
    </row>
    <row r="28751" spans="26:26" x14ac:dyDescent="0.25">
      <c r="Z28751">
        <v>400000</v>
      </c>
    </row>
    <row r="28752" spans="26:26" x14ac:dyDescent="0.25">
      <c r="Z28752">
        <v>400000</v>
      </c>
    </row>
    <row r="28753" spans="26:26" x14ac:dyDescent="0.25">
      <c r="Z28753">
        <v>400000</v>
      </c>
    </row>
    <row r="28754" spans="26:26" x14ac:dyDescent="0.25">
      <c r="Z28754">
        <v>400000</v>
      </c>
    </row>
    <row r="28755" spans="26:26" x14ac:dyDescent="0.25">
      <c r="Z28755">
        <v>400000</v>
      </c>
    </row>
    <row r="28756" spans="26:26" x14ac:dyDescent="0.25">
      <c r="Z28756">
        <v>400000</v>
      </c>
    </row>
    <row r="28757" spans="26:26" x14ac:dyDescent="0.25">
      <c r="Z28757">
        <v>400000</v>
      </c>
    </row>
    <row r="28758" spans="26:26" x14ac:dyDescent="0.25">
      <c r="Z28758">
        <v>400000</v>
      </c>
    </row>
    <row r="28759" spans="26:26" x14ac:dyDescent="0.25">
      <c r="Z28759">
        <v>400000</v>
      </c>
    </row>
    <row r="28760" spans="26:26" x14ac:dyDescent="0.25">
      <c r="Z28760">
        <v>400000</v>
      </c>
    </row>
    <row r="28761" spans="26:26" x14ac:dyDescent="0.25">
      <c r="Z28761">
        <v>400000</v>
      </c>
    </row>
    <row r="28762" spans="26:26" x14ac:dyDescent="0.25">
      <c r="Z28762">
        <v>400000</v>
      </c>
    </row>
    <row r="28763" spans="26:26" x14ac:dyDescent="0.25">
      <c r="Z28763">
        <v>400000</v>
      </c>
    </row>
    <row r="28764" spans="26:26" x14ac:dyDescent="0.25">
      <c r="Z28764">
        <v>400000</v>
      </c>
    </row>
    <row r="28765" spans="26:26" x14ac:dyDescent="0.25">
      <c r="Z28765">
        <v>400000</v>
      </c>
    </row>
    <row r="28766" spans="26:26" x14ac:dyDescent="0.25">
      <c r="Z28766">
        <v>400000</v>
      </c>
    </row>
    <row r="28767" spans="26:26" x14ac:dyDescent="0.25">
      <c r="Z28767">
        <v>400000</v>
      </c>
    </row>
    <row r="28768" spans="26:26" x14ac:dyDescent="0.25">
      <c r="Z28768">
        <v>400000</v>
      </c>
    </row>
    <row r="28769" spans="26:26" x14ac:dyDescent="0.25">
      <c r="Z28769">
        <v>400000</v>
      </c>
    </row>
    <row r="28770" spans="26:26" x14ac:dyDescent="0.25">
      <c r="Z28770">
        <v>400000</v>
      </c>
    </row>
    <row r="28771" spans="26:26" x14ac:dyDescent="0.25">
      <c r="Z28771">
        <v>400000</v>
      </c>
    </row>
    <row r="28772" spans="26:26" x14ac:dyDescent="0.25">
      <c r="Z28772">
        <v>400000</v>
      </c>
    </row>
    <row r="28773" spans="26:26" x14ac:dyDescent="0.25">
      <c r="Z28773">
        <v>400000</v>
      </c>
    </row>
    <row r="28774" spans="26:26" x14ac:dyDescent="0.25">
      <c r="Z28774">
        <v>400000</v>
      </c>
    </row>
    <row r="28775" spans="26:26" x14ac:dyDescent="0.25">
      <c r="Z28775">
        <v>400000</v>
      </c>
    </row>
    <row r="28776" spans="26:26" x14ac:dyDescent="0.25">
      <c r="Z28776">
        <v>400000</v>
      </c>
    </row>
    <row r="28777" spans="26:26" x14ac:dyDescent="0.25">
      <c r="Z28777">
        <v>400000</v>
      </c>
    </row>
    <row r="28778" spans="26:26" x14ac:dyDescent="0.25">
      <c r="Z28778">
        <v>400000</v>
      </c>
    </row>
    <row r="28779" spans="26:26" x14ac:dyDescent="0.25">
      <c r="Z28779">
        <v>400000</v>
      </c>
    </row>
    <row r="28780" spans="26:26" x14ac:dyDescent="0.25">
      <c r="Z28780">
        <v>400000</v>
      </c>
    </row>
    <row r="28781" spans="26:26" x14ac:dyDescent="0.25">
      <c r="Z28781">
        <v>400000</v>
      </c>
    </row>
    <row r="28782" spans="26:26" x14ac:dyDescent="0.25">
      <c r="Z28782">
        <v>400000</v>
      </c>
    </row>
    <row r="28783" spans="26:26" x14ac:dyDescent="0.25">
      <c r="Z28783">
        <v>400000</v>
      </c>
    </row>
    <row r="28784" spans="26:26" x14ac:dyDescent="0.25">
      <c r="Z28784">
        <v>400000</v>
      </c>
    </row>
    <row r="28785" spans="26:26" x14ac:dyDescent="0.25">
      <c r="Z28785">
        <v>400000</v>
      </c>
    </row>
    <row r="28786" spans="26:26" x14ac:dyDescent="0.25">
      <c r="Z28786">
        <v>400000</v>
      </c>
    </row>
    <row r="28787" spans="26:26" x14ac:dyDescent="0.25">
      <c r="Z28787">
        <v>400000</v>
      </c>
    </row>
    <row r="28788" spans="26:26" x14ac:dyDescent="0.25">
      <c r="Z28788">
        <v>400000</v>
      </c>
    </row>
    <row r="28789" spans="26:26" x14ac:dyDescent="0.25">
      <c r="Z28789">
        <v>400000</v>
      </c>
    </row>
    <row r="28790" spans="26:26" x14ac:dyDescent="0.25">
      <c r="Z28790">
        <v>400000</v>
      </c>
    </row>
    <row r="28791" spans="26:26" x14ac:dyDescent="0.25">
      <c r="Z28791">
        <v>400000</v>
      </c>
    </row>
    <row r="28792" spans="26:26" x14ac:dyDescent="0.25">
      <c r="Z28792">
        <v>400000</v>
      </c>
    </row>
    <row r="28793" spans="26:26" x14ac:dyDescent="0.25">
      <c r="Z28793">
        <v>400000</v>
      </c>
    </row>
    <row r="28794" spans="26:26" x14ac:dyDescent="0.25">
      <c r="Z28794">
        <v>400000</v>
      </c>
    </row>
    <row r="28795" spans="26:26" x14ac:dyDescent="0.25">
      <c r="Z28795">
        <v>400000</v>
      </c>
    </row>
    <row r="28796" spans="26:26" x14ac:dyDescent="0.25">
      <c r="Z28796">
        <v>400000</v>
      </c>
    </row>
    <row r="28797" spans="26:26" x14ac:dyDescent="0.25">
      <c r="Z28797">
        <v>400000</v>
      </c>
    </row>
    <row r="28798" spans="26:26" x14ac:dyDescent="0.25">
      <c r="Z28798">
        <v>400000</v>
      </c>
    </row>
    <row r="28799" spans="26:26" x14ac:dyDescent="0.25">
      <c r="Z28799">
        <v>400000</v>
      </c>
    </row>
    <row r="28800" spans="26:26" x14ac:dyDescent="0.25">
      <c r="Z28800">
        <v>400000</v>
      </c>
    </row>
    <row r="28801" spans="26:26" x14ac:dyDescent="0.25">
      <c r="Z28801">
        <v>400000</v>
      </c>
    </row>
    <row r="28802" spans="26:26" x14ac:dyDescent="0.25">
      <c r="Z28802">
        <v>400000</v>
      </c>
    </row>
    <row r="28803" spans="26:26" x14ac:dyDescent="0.25">
      <c r="Z28803">
        <v>400000</v>
      </c>
    </row>
    <row r="28804" spans="26:26" x14ac:dyDescent="0.25">
      <c r="Z28804">
        <v>400000</v>
      </c>
    </row>
    <row r="28805" spans="26:26" x14ac:dyDescent="0.25">
      <c r="Z28805">
        <v>400000</v>
      </c>
    </row>
    <row r="28806" spans="26:26" x14ac:dyDescent="0.25">
      <c r="Z28806">
        <v>400000</v>
      </c>
    </row>
    <row r="28807" spans="26:26" x14ac:dyDescent="0.25">
      <c r="Z28807">
        <v>400000</v>
      </c>
    </row>
    <row r="28808" spans="26:26" x14ac:dyDescent="0.25">
      <c r="Z28808">
        <v>400000</v>
      </c>
    </row>
    <row r="28809" spans="26:26" x14ac:dyDescent="0.25">
      <c r="Z28809">
        <v>400000</v>
      </c>
    </row>
    <row r="28810" spans="26:26" x14ac:dyDescent="0.25">
      <c r="Z28810">
        <v>400000</v>
      </c>
    </row>
    <row r="28811" spans="26:26" x14ac:dyDescent="0.25">
      <c r="Z28811">
        <v>400000</v>
      </c>
    </row>
    <row r="28812" spans="26:26" x14ac:dyDescent="0.25">
      <c r="Z28812">
        <v>400000</v>
      </c>
    </row>
    <row r="28813" spans="26:26" x14ac:dyDescent="0.25">
      <c r="Z28813">
        <v>400000</v>
      </c>
    </row>
    <row r="28814" spans="26:26" x14ac:dyDescent="0.25">
      <c r="Z28814">
        <v>400000</v>
      </c>
    </row>
    <row r="28815" spans="26:26" x14ac:dyDescent="0.25">
      <c r="Z28815">
        <v>400000</v>
      </c>
    </row>
    <row r="28816" spans="26:26" x14ac:dyDescent="0.25">
      <c r="Z28816">
        <v>400000</v>
      </c>
    </row>
    <row r="28817" spans="26:26" x14ac:dyDescent="0.25">
      <c r="Z28817">
        <v>400000</v>
      </c>
    </row>
    <row r="28818" spans="26:26" x14ac:dyDescent="0.25">
      <c r="Z28818">
        <v>400000</v>
      </c>
    </row>
    <row r="28819" spans="26:26" x14ac:dyDescent="0.25">
      <c r="Z28819">
        <v>400000</v>
      </c>
    </row>
    <row r="28820" spans="26:26" x14ac:dyDescent="0.25">
      <c r="Z28820">
        <v>400000</v>
      </c>
    </row>
    <row r="28821" spans="26:26" x14ac:dyDescent="0.25">
      <c r="Z28821">
        <v>400000</v>
      </c>
    </row>
    <row r="28822" spans="26:26" x14ac:dyDescent="0.25">
      <c r="Z28822">
        <v>400000</v>
      </c>
    </row>
    <row r="28823" spans="26:26" x14ac:dyDescent="0.25">
      <c r="Z28823">
        <v>400000</v>
      </c>
    </row>
    <row r="28824" spans="26:26" x14ac:dyDescent="0.25">
      <c r="Z28824">
        <v>400000</v>
      </c>
    </row>
    <row r="28825" spans="26:26" x14ac:dyDescent="0.25">
      <c r="Z28825">
        <v>400000</v>
      </c>
    </row>
    <row r="28826" spans="26:26" x14ac:dyDescent="0.25">
      <c r="Z28826">
        <v>400000</v>
      </c>
    </row>
    <row r="28827" spans="26:26" x14ac:dyDescent="0.25">
      <c r="Z28827">
        <v>400000</v>
      </c>
    </row>
    <row r="28828" spans="26:26" x14ac:dyDescent="0.25">
      <c r="Z28828">
        <v>400000</v>
      </c>
    </row>
    <row r="28829" spans="26:26" x14ac:dyDescent="0.25">
      <c r="Z28829">
        <v>400000</v>
      </c>
    </row>
    <row r="28830" spans="26:26" x14ac:dyDescent="0.25">
      <c r="Z28830">
        <v>400000</v>
      </c>
    </row>
    <row r="28831" spans="26:26" x14ac:dyDescent="0.25">
      <c r="Z28831">
        <v>400000</v>
      </c>
    </row>
    <row r="28832" spans="26:26" x14ac:dyDescent="0.25">
      <c r="Z28832">
        <v>400000</v>
      </c>
    </row>
    <row r="28833" spans="26:26" x14ac:dyDescent="0.25">
      <c r="Z28833">
        <v>400000</v>
      </c>
    </row>
    <row r="28834" spans="26:26" x14ac:dyDescent="0.25">
      <c r="Z28834">
        <v>400000</v>
      </c>
    </row>
    <row r="28835" spans="26:26" x14ac:dyDescent="0.25">
      <c r="Z28835">
        <v>400000</v>
      </c>
    </row>
    <row r="28836" spans="26:26" x14ac:dyDescent="0.25">
      <c r="Z28836">
        <v>400000</v>
      </c>
    </row>
    <row r="28837" spans="26:26" x14ac:dyDescent="0.25">
      <c r="Z28837">
        <v>400000</v>
      </c>
    </row>
    <row r="28838" spans="26:26" x14ac:dyDescent="0.25">
      <c r="Z28838">
        <v>400000</v>
      </c>
    </row>
    <row r="28839" spans="26:26" x14ac:dyDescent="0.25">
      <c r="Z28839">
        <v>400000</v>
      </c>
    </row>
    <row r="28840" spans="26:26" x14ac:dyDescent="0.25">
      <c r="Z28840">
        <v>400000</v>
      </c>
    </row>
    <row r="28841" spans="26:26" x14ac:dyDescent="0.25">
      <c r="Z28841">
        <v>400000</v>
      </c>
    </row>
    <row r="28842" spans="26:26" x14ac:dyDescent="0.25">
      <c r="Z28842">
        <v>400000</v>
      </c>
    </row>
    <row r="28843" spans="26:26" x14ac:dyDescent="0.25">
      <c r="Z28843">
        <v>400000</v>
      </c>
    </row>
    <row r="28844" spans="26:26" x14ac:dyDescent="0.25">
      <c r="Z28844">
        <v>400000</v>
      </c>
    </row>
    <row r="28845" spans="26:26" x14ac:dyDescent="0.25">
      <c r="Z28845">
        <v>400000</v>
      </c>
    </row>
    <row r="28846" spans="26:26" x14ac:dyDescent="0.25">
      <c r="Z28846">
        <v>400000</v>
      </c>
    </row>
    <row r="28847" spans="26:26" x14ac:dyDescent="0.25">
      <c r="Z28847">
        <v>400000</v>
      </c>
    </row>
    <row r="28848" spans="26:26" x14ac:dyDescent="0.25">
      <c r="Z28848">
        <v>400000</v>
      </c>
    </row>
    <row r="28849" spans="26:26" x14ac:dyDescent="0.25">
      <c r="Z28849">
        <v>400000</v>
      </c>
    </row>
    <row r="28850" spans="26:26" x14ac:dyDescent="0.25">
      <c r="Z28850">
        <v>400000</v>
      </c>
    </row>
    <row r="28851" spans="26:26" x14ac:dyDescent="0.25">
      <c r="Z28851">
        <v>400000</v>
      </c>
    </row>
    <row r="28852" spans="26:26" x14ac:dyDescent="0.25">
      <c r="Z28852">
        <v>400000</v>
      </c>
    </row>
    <row r="28853" spans="26:26" x14ac:dyDescent="0.25">
      <c r="Z28853">
        <v>400000</v>
      </c>
    </row>
    <row r="28854" spans="26:26" x14ac:dyDescent="0.25">
      <c r="Z28854">
        <v>400000</v>
      </c>
    </row>
    <row r="28855" spans="26:26" x14ac:dyDescent="0.25">
      <c r="Z28855">
        <v>400000</v>
      </c>
    </row>
    <row r="28856" spans="26:26" x14ac:dyDescent="0.25">
      <c r="Z28856">
        <v>400000</v>
      </c>
    </row>
    <row r="28857" spans="26:26" x14ac:dyDescent="0.25">
      <c r="Z28857">
        <v>400000</v>
      </c>
    </row>
    <row r="28858" spans="26:26" x14ac:dyDescent="0.25">
      <c r="Z28858">
        <v>400000</v>
      </c>
    </row>
    <row r="28859" spans="26:26" x14ac:dyDescent="0.25">
      <c r="Z28859">
        <v>400000</v>
      </c>
    </row>
    <row r="28860" spans="26:26" x14ac:dyDescent="0.25">
      <c r="Z28860">
        <v>400000</v>
      </c>
    </row>
    <row r="28861" spans="26:26" x14ac:dyDescent="0.25">
      <c r="Z28861">
        <v>400000</v>
      </c>
    </row>
    <row r="28862" spans="26:26" x14ac:dyDescent="0.25">
      <c r="Z28862">
        <v>400000</v>
      </c>
    </row>
    <row r="28863" spans="26:26" x14ac:dyDescent="0.25">
      <c r="Z28863">
        <v>400000</v>
      </c>
    </row>
    <row r="28864" spans="26:26" x14ac:dyDescent="0.25">
      <c r="Z28864">
        <v>400000</v>
      </c>
    </row>
    <row r="28865" spans="26:26" x14ac:dyDescent="0.25">
      <c r="Z28865">
        <v>400000</v>
      </c>
    </row>
    <row r="28866" spans="26:26" x14ac:dyDescent="0.25">
      <c r="Z28866">
        <v>400000</v>
      </c>
    </row>
    <row r="28867" spans="26:26" x14ac:dyDescent="0.25">
      <c r="Z28867">
        <v>400000</v>
      </c>
    </row>
    <row r="28868" spans="26:26" x14ac:dyDescent="0.25">
      <c r="Z28868">
        <v>400000</v>
      </c>
    </row>
    <row r="28869" spans="26:26" x14ac:dyDescent="0.25">
      <c r="Z28869">
        <v>400000</v>
      </c>
    </row>
    <row r="28870" spans="26:26" x14ac:dyDescent="0.25">
      <c r="Z28870">
        <v>400000</v>
      </c>
    </row>
    <row r="28871" spans="26:26" x14ac:dyDescent="0.25">
      <c r="Z28871">
        <v>400000</v>
      </c>
    </row>
    <row r="28872" spans="26:26" x14ac:dyDescent="0.25">
      <c r="Z28872">
        <v>400000</v>
      </c>
    </row>
    <row r="28873" spans="26:26" x14ac:dyDescent="0.25">
      <c r="Z28873">
        <v>400000</v>
      </c>
    </row>
    <row r="28874" spans="26:26" x14ac:dyDescent="0.25">
      <c r="Z28874">
        <v>400000</v>
      </c>
    </row>
    <row r="28875" spans="26:26" x14ac:dyDescent="0.25">
      <c r="Z28875">
        <v>400000</v>
      </c>
    </row>
    <row r="28876" spans="26:26" x14ac:dyDescent="0.25">
      <c r="Z28876">
        <v>400000</v>
      </c>
    </row>
    <row r="28877" spans="26:26" x14ac:dyDescent="0.25">
      <c r="Z28877">
        <v>400000</v>
      </c>
    </row>
    <row r="28878" spans="26:26" x14ac:dyDescent="0.25">
      <c r="Z28878">
        <v>400000</v>
      </c>
    </row>
    <row r="28879" spans="26:26" x14ac:dyDescent="0.25">
      <c r="Z28879">
        <v>400000</v>
      </c>
    </row>
    <row r="28880" spans="26:26" x14ac:dyDescent="0.25">
      <c r="Z28880">
        <v>400000</v>
      </c>
    </row>
    <row r="28881" spans="26:26" x14ac:dyDescent="0.25">
      <c r="Z28881">
        <v>400000</v>
      </c>
    </row>
    <row r="28882" spans="26:26" x14ac:dyDescent="0.25">
      <c r="Z28882">
        <v>400000</v>
      </c>
    </row>
    <row r="28883" spans="26:26" x14ac:dyDescent="0.25">
      <c r="Z28883">
        <v>400000</v>
      </c>
    </row>
    <row r="28884" spans="26:26" x14ac:dyDescent="0.25">
      <c r="Z28884">
        <v>400000</v>
      </c>
    </row>
    <row r="28885" spans="26:26" x14ac:dyDescent="0.25">
      <c r="Z28885">
        <v>400000</v>
      </c>
    </row>
    <row r="28886" spans="26:26" x14ac:dyDescent="0.25">
      <c r="Z28886">
        <v>400000</v>
      </c>
    </row>
    <row r="28887" spans="26:26" x14ac:dyDescent="0.25">
      <c r="Z28887">
        <v>400000</v>
      </c>
    </row>
    <row r="28888" spans="26:26" x14ac:dyDescent="0.25">
      <c r="Z28888">
        <v>400000</v>
      </c>
    </row>
    <row r="28889" spans="26:26" x14ac:dyDescent="0.25">
      <c r="Z28889">
        <v>400000</v>
      </c>
    </row>
    <row r="28890" spans="26:26" x14ac:dyDescent="0.25">
      <c r="Z28890">
        <v>400000</v>
      </c>
    </row>
    <row r="28891" spans="26:26" x14ac:dyDescent="0.25">
      <c r="Z28891">
        <v>400000</v>
      </c>
    </row>
    <row r="28892" spans="26:26" x14ac:dyDescent="0.25">
      <c r="Z28892">
        <v>400000</v>
      </c>
    </row>
    <row r="28893" spans="26:26" x14ac:dyDescent="0.25">
      <c r="Z28893">
        <v>400000</v>
      </c>
    </row>
    <row r="28894" spans="26:26" x14ac:dyDescent="0.25">
      <c r="Z28894">
        <v>400000</v>
      </c>
    </row>
    <row r="28895" spans="26:26" x14ac:dyDescent="0.25">
      <c r="Z28895">
        <v>400000</v>
      </c>
    </row>
    <row r="28896" spans="26:26" x14ac:dyDescent="0.25">
      <c r="Z28896">
        <v>400000</v>
      </c>
    </row>
    <row r="28897" spans="26:26" x14ac:dyDescent="0.25">
      <c r="Z28897">
        <v>400000</v>
      </c>
    </row>
    <row r="28898" spans="26:26" x14ac:dyDescent="0.25">
      <c r="Z28898">
        <v>400000</v>
      </c>
    </row>
    <row r="28899" spans="26:26" x14ac:dyDescent="0.25">
      <c r="Z28899">
        <v>400000</v>
      </c>
    </row>
    <row r="28900" spans="26:26" x14ac:dyDescent="0.25">
      <c r="Z28900">
        <v>400000</v>
      </c>
    </row>
    <row r="28901" spans="26:26" x14ac:dyDescent="0.25">
      <c r="Z28901">
        <v>400000</v>
      </c>
    </row>
    <row r="28902" spans="26:26" x14ac:dyDescent="0.25">
      <c r="Z28902">
        <v>400000</v>
      </c>
    </row>
    <row r="28903" spans="26:26" x14ac:dyDescent="0.25">
      <c r="Z28903">
        <v>400000</v>
      </c>
    </row>
    <row r="28904" spans="26:26" x14ac:dyDescent="0.25">
      <c r="Z28904">
        <v>400000</v>
      </c>
    </row>
    <row r="28905" spans="26:26" x14ac:dyDescent="0.25">
      <c r="Z28905">
        <v>400000</v>
      </c>
    </row>
    <row r="28906" spans="26:26" x14ac:dyDescent="0.25">
      <c r="Z28906">
        <v>400000</v>
      </c>
    </row>
    <row r="28907" spans="26:26" x14ac:dyDescent="0.25">
      <c r="Z28907">
        <v>400000</v>
      </c>
    </row>
    <row r="28908" spans="26:26" x14ac:dyDescent="0.25">
      <c r="Z28908">
        <v>400000</v>
      </c>
    </row>
    <row r="28909" spans="26:26" x14ac:dyDescent="0.25">
      <c r="Z28909">
        <v>400000</v>
      </c>
    </row>
    <row r="28910" spans="26:26" x14ac:dyDescent="0.25">
      <c r="Z28910">
        <v>400000</v>
      </c>
    </row>
    <row r="28911" spans="26:26" x14ac:dyDescent="0.25">
      <c r="Z28911">
        <v>400000</v>
      </c>
    </row>
    <row r="28912" spans="26:26" x14ac:dyDescent="0.25">
      <c r="Z28912">
        <v>400000</v>
      </c>
    </row>
    <row r="28913" spans="26:26" x14ac:dyDescent="0.25">
      <c r="Z28913">
        <v>400000</v>
      </c>
    </row>
    <row r="28914" spans="26:26" x14ac:dyDescent="0.25">
      <c r="Z28914">
        <v>400000</v>
      </c>
    </row>
    <row r="28915" spans="26:26" x14ac:dyDescent="0.25">
      <c r="Z28915">
        <v>400000</v>
      </c>
    </row>
    <row r="28916" spans="26:26" x14ac:dyDescent="0.25">
      <c r="Z28916">
        <v>400000</v>
      </c>
    </row>
    <row r="28917" spans="26:26" x14ac:dyDescent="0.25">
      <c r="Z28917">
        <v>400000</v>
      </c>
    </row>
    <row r="28918" spans="26:26" x14ac:dyDescent="0.25">
      <c r="Z28918">
        <v>400000</v>
      </c>
    </row>
    <row r="28919" spans="26:26" x14ac:dyDescent="0.25">
      <c r="Z28919">
        <v>400000</v>
      </c>
    </row>
    <row r="28920" spans="26:26" x14ac:dyDescent="0.25">
      <c r="Z28920">
        <v>400000</v>
      </c>
    </row>
    <row r="28921" spans="26:26" x14ac:dyDescent="0.25">
      <c r="Z28921">
        <v>400000</v>
      </c>
    </row>
    <row r="28922" spans="26:26" x14ac:dyDescent="0.25">
      <c r="Z28922">
        <v>400000</v>
      </c>
    </row>
    <row r="28923" spans="26:26" x14ac:dyDescent="0.25">
      <c r="Z28923">
        <v>400000</v>
      </c>
    </row>
    <row r="28924" spans="26:26" x14ac:dyDescent="0.25">
      <c r="Z28924">
        <v>400000</v>
      </c>
    </row>
    <row r="28925" spans="26:26" x14ac:dyDescent="0.25">
      <c r="Z28925">
        <v>400000</v>
      </c>
    </row>
    <row r="28926" spans="26:26" x14ac:dyDescent="0.25">
      <c r="Z28926">
        <v>400000</v>
      </c>
    </row>
    <row r="28927" spans="26:26" x14ac:dyDescent="0.25">
      <c r="Z28927">
        <v>400000</v>
      </c>
    </row>
    <row r="28928" spans="26:26" x14ac:dyDescent="0.25">
      <c r="Z28928">
        <v>400000</v>
      </c>
    </row>
    <row r="28929" spans="26:26" x14ac:dyDescent="0.25">
      <c r="Z28929">
        <v>400000</v>
      </c>
    </row>
    <row r="28930" spans="26:26" x14ac:dyDescent="0.25">
      <c r="Z28930">
        <v>400000</v>
      </c>
    </row>
    <row r="28931" spans="26:26" x14ac:dyDescent="0.25">
      <c r="Z28931">
        <v>400000</v>
      </c>
    </row>
    <row r="28932" spans="26:26" x14ac:dyDescent="0.25">
      <c r="Z28932">
        <v>400000</v>
      </c>
    </row>
    <row r="28933" spans="26:26" x14ac:dyDescent="0.25">
      <c r="Z28933">
        <v>400000</v>
      </c>
    </row>
    <row r="28934" spans="26:26" x14ac:dyDescent="0.25">
      <c r="Z28934">
        <v>400000</v>
      </c>
    </row>
    <row r="28935" spans="26:26" x14ac:dyDescent="0.25">
      <c r="Z28935">
        <v>400000</v>
      </c>
    </row>
    <row r="28936" spans="26:26" x14ac:dyDescent="0.25">
      <c r="Z28936">
        <v>400000</v>
      </c>
    </row>
    <row r="28937" spans="26:26" x14ac:dyDescent="0.25">
      <c r="Z28937">
        <v>400000</v>
      </c>
    </row>
    <row r="28938" spans="26:26" x14ac:dyDescent="0.25">
      <c r="Z28938">
        <v>400000</v>
      </c>
    </row>
    <row r="28939" spans="26:26" x14ac:dyDescent="0.25">
      <c r="Z28939">
        <v>400000</v>
      </c>
    </row>
    <row r="28940" spans="26:26" x14ac:dyDescent="0.25">
      <c r="Z28940">
        <v>400000</v>
      </c>
    </row>
    <row r="28941" spans="26:26" x14ac:dyDescent="0.25">
      <c r="Z28941">
        <v>400000</v>
      </c>
    </row>
    <row r="28942" spans="26:26" x14ac:dyDescent="0.25">
      <c r="Z28942">
        <v>400000</v>
      </c>
    </row>
    <row r="28943" spans="26:26" x14ac:dyDescent="0.25">
      <c r="Z28943">
        <v>400000</v>
      </c>
    </row>
    <row r="28944" spans="26:26" x14ac:dyDescent="0.25">
      <c r="Z28944">
        <v>400000</v>
      </c>
    </row>
    <row r="28945" spans="26:26" x14ac:dyDescent="0.25">
      <c r="Z28945">
        <v>400000</v>
      </c>
    </row>
    <row r="28946" spans="26:26" x14ac:dyDescent="0.25">
      <c r="Z28946">
        <v>400000</v>
      </c>
    </row>
    <row r="28947" spans="26:26" x14ac:dyDescent="0.25">
      <c r="Z28947">
        <v>400000</v>
      </c>
    </row>
    <row r="28948" spans="26:26" x14ac:dyDescent="0.25">
      <c r="Z28948">
        <v>400000</v>
      </c>
    </row>
    <row r="28949" spans="26:26" x14ac:dyDescent="0.25">
      <c r="Z28949">
        <v>400000</v>
      </c>
    </row>
    <row r="28950" spans="26:26" x14ac:dyDescent="0.25">
      <c r="Z28950">
        <v>400000</v>
      </c>
    </row>
    <row r="28951" spans="26:26" x14ac:dyDescent="0.25">
      <c r="Z28951">
        <v>400000</v>
      </c>
    </row>
    <row r="28952" spans="26:26" x14ac:dyDescent="0.25">
      <c r="Z28952">
        <v>400000</v>
      </c>
    </row>
    <row r="28953" spans="26:26" x14ac:dyDescent="0.25">
      <c r="Z28953">
        <v>400000</v>
      </c>
    </row>
    <row r="28954" spans="26:26" x14ac:dyDescent="0.25">
      <c r="Z28954">
        <v>400000</v>
      </c>
    </row>
    <row r="28955" spans="26:26" x14ac:dyDescent="0.25">
      <c r="Z28955">
        <v>400000</v>
      </c>
    </row>
    <row r="28956" spans="26:26" x14ac:dyDescent="0.25">
      <c r="Z28956">
        <v>400000</v>
      </c>
    </row>
    <row r="28957" spans="26:26" x14ac:dyDescent="0.25">
      <c r="Z28957">
        <v>400000</v>
      </c>
    </row>
    <row r="28958" spans="26:26" x14ac:dyDescent="0.25">
      <c r="Z28958">
        <v>400000</v>
      </c>
    </row>
    <row r="28959" spans="26:26" x14ac:dyDescent="0.25">
      <c r="Z28959">
        <v>400000</v>
      </c>
    </row>
    <row r="28960" spans="26:26" x14ac:dyDescent="0.25">
      <c r="Z28960">
        <v>400000</v>
      </c>
    </row>
    <row r="28961" spans="26:26" x14ac:dyDescent="0.25">
      <c r="Z28961">
        <v>400000</v>
      </c>
    </row>
    <row r="28962" spans="26:26" x14ac:dyDescent="0.25">
      <c r="Z28962">
        <v>400000</v>
      </c>
    </row>
    <row r="28963" spans="26:26" x14ac:dyDescent="0.25">
      <c r="Z28963">
        <v>400000</v>
      </c>
    </row>
    <row r="28964" spans="26:26" x14ac:dyDescent="0.25">
      <c r="Z28964">
        <v>400000</v>
      </c>
    </row>
    <row r="28965" spans="26:26" x14ac:dyDescent="0.25">
      <c r="Z28965">
        <v>400000</v>
      </c>
    </row>
    <row r="28966" spans="26:26" x14ac:dyDescent="0.25">
      <c r="Z28966">
        <v>400000</v>
      </c>
    </row>
    <row r="28967" spans="26:26" x14ac:dyDescent="0.25">
      <c r="Z28967">
        <v>400000</v>
      </c>
    </row>
    <row r="28968" spans="26:26" x14ac:dyDescent="0.25">
      <c r="Z28968">
        <v>400000</v>
      </c>
    </row>
    <row r="28969" spans="26:26" x14ac:dyDescent="0.25">
      <c r="Z28969">
        <v>400000</v>
      </c>
    </row>
    <row r="28970" spans="26:26" x14ac:dyDescent="0.25">
      <c r="Z28970">
        <v>400000</v>
      </c>
    </row>
    <row r="28971" spans="26:26" x14ac:dyDescent="0.25">
      <c r="Z28971">
        <v>400000</v>
      </c>
    </row>
    <row r="28972" spans="26:26" x14ac:dyDescent="0.25">
      <c r="Z28972">
        <v>400000</v>
      </c>
    </row>
    <row r="28973" spans="26:26" x14ac:dyDescent="0.25">
      <c r="Z28973">
        <v>400000</v>
      </c>
    </row>
    <row r="28974" spans="26:26" x14ac:dyDescent="0.25">
      <c r="Z28974">
        <v>400000</v>
      </c>
    </row>
    <row r="28975" spans="26:26" x14ac:dyDescent="0.25">
      <c r="Z28975">
        <v>400000</v>
      </c>
    </row>
    <row r="28976" spans="26:26" x14ac:dyDescent="0.25">
      <c r="Z28976">
        <v>400000</v>
      </c>
    </row>
    <row r="28977" spans="26:26" x14ac:dyDescent="0.25">
      <c r="Z28977">
        <v>400000</v>
      </c>
    </row>
    <row r="28978" spans="26:26" x14ac:dyDescent="0.25">
      <c r="Z28978">
        <v>400000</v>
      </c>
    </row>
    <row r="28979" spans="26:26" x14ac:dyDescent="0.25">
      <c r="Z28979">
        <v>400000</v>
      </c>
    </row>
    <row r="28980" spans="26:26" x14ac:dyDescent="0.25">
      <c r="Z28980">
        <v>400000</v>
      </c>
    </row>
    <row r="28981" spans="26:26" x14ac:dyDescent="0.25">
      <c r="Z28981">
        <v>400000</v>
      </c>
    </row>
    <row r="28982" spans="26:26" x14ac:dyDescent="0.25">
      <c r="Z28982">
        <v>400000</v>
      </c>
    </row>
    <row r="28983" spans="26:26" x14ac:dyDescent="0.25">
      <c r="Z28983">
        <v>400000</v>
      </c>
    </row>
    <row r="28984" spans="26:26" x14ac:dyDescent="0.25">
      <c r="Z28984">
        <v>400000</v>
      </c>
    </row>
    <row r="28985" spans="26:26" x14ac:dyDescent="0.25">
      <c r="Z28985">
        <v>400000</v>
      </c>
    </row>
    <row r="28986" spans="26:26" x14ac:dyDescent="0.25">
      <c r="Z28986">
        <v>400000</v>
      </c>
    </row>
    <row r="28987" spans="26:26" x14ac:dyDescent="0.25">
      <c r="Z28987">
        <v>400000</v>
      </c>
    </row>
    <row r="28988" spans="26:26" x14ac:dyDescent="0.25">
      <c r="Z28988">
        <v>400000</v>
      </c>
    </row>
    <row r="28989" spans="26:26" x14ac:dyDescent="0.25">
      <c r="Z28989">
        <v>400000</v>
      </c>
    </row>
    <row r="28990" spans="26:26" x14ac:dyDescent="0.25">
      <c r="Z28990">
        <v>400000</v>
      </c>
    </row>
    <row r="28991" spans="26:26" x14ac:dyDescent="0.25">
      <c r="Z28991">
        <v>400000</v>
      </c>
    </row>
    <row r="28992" spans="26:26" x14ac:dyDescent="0.25">
      <c r="Z28992">
        <v>400000</v>
      </c>
    </row>
    <row r="28993" spans="26:26" x14ac:dyDescent="0.25">
      <c r="Z28993">
        <v>400000</v>
      </c>
    </row>
    <row r="28994" spans="26:26" x14ac:dyDescent="0.25">
      <c r="Z28994">
        <v>400000</v>
      </c>
    </row>
    <row r="28995" spans="26:26" x14ac:dyDescent="0.25">
      <c r="Z28995">
        <v>400000</v>
      </c>
    </row>
    <row r="28996" spans="26:26" x14ac:dyDescent="0.25">
      <c r="Z28996">
        <v>400000</v>
      </c>
    </row>
    <row r="28997" spans="26:26" x14ac:dyDescent="0.25">
      <c r="Z28997">
        <v>400000</v>
      </c>
    </row>
    <row r="28998" spans="26:26" x14ac:dyDescent="0.25">
      <c r="Z28998">
        <v>400000</v>
      </c>
    </row>
    <row r="28999" spans="26:26" x14ac:dyDescent="0.25">
      <c r="Z28999">
        <v>400000</v>
      </c>
    </row>
    <row r="29000" spans="26:26" x14ac:dyDescent="0.25">
      <c r="Z29000">
        <v>400000</v>
      </c>
    </row>
    <row r="29001" spans="26:26" x14ac:dyDescent="0.25">
      <c r="Z29001">
        <v>400000</v>
      </c>
    </row>
    <row r="29002" spans="26:26" x14ac:dyDescent="0.25">
      <c r="Z29002">
        <v>400000</v>
      </c>
    </row>
    <row r="29003" spans="26:26" x14ac:dyDescent="0.25">
      <c r="Z29003">
        <v>400000</v>
      </c>
    </row>
    <row r="29004" spans="26:26" x14ac:dyDescent="0.25">
      <c r="Z29004">
        <v>400000</v>
      </c>
    </row>
    <row r="29005" spans="26:26" x14ac:dyDescent="0.25">
      <c r="Z29005">
        <v>400000</v>
      </c>
    </row>
    <row r="29006" spans="26:26" x14ac:dyDescent="0.25">
      <c r="Z29006">
        <v>400000</v>
      </c>
    </row>
    <row r="29007" spans="26:26" x14ac:dyDescent="0.25">
      <c r="Z29007">
        <v>400000</v>
      </c>
    </row>
    <row r="29008" spans="26:26" x14ac:dyDescent="0.25">
      <c r="Z29008">
        <v>400000</v>
      </c>
    </row>
    <row r="29009" spans="26:26" x14ac:dyDescent="0.25">
      <c r="Z29009">
        <v>400000</v>
      </c>
    </row>
    <row r="29010" spans="26:26" x14ac:dyDescent="0.25">
      <c r="Z29010">
        <v>400000</v>
      </c>
    </row>
    <row r="29011" spans="26:26" x14ac:dyDescent="0.25">
      <c r="Z29011">
        <v>400000</v>
      </c>
    </row>
    <row r="29012" spans="26:26" x14ac:dyDescent="0.25">
      <c r="Z29012">
        <v>400000</v>
      </c>
    </row>
    <row r="29013" spans="26:26" x14ac:dyDescent="0.25">
      <c r="Z29013">
        <v>400000</v>
      </c>
    </row>
    <row r="29014" spans="26:26" x14ac:dyDescent="0.25">
      <c r="Z29014">
        <v>400000</v>
      </c>
    </row>
    <row r="29015" spans="26:26" x14ac:dyDescent="0.25">
      <c r="Z29015">
        <v>400000</v>
      </c>
    </row>
    <row r="29016" spans="26:26" x14ac:dyDescent="0.25">
      <c r="Z29016">
        <v>400000</v>
      </c>
    </row>
    <row r="29017" spans="26:26" x14ac:dyDescent="0.25">
      <c r="Z29017">
        <v>400000</v>
      </c>
    </row>
    <row r="29018" spans="26:26" x14ac:dyDescent="0.25">
      <c r="Z29018">
        <v>400000</v>
      </c>
    </row>
    <row r="29019" spans="26:26" x14ac:dyDescent="0.25">
      <c r="Z29019">
        <v>400000</v>
      </c>
    </row>
    <row r="29020" spans="26:26" x14ac:dyDescent="0.25">
      <c r="Z29020">
        <v>400000</v>
      </c>
    </row>
    <row r="29021" spans="26:26" x14ac:dyDescent="0.25">
      <c r="Z29021">
        <v>400000</v>
      </c>
    </row>
    <row r="29022" spans="26:26" x14ac:dyDescent="0.25">
      <c r="Z29022">
        <v>400000</v>
      </c>
    </row>
    <row r="29023" spans="26:26" x14ac:dyDescent="0.25">
      <c r="Z29023">
        <v>400000</v>
      </c>
    </row>
    <row r="29024" spans="26:26" x14ac:dyDescent="0.25">
      <c r="Z29024">
        <v>400000</v>
      </c>
    </row>
    <row r="29025" spans="26:26" x14ac:dyDescent="0.25">
      <c r="Z29025">
        <v>400000</v>
      </c>
    </row>
    <row r="29026" spans="26:26" x14ac:dyDescent="0.25">
      <c r="Z29026">
        <v>400000</v>
      </c>
    </row>
    <row r="29027" spans="26:26" x14ac:dyDescent="0.25">
      <c r="Z29027">
        <v>400000</v>
      </c>
    </row>
    <row r="29028" spans="26:26" x14ac:dyDescent="0.25">
      <c r="Z29028">
        <v>400000</v>
      </c>
    </row>
    <row r="29029" spans="26:26" x14ac:dyDescent="0.25">
      <c r="Z29029">
        <v>400000</v>
      </c>
    </row>
    <row r="29030" spans="26:26" x14ac:dyDescent="0.25">
      <c r="Z29030">
        <v>400000</v>
      </c>
    </row>
    <row r="29031" spans="26:26" x14ac:dyDescent="0.25">
      <c r="Z29031">
        <v>400000</v>
      </c>
    </row>
    <row r="29032" spans="26:26" x14ac:dyDescent="0.25">
      <c r="Z29032">
        <v>400000</v>
      </c>
    </row>
    <row r="29033" spans="26:26" x14ac:dyDescent="0.25">
      <c r="Z29033">
        <v>400000</v>
      </c>
    </row>
    <row r="29034" spans="26:26" x14ac:dyDescent="0.25">
      <c r="Z29034">
        <v>400000</v>
      </c>
    </row>
    <row r="29035" spans="26:26" x14ac:dyDescent="0.25">
      <c r="Z29035">
        <v>400000</v>
      </c>
    </row>
    <row r="29036" spans="26:26" x14ac:dyDescent="0.25">
      <c r="Z29036">
        <v>400000</v>
      </c>
    </row>
    <row r="29037" spans="26:26" x14ac:dyDescent="0.25">
      <c r="Z29037">
        <v>400000</v>
      </c>
    </row>
    <row r="29038" spans="26:26" x14ac:dyDescent="0.25">
      <c r="Z29038">
        <v>400000</v>
      </c>
    </row>
    <row r="29039" spans="26:26" x14ac:dyDescent="0.25">
      <c r="Z29039">
        <v>400000</v>
      </c>
    </row>
    <row r="29040" spans="26:26" x14ac:dyDescent="0.25">
      <c r="Z29040">
        <v>400000</v>
      </c>
    </row>
    <row r="29041" spans="26:26" x14ac:dyDescent="0.25">
      <c r="Z29041">
        <v>400000</v>
      </c>
    </row>
    <row r="29042" spans="26:26" x14ac:dyDescent="0.25">
      <c r="Z29042">
        <v>400000</v>
      </c>
    </row>
    <row r="29043" spans="26:26" x14ac:dyDescent="0.25">
      <c r="Z29043">
        <v>400000</v>
      </c>
    </row>
    <row r="29044" spans="26:26" x14ac:dyDescent="0.25">
      <c r="Z29044">
        <v>400000</v>
      </c>
    </row>
    <row r="29045" spans="26:26" x14ac:dyDescent="0.25">
      <c r="Z29045">
        <v>400000</v>
      </c>
    </row>
    <row r="29046" spans="26:26" x14ac:dyDescent="0.25">
      <c r="Z29046">
        <v>400000</v>
      </c>
    </row>
    <row r="29047" spans="26:26" x14ac:dyDescent="0.25">
      <c r="Z29047">
        <v>400000</v>
      </c>
    </row>
    <row r="29048" spans="26:26" x14ac:dyDescent="0.25">
      <c r="Z29048">
        <v>400000</v>
      </c>
    </row>
    <row r="29049" spans="26:26" x14ac:dyDescent="0.25">
      <c r="Z29049">
        <v>400000</v>
      </c>
    </row>
    <row r="29050" spans="26:26" x14ac:dyDescent="0.25">
      <c r="Z29050">
        <v>400000</v>
      </c>
    </row>
    <row r="29051" spans="26:26" x14ac:dyDescent="0.25">
      <c r="Z29051">
        <v>400000</v>
      </c>
    </row>
    <row r="29052" spans="26:26" x14ac:dyDescent="0.25">
      <c r="Z29052">
        <v>400000</v>
      </c>
    </row>
    <row r="29053" spans="26:26" x14ac:dyDescent="0.25">
      <c r="Z29053">
        <v>400000</v>
      </c>
    </row>
    <row r="29054" spans="26:26" x14ac:dyDescent="0.25">
      <c r="Z29054">
        <v>400000</v>
      </c>
    </row>
    <row r="29055" spans="26:26" x14ac:dyDescent="0.25">
      <c r="Z29055">
        <v>400000</v>
      </c>
    </row>
    <row r="29056" spans="26:26" x14ac:dyDescent="0.25">
      <c r="Z29056">
        <v>400000</v>
      </c>
    </row>
    <row r="29057" spans="26:26" x14ac:dyDescent="0.25">
      <c r="Z29057">
        <v>400000</v>
      </c>
    </row>
    <row r="29058" spans="26:26" x14ac:dyDescent="0.25">
      <c r="Z29058">
        <v>400000</v>
      </c>
    </row>
    <row r="29059" spans="26:26" x14ac:dyDescent="0.25">
      <c r="Z29059">
        <v>400000</v>
      </c>
    </row>
    <row r="29060" spans="26:26" x14ac:dyDescent="0.25">
      <c r="Z29060">
        <v>400000</v>
      </c>
    </row>
    <row r="29061" spans="26:26" x14ac:dyDescent="0.25">
      <c r="Z29061">
        <v>400000</v>
      </c>
    </row>
    <row r="29062" spans="26:26" x14ac:dyDescent="0.25">
      <c r="Z29062">
        <v>400000</v>
      </c>
    </row>
    <row r="29063" spans="26:26" x14ac:dyDescent="0.25">
      <c r="Z29063">
        <v>400000</v>
      </c>
    </row>
    <row r="29064" spans="26:26" x14ac:dyDescent="0.25">
      <c r="Z29064">
        <v>400000</v>
      </c>
    </row>
    <row r="29065" spans="26:26" x14ac:dyDescent="0.25">
      <c r="Z29065">
        <v>400000</v>
      </c>
    </row>
    <row r="29066" spans="26:26" x14ac:dyDescent="0.25">
      <c r="Z29066">
        <v>400000</v>
      </c>
    </row>
    <row r="29067" spans="26:26" x14ac:dyDescent="0.25">
      <c r="Z29067">
        <v>400000</v>
      </c>
    </row>
    <row r="29068" spans="26:26" x14ac:dyDescent="0.25">
      <c r="Z29068">
        <v>400000</v>
      </c>
    </row>
    <row r="29069" spans="26:26" x14ac:dyDescent="0.25">
      <c r="Z29069">
        <v>400000</v>
      </c>
    </row>
    <row r="29070" spans="26:26" x14ac:dyDescent="0.25">
      <c r="Z29070">
        <v>400000</v>
      </c>
    </row>
    <row r="29071" spans="26:26" x14ac:dyDescent="0.25">
      <c r="Z29071">
        <v>400000</v>
      </c>
    </row>
    <row r="29072" spans="26:26" x14ac:dyDescent="0.25">
      <c r="Z29072">
        <v>400000</v>
      </c>
    </row>
    <row r="29073" spans="26:26" x14ac:dyDescent="0.25">
      <c r="Z29073">
        <v>400000</v>
      </c>
    </row>
    <row r="29074" spans="26:26" x14ac:dyDescent="0.25">
      <c r="Z29074">
        <v>400000</v>
      </c>
    </row>
    <row r="29075" spans="26:26" x14ac:dyDescent="0.25">
      <c r="Z29075">
        <v>400000</v>
      </c>
    </row>
    <row r="29076" spans="26:26" x14ac:dyDescent="0.25">
      <c r="Z29076">
        <v>400000</v>
      </c>
    </row>
    <row r="29077" spans="26:26" x14ac:dyDescent="0.25">
      <c r="Z29077">
        <v>400000</v>
      </c>
    </row>
    <row r="29078" spans="26:26" x14ac:dyDescent="0.25">
      <c r="Z29078">
        <v>400000</v>
      </c>
    </row>
    <row r="29079" spans="26:26" x14ac:dyDescent="0.25">
      <c r="Z29079">
        <v>400000</v>
      </c>
    </row>
    <row r="29080" spans="26:26" x14ac:dyDescent="0.25">
      <c r="Z29080">
        <v>400000</v>
      </c>
    </row>
    <row r="29081" spans="26:26" x14ac:dyDescent="0.25">
      <c r="Z29081">
        <v>400000</v>
      </c>
    </row>
    <row r="29082" spans="26:26" x14ac:dyDescent="0.25">
      <c r="Z29082">
        <v>400000</v>
      </c>
    </row>
    <row r="29083" spans="26:26" x14ac:dyDescent="0.25">
      <c r="Z29083">
        <v>400000</v>
      </c>
    </row>
    <row r="29084" spans="26:26" x14ac:dyDescent="0.25">
      <c r="Z29084">
        <v>400000</v>
      </c>
    </row>
    <row r="29085" spans="26:26" x14ac:dyDescent="0.25">
      <c r="Z29085">
        <v>400000</v>
      </c>
    </row>
    <row r="29086" spans="26:26" x14ac:dyDescent="0.25">
      <c r="Z29086">
        <v>400000</v>
      </c>
    </row>
    <row r="29087" spans="26:26" x14ac:dyDescent="0.25">
      <c r="Z29087">
        <v>400000</v>
      </c>
    </row>
    <row r="29088" spans="26:26" x14ac:dyDescent="0.25">
      <c r="Z29088">
        <v>400000</v>
      </c>
    </row>
    <row r="29089" spans="26:26" x14ac:dyDescent="0.25">
      <c r="Z29089">
        <v>400000</v>
      </c>
    </row>
    <row r="29090" spans="26:26" x14ac:dyDescent="0.25">
      <c r="Z29090">
        <v>400000</v>
      </c>
    </row>
    <row r="29091" spans="26:26" x14ac:dyDescent="0.25">
      <c r="Z29091">
        <v>400000</v>
      </c>
    </row>
    <row r="29092" spans="26:26" x14ac:dyDescent="0.25">
      <c r="Z29092">
        <v>400000</v>
      </c>
    </row>
    <row r="29093" spans="26:26" x14ac:dyDescent="0.25">
      <c r="Z29093">
        <v>400000</v>
      </c>
    </row>
    <row r="29094" spans="26:26" x14ac:dyDescent="0.25">
      <c r="Z29094">
        <v>400000</v>
      </c>
    </row>
    <row r="29095" spans="26:26" x14ac:dyDescent="0.25">
      <c r="Z29095">
        <v>400000</v>
      </c>
    </row>
    <row r="29096" spans="26:26" x14ac:dyDescent="0.25">
      <c r="Z29096">
        <v>400000</v>
      </c>
    </row>
    <row r="29097" spans="26:26" x14ac:dyDescent="0.25">
      <c r="Z29097">
        <v>400000</v>
      </c>
    </row>
    <row r="29098" spans="26:26" x14ac:dyDescent="0.25">
      <c r="Z29098">
        <v>400000</v>
      </c>
    </row>
    <row r="29099" spans="26:26" x14ac:dyDescent="0.25">
      <c r="Z29099">
        <v>400000</v>
      </c>
    </row>
    <row r="29100" spans="26:26" x14ac:dyDescent="0.25">
      <c r="Z29100">
        <v>400000</v>
      </c>
    </row>
    <row r="29101" spans="26:26" x14ac:dyDescent="0.25">
      <c r="Z29101">
        <v>400000</v>
      </c>
    </row>
    <row r="29102" spans="26:26" x14ac:dyDescent="0.25">
      <c r="Z29102">
        <v>400000</v>
      </c>
    </row>
    <row r="29103" spans="26:26" x14ac:dyDescent="0.25">
      <c r="Z29103">
        <v>400000</v>
      </c>
    </row>
    <row r="29104" spans="26:26" x14ac:dyDescent="0.25">
      <c r="Z29104">
        <v>400000</v>
      </c>
    </row>
    <row r="29105" spans="26:26" x14ac:dyDescent="0.25">
      <c r="Z29105">
        <v>400000</v>
      </c>
    </row>
    <row r="29106" spans="26:26" x14ac:dyDescent="0.25">
      <c r="Z29106">
        <v>400000</v>
      </c>
    </row>
    <row r="29107" spans="26:26" x14ac:dyDescent="0.25">
      <c r="Z29107">
        <v>400000</v>
      </c>
    </row>
    <row r="29108" spans="26:26" x14ac:dyDescent="0.25">
      <c r="Z29108">
        <v>400000</v>
      </c>
    </row>
    <row r="29109" spans="26:26" x14ac:dyDescent="0.25">
      <c r="Z29109">
        <v>400000</v>
      </c>
    </row>
    <row r="29110" spans="26:26" x14ac:dyDescent="0.25">
      <c r="Z29110">
        <v>400000</v>
      </c>
    </row>
    <row r="29111" spans="26:26" x14ac:dyDescent="0.25">
      <c r="Z29111">
        <v>400000</v>
      </c>
    </row>
    <row r="29112" spans="26:26" x14ac:dyDescent="0.25">
      <c r="Z29112">
        <v>400000</v>
      </c>
    </row>
    <row r="29113" spans="26:26" x14ac:dyDescent="0.25">
      <c r="Z29113">
        <v>400000</v>
      </c>
    </row>
    <row r="29114" spans="26:26" x14ac:dyDescent="0.25">
      <c r="Z29114">
        <v>400000</v>
      </c>
    </row>
    <row r="29115" spans="26:26" x14ac:dyDescent="0.25">
      <c r="Z29115">
        <v>400000</v>
      </c>
    </row>
    <row r="29116" spans="26:26" x14ac:dyDescent="0.25">
      <c r="Z29116">
        <v>400000</v>
      </c>
    </row>
    <row r="29117" spans="26:26" x14ac:dyDescent="0.25">
      <c r="Z29117">
        <v>400000</v>
      </c>
    </row>
    <row r="29118" spans="26:26" x14ac:dyDescent="0.25">
      <c r="Z29118">
        <v>400000</v>
      </c>
    </row>
    <row r="29119" spans="26:26" x14ac:dyDescent="0.25">
      <c r="Z29119">
        <v>400000</v>
      </c>
    </row>
    <row r="29120" spans="26:26" x14ac:dyDescent="0.25">
      <c r="Z29120">
        <v>400000</v>
      </c>
    </row>
    <row r="29121" spans="26:26" x14ac:dyDescent="0.25">
      <c r="Z29121">
        <v>400000</v>
      </c>
    </row>
    <row r="29122" spans="26:26" x14ac:dyDescent="0.25">
      <c r="Z29122">
        <v>400000</v>
      </c>
    </row>
    <row r="29123" spans="26:26" x14ac:dyDescent="0.25">
      <c r="Z29123">
        <v>400000</v>
      </c>
    </row>
    <row r="29124" spans="26:26" x14ac:dyDescent="0.25">
      <c r="Z29124">
        <v>400000</v>
      </c>
    </row>
    <row r="29125" spans="26:26" x14ac:dyDescent="0.25">
      <c r="Z29125">
        <v>400000</v>
      </c>
    </row>
    <row r="29126" spans="26:26" x14ac:dyDescent="0.25">
      <c r="Z29126">
        <v>400000</v>
      </c>
    </row>
    <row r="29127" spans="26:26" x14ac:dyDescent="0.25">
      <c r="Z29127">
        <v>400000</v>
      </c>
    </row>
    <row r="29128" spans="26:26" x14ac:dyDescent="0.25">
      <c r="Z29128">
        <v>400000</v>
      </c>
    </row>
    <row r="29129" spans="26:26" x14ac:dyDescent="0.25">
      <c r="Z29129">
        <v>400000</v>
      </c>
    </row>
    <row r="29130" spans="26:26" x14ac:dyDescent="0.25">
      <c r="Z29130">
        <v>400000</v>
      </c>
    </row>
    <row r="29131" spans="26:26" x14ac:dyDescent="0.25">
      <c r="Z29131">
        <v>400000</v>
      </c>
    </row>
    <row r="29132" spans="26:26" x14ac:dyDescent="0.25">
      <c r="Z29132">
        <v>400000</v>
      </c>
    </row>
    <row r="29133" spans="26:26" x14ac:dyDescent="0.25">
      <c r="Z29133">
        <v>400000</v>
      </c>
    </row>
    <row r="29134" spans="26:26" x14ac:dyDescent="0.25">
      <c r="Z29134">
        <v>400000</v>
      </c>
    </row>
    <row r="29135" spans="26:26" x14ac:dyDescent="0.25">
      <c r="Z29135">
        <v>400000</v>
      </c>
    </row>
    <row r="29136" spans="26:26" x14ac:dyDescent="0.25">
      <c r="Z29136">
        <v>400000</v>
      </c>
    </row>
    <row r="29137" spans="26:26" x14ac:dyDescent="0.25">
      <c r="Z29137">
        <v>400000</v>
      </c>
    </row>
    <row r="29138" spans="26:26" x14ac:dyDescent="0.25">
      <c r="Z29138">
        <v>400000</v>
      </c>
    </row>
    <row r="29139" spans="26:26" x14ac:dyDescent="0.25">
      <c r="Z29139">
        <v>400000</v>
      </c>
    </row>
    <row r="29140" spans="26:26" x14ac:dyDescent="0.25">
      <c r="Z29140">
        <v>400000</v>
      </c>
    </row>
    <row r="29141" spans="26:26" x14ac:dyDescent="0.25">
      <c r="Z29141">
        <v>400000</v>
      </c>
    </row>
    <row r="29142" spans="26:26" x14ac:dyDescent="0.25">
      <c r="Z29142">
        <v>400000</v>
      </c>
    </row>
    <row r="29143" spans="26:26" x14ac:dyDescent="0.25">
      <c r="Z29143">
        <v>400000</v>
      </c>
    </row>
    <row r="29144" spans="26:26" x14ac:dyDescent="0.25">
      <c r="Z29144">
        <v>400000</v>
      </c>
    </row>
    <row r="29145" spans="26:26" x14ac:dyDescent="0.25">
      <c r="Z29145">
        <v>400000</v>
      </c>
    </row>
    <row r="29146" spans="26:26" x14ac:dyDescent="0.25">
      <c r="Z29146">
        <v>400000</v>
      </c>
    </row>
    <row r="29147" spans="26:26" x14ac:dyDescent="0.25">
      <c r="Z29147">
        <v>400000</v>
      </c>
    </row>
    <row r="29148" spans="26:26" x14ac:dyDescent="0.25">
      <c r="Z29148">
        <v>400000</v>
      </c>
    </row>
    <row r="29149" spans="26:26" x14ac:dyDescent="0.25">
      <c r="Z29149">
        <v>400000</v>
      </c>
    </row>
    <row r="29150" spans="26:26" x14ac:dyDescent="0.25">
      <c r="Z29150">
        <v>400000</v>
      </c>
    </row>
    <row r="29151" spans="26:26" x14ac:dyDescent="0.25">
      <c r="Z29151">
        <v>400000</v>
      </c>
    </row>
    <row r="29152" spans="26:26" x14ac:dyDescent="0.25">
      <c r="Z29152">
        <v>400000</v>
      </c>
    </row>
    <row r="29153" spans="26:26" x14ac:dyDescent="0.25">
      <c r="Z29153">
        <v>400000</v>
      </c>
    </row>
    <row r="29154" spans="26:26" x14ac:dyDescent="0.25">
      <c r="Z29154">
        <v>400000</v>
      </c>
    </row>
    <row r="29155" spans="26:26" x14ac:dyDescent="0.25">
      <c r="Z29155">
        <v>400000</v>
      </c>
    </row>
    <row r="29156" spans="26:26" x14ac:dyDescent="0.25">
      <c r="Z29156">
        <v>400000</v>
      </c>
    </row>
    <row r="29157" spans="26:26" x14ac:dyDescent="0.25">
      <c r="Z29157">
        <v>400000</v>
      </c>
    </row>
    <row r="29158" spans="26:26" x14ac:dyDescent="0.25">
      <c r="Z29158">
        <v>400000</v>
      </c>
    </row>
    <row r="29159" spans="26:26" x14ac:dyDescent="0.25">
      <c r="Z29159">
        <v>400000</v>
      </c>
    </row>
    <row r="29160" spans="26:26" x14ac:dyDescent="0.25">
      <c r="Z29160">
        <v>400000</v>
      </c>
    </row>
    <row r="29161" spans="26:26" x14ac:dyDescent="0.25">
      <c r="Z29161">
        <v>400000</v>
      </c>
    </row>
    <row r="29162" spans="26:26" x14ac:dyDescent="0.25">
      <c r="Z29162">
        <v>400000</v>
      </c>
    </row>
    <row r="29163" spans="26:26" x14ac:dyDescent="0.25">
      <c r="Z29163">
        <v>400000</v>
      </c>
    </row>
    <row r="29164" spans="26:26" x14ac:dyDescent="0.25">
      <c r="Z29164">
        <v>400000</v>
      </c>
    </row>
    <row r="29165" spans="26:26" x14ac:dyDescent="0.25">
      <c r="Z29165">
        <v>400000</v>
      </c>
    </row>
    <row r="29166" spans="26:26" x14ac:dyDescent="0.25">
      <c r="Z29166">
        <v>400000</v>
      </c>
    </row>
    <row r="29167" spans="26:26" x14ac:dyDescent="0.25">
      <c r="Z29167">
        <v>400000</v>
      </c>
    </row>
    <row r="29168" spans="26:26" x14ac:dyDescent="0.25">
      <c r="Z29168">
        <v>400000</v>
      </c>
    </row>
    <row r="29169" spans="26:26" x14ac:dyDescent="0.25">
      <c r="Z29169">
        <v>400000</v>
      </c>
    </row>
    <row r="29170" spans="26:26" x14ac:dyDescent="0.25">
      <c r="Z29170">
        <v>400000</v>
      </c>
    </row>
    <row r="29171" spans="26:26" x14ac:dyDescent="0.25">
      <c r="Z29171">
        <v>400000</v>
      </c>
    </row>
    <row r="29172" spans="26:26" x14ac:dyDescent="0.25">
      <c r="Z29172">
        <v>400000</v>
      </c>
    </row>
    <row r="29173" spans="26:26" x14ac:dyDescent="0.25">
      <c r="Z29173">
        <v>400000</v>
      </c>
    </row>
    <row r="29174" spans="26:26" x14ac:dyDescent="0.25">
      <c r="Z29174">
        <v>400000</v>
      </c>
    </row>
    <row r="29175" spans="26:26" x14ac:dyDescent="0.25">
      <c r="Z29175">
        <v>400000</v>
      </c>
    </row>
    <row r="29176" spans="26:26" x14ac:dyDescent="0.25">
      <c r="Z29176">
        <v>400000</v>
      </c>
    </row>
    <row r="29177" spans="26:26" x14ac:dyDescent="0.25">
      <c r="Z29177">
        <v>400000</v>
      </c>
    </row>
    <row r="29178" spans="26:26" x14ac:dyDescent="0.25">
      <c r="Z29178">
        <v>400000</v>
      </c>
    </row>
    <row r="29179" spans="26:26" x14ac:dyDescent="0.25">
      <c r="Z29179">
        <v>400000</v>
      </c>
    </row>
    <row r="29180" spans="26:26" x14ac:dyDescent="0.25">
      <c r="Z29180">
        <v>400000</v>
      </c>
    </row>
    <row r="29181" spans="26:26" x14ac:dyDescent="0.25">
      <c r="Z29181">
        <v>400000</v>
      </c>
    </row>
    <row r="29182" spans="26:26" x14ac:dyDescent="0.25">
      <c r="Z29182">
        <v>400000</v>
      </c>
    </row>
    <row r="29183" spans="26:26" x14ac:dyDescent="0.25">
      <c r="Z29183">
        <v>400000</v>
      </c>
    </row>
    <row r="29184" spans="26:26" x14ac:dyDescent="0.25">
      <c r="Z29184">
        <v>400000</v>
      </c>
    </row>
    <row r="29185" spans="26:26" x14ac:dyDescent="0.25">
      <c r="Z29185">
        <v>400000</v>
      </c>
    </row>
    <row r="29186" spans="26:26" x14ac:dyDescent="0.25">
      <c r="Z29186">
        <v>400000</v>
      </c>
    </row>
    <row r="29187" spans="26:26" x14ac:dyDescent="0.25">
      <c r="Z29187">
        <v>400000</v>
      </c>
    </row>
    <row r="29188" spans="26:26" x14ac:dyDescent="0.25">
      <c r="Z29188">
        <v>400000</v>
      </c>
    </row>
    <row r="29189" spans="26:26" x14ac:dyDescent="0.25">
      <c r="Z29189">
        <v>400000</v>
      </c>
    </row>
    <row r="29190" spans="26:26" x14ac:dyDescent="0.25">
      <c r="Z29190">
        <v>400000</v>
      </c>
    </row>
    <row r="29191" spans="26:26" x14ac:dyDescent="0.25">
      <c r="Z29191">
        <v>400000</v>
      </c>
    </row>
    <row r="29192" spans="26:26" x14ac:dyDescent="0.25">
      <c r="Z29192">
        <v>400000</v>
      </c>
    </row>
    <row r="29193" spans="26:26" x14ac:dyDescent="0.25">
      <c r="Z29193">
        <v>400000</v>
      </c>
    </row>
    <row r="29194" spans="26:26" x14ac:dyDescent="0.25">
      <c r="Z29194">
        <v>400000</v>
      </c>
    </row>
    <row r="29195" spans="26:26" x14ac:dyDescent="0.25">
      <c r="Z29195">
        <v>400000</v>
      </c>
    </row>
    <row r="29196" spans="26:26" x14ac:dyDescent="0.25">
      <c r="Z29196">
        <v>400000</v>
      </c>
    </row>
    <row r="29197" spans="26:26" x14ac:dyDescent="0.25">
      <c r="Z29197">
        <v>400000</v>
      </c>
    </row>
    <row r="29198" spans="26:26" x14ac:dyDescent="0.25">
      <c r="Z29198">
        <v>400000</v>
      </c>
    </row>
    <row r="29199" spans="26:26" x14ac:dyDescent="0.25">
      <c r="Z29199">
        <v>400000</v>
      </c>
    </row>
    <row r="29200" spans="26:26" x14ac:dyDescent="0.25">
      <c r="Z29200">
        <v>400000</v>
      </c>
    </row>
    <row r="29201" spans="26:26" x14ac:dyDescent="0.25">
      <c r="Z29201">
        <v>400000</v>
      </c>
    </row>
    <row r="29202" spans="26:26" x14ac:dyDescent="0.25">
      <c r="Z29202">
        <v>400000</v>
      </c>
    </row>
    <row r="29203" spans="26:26" x14ac:dyDescent="0.25">
      <c r="Z29203">
        <v>400000</v>
      </c>
    </row>
    <row r="29204" spans="26:26" x14ac:dyDescent="0.25">
      <c r="Z29204">
        <v>400000</v>
      </c>
    </row>
    <row r="29205" spans="26:26" x14ac:dyDescent="0.25">
      <c r="Z29205">
        <v>400000</v>
      </c>
    </row>
    <row r="29206" spans="26:26" x14ac:dyDescent="0.25">
      <c r="Z29206">
        <v>400000</v>
      </c>
    </row>
    <row r="29207" spans="26:26" x14ac:dyDescent="0.25">
      <c r="Z29207">
        <v>400000</v>
      </c>
    </row>
    <row r="29208" spans="26:26" x14ac:dyDescent="0.25">
      <c r="Z29208">
        <v>400000</v>
      </c>
    </row>
    <row r="29209" spans="26:26" x14ac:dyDescent="0.25">
      <c r="Z29209">
        <v>400000</v>
      </c>
    </row>
    <row r="29210" spans="26:26" x14ac:dyDescent="0.25">
      <c r="Z29210">
        <v>400000</v>
      </c>
    </row>
    <row r="29211" spans="26:26" x14ac:dyDescent="0.25">
      <c r="Z29211">
        <v>400000</v>
      </c>
    </row>
    <row r="29212" spans="26:26" x14ac:dyDescent="0.25">
      <c r="Z29212">
        <v>400000</v>
      </c>
    </row>
    <row r="29213" spans="26:26" x14ac:dyDescent="0.25">
      <c r="Z29213">
        <v>400000</v>
      </c>
    </row>
    <row r="29214" spans="26:26" x14ac:dyDescent="0.25">
      <c r="Z29214">
        <v>400000</v>
      </c>
    </row>
    <row r="29215" spans="26:26" x14ac:dyDescent="0.25">
      <c r="Z29215">
        <v>400000</v>
      </c>
    </row>
    <row r="29216" spans="26:26" x14ac:dyDescent="0.25">
      <c r="Z29216">
        <v>400000</v>
      </c>
    </row>
    <row r="29217" spans="26:26" x14ac:dyDescent="0.25">
      <c r="Z29217">
        <v>400000</v>
      </c>
    </row>
    <row r="29218" spans="26:26" x14ac:dyDescent="0.25">
      <c r="Z29218">
        <v>400000</v>
      </c>
    </row>
    <row r="29219" spans="26:26" x14ac:dyDescent="0.25">
      <c r="Z29219">
        <v>400000</v>
      </c>
    </row>
    <row r="29220" spans="26:26" x14ac:dyDescent="0.25">
      <c r="Z29220">
        <v>400000</v>
      </c>
    </row>
    <row r="29221" spans="26:26" x14ac:dyDescent="0.25">
      <c r="Z29221">
        <v>400000</v>
      </c>
    </row>
    <row r="29222" spans="26:26" x14ac:dyDescent="0.25">
      <c r="Z29222">
        <v>400000</v>
      </c>
    </row>
    <row r="29223" spans="26:26" x14ac:dyDescent="0.25">
      <c r="Z29223">
        <v>400000</v>
      </c>
    </row>
    <row r="29224" spans="26:26" x14ac:dyDescent="0.25">
      <c r="Z29224">
        <v>400000</v>
      </c>
    </row>
    <row r="29225" spans="26:26" x14ac:dyDescent="0.25">
      <c r="Z29225">
        <v>400000</v>
      </c>
    </row>
    <row r="29226" spans="26:26" x14ac:dyDescent="0.25">
      <c r="Z29226">
        <v>400000</v>
      </c>
    </row>
    <row r="29227" spans="26:26" x14ac:dyDescent="0.25">
      <c r="Z29227">
        <v>400000</v>
      </c>
    </row>
    <row r="29228" spans="26:26" x14ac:dyDescent="0.25">
      <c r="Z29228">
        <v>400000</v>
      </c>
    </row>
    <row r="29229" spans="26:26" x14ac:dyDescent="0.25">
      <c r="Z29229">
        <v>400000</v>
      </c>
    </row>
    <row r="29230" spans="26:26" x14ac:dyDescent="0.25">
      <c r="Z29230">
        <v>400000</v>
      </c>
    </row>
    <row r="29231" spans="26:26" x14ac:dyDescent="0.25">
      <c r="Z29231">
        <v>400000</v>
      </c>
    </row>
    <row r="29232" spans="26:26" x14ac:dyDescent="0.25">
      <c r="Z29232">
        <v>400000</v>
      </c>
    </row>
    <row r="29233" spans="26:26" x14ac:dyDescent="0.25">
      <c r="Z29233">
        <v>400000</v>
      </c>
    </row>
    <row r="29234" spans="26:26" x14ac:dyDescent="0.25">
      <c r="Z29234">
        <v>400000</v>
      </c>
    </row>
    <row r="29235" spans="26:26" x14ac:dyDescent="0.25">
      <c r="Z29235">
        <v>400000</v>
      </c>
    </row>
    <row r="29236" spans="26:26" x14ac:dyDescent="0.25">
      <c r="Z29236">
        <v>400000</v>
      </c>
    </row>
    <row r="29237" spans="26:26" x14ac:dyDescent="0.25">
      <c r="Z29237">
        <v>400000</v>
      </c>
    </row>
    <row r="29238" spans="26:26" x14ac:dyDescent="0.25">
      <c r="Z29238">
        <v>400000</v>
      </c>
    </row>
    <row r="29239" spans="26:26" x14ac:dyDescent="0.25">
      <c r="Z29239">
        <v>400000</v>
      </c>
    </row>
    <row r="29240" spans="26:26" x14ac:dyDescent="0.25">
      <c r="Z29240">
        <v>400000</v>
      </c>
    </row>
    <row r="29241" spans="26:26" x14ac:dyDescent="0.25">
      <c r="Z29241">
        <v>400000</v>
      </c>
    </row>
    <row r="29242" spans="26:26" x14ac:dyDescent="0.25">
      <c r="Z29242">
        <v>400000</v>
      </c>
    </row>
    <row r="29243" spans="26:26" x14ac:dyDescent="0.25">
      <c r="Z29243">
        <v>400000</v>
      </c>
    </row>
    <row r="29244" spans="26:26" x14ac:dyDescent="0.25">
      <c r="Z29244">
        <v>400000</v>
      </c>
    </row>
    <row r="29245" spans="26:26" x14ac:dyDescent="0.25">
      <c r="Z29245">
        <v>400000</v>
      </c>
    </row>
    <row r="29246" spans="26:26" x14ac:dyDescent="0.25">
      <c r="Z29246">
        <v>400000</v>
      </c>
    </row>
    <row r="29247" spans="26:26" x14ac:dyDescent="0.25">
      <c r="Z29247">
        <v>400000</v>
      </c>
    </row>
    <row r="29248" spans="26:26" x14ac:dyDescent="0.25">
      <c r="Z29248">
        <v>400000</v>
      </c>
    </row>
    <row r="29249" spans="26:26" x14ac:dyDescent="0.25">
      <c r="Z29249">
        <v>400000</v>
      </c>
    </row>
    <row r="29250" spans="26:26" x14ac:dyDescent="0.25">
      <c r="Z29250">
        <v>400000</v>
      </c>
    </row>
    <row r="29251" spans="26:26" x14ac:dyDescent="0.25">
      <c r="Z29251">
        <v>400000</v>
      </c>
    </row>
    <row r="29252" spans="26:26" x14ac:dyDescent="0.25">
      <c r="Z29252">
        <v>400000</v>
      </c>
    </row>
    <row r="29253" spans="26:26" x14ac:dyDescent="0.25">
      <c r="Z29253">
        <v>400000</v>
      </c>
    </row>
    <row r="29254" spans="26:26" x14ac:dyDescent="0.25">
      <c r="Z29254">
        <v>400000</v>
      </c>
    </row>
    <row r="29255" spans="26:26" x14ac:dyDescent="0.25">
      <c r="Z29255">
        <v>400000</v>
      </c>
    </row>
    <row r="29256" spans="26:26" x14ac:dyDescent="0.25">
      <c r="Z29256">
        <v>400000</v>
      </c>
    </row>
    <row r="29257" spans="26:26" x14ac:dyDescent="0.25">
      <c r="Z29257">
        <v>400000</v>
      </c>
    </row>
    <row r="29258" spans="26:26" x14ac:dyDescent="0.25">
      <c r="Z29258">
        <v>400000</v>
      </c>
    </row>
    <row r="29259" spans="26:26" x14ac:dyDescent="0.25">
      <c r="Z29259">
        <v>400000</v>
      </c>
    </row>
    <row r="29260" spans="26:26" x14ac:dyDescent="0.25">
      <c r="Z29260">
        <v>400000</v>
      </c>
    </row>
    <row r="29261" spans="26:26" x14ac:dyDescent="0.25">
      <c r="Z29261">
        <v>400000</v>
      </c>
    </row>
    <row r="29262" spans="26:26" x14ac:dyDescent="0.25">
      <c r="Z29262">
        <v>400000</v>
      </c>
    </row>
    <row r="29263" spans="26:26" x14ac:dyDescent="0.25">
      <c r="Z29263">
        <v>400000</v>
      </c>
    </row>
    <row r="29264" spans="26:26" x14ac:dyDescent="0.25">
      <c r="Z29264">
        <v>400000</v>
      </c>
    </row>
    <row r="29265" spans="26:26" x14ac:dyDescent="0.25">
      <c r="Z29265">
        <v>400000</v>
      </c>
    </row>
    <row r="29266" spans="26:26" x14ac:dyDescent="0.25">
      <c r="Z29266">
        <v>400000</v>
      </c>
    </row>
    <row r="29267" spans="26:26" x14ac:dyDescent="0.25">
      <c r="Z29267">
        <v>400000</v>
      </c>
    </row>
    <row r="29268" spans="26:26" x14ac:dyDescent="0.25">
      <c r="Z29268">
        <v>400000</v>
      </c>
    </row>
    <row r="29269" spans="26:26" x14ac:dyDescent="0.25">
      <c r="Z29269">
        <v>400000</v>
      </c>
    </row>
    <row r="29270" spans="26:26" x14ac:dyDescent="0.25">
      <c r="Z29270">
        <v>400000</v>
      </c>
    </row>
    <row r="29271" spans="26:26" x14ac:dyDescent="0.25">
      <c r="Z29271">
        <v>400000</v>
      </c>
    </row>
    <row r="29272" spans="26:26" x14ac:dyDescent="0.25">
      <c r="Z29272">
        <v>400000</v>
      </c>
    </row>
    <row r="29273" spans="26:26" x14ac:dyDescent="0.25">
      <c r="Z29273">
        <v>400000</v>
      </c>
    </row>
    <row r="29274" spans="26:26" x14ac:dyDescent="0.25">
      <c r="Z29274">
        <v>400000</v>
      </c>
    </row>
    <row r="29275" spans="26:26" x14ac:dyDescent="0.25">
      <c r="Z29275">
        <v>400000</v>
      </c>
    </row>
    <row r="29276" spans="26:26" x14ac:dyDescent="0.25">
      <c r="Z29276">
        <v>400000</v>
      </c>
    </row>
    <row r="29277" spans="26:26" x14ac:dyDescent="0.25">
      <c r="Z29277">
        <v>400000</v>
      </c>
    </row>
    <row r="29278" spans="26:26" x14ac:dyDescent="0.25">
      <c r="Z29278">
        <v>400000</v>
      </c>
    </row>
    <row r="29279" spans="26:26" x14ac:dyDescent="0.25">
      <c r="Z29279">
        <v>400000</v>
      </c>
    </row>
    <row r="29280" spans="26:26" x14ac:dyDescent="0.25">
      <c r="Z29280">
        <v>400000</v>
      </c>
    </row>
    <row r="29281" spans="26:26" x14ac:dyDescent="0.25">
      <c r="Z29281">
        <v>400000</v>
      </c>
    </row>
    <row r="29282" spans="26:26" x14ac:dyDescent="0.25">
      <c r="Z29282">
        <v>400000</v>
      </c>
    </row>
    <row r="29283" spans="26:26" x14ac:dyDescent="0.25">
      <c r="Z29283">
        <v>400000</v>
      </c>
    </row>
    <row r="29284" spans="26:26" x14ac:dyDescent="0.25">
      <c r="Z29284">
        <v>400000</v>
      </c>
    </row>
    <row r="29285" spans="26:26" x14ac:dyDescent="0.25">
      <c r="Z29285">
        <v>400000</v>
      </c>
    </row>
    <row r="29286" spans="26:26" x14ac:dyDescent="0.25">
      <c r="Z29286">
        <v>400000</v>
      </c>
    </row>
    <row r="29287" spans="26:26" x14ac:dyDescent="0.25">
      <c r="Z29287">
        <v>400000</v>
      </c>
    </row>
    <row r="29288" spans="26:26" x14ac:dyDescent="0.25">
      <c r="Z29288">
        <v>400000</v>
      </c>
    </row>
    <row r="29289" spans="26:26" x14ac:dyDescent="0.25">
      <c r="Z29289">
        <v>400000</v>
      </c>
    </row>
    <row r="29290" spans="26:26" x14ac:dyDescent="0.25">
      <c r="Z29290">
        <v>400000</v>
      </c>
    </row>
    <row r="29291" spans="26:26" x14ac:dyDescent="0.25">
      <c r="Z29291">
        <v>400000</v>
      </c>
    </row>
    <row r="29292" spans="26:26" x14ac:dyDescent="0.25">
      <c r="Z29292">
        <v>400000</v>
      </c>
    </row>
    <row r="29293" spans="26:26" x14ac:dyDescent="0.25">
      <c r="Z29293">
        <v>400000</v>
      </c>
    </row>
    <row r="29294" spans="26:26" x14ac:dyDescent="0.25">
      <c r="Z29294">
        <v>400000</v>
      </c>
    </row>
    <row r="29295" spans="26:26" x14ac:dyDescent="0.25">
      <c r="Z29295">
        <v>400000</v>
      </c>
    </row>
    <row r="29296" spans="26:26" x14ac:dyDescent="0.25">
      <c r="Z29296">
        <v>400000</v>
      </c>
    </row>
    <row r="29297" spans="26:26" x14ac:dyDescent="0.25">
      <c r="Z29297">
        <v>400000</v>
      </c>
    </row>
    <row r="29298" spans="26:26" x14ac:dyDescent="0.25">
      <c r="Z29298">
        <v>400000</v>
      </c>
    </row>
    <row r="29299" spans="26:26" x14ac:dyDescent="0.25">
      <c r="Z29299">
        <v>400000</v>
      </c>
    </row>
    <row r="29300" spans="26:26" x14ac:dyDescent="0.25">
      <c r="Z29300">
        <v>400000</v>
      </c>
    </row>
    <row r="29301" spans="26:26" x14ac:dyDescent="0.25">
      <c r="Z29301">
        <v>400000</v>
      </c>
    </row>
    <row r="29302" spans="26:26" x14ac:dyDescent="0.25">
      <c r="Z29302">
        <v>400000</v>
      </c>
    </row>
    <row r="29303" spans="26:26" x14ac:dyDescent="0.25">
      <c r="Z29303">
        <v>400000</v>
      </c>
    </row>
    <row r="29304" spans="26:26" x14ac:dyDescent="0.25">
      <c r="Z29304">
        <v>400000</v>
      </c>
    </row>
    <row r="29305" spans="26:26" x14ac:dyDescent="0.25">
      <c r="Z29305">
        <v>400000</v>
      </c>
    </row>
    <row r="29306" spans="26:26" x14ac:dyDescent="0.25">
      <c r="Z29306">
        <v>400000</v>
      </c>
    </row>
    <row r="29307" spans="26:26" x14ac:dyDescent="0.25">
      <c r="Z29307">
        <v>400000</v>
      </c>
    </row>
    <row r="29308" spans="26:26" x14ac:dyDescent="0.25">
      <c r="Z29308">
        <v>400000</v>
      </c>
    </row>
    <row r="29309" spans="26:26" x14ac:dyDescent="0.25">
      <c r="Z29309">
        <v>400000</v>
      </c>
    </row>
    <row r="29310" spans="26:26" x14ac:dyDescent="0.25">
      <c r="Z29310">
        <v>400000</v>
      </c>
    </row>
    <row r="29311" spans="26:26" x14ac:dyDescent="0.25">
      <c r="Z29311">
        <v>400000</v>
      </c>
    </row>
    <row r="29312" spans="26:26" x14ac:dyDescent="0.25">
      <c r="Z29312">
        <v>400000</v>
      </c>
    </row>
    <row r="29313" spans="26:26" x14ac:dyDescent="0.25">
      <c r="Z29313">
        <v>400000</v>
      </c>
    </row>
    <row r="29314" spans="26:26" x14ac:dyDescent="0.25">
      <c r="Z29314">
        <v>400000</v>
      </c>
    </row>
    <row r="29315" spans="26:26" x14ac:dyDescent="0.25">
      <c r="Z29315">
        <v>400000</v>
      </c>
    </row>
    <row r="29316" spans="26:26" x14ac:dyDescent="0.25">
      <c r="Z29316">
        <v>400000</v>
      </c>
    </row>
    <row r="29317" spans="26:26" x14ac:dyDescent="0.25">
      <c r="Z29317">
        <v>400000</v>
      </c>
    </row>
    <row r="29318" spans="26:26" x14ac:dyDescent="0.25">
      <c r="Z29318">
        <v>400000</v>
      </c>
    </row>
    <row r="29319" spans="26:26" x14ac:dyDescent="0.25">
      <c r="Z29319">
        <v>400000</v>
      </c>
    </row>
    <row r="29320" spans="26:26" x14ac:dyDescent="0.25">
      <c r="Z29320">
        <v>400000</v>
      </c>
    </row>
    <row r="29321" spans="26:26" x14ac:dyDescent="0.25">
      <c r="Z29321">
        <v>400000</v>
      </c>
    </row>
    <row r="29322" spans="26:26" x14ac:dyDescent="0.25">
      <c r="Z29322">
        <v>400000</v>
      </c>
    </row>
    <row r="29323" spans="26:26" x14ac:dyDescent="0.25">
      <c r="Z29323">
        <v>400000</v>
      </c>
    </row>
    <row r="29324" spans="26:26" x14ac:dyDescent="0.25">
      <c r="Z29324">
        <v>400000</v>
      </c>
    </row>
    <row r="29325" spans="26:26" x14ac:dyDescent="0.25">
      <c r="Z29325">
        <v>400000</v>
      </c>
    </row>
    <row r="29326" spans="26:26" x14ac:dyDescent="0.25">
      <c r="Z29326">
        <v>400000</v>
      </c>
    </row>
    <row r="29327" spans="26:26" x14ac:dyDescent="0.25">
      <c r="Z29327">
        <v>400000</v>
      </c>
    </row>
    <row r="29328" spans="26:26" x14ac:dyDescent="0.25">
      <c r="Z29328">
        <v>400000</v>
      </c>
    </row>
    <row r="29329" spans="26:26" x14ac:dyDescent="0.25">
      <c r="Z29329">
        <v>400000</v>
      </c>
    </row>
    <row r="29330" spans="26:26" x14ac:dyDescent="0.25">
      <c r="Z29330">
        <v>400000</v>
      </c>
    </row>
    <row r="29331" spans="26:26" x14ac:dyDescent="0.25">
      <c r="Z29331">
        <v>400000</v>
      </c>
    </row>
    <row r="29332" spans="26:26" x14ac:dyDescent="0.25">
      <c r="Z29332">
        <v>400000</v>
      </c>
    </row>
    <row r="29333" spans="26:26" x14ac:dyDescent="0.25">
      <c r="Z29333">
        <v>400000</v>
      </c>
    </row>
    <row r="29334" spans="26:26" x14ac:dyDescent="0.25">
      <c r="Z29334">
        <v>400000</v>
      </c>
    </row>
    <row r="29335" spans="26:26" x14ac:dyDescent="0.25">
      <c r="Z29335">
        <v>400000</v>
      </c>
    </row>
    <row r="29336" spans="26:26" x14ac:dyDescent="0.25">
      <c r="Z29336">
        <v>400000</v>
      </c>
    </row>
    <row r="29337" spans="26:26" x14ac:dyDescent="0.25">
      <c r="Z29337">
        <v>400000</v>
      </c>
    </row>
    <row r="29338" spans="26:26" x14ac:dyDescent="0.25">
      <c r="Z29338">
        <v>400000</v>
      </c>
    </row>
    <row r="29339" spans="26:26" x14ac:dyDescent="0.25">
      <c r="Z29339">
        <v>400000</v>
      </c>
    </row>
    <row r="29340" spans="26:26" x14ac:dyDescent="0.25">
      <c r="Z29340">
        <v>400000</v>
      </c>
    </row>
    <row r="29341" spans="26:26" x14ac:dyDescent="0.25">
      <c r="Z29341">
        <v>400000</v>
      </c>
    </row>
    <row r="29342" spans="26:26" x14ac:dyDescent="0.25">
      <c r="Z29342">
        <v>400000</v>
      </c>
    </row>
    <row r="29343" spans="26:26" x14ac:dyDescent="0.25">
      <c r="Z29343">
        <v>400000</v>
      </c>
    </row>
    <row r="29344" spans="26:26" x14ac:dyDescent="0.25">
      <c r="Z29344">
        <v>400000</v>
      </c>
    </row>
    <row r="29345" spans="26:26" x14ac:dyDescent="0.25">
      <c r="Z29345">
        <v>400000</v>
      </c>
    </row>
    <row r="29346" spans="26:26" x14ac:dyDescent="0.25">
      <c r="Z29346">
        <v>400000</v>
      </c>
    </row>
    <row r="29347" spans="26:26" x14ac:dyDescent="0.25">
      <c r="Z29347">
        <v>400000</v>
      </c>
    </row>
    <row r="29348" spans="26:26" x14ac:dyDescent="0.25">
      <c r="Z29348">
        <v>400000</v>
      </c>
    </row>
    <row r="29349" spans="26:26" x14ac:dyDescent="0.25">
      <c r="Z29349">
        <v>400000</v>
      </c>
    </row>
    <row r="29350" spans="26:26" x14ac:dyDescent="0.25">
      <c r="Z29350">
        <v>400000</v>
      </c>
    </row>
    <row r="29351" spans="26:26" x14ac:dyDescent="0.25">
      <c r="Z29351">
        <v>400000</v>
      </c>
    </row>
    <row r="29352" spans="26:26" x14ac:dyDescent="0.25">
      <c r="Z29352">
        <v>400000</v>
      </c>
    </row>
    <row r="29353" spans="26:26" x14ac:dyDescent="0.25">
      <c r="Z29353">
        <v>400000</v>
      </c>
    </row>
    <row r="29354" spans="26:26" x14ac:dyDescent="0.25">
      <c r="Z29354">
        <v>400000</v>
      </c>
    </row>
    <row r="29355" spans="26:26" x14ac:dyDescent="0.25">
      <c r="Z29355">
        <v>400000</v>
      </c>
    </row>
    <row r="29356" spans="26:26" x14ac:dyDescent="0.25">
      <c r="Z29356">
        <v>400000</v>
      </c>
    </row>
    <row r="29357" spans="26:26" x14ac:dyDescent="0.25">
      <c r="Z29357">
        <v>400000</v>
      </c>
    </row>
    <row r="29358" spans="26:26" x14ac:dyDescent="0.25">
      <c r="Z29358">
        <v>400000</v>
      </c>
    </row>
    <row r="29359" spans="26:26" x14ac:dyDescent="0.25">
      <c r="Z29359">
        <v>400000</v>
      </c>
    </row>
    <row r="29360" spans="26:26" x14ac:dyDescent="0.25">
      <c r="Z29360">
        <v>400000</v>
      </c>
    </row>
    <row r="29361" spans="26:26" x14ac:dyDescent="0.25">
      <c r="Z29361">
        <v>400000</v>
      </c>
    </row>
    <row r="29362" spans="26:26" x14ac:dyDescent="0.25">
      <c r="Z29362">
        <v>400000</v>
      </c>
    </row>
    <row r="29363" spans="26:26" x14ac:dyDescent="0.25">
      <c r="Z29363">
        <v>400000</v>
      </c>
    </row>
    <row r="29364" spans="26:26" x14ac:dyDescent="0.25">
      <c r="Z29364">
        <v>400000</v>
      </c>
    </row>
    <row r="29365" spans="26:26" x14ac:dyDescent="0.25">
      <c r="Z29365">
        <v>400000</v>
      </c>
    </row>
    <row r="29366" spans="26:26" x14ac:dyDescent="0.25">
      <c r="Z29366">
        <v>400000</v>
      </c>
    </row>
    <row r="29367" spans="26:26" x14ac:dyDescent="0.25">
      <c r="Z29367">
        <v>400000</v>
      </c>
    </row>
    <row r="29368" spans="26:26" x14ac:dyDescent="0.25">
      <c r="Z29368">
        <v>400000</v>
      </c>
    </row>
    <row r="29369" spans="26:26" x14ac:dyDescent="0.25">
      <c r="Z29369">
        <v>400000</v>
      </c>
    </row>
    <row r="29370" spans="26:26" x14ac:dyDescent="0.25">
      <c r="Z29370">
        <v>400000</v>
      </c>
    </row>
    <row r="29371" spans="26:26" x14ac:dyDescent="0.25">
      <c r="Z29371">
        <v>400000</v>
      </c>
    </row>
    <row r="29372" spans="26:26" x14ac:dyDescent="0.25">
      <c r="Z29372">
        <v>400000</v>
      </c>
    </row>
    <row r="29373" spans="26:26" x14ac:dyDescent="0.25">
      <c r="Z29373">
        <v>400000</v>
      </c>
    </row>
    <row r="29374" spans="26:26" x14ac:dyDescent="0.25">
      <c r="Z29374">
        <v>400000</v>
      </c>
    </row>
    <row r="29375" spans="26:26" x14ac:dyDescent="0.25">
      <c r="Z29375">
        <v>400000</v>
      </c>
    </row>
    <row r="29376" spans="26:26" x14ac:dyDescent="0.25">
      <c r="Z29376">
        <v>400000</v>
      </c>
    </row>
    <row r="29377" spans="26:26" x14ac:dyDescent="0.25">
      <c r="Z29377">
        <v>400000</v>
      </c>
    </row>
    <row r="29378" spans="26:26" x14ac:dyDescent="0.25">
      <c r="Z29378">
        <v>400000</v>
      </c>
    </row>
    <row r="29379" spans="26:26" x14ac:dyDescent="0.25">
      <c r="Z29379">
        <v>400000</v>
      </c>
    </row>
    <row r="29380" spans="26:26" x14ac:dyDescent="0.25">
      <c r="Z29380">
        <v>400000</v>
      </c>
    </row>
    <row r="29381" spans="26:26" x14ac:dyDescent="0.25">
      <c r="Z29381">
        <v>400000</v>
      </c>
    </row>
    <row r="29382" spans="26:26" x14ac:dyDescent="0.25">
      <c r="Z29382">
        <v>400000</v>
      </c>
    </row>
    <row r="29383" spans="26:26" x14ac:dyDescent="0.25">
      <c r="Z29383">
        <v>400000</v>
      </c>
    </row>
    <row r="29384" spans="26:26" x14ac:dyDescent="0.25">
      <c r="Z29384">
        <v>400000</v>
      </c>
    </row>
    <row r="29385" spans="26:26" x14ac:dyDescent="0.25">
      <c r="Z29385">
        <v>400000</v>
      </c>
    </row>
    <row r="29386" spans="26:26" x14ac:dyDescent="0.25">
      <c r="Z29386">
        <v>400000</v>
      </c>
    </row>
    <row r="29387" spans="26:26" x14ac:dyDescent="0.25">
      <c r="Z29387">
        <v>400000</v>
      </c>
    </row>
    <row r="29388" spans="26:26" x14ac:dyDescent="0.25">
      <c r="Z29388">
        <v>400000</v>
      </c>
    </row>
    <row r="29389" spans="26:26" x14ac:dyDescent="0.25">
      <c r="Z29389">
        <v>400000</v>
      </c>
    </row>
    <row r="29390" spans="26:26" x14ac:dyDescent="0.25">
      <c r="Z29390">
        <v>400000</v>
      </c>
    </row>
    <row r="29391" spans="26:26" x14ac:dyDescent="0.25">
      <c r="Z29391">
        <v>400000</v>
      </c>
    </row>
    <row r="29392" spans="26:26" x14ac:dyDescent="0.25">
      <c r="Z29392">
        <v>400000</v>
      </c>
    </row>
    <row r="29393" spans="26:26" x14ac:dyDescent="0.25">
      <c r="Z29393">
        <v>400000</v>
      </c>
    </row>
    <row r="29394" spans="26:26" x14ac:dyDescent="0.25">
      <c r="Z29394">
        <v>400000</v>
      </c>
    </row>
    <row r="29395" spans="26:26" x14ac:dyDescent="0.25">
      <c r="Z29395">
        <v>400000</v>
      </c>
    </row>
    <row r="29396" spans="26:26" x14ac:dyDescent="0.25">
      <c r="Z29396">
        <v>400000</v>
      </c>
    </row>
    <row r="29397" spans="26:26" x14ac:dyDescent="0.25">
      <c r="Z29397">
        <v>400000</v>
      </c>
    </row>
    <row r="29398" spans="26:26" x14ac:dyDescent="0.25">
      <c r="Z29398">
        <v>400000</v>
      </c>
    </row>
    <row r="29399" spans="26:26" x14ac:dyDescent="0.25">
      <c r="Z29399">
        <v>400000</v>
      </c>
    </row>
    <row r="29400" spans="26:26" x14ac:dyDescent="0.25">
      <c r="Z29400">
        <v>400000</v>
      </c>
    </row>
    <row r="29401" spans="26:26" x14ac:dyDescent="0.25">
      <c r="Z29401">
        <v>400000</v>
      </c>
    </row>
    <row r="29402" spans="26:26" x14ac:dyDescent="0.25">
      <c r="Z29402">
        <v>400000</v>
      </c>
    </row>
    <row r="29403" spans="26:26" x14ac:dyDescent="0.25">
      <c r="Z29403">
        <v>400000</v>
      </c>
    </row>
    <row r="29404" spans="26:26" x14ac:dyDescent="0.25">
      <c r="Z29404">
        <v>400000</v>
      </c>
    </row>
    <row r="29405" spans="26:26" x14ac:dyDescent="0.25">
      <c r="Z29405">
        <v>400000</v>
      </c>
    </row>
    <row r="29406" spans="26:26" x14ac:dyDescent="0.25">
      <c r="Z29406">
        <v>400000</v>
      </c>
    </row>
    <row r="29407" spans="26:26" x14ac:dyDescent="0.25">
      <c r="Z29407">
        <v>400000</v>
      </c>
    </row>
    <row r="29408" spans="26:26" x14ac:dyDescent="0.25">
      <c r="Z29408">
        <v>400000</v>
      </c>
    </row>
    <row r="29409" spans="26:26" x14ac:dyDescent="0.25">
      <c r="Z29409">
        <v>400000</v>
      </c>
    </row>
    <row r="29410" spans="26:26" x14ac:dyDescent="0.25">
      <c r="Z29410">
        <v>400000</v>
      </c>
    </row>
    <row r="29411" spans="26:26" x14ac:dyDescent="0.25">
      <c r="Z29411">
        <v>400000</v>
      </c>
    </row>
    <row r="29412" spans="26:26" x14ac:dyDescent="0.25">
      <c r="Z29412">
        <v>400000</v>
      </c>
    </row>
    <row r="29413" spans="26:26" x14ac:dyDescent="0.25">
      <c r="Z29413">
        <v>400000</v>
      </c>
    </row>
    <row r="29414" spans="26:26" x14ac:dyDescent="0.25">
      <c r="Z29414">
        <v>400000</v>
      </c>
    </row>
    <row r="29415" spans="26:26" x14ac:dyDescent="0.25">
      <c r="Z29415">
        <v>400000</v>
      </c>
    </row>
    <row r="29416" spans="26:26" x14ac:dyDescent="0.25">
      <c r="Z29416">
        <v>400000</v>
      </c>
    </row>
    <row r="29417" spans="26:26" x14ac:dyDescent="0.25">
      <c r="Z29417">
        <v>400000</v>
      </c>
    </row>
    <row r="29418" spans="26:26" x14ac:dyDescent="0.25">
      <c r="Z29418">
        <v>400000</v>
      </c>
    </row>
    <row r="29419" spans="26:26" x14ac:dyDescent="0.25">
      <c r="Z29419">
        <v>400000</v>
      </c>
    </row>
    <row r="29420" spans="26:26" x14ac:dyDescent="0.25">
      <c r="Z29420">
        <v>400000</v>
      </c>
    </row>
    <row r="29421" spans="26:26" x14ac:dyDescent="0.25">
      <c r="Z29421">
        <v>400000</v>
      </c>
    </row>
    <row r="29422" spans="26:26" x14ac:dyDescent="0.25">
      <c r="Z29422">
        <v>400000</v>
      </c>
    </row>
    <row r="29423" spans="26:26" x14ac:dyDescent="0.25">
      <c r="Z29423">
        <v>400000</v>
      </c>
    </row>
    <row r="29424" spans="26:26" x14ac:dyDescent="0.25">
      <c r="Z29424">
        <v>400000</v>
      </c>
    </row>
    <row r="29425" spans="26:26" x14ac:dyDescent="0.25">
      <c r="Z29425">
        <v>400000</v>
      </c>
    </row>
    <row r="29426" spans="26:26" x14ac:dyDescent="0.25">
      <c r="Z29426">
        <v>400000</v>
      </c>
    </row>
    <row r="29427" spans="26:26" x14ac:dyDescent="0.25">
      <c r="Z29427">
        <v>400000</v>
      </c>
    </row>
    <row r="29428" spans="26:26" x14ac:dyDescent="0.25">
      <c r="Z29428">
        <v>400000</v>
      </c>
    </row>
    <row r="29429" spans="26:26" x14ac:dyDescent="0.25">
      <c r="Z29429">
        <v>400000</v>
      </c>
    </row>
    <row r="29430" spans="26:26" x14ac:dyDescent="0.25">
      <c r="Z29430">
        <v>400000</v>
      </c>
    </row>
    <row r="29431" spans="26:26" x14ac:dyDescent="0.25">
      <c r="Z29431">
        <v>400000</v>
      </c>
    </row>
    <row r="29432" spans="26:26" x14ac:dyDescent="0.25">
      <c r="Z29432">
        <v>400000</v>
      </c>
    </row>
    <row r="29433" spans="26:26" x14ac:dyDescent="0.25">
      <c r="Z29433">
        <v>400000</v>
      </c>
    </row>
    <row r="29434" spans="26:26" x14ac:dyDescent="0.25">
      <c r="Z29434">
        <v>400000</v>
      </c>
    </row>
    <row r="29435" spans="26:26" x14ac:dyDescent="0.25">
      <c r="Z29435">
        <v>400000</v>
      </c>
    </row>
    <row r="29436" spans="26:26" x14ac:dyDescent="0.25">
      <c r="Z29436">
        <v>400000</v>
      </c>
    </row>
    <row r="29437" spans="26:26" x14ac:dyDescent="0.25">
      <c r="Z29437">
        <v>400000</v>
      </c>
    </row>
    <row r="29438" spans="26:26" x14ac:dyDescent="0.25">
      <c r="Z29438">
        <v>400000</v>
      </c>
    </row>
    <row r="29439" spans="26:26" x14ac:dyDescent="0.25">
      <c r="Z29439">
        <v>400000</v>
      </c>
    </row>
    <row r="29440" spans="26:26" x14ac:dyDescent="0.25">
      <c r="Z29440">
        <v>400000</v>
      </c>
    </row>
    <row r="29441" spans="26:26" x14ac:dyDescent="0.25">
      <c r="Z29441">
        <v>400000</v>
      </c>
    </row>
    <row r="29442" spans="26:26" x14ac:dyDescent="0.25">
      <c r="Z29442">
        <v>400000</v>
      </c>
    </row>
    <row r="29443" spans="26:26" x14ac:dyDescent="0.25">
      <c r="Z29443">
        <v>400000</v>
      </c>
    </row>
    <row r="29444" spans="26:26" x14ac:dyDescent="0.25">
      <c r="Z29444">
        <v>400000</v>
      </c>
    </row>
    <row r="29445" spans="26:26" x14ac:dyDescent="0.25">
      <c r="Z29445">
        <v>400000</v>
      </c>
    </row>
    <row r="29446" spans="26:26" x14ac:dyDescent="0.25">
      <c r="Z29446">
        <v>400000</v>
      </c>
    </row>
    <row r="29447" spans="26:26" x14ac:dyDescent="0.25">
      <c r="Z29447">
        <v>400000</v>
      </c>
    </row>
    <row r="29448" spans="26:26" x14ac:dyDescent="0.25">
      <c r="Z29448">
        <v>400000</v>
      </c>
    </row>
    <row r="29449" spans="26:26" x14ac:dyDescent="0.25">
      <c r="Z29449">
        <v>400000</v>
      </c>
    </row>
    <row r="29450" spans="26:26" x14ac:dyDescent="0.25">
      <c r="Z29450">
        <v>400000</v>
      </c>
    </row>
    <row r="29451" spans="26:26" x14ac:dyDescent="0.25">
      <c r="Z29451">
        <v>400000</v>
      </c>
    </row>
    <row r="29452" spans="26:26" x14ac:dyDescent="0.25">
      <c r="Z29452">
        <v>400000</v>
      </c>
    </row>
    <row r="29453" spans="26:26" x14ac:dyDescent="0.25">
      <c r="Z29453">
        <v>400000</v>
      </c>
    </row>
    <row r="29454" spans="26:26" x14ac:dyDescent="0.25">
      <c r="Z29454">
        <v>400000</v>
      </c>
    </row>
    <row r="29455" spans="26:26" x14ac:dyDescent="0.25">
      <c r="Z29455">
        <v>400000</v>
      </c>
    </row>
    <row r="29456" spans="26:26" x14ac:dyDescent="0.25">
      <c r="Z29456">
        <v>400000</v>
      </c>
    </row>
    <row r="29457" spans="26:26" x14ac:dyDescent="0.25">
      <c r="Z29457">
        <v>400000</v>
      </c>
    </row>
    <row r="29458" spans="26:26" x14ac:dyDescent="0.25">
      <c r="Z29458">
        <v>400000</v>
      </c>
    </row>
    <row r="29459" spans="26:26" x14ac:dyDescent="0.25">
      <c r="Z29459">
        <v>400000</v>
      </c>
    </row>
    <row r="29460" spans="26:26" x14ac:dyDescent="0.25">
      <c r="Z29460">
        <v>400000</v>
      </c>
    </row>
    <row r="29461" spans="26:26" x14ac:dyDescent="0.25">
      <c r="Z29461">
        <v>400000</v>
      </c>
    </row>
    <row r="29462" spans="26:26" x14ac:dyDescent="0.25">
      <c r="Z29462">
        <v>400000</v>
      </c>
    </row>
    <row r="29463" spans="26:26" x14ac:dyDescent="0.25">
      <c r="Z29463">
        <v>400000</v>
      </c>
    </row>
    <row r="29464" spans="26:26" x14ac:dyDescent="0.25">
      <c r="Z29464">
        <v>400000</v>
      </c>
    </row>
    <row r="29465" spans="26:26" x14ac:dyDescent="0.25">
      <c r="Z29465">
        <v>400000</v>
      </c>
    </row>
    <row r="29466" spans="26:26" x14ac:dyDescent="0.25">
      <c r="Z29466">
        <v>400000</v>
      </c>
    </row>
    <row r="29467" spans="26:26" x14ac:dyDescent="0.25">
      <c r="Z29467">
        <v>400000</v>
      </c>
    </row>
    <row r="29468" spans="26:26" x14ac:dyDescent="0.25">
      <c r="Z29468">
        <v>400000</v>
      </c>
    </row>
    <row r="29469" spans="26:26" x14ac:dyDescent="0.25">
      <c r="Z29469">
        <v>400000</v>
      </c>
    </row>
    <row r="29470" spans="26:26" x14ac:dyDescent="0.25">
      <c r="Z29470">
        <v>400000</v>
      </c>
    </row>
    <row r="29471" spans="26:26" x14ac:dyDescent="0.25">
      <c r="Z29471">
        <v>400000</v>
      </c>
    </row>
    <row r="29472" spans="26:26" x14ac:dyDescent="0.25">
      <c r="Z29472">
        <v>400000</v>
      </c>
    </row>
    <row r="29473" spans="26:26" x14ac:dyDescent="0.25">
      <c r="Z29473">
        <v>400000</v>
      </c>
    </row>
    <row r="29474" spans="26:26" x14ac:dyDescent="0.25">
      <c r="Z29474">
        <v>400000</v>
      </c>
    </row>
    <row r="29475" spans="26:26" x14ac:dyDescent="0.25">
      <c r="Z29475">
        <v>400000</v>
      </c>
    </row>
    <row r="29476" spans="26:26" x14ac:dyDescent="0.25">
      <c r="Z29476">
        <v>400000</v>
      </c>
    </row>
    <row r="29477" spans="26:26" x14ac:dyDescent="0.25">
      <c r="Z29477">
        <v>400000</v>
      </c>
    </row>
    <row r="29478" spans="26:26" x14ac:dyDescent="0.25">
      <c r="Z29478">
        <v>400000</v>
      </c>
    </row>
    <row r="29479" spans="26:26" x14ac:dyDescent="0.25">
      <c r="Z29479">
        <v>400000</v>
      </c>
    </row>
    <row r="29480" spans="26:26" x14ac:dyDescent="0.25">
      <c r="Z29480">
        <v>400000</v>
      </c>
    </row>
    <row r="29481" spans="26:26" x14ac:dyDescent="0.25">
      <c r="Z29481">
        <v>400000</v>
      </c>
    </row>
    <row r="29482" spans="26:26" x14ac:dyDescent="0.25">
      <c r="Z29482">
        <v>400000</v>
      </c>
    </row>
    <row r="29483" spans="26:26" x14ac:dyDescent="0.25">
      <c r="Z29483">
        <v>400000</v>
      </c>
    </row>
    <row r="29484" spans="26:26" x14ac:dyDescent="0.25">
      <c r="Z29484">
        <v>400000</v>
      </c>
    </row>
    <row r="29485" spans="26:26" x14ac:dyDescent="0.25">
      <c r="Z29485">
        <v>400000</v>
      </c>
    </row>
    <row r="29486" spans="26:26" x14ac:dyDescent="0.25">
      <c r="Z29486">
        <v>400000</v>
      </c>
    </row>
    <row r="29487" spans="26:26" x14ac:dyDescent="0.25">
      <c r="Z29487">
        <v>400000</v>
      </c>
    </row>
    <row r="29488" spans="26:26" x14ac:dyDescent="0.25">
      <c r="Z29488">
        <v>400000</v>
      </c>
    </row>
    <row r="29489" spans="26:26" x14ac:dyDescent="0.25">
      <c r="Z29489">
        <v>400000</v>
      </c>
    </row>
    <row r="29490" spans="26:26" x14ac:dyDescent="0.25">
      <c r="Z29490">
        <v>400000</v>
      </c>
    </row>
    <row r="29491" spans="26:26" x14ac:dyDescent="0.25">
      <c r="Z29491">
        <v>400000</v>
      </c>
    </row>
    <row r="29492" spans="26:26" x14ac:dyDescent="0.25">
      <c r="Z29492">
        <v>400000</v>
      </c>
    </row>
    <row r="29493" spans="26:26" x14ac:dyDescent="0.25">
      <c r="Z29493">
        <v>400000</v>
      </c>
    </row>
    <row r="29494" spans="26:26" x14ac:dyDescent="0.25">
      <c r="Z29494">
        <v>400000</v>
      </c>
    </row>
    <row r="29495" spans="26:26" x14ac:dyDescent="0.25">
      <c r="Z29495">
        <v>400000</v>
      </c>
    </row>
    <row r="29496" spans="26:26" x14ac:dyDescent="0.25">
      <c r="Z29496">
        <v>400000</v>
      </c>
    </row>
    <row r="29497" spans="26:26" x14ac:dyDescent="0.25">
      <c r="Z29497">
        <v>400000</v>
      </c>
    </row>
    <row r="29498" spans="26:26" x14ac:dyDescent="0.25">
      <c r="Z29498">
        <v>400000</v>
      </c>
    </row>
    <row r="29499" spans="26:26" x14ac:dyDescent="0.25">
      <c r="Z29499">
        <v>400000</v>
      </c>
    </row>
    <row r="29500" spans="26:26" x14ac:dyDescent="0.25">
      <c r="Z29500">
        <v>400000</v>
      </c>
    </row>
    <row r="29501" spans="26:26" x14ac:dyDescent="0.25">
      <c r="Z29501">
        <v>400000</v>
      </c>
    </row>
    <row r="29502" spans="26:26" x14ac:dyDescent="0.25">
      <c r="Z29502">
        <v>400000</v>
      </c>
    </row>
    <row r="29503" spans="26:26" x14ac:dyDescent="0.25">
      <c r="Z29503">
        <v>400000</v>
      </c>
    </row>
    <row r="29504" spans="26:26" x14ac:dyDescent="0.25">
      <c r="Z29504">
        <v>400000</v>
      </c>
    </row>
    <row r="29505" spans="26:26" x14ac:dyDescent="0.25">
      <c r="Z29505">
        <v>400000</v>
      </c>
    </row>
    <row r="29506" spans="26:26" x14ac:dyDescent="0.25">
      <c r="Z29506">
        <v>400000</v>
      </c>
    </row>
    <row r="29507" spans="26:26" x14ac:dyDescent="0.25">
      <c r="Z29507">
        <v>400000</v>
      </c>
    </row>
    <row r="29508" spans="26:26" x14ac:dyDescent="0.25">
      <c r="Z29508">
        <v>400000</v>
      </c>
    </row>
    <row r="29509" spans="26:26" x14ac:dyDescent="0.25">
      <c r="Z29509">
        <v>400000</v>
      </c>
    </row>
    <row r="29510" spans="26:26" x14ac:dyDescent="0.25">
      <c r="Z29510">
        <v>400000</v>
      </c>
    </row>
    <row r="29511" spans="26:26" x14ac:dyDescent="0.25">
      <c r="Z29511">
        <v>400000</v>
      </c>
    </row>
    <row r="29512" spans="26:26" x14ac:dyDescent="0.25">
      <c r="Z29512">
        <v>400000</v>
      </c>
    </row>
    <row r="29513" spans="26:26" x14ac:dyDescent="0.25">
      <c r="Z29513">
        <v>400000</v>
      </c>
    </row>
    <row r="29514" spans="26:26" x14ac:dyDescent="0.25">
      <c r="Z29514">
        <v>400000</v>
      </c>
    </row>
    <row r="29515" spans="26:26" x14ac:dyDescent="0.25">
      <c r="Z29515">
        <v>400000</v>
      </c>
    </row>
    <row r="29516" spans="26:26" x14ac:dyDescent="0.25">
      <c r="Z29516">
        <v>400000</v>
      </c>
    </row>
    <row r="29517" spans="26:26" x14ac:dyDescent="0.25">
      <c r="Z29517">
        <v>400000</v>
      </c>
    </row>
    <row r="29518" spans="26:26" x14ac:dyDescent="0.25">
      <c r="Z29518">
        <v>400000</v>
      </c>
    </row>
    <row r="29519" spans="26:26" x14ac:dyDescent="0.25">
      <c r="Z29519">
        <v>400000</v>
      </c>
    </row>
    <row r="29520" spans="26:26" x14ac:dyDescent="0.25">
      <c r="Z29520">
        <v>400000</v>
      </c>
    </row>
    <row r="29521" spans="26:26" x14ac:dyDescent="0.25">
      <c r="Z29521">
        <v>400000</v>
      </c>
    </row>
    <row r="29522" spans="26:26" x14ac:dyDescent="0.25">
      <c r="Z29522">
        <v>400000</v>
      </c>
    </row>
    <row r="29523" spans="26:26" x14ac:dyDescent="0.25">
      <c r="Z29523">
        <v>400000</v>
      </c>
    </row>
    <row r="29524" spans="26:26" x14ac:dyDescent="0.25">
      <c r="Z29524">
        <v>400000</v>
      </c>
    </row>
    <row r="29525" spans="26:26" x14ac:dyDescent="0.25">
      <c r="Z29525">
        <v>400000</v>
      </c>
    </row>
    <row r="29526" spans="26:26" x14ac:dyDescent="0.25">
      <c r="Z29526">
        <v>400000</v>
      </c>
    </row>
    <row r="29527" spans="26:26" x14ac:dyDescent="0.25">
      <c r="Z29527">
        <v>400000</v>
      </c>
    </row>
    <row r="29528" spans="26:26" x14ac:dyDescent="0.25">
      <c r="Z29528">
        <v>400000</v>
      </c>
    </row>
    <row r="29529" spans="26:26" x14ac:dyDescent="0.25">
      <c r="Z29529">
        <v>400000</v>
      </c>
    </row>
    <row r="29530" spans="26:26" x14ac:dyDescent="0.25">
      <c r="Z29530">
        <v>400000</v>
      </c>
    </row>
    <row r="29531" spans="26:26" x14ac:dyDescent="0.25">
      <c r="Z29531">
        <v>400000</v>
      </c>
    </row>
    <row r="29532" spans="26:26" x14ac:dyDescent="0.25">
      <c r="Z29532">
        <v>400000</v>
      </c>
    </row>
    <row r="29533" spans="26:26" x14ac:dyDescent="0.25">
      <c r="Z29533">
        <v>400000</v>
      </c>
    </row>
    <row r="29534" spans="26:26" x14ac:dyDescent="0.25">
      <c r="Z29534">
        <v>400000</v>
      </c>
    </row>
    <row r="29535" spans="26:26" x14ac:dyDescent="0.25">
      <c r="Z29535">
        <v>400000</v>
      </c>
    </row>
    <row r="29536" spans="26:26" x14ac:dyDescent="0.25">
      <c r="Z29536">
        <v>400000</v>
      </c>
    </row>
    <row r="29537" spans="26:26" x14ac:dyDescent="0.25">
      <c r="Z29537">
        <v>400000</v>
      </c>
    </row>
    <row r="29538" spans="26:26" x14ac:dyDescent="0.25">
      <c r="Z29538">
        <v>400000</v>
      </c>
    </row>
    <row r="29539" spans="26:26" x14ac:dyDescent="0.25">
      <c r="Z29539">
        <v>400000</v>
      </c>
    </row>
    <row r="29540" spans="26:26" x14ac:dyDescent="0.25">
      <c r="Z29540">
        <v>400000</v>
      </c>
    </row>
    <row r="29541" spans="26:26" x14ac:dyDescent="0.25">
      <c r="Z29541">
        <v>400000</v>
      </c>
    </row>
    <row r="29542" spans="26:26" x14ac:dyDescent="0.25">
      <c r="Z29542">
        <v>400000</v>
      </c>
    </row>
    <row r="29543" spans="26:26" x14ac:dyDescent="0.25">
      <c r="Z29543">
        <v>400000</v>
      </c>
    </row>
    <row r="29544" spans="26:26" x14ac:dyDescent="0.25">
      <c r="Z29544">
        <v>400000</v>
      </c>
    </row>
    <row r="29545" spans="26:26" x14ac:dyDescent="0.25">
      <c r="Z29545">
        <v>400000</v>
      </c>
    </row>
    <row r="29546" spans="26:26" x14ac:dyDescent="0.25">
      <c r="Z29546">
        <v>400000</v>
      </c>
    </row>
    <row r="29547" spans="26:26" x14ac:dyDescent="0.25">
      <c r="Z29547">
        <v>400000</v>
      </c>
    </row>
    <row r="29548" spans="26:26" x14ac:dyDescent="0.25">
      <c r="Z29548">
        <v>400000</v>
      </c>
    </row>
    <row r="29549" spans="26:26" x14ac:dyDescent="0.25">
      <c r="Z29549">
        <v>400000</v>
      </c>
    </row>
    <row r="29550" spans="26:26" x14ac:dyDescent="0.25">
      <c r="Z29550">
        <v>400000</v>
      </c>
    </row>
    <row r="29551" spans="26:26" x14ac:dyDescent="0.25">
      <c r="Z29551">
        <v>400000</v>
      </c>
    </row>
    <row r="29552" spans="26:26" x14ac:dyDescent="0.25">
      <c r="Z29552">
        <v>400000</v>
      </c>
    </row>
    <row r="29553" spans="26:26" x14ac:dyDescent="0.25">
      <c r="Z29553">
        <v>400000</v>
      </c>
    </row>
    <row r="29554" spans="26:26" x14ac:dyDescent="0.25">
      <c r="Z29554">
        <v>400000</v>
      </c>
    </row>
    <row r="29555" spans="26:26" x14ac:dyDescent="0.25">
      <c r="Z29555">
        <v>400000</v>
      </c>
    </row>
    <row r="29556" spans="26:26" x14ac:dyDescent="0.25">
      <c r="Z29556">
        <v>400000</v>
      </c>
    </row>
    <row r="29557" spans="26:26" x14ac:dyDescent="0.25">
      <c r="Z29557">
        <v>400000</v>
      </c>
    </row>
    <row r="29558" spans="26:26" x14ac:dyDescent="0.25">
      <c r="Z29558">
        <v>400000</v>
      </c>
    </row>
    <row r="29559" spans="26:26" x14ac:dyDescent="0.25">
      <c r="Z29559">
        <v>400000</v>
      </c>
    </row>
    <row r="29560" spans="26:26" x14ac:dyDescent="0.25">
      <c r="Z29560">
        <v>400000</v>
      </c>
    </row>
    <row r="29561" spans="26:26" x14ac:dyDescent="0.25">
      <c r="Z29561">
        <v>400000</v>
      </c>
    </row>
    <row r="29562" spans="26:26" x14ac:dyDescent="0.25">
      <c r="Z29562">
        <v>400000</v>
      </c>
    </row>
    <row r="29563" spans="26:26" x14ac:dyDescent="0.25">
      <c r="Z29563">
        <v>400000</v>
      </c>
    </row>
    <row r="29564" spans="26:26" x14ac:dyDescent="0.25">
      <c r="Z29564">
        <v>400000</v>
      </c>
    </row>
    <row r="29565" spans="26:26" x14ac:dyDescent="0.25">
      <c r="Z29565">
        <v>400000</v>
      </c>
    </row>
    <row r="29566" spans="26:26" x14ac:dyDescent="0.25">
      <c r="Z29566">
        <v>400000</v>
      </c>
    </row>
    <row r="29567" spans="26:26" x14ac:dyDescent="0.25">
      <c r="Z29567">
        <v>400000</v>
      </c>
    </row>
    <row r="29568" spans="26:26" x14ac:dyDescent="0.25">
      <c r="Z29568">
        <v>400000</v>
      </c>
    </row>
    <row r="29569" spans="26:26" x14ac:dyDescent="0.25">
      <c r="Z29569">
        <v>400000</v>
      </c>
    </row>
    <row r="29570" spans="26:26" x14ac:dyDescent="0.25">
      <c r="Z29570">
        <v>400000</v>
      </c>
    </row>
    <row r="29571" spans="26:26" x14ac:dyDescent="0.25">
      <c r="Z29571">
        <v>400000</v>
      </c>
    </row>
    <row r="29572" spans="26:26" x14ac:dyDescent="0.25">
      <c r="Z29572">
        <v>400000</v>
      </c>
    </row>
    <row r="29573" spans="26:26" x14ac:dyDescent="0.25">
      <c r="Z29573">
        <v>400000</v>
      </c>
    </row>
    <row r="29574" spans="26:26" x14ac:dyDescent="0.25">
      <c r="Z29574">
        <v>400000</v>
      </c>
    </row>
    <row r="29575" spans="26:26" x14ac:dyDescent="0.25">
      <c r="Z29575">
        <v>400000</v>
      </c>
    </row>
    <row r="29576" spans="26:26" x14ac:dyDescent="0.25">
      <c r="Z29576">
        <v>400000</v>
      </c>
    </row>
    <row r="29577" spans="26:26" x14ac:dyDescent="0.25">
      <c r="Z29577">
        <v>400000</v>
      </c>
    </row>
    <row r="29578" spans="26:26" x14ac:dyDescent="0.25">
      <c r="Z29578">
        <v>400000</v>
      </c>
    </row>
    <row r="29579" spans="26:26" x14ac:dyDescent="0.25">
      <c r="Z29579">
        <v>400000</v>
      </c>
    </row>
    <row r="29580" spans="26:26" x14ac:dyDescent="0.25">
      <c r="Z29580">
        <v>400000</v>
      </c>
    </row>
    <row r="29581" spans="26:26" x14ac:dyDescent="0.25">
      <c r="Z29581">
        <v>400000</v>
      </c>
    </row>
    <row r="29582" spans="26:26" x14ac:dyDescent="0.25">
      <c r="Z29582">
        <v>400000</v>
      </c>
    </row>
    <row r="29583" spans="26:26" x14ac:dyDescent="0.25">
      <c r="Z29583">
        <v>400000</v>
      </c>
    </row>
    <row r="29584" spans="26:26" x14ac:dyDescent="0.25">
      <c r="Z29584">
        <v>400000</v>
      </c>
    </row>
    <row r="29585" spans="26:26" x14ac:dyDescent="0.25">
      <c r="Z29585">
        <v>400000</v>
      </c>
    </row>
    <row r="29586" spans="26:26" x14ac:dyDescent="0.25">
      <c r="Z29586">
        <v>400000</v>
      </c>
    </row>
    <row r="29587" spans="26:26" x14ac:dyDescent="0.25">
      <c r="Z29587">
        <v>400000</v>
      </c>
    </row>
    <row r="29588" spans="26:26" x14ac:dyDescent="0.25">
      <c r="Z29588">
        <v>400000</v>
      </c>
    </row>
    <row r="29589" spans="26:26" x14ac:dyDescent="0.25">
      <c r="Z29589">
        <v>400000</v>
      </c>
    </row>
    <row r="29590" spans="26:26" x14ac:dyDescent="0.25">
      <c r="Z29590">
        <v>400000</v>
      </c>
    </row>
    <row r="29591" spans="26:26" x14ac:dyDescent="0.25">
      <c r="Z29591">
        <v>400000</v>
      </c>
    </row>
    <row r="29592" spans="26:26" x14ac:dyDescent="0.25">
      <c r="Z29592">
        <v>400000</v>
      </c>
    </row>
    <row r="29593" spans="26:26" x14ac:dyDescent="0.25">
      <c r="Z29593">
        <v>400000</v>
      </c>
    </row>
    <row r="29594" spans="26:26" x14ac:dyDescent="0.25">
      <c r="Z29594">
        <v>400000</v>
      </c>
    </row>
    <row r="29595" spans="26:26" x14ac:dyDescent="0.25">
      <c r="Z29595">
        <v>400000</v>
      </c>
    </row>
    <row r="29596" spans="26:26" x14ac:dyDescent="0.25">
      <c r="Z29596">
        <v>400000</v>
      </c>
    </row>
    <row r="29597" spans="26:26" x14ac:dyDescent="0.25">
      <c r="Z29597">
        <v>400000</v>
      </c>
    </row>
    <row r="29598" spans="26:26" x14ac:dyDescent="0.25">
      <c r="Z29598">
        <v>400000</v>
      </c>
    </row>
    <row r="29599" spans="26:26" x14ac:dyDescent="0.25">
      <c r="Z29599">
        <v>400000</v>
      </c>
    </row>
    <row r="29600" spans="26:26" x14ac:dyDescent="0.25">
      <c r="Z29600">
        <v>400000</v>
      </c>
    </row>
    <row r="29601" spans="26:26" x14ac:dyDescent="0.25">
      <c r="Z29601">
        <v>400000</v>
      </c>
    </row>
    <row r="29602" spans="26:26" x14ac:dyDescent="0.25">
      <c r="Z29602">
        <v>400000</v>
      </c>
    </row>
    <row r="29603" spans="26:26" x14ac:dyDescent="0.25">
      <c r="Z29603">
        <v>400000</v>
      </c>
    </row>
    <row r="29604" spans="26:26" x14ac:dyDescent="0.25">
      <c r="Z29604">
        <v>400000</v>
      </c>
    </row>
    <row r="29605" spans="26:26" x14ac:dyDescent="0.25">
      <c r="Z29605">
        <v>400000</v>
      </c>
    </row>
    <row r="29606" spans="26:26" x14ac:dyDescent="0.25">
      <c r="Z29606">
        <v>400000</v>
      </c>
    </row>
    <row r="29607" spans="26:26" x14ac:dyDescent="0.25">
      <c r="Z29607">
        <v>400000</v>
      </c>
    </row>
    <row r="29608" spans="26:26" x14ac:dyDescent="0.25">
      <c r="Z29608">
        <v>400000</v>
      </c>
    </row>
    <row r="29609" spans="26:26" x14ac:dyDescent="0.25">
      <c r="Z29609">
        <v>400000</v>
      </c>
    </row>
    <row r="29610" spans="26:26" x14ac:dyDescent="0.25">
      <c r="Z29610">
        <v>400000</v>
      </c>
    </row>
    <row r="29611" spans="26:26" x14ac:dyDescent="0.25">
      <c r="Z29611">
        <v>400000</v>
      </c>
    </row>
    <row r="29612" spans="26:26" x14ac:dyDescent="0.25">
      <c r="Z29612">
        <v>400000</v>
      </c>
    </row>
    <row r="29613" spans="26:26" x14ac:dyDescent="0.25">
      <c r="Z29613">
        <v>400000</v>
      </c>
    </row>
    <row r="29614" spans="26:26" x14ac:dyDescent="0.25">
      <c r="Z29614">
        <v>400000</v>
      </c>
    </row>
    <row r="29615" spans="26:26" x14ac:dyDescent="0.25">
      <c r="Z29615">
        <v>400000</v>
      </c>
    </row>
    <row r="29616" spans="26:26" x14ac:dyDescent="0.25">
      <c r="Z29616">
        <v>400000</v>
      </c>
    </row>
    <row r="29617" spans="26:26" x14ac:dyDescent="0.25">
      <c r="Z29617">
        <v>400000</v>
      </c>
    </row>
    <row r="29618" spans="26:26" x14ac:dyDescent="0.25">
      <c r="Z29618">
        <v>400000</v>
      </c>
    </row>
    <row r="29619" spans="26:26" x14ac:dyDescent="0.25">
      <c r="Z29619">
        <v>400000</v>
      </c>
    </row>
    <row r="29620" spans="26:26" x14ac:dyDescent="0.25">
      <c r="Z29620">
        <v>400000</v>
      </c>
    </row>
    <row r="29621" spans="26:26" x14ac:dyDescent="0.25">
      <c r="Z29621">
        <v>400000</v>
      </c>
    </row>
    <row r="29622" spans="26:26" x14ac:dyDescent="0.25">
      <c r="Z29622">
        <v>400000</v>
      </c>
    </row>
    <row r="29623" spans="26:26" x14ac:dyDescent="0.25">
      <c r="Z29623">
        <v>400000</v>
      </c>
    </row>
    <row r="29624" spans="26:26" x14ac:dyDescent="0.25">
      <c r="Z29624">
        <v>400000</v>
      </c>
    </row>
    <row r="29625" spans="26:26" x14ac:dyDescent="0.25">
      <c r="Z29625">
        <v>400000</v>
      </c>
    </row>
    <row r="29626" spans="26:26" x14ac:dyDescent="0.25">
      <c r="Z29626">
        <v>400000</v>
      </c>
    </row>
    <row r="29627" spans="26:26" x14ac:dyDescent="0.25">
      <c r="Z29627">
        <v>400000</v>
      </c>
    </row>
    <row r="29628" spans="26:26" x14ac:dyDescent="0.25">
      <c r="Z29628">
        <v>400000</v>
      </c>
    </row>
    <row r="29629" spans="26:26" x14ac:dyDescent="0.25">
      <c r="Z29629">
        <v>400000</v>
      </c>
    </row>
    <row r="29630" spans="26:26" x14ac:dyDescent="0.25">
      <c r="Z29630">
        <v>400000</v>
      </c>
    </row>
    <row r="29631" spans="26:26" x14ac:dyDescent="0.25">
      <c r="Z29631">
        <v>400000</v>
      </c>
    </row>
    <row r="29632" spans="26:26" x14ac:dyDescent="0.25">
      <c r="Z29632">
        <v>400000</v>
      </c>
    </row>
    <row r="29633" spans="26:26" x14ac:dyDescent="0.25">
      <c r="Z29633">
        <v>400000</v>
      </c>
    </row>
    <row r="29634" spans="26:26" x14ac:dyDescent="0.25">
      <c r="Z29634">
        <v>400000</v>
      </c>
    </row>
    <row r="29635" spans="26:26" x14ac:dyDescent="0.25">
      <c r="Z29635">
        <v>400000</v>
      </c>
    </row>
    <row r="29636" spans="26:26" x14ac:dyDescent="0.25">
      <c r="Z29636">
        <v>400000</v>
      </c>
    </row>
    <row r="29637" spans="26:26" x14ac:dyDescent="0.25">
      <c r="Z29637">
        <v>400000</v>
      </c>
    </row>
    <row r="29638" spans="26:26" x14ac:dyDescent="0.25">
      <c r="Z29638">
        <v>400000</v>
      </c>
    </row>
    <row r="29639" spans="26:26" x14ac:dyDescent="0.25">
      <c r="Z29639">
        <v>400000</v>
      </c>
    </row>
    <row r="29640" spans="26:26" x14ac:dyDescent="0.25">
      <c r="Z29640">
        <v>400000</v>
      </c>
    </row>
    <row r="29641" spans="26:26" x14ac:dyDescent="0.25">
      <c r="Z29641">
        <v>400000</v>
      </c>
    </row>
    <row r="29642" spans="26:26" x14ac:dyDescent="0.25">
      <c r="Z29642">
        <v>400000</v>
      </c>
    </row>
    <row r="29643" spans="26:26" x14ac:dyDescent="0.25">
      <c r="Z29643">
        <v>400000</v>
      </c>
    </row>
    <row r="29644" spans="26:26" x14ac:dyDescent="0.25">
      <c r="Z29644">
        <v>400000</v>
      </c>
    </row>
    <row r="29645" spans="26:26" x14ac:dyDescent="0.25">
      <c r="Z29645">
        <v>400000</v>
      </c>
    </row>
    <row r="29646" spans="26:26" x14ac:dyDescent="0.25">
      <c r="Z29646">
        <v>400000</v>
      </c>
    </row>
    <row r="29647" spans="26:26" x14ac:dyDescent="0.25">
      <c r="Z29647">
        <v>400000</v>
      </c>
    </row>
    <row r="29648" spans="26:26" x14ac:dyDescent="0.25">
      <c r="Z29648">
        <v>400000</v>
      </c>
    </row>
    <row r="29649" spans="26:26" x14ac:dyDescent="0.25">
      <c r="Z29649">
        <v>400000</v>
      </c>
    </row>
    <row r="29650" spans="26:26" x14ac:dyDescent="0.25">
      <c r="Z29650">
        <v>400000</v>
      </c>
    </row>
    <row r="29651" spans="26:26" x14ac:dyDescent="0.25">
      <c r="Z29651">
        <v>400000</v>
      </c>
    </row>
    <row r="29652" spans="26:26" x14ac:dyDescent="0.25">
      <c r="Z29652">
        <v>400000</v>
      </c>
    </row>
    <row r="29653" spans="26:26" x14ac:dyDescent="0.25">
      <c r="Z29653">
        <v>400000</v>
      </c>
    </row>
    <row r="29654" spans="26:26" x14ac:dyDescent="0.25">
      <c r="Z29654">
        <v>400000</v>
      </c>
    </row>
    <row r="29655" spans="26:26" x14ac:dyDescent="0.25">
      <c r="Z29655">
        <v>400000</v>
      </c>
    </row>
    <row r="29656" spans="26:26" x14ac:dyDescent="0.25">
      <c r="Z29656">
        <v>400000</v>
      </c>
    </row>
    <row r="29657" spans="26:26" x14ac:dyDescent="0.25">
      <c r="Z29657">
        <v>400000</v>
      </c>
    </row>
    <row r="29658" spans="26:26" x14ac:dyDescent="0.25">
      <c r="Z29658">
        <v>400000</v>
      </c>
    </row>
    <row r="29659" spans="26:26" x14ac:dyDescent="0.25">
      <c r="Z29659">
        <v>400000</v>
      </c>
    </row>
    <row r="29660" spans="26:26" x14ac:dyDescent="0.25">
      <c r="Z29660">
        <v>400000</v>
      </c>
    </row>
    <row r="29661" spans="26:26" x14ac:dyDescent="0.25">
      <c r="Z29661">
        <v>400000</v>
      </c>
    </row>
    <row r="29662" spans="26:26" x14ac:dyDescent="0.25">
      <c r="Z29662">
        <v>400000</v>
      </c>
    </row>
    <row r="29663" spans="26:26" x14ac:dyDescent="0.25">
      <c r="Z29663">
        <v>400000</v>
      </c>
    </row>
    <row r="29664" spans="26:26" x14ac:dyDescent="0.25">
      <c r="Z29664">
        <v>400000</v>
      </c>
    </row>
    <row r="29665" spans="26:26" x14ac:dyDescent="0.25">
      <c r="Z29665">
        <v>400000</v>
      </c>
    </row>
    <row r="29666" spans="26:26" x14ac:dyDescent="0.25">
      <c r="Z29666">
        <v>400000</v>
      </c>
    </row>
    <row r="29667" spans="26:26" x14ac:dyDescent="0.25">
      <c r="Z29667">
        <v>400000</v>
      </c>
    </row>
    <row r="29668" spans="26:26" x14ac:dyDescent="0.25">
      <c r="Z29668">
        <v>400000</v>
      </c>
    </row>
    <row r="29669" spans="26:26" x14ac:dyDescent="0.25">
      <c r="Z29669">
        <v>400000</v>
      </c>
    </row>
    <row r="29670" spans="26:26" x14ac:dyDescent="0.25">
      <c r="Z29670">
        <v>400000</v>
      </c>
    </row>
    <row r="29671" spans="26:26" x14ac:dyDescent="0.25">
      <c r="Z29671">
        <v>400000</v>
      </c>
    </row>
    <row r="29672" spans="26:26" x14ac:dyDescent="0.25">
      <c r="Z29672">
        <v>400000</v>
      </c>
    </row>
    <row r="29673" spans="26:26" x14ac:dyDescent="0.25">
      <c r="Z29673">
        <v>400000</v>
      </c>
    </row>
    <row r="29674" spans="26:26" x14ac:dyDescent="0.25">
      <c r="Z29674">
        <v>400000</v>
      </c>
    </row>
    <row r="29675" spans="26:26" x14ac:dyDescent="0.25">
      <c r="Z29675">
        <v>400000</v>
      </c>
    </row>
    <row r="29676" spans="26:26" x14ac:dyDescent="0.25">
      <c r="Z29676">
        <v>400000</v>
      </c>
    </row>
    <row r="29677" spans="26:26" x14ac:dyDescent="0.25">
      <c r="Z29677">
        <v>400000</v>
      </c>
    </row>
    <row r="29678" spans="26:26" x14ac:dyDescent="0.25">
      <c r="Z29678">
        <v>400000</v>
      </c>
    </row>
    <row r="29679" spans="26:26" x14ac:dyDescent="0.25">
      <c r="Z29679">
        <v>400000</v>
      </c>
    </row>
    <row r="29680" spans="26:26" x14ac:dyDescent="0.25">
      <c r="Z29680">
        <v>400000</v>
      </c>
    </row>
    <row r="29681" spans="26:26" x14ac:dyDescent="0.25">
      <c r="Z29681">
        <v>400000</v>
      </c>
    </row>
    <row r="29682" spans="26:26" x14ac:dyDescent="0.25">
      <c r="Z29682">
        <v>400000</v>
      </c>
    </row>
    <row r="29683" spans="26:26" x14ac:dyDescent="0.25">
      <c r="Z29683">
        <v>400000</v>
      </c>
    </row>
    <row r="29684" spans="26:26" x14ac:dyDescent="0.25">
      <c r="Z29684">
        <v>400000</v>
      </c>
    </row>
    <row r="29685" spans="26:26" x14ac:dyDescent="0.25">
      <c r="Z29685">
        <v>400000</v>
      </c>
    </row>
    <row r="29686" spans="26:26" x14ac:dyDescent="0.25">
      <c r="Z29686">
        <v>400000</v>
      </c>
    </row>
    <row r="29687" spans="26:26" x14ac:dyDescent="0.25">
      <c r="Z29687">
        <v>400000</v>
      </c>
    </row>
    <row r="29688" spans="26:26" x14ac:dyDescent="0.25">
      <c r="Z29688">
        <v>400000</v>
      </c>
    </row>
    <row r="29689" spans="26:26" x14ac:dyDescent="0.25">
      <c r="Z29689">
        <v>400000</v>
      </c>
    </row>
    <row r="29690" spans="26:26" x14ac:dyDescent="0.25">
      <c r="Z29690">
        <v>400000</v>
      </c>
    </row>
    <row r="29691" spans="26:26" x14ac:dyDescent="0.25">
      <c r="Z29691">
        <v>400000</v>
      </c>
    </row>
    <row r="29692" spans="26:26" x14ac:dyDescent="0.25">
      <c r="Z29692">
        <v>400000</v>
      </c>
    </row>
    <row r="29693" spans="26:26" x14ac:dyDescent="0.25">
      <c r="Z29693">
        <v>400000</v>
      </c>
    </row>
    <row r="29694" spans="26:26" x14ac:dyDescent="0.25">
      <c r="Z29694">
        <v>400000</v>
      </c>
    </row>
    <row r="29695" spans="26:26" x14ac:dyDescent="0.25">
      <c r="Z29695">
        <v>400000</v>
      </c>
    </row>
    <row r="29696" spans="26:26" x14ac:dyDescent="0.25">
      <c r="Z29696">
        <v>400000</v>
      </c>
    </row>
    <row r="29697" spans="26:26" x14ac:dyDescent="0.25">
      <c r="Z29697">
        <v>400000</v>
      </c>
    </row>
    <row r="29698" spans="26:26" x14ac:dyDescent="0.25">
      <c r="Z29698">
        <v>400000</v>
      </c>
    </row>
    <row r="29699" spans="26:26" x14ac:dyDescent="0.25">
      <c r="Z29699">
        <v>400000</v>
      </c>
    </row>
    <row r="29700" spans="26:26" x14ac:dyDescent="0.25">
      <c r="Z29700">
        <v>400000</v>
      </c>
    </row>
    <row r="29701" spans="26:26" x14ac:dyDescent="0.25">
      <c r="Z29701">
        <v>400000</v>
      </c>
    </row>
    <row r="29702" spans="26:26" x14ac:dyDescent="0.25">
      <c r="Z29702">
        <v>400000</v>
      </c>
    </row>
    <row r="29703" spans="26:26" x14ac:dyDescent="0.25">
      <c r="Z29703">
        <v>400000</v>
      </c>
    </row>
    <row r="29704" spans="26:26" x14ac:dyDescent="0.25">
      <c r="Z29704">
        <v>400000</v>
      </c>
    </row>
    <row r="29705" spans="26:26" x14ac:dyDescent="0.25">
      <c r="Z29705">
        <v>400000</v>
      </c>
    </row>
    <row r="29706" spans="26:26" x14ac:dyDescent="0.25">
      <c r="Z29706">
        <v>400000</v>
      </c>
    </row>
    <row r="29707" spans="26:26" x14ac:dyDescent="0.25">
      <c r="Z29707">
        <v>400000</v>
      </c>
    </row>
    <row r="29708" spans="26:26" x14ac:dyDescent="0.25">
      <c r="Z29708">
        <v>400000</v>
      </c>
    </row>
    <row r="29709" spans="26:26" x14ac:dyDescent="0.25">
      <c r="Z29709">
        <v>400000</v>
      </c>
    </row>
    <row r="29710" spans="26:26" x14ac:dyDescent="0.25">
      <c r="Z29710">
        <v>400000</v>
      </c>
    </row>
    <row r="29711" spans="26:26" x14ac:dyDescent="0.25">
      <c r="Z29711">
        <v>400000</v>
      </c>
    </row>
    <row r="29712" spans="26:26" x14ac:dyDescent="0.25">
      <c r="Z29712">
        <v>400000</v>
      </c>
    </row>
    <row r="29713" spans="26:26" x14ac:dyDescent="0.25">
      <c r="Z29713">
        <v>400000</v>
      </c>
    </row>
    <row r="29714" spans="26:26" x14ac:dyDescent="0.25">
      <c r="Z29714">
        <v>400000</v>
      </c>
    </row>
    <row r="29715" spans="26:26" x14ac:dyDescent="0.25">
      <c r="Z29715">
        <v>400000</v>
      </c>
    </row>
    <row r="29716" spans="26:26" x14ac:dyDescent="0.25">
      <c r="Z29716">
        <v>400000</v>
      </c>
    </row>
    <row r="29717" spans="26:26" x14ac:dyDescent="0.25">
      <c r="Z29717">
        <v>400000</v>
      </c>
    </row>
    <row r="29718" spans="26:26" x14ac:dyDescent="0.25">
      <c r="Z29718">
        <v>400000</v>
      </c>
    </row>
    <row r="29719" spans="26:26" x14ac:dyDescent="0.25">
      <c r="Z29719">
        <v>400000</v>
      </c>
    </row>
    <row r="29720" spans="26:26" x14ac:dyDescent="0.25">
      <c r="Z29720">
        <v>400000</v>
      </c>
    </row>
    <row r="29721" spans="26:26" x14ac:dyDescent="0.25">
      <c r="Z29721">
        <v>400000</v>
      </c>
    </row>
    <row r="29722" spans="26:26" x14ac:dyDescent="0.25">
      <c r="Z29722">
        <v>400000</v>
      </c>
    </row>
    <row r="29723" spans="26:26" x14ac:dyDescent="0.25">
      <c r="Z29723">
        <v>400000</v>
      </c>
    </row>
    <row r="29724" spans="26:26" x14ac:dyDescent="0.25">
      <c r="Z29724">
        <v>400000</v>
      </c>
    </row>
    <row r="29725" spans="26:26" x14ac:dyDescent="0.25">
      <c r="Z29725">
        <v>400000</v>
      </c>
    </row>
    <row r="29726" spans="26:26" x14ac:dyDescent="0.25">
      <c r="Z29726">
        <v>400000</v>
      </c>
    </row>
    <row r="29727" spans="26:26" x14ac:dyDescent="0.25">
      <c r="Z29727">
        <v>400000</v>
      </c>
    </row>
    <row r="29728" spans="26:26" x14ac:dyDescent="0.25">
      <c r="Z29728">
        <v>400000</v>
      </c>
    </row>
    <row r="29729" spans="26:26" x14ac:dyDescent="0.25">
      <c r="Z29729">
        <v>400000</v>
      </c>
    </row>
    <row r="29730" spans="26:26" x14ac:dyDescent="0.25">
      <c r="Z29730">
        <v>400000</v>
      </c>
    </row>
    <row r="29731" spans="26:26" x14ac:dyDescent="0.25">
      <c r="Z29731">
        <v>400000</v>
      </c>
    </row>
    <row r="29732" spans="26:26" x14ac:dyDescent="0.25">
      <c r="Z29732">
        <v>400000</v>
      </c>
    </row>
    <row r="29733" spans="26:26" x14ac:dyDescent="0.25">
      <c r="Z29733">
        <v>400000</v>
      </c>
    </row>
    <row r="29734" spans="26:26" x14ac:dyDescent="0.25">
      <c r="Z29734">
        <v>400000</v>
      </c>
    </row>
    <row r="29735" spans="26:26" x14ac:dyDescent="0.25">
      <c r="Z29735">
        <v>400000</v>
      </c>
    </row>
    <row r="29736" spans="26:26" x14ac:dyDescent="0.25">
      <c r="Z29736">
        <v>400000</v>
      </c>
    </row>
    <row r="29737" spans="26:26" x14ac:dyDescent="0.25">
      <c r="Z29737">
        <v>400000</v>
      </c>
    </row>
    <row r="29738" spans="26:26" x14ac:dyDescent="0.25">
      <c r="Z29738">
        <v>400000</v>
      </c>
    </row>
    <row r="29739" spans="26:26" x14ac:dyDescent="0.25">
      <c r="Z29739">
        <v>400000</v>
      </c>
    </row>
    <row r="29740" spans="26:26" x14ac:dyDescent="0.25">
      <c r="Z29740">
        <v>400000</v>
      </c>
    </row>
    <row r="29741" spans="26:26" x14ac:dyDescent="0.25">
      <c r="Z29741">
        <v>400000</v>
      </c>
    </row>
    <row r="29742" spans="26:26" x14ac:dyDescent="0.25">
      <c r="Z29742">
        <v>400000</v>
      </c>
    </row>
    <row r="29743" spans="26:26" x14ac:dyDescent="0.25">
      <c r="Z29743">
        <v>400000</v>
      </c>
    </row>
    <row r="29744" spans="26:26" x14ac:dyDescent="0.25">
      <c r="Z29744">
        <v>400000</v>
      </c>
    </row>
    <row r="29745" spans="26:26" x14ac:dyDescent="0.25">
      <c r="Z29745">
        <v>400000</v>
      </c>
    </row>
    <row r="29746" spans="26:26" x14ac:dyDescent="0.25">
      <c r="Z29746">
        <v>400000</v>
      </c>
    </row>
    <row r="29747" spans="26:26" x14ac:dyDescent="0.25">
      <c r="Z29747">
        <v>400000</v>
      </c>
    </row>
    <row r="29748" spans="26:26" x14ac:dyDescent="0.25">
      <c r="Z29748">
        <v>400000</v>
      </c>
    </row>
    <row r="29749" spans="26:26" x14ac:dyDescent="0.25">
      <c r="Z29749">
        <v>400000</v>
      </c>
    </row>
    <row r="29750" spans="26:26" x14ac:dyDescent="0.25">
      <c r="Z29750">
        <v>400000</v>
      </c>
    </row>
    <row r="29751" spans="26:26" x14ac:dyDescent="0.25">
      <c r="Z29751">
        <v>400000</v>
      </c>
    </row>
    <row r="29752" spans="26:26" x14ac:dyDescent="0.25">
      <c r="Z29752">
        <v>400000</v>
      </c>
    </row>
    <row r="29753" spans="26:26" x14ac:dyDescent="0.25">
      <c r="Z29753">
        <v>400000</v>
      </c>
    </row>
    <row r="29754" spans="26:26" x14ac:dyDescent="0.25">
      <c r="Z29754">
        <v>400000</v>
      </c>
    </row>
    <row r="29755" spans="26:26" x14ac:dyDescent="0.25">
      <c r="Z29755">
        <v>400000</v>
      </c>
    </row>
    <row r="29756" spans="26:26" x14ac:dyDescent="0.25">
      <c r="Z29756">
        <v>400000</v>
      </c>
    </row>
    <row r="29757" spans="26:26" x14ac:dyDescent="0.25">
      <c r="Z29757">
        <v>400000</v>
      </c>
    </row>
    <row r="29758" spans="26:26" x14ac:dyDescent="0.25">
      <c r="Z29758">
        <v>400000</v>
      </c>
    </row>
    <row r="29759" spans="26:26" x14ac:dyDescent="0.25">
      <c r="Z29759">
        <v>400000</v>
      </c>
    </row>
    <row r="29760" spans="26:26" x14ac:dyDescent="0.25">
      <c r="Z29760">
        <v>400000</v>
      </c>
    </row>
    <row r="29761" spans="26:26" x14ac:dyDescent="0.25">
      <c r="Z29761">
        <v>400000</v>
      </c>
    </row>
    <row r="29762" spans="26:26" x14ac:dyDescent="0.25">
      <c r="Z29762">
        <v>400000</v>
      </c>
    </row>
    <row r="29763" spans="26:26" x14ac:dyDescent="0.25">
      <c r="Z29763">
        <v>400000</v>
      </c>
    </row>
    <row r="29764" spans="26:26" x14ac:dyDescent="0.25">
      <c r="Z29764">
        <v>400000</v>
      </c>
    </row>
    <row r="29765" spans="26:26" x14ac:dyDescent="0.25">
      <c r="Z29765">
        <v>400000</v>
      </c>
    </row>
    <row r="29766" spans="26:26" x14ac:dyDescent="0.25">
      <c r="Z29766">
        <v>400000</v>
      </c>
    </row>
    <row r="29767" spans="26:26" x14ac:dyDescent="0.25">
      <c r="Z29767">
        <v>400000</v>
      </c>
    </row>
    <row r="29768" spans="26:26" x14ac:dyDescent="0.25">
      <c r="Z29768">
        <v>400000</v>
      </c>
    </row>
    <row r="29769" spans="26:26" x14ac:dyDescent="0.25">
      <c r="Z29769">
        <v>400000</v>
      </c>
    </row>
    <row r="29770" spans="26:26" x14ac:dyDescent="0.25">
      <c r="Z29770">
        <v>400000</v>
      </c>
    </row>
    <row r="29771" spans="26:26" x14ac:dyDescent="0.25">
      <c r="Z29771">
        <v>400000</v>
      </c>
    </row>
    <row r="29772" spans="26:26" x14ac:dyDescent="0.25">
      <c r="Z29772">
        <v>400000</v>
      </c>
    </row>
    <row r="29773" spans="26:26" x14ac:dyDescent="0.25">
      <c r="Z29773">
        <v>400000</v>
      </c>
    </row>
    <row r="29774" spans="26:26" x14ac:dyDescent="0.25">
      <c r="Z29774">
        <v>400000</v>
      </c>
    </row>
    <row r="29775" spans="26:26" x14ac:dyDescent="0.25">
      <c r="Z29775">
        <v>400000</v>
      </c>
    </row>
    <row r="29776" spans="26:26" x14ac:dyDescent="0.25">
      <c r="Z29776">
        <v>400000</v>
      </c>
    </row>
    <row r="29777" spans="26:26" x14ac:dyDescent="0.25">
      <c r="Z29777">
        <v>400000</v>
      </c>
    </row>
    <row r="29778" spans="26:26" x14ac:dyDescent="0.25">
      <c r="Z29778">
        <v>400000</v>
      </c>
    </row>
    <row r="29779" spans="26:26" x14ac:dyDescent="0.25">
      <c r="Z29779">
        <v>400000</v>
      </c>
    </row>
    <row r="29780" spans="26:26" x14ac:dyDescent="0.25">
      <c r="Z29780">
        <v>400000</v>
      </c>
    </row>
    <row r="29781" spans="26:26" x14ac:dyDescent="0.25">
      <c r="Z29781">
        <v>400000</v>
      </c>
    </row>
    <row r="29782" spans="26:26" x14ac:dyDescent="0.25">
      <c r="Z29782">
        <v>400000</v>
      </c>
    </row>
    <row r="29783" spans="26:26" x14ac:dyDescent="0.25">
      <c r="Z29783">
        <v>400000</v>
      </c>
    </row>
    <row r="29784" spans="26:26" x14ac:dyDescent="0.25">
      <c r="Z29784">
        <v>400000</v>
      </c>
    </row>
    <row r="29785" spans="26:26" x14ac:dyDescent="0.25">
      <c r="Z29785">
        <v>400000</v>
      </c>
    </row>
    <row r="29786" spans="26:26" x14ac:dyDescent="0.25">
      <c r="Z29786">
        <v>400000</v>
      </c>
    </row>
    <row r="29787" spans="26:26" x14ac:dyDescent="0.25">
      <c r="Z29787">
        <v>400000</v>
      </c>
    </row>
    <row r="29788" spans="26:26" x14ac:dyDescent="0.25">
      <c r="Z29788">
        <v>400000</v>
      </c>
    </row>
    <row r="29789" spans="26:26" x14ac:dyDescent="0.25">
      <c r="Z29789">
        <v>400000</v>
      </c>
    </row>
    <row r="29790" spans="26:26" x14ac:dyDescent="0.25">
      <c r="Z29790">
        <v>400000</v>
      </c>
    </row>
    <row r="29791" spans="26:26" x14ac:dyDescent="0.25">
      <c r="Z29791">
        <v>400000</v>
      </c>
    </row>
    <row r="29792" spans="26:26" x14ac:dyDescent="0.25">
      <c r="Z29792">
        <v>400000</v>
      </c>
    </row>
    <row r="29793" spans="26:26" x14ac:dyDescent="0.25">
      <c r="Z29793">
        <v>400000</v>
      </c>
    </row>
    <row r="29794" spans="26:26" x14ac:dyDescent="0.25">
      <c r="Z29794">
        <v>400000</v>
      </c>
    </row>
    <row r="29795" spans="26:26" x14ac:dyDescent="0.25">
      <c r="Z29795">
        <v>400000</v>
      </c>
    </row>
    <row r="29796" spans="26:26" x14ac:dyDescent="0.25">
      <c r="Z29796">
        <v>400000</v>
      </c>
    </row>
    <row r="29797" spans="26:26" x14ac:dyDescent="0.25">
      <c r="Z29797">
        <v>400000</v>
      </c>
    </row>
    <row r="29798" spans="26:26" x14ac:dyDescent="0.25">
      <c r="Z29798">
        <v>400000</v>
      </c>
    </row>
    <row r="29799" spans="26:26" x14ac:dyDescent="0.25">
      <c r="Z29799">
        <v>400000</v>
      </c>
    </row>
    <row r="29800" spans="26:26" x14ac:dyDescent="0.25">
      <c r="Z29800">
        <v>400000</v>
      </c>
    </row>
    <row r="29801" spans="26:26" x14ac:dyDescent="0.25">
      <c r="Z29801">
        <v>400000</v>
      </c>
    </row>
    <row r="29802" spans="26:26" x14ac:dyDescent="0.25">
      <c r="Z29802">
        <v>400000</v>
      </c>
    </row>
    <row r="29803" spans="26:26" x14ac:dyDescent="0.25">
      <c r="Z29803">
        <v>400000</v>
      </c>
    </row>
    <row r="29804" spans="26:26" x14ac:dyDescent="0.25">
      <c r="Z29804">
        <v>400000</v>
      </c>
    </row>
    <row r="29805" spans="26:26" x14ac:dyDescent="0.25">
      <c r="Z29805">
        <v>400000</v>
      </c>
    </row>
    <row r="29806" spans="26:26" x14ac:dyDescent="0.25">
      <c r="Z29806">
        <v>400000</v>
      </c>
    </row>
    <row r="29807" spans="26:26" x14ac:dyDescent="0.25">
      <c r="Z29807">
        <v>400000</v>
      </c>
    </row>
    <row r="29808" spans="26:26" x14ac:dyDescent="0.25">
      <c r="Z29808">
        <v>400000</v>
      </c>
    </row>
    <row r="29809" spans="26:26" x14ac:dyDescent="0.25">
      <c r="Z29809">
        <v>400000</v>
      </c>
    </row>
    <row r="29810" spans="26:26" x14ac:dyDescent="0.25">
      <c r="Z29810">
        <v>400000</v>
      </c>
    </row>
    <row r="29811" spans="26:26" x14ac:dyDescent="0.25">
      <c r="Z29811">
        <v>400000</v>
      </c>
    </row>
    <row r="29812" spans="26:26" x14ac:dyDescent="0.25">
      <c r="Z29812">
        <v>400000</v>
      </c>
    </row>
    <row r="29813" spans="26:26" x14ac:dyDescent="0.25">
      <c r="Z29813">
        <v>400000</v>
      </c>
    </row>
    <row r="29814" spans="26:26" x14ac:dyDescent="0.25">
      <c r="Z29814">
        <v>400000</v>
      </c>
    </row>
    <row r="29815" spans="26:26" x14ac:dyDescent="0.25">
      <c r="Z29815">
        <v>400000</v>
      </c>
    </row>
    <row r="29816" spans="26:26" x14ac:dyDescent="0.25">
      <c r="Z29816">
        <v>400000</v>
      </c>
    </row>
    <row r="29817" spans="26:26" x14ac:dyDescent="0.25">
      <c r="Z29817">
        <v>400000</v>
      </c>
    </row>
    <row r="29818" spans="26:26" x14ac:dyDescent="0.25">
      <c r="Z29818">
        <v>400000</v>
      </c>
    </row>
    <row r="29819" spans="26:26" x14ac:dyDescent="0.25">
      <c r="Z29819">
        <v>400000</v>
      </c>
    </row>
    <row r="29820" spans="26:26" x14ac:dyDescent="0.25">
      <c r="Z29820">
        <v>400000</v>
      </c>
    </row>
    <row r="29821" spans="26:26" x14ac:dyDescent="0.25">
      <c r="Z29821">
        <v>400000</v>
      </c>
    </row>
    <row r="29822" spans="26:26" x14ac:dyDescent="0.25">
      <c r="Z29822">
        <v>400000</v>
      </c>
    </row>
    <row r="29823" spans="26:26" x14ac:dyDescent="0.25">
      <c r="Z29823">
        <v>400000</v>
      </c>
    </row>
    <row r="29824" spans="26:26" x14ac:dyDescent="0.25">
      <c r="Z29824">
        <v>400000</v>
      </c>
    </row>
    <row r="29825" spans="26:26" x14ac:dyDescent="0.25">
      <c r="Z29825">
        <v>400000</v>
      </c>
    </row>
    <row r="29826" spans="26:26" x14ac:dyDescent="0.25">
      <c r="Z29826">
        <v>400000</v>
      </c>
    </row>
    <row r="29827" spans="26:26" x14ac:dyDescent="0.25">
      <c r="Z29827">
        <v>400000</v>
      </c>
    </row>
    <row r="29828" spans="26:26" x14ac:dyDescent="0.25">
      <c r="Z29828">
        <v>400000</v>
      </c>
    </row>
    <row r="29829" spans="26:26" x14ac:dyDescent="0.25">
      <c r="Z29829">
        <v>400000</v>
      </c>
    </row>
    <row r="29830" spans="26:26" x14ac:dyDescent="0.25">
      <c r="Z29830">
        <v>400000</v>
      </c>
    </row>
    <row r="29831" spans="26:26" x14ac:dyDescent="0.25">
      <c r="Z29831">
        <v>400000</v>
      </c>
    </row>
    <row r="29832" spans="26:26" x14ac:dyDescent="0.25">
      <c r="Z29832">
        <v>400000</v>
      </c>
    </row>
    <row r="29833" spans="26:26" x14ac:dyDescent="0.25">
      <c r="Z29833">
        <v>400000</v>
      </c>
    </row>
    <row r="29834" spans="26:26" x14ac:dyDescent="0.25">
      <c r="Z29834">
        <v>400000</v>
      </c>
    </row>
    <row r="29835" spans="26:26" x14ac:dyDescent="0.25">
      <c r="Z29835">
        <v>400000</v>
      </c>
    </row>
    <row r="29836" spans="26:26" x14ac:dyDescent="0.25">
      <c r="Z29836">
        <v>400000</v>
      </c>
    </row>
    <row r="29837" spans="26:26" x14ac:dyDescent="0.25">
      <c r="Z29837">
        <v>400000</v>
      </c>
    </row>
    <row r="29838" spans="26:26" x14ac:dyDescent="0.25">
      <c r="Z29838">
        <v>400000</v>
      </c>
    </row>
    <row r="29839" spans="26:26" x14ac:dyDescent="0.25">
      <c r="Z29839">
        <v>400000</v>
      </c>
    </row>
    <row r="29840" spans="26:26" x14ac:dyDescent="0.25">
      <c r="Z29840">
        <v>400000</v>
      </c>
    </row>
    <row r="29841" spans="26:26" x14ac:dyDescent="0.25">
      <c r="Z29841">
        <v>400000</v>
      </c>
    </row>
    <row r="29842" spans="26:26" x14ac:dyDescent="0.25">
      <c r="Z29842">
        <v>400000</v>
      </c>
    </row>
    <row r="29843" spans="26:26" x14ac:dyDescent="0.25">
      <c r="Z29843">
        <v>400000</v>
      </c>
    </row>
    <row r="29844" spans="26:26" x14ac:dyDescent="0.25">
      <c r="Z29844">
        <v>400000</v>
      </c>
    </row>
    <row r="29845" spans="26:26" x14ac:dyDescent="0.25">
      <c r="Z29845">
        <v>400000</v>
      </c>
    </row>
    <row r="29846" spans="26:26" x14ac:dyDescent="0.25">
      <c r="Z29846">
        <v>400000</v>
      </c>
    </row>
    <row r="29847" spans="26:26" x14ac:dyDescent="0.25">
      <c r="Z29847">
        <v>400000</v>
      </c>
    </row>
    <row r="29848" spans="26:26" x14ac:dyDescent="0.25">
      <c r="Z29848">
        <v>400000</v>
      </c>
    </row>
    <row r="29849" spans="26:26" x14ac:dyDescent="0.25">
      <c r="Z29849">
        <v>400000</v>
      </c>
    </row>
    <row r="29850" spans="26:26" x14ac:dyDescent="0.25">
      <c r="Z29850">
        <v>400000</v>
      </c>
    </row>
    <row r="29851" spans="26:26" x14ac:dyDescent="0.25">
      <c r="Z29851">
        <v>400000</v>
      </c>
    </row>
    <row r="29852" spans="26:26" x14ac:dyDescent="0.25">
      <c r="Z29852">
        <v>400000</v>
      </c>
    </row>
    <row r="29853" spans="26:26" x14ac:dyDescent="0.25">
      <c r="Z29853">
        <v>400000</v>
      </c>
    </row>
    <row r="29854" spans="26:26" x14ac:dyDescent="0.25">
      <c r="Z29854">
        <v>400000</v>
      </c>
    </row>
    <row r="29855" spans="26:26" x14ac:dyDescent="0.25">
      <c r="Z29855">
        <v>400000</v>
      </c>
    </row>
    <row r="29856" spans="26:26" x14ac:dyDescent="0.25">
      <c r="Z29856">
        <v>400000</v>
      </c>
    </row>
    <row r="29857" spans="26:26" x14ac:dyDescent="0.25">
      <c r="Z29857">
        <v>400000</v>
      </c>
    </row>
    <row r="29858" spans="26:26" x14ac:dyDescent="0.25">
      <c r="Z29858">
        <v>400000</v>
      </c>
    </row>
    <row r="29859" spans="26:26" x14ac:dyDescent="0.25">
      <c r="Z29859">
        <v>400000</v>
      </c>
    </row>
    <row r="29860" spans="26:26" x14ac:dyDescent="0.25">
      <c r="Z29860">
        <v>400000</v>
      </c>
    </row>
    <row r="29861" spans="26:26" x14ac:dyDescent="0.25">
      <c r="Z29861">
        <v>400000</v>
      </c>
    </row>
    <row r="29862" spans="26:26" x14ac:dyDescent="0.25">
      <c r="Z29862">
        <v>400000</v>
      </c>
    </row>
    <row r="29863" spans="26:26" x14ac:dyDescent="0.25">
      <c r="Z29863">
        <v>400000</v>
      </c>
    </row>
    <row r="29864" spans="26:26" x14ac:dyDescent="0.25">
      <c r="Z29864">
        <v>400000</v>
      </c>
    </row>
    <row r="29865" spans="26:26" x14ac:dyDescent="0.25">
      <c r="Z29865">
        <v>400000</v>
      </c>
    </row>
    <row r="29866" spans="26:26" x14ac:dyDescent="0.25">
      <c r="Z29866">
        <v>400000</v>
      </c>
    </row>
    <row r="29867" spans="26:26" x14ac:dyDescent="0.25">
      <c r="Z29867">
        <v>400000</v>
      </c>
    </row>
    <row r="29868" spans="26:26" x14ac:dyDescent="0.25">
      <c r="Z29868">
        <v>400000</v>
      </c>
    </row>
    <row r="29869" spans="26:26" x14ac:dyDescent="0.25">
      <c r="Z29869">
        <v>400000</v>
      </c>
    </row>
    <row r="29870" spans="26:26" x14ac:dyDescent="0.25">
      <c r="Z29870">
        <v>400000</v>
      </c>
    </row>
    <row r="29871" spans="26:26" x14ac:dyDescent="0.25">
      <c r="Z29871">
        <v>400000</v>
      </c>
    </row>
    <row r="29872" spans="26:26" x14ac:dyDescent="0.25">
      <c r="Z29872">
        <v>400000</v>
      </c>
    </row>
    <row r="29873" spans="26:26" x14ac:dyDescent="0.25">
      <c r="Z29873">
        <v>400000</v>
      </c>
    </row>
    <row r="29874" spans="26:26" x14ac:dyDescent="0.25">
      <c r="Z29874">
        <v>400000</v>
      </c>
    </row>
    <row r="29875" spans="26:26" x14ac:dyDescent="0.25">
      <c r="Z29875">
        <v>400000</v>
      </c>
    </row>
    <row r="29876" spans="26:26" x14ac:dyDescent="0.25">
      <c r="Z29876">
        <v>400000</v>
      </c>
    </row>
    <row r="29877" spans="26:26" x14ac:dyDescent="0.25">
      <c r="Z29877">
        <v>400000</v>
      </c>
    </row>
    <row r="29878" spans="26:26" x14ac:dyDescent="0.25">
      <c r="Z29878">
        <v>400000</v>
      </c>
    </row>
    <row r="29879" spans="26:26" x14ac:dyDescent="0.25">
      <c r="Z29879">
        <v>400000</v>
      </c>
    </row>
    <row r="29880" spans="26:26" x14ac:dyDescent="0.25">
      <c r="Z29880">
        <v>400000</v>
      </c>
    </row>
    <row r="29881" spans="26:26" x14ac:dyDescent="0.25">
      <c r="Z29881">
        <v>400000</v>
      </c>
    </row>
    <row r="29882" spans="26:26" x14ac:dyDescent="0.25">
      <c r="Z29882">
        <v>400000</v>
      </c>
    </row>
    <row r="29883" spans="26:26" x14ac:dyDescent="0.25">
      <c r="Z29883">
        <v>400000</v>
      </c>
    </row>
    <row r="29884" spans="26:26" x14ac:dyDescent="0.25">
      <c r="Z29884">
        <v>400000</v>
      </c>
    </row>
    <row r="29885" spans="26:26" x14ac:dyDescent="0.25">
      <c r="Z29885">
        <v>400000</v>
      </c>
    </row>
    <row r="29886" spans="26:26" x14ac:dyDescent="0.25">
      <c r="Z29886">
        <v>400000</v>
      </c>
    </row>
    <row r="29887" spans="26:26" x14ac:dyDescent="0.25">
      <c r="Z29887">
        <v>400000</v>
      </c>
    </row>
    <row r="29888" spans="26:26" x14ac:dyDescent="0.25">
      <c r="Z29888">
        <v>400000</v>
      </c>
    </row>
    <row r="29889" spans="26:26" x14ac:dyDescent="0.25">
      <c r="Z29889">
        <v>400000</v>
      </c>
    </row>
    <row r="29890" spans="26:26" x14ac:dyDescent="0.25">
      <c r="Z29890">
        <v>400000</v>
      </c>
    </row>
    <row r="29891" spans="26:26" x14ac:dyDescent="0.25">
      <c r="Z29891">
        <v>400000</v>
      </c>
    </row>
    <row r="29892" spans="26:26" x14ac:dyDescent="0.25">
      <c r="Z29892">
        <v>400000</v>
      </c>
    </row>
    <row r="29893" spans="26:26" x14ac:dyDescent="0.25">
      <c r="Z29893">
        <v>400000</v>
      </c>
    </row>
    <row r="29894" spans="26:26" x14ac:dyDescent="0.25">
      <c r="Z29894">
        <v>400000</v>
      </c>
    </row>
    <row r="29895" spans="26:26" x14ac:dyDescent="0.25">
      <c r="Z29895">
        <v>400000</v>
      </c>
    </row>
    <row r="29896" spans="26:26" x14ac:dyDescent="0.25">
      <c r="Z29896">
        <v>400000</v>
      </c>
    </row>
    <row r="29897" spans="26:26" x14ac:dyDescent="0.25">
      <c r="Z29897">
        <v>400000</v>
      </c>
    </row>
    <row r="29898" spans="26:26" x14ac:dyDescent="0.25">
      <c r="Z29898">
        <v>400000</v>
      </c>
    </row>
    <row r="29899" spans="26:26" x14ac:dyDescent="0.25">
      <c r="Z29899">
        <v>400000</v>
      </c>
    </row>
    <row r="29900" spans="26:26" x14ac:dyDescent="0.25">
      <c r="Z29900">
        <v>400000</v>
      </c>
    </row>
    <row r="29901" spans="26:26" x14ac:dyDescent="0.25">
      <c r="Z29901">
        <v>400000</v>
      </c>
    </row>
    <row r="29902" spans="26:26" x14ac:dyDescent="0.25">
      <c r="Z29902">
        <v>400000</v>
      </c>
    </row>
    <row r="29903" spans="26:26" x14ac:dyDescent="0.25">
      <c r="Z29903">
        <v>400000</v>
      </c>
    </row>
    <row r="29904" spans="26:26" x14ac:dyDescent="0.25">
      <c r="Z29904">
        <v>400000</v>
      </c>
    </row>
    <row r="29905" spans="26:26" x14ac:dyDescent="0.25">
      <c r="Z29905">
        <v>400000</v>
      </c>
    </row>
    <row r="29906" spans="26:26" x14ac:dyDescent="0.25">
      <c r="Z29906">
        <v>400000</v>
      </c>
    </row>
    <row r="29907" spans="26:26" x14ac:dyDescent="0.25">
      <c r="Z29907">
        <v>400000</v>
      </c>
    </row>
    <row r="29908" spans="26:26" x14ac:dyDescent="0.25">
      <c r="Z29908">
        <v>400000</v>
      </c>
    </row>
    <row r="29909" spans="26:26" x14ac:dyDescent="0.25">
      <c r="Z29909">
        <v>400000</v>
      </c>
    </row>
    <row r="29910" spans="26:26" x14ac:dyDescent="0.25">
      <c r="Z29910">
        <v>400000</v>
      </c>
    </row>
    <row r="29911" spans="26:26" x14ac:dyDescent="0.25">
      <c r="Z29911">
        <v>400000</v>
      </c>
    </row>
    <row r="29912" spans="26:26" x14ac:dyDescent="0.25">
      <c r="Z29912">
        <v>400000</v>
      </c>
    </row>
    <row r="29913" spans="26:26" x14ac:dyDescent="0.25">
      <c r="Z29913">
        <v>400000</v>
      </c>
    </row>
    <row r="29914" spans="26:26" x14ac:dyDescent="0.25">
      <c r="Z29914">
        <v>400000</v>
      </c>
    </row>
    <row r="29915" spans="26:26" x14ac:dyDescent="0.25">
      <c r="Z29915">
        <v>400000</v>
      </c>
    </row>
    <row r="29916" spans="26:26" x14ac:dyDescent="0.25">
      <c r="Z29916">
        <v>400000</v>
      </c>
    </row>
    <row r="29917" spans="26:26" x14ac:dyDescent="0.25">
      <c r="Z29917">
        <v>400000</v>
      </c>
    </row>
    <row r="29918" spans="26:26" x14ac:dyDescent="0.25">
      <c r="Z29918">
        <v>400000</v>
      </c>
    </row>
    <row r="29919" spans="26:26" x14ac:dyDescent="0.25">
      <c r="Z29919">
        <v>400000</v>
      </c>
    </row>
    <row r="29920" spans="26:26" x14ac:dyDescent="0.25">
      <c r="Z29920">
        <v>400000</v>
      </c>
    </row>
    <row r="29921" spans="26:26" x14ac:dyDescent="0.25">
      <c r="Z29921">
        <v>400000</v>
      </c>
    </row>
    <row r="29922" spans="26:26" x14ac:dyDescent="0.25">
      <c r="Z29922">
        <v>400000</v>
      </c>
    </row>
    <row r="29923" spans="26:26" x14ac:dyDescent="0.25">
      <c r="Z29923">
        <v>400000</v>
      </c>
    </row>
    <row r="29924" spans="26:26" x14ac:dyDescent="0.25">
      <c r="Z29924">
        <v>400000</v>
      </c>
    </row>
    <row r="29925" spans="26:26" x14ac:dyDescent="0.25">
      <c r="Z29925">
        <v>400000</v>
      </c>
    </row>
    <row r="29926" spans="26:26" x14ac:dyDescent="0.25">
      <c r="Z29926">
        <v>400000</v>
      </c>
    </row>
    <row r="29927" spans="26:26" x14ac:dyDescent="0.25">
      <c r="Z29927">
        <v>400000</v>
      </c>
    </row>
    <row r="29928" spans="26:26" x14ac:dyDescent="0.25">
      <c r="Z29928">
        <v>400000</v>
      </c>
    </row>
    <row r="29929" spans="26:26" x14ac:dyDescent="0.25">
      <c r="Z29929">
        <v>400000</v>
      </c>
    </row>
    <row r="29930" spans="26:26" x14ac:dyDescent="0.25">
      <c r="Z29930">
        <v>400000</v>
      </c>
    </row>
    <row r="29931" spans="26:26" x14ac:dyDescent="0.25">
      <c r="Z29931">
        <v>400000</v>
      </c>
    </row>
    <row r="29932" spans="26:26" x14ac:dyDescent="0.25">
      <c r="Z29932">
        <v>400000</v>
      </c>
    </row>
    <row r="29933" spans="26:26" x14ac:dyDescent="0.25">
      <c r="Z29933">
        <v>400000</v>
      </c>
    </row>
    <row r="29934" spans="26:26" x14ac:dyDescent="0.25">
      <c r="Z29934">
        <v>400000</v>
      </c>
    </row>
    <row r="29935" spans="26:26" x14ac:dyDescent="0.25">
      <c r="Z29935">
        <v>400000</v>
      </c>
    </row>
    <row r="29936" spans="26:26" x14ac:dyDescent="0.25">
      <c r="Z29936">
        <v>400000</v>
      </c>
    </row>
    <row r="29937" spans="26:26" x14ac:dyDescent="0.25">
      <c r="Z29937">
        <v>400000</v>
      </c>
    </row>
    <row r="29938" spans="26:26" x14ac:dyDescent="0.25">
      <c r="Z29938">
        <v>400000</v>
      </c>
    </row>
    <row r="29939" spans="26:26" x14ac:dyDescent="0.25">
      <c r="Z29939">
        <v>400000</v>
      </c>
    </row>
    <row r="29940" spans="26:26" x14ac:dyDescent="0.25">
      <c r="Z29940">
        <v>400000</v>
      </c>
    </row>
    <row r="29941" spans="26:26" x14ac:dyDescent="0.25">
      <c r="Z29941">
        <v>400000</v>
      </c>
    </row>
    <row r="29942" spans="26:26" x14ac:dyDescent="0.25">
      <c r="Z29942">
        <v>400000</v>
      </c>
    </row>
    <row r="29943" spans="26:26" x14ac:dyDescent="0.25">
      <c r="Z29943">
        <v>400000</v>
      </c>
    </row>
    <row r="29944" spans="26:26" x14ac:dyDescent="0.25">
      <c r="Z29944">
        <v>400000</v>
      </c>
    </row>
    <row r="29945" spans="26:26" x14ac:dyDescent="0.25">
      <c r="Z29945">
        <v>400000</v>
      </c>
    </row>
    <row r="29946" spans="26:26" x14ac:dyDescent="0.25">
      <c r="Z29946">
        <v>400000</v>
      </c>
    </row>
    <row r="29947" spans="26:26" x14ac:dyDescent="0.25">
      <c r="Z29947">
        <v>400000</v>
      </c>
    </row>
    <row r="29948" spans="26:26" x14ac:dyDescent="0.25">
      <c r="Z29948">
        <v>400000</v>
      </c>
    </row>
    <row r="29949" spans="26:26" x14ac:dyDescent="0.25">
      <c r="Z29949">
        <v>400000</v>
      </c>
    </row>
    <row r="29950" spans="26:26" x14ac:dyDescent="0.25">
      <c r="Z29950">
        <v>400000</v>
      </c>
    </row>
    <row r="29951" spans="26:26" x14ac:dyDescent="0.25">
      <c r="Z29951">
        <v>400000</v>
      </c>
    </row>
    <row r="29952" spans="26:26" x14ac:dyDescent="0.25">
      <c r="Z29952">
        <v>400000</v>
      </c>
    </row>
    <row r="29953" spans="26:26" x14ac:dyDescent="0.25">
      <c r="Z29953">
        <v>400000</v>
      </c>
    </row>
    <row r="29954" spans="26:26" x14ac:dyDescent="0.25">
      <c r="Z29954">
        <v>400000</v>
      </c>
    </row>
    <row r="29955" spans="26:26" x14ac:dyDescent="0.25">
      <c r="Z29955">
        <v>400000</v>
      </c>
    </row>
    <row r="29956" spans="26:26" x14ac:dyDescent="0.25">
      <c r="Z29956">
        <v>400000</v>
      </c>
    </row>
    <row r="29957" spans="26:26" x14ac:dyDescent="0.25">
      <c r="Z29957">
        <v>400000</v>
      </c>
    </row>
    <row r="29958" spans="26:26" x14ac:dyDescent="0.25">
      <c r="Z29958">
        <v>400000</v>
      </c>
    </row>
    <row r="29959" spans="26:26" x14ac:dyDescent="0.25">
      <c r="Z29959">
        <v>400000</v>
      </c>
    </row>
    <row r="29960" spans="26:26" x14ac:dyDescent="0.25">
      <c r="Z29960">
        <v>400000</v>
      </c>
    </row>
    <row r="29961" spans="26:26" x14ac:dyDescent="0.25">
      <c r="Z29961">
        <v>400000</v>
      </c>
    </row>
    <row r="29962" spans="26:26" x14ac:dyDescent="0.25">
      <c r="Z29962">
        <v>400000</v>
      </c>
    </row>
    <row r="29963" spans="26:26" x14ac:dyDescent="0.25">
      <c r="Z29963">
        <v>400000</v>
      </c>
    </row>
    <row r="29964" spans="26:26" x14ac:dyDescent="0.25">
      <c r="Z29964">
        <v>400000</v>
      </c>
    </row>
    <row r="29965" spans="26:26" x14ac:dyDescent="0.25">
      <c r="Z29965">
        <v>400000</v>
      </c>
    </row>
    <row r="29966" spans="26:26" x14ac:dyDescent="0.25">
      <c r="Z29966">
        <v>400000</v>
      </c>
    </row>
    <row r="29967" spans="26:26" x14ac:dyDescent="0.25">
      <c r="Z29967">
        <v>400000</v>
      </c>
    </row>
    <row r="29968" spans="26:26" x14ac:dyDescent="0.25">
      <c r="Z29968">
        <v>400000</v>
      </c>
    </row>
    <row r="29969" spans="26:26" x14ac:dyDescent="0.25">
      <c r="Z29969">
        <v>400000</v>
      </c>
    </row>
    <row r="29970" spans="26:26" x14ac:dyDescent="0.25">
      <c r="Z29970">
        <v>400000</v>
      </c>
    </row>
    <row r="29971" spans="26:26" x14ac:dyDescent="0.25">
      <c r="Z29971">
        <v>400000</v>
      </c>
    </row>
    <row r="29972" spans="26:26" x14ac:dyDescent="0.25">
      <c r="Z29972">
        <v>400000</v>
      </c>
    </row>
    <row r="29973" spans="26:26" x14ac:dyDescent="0.25">
      <c r="Z29973">
        <v>400000</v>
      </c>
    </row>
    <row r="29974" spans="26:26" x14ac:dyDescent="0.25">
      <c r="Z29974">
        <v>400000</v>
      </c>
    </row>
    <row r="29975" spans="26:26" x14ac:dyDescent="0.25">
      <c r="Z29975">
        <v>400000</v>
      </c>
    </row>
    <row r="29976" spans="26:26" x14ac:dyDescent="0.25">
      <c r="Z29976">
        <v>400000</v>
      </c>
    </row>
    <row r="29977" spans="26:26" x14ac:dyDescent="0.25">
      <c r="Z29977">
        <v>400000</v>
      </c>
    </row>
    <row r="29978" spans="26:26" x14ac:dyDescent="0.25">
      <c r="Z29978">
        <v>400000</v>
      </c>
    </row>
    <row r="29979" spans="26:26" x14ac:dyDescent="0.25">
      <c r="Z29979">
        <v>400000</v>
      </c>
    </row>
    <row r="29980" spans="26:26" x14ac:dyDescent="0.25">
      <c r="Z29980">
        <v>400000</v>
      </c>
    </row>
    <row r="29981" spans="26:26" x14ac:dyDescent="0.25">
      <c r="Z29981">
        <v>400000</v>
      </c>
    </row>
    <row r="29982" spans="26:26" x14ac:dyDescent="0.25">
      <c r="Z29982">
        <v>400000</v>
      </c>
    </row>
    <row r="29983" spans="26:26" x14ac:dyDescent="0.25">
      <c r="Z29983">
        <v>400000</v>
      </c>
    </row>
    <row r="29984" spans="26:26" x14ac:dyDescent="0.25">
      <c r="Z29984">
        <v>400000</v>
      </c>
    </row>
    <row r="29985" spans="26:26" x14ac:dyDescent="0.25">
      <c r="Z29985">
        <v>400000</v>
      </c>
    </row>
    <row r="29986" spans="26:26" x14ac:dyDescent="0.25">
      <c r="Z29986">
        <v>400000</v>
      </c>
    </row>
    <row r="29987" spans="26:26" x14ac:dyDescent="0.25">
      <c r="Z29987">
        <v>400000</v>
      </c>
    </row>
    <row r="29988" spans="26:26" x14ac:dyDescent="0.25">
      <c r="Z29988">
        <v>400000</v>
      </c>
    </row>
    <row r="29989" spans="26:26" x14ac:dyDescent="0.25">
      <c r="Z29989">
        <v>400000</v>
      </c>
    </row>
    <row r="29990" spans="26:26" x14ac:dyDescent="0.25">
      <c r="Z29990">
        <v>400000</v>
      </c>
    </row>
    <row r="29991" spans="26:26" x14ac:dyDescent="0.25">
      <c r="Z29991">
        <v>400000</v>
      </c>
    </row>
    <row r="29992" spans="26:26" x14ac:dyDescent="0.25">
      <c r="Z29992">
        <v>400000</v>
      </c>
    </row>
    <row r="29993" spans="26:26" x14ac:dyDescent="0.25">
      <c r="Z29993">
        <v>400000</v>
      </c>
    </row>
    <row r="29994" spans="26:26" x14ac:dyDescent="0.25">
      <c r="Z29994">
        <v>400000</v>
      </c>
    </row>
    <row r="29995" spans="26:26" x14ac:dyDescent="0.25">
      <c r="Z29995">
        <v>400000</v>
      </c>
    </row>
    <row r="29996" spans="26:26" x14ac:dyDescent="0.25">
      <c r="Z29996">
        <v>400000</v>
      </c>
    </row>
    <row r="29997" spans="26:26" x14ac:dyDescent="0.25">
      <c r="Z29997">
        <v>400000</v>
      </c>
    </row>
    <row r="29998" spans="26:26" x14ac:dyDescent="0.25">
      <c r="Z29998">
        <v>400000</v>
      </c>
    </row>
    <row r="29999" spans="26:26" x14ac:dyDescent="0.25">
      <c r="Z29999">
        <v>400000</v>
      </c>
    </row>
    <row r="30000" spans="26:26" x14ac:dyDescent="0.25">
      <c r="Z30000">
        <v>400000</v>
      </c>
    </row>
    <row r="30001" spans="26:26" x14ac:dyDescent="0.25">
      <c r="Z30001">
        <v>400000</v>
      </c>
    </row>
    <row r="30002" spans="26:26" x14ac:dyDescent="0.25">
      <c r="Z30002">
        <v>400000</v>
      </c>
    </row>
    <row r="30003" spans="26:26" x14ac:dyDescent="0.25">
      <c r="Z30003">
        <v>400000</v>
      </c>
    </row>
    <row r="30004" spans="26:26" x14ac:dyDescent="0.25">
      <c r="Z30004">
        <v>400000</v>
      </c>
    </row>
    <row r="30005" spans="26:26" x14ac:dyDescent="0.25">
      <c r="Z30005">
        <v>400000</v>
      </c>
    </row>
    <row r="30006" spans="26:26" x14ac:dyDescent="0.25">
      <c r="Z30006">
        <v>400000</v>
      </c>
    </row>
    <row r="30007" spans="26:26" x14ac:dyDescent="0.25">
      <c r="Z30007">
        <v>400000</v>
      </c>
    </row>
    <row r="30008" spans="26:26" x14ac:dyDescent="0.25">
      <c r="Z30008">
        <v>400000</v>
      </c>
    </row>
    <row r="30009" spans="26:26" x14ac:dyDescent="0.25">
      <c r="Z30009">
        <v>400000</v>
      </c>
    </row>
    <row r="30010" spans="26:26" x14ac:dyDescent="0.25">
      <c r="Z30010">
        <v>400000</v>
      </c>
    </row>
    <row r="30011" spans="26:26" x14ac:dyDescent="0.25">
      <c r="Z30011">
        <v>400000</v>
      </c>
    </row>
    <row r="30012" spans="26:26" x14ac:dyDescent="0.25">
      <c r="Z30012">
        <v>400000</v>
      </c>
    </row>
    <row r="30013" spans="26:26" x14ac:dyDescent="0.25">
      <c r="Z30013">
        <v>400000</v>
      </c>
    </row>
    <row r="30014" spans="26:26" x14ac:dyDescent="0.25">
      <c r="Z30014">
        <v>400000</v>
      </c>
    </row>
    <row r="30015" spans="26:26" x14ac:dyDescent="0.25">
      <c r="Z30015">
        <v>400000</v>
      </c>
    </row>
    <row r="30016" spans="26:26" x14ac:dyDescent="0.25">
      <c r="Z30016">
        <v>400000</v>
      </c>
    </row>
    <row r="30017" spans="26:26" x14ac:dyDescent="0.25">
      <c r="Z30017">
        <v>400000</v>
      </c>
    </row>
    <row r="30018" spans="26:26" x14ac:dyDescent="0.25">
      <c r="Z30018">
        <v>400000</v>
      </c>
    </row>
    <row r="30019" spans="26:26" x14ac:dyDescent="0.25">
      <c r="Z30019">
        <v>400000</v>
      </c>
    </row>
    <row r="30020" spans="26:26" x14ac:dyDescent="0.25">
      <c r="Z30020">
        <v>400000</v>
      </c>
    </row>
    <row r="30021" spans="26:26" x14ac:dyDescent="0.25">
      <c r="Z30021">
        <v>400000</v>
      </c>
    </row>
    <row r="30022" spans="26:26" x14ac:dyDescent="0.25">
      <c r="Z30022">
        <v>400000</v>
      </c>
    </row>
    <row r="30023" spans="26:26" x14ac:dyDescent="0.25">
      <c r="Z30023">
        <v>400000</v>
      </c>
    </row>
    <row r="30024" spans="26:26" x14ac:dyDescent="0.25">
      <c r="Z30024">
        <v>400000</v>
      </c>
    </row>
    <row r="30025" spans="26:26" x14ac:dyDescent="0.25">
      <c r="Z30025">
        <v>400000</v>
      </c>
    </row>
    <row r="30026" spans="26:26" x14ac:dyDescent="0.25">
      <c r="Z30026">
        <v>400000</v>
      </c>
    </row>
    <row r="30027" spans="26:26" x14ac:dyDescent="0.25">
      <c r="Z30027">
        <v>400000</v>
      </c>
    </row>
    <row r="30028" spans="26:26" x14ac:dyDescent="0.25">
      <c r="Z30028">
        <v>400000</v>
      </c>
    </row>
    <row r="30029" spans="26:26" x14ac:dyDescent="0.25">
      <c r="Z30029">
        <v>400000</v>
      </c>
    </row>
    <row r="30030" spans="26:26" x14ac:dyDescent="0.25">
      <c r="Z30030">
        <v>400000</v>
      </c>
    </row>
    <row r="30031" spans="26:26" x14ac:dyDescent="0.25">
      <c r="Z30031">
        <v>400000</v>
      </c>
    </row>
    <row r="30032" spans="26:26" x14ac:dyDescent="0.25">
      <c r="Z30032">
        <v>400000</v>
      </c>
    </row>
    <row r="30033" spans="26:26" x14ac:dyDescent="0.25">
      <c r="Z30033">
        <v>400000</v>
      </c>
    </row>
    <row r="30034" spans="26:26" x14ac:dyDescent="0.25">
      <c r="Z30034">
        <v>400000</v>
      </c>
    </row>
    <row r="30035" spans="26:26" x14ac:dyDescent="0.25">
      <c r="Z30035">
        <v>400000</v>
      </c>
    </row>
    <row r="30036" spans="26:26" x14ac:dyDescent="0.25">
      <c r="Z30036">
        <v>400000</v>
      </c>
    </row>
    <row r="30037" spans="26:26" x14ac:dyDescent="0.25">
      <c r="Z30037">
        <v>400000</v>
      </c>
    </row>
    <row r="30038" spans="26:26" x14ac:dyDescent="0.25">
      <c r="Z30038">
        <v>400000</v>
      </c>
    </row>
    <row r="30039" spans="26:26" x14ac:dyDescent="0.25">
      <c r="Z30039">
        <v>400000</v>
      </c>
    </row>
    <row r="30040" spans="26:26" x14ac:dyDescent="0.25">
      <c r="Z30040">
        <v>400000</v>
      </c>
    </row>
    <row r="30041" spans="26:26" x14ac:dyDescent="0.25">
      <c r="Z30041">
        <v>400000</v>
      </c>
    </row>
    <row r="30042" spans="26:26" x14ac:dyDescent="0.25">
      <c r="Z30042">
        <v>400000</v>
      </c>
    </row>
    <row r="30043" spans="26:26" x14ac:dyDescent="0.25">
      <c r="Z30043">
        <v>400000</v>
      </c>
    </row>
    <row r="30044" spans="26:26" x14ac:dyDescent="0.25">
      <c r="Z30044">
        <v>400000</v>
      </c>
    </row>
    <row r="30045" spans="26:26" x14ac:dyDescent="0.25">
      <c r="Z30045">
        <v>400000</v>
      </c>
    </row>
    <row r="30046" spans="26:26" x14ac:dyDescent="0.25">
      <c r="Z30046">
        <v>400000</v>
      </c>
    </row>
    <row r="30047" spans="26:26" x14ac:dyDescent="0.25">
      <c r="Z30047">
        <v>400000</v>
      </c>
    </row>
    <row r="30048" spans="26:26" x14ac:dyDescent="0.25">
      <c r="Z30048">
        <v>400000</v>
      </c>
    </row>
    <row r="30049" spans="26:26" x14ac:dyDescent="0.25">
      <c r="Z30049">
        <v>400000</v>
      </c>
    </row>
    <row r="30050" spans="26:26" x14ac:dyDescent="0.25">
      <c r="Z30050">
        <v>400000</v>
      </c>
    </row>
    <row r="30051" spans="26:26" x14ac:dyDescent="0.25">
      <c r="Z30051">
        <v>400000</v>
      </c>
    </row>
    <row r="30052" spans="26:26" x14ac:dyDescent="0.25">
      <c r="Z30052">
        <v>400000</v>
      </c>
    </row>
    <row r="30053" spans="26:26" x14ac:dyDescent="0.25">
      <c r="Z30053">
        <v>400000</v>
      </c>
    </row>
    <row r="30054" spans="26:26" x14ac:dyDescent="0.25">
      <c r="Z30054">
        <v>400000</v>
      </c>
    </row>
    <row r="30055" spans="26:26" x14ac:dyDescent="0.25">
      <c r="Z30055">
        <v>400000</v>
      </c>
    </row>
    <row r="30056" spans="26:26" x14ac:dyDescent="0.25">
      <c r="Z30056">
        <v>400000</v>
      </c>
    </row>
    <row r="30057" spans="26:26" x14ac:dyDescent="0.25">
      <c r="Z30057">
        <v>400000</v>
      </c>
    </row>
    <row r="30058" spans="26:26" x14ac:dyDescent="0.25">
      <c r="Z30058">
        <v>400000</v>
      </c>
    </row>
    <row r="30059" spans="26:26" x14ac:dyDescent="0.25">
      <c r="Z30059">
        <v>400000</v>
      </c>
    </row>
    <row r="30060" spans="26:26" x14ac:dyDescent="0.25">
      <c r="Z30060">
        <v>400000</v>
      </c>
    </row>
    <row r="30061" spans="26:26" x14ac:dyDescent="0.25">
      <c r="Z30061">
        <v>400000</v>
      </c>
    </row>
    <row r="30062" spans="26:26" x14ac:dyDescent="0.25">
      <c r="Z30062">
        <v>400000</v>
      </c>
    </row>
    <row r="30063" spans="26:26" x14ac:dyDescent="0.25">
      <c r="Z30063">
        <v>400000</v>
      </c>
    </row>
    <row r="30064" spans="26:26" x14ac:dyDescent="0.25">
      <c r="Z30064">
        <v>400000</v>
      </c>
    </row>
    <row r="30065" spans="26:26" x14ac:dyDescent="0.25">
      <c r="Z30065">
        <v>400000</v>
      </c>
    </row>
    <row r="30066" spans="26:26" x14ac:dyDescent="0.25">
      <c r="Z30066">
        <v>400000</v>
      </c>
    </row>
    <row r="30067" spans="26:26" x14ac:dyDescent="0.25">
      <c r="Z30067">
        <v>400000</v>
      </c>
    </row>
    <row r="30068" spans="26:26" x14ac:dyDescent="0.25">
      <c r="Z30068">
        <v>400000</v>
      </c>
    </row>
    <row r="30069" spans="26:26" x14ac:dyDescent="0.25">
      <c r="Z30069">
        <v>400000</v>
      </c>
    </row>
    <row r="30070" spans="26:26" x14ac:dyDescent="0.25">
      <c r="Z30070">
        <v>400000</v>
      </c>
    </row>
    <row r="30071" spans="26:26" x14ac:dyDescent="0.25">
      <c r="Z30071">
        <v>400000</v>
      </c>
    </row>
    <row r="30072" spans="26:26" x14ac:dyDescent="0.25">
      <c r="Z30072">
        <v>400000</v>
      </c>
    </row>
    <row r="30073" spans="26:26" x14ac:dyDescent="0.25">
      <c r="Z30073">
        <v>400000</v>
      </c>
    </row>
    <row r="30074" spans="26:26" x14ac:dyDescent="0.25">
      <c r="Z30074">
        <v>400000</v>
      </c>
    </row>
    <row r="30075" spans="26:26" x14ac:dyDescent="0.25">
      <c r="Z30075">
        <v>400000</v>
      </c>
    </row>
    <row r="30076" spans="26:26" x14ac:dyDescent="0.25">
      <c r="Z30076">
        <v>400000</v>
      </c>
    </row>
    <row r="30077" spans="26:26" x14ac:dyDescent="0.25">
      <c r="Z30077">
        <v>400000</v>
      </c>
    </row>
    <row r="30078" spans="26:26" x14ac:dyDescent="0.25">
      <c r="Z30078">
        <v>400000</v>
      </c>
    </row>
    <row r="30079" spans="26:26" x14ac:dyDescent="0.25">
      <c r="Z30079">
        <v>400000</v>
      </c>
    </row>
    <row r="30080" spans="26:26" x14ac:dyDescent="0.25">
      <c r="Z30080">
        <v>400000</v>
      </c>
    </row>
    <row r="30081" spans="26:26" x14ac:dyDescent="0.25">
      <c r="Z30081">
        <v>400000</v>
      </c>
    </row>
    <row r="30082" spans="26:26" x14ac:dyDescent="0.25">
      <c r="Z30082">
        <v>400000</v>
      </c>
    </row>
    <row r="30083" spans="26:26" x14ac:dyDescent="0.25">
      <c r="Z30083">
        <v>400000</v>
      </c>
    </row>
    <row r="30084" spans="26:26" x14ac:dyDescent="0.25">
      <c r="Z30084">
        <v>400000</v>
      </c>
    </row>
    <row r="30085" spans="26:26" x14ac:dyDescent="0.25">
      <c r="Z30085">
        <v>400000</v>
      </c>
    </row>
    <row r="30086" spans="26:26" x14ac:dyDescent="0.25">
      <c r="Z30086">
        <v>400000</v>
      </c>
    </row>
    <row r="30087" spans="26:26" x14ac:dyDescent="0.25">
      <c r="Z30087">
        <v>400000</v>
      </c>
    </row>
    <row r="30088" spans="26:26" x14ac:dyDescent="0.25">
      <c r="Z30088">
        <v>400000</v>
      </c>
    </row>
    <row r="30089" spans="26:26" x14ac:dyDescent="0.25">
      <c r="Z30089">
        <v>400000</v>
      </c>
    </row>
    <row r="30090" spans="26:26" x14ac:dyDescent="0.25">
      <c r="Z30090">
        <v>400000</v>
      </c>
    </row>
    <row r="30091" spans="26:26" x14ac:dyDescent="0.25">
      <c r="Z30091">
        <v>400000</v>
      </c>
    </row>
    <row r="30092" spans="26:26" x14ac:dyDescent="0.25">
      <c r="Z30092">
        <v>400000</v>
      </c>
    </row>
    <row r="30093" spans="26:26" x14ac:dyDescent="0.25">
      <c r="Z30093">
        <v>400000</v>
      </c>
    </row>
    <row r="30094" spans="26:26" x14ac:dyDescent="0.25">
      <c r="Z30094">
        <v>400000</v>
      </c>
    </row>
    <row r="30095" spans="26:26" x14ac:dyDescent="0.25">
      <c r="Z30095">
        <v>400000</v>
      </c>
    </row>
    <row r="30096" spans="26:26" x14ac:dyDescent="0.25">
      <c r="Z30096">
        <v>400000</v>
      </c>
    </row>
    <row r="30097" spans="26:26" x14ac:dyDescent="0.25">
      <c r="Z30097">
        <v>400000</v>
      </c>
    </row>
    <row r="30098" spans="26:26" x14ac:dyDescent="0.25">
      <c r="Z30098">
        <v>400000</v>
      </c>
    </row>
    <row r="30099" spans="26:26" x14ac:dyDescent="0.25">
      <c r="Z30099">
        <v>400000</v>
      </c>
    </row>
    <row r="30100" spans="26:26" x14ac:dyDescent="0.25">
      <c r="Z30100">
        <v>400000</v>
      </c>
    </row>
    <row r="30101" spans="26:26" x14ac:dyDescent="0.25">
      <c r="Z30101">
        <v>400000</v>
      </c>
    </row>
    <row r="30102" spans="26:26" x14ac:dyDescent="0.25">
      <c r="Z30102">
        <v>400000</v>
      </c>
    </row>
    <row r="30103" spans="26:26" x14ac:dyDescent="0.25">
      <c r="Z30103">
        <v>400000</v>
      </c>
    </row>
    <row r="30104" spans="26:26" x14ac:dyDescent="0.25">
      <c r="Z30104">
        <v>400000</v>
      </c>
    </row>
    <row r="30105" spans="26:26" x14ac:dyDescent="0.25">
      <c r="Z30105">
        <v>400000</v>
      </c>
    </row>
    <row r="30106" spans="26:26" x14ac:dyDescent="0.25">
      <c r="Z30106">
        <v>400000</v>
      </c>
    </row>
    <row r="30107" spans="26:26" x14ac:dyDescent="0.25">
      <c r="Z30107">
        <v>400000</v>
      </c>
    </row>
    <row r="30108" spans="26:26" x14ac:dyDescent="0.25">
      <c r="Z30108">
        <v>400000</v>
      </c>
    </row>
    <row r="30109" spans="26:26" x14ac:dyDescent="0.25">
      <c r="Z30109">
        <v>400000</v>
      </c>
    </row>
    <row r="30110" spans="26:26" x14ac:dyDescent="0.25">
      <c r="Z30110">
        <v>400000</v>
      </c>
    </row>
    <row r="30111" spans="26:26" x14ac:dyDescent="0.25">
      <c r="Z30111">
        <v>400000</v>
      </c>
    </row>
    <row r="30112" spans="26:26" x14ac:dyDescent="0.25">
      <c r="Z30112">
        <v>400000</v>
      </c>
    </row>
    <row r="30113" spans="26:26" x14ac:dyDescent="0.25">
      <c r="Z30113">
        <v>400000</v>
      </c>
    </row>
    <row r="30114" spans="26:26" x14ac:dyDescent="0.25">
      <c r="Z30114">
        <v>400000</v>
      </c>
    </row>
    <row r="30115" spans="26:26" x14ac:dyDescent="0.25">
      <c r="Z30115">
        <v>400000</v>
      </c>
    </row>
    <row r="30116" spans="26:26" x14ac:dyDescent="0.25">
      <c r="Z30116">
        <v>400000</v>
      </c>
    </row>
    <row r="30117" spans="26:26" x14ac:dyDescent="0.25">
      <c r="Z30117">
        <v>400000</v>
      </c>
    </row>
    <row r="30118" spans="26:26" x14ac:dyDescent="0.25">
      <c r="Z30118">
        <v>400000</v>
      </c>
    </row>
    <row r="30119" spans="26:26" x14ac:dyDescent="0.25">
      <c r="Z30119">
        <v>400000</v>
      </c>
    </row>
    <row r="30120" spans="26:26" x14ac:dyDescent="0.25">
      <c r="Z30120">
        <v>400000</v>
      </c>
    </row>
    <row r="30121" spans="26:26" x14ac:dyDescent="0.25">
      <c r="Z30121">
        <v>400000</v>
      </c>
    </row>
    <row r="30122" spans="26:26" x14ac:dyDescent="0.25">
      <c r="Z30122">
        <v>400000</v>
      </c>
    </row>
    <row r="30123" spans="26:26" x14ac:dyDescent="0.25">
      <c r="Z30123">
        <v>400000</v>
      </c>
    </row>
    <row r="30124" spans="26:26" x14ac:dyDescent="0.25">
      <c r="Z30124">
        <v>400000</v>
      </c>
    </row>
    <row r="30125" spans="26:26" x14ac:dyDescent="0.25">
      <c r="Z30125">
        <v>400000</v>
      </c>
    </row>
    <row r="30126" spans="26:26" x14ac:dyDescent="0.25">
      <c r="Z30126">
        <v>400000</v>
      </c>
    </row>
    <row r="30127" spans="26:26" x14ac:dyDescent="0.25">
      <c r="Z30127">
        <v>400000</v>
      </c>
    </row>
    <row r="30128" spans="26:26" x14ac:dyDescent="0.25">
      <c r="Z30128">
        <v>400000</v>
      </c>
    </row>
    <row r="30129" spans="26:26" x14ac:dyDescent="0.25">
      <c r="Z30129">
        <v>400000</v>
      </c>
    </row>
    <row r="30130" spans="26:26" x14ac:dyDescent="0.25">
      <c r="Z30130">
        <v>400000</v>
      </c>
    </row>
    <row r="30131" spans="26:26" x14ac:dyDescent="0.25">
      <c r="Z30131">
        <v>400000</v>
      </c>
    </row>
    <row r="30132" spans="26:26" x14ac:dyDescent="0.25">
      <c r="Z30132">
        <v>400000</v>
      </c>
    </row>
    <row r="30133" spans="26:26" x14ac:dyDescent="0.25">
      <c r="Z30133">
        <v>400000</v>
      </c>
    </row>
    <row r="30134" spans="26:26" x14ac:dyDescent="0.25">
      <c r="Z30134">
        <v>400000</v>
      </c>
    </row>
    <row r="30135" spans="26:26" x14ac:dyDescent="0.25">
      <c r="Z30135">
        <v>400000</v>
      </c>
    </row>
    <row r="30136" spans="26:26" x14ac:dyDescent="0.25">
      <c r="Z30136">
        <v>400000</v>
      </c>
    </row>
    <row r="30137" spans="26:26" x14ac:dyDescent="0.25">
      <c r="Z30137">
        <v>400000</v>
      </c>
    </row>
    <row r="30138" spans="26:26" x14ac:dyDescent="0.25">
      <c r="Z30138">
        <v>400000</v>
      </c>
    </row>
    <row r="30139" spans="26:26" x14ac:dyDescent="0.25">
      <c r="Z30139">
        <v>400000</v>
      </c>
    </row>
    <row r="30140" spans="26:26" x14ac:dyDescent="0.25">
      <c r="Z30140">
        <v>400000</v>
      </c>
    </row>
    <row r="30141" spans="26:26" x14ac:dyDescent="0.25">
      <c r="Z30141">
        <v>400000</v>
      </c>
    </row>
    <row r="30142" spans="26:26" x14ac:dyDescent="0.25">
      <c r="Z30142">
        <v>400000</v>
      </c>
    </row>
    <row r="30143" spans="26:26" x14ac:dyDescent="0.25">
      <c r="Z30143">
        <v>400000</v>
      </c>
    </row>
    <row r="30144" spans="26:26" x14ac:dyDescent="0.25">
      <c r="Z30144">
        <v>400000</v>
      </c>
    </row>
    <row r="30145" spans="26:26" x14ac:dyDescent="0.25">
      <c r="Z30145">
        <v>400000</v>
      </c>
    </row>
    <row r="30146" spans="26:26" x14ac:dyDescent="0.25">
      <c r="Z30146">
        <v>400000</v>
      </c>
    </row>
    <row r="30147" spans="26:26" x14ac:dyDescent="0.25">
      <c r="Z30147">
        <v>400000</v>
      </c>
    </row>
    <row r="30148" spans="26:26" x14ac:dyDescent="0.25">
      <c r="Z30148">
        <v>400000</v>
      </c>
    </row>
    <row r="30149" spans="26:26" x14ac:dyDescent="0.25">
      <c r="Z30149">
        <v>400000</v>
      </c>
    </row>
    <row r="30150" spans="26:26" x14ac:dyDescent="0.25">
      <c r="Z30150">
        <v>400000</v>
      </c>
    </row>
    <row r="30151" spans="26:26" x14ac:dyDescent="0.25">
      <c r="Z30151">
        <v>400000</v>
      </c>
    </row>
    <row r="30152" spans="26:26" x14ac:dyDescent="0.25">
      <c r="Z30152">
        <v>400000</v>
      </c>
    </row>
    <row r="30153" spans="26:26" x14ac:dyDescent="0.25">
      <c r="Z30153">
        <v>400000</v>
      </c>
    </row>
    <row r="30154" spans="26:26" x14ac:dyDescent="0.25">
      <c r="Z30154">
        <v>400000</v>
      </c>
    </row>
    <row r="30155" spans="26:26" x14ac:dyDescent="0.25">
      <c r="Z30155">
        <v>400000</v>
      </c>
    </row>
    <row r="30156" spans="26:26" x14ac:dyDescent="0.25">
      <c r="Z30156">
        <v>400000</v>
      </c>
    </row>
    <row r="30157" spans="26:26" x14ac:dyDescent="0.25">
      <c r="Z30157">
        <v>400000</v>
      </c>
    </row>
    <row r="30158" spans="26:26" x14ac:dyDescent="0.25">
      <c r="Z30158">
        <v>400000</v>
      </c>
    </row>
    <row r="30159" spans="26:26" x14ac:dyDescent="0.25">
      <c r="Z30159">
        <v>400000</v>
      </c>
    </row>
    <row r="30160" spans="26:26" x14ac:dyDescent="0.25">
      <c r="Z30160">
        <v>400000</v>
      </c>
    </row>
    <row r="30161" spans="26:26" x14ac:dyDescent="0.25">
      <c r="Z30161">
        <v>400000</v>
      </c>
    </row>
    <row r="30162" spans="26:26" x14ac:dyDescent="0.25">
      <c r="Z30162">
        <v>400000</v>
      </c>
    </row>
    <row r="30163" spans="26:26" x14ac:dyDescent="0.25">
      <c r="Z30163">
        <v>400000</v>
      </c>
    </row>
    <row r="30164" spans="26:26" x14ac:dyDescent="0.25">
      <c r="Z30164">
        <v>400000</v>
      </c>
    </row>
    <row r="30165" spans="26:26" x14ac:dyDescent="0.25">
      <c r="Z30165">
        <v>400000</v>
      </c>
    </row>
    <row r="30166" spans="26:26" x14ac:dyDescent="0.25">
      <c r="Z30166">
        <v>400000</v>
      </c>
    </row>
    <row r="30167" spans="26:26" x14ac:dyDescent="0.25">
      <c r="Z30167">
        <v>400000</v>
      </c>
    </row>
    <row r="30168" spans="26:26" x14ac:dyDescent="0.25">
      <c r="Z30168">
        <v>400000</v>
      </c>
    </row>
    <row r="30169" spans="26:26" x14ac:dyDescent="0.25">
      <c r="Z30169">
        <v>400000</v>
      </c>
    </row>
    <row r="30170" spans="26:26" x14ac:dyDescent="0.25">
      <c r="Z30170">
        <v>400000</v>
      </c>
    </row>
    <row r="30171" spans="26:26" x14ac:dyDescent="0.25">
      <c r="Z30171">
        <v>400000</v>
      </c>
    </row>
    <row r="30172" spans="26:26" x14ac:dyDescent="0.25">
      <c r="Z30172">
        <v>400000</v>
      </c>
    </row>
    <row r="30173" spans="26:26" x14ac:dyDescent="0.25">
      <c r="Z30173">
        <v>400000</v>
      </c>
    </row>
    <row r="30174" spans="26:26" x14ac:dyDescent="0.25">
      <c r="Z30174">
        <v>400000</v>
      </c>
    </row>
    <row r="30175" spans="26:26" x14ac:dyDescent="0.25">
      <c r="Z30175">
        <v>400000</v>
      </c>
    </row>
    <row r="30176" spans="26:26" x14ac:dyDescent="0.25">
      <c r="Z30176">
        <v>400000</v>
      </c>
    </row>
    <row r="30177" spans="26:26" x14ac:dyDescent="0.25">
      <c r="Z30177">
        <v>400000</v>
      </c>
    </row>
    <row r="30178" spans="26:26" x14ac:dyDescent="0.25">
      <c r="Z30178">
        <v>400000</v>
      </c>
    </row>
    <row r="30179" spans="26:26" x14ac:dyDescent="0.25">
      <c r="Z30179">
        <v>400000</v>
      </c>
    </row>
    <row r="30180" spans="26:26" x14ac:dyDescent="0.25">
      <c r="Z30180">
        <v>400000</v>
      </c>
    </row>
    <row r="30181" spans="26:26" x14ac:dyDescent="0.25">
      <c r="Z30181">
        <v>400000</v>
      </c>
    </row>
    <row r="30182" spans="26:26" x14ac:dyDescent="0.25">
      <c r="Z30182">
        <v>400000</v>
      </c>
    </row>
    <row r="30183" spans="26:26" x14ac:dyDescent="0.25">
      <c r="Z30183">
        <v>400000</v>
      </c>
    </row>
    <row r="30184" spans="26:26" x14ac:dyDescent="0.25">
      <c r="Z30184">
        <v>400000</v>
      </c>
    </row>
    <row r="30185" spans="26:26" x14ac:dyDescent="0.25">
      <c r="Z30185">
        <v>400000</v>
      </c>
    </row>
    <row r="30186" spans="26:26" x14ac:dyDescent="0.25">
      <c r="Z30186">
        <v>400000</v>
      </c>
    </row>
    <row r="30187" spans="26:26" x14ac:dyDescent="0.25">
      <c r="Z30187">
        <v>400000</v>
      </c>
    </row>
    <row r="30188" spans="26:26" x14ac:dyDescent="0.25">
      <c r="Z30188">
        <v>400000</v>
      </c>
    </row>
    <row r="30189" spans="26:26" x14ac:dyDescent="0.25">
      <c r="Z30189">
        <v>400000</v>
      </c>
    </row>
    <row r="30190" spans="26:26" x14ac:dyDescent="0.25">
      <c r="Z30190">
        <v>400000</v>
      </c>
    </row>
    <row r="30191" spans="26:26" x14ac:dyDescent="0.25">
      <c r="Z30191">
        <v>400000</v>
      </c>
    </row>
    <row r="30192" spans="26:26" x14ac:dyDescent="0.25">
      <c r="Z30192">
        <v>400000</v>
      </c>
    </row>
    <row r="30193" spans="26:26" x14ac:dyDescent="0.25">
      <c r="Z30193">
        <v>400000</v>
      </c>
    </row>
    <row r="30194" spans="26:26" x14ac:dyDescent="0.25">
      <c r="Z30194">
        <v>400000</v>
      </c>
    </row>
    <row r="30195" spans="26:26" x14ac:dyDescent="0.25">
      <c r="Z30195">
        <v>400000</v>
      </c>
    </row>
    <row r="30196" spans="26:26" x14ac:dyDescent="0.25">
      <c r="Z30196">
        <v>400000</v>
      </c>
    </row>
    <row r="30197" spans="26:26" x14ac:dyDescent="0.25">
      <c r="Z30197">
        <v>400000</v>
      </c>
    </row>
    <row r="30198" spans="26:26" x14ac:dyDescent="0.25">
      <c r="Z30198">
        <v>400000</v>
      </c>
    </row>
    <row r="30199" spans="26:26" x14ac:dyDescent="0.25">
      <c r="Z30199">
        <v>400000</v>
      </c>
    </row>
    <row r="30200" spans="26:26" x14ac:dyDescent="0.25">
      <c r="Z30200">
        <v>400000</v>
      </c>
    </row>
    <row r="30201" spans="26:26" x14ac:dyDescent="0.25">
      <c r="Z30201">
        <v>400000</v>
      </c>
    </row>
    <row r="30202" spans="26:26" x14ac:dyDescent="0.25">
      <c r="Z30202">
        <v>400000</v>
      </c>
    </row>
    <row r="30203" spans="26:26" x14ac:dyDescent="0.25">
      <c r="Z30203">
        <v>400000</v>
      </c>
    </row>
    <row r="30204" spans="26:26" x14ac:dyDescent="0.25">
      <c r="Z30204">
        <v>400000</v>
      </c>
    </row>
    <row r="30205" spans="26:26" x14ac:dyDescent="0.25">
      <c r="Z30205">
        <v>400000</v>
      </c>
    </row>
    <row r="30206" spans="26:26" x14ac:dyDescent="0.25">
      <c r="Z30206">
        <v>400000</v>
      </c>
    </row>
    <row r="30207" spans="26:26" x14ac:dyDescent="0.25">
      <c r="Z30207">
        <v>400000</v>
      </c>
    </row>
    <row r="30208" spans="26:26" x14ac:dyDescent="0.25">
      <c r="Z30208">
        <v>400000</v>
      </c>
    </row>
    <row r="30209" spans="26:26" x14ac:dyDescent="0.25">
      <c r="Z30209">
        <v>400000</v>
      </c>
    </row>
    <row r="30210" spans="26:26" x14ac:dyDescent="0.25">
      <c r="Z30210">
        <v>400000</v>
      </c>
    </row>
    <row r="30211" spans="26:26" x14ac:dyDescent="0.25">
      <c r="Z30211">
        <v>400000</v>
      </c>
    </row>
    <row r="30212" spans="26:26" x14ac:dyDescent="0.25">
      <c r="Z30212">
        <v>400000</v>
      </c>
    </row>
    <row r="30213" spans="26:26" x14ac:dyDescent="0.25">
      <c r="Z30213">
        <v>400000</v>
      </c>
    </row>
    <row r="30214" spans="26:26" x14ac:dyDescent="0.25">
      <c r="Z30214">
        <v>400000</v>
      </c>
    </row>
    <row r="30215" spans="26:26" x14ac:dyDescent="0.25">
      <c r="Z30215">
        <v>400000</v>
      </c>
    </row>
    <row r="30216" spans="26:26" x14ac:dyDescent="0.25">
      <c r="Z30216">
        <v>400000</v>
      </c>
    </row>
    <row r="30217" spans="26:26" x14ac:dyDescent="0.25">
      <c r="Z30217">
        <v>400000</v>
      </c>
    </row>
    <row r="30218" spans="26:26" x14ac:dyDescent="0.25">
      <c r="Z30218">
        <v>400000</v>
      </c>
    </row>
    <row r="30219" spans="26:26" x14ac:dyDescent="0.25">
      <c r="Z30219">
        <v>400000</v>
      </c>
    </row>
    <row r="30220" spans="26:26" x14ac:dyDescent="0.25">
      <c r="Z30220">
        <v>400000</v>
      </c>
    </row>
    <row r="30221" spans="26:26" x14ac:dyDescent="0.25">
      <c r="Z30221">
        <v>400000</v>
      </c>
    </row>
    <row r="30222" spans="26:26" x14ac:dyDescent="0.25">
      <c r="Z30222">
        <v>400000</v>
      </c>
    </row>
    <row r="30223" spans="26:26" x14ac:dyDescent="0.25">
      <c r="Z30223">
        <v>400000</v>
      </c>
    </row>
    <row r="30224" spans="26:26" x14ac:dyDescent="0.25">
      <c r="Z30224">
        <v>400000</v>
      </c>
    </row>
    <row r="30225" spans="26:26" x14ac:dyDescent="0.25">
      <c r="Z30225">
        <v>400000</v>
      </c>
    </row>
    <row r="30226" spans="26:26" x14ac:dyDescent="0.25">
      <c r="Z30226">
        <v>400000</v>
      </c>
    </row>
    <row r="30227" spans="26:26" x14ac:dyDescent="0.25">
      <c r="Z30227">
        <v>400000</v>
      </c>
    </row>
    <row r="30228" spans="26:26" x14ac:dyDescent="0.25">
      <c r="Z30228">
        <v>400000</v>
      </c>
    </row>
    <row r="30229" spans="26:26" x14ac:dyDescent="0.25">
      <c r="Z30229">
        <v>400000</v>
      </c>
    </row>
    <row r="30230" spans="26:26" x14ac:dyDescent="0.25">
      <c r="Z30230">
        <v>400000</v>
      </c>
    </row>
    <row r="30231" spans="26:26" x14ac:dyDescent="0.25">
      <c r="Z30231">
        <v>400000</v>
      </c>
    </row>
    <row r="30232" spans="26:26" x14ac:dyDescent="0.25">
      <c r="Z30232">
        <v>400000</v>
      </c>
    </row>
    <row r="30233" spans="26:26" x14ac:dyDescent="0.25">
      <c r="Z30233">
        <v>400000</v>
      </c>
    </row>
    <row r="30234" spans="26:26" x14ac:dyDescent="0.25">
      <c r="Z30234">
        <v>400000</v>
      </c>
    </row>
    <row r="30235" spans="26:26" x14ac:dyDescent="0.25">
      <c r="Z30235">
        <v>400000</v>
      </c>
    </row>
    <row r="30236" spans="26:26" x14ac:dyDescent="0.25">
      <c r="Z30236">
        <v>400000</v>
      </c>
    </row>
    <row r="30237" spans="26:26" x14ac:dyDescent="0.25">
      <c r="Z30237">
        <v>400000</v>
      </c>
    </row>
    <row r="30238" spans="26:26" x14ac:dyDescent="0.25">
      <c r="Z30238">
        <v>400000</v>
      </c>
    </row>
    <row r="30239" spans="26:26" x14ac:dyDescent="0.25">
      <c r="Z30239">
        <v>400000</v>
      </c>
    </row>
    <row r="30240" spans="26:26" x14ac:dyDescent="0.25">
      <c r="Z30240">
        <v>400000</v>
      </c>
    </row>
    <row r="30241" spans="26:26" x14ac:dyDescent="0.25">
      <c r="Z30241">
        <v>400000</v>
      </c>
    </row>
    <row r="30242" spans="26:26" x14ac:dyDescent="0.25">
      <c r="Z30242">
        <v>400000</v>
      </c>
    </row>
    <row r="30243" spans="26:26" x14ac:dyDescent="0.25">
      <c r="Z30243">
        <v>400000</v>
      </c>
    </row>
    <row r="30244" spans="26:26" x14ac:dyDescent="0.25">
      <c r="Z30244">
        <v>400000</v>
      </c>
    </row>
    <row r="30245" spans="26:26" x14ac:dyDescent="0.25">
      <c r="Z30245">
        <v>400000</v>
      </c>
    </row>
    <row r="30246" spans="26:26" x14ac:dyDescent="0.25">
      <c r="Z30246">
        <v>400000</v>
      </c>
    </row>
    <row r="30247" spans="26:26" x14ac:dyDescent="0.25">
      <c r="Z30247">
        <v>400000</v>
      </c>
    </row>
    <row r="30248" spans="26:26" x14ac:dyDescent="0.25">
      <c r="Z30248">
        <v>400000</v>
      </c>
    </row>
    <row r="30249" spans="26:26" x14ac:dyDescent="0.25">
      <c r="Z30249">
        <v>400000</v>
      </c>
    </row>
    <row r="30250" spans="26:26" x14ac:dyDescent="0.25">
      <c r="Z30250">
        <v>400000</v>
      </c>
    </row>
    <row r="30251" spans="26:26" x14ac:dyDescent="0.25">
      <c r="Z30251">
        <v>400000</v>
      </c>
    </row>
    <row r="30252" spans="26:26" x14ac:dyDescent="0.25">
      <c r="Z30252">
        <v>400000</v>
      </c>
    </row>
    <row r="30253" spans="26:26" x14ac:dyDescent="0.25">
      <c r="Z30253">
        <v>400000</v>
      </c>
    </row>
    <row r="30254" spans="26:26" x14ac:dyDescent="0.25">
      <c r="Z30254">
        <v>400000</v>
      </c>
    </row>
    <row r="30255" spans="26:26" x14ac:dyDescent="0.25">
      <c r="Z30255">
        <v>400000</v>
      </c>
    </row>
    <row r="30256" spans="26:26" x14ac:dyDescent="0.25">
      <c r="Z30256">
        <v>400000</v>
      </c>
    </row>
    <row r="30257" spans="26:26" x14ac:dyDescent="0.25">
      <c r="Z30257">
        <v>400000</v>
      </c>
    </row>
    <row r="30258" spans="26:26" x14ac:dyDescent="0.25">
      <c r="Z30258">
        <v>400000</v>
      </c>
    </row>
    <row r="30259" spans="26:26" x14ac:dyDescent="0.25">
      <c r="Z30259">
        <v>400000</v>
      </c>
    </row>
    <row r="30260" spans="26:26" x14ac:dyDescent="0.25">
      <c r="Z30260">
        <v>400000</v>
      </c>
    </row>
    <row r="30261" spans="26:26" x14ac:dyDescent="0.25">
      <c r="Z30261">
        <v>400000</v>
      </c>
    </row>
    <row r="30262" spans="26:26" x14ac:dyDescent="0.25">
      <c r="Z30262">
        <v>400000</v>
      </c>
    </row>
    <row r="30263" spans="26:26" x14ac:dyDescent="0.25">
      <c r="Z30263">
        <v>400000</v>
      </c>
    </row>
    <row r="30264" spans="26:26" x14ac:dyDescent="0.25">
      <c r="Z30264">
        <v>400000</v>
      </c>
    </row>
    <row r="30265" spans="26:26" x14ac:dyDescent="0.25">
      <c r="Z30265">
        <v>400000</v>
      </c>
    </row>
    <row r="30266" spans="26:26" x14ac:dyDescent="0.25">
      <c r="Z30266">
        <v>400000</v>
      </c>
    </row>
    <row r="30267" spans="26:26" x14ac:dyDescent="0.25">
      <c r="Z30267">
        <v>400000</v>
      </c>
    </row>
    <row r="30268" spans="26:26" x14ac:dyDescent="0.25">
      <c r="Z30268">
        <v>400000</v>
      </c>
    </row>
    <row r="30269" spans="26:26" x14ac:dyDescent="0.25">
      <c r="Z30269">
        <v>400000</v>
      </c>
    </row>
    <row r="30270" spans="26:26" x14ac:dyDescent="0.25">
      <c r="Z30270">
        <v>400000</v>
      </c>
    </row>
    <row r="30271" spans="26:26" x14ac:dyDescent="0.25">
      <c r="Z30271">
        <v>400000</v>
      </c>
    </row>
    <row r="30272" spans="26:26" x14ac:dyDescent="0.25">
      <c r="Z30272">
        <v>400000</v>
      </c>
    </row>
    <row r="30273" spans="26:26" x14ac:dyDescent="0.25">
      <c r="Z30273">
        <v>400000</v>
      </c>
    </row>
    <row r="30274" spans="26:26" x14ac:dyDescent="0.25">
      <c r="Z30274">
        <v>400000</v>
      </c>
    </row>
    <row r="30275" spans="26:26" x14ac:dyDescent="0.25">
      <c r="Z30275">
        <v>400000</v>
      </c>
    </row>
    <row r="30276" spans="26:26" x14ac:dyDescent="0.25">
      <c r="Z30276">
        <v>400000</v>
      </c>
    </row>
    <row r="30277" spans="26:26" x14ac:dyDescent="0.25">
      <c r="Z30277">
        <v>400000</v>
      </c>
    </row>
    <row r="30278" spans="26:26" x14ac:dyDescent="0.25">
      <c r="Z30278">
        <v>400000</v>
      </c>
    </row>
    <row r="30279" spans="26:26" x14ac:dyDescent="0.25">
      <c r="Z30279">
        <v>400000</v>
      </c>
    </row>
    <row r="30280" spans="26:26" x14ac:dyDescent="0.25">
      <c r="Z30280">
        <v>400000</v>
      </c>
    </row>
    <row r="30281" spans="26:26" x14ac:dyDescent="0.25">
      <c r="Z30281">
        <v>400000</v>
      </c>
    </row>
    <row r="30282" spans="26:26" x14ac:dyDescent="0.25">
      <c r="Z30282">
        <v>400000</v>
      </c>
    </row>
    <row r="30283" spans="26:26" x14ac:dyDescent="0.25">
      <c r="Z30283">
        <v>400000</v>
      </c>
    </row>
    <row r="30284" spans="26:26" x14ac:dyDescent="0.25">
      <c r="Z30284">
        <v>400000</v>
      </c>
    </row>
    <row r="30285" spans="26:26" x14ac:dyDescent="0.25">
      <c r="Z30285">
        <v>400000</v>
      </c>
    </row>
    <row r="30286" spans="26:26" x14ac:dyDescent="0.25">
      <c r="Z30286">
        <v>400000</v>
      </c>
    </row>
    <row r="30287" spans="26:26" x14ac:dyDescent="0.25">
      <c r="Z30287">
        <v>400000</v>
      </c>
    </row>
    <row r="30288" spans="26:26" x14ac:dyDescent="0.25">
      <c r="Z30288">
        <v>400000</v>
      </c>
    </row>
    <row r="30289" spans="26:26" x14ac:dyDescent="0.25">
      <c r="Z30289">
        <v>400000</v>
      </c>
    </row>
    <row r="30290" spans="26:26" x14ac:dyDescent="0.25">
      <c r="Z30290">
        <v>400000</v>
      </c>
    </row>
    <row r="30291" spans="26:26" x14ac:dyDescent="0.25">
      <c r="Z30291">
        <v>400000</v>
      </c>
    </row>
    <row r="30292" spans="26:26" x14ac:dyDescent="0.25">
      <c r="Z30292">
        <v>400000</v>
      </c>
    </row>
    <row r="30293" spans="26:26" x14ac:dyDescent="0.25">
      <c r="Z30293">
        <v>400000</v>
      </c>
    </row>
    <row r="30294" spans="26:26" x14ac:dyDescent="0.25">
      <c r="Z30294">
        <v>400000</v>
      </c>
    </row>
    <row r="30295" spans="26:26" x14ac:dyDescent="0.25">
      <c r="Z30295">
        <v>400000</v>
      </c>
    </row>
    <row r="30296" spans="26:26" x14ac:dyDescent="0.25">
      <c r="Z30296">
        <v>400000</v>
      </c>
    </row>
    <row r="30297" spans="26:26" x14ac:dyDescent="0.25">
      <c r="Z30297">
        <v>400000</v>
      </c>
    </row>
    <row r="30298" spans="26:26" x14ac:dyDescent="0.25">
      <c r="Z30298">
        <v>400000</v>
      </c>
    </row>
    <row r="30299" spans="26:26" x14ac:dyDescent="0.25">
      <c r="Z30299">
        <v>400000</v>
      </c>
    </row>
    <row r="30300" spans="26:26" x14ac:dyDescent="0.25">
      <c r="Z30300">
        <v>400000</v>
      </c>
    </row>
    <row r="30301" spans="26:26" x14ac:dyDescent="0.25">
      <c r="Z30301">
        <v>400000</v>
      </c>
    </row>
    <row r="30302" spans="26:26" x14ac:dyDescent="0.25">
      <c r="Z30302">
        <v>400000</v>
      </c>
    </row>
    <row r="30303" spans="26:26" x14ac:dyDescent="0.25">
      <c r="Z30303">
        <v>400000</v>
      </c>
    </row>
    <row r="30304" spans="26:26" x14ac:dyDescent="0.25">
      <c r="Z30304">
        <v>400000</v>
      </c>
    </row>
    <row r="30305" spans="26:26" x14ac:dyDescent="0.25">
      <c r="Z30305">
        <v>400000</v>
      </c>
    </row>
    <row r="30306" spans="26:26" x14ac:dyDescent="0.25">
      <c r="Z30306">
        <v>400000</v>
      </c>
    </row>
    <row r="30307" spans="26:26" x14ac:dyDescent="0.25">
      <c r="Z30307">
        <v>400000</v>
      </c>
    </row>
    <row r="30308" spans="26:26" x14ac:dyDescent="0.25">
      <c r="Z30308">
        <v>400000</v>
      </c>
    </row>
    <row r="30309" spans="26:26" x14ac:dyDescent="0.25">
      <c r="Z30309">
        <v>400000</v>
      </c>
    </row>
    <row r="30310" spans="26:26" x14ac:dyDescent="0.25">
      <c r="Z30310">
        <v>400000</v>
      </c>
    </row>
    <row r="30311" spans="26:26" x14ac:dyDescent="0.25">
      <c r="Z30311">
        <v>400000</v>
      </c>
    </row>
    <row r="30312" spans="26:26" x14ac:dyDescent="0.25">
      <c r="Z30312">
        <v>400000</v>
      </c>
    </row>
    <row r="30313" spans="26:26" x14ac:dyDescent="0.25">
      <c r="Z30313">
        <v>400000</v>
      </c>
    </row>
    <row r="30314" spans="26:26" x14ac:dyDescent="0.25">
      <c r="Z30314">
        <v>400000</v>
      </c>
    </row>
    <row r="30315" spans="26:26" x14ac:dyDescent="0.25">
      <c r="Z30315">
        <v>400000</v>
      </c>
    </row>
    <row r="30316" spans="26:26" x14ac:dyDescent="0.25">
      <c r="Z30316">
        <v>400000</v>
      </c>
    </row>
    <row r="30317" spans="26:26" x14ac:dyDescent="0.25">
      <c r="Z30317">
        <v>400000</v>
      </c>
    </row>
    <row r="30318" spans="26:26" x14ac:dyDescent="0.25">
      <c r="Z30318">
        <v>400000</v>
      </c>
    </row>
    <row r="30319" spans="26:26" x14ac:dyDescent="0.25">
      <c r="Z30319">
        <v>400000</v>
      </c>
    </row>
    <row r="30320" spans="26:26" x14ac:dyDescent="0.25">
      <c r="Z30320">
        <v>400000</v>
      </c>
    </row>
    <row r="30321" spans="26:26" x14ac:dyDescent="0.25">
      <c r="Z30321">
        <v>400000</v>
      </c>
    </row>
    <row r="30322" spans="26:26" x14ac:dyDescent="0.25">
      <c r="Z30322">
        <v>400000</v>
      </c>
    </row>
    <row r="30323" spans="26:26" x14ac:dyDescent="0.25">
      <c r="Z30323">
        <v>400000</v>
      </c>
    </row>
    <row r="30324" spans="26:26" x14ac:dyDescent="0.25">
      <c r="Z30324">
        <v>400000</v>
      </c>
    </row>
    <row r="30325" spans="26:26" x14ac:dyDescent="0.25">
      <c r="Z30325">
        <v>400000</v>
      </c>
    </row>
    <row r="30326" spans="26:26" x14ac:dyDescent="0.25">
      <c r="Z30326">
        <v>400000</v>
      </c>
    </row>
    <row r="30327" spans="26:26" x14ac:dyDescent="0.25">
      <c r="Z30327">
        <v>400000</v>
      </c>
    </row>
    <row r="30328" spans="26:26" x14ac:dyDescent="0.25">
      <c r="Z30328">
        <v>400000</v>
      </c>
    </row>
    <row r="30329" spans="26:26" x14ac:dyDescent="0.25">
      <c r="Z30329">
        <v>400000</v>
      </c>
    </row>
    <row r="30330" spans="26:26" x14ac:dyDescent="0.25">
      <c r="Z30330">
        <v>400000</v>
      </c>
    </row>
    <row r="30331" spans="26:26" x14ac:dyDescent="0.25">
      <c r="Z30331">
        <v>400000</v>
      </c>
    </row>
    <row r="30332" spans="26:26" x14ac:dyDescent="0.25">
      <c r="Z30332">
        <v>400000</v>
      </c>
    </row>
    <row r="30333" spans="26:26" x14ac:dyDescent="0.25">
      <c r="Z30333">
        <v>400000</v>
      </c>
    </row>
    <row r="30334" spans="26:26" x14ac:dyDescent="0.25">
      <c r="Z30334">
        <v>400000</v>
      </c>
    </row>
    <row r="30335" spans="26:26" x14ac:dyDescent="0.25">
      <c r="Z30335">
        <v>400000</v>
      </c>
    </row>
    <row r="30336" spans="26:26" x14ac:dyDescent="0.25">
      <c r="Z30336">
        <v>400000</v>
      </c>
    </row>
    <row r="30337" spans="26:26" x14ac:dyDescent="0.25">
      <c r="Z30337">
        <v>400000</v>
      </c>
    </row>
    <row r="30338" spans="26:26" x14ac:dyDescent="0.25">
      <c r="Z30338">
        <v>400000</v>
      </c>
    </row>
    <row r="30339" spans="26:26" x14ac:dyDescent="0.25">
      <c r="Z30339">
        <v>400000</v>
      </c>
    </row>
    <row r="30340" spans="26:26" x14ac:dyDescent="0.25">
      <c r="Z30340">
        <v>400000</v>
      </c>
    </row>
    <row r="30341" spans="26:26" x14ac:dyDescent="0.25">
      <c r="Z30341">
        <v>400000</v>
      </c>
    </row>
    <row r="30342" spans="26:26" x14ac:dyDescent="0.25">
      <c r="Z30342">
        <v>400000</v>
      </c>
    </row>
    <row r="30343" spans="26:26" x14ac:dyDescent="0.25">
      <c r="Z30343">
        <v>400000</v>
      </c>
    </row>
    <row r="30344" spans="26:26" x14ac:dyDescent="0.25">
      <c r="Z30344">
        <v>400000</v>
      </c>
    </row>
    <row r="30345" spans="26:26" x14ac:dyDescent="0.25">
      <c r="Z30345">
        <v>400000</v>
      </c>
    </row>
    <row r="30346" spans="26:26" x14ac:dyDescent="0.25">
      <c r="Z30346">
        <v>400000</v>
      </c>
    </row>
    <row r="30347" spans="26:26" x14ac:dyDescent="0.25">
      <c r="Z30347">
        <v>400000</v>
      </c>
    </row>
    <row r="30348" spans="26:26" x14ac:dyDescent="0.25">
      <c r="Z30348">
        <v>400000</v>
      </c>
    </row>
    <row r="30349" spans="26:26" x14ac:dyDescent="0.25">
      <c r="Z30349">
        <v>400000</v>
      </c>
    </row>
    <row r="30350" spans="26:26" x14ac:dyDescent="0.25">
      <c r="Z30350">
        <v>400000</v>
      </c>
    </row>
    <row r="30351" spans="26:26" x14ac:dyDescent="0.25">
      <c r="Z30351">
        <v>400000</v>
      </c>
    </row>
    <row r="30352" spans="26:26" x14ac:dyDescent="0.25">
      <c r="Z30352">
        <v>400000</v>
      </c>
    </row>
    <row r="30353" spans="26:26" x14ac:dyDescent="0.25">
      <c r="Z30353">
        <v>400000</v>
      </c>
    </row>
    <row r="30354" spans="26:26" x14ac:dyDescent="0.25">
      <c r="Z30354">
        <v>400000</v>
      </c>
    </row>
    <row r="30355" spans="26:26" x14ac:dyDescent="0.25">
      <c r="Z30355">
        <v>400000</v>
      </c>
    </row>
    <row r="30356" spans="26:26" x14ac:dyDescent="0.25">
      <c r="Z30356">
        <v>400000</v>
      </c>
    </row>
    <row r="30357" spans="26:26" x14ac:dyDescent="0.25">
      <c r="Z30357">
        <v>400000</v>
      </c>
    </row>
    <row r="30358" spans="26:26" x14ac:dyDescent="0.25">
      <c r="Z30358">
        <v>400000</v>
      </c>
    </row>
    <row r="30359" spans="26:26" x14ac:dyDescent="0.25">
      <c r="Z30359">
        <v>400000</v>
      </c>
    </row>
    <row r="30360" spans="26:26" x14ac:dyDescent="0.25">
      <c r="Z30360">
        <v>400000</v>
      </c>
    </row>
    <row r="30361" spans="26:26" x14ac:dyDescent="0.25">
      <c r="Z30361">
        <v>400000</v>
      </c>
    </row>
    <row r="30362" spans="26:26" x14ac:dyDescent="0.25">
      <c r="Z30362">
        <v>400000</v>
      </c>
    </row>
    <row r="30363" spans="26:26" x14ac:dyDescent="0.25">
      <c r="Z30363">
        <v>400000</v>
      </c>
    </row>
    <row r="30364" spans="26:26" x14ac:dyDescent="0.25">
      <c r="Z30364">
        <v>400000</v>
      </c>
    </row>
    <row r="30365" spans="26:26" x14ac:dyDescent="0.25">
      <c r="Z30365">
        <v>400000</v>
      </c>
    </row>
    <row r="30366" spans="26:26" x14ac:dyDescent="0.25">
      <c r="Z30366">
        <v>400000</v>
      </c>
    </row>
    <row r="30367" spans="26:26" x14ac:dyDescent="0.25">
      <c r="Z30367">
        <v>400000</v>
      </c>
    </row>
    <row r="30368" spans="26:26" x14ac:dyDescent="0.25">
      <c r="Z30368">
        <v>400000</v>
      </c>
    </row>
    <row r="30369" spans="26:26" x14ac:dyDescent="0.25">
      <c r="Z30369">
        <v>400000</v>
      </c>
    </row>
    <row r="30370" spans="26:26" x14ac:dyDescent="0.25">
      <c r="Z30370">
        <v>400000</v>
      </c>
    </row>
    <row r="30371" spans="26:26" x14ac:dyDescent="0.25">
      <c r="Z30371">
        <v>400000</v>
      </c>
    </row>
    <row r="30372" spans="26:26" x14ac:dyDescent="0.25">
      <c r="Z30372">
        <v>400000</v>
      </c>
    </row>
    <row r="30373" spans="26:26" x14ac:dyDescent="0.25">
      <c r="Z30373">
        <v>400000</v>
      </c>
    </row>
    <row r="30374" spans="26:26" x14ac:dyDescent="0.25">
      <c r="Z30374">
        <v>400000</v>
      </c>
    </row>
    <row r="30375" spans="26:26" x14ac:dyDescent="0.25">
      <c r="Z30375">
        <v>400000</v>
      </c>
    </row>
    <row r="30376" spans="26:26" x14ac:dyDescent="0.25">
      <c r="Z30376">
        <v>400000</v>
      </c>
    </row>
    <row r="30377" spans="26:26" x14ac:dyDescent="0.25">
      <c r="Z30377">
        <v>400000</v>
      </c>
    </row>
    <row r="30378" spans="26:26" x14ac:dyDescent="0.25">
      <c r="Z30378">
        <v>400000</v>
      </c>
    </row>
    <row r="30379" spans="26:26" x14ac:dyDescent="0.25">
      <c r="Z30379">
        <v>400000</v>
      </c>
    </row>
    <row r="30380" spans="26:26" x14ac:dyDescent="0.25">
      <c r="Z30380">
        <v>400000</v>
      </c>
    </row>
    <row r="30381" spans="26:26" x14ac:dyDescent="0.25">
      <c r="Z30381">
        <v>400000</v>
      </c>
    </row>
    <row r="30382" spans="26:26" x14ac:dyDescent="0.25">
      <c r="Z30382">
        <v>400000</v>
      </c>
    </row>
    <row r="30383" spans="26:26" x14ac:dyDescent="0.25">
      <c r="Z30383">
        <v>400000</v>
      </c>
    </row>
    <row r="30384" spans="26:26" x14ac:dyDescent="0.25">
      <c r="Z30384">
        <v>400000</v>
      </c>
    </row>
    <row r="30385" spans="26:26" x14ac:dyDescent="0.25">
      <c r="Z30385">
        <v>400000</v>
      </c>
    </row>
    <row r="30386" spans="26:26" x14ac:dyDescent="0.25">
      <c r="Z30386">
        <v>400000</v>
      </c>
    </row>
    <row r="30387" spans="26:26" x14ac:dyDescent="0.25">
      <c r="Z30387">
        <v>400000</v>
      </c>
    </row>
    <row r="30388" spans="26:26" x14ac:dyDescent="0.25">
      <c r="Z30388">
        <v>400000</v>
      </c>
    </row>
    <row r="30389" spans="26:26" x14ac:dyDescent="0.25">
      <c r="Z30389">
        <v>400000</v>
      </c>
    </row>
    <row r="30390" spans="26:26" x14ac:dyDescent="0.25">
      <c r="Z30390">
        <v>400000</v>
      </c>
    </row>
    <row r="30391" spans="26:26" x14ac:dyDescent="0.25">
      <c r="Z30391">
        <v>400000</v>
      </c>
    </row>
    <row r="30392" spans="26:26" x14ac:dyDescent="0.25">
      <c r="Z30392">
        <v>400000</v>
      </c>
    </row>
    <row r="30393" spans="26:26" x14ac:dyDescent="0.25">
      <c r="Z30393">
        <v>400000</v>
      </c>
    </row>
    <row r="30394" spans="26:26" x14ac:dyDescent="0.25">
      <c r="Z30394">
        <v>400000</v>
      </c>
    </row>
    <row r="30395" spans="26:26" x14ac:dyDescent="0.25">
      <c r="Z30395">
        <v>400000</v>
      </c>
    </row>
    <row r="30396" spans="26:26" x14ac:dyDescent="0.25">
      <c r="Z30396">
        <v>400000</v>
      </c>
    </row>
    <row r="30397" spans="26:26" x14ac:dyDescent="0.25">
      <c r="Z30397">
        <v>400000</v>
      </c>
    </row>
    <row r="30398" spans="26:26" x14ac:dyDescent="0.25">
      <c r="Z30398">
        <v>400000</v>
      </c>
    </row>
    <row r="30399" spans="26:26" x14ac:dyDescent="0.25">
      <c r="Z30399">
        <v>400000</v>
      </c>
    </row>
    <row r="30400" spans="26:26" x14ac:dyDescent="0.25">
      <c r="Z30400">
        <v>400000</v>
      </c>
    </row>
    <row r="30401" spans="26:26" x14ac:dyDescent="0.25">
      <c r="Z30401">
        <v>400000</v>
      </c>
    </row>
    <row r="30402" spans="26:26" x14ac:dyDescent="0.25">
      <c r="Z30402">
        <v>400000</v>
      </c>
    </row>
    <row r="30403" spans="26:26" x14ac:dyDescent="0.25">
      <c r="Z30403">
        <v>400000</v>
      </c>
    </row>
    <row r="30404" spans="26:26" x14ac:dyDescent="0.25">
      <c r="Z30404">
        <v>400000</v>
      </c>
    </row>
    <row r="30405" spans="26:26" x14ac:dyDescent="0.25">
      <c r="Z30405">
        <v>400000</v>
      </c>
    </row>
    <row r="30406" spans="26:26" x14ac:dyDescent="0.25">
      <c r="Z30406">
        <v>400000</v>
      </c>
    </row>
    <row r="30407" spans="26:26" x14ac:dyDescent="0.25">
      <c r="Z30407">
        <v>400000</v>
      </c>
    </row>
    <row r="30408" spans="26:26" x14ac:dyDescent="0.25">
      <c r="Z30408">
        <v>400000</v>
      </c>
    </row>
    <row r="30409" spans="26:26" x14ac:dyDescent="0.25">
      <c r="Z30409">
        <v>400000</v>
      </c>
    </row>
    <row r="30410" spans="26:26" x14ac:dyDescent="0.25">
      <c r="Z30410">
        <v>400000</v>
      </c>
    </row>
    <row r="30411" spans="26:26" x14ac:dyDescent="0.25">
      <c r="Z30411">
        <v>400000</v>
      </c>
    </row>
    <row r="30412" spans="26:26" x14ac:dyDescent="0.25">
      <c r="Z30412">
        <v>400000</v>
      </c>
    </row>
    <row r="30413" spans="26:26" x14ac:dyDescent="0.25">
      <c r="Z30413">
        <v>400000</v>
      </c>
    </row>
    <row r="30414" spans="26:26" x14ac:dyDescent="0.25">
      <c r="Z30414">
        <v>400000</v>
      </c>
    </row>
    <row r="30415" spans="26:26" x14ac:dyDescent="0.25">
      <c r="Z30415">
        <v>400000</v>
      </c>
    </row>
    <row r="30416" spans="26:26" x14ac:dyDescent="0.25">
      <c r="Z30416">
        <v>400000</v>
      </c>
    </row>
    <row r="30417" spans="26:26" x14ac:dyDescent="0.25">
      <c r="Z30417">
        <v>400000</v>
      </c>
    </row>
    <row r="30418" spans="26:26" x14ac:dyDescent="0.25">
      <c r="Z30418">
        <v>400000</v>
      </c>
    </row>
    <row r="30419" spans="26:26" x14ac:dyDescent="0.25">
      <c r="Z30419">
        <v>400000</v>
      </c>
    </row>
    <row r="30420" spans="26:26" x14ac:dyDescent="0.25">
      <c r="Z30420">
        <v>400000</v>
      </c>
    </row>
    <row r="30421" spans="26:26" x14ac:dyDescent="0.25">
      <c r="Z30421">
        <v>400000</v>
      </c>
    </row>
    <row r="30422" spans="26:26" x14ac:dyDescent="0.25">
      <c r="Z30422">
        <v>400000</v>
      </c>
    </row>
    <row r="30423" spans="26:26" x14ac:dyDescent="0.25">
      <c r="Z30423">
        <v>400000</v>
      </c>
    </row>
    <row r="30424" spans="26:26" x14ac:dyDescent="0.25">
      <c r="Z30424">
        <v>400000</v>
      </c>
    </row>
    <row r="30425" spans="26:26" x14ac:dyDescent="0.25">
      <c r="Z30425">
        <v>400000</v>
      </c>
    </row>
    <row r="30426" spans="26:26" x14ac:dyDescent="0.25">
      <c r="Z30426">
        <v>400000</v>
      </c>
    </row>
    <row r="30427" spans="26:26" x14ac:dyDescent="0.25">
      <c r="Z30427">
        <v>400000</v>
      </c>
    </row>
    <row r="30428" spans="26:26" x14ac:dyDescent="0.25">
      <c r="Z30428">
        <v>400000</v>
      </c>
    </row>
    <row r="30429" spans="26:26" x14ac:dyDescent="0.25">
      <c r="Z30429">
        <v>400000</v>
      </c>
    </row>
    <row r="30430" spans="26:26" x14ac:dyDescent="0.25">
      <c r="Z30430">
        <v>400000</v>
      </c>
    </row>
    <row r="30431" spans="26:26" x14ac:dyDescent="0.25">
      <c r="Z30431">
        <v>400000</v>
      </c>
    </row>
    <row r="30432" spans="26:26" x14ac:dyDescent="0.25">
      <c r="Z30432">
        <v>400000</v>
      </c>
    </row>
    <row r="30433" spans="26:26" x14ac:dyDescent="0.25">
      <c r="Z30433">
        <v>400000</v>
      </c>
    </row>
    <row r="30434" spans="26:26" x14ac:dyDescent="0.25">
      <c r="Z30434">
        <v>400000</v>
      </c>
    </row>
    <row r="30435" spans="26:26" x14ac:dyDescent="0.25">
      <c r="Z30435">
        <v>400000</v>
      </c>
    </row>
    <row r="30436" spans="26:26" x14ac:dyDescent="0.25">
      <c r="Z30436">
        <v>400000</v>
      </c>
    </row>
    <row r="30437" spans="26:26" x14ac:dyDescent="0.25">
      <c r="Z30437">
        <v>400000</v>
      </c>
    </row>
    <row r="30438" spans="26:26" x14ac:dyDescent="0.25">
      <c r="Z30438">
        <v>400000</v>
      </c>
    </row>
    <row r="30439" spans="26:26" x14ac:dyDescent="0.25">
      <c r="Z30439">
        <v>400000</v>
      </c>
    </row>
    <row r="30440" spans="26:26" x14ac:dyDescent="0.25">
      <c r="Z30440">
        <v>400000</v>
      </c>
    </row>
    <row r="30441" spans="26:26" x14ac:dyDescent="0.25">
      <c r="Z30441">
        <v>400000</v>
      </c>
    </row>
    <row r="30442" spans="26:26" x14ac:dyDescent="0.25">
      <c r="Z30442">
        <v>400000</v>
      </c>
    </row>
    <row r="30443" spans="26:26" x14ac:dyDescent="0.25">
      <c r="Z30443">
        <v>400000</v>
      </c>
    </row>
    <row r="30444" spans="26:26" x14ac:dyDescent="0.25">
      <c r="Z30444">
        <v>400000</v>
      </c>
    </row>
    <row r="30445" spans="26:26" x14ac:dyDescent="0.25">
      <c r="Z30445">
        <v>400000</v>
      </c>
    </row>
    <row r="30446" spans="26:26" x14ac:dyDescent="0.25">
      <c r="Z30446">
        <v>400000</v>
      </c>
    </row>
    <row r="30447" spans="26:26" x14ac:dyDescent="0.25">
      <c r="Z30447">
        <v>400000</v>
      </c>
    </row>
    <row r="30448" spans="26:26" x14ac:dyDescent="0.25">
      <c r="Z30448">
        <v>400000</v>
      </c>
    </row>
    <row r="30449" spans="26:26" x14ac:dyDescent="0.25">
      <c r="Z30449">
        <v>400000</v>
      </c>
    </row>
    <row r="30450" spans="26:26" x14ac:dyDescent="0.25">
      <c r="Z30450">
        <v>400000</v>
      </c>
    </row>
    <row r="30451" spans="26:26" x14ac:dyDescent="0.25">
      <c r="Z30451">
        <v>400000</v>
      </c>
    </row>
    <row r="30452" spans="26:26" x14ac:dyDescent="0.25">
      <c r="Z30452">
        <v>400000</v>
      </c>
    </row>
    <row r="30453" spans="26:26" x14ac:dyDescent="0.25">
      <c r="Z30453">
        <v>400000</v>
      </c>
    </row>
    <row r="30454" spans="26:26" x14ac:dyDescent="0.25">
      <c r="Z30454">
        <v>400000</v>
      </c>
    </row>
    <row r="30455" spans="26:26" x14ac:dyDescent="0.25">
      <c r="Z30455">
        <v>400000</v>
      </c>
    </row>
    <row r="30456" spans="26:26" x14ac:dyDescent="0.25">
      <c r="Z30456">
        <v>400000</v>
      </c>
    </row>
    <row r="30457" spans="26:26" x14ac:dyDescent="0.25">
      <c r="Z30457">
        <v>400000</v>
      </c>
    </row>
    <row r="30458" spans="26:26" x14ac:dyDescent="0.25">
      <c r="Z30458">
        <v>400000</v>
      </c>
    </row>
    <row r="30459" spans="26:26" x14ac:dyDescent="0.25">
      <c r="Z30459">
        <v>400000</v>
      </c>
    </row>
    <row r="30460" spans="26:26" x14ac:dyDescent="0.25">
      <c r="Z30460">
        <v>400000</v>
      </c>
    </row>
    <row r="30461" spans="26:26" x14ac:dyDescent="0.25">
      <c r="Z30461">
        <v>400000</v>
      </c>
    </row>
    <row r="30462" spans="26:26" x14ac:dyDescent="0.25">
      <c r="Z30462">
        <v>400000</v>
      </c>
    </row>
    <row r="30463" spans="26:26" x14ac:dyDescent="0.25">
      <c r="Z30463">
        <v>400000</v>
      </c>
    </row>
    <row r="30464" spans="26:26" x14ac:dyDescent="0.25">
      <c r="Z30464">
        <v>400000</v>
      </c>
    </row>
    <row r="30465" spans="26:26" x14ac:dyDescent="0.25">
      <c r="Z30465">
        <v>400000</v>
      </c>
    </row>
    <row r="30466" spans="26:26" x14ac:dyDescent="0.25">
      <c r="Z30466">
        <v>400000</v>
      </c>
    </row>
    <row r="30467" spans="26:26" x14ac:dyDescent="0.25">
      <c r="Z30467">
        <v>400000</v>
      </c>
    </row>
    <row r="30468" spans="26:26" x14ac:dyDescent="0.25">
      <c r="Z30468">
        <v>400000</v>
      </c>
    </row>
    <row r="30469" spans="26:26" x14ac:dyDescent="0.25">
      <c r="Z30469">
        <v>400000</v>
      </c>
    </row>
    <row r="30470" spans="26:26" x14ac:dyDescent="0.25">
      <c r="Z30470">
        <v>400000</v>
      </c>
    </row>
    <row r="30471" spans="26:26" x14ac:dyDescent="0.25">
      <c r="Z30471">
        <v>400000</v>
      </c>
    </row>
    <row r="30472" spans="26:26" x14ac:dyDescent="0.25">
      <c r="Z30472">
        <v>400000</v>
      </c>
    </row>
    <row r="30473" spans="26:26" x14ac:dyDescent="0.25">
      <c r="Z30473">
        <v>400000</v>
      </c>
    </row>
    <row r="30474" spans="26:26" x14ac:dyDescent="0.25">
      <c r="Z30474">
        <v>400000</v>
      </c>
    </row>
    <row r="30475" spans="26:26" x14ac:dyDescent="0.25">
      <c r="Z30475">
        <v>400000</v>
      </c>
    </row>
    <row r="30476" spans="26:26" x14ac:dyDescent="0.25">
      <c r="Z30476">
        <v>400000</v>
      </c>
    </row>
    <row r="30477" spans="26:26" x14ac:dyDescent="0.25">
      <c r="Z30477">
        <v>400000</v>
      </c>
    </row>
    <row r="30478" spans="26:26" x14ac:dyDescent="0.25">
      <c r="Z30478">
        <v>400000</v>
      </c>
    </row>
    <row r="30479" spans="26:26" x14ac:dyDescent="0.25">
      <c r="Z30479">
        <v>400000</v>
      </c>
    </row>
    <row r="30480" spans="26:26" x14ac:dyDescent="0.25">
      <c r="Z30480">
        <v>400000</v>
      </c>
    </row>
    <row r="30481" spans="26:26" x14ac:dyDescent="0.25">
      <c r="Z30481">
        <v>400000</v>
      </c>
    </row>
    <row r="30482" spans="26:26" x14ac:dyDescent="0.25">
      <c r="Z30482">
        <v>400000</v>
      </c>
    </row>
    <row r="30483" spans="26:26" x14ac:dyDescent="0.25">
      <c r="Z30483">
        <v>400000</v>
      </c>
    </row>
    <row r="30484" spans="26:26" x14ac:dyDescent="0.25">
      <c r="Z30484">
        <v>400000</v>
      </c>
    </row>
    <row r="30485" spans="26:26" x14ac:dyDescent="0.25">
      <c r="Z30485">
        <v>400000</v>
      </c>
    </row>
    <row r="30486" spans="26:26" x14ac:dyDescent="0.25">
      <c r="Z30486">
        <v>400000</v>
      </c>
    </row>
    <row r="30487" spans="26:26" x14ac:dyDescent="0.25">
      <c r="Z30487">
        <v>400000</v>
      </c>
    </row>
    <row r="30488" spans="26:26" x14ac:dyDescent="0.25">
      <c r="Z30488">
        <v>400000</v>
      </c>
    </row>
    <row r="30489" spans="26:26" x14ac:dyDescent="0.25">
      <c r="Z30489">
        <v>400000</v>
      </c>
    </row>
    <row r="30490" spans="26:26" x14ac:dyDescent="0.25">
      <c r="Z30490">
        <v>400000</v>
      </c>
    </row>
    <row r="30491" spans="26:26" x14ac:dyDescent="0.25">
      <c r="Z30491">
        <v>400000</v>
      </c>
    </row>
    <row r="30492" spans="26:26" x14ac:dyDescent="0.25">
      <c r="Z30492">
        <v>400000</v>
      </c>
    </row>
    <row r="30493" spans="26:26" x14ac:dyDescent="0.25">
      <c r="Z30493">
        <v>400000</v>
      </c>
    </row>
    <row r="30494" spans="26:26" x14ac:dyDescent="0.25">
      <c r="Z30494">
        <v>400000</v>
      </c>
    </row>
    <row r="30495" spans="26:26" x14ac:dyDescent="0.25">
      <c r="Z30495">
        <v>400000</v>
      </c>
    </row>
    <row r="30496" spans="26:26" x14ac:dyDescent="0.25">
      <c r="Z30496">
        <v>400000</v>
      </c>
    </row>
    <row r="30497" spans="26:26" x14ac:dyDescent="0.25">
      <c r="Z30497">
        <v>400000</v>
      </c>
    </row>
    <row r="30498" spans="26:26" x14ac:dyDescent="0.25">
      <c r="Z30498">
        <v>400000</v>
      </c>
    </row>
    <row r="30499" spans="26:26" x14ac:dyDescent="0.25">
      <c r="Z30499">
        <v>400000</v>
      </c>
    </row>
    <row r="30500" spans="26:26" x14ac:dyDescent="0.25">
      <c r="Z30500">
        <v>400000</v>
      </c>
    </row>
    <row r="30501" spans="26:26" x14ac:dyDescent="0.25">
      <c r="Z30501">
        <v>400000</v>
      </c>
    </row>
    <row r="30502" spans="26:26" x14ac:dyDescent="0.25">
      <c r="Z30502">
        <v>400000</v>
      </c>
    </row>
    <row r="30503" spans="26:26" x14ac:dyDescent="0.25">
      <c r="Z30503">
        <v>400000</v>
      </c>
    </row>
    <row r="30504" spans="26:26" x14ac:dyDescent="0.25">
      <c r="Z30504">
        <v>400000</v>
      </c>
    </row>
    <row r="30505" spans="26:26" x14ac:dyDescent="0.25">
      <c r="Z30505">
        <v>400000</v>
      </c>
    </row>
    <row r="30506" spans="26:26" x14ac:dyDescent="0.25">
      <c r="Z30506">
        <v>400000</v>
      </c>
    </row>
    <row r="30507" spans="26:26" x14ac:dyDescent="0.25">
      <c r="Z30507">
        <v>400000</v>
      </c>
    </row>
    <row r="30508" spans="26:26" x14ac:dyDescent="0.25">
      <c r="Z30508">
        <v>400000</v>
      </c>
    </row>
    <row r="30509" spans="26:26" x14ac:dyDescent="0.25">
      <c r="Z30509">
        <v>400000</v>
      </c>
    </row>
    <row r="30510" spans="26:26" x14ac:dyDescent="0.25">
      <c r="Z30510">
        <v>400000</v>
      </c>
    </row>
    <row r="30511" spans="26:26" x14ac:dyDescent="0.25">
      <c r="Z30511">
        <v>400000</v>
      </c>
    </row>
    <row r="30512" spans="26:26" x14ac:dyDescent="0.25">
      <c r="Z30512">
        <v>400000</v>
      </c>
    </row>
    <row r="30513" spans="26:26" x14ac:dyDescent="0.25">
      <c r="Z30513">
        <v>400000</v>
      </c>
    </row>
    <row r="30514" spans="26:26" x14ac:dyDescent="0.25">
      <c r="Z30514">
        <v>400000</v>
      </c>
    </row>
    <row r="30515" spans="26:26" x14ac:dyDescent="0.25">
      <c r="Z30515">
        <v>400000</v>
      </c>
    </row>
    <row r="30516" spans="26:26" x14ac:dyDescent="0.25">
      <c r="Z30516">
        <v>400000</v>
      </c>
    </row>
    <row r="30517" spans="26:26" x14ac:dyDescent="0.25">
      <c r="Z30517">
        <v>400000</v>
      </c>
    </row>
    <row r="30518" spans="26:26" x14ac:dyDescent="0.25">
      <c r="Z30518">
        <v>400000</v>
      </c>
    </row>
    <row r="30519" spans="26:26" x14ac:dyDescent="0.25">
      <c r="Z30519">
        <v>400000</v>
      </c>
    </row>
    <row r="30520" spans="26:26" x14ac:dyDescent="0.25">
      <c r="Z30520">
        <v>400000</v>
      </c>
    </row>
    <row r="30521" spans="26:26" x14ac:dyDescent="0.25">
      <c r="Z30521">
        <v>400000</v>
      </c>
    </row>
    <row r="30522" spans="26:26" x14ac:dyDescent="0.25">
      <c r="Z30522">
        <v>400000</v>
      </c>
    </row>
    <row r="30523" spans="26:26" x14ac:dyDescent="0.25">
      <c r="Z30523">
        <v>400000</v>
      </c>
    </row>
    <row r="30524" spans="26:26" x14ac:dyDescent="0.25">
      <c r="Z30524">
        <v>400000</v>
      </c>
    </row>
    <row r="30525" spans="26:26" x14ac:dyDescent="0.25">
      <c r="Z30525">
        <v>400000</v>
      </c>
    </row>
    <row r="30526" spans="26:26" x14ac:dyDescent="0.25">
      <c r="Z30526">
        <v>400000</v>
      </c>
    </row>
    <row r="30527" spans="26:26" x14ac:dyDescent="0.25">
      <c r="Z30527">
        <v>400000</v>
      </c>
    </row>
    <row r="30528" spans="26:26" x14ac:dyDescent="0.25">
      <c r="Z30528">
        <v>400000</v>
      </c>
    </row>
    <row r="30529" spans="26:26" x14ac:dyDescent="0.25">
      <c r="Z30529">
        <v>400000</v>
      </c>
    </row>
    <row r="30530" spans="26:26" x14ac:dyDescent="0.25">
      <c r="Z30530">
        <v>400000</v>
      </c>
    </row>
    <row r="30531" spans="26:26" x14ac:dyDescent="0.25">
      <c r="Z30531">
        <v>400000</v>
      </c>
    </row>
    <row r="30532" spans="26:26" x14ac:dyDescent="0.25">
      <c r="Z30532">
        <v>400000</v>
      </c>
    </row>
    <row r="30533" spans="26:26" x14ac:dyDescent="0.25">
      <c r="Z30533">
        <v>400000</v>
      </c>
    </row>
    <row r="30534" spans="26:26" x14ac:dyDescent="0.25">
      <c r="Z30534">
        <v>400000</v>
      </c>
    </row>
    <row r="30535" spans="26:26" x14ac:dyDescent="0.25">
      <c r="Z30535">
        <v>400000</v>
      </c>
    </row>
    <row r="30536" spans="26:26" x14ac:dyDescent="0.25">
      <c r="Z30536">
        <v>400000</v>
      </c>
    </row>
    <row r="30537" spans="26:26" x14ac:dyDescent="0.25">
      <c r="Z30537">
        <v>400000</v>
      </c>
    </row>
    <row r="30538" spans="26:26" x14ac:dyDescent="0.25">
      <c r="Z30538">
        <v>400000</v>
      </c>
    </row>
    <row r="30539" spans="26:26" x14ac:dyDescent="0.25">
      <c r="Z30539">
        <v>400000</v>
      </c>
    </row>
    <row r="30540" spans="26:26" x14ac:dyDescent="0.25">
      <c r="Z30540">
        <v>400000</v>
      </c>
    </row>
    <row r="30541" spans="26:26" x14ac:dyDescent="0.25">
      <c r="Z30541">
        <v>400000</v>
      </c>
    </row>
    <row r="30542" spans="26:26" x14ac:dyDescent="0.25">
      <c r="Z30542">
        <v>400000</v>
      </c>
    </row>
    <row r="30543" spans="26:26" x14ac:dyDescent="0.25">
      <c r="Z30543">
        <v>400000</v>
      </c>
    </row>
    <row r="30544" spans="26:26" x14ac:dyDescent="0.25">
      <c r="Z30544">
        <v>400000</v>
      </c>
    </row>
    <row r="30545" spans="26:26" x14ac:dyDescent="0.25">
      <c r="Z30545">
        <v>400000</v>
      </c>
    </row>
    <row r="30546" spans="26:26" x14ac:dyDescent="0.25">
      <c r="Z30546">
        <v>400000</v>
      </c>
    </row>
    <row r="30547" spans="26:26" x14ac:dyDescent="0.25">
      <c r="Z30547">
        <v>400000</v>
      </c>
    </row>
    <row r="30548" spans="26:26" x14ac:dyDescent="0.25">
      <c r="Z30548">
        <v>400000</v>
      </c>
    </row>
    <row r="30549" spans="26:26" x14ac:dyDescent="0.25">
      <c r="Z30549">
        <v>400000</v>
      </c>
    </row>
    <row r="30550" spans="26:26" x14ac:dyDescent="0.25">
      <c r="Z30550">
        <v>400000</v>
      </c>
    </row>
    <row r="30551" spans="26:26" x14ac:dyDescent="0.25">
      <c r="Z30551">
        <v>400000</v>
      </c>
    </row>
    <row r="30552" spans="26:26" x14ac:dyDescent="0.25">
      <c r="Z30552">
        <v>400000</v>
      </c>
    </row>
    <row r="30553" spans="26:26" x14ac:dyDescent="0.25">
      <c r="Z30553">
        <v>400000</v>
      </c>
    </row>
    <row r="30554" spans="26:26" x14ac:dyDescent="0.25">
      <c r="Z30554">
        <v>400000</v>
      </c>
    </row>
    <row r="30555" spans="26:26" x14ac:dyDescent="0.25">
      <c r="Z30555">
        <v>400000</v>
      </c>
    </row>
    <row r="30556" spans="26:26" x14ac:dyDescent="0.25">
      <c r="Z30556">
        <v>400000</v>
      </c>
    </row>
    <row r="30557" spans="26:26" x14ac:dyDescent="0.25">
      <c r="Z30557">
        <v>400000</v>
      </c>
    </row>
    <row r="30558" spans="26:26" x14ac:dyDescent="0.25">
      <c r="Z30558">
        <v>400000</v>
      </c>
    </row>
    <row r="30559" spans="26:26" x14ac:dyDescent="0.25">
      <c r="Z30559">
        <v>400000</v>
      </c>
    </row>
    <row r="30560" spans="26:26" x14ac:dyDescent="0.25">
      <c r="Z30560">
        <v>400000</v>
      </c>
    </row>
    <row r="30561" spans="26:26" x14ac:dyDescent="0.25">
      <c r="Z30561">
        <v>400000</v>
      </c>
    </row>
    <row r="30562" spans="26:26" x14ac:dyDescent="0.25">
      <c r="Z30562">
        <v>400000</v>
      </c>
    </row>
    <row r="30563" spans="26:26" x14ac:dyDescent="0.25">
      <c r="Z30563">
        <v>400000</v>
      </c>
    </row>
    <row r="30564" spans="26:26" x14ac:dyDescent="0.25">
      <c r="Z30564">
        <v>400000</v>
      </c>
    </row>
    <row r="30565" spans="26:26" x14ac:dyDescent="0.25">
      <c r="Z30565">
        <v>400000</v>
      </c>
    </row>
    <row r="30566" spans="26:26" x14ac:dyDescent="0.25">
      <c r="Z30566">
        <v>400000</v>
      </c>
    </row>
    <row r="30567" spans="26:26" x14ac:dyDescent="0.25">
      <c r="Z30567">
        <v>400000</v>
      </c>
    </row>
    <row r="30568" spans="26:26" x14ac:dyDescent="0.25">
      <c r="Z30568">
        <v>400000</v>
      </c>
    </row>
    <row r="30569" spans="26:26" x14ac:dyDescent="0.25">
      <c r="Z30569">
        <v>400000</v>
      </c>
    </row>
    <row r="30570" spans="26:26" x14ac:dyDescent="0.25">
      <c r="Z30570">
        <v>400000</v>
      </c>
    </row>
    <row r="30571" spans="26:26" x14ac:dyDescent="0.25">
      <c r="Z30571">
        <v>400000</v>
      </c>
    </row>
    <row r="30572" spans="26:26" x14ac:dyDescent="0.25">
      <c r="Z30572">
        <v>400000</v>
      </c>
    </row>
    <row r="30573" spans="26:26" x14ac:dyDescent="0.25">
      <c r="Z30573">
        <v>400000</v>
      </c>
    </row>
    <row r="30574" spans="26:26" x14ac:dyDescent="0.25">
      <c r="Z30574">
        <v>400000</v>
      </c>
    </row>
    <row r="30575" spans="26:26" x14ac:dyDescent="0.25">
      <c r="Z30575">
        <v>400000</v>
      </c>
    </row>
    <row r="30576" spans="26:26" x14ac:dyDescent="0.25">
      <c r="Z30576">
        <v>400000</v>
      </c>
    </row>
    <row r="30577" spans="26:26" x14ac:dyDescent="0.25">
      <c r="Z30577">
        <v>400000</v>
      </c>
    </row>
    <row r="30578" spans="26:26" x14ac:dyDescent="0.25">
      <c r="Z30578">
        <v>400000</v>
      </c>
    </row>
    <row r="30579" spans="26:26" x14ac:dyDescent="0.25">
      <c r="Z30579">
        <v>400000</v>
      </c>
    </row>
    <row r="30580" spans="26:26" x14ac:dyDescent="0.25">
      <c r="Z30580">
        <v>400000</v>
      </c>
    </row>
    <row r="30581" spans="26:26" x14ac:dyDescent="0.25">
      <c r="Z30581">
        <v>400000</v>
      </c>
    </row>
    <row r="30582" spans="26:26" x14ac:dyDescent="0.25">
      <c r="Z30582">
        <v>400000</v>
      </c>
    </row>
    <row r="30583" spans="26:26" x14ac:dyDescent="0.25">
      <c r="Z30583">
        <v>400000</v>
      </c>
    </row>
    <row r="30584" spans="26:26" x14ac:dyDescent="0.25">
      <c r="Z30584">
        <v>400000</v>
      </c>
    </row>
    <row r="30585" spans="26:26" x14ac:dyDescent="0.25">
      <c r="Z30585">
        <v>400000</v>
      </c>
    </row>
    <row r="30586" spans="26:26" x14ac:dyDescent="0.25">
      <c r="Z30586">
        <v>400000</v>
      </c>
    </row>
    <row r="30587" spans="26:26" x14ac:dyDescent="0.25">
      <c r="Z30587">
        <v>400000</v>
      </c>
    </row>
    <row r="30588" spans="26:26" x14ac:dyDescent="0.25">
      <c r="Z30588">
        <v>400000</v>
      </c>
    </row>
    <row r="30589" spans="26:26" x14ac:dyDescent="0.25">
      <c r="Z30589">
        <v>400000</v>
      </c>
    </row>
    <row r="30590" spans="26:26" x14ac:dyDescent="0.25">
      <c r="Z30590">
        <v>400000</v>
      </c>
    </row>
    <row r="30591" spans="26:26" x14ac:dyDescent="0.25">
      <c r="Z30591">
        <v>400000</v>
      </c>
    </row>
    <row r="30592" spans="26:26" x14ac:dyDescent="0.25">
      <c r="Z30592">
        <v>400000</v>
      </c>
    </row>
    <row r="30593" spans="26:26" x14ac:dyDescent="0.25">
      <c r="Z30593">
        <v>400000</v>
      </c>
    </row>
    <row r="30594" spans="26:26" x14ac:dyDescent="0.25">
      <c r="Z30594">
        <v>400000</v>
      </c>
    </row>
    <row r="30595" spans="26:26" x14ac:dyDescent="0.25">
      <c r="Z30595">
        <v>400000</v>
      </c>
    </row>
    <row r="30596" spans="26:26" x14ac:dyDescent="0.25">
      <c r="Z30596">
        <v>400000</v>
      </c>
    </row>
    <row r="30597" spans="26:26" x14ac:dyDescent="0.25">
      <c r="Z30597">
        <v>400000</v>
      </c>
    </row>
    <row r="30598" spans="26:26" x14ac:dyDescent="0.25">
      <c r="Z30598">
        <v>400000</v>
      </c>
    </row>
    <row r="30599" spans="26:26" x14ac:dyDescent="0.25">
      <c r="Z30599">
        <v>400000</v>
      </c>
    </row>
    <row r="30600" spans="26:26" x14ac:dyDescent="0.25">
      <c r="Z30600">
        <v>400000</v>
      </c>
    </row>
    <row r="30601" spans="26:26" x14ac:dyDescent="0.25">
      <c r="Z30601">
        <v>400000</v>
      </c>
    </row>
    <row r="30602" spans="26:26" x14ac:dyDescent="0.25">
      <c r="Z30602">
        <v>400000</v>
      </c>
    </row>
    <row r="30603" spans="26:26" x14ac:dyDescent="0.25">
      <c r="Z30603">
        <v>400000</v>
      </c>
    </row>
    <row r="30604" spans="26:26" x14ac:dyDescent="0.25">
      <c r="Z30604">
        <v>400000</v>
      </c>
    </row>
    <row r="30605" spans="26:26" x14ac:dyDescent="0.25">
      <c r="Z30605">
        <v>400000</v>
      </c>
    </row>
    <row r="30606" spans="26:26" x14ac:dyDescent="0.25">
      <c r="Z30606">
        <v>400000</v>
      </c>
    </row>
    <row r="30607" spans="26:26" x14ac:dyDescent="0.25">
      <c r="Z30607">
        <v>400000</v>
      </c>
    </row>
    <row r="30608" spans="26:26" x14ac:dyDescent="0.25">
      <c r="Z30608">
        <v>400000</v>
      </c>
    </row>
    <row r="30609" spans="26:26" x14ac:dyDescent="0.25">
      <c r="Z30609">
        <v>400000</v>
      </c>
    </row>
    <row r="30610" spans="26:26" x14ac:dyDescent="0.25">
      <c r="Z30610">
        <v>400000</v>
      </c>
    </row>
    <row r="30611" spans="26:26" x14ac:dyDescent="0.25">
      <c r="Z30611">
        <v>400000</v>
      </c>
    </row>
    <row r="30612" spans="26:26" x14ac:dyDescent="0.25">
      <c r="Z30612">
        <v>400000</v>
      </c>
    </row>
    <row r="30613" spans="26:26" x14ac:dyDescent="0.25">
      <c r="Z30613">
        <v>400000</v>
      </c>
    </row>
    <row r="30614" spans="26:26" x14ac:dyDescent="0.25">
      <c r="Z30614">
        <v>400000</v>
      </c>
    </row>
    <row r="30615" spans="26:26" x14ac:dyDescent="0.25">
      <c r="Z30615">
        <v>400000</v>
      </c>
    </row>
    <row r="30616" spans="26:26" x14ac:dyDescent="0.25">
      <c r="Z30616">
        <v>400000</v>
      </c>
    </row>
    <row r="30617" spans="26:26" x14ac:dyDescent="0.25">
      <c r="Z30617">
        <v>400000</v>
      </c>
    </row>
    <row r="30618" spans="26:26" x14ac:dyDescent="0.25">
      <c r="Z30618">
        <v>400000</v>
      </c>
    </row>
    <row r="30619" spans="26:26" x14ac:dyDescent="0.25">
      <c r="Z30619">
        <v>400000</v>
      </c>
    </row>
    <row r="30620" spans="26:26" x14ac:dyDescent="0.25">
      <c r="Z30620">
        <v>400000</v>
      </c>
    </row>
    <row r="30621" spans="26:26" x14ac:dyDescent="0.25">
      <c r="Z30621">
        <v>400000</v>
      </c>
    </row>
    <row r="30622" spans="26:26" x14ac:dyDescent="0.25">
      <c r="Z30622">
        <v>400000</v>
      </c>
    </row>
    <row r="30623" spans="26:26" x14ac:dyDescent="0.25">
      <c r="Z30623">
        <v>400000</v>
      </c>
    </row>
    <row r="30624" spans="26:26" x14ac:dyDescent="0.25">
      <c r="Z30624">
        <v>400000</v>
      </c>
    </row>
    <row r="30625" spans="26:26" x14ac:dyDescent="0.25">
      <c r="Z30625">
        <v>400000</v>
      </c>
    </row>
    <row r="30626" spans="26:26" x14ac:dyDescent="0.25">
      <c r="Z30626">
        <v>400000</v>
      </c>
    </row>
    <row r="30627" spans="26:26" x14ac:dyDescent="0.25">
      <c r="Z30627">
        <v>400000</v>
      </c>
    </row>
    <row r="30628" spans="26:26" x14ac:dyDescent="0.25">
      <c r="Z30628">
        <v>400000</v>
      </c>
    </row>
    <row r="30629" spans="26:26" x14ac:dyDescent="0.25">
      <c r="Z30629">
        <v>400000</v>
      </c>
    </row>
    <row r="30630" spans="26:26" x14ac:dyDescent="0.25">
      <c r="Z30630">
        <v>400000</v>
      </c>
    </row>
    <row r="30631" spans="26:26" x14ac:dyDescent="0.25">
      <c r="Z30631">
        <v>400000</v>
      </c>
    </row>
    <row r="30632" spans="26:26" x14ac:dyDescent="0.25">
      <c r="Z30632">
        <v>400000</v>
      </c>
    </row>
    <row r="30633" spans="26:26" x14ac:dyDescent="0.25">
      <c r="Z30633">
        <v>400000</v>
      </c>
    </row>
    <row r="30634" spans="26:26" x14ac:dyDescent="0.25">
      <c r="Z30634">
        <v>400000</v>
      </c>
    </row>
    <row r="30635" spans="26:26" x14ac:dyDescent="0.25">
      <c r="Z30635">
        <v>400000</v>
      </c>
    </row>
    <row r="30636" spans="26:26" x14ac:dyDescent="0.25">
      <c r="Z30636">
        <v>400000</v>
      </c>
    </row>
    <row r="30637" spans="26:26" x14ac:dyDescent="0.25">
      <c r="Z30637">
        <v>400000</v>
      </c>
    </row>
    <row r="30638" spans="26:26" x14ac:dyDescent="0.25">
      <c r="Z30638">
        <v>400000</v>
      </c>
    </row>
    <row r="30639" spans="26:26" x14ac:dyDescent="0.25">
      <c r="Z30639">
        <v>400000</v>
      </c>
    </row>
    <row r="30640" spans="26:26" x14ac:dyDescent="0.25">
      <c r="Z30640">
        <v>400000</v>
      </c>
    </row>
    <row r="30641" spans="26:26" x14ac:dyDescent="0.25">
      <c r="Z30641">
        <v>400000</v>
      </c>
    </row>
    <row r="30642" spans="26:26" x14ac:dyDescent="0.25">
      <c r="Z30642">
        <v>400000</v>
      </c>
    </row>
    <row r="30643" spans="26:26" x14ac:dyDescent="0.25">
      <c r="Z30643">
        <v>400000</v>
      </c>
    </row>
    <row r="30644" spans="26:26" x14ac:dyDescent="0.25">
      <c r="Z30644">
        <v>400000</v>
      </c>
    </row>
    <row r="30645" spans="26:26" x14ac:dyDescent="0.25">
      <c r="Z30645">
        <v>400000</v>
      </c>
    </row>
    <row r="30646" spans="26:26" x14ac:dyDescent="0.25">
      <c r="Z30646">
        <v>400000</v>
      </c>
    </row>
    <row r="30647" spans="26:26" x14ac:dyDescent="0.25">
      <c r="Z30647">
        <v>400000</v>
      </c>
    </row>
    <row r="30648" spans="26:26" x14ac:dyDescent="0.25">
      <c r="Z30648">
        <v>400000</v>
      </c>
    </row>
    <row r="30649" spans="26:26" x14ac:dyDescent="0.25">
      <c r="Z30649">
        <v>400000</v>
      </c>
    </row>
    <row r="30650" spans="26:26" x14ac:dyDescent="0.25">
      <c r="Z30650">
        <v>400000</v>
      </c>
    </row>
    <row r="30651" spans="26:26" x14ac:dyDescent="0.25">
      <c r="Z30651">
        <v>400000</v>
      </c>
    </row>
    <row r="30652" spans="26:26" x14ac:dyDescent="0.25">
      <c r="Z30652">
        <v>400000</v>
      </c>
    </row>
    <row r="30653" spans="26:26" x14ac:dyDescent="0.25">
      <c r="Z30653">
        <v>400000</v>
      </c>
    </row>
    <row r="30654" spans="26:26" x14ac:dyDescent="0.25">
      <c r="Z30654">
        <v>400000</v>
      </c>
    </row>
    <row r="30655" spans="26:26" x14ac:dyDescent="0.25">
      <c r="Z30655">
        <v>400000</v>
      </c>
    </row>
    <row r="30656" spans="26:26" x14ac:dyDescent="0.25">
      <c r="Z30656">
        <v>400000</v>
      </c>
    </row>
    <row r="30657" spans="26:26" x14ac:dyDescent="0.25">
      <c r="Z30657">
        <v>400000</v>
      </c>
    </row>
    <row r="30658" spans="26:26" x14ac:dyDescent="0.25">
      <c r="Z30658">
        <v>400000</v>
      </c>
    </row>
    <row r="30659" spans="26:26" x14ac:dyDescent="0.25">
      <c r="Z30659">
        <v>400000</v>
      </c>
    </row>
    <row r="30660" spans="26:26" x14ac:dyDescent="0.25">
      <c r="Z30660">
        <v>400000</v>
      </c>
    </row>
    <row r="30661" spans="26:26" x14ac:dyDescent="0.25">
      <c r="Z30661">
        <v>400000</v>
      </c>
    </row>
    <row r="30662" spans="26:26" x14ac:dyDescent="0.25">
      <c r="Z30662">
        <v>400000</v>
      </c>
    </row>
    <row r="30663" spans="26:26" x14ac:dyDescent="0.25">
      <c r="Z30663">
        <v>400000</v>
      </c>
    </row>
    <row r="30664" spans="26:26" x14ac:dyDescent="0.25">
      <c r="Z30664">
        <v>400000</v>
      </c>
    </row>
    <row r="30665" spans="26:26" x14ac:dyDescent="0.25">
      <c r="Z30665">
        <v>400000</v>
      </c>
    </row>
    <row r="30666" spans="26:26" x14ac:dyDescent="0.25">
      <c r="Z30666">
        <v>400000</v>
      </c>
    </row>
    <row r="30667" spans="26:26" x14ac:dyDescent="0.25">
      <c r="Z30667">
        <v>400000</v>
      </c>
    </row>
    <row r="30668" spans="26:26" x14ac:dyDescent="0.25">
      <c r="Z30668">
        <v>400000</v>
      </c>
    </row>
    <row r="30669" spans="26:26" x14ac:dyDescent="0.25">
      <c r="Z30669">
        <v>400000</v>
      </c>
    </row>
    <row r="30670" spans="26:26" x14ac:dyDescent="0.25">
      <c r="Z30670">
        <v>400000</v>
      </c>
    </row>
    <row r="30671" spans="26:26" x14ac:dyDescent="0.25">
      <c r="Z30671">
        <v>400000</v>
      </c>
    </row>
    <row r="30672" spans="26:26" x14ac:dyDescent="0.25">
      <c r="Z30672">
        <v>400000</v>
      </c>
    </row>
    <row r="30673" spans="26:26" x14ac:dyDescent="0.25">
      <c r="Z30673">
        <v>400000</v>
      </c>
    </row>
    <row r="30674" spans="26:26" x14ac:dyDescent="0.25">
      <c r="Z30674">
        <v>400000</v>
      </c>
    </row>
    <row r="30675" spans="26:26" x14ac:dyDescent="0.25">
      <c r="Z30675">
        <v>400000</v>
      </c>
    </row>
    <row r="30676" spans="26:26" x14ac:dyDescent="0.25">
      <c r="Z30676">
        <v>400000</v>
      </c>
    </row>
    <row r="30677" spans="26:26" x14ac:dyDescent="0.25">
      <c r="Z30677">
        <v>400000</v>
      </c>
    </row>
    <row r="30678" spans="26:26" x14ac:dyDescent="0.25">
      <c r="Z30678">
        <v>400000</v>
      </c>
    </row>
    <row r="30679" spans="26:26" x14ac:dyDescent="0.25">
      <c r="Z30679">
        <v>400000</v>
      </c>
    </row>
    <row r="30680" spans="26:26" x14ac:dyDescent="0.25">
      <c r="Z30680">
        <v>400000</v>
      </c>
    </row>
    <row r="30681" spans="26:26" x14ac:dyDescent="0.25">
      <c r="Z30681">
        <v>400000</v>
      </c>
    </row>
    <row r="30682" spans="26:26" x14ac:dyDescent="0.25">
      <c r="Z30682">
        <v>400000</v>
      </c>
    </row>
    <row r="30683" spans="26:26" x14ac:dyDescent="0.25">
      <c r="Z30683">
        <v>400000</v>
      </c>
    </row>
    <row r="30684" spans="26:26" x14ac:dyDescent="0.25">
      <c r="Z30684">
        <v>400000</v>
      </c>
    </row>
    <row r="30685" spans="26:26" x14ac:dyDescent="0.25">
      <c r="Z30685">
        <v>400000</v>
      </c>
    </row>
    <row r="30686" spans="26:26" x14ac:dyDescent="0.25">
      <c r="Z30686">
        <v>400000</v>
      </c>
    </row>
    <row r="30687" spans="26:26" x14ac:dyDescent="0.25">
      <c r="Z30687">
        <v>400000</v>
      </c>
    </row>
    <row r="30688" spans="26:26" x14ac:dyDescent="0.25">
      <c r="Z30688">
        <v>400000</v>
      </c>
    </row>
    <row r="30689" spans="26:26" x14ac:dyDescent="0.25">
      <c r="Z30689">
        <v>400000</v>
      </c>
    </row>
    <row r="30690" spans="26:26" x14ac:dyDescent="0.25">
      <c r="Z30690">
        <v>400000</v>
      </c>
    </row>
    <row r="30691" spans="26:26" x14ac:dyDescent="0.25">
      <c r="Z30691">
        <v>400000</v>
      </c>
    </row>
    <row r="30692" spans="26:26" x14ac:dyDescent="0.25">
      <c r="Z30692">
        <v>400000</v>
      </c>
    </row>
    <row r="30693" spans="26:26" x14ac:dyDescent="0.25">
      <c r="Z30693">
        <v>400000</v>
      </c>
    </row>
    <row r="30694" spans="26:26" x14ac:dyDescent="0.25">
      <c r="Z30694">
        <v>400000</v>
      </c>
    </row>
    <row r="30695" spans="26:26" x14ac:dyDescent="0.25">
      <c r="Z30695">
        <v>400000</v>
      </c>
    </row>
    <row r="30696" spans="26:26" x14ac:dyDescent="0.25">
      <c r="Z30696">
        <v>400000</v>
      </c>
    </row>
    <row r="30697" spans="26:26" x14ac:dyDescent="0.25">
      <c r="Z30697">
        <v>400000</v>
      </c>
    </row>
    <row r="30698" spans="26:26" x14ac:dyDescent="0.25">
      <c r="Z30698">
        <v>400000</v>
      </c>
    </row>
    <row r="30699" spans="26:26" x14ac:dyDescent="0.25">
      <c r="Z30699">
        <v>400000</v>
      </c>
    </row>
    <row r="30700" spans="26:26" x14ac:dyDescent="0.25">
      <c r="Z30700">
        <v>400000</v>
      </c>
    </row>
    <row r="30701" spans="26:26" x14ac:dyDescent="0.25">
      <c r="Z30701">
        <v>400000</v>
      </c>
    </row>
    <row r="30702" spans="26:26" x14ac:dyDescent="0.25">
      <c r="Z30702">
        <v>400000</v>
      </c>
    </row>
    <row r="30703" spans="26:26" x14ac:dyDescent="0.25">
      <c r="Z30703">
        <v>400000</v>
      </c>
    </row>
    <row r="30704" spans="26:26" x14ac:dyDescent="0.25">
      <c r="Z30704">
        <v>400000</v>
      </c>
    </row>
    <row r="30705" spans="26:26" x14ac:dyDescent="0.25">
      <c r="Z30705">
        <v>400000</v>
      </c>
    </row>
    <row r="30706" spans="26:26" x14ac:dyDescent="0.25">
      <c r="Z30706">
        <v>400000</v>
      </c>
    </row>
    <row r="30707" spans="26:26" x14ac:dyDescent="0.25">
      <c r="Z30707">
        <v>400000</v>
      </c>
    </row>
    <row r="30708" spans="26:26" x14ac:dyDescent="0.25">
      <c r="Z30708">
        <v>400000</v>
      </c>
    </row>
    <row r="30709" spans="26:26" x14ac:dyDescent="0.25">
      <c r="Z30709">
        <v>400000</v>
      </c>
    </row>
    <row r="30710" spans="26:26" x14ac:dyDescent="0.25">
      <c r="Z30710">
        <v>400000</v>
      </c>
    </row>
    <row r="30711" spans="26:26" x14ac:dyDescent="0.25">
      <c r="Z30711">
        <v>400000</v>
      </c>
    </row>
    <row r="30712" spans="26:26" x14ac:dyDescent="0.25">
      <c r="Z30712">
        <v>400000</v>
      </c>
    </row>
    <row r="30713" spans="26:26" x14ac:dyDescent="0.25">
      <c r="Z30713">
        <v>400000</v>
      </c>
    </row>
    <row r="30714" spans="26:26" x14ac:dyDescent="0.25">
      <c r="Z30714">
        <v>400000</v>
      </c>
    </row>
    <row r="30715" spans="26:26" x14ac:dyDescent="0.25">
      <c r="Z30715">
        <v>400000</v>
      </c>
    </row>
    <row r="30716" spans="26:26" x14ac:dyDescent="0.25">
      <c r="Z30716">
        <v>400000</v>
      </c>
    </row>
    <row r="30717" spans="26:26" x14ac:dyDescent="0.25">
      <c r="Z30717">
        <v>400000</v>
      </c>
    </row>
    <row r="30718" spans="26:26" x14ac:dyDescent="0.25">
      <c r="Z30718">
        <v>400000</v>
      </c>
    </row>
    <row r="30719" spans="26:26" x14ac:dyDescent="0.25">
      <c r="Z30719">
        <v>400000</v>
      </c>
    </row>
    <row r="30720" spans="26:26" x14ac:dyDescent="0.25">
      <c r="Z30720">
        <v>400000</v>
      </c>
    </row>
    <row r="30721" spans="26:26" x14ac:dyDescent="0.25">
      <c r="Z30721">
        <v>400000</v>
      </c>
    </row>
    <row r="30722" spans="26:26" x14ac:dyDescent="0.25">
      <c r="Z30722">
        <v>400000</v>
      </c>
    </row>
    <row r="30723" spans="26:26" x14ac:dyDescent="0.25">
      <c r="Z30723">
        <v>400000</v>
      </c>
    </row>
    <row r="30724" spans="26:26" x14ac:dyDescent="0.25">
      <c r="Z30724">
        <v>400000</v>
      </c>
    </row>
    <row r="30725" spans="26:26" x14ac:dyDescent="0.25">
      <c r="Z30725">
        <v>400000</v>
      </c>
    </row>
    <row r="30726" spans="26:26" x14ac:dyDescent="0.25">
      <c r="Z30726">
        <v>400000</v>
      </c>
    </row>
    <row r="30727" spans="26:26" x14ac:dyDescent="0.25">
      <c r="Z30727">
        <v>400000</v>
      </c>
    </row>
    <row r="30728" spans="26:26" x14ac:dyDescent="0.25">
      <c r="Z30728">
        <v>400000</v>
      </c>
    </row>
    <row r="30729" spans="26:26" x14ac:dyDescent="0.25">
      <c r="Z30729">
        <v>400000</v>
      </c>
    </row>
    <row r="30730" spans="26:26" x14ac:dyDescent="0.25">
      <c r="Z30730">
        <v>400000</v>
      </c>
    </row>
    <row r="30731" spans="26:26" x14ac:dyDescent="0.25">
      <c r="Z30731">
        <v>400000</v>
      </c>
    </row>
    <row r="30732" spans="26:26" x14ac:dyDescent="0.25">
      <c r="Z30732">
        <v>400000</v>
      </c>
    </row>
    <row r="30733" spans="26:26" x14ac:dyDescent="0.25">
      <c r="Z30733">
        <v>400000</v>
      </c>
    </row>
    <row r="30734" spans="26:26" x14ac:dyDescent="0.25">
      <c r="Z30734">
        <v>400000</v>
      </c>
    </row>
    <row r="30735" spans="26:26" x14ac:dyDescent="0.25">
      <c r="Z30735">
        <v>400000</v>
      </c>
    </row>
    <row r="30736" spans="26:26" x14ac:dyDescent="0.25">
      <c r="Z30736">
        <v>400000</v>
      </c>
    </row>
    <row r="30737" spans="26:26" x14ac:dyDescent="0.25">
      <c r="Z30737">
        <v>400000</v>
      </c>
    </row>
    <row r="30738" spans="26:26" x14ac:dyDescent="0.25">
      <c r="Z30738">
        <v>400000</v>
      </c>
    </row>
    <row r="30739" spans="26:26" x14ac:dyDescent="0.25">
      <c r="Z30739">
        <v>400000</v>
      </c>
    </row>
    <row r="30740" spans="26:26" x14ac:dyDescent="0.25">
      <c r="Z30740">
        <v>400000</v>
      </c>
    </row>
    <row r="30741" spans="26:26" x14ac:dyDescent="0.25">
      <c r="Z30741">
        <v>400000</v>
      </c>
    </row>
    <row r="30742" spans="26:26" x14ac:dyDescent="0.25">
      <c r="Z30742">
        <v>400000</v>
      </c>
    </row>
    <row r="30743" spans="26:26" x14ac:dyDescent="0.25">
      <c r="Z30743">
        <v>400000</v>
      </c>
    </row>
    <row r="30744" spans="26:26" x14ac:dyDescent="0.25">
      <c r="Z30744">
        <v>400000</v>
      </c>
    </row>
    <row r="30745" spans="26:26" x14ac:dyDescent="0.25">
      <c r="Z30745">
        <v>400000</v>
      </c>
    </row>
    <row r="30746" spans="26:26" x14ac:dyDescent="0.25">
      <c r="Z30746">
        <v>400000</v>
      </c>
    </row>
    <row r="30747" spans="26:26" x14ac:dyDescent="0.25">
      <c r="Z30747">
        <v>400000</v>
      </c>
    </row>
    <row r="30748" spans="26:26" x14ac:dyDescent="0.25">
      <c r="Z30748">
        <v>400000</v>
      </c>
    </row>
    <row r="30749" spans="26:26" x14ac:dyDescent="0.25">
      <c r="Z30749">
        <v>400000</v>
      </c>
    </row>
    <row r="30750" spans="26:26" x14ac:dyDescent="0.25">
      <c r="Z30750">
        <v>400000</v>
      </c>
    </row>
    <row r="30751" spans="26:26" x14ac:dyDescent="0.25">
      <c r="Z30751">
        <v>400000</v>
      </c>
    </row>
    <row r="30752" spans="26:26" x14ac:dyDescent="0.25">
      <c r="Z30752">
        <v>400000</v>
      </c>
    </row>
    <row r="30753" spans="26:26" x14ac:dyDescent="0.25">
      <c r="Z30753">
        <v>400000</v>
      </c>
    </row>
    <row r="30754" spans="26:26" x14ac:dyDescent="0.25">
      <c r="Z30754">
        <v>400000</v>
      </c>
    </row>
    <row r="30755" spans="26:26" x14ac:dyDescent="0.25">
      <c r="Z30755">
        <v>400000</v>
      </c>
    </row>
    <row r="30756" spans="26:26" x14ac:dyDescent="0.25">
      <c r="Z30756">
        <v>400000</v>
      </c>
    </row>
    <row r="30757" spans="26:26" x14ac:dyDescent="0.25">
      <c r="Z30757">
        <v>400000</v>
      </c>
    </row>
    <row r="30758" spans="26:26" x14ac:dyDescent="0.25">
      <c r="Z30758">
        <v>400000</v>
      </c>
    </row>
    <row r="30759" spans="26:26" x14ac:dyDescent="0.25">
      <c r="Z30759">
        <v>400000</v>
      </c>
    </row>
    <row r="30760" spans="26:26" x14ac:dyDescent="0.25">
      <c r="Z30760">
        <v>400000</v>
      </c>
    </row>
    <row r="30761" spans="26:26" x14ac:dyDescent="0.25">
      <c r="Z30761">
        <v>400000</v>
      </c>
    </row>
    <row r="30762" spans="26:26" x14ac:dyDescent="0.25">
      <c r="Z30762">
        <v>400000</v>
      </c>
    </row>
    <row r="30763" spans="26:26" x14ac:dyDescent="0.25">
      <c r="Z30763">
        <v>400000</v>
      </c>
    </row>
    <row r="30764" spans="26:26" x14ac:dyDescent="0.25">
      <c r="Z30764">
        <v>400000</v>
      </c>
    </row>
    <row r="30765" spans="26:26" x14ac:dyDescent="0.25">
      <c r="Z30765">
        <v>400000</v>
      </c>
    </row>
    <row r="30766" spans="26:26" x14ac:dyDescent="0.25">
      <c r="Z30766">
        <v>400000</v>
      </c>
    </row>
    <row r="30767" spans="26:26" x14ac:dyDescent="0.25">
      <c r="Z30767">
        <v>400000</v>
      </c>
    </row>
    <row r="30768" spans="26:26" x14ac:dyDescent="0.25">
      <c r="Z30768">
        <v>400000</v>
      </c>
    </row>
    <row r="30769" spans="26:26" x14ac:dyDescent="0.25">
      <c r="Z30769">
        <v>400000</v>
      </c>
    </row>
    <row r="30770" spans="26:26" x14ac:dyDescent="0.25">
      <c r="Z30770">
        <v>400000</v>
      </c>
    </row>
    <row r="30771" spans="26:26" x14ac:dyDescent="0.25">
      <c r="Z30771">
        <v>400000</v>
      </c>
    </row>
    <row r="30772" spans="26:26" x14ac:dyDescent="0.25">
      <c r="Z30772">
        <v>400000</v>
      </c>
    </row>
    <row r="30773" spans="26:26" x14ac:dyDescent="0.25">
      <c r="Z30773">
        <v>400000</v>
      </c>
    </row>
    <row r="30774" spans="26:26" x14ac:dyDescent="0.25">
      <c r="Z30774">
        <v>400000</v>
      </c>
    </row>
    <row r="30775" spans="26:26" x14ac:dyDescent="0.25">
      <c r="Z30775">
        <v>400000</v>
      </c>
    </row>
    <row r="30776" spans="26:26" x14ac:dyDescent="0.25">
      <c r="Z30776">
        <v>400000</v>
      </c>
    </row>
    <row r="30777" spans="26:26" x14ac:dyDescent="0.25">
      <c r="Z30777">
        <v>400000</v>
      </c>
    </row>
    <row r="30778" spans="26:26" x14ac:dyDescent="0.25">
      <c r="Z30778">
        <v>400000</v>
      </c>
    </row>
    <row r="30779" spans="26:26" x14ac:dyDescent="0.25">
      <c r="Z30779">
        <v>400000</v>
      </c>
    </row>
    <row r="30780" spans="26:26" x14ac:dyDescent="0.25">
      <c r="Z30780">
        <v>400000</v>
      </c>
    </row>
    <row r="30781" spans="26:26" x14ac:dyDescent="0.25">
      <c r="Z30781">
        <v>400000</v>
      </c>
    </row>
    <row r="30782" spans="26:26" x14ac:dyDescent="0.25">
      <c r="Z30782">
        <v>400000</v>
      </c>
    </row>
    <row r="30783" spans="26:26" x14ac:dyDescent="0.25">
      <c r="Z30783">
        <v>400000</v>
      </c>
    </row>
    <row r="30784" spans="26:26" x14ac:dyDescent="0.25">
      <c r="Z30784">
        <v>400000</v>
      </c>
    </row>
    <row r="30785" spans="26:26" x14ac:dyDescent="0.25">
      <c r="Z30785">
        <v>400000</v>
      </c>
    </row>
    <row r="30786" spans="26:26" x14ac:dyDescent="0.25">
      <c r="Z30786">
        <v>400000</v>
      </c>
    </row>
    <row r="30787" spans="26:26" x14ac:dyDescent="0.25">
      <c r="Z30787">
        <v>400000</v>
      </c>
    </row>
    <row r="30788" spans="26:26" x14ac:dyDescent="0.25">
      <c r="Z30788">
        <v>400000</v>
      </c>
    </row>
    <row r="30789" spans="26:26" x14ac:dyDescent="0.25">
      <c r="Z30789">
        <v>400000</v>
      </c>
    </row>
    <row r="30790" spans="26:26" x14ac:dyDescent="0.25">
      <c r="Z30790">
        <v>400000</v>
      </c>
    </row>
    <row r="30791" spans="26:26" x14ac:dyDescent="0.25">
      <c r="Z30791">
        <v>400000</v>
      </c>
    </row>
    <row r="30792" spans="26:26" x14ac:dyDescent="0.25">
      <c r="Z30792">
        <v>400000</v>
      </c>
    </row>
    <row r="30793" spans="26:26" x14ac:dyDescent="0.25">
      <c r="Z30793">
        <v>400000</v>
      </c>
    </row>
    <row r="30794" spans="26:26" x14ac:dyDescent="0.25">
      <c r="Z30794">
        <v>400000</v>
      </c>
    </row>
    <row r="30795" spans="26:26" x14ac:dyDescent="0.25">
      <c r="Z30795">
        <v>400000</v>
      </c>
    </row>
    <row r="30796" spans="26:26" x14ac:dyDescent="0.25">
      <c r="Z30796">
        <v>400000</v>
      </c>
    </row>
    <row r="30797" spans="26:26" x14ac:dyDescent="0.25">
      <c r="Z30797">
        <v>400000</v>
      </c>
    </row>
    <row r="30798" spans="26:26" x14ac:dyDescent="0.25">
      <c r="Z30798">
        <v>400000</v>
      </c>
    </row>
    <row r="30799" spans="26:26" x14ac:dyDescent="0.25">
      <c r="Z30799">
        <v>400000</v>
      </c>
    </row>
    <row r="30800" spans="26:26" x14ac:dyDescent="0.25">
      <c r="Z30800">
        <v>400000</v>
      </c>
    </row>
    <row r="30801" spans="26:26" x14ac:dyDescent="0.25">
      <c r="Z30801">
        <v>400000</v>
      </c>
    </row>
    <row r="30802" spans="26:26" x14ac:dyDescent="0.25">
      <c r="Z30802">
        <v>400000</v>
      </c>
    </row>
    <row r="30803" spans="26:26" x14ac:dyDescent="0.25">
      <c r="Z30803">
        <v>400000</v>
      </c>
    </row>
    <row r="30804" spans="26:26" x14ac:dyDescent="0.25">
      <c r="Z30804">
        <v>400000</v>
      </c>
    </row>
    <row r="30805" spans="26:26" x14ac:dyDescent="0.25">
      <c r="Z30805">
        <v>400000</v>
      </c>
    </row>
    <row r="30806" spans="26:26" x14ac:dyDescent="0.25">
      <c r="Z30806">
        <v>400000</v>
      </c>
    </row>
    <row r="30807" spans="26:26" x14ac:dyDescent="0.25">
      <c r="Z30807">
        <v>400000</v>
      </c>
    </row>
    <row r="30808" spans="26:26" x14ac:dyDescent="0.25">
      <c r="Z30808">
        <v>400000</v>
      </c>
    </row>
    <row r="30809" spans="26:26" x14ac:dyDescent="0.25">
      <c r="Z30809">
        <v>400000</v>
      </c>
    </row>
    <row r="30810" spans="26:26" x14ac:dyDescent="0.25">
      <c r="Z30810">
        <v>400000</v>
      </c>
    </row>
    <row r="30811" spans="26:26" x14ac:dyDescent="0.25">
      <c r="Z30811">
        <v>400000</v>
      </c>
    </row>
    <row r="30812" spans="26:26" x14ac:dyDescent="0.25">
      <c r="Z30812">
        <v>400000</v>
      </c>
    </row>
    <row r="30813" spans="26:26" x14ac:dyDescent="0.25">
      <c r="Z30813">
        <v>400000</v>
      </c>
    </row>
    <row r="30814" spans="26:26" x14ac:dyDescent="0.25">
      <c r="Z30814">
        <v>400000</v>
      </c>
    </row>
    <row r="30815" spans="26:26" x14ac:dyDescent="0.25">
      <c r="Z30815">
        <v>400000</v>
      </c>
    </row>
    <row r="30816" spans="26:26" x14ac:dyDescent="0.25">
      <c r="Z30816">
        <v>400000</v>
      </c>
    </row>
    <row r="30817" spans="26:26" x14ac:dyDescent="0.25">
      <c r="Z30817">
        <v>400000</v>
      </c>
    </row>
    <row r="30818" spans="26:26" x14ac:dyDescent="0.25">
      <c r="Z30818">
        <v>400000</v>
      </c>
    </row>
    <row r="30819" spans="26:26" x14ac:dyDescent="0.25">
      <c r="Z30819">
        <v>400000</v>
      </c>
    </row>
    <row r="30820" spans="26:26" x14ac:dyDescent="0.25">
      <c r="Z30820">
        <v>400000</v>
      </c>
    </row>
    <row r="30821" spans="26:26" x14ac:dyDescent="0.25">
      <c r="Z30821">
        <v>400000</v>
      </c>
    </row>
    <row r="30822" spans="26:26" x14ac:dyDescent="0.25">
      <c r="Z30822">
        <v>400000</v>
      </c>
    </row>
    <row r="30823" spans="26:26" x14ac:dyDescent="0.25">
      <c r="Z30823">
        <v>400000</v>
      </c>
    </row>
    <row r="30824" spans="26:26" x14ac:dyDescent="0.25">
      <c r="Z30824">
        <v>400000</v>
      </c>
    </row>
    <row r="30825" spans="26:26" x14ac:dyDescent="0.25">
      <c r="Z30825">
        <v>400000</v>
      </c>
    </row>
    <row r="30826" spans="26:26" x14ac:dyDescent="0.25">
      <c r="Z30826">
        <v>400000</v>
      </c>
    </row>
    <row r="30827" spans="26:26" x14ac:dyDescent="0.25">
      <c r="Z30827">
        <v>400000</v>
      </c>
    </row>
    <row r="30828" spans="26:26" x14ac:dyDescent="0.25">
      <c r="Z30828">
        <v>400000</v>
      </c>
    </row>
    <row r="30829" spans="26:26" x14ac:dyDescent="0.25">
      <c r="Z30829">
        <v>400000</v>
      </c>
    </row>
    <row r="30830" spans="26:26" x14ac:dyDescent="0.25">
      <c r="Z30830">
        <v>400000</v>
      </c>
    </row>
    <row r="30831" spans="26:26" x14ac:dyDescent="0.25">
      <c r="Z30831">
        <v>400000</v>
      </c>
    </row>
    <row r="30832" spans="26:26" x14ac:dyDescent="0.25">
      <c r="Z30832">
        <v>400000</v>
      </c>
    </row>
    <row r="30833" spans="26:26" x14ac:dyDescent="0.25">
      <c r="Z30833">
        <v>400000</v>
      </c>
    </row>
    <row r="30834" spans="26:26" x14ac:dyDescent="0.25">
      <c r="Z30834">
        <v>400000</v>
      </c>
    </row>
    <row r="30835" spans="26:26" x14ac:dyDescent="0.25">
      <c r="Z30835">
        <v>400000</v>
      </c>
    </row>
    <row r="30836" spans="26:26" x14ac:dyDescent="0.25">
      <c r="Z30836">
        <v>400000</v>
      </c>
    </row>
    <row r="30837" spans="26:26" x14ac:dyDescent="0.25">
      <c r="Z30837">
        <v>400000</v>
      </c>
    </row>
    <row r="30838" spans="26:26" x14ac:dyDescent="0.25">
      <c r="Z30838">
        <v>400000</v>
      </c>
    </row>
    <row r="30839" spans="26:26" x14ac:dyDescent="0.25">
      <c r="Z30839">
        <v>400000</v>
      </c>
    </row>
    <row r="30840" spans="26:26" x14ac:dyDescent="0.25">
      <c r="Z30840">
        <v>400000</v>
      </c>
    </row>
    <row r="30841" spans="26:26" x14ac:dyDescent="0.25">
      <c r="Z30841">
        <v>400000</v>
      </c>
    </row>
    <row r="30842" spans="26:26" x14ac:dyDescent="0.25">
      <c r="Z30842">
        <v>400000</v>
      </c>
    </row>
    <row r="30843" spans="26:26" x14ac:dyDescent="0.25">
      <c r="Z30843">
        <v>400000</v>
      </c>
    </row>
    <row r="30844" spans="26:26" x14ac:dyDescent="0.25">
      <c r="Z30844">
        <v>400000</v>
      </c>
    </row>
    <row r="30845" spans="26:26" x14ac:dyDescent="0.25">
      <c r="Z30845">
        <v>400000</v>
      </c>
    </row>
    <row r="30846" spans="26:26" x14ac:dyDescent="0.25">
      <c r="Z30846">
        <v>400000</v>
      </c>
    </row>
    <row r="30847" spans="26:26" x14ac:dyDescent="0.25">
      <c r="Z30847">
        <v>400000</v>
      </c>
    </row>
    <row r="30848" spans="26:26" x14ac:dyDescent="0.25">
      <c r="Z30848">
        <v>400000</v>
      </c>
    </row>
    <row r="30849" spans="26:26" x14ac:dyDescent="0.25">
      <c r="Z30849">
        <v>400000</v>
      </c>
    </row>
    <row r="30850" spans="26:26" x14ac:dyDescent="0.25">
      <c r="Z30850">
        <v>400000</v>
      </c>
    </row>
    <row r="30851" spans="26:26" x14ac:dyDescent="0.25">
      <c r="Z30851">
        <v>400000</v>
      </c>
    </row>
    <row r="30852" spans="26:26" x14ac:dyDescent="0.25">
      <c r="Z30852">
        <v>400000</v>
      </c>
    </row>
    <row r="30853" spans="26:26" x14ac:dyDescent="0.25">
      <c r="Z30853">
        <v>400000</v>
      </c>
    </row>
    <row r="30854" spans="26:26" x14ac:dyDescent="0.25">
      <c r="Z30854">
        <v>400000</v>
      </c>
    </row>
    <row r="30855" spans="26:26" x14ac:dyDescent="0.25">
      <c r="Z30855">
        <v>400000</v>
      </c>
    </row>
    <row r="30856" spans="26:26" x14ac:dyDescent="0.25">
      <c r="Z30856">
        <v>400000</v>
      </c>
    </row>
    <row r="30857" spans="26:26" x14ac:dyDescent="0.25">
      <c r="Z30857">
        <v>400000</v>
      </c>
    </row>
    <row r="30858" spans="26:26" x14ac:dyDescent="0.25">
      <c r="Z30858">
        <v>400000</v>
      </c>
    </row>
    <row r="30859" spans="26:26" x14ac:dyDescent="0.25">
      <c r="Z30859">
        <v>400000</v>
      </c>
    </row>
    <row r="30860" spans="26:26" x14ac:dyDescent="0.25">
      <c r="Z30860">
        <v>400000</v>
      </c>
    </row>
    <row r="30861" spans="26:26" x14ac:dyDescent="0.25">
      <c r="Z30861">
        <v>400000</v>
      </c>
    </row>
    <row r="30862" spans="26:26" x14ac:dyDescent="0.25">
      <c r="Z30862">
        <v>400000</v>
      </c>
    </row>
    <row r="30863" spans="26:26" x14ac:dyDescent="0.25">
      <c r="Z30863">
        <v>400000</v>
      </c>
    </row>
    <row r="30864" spans="26:26" x14ac:dyDescent="0.25">
      <c r="Z30864">
        <v>400000</v>
      </c>
    </row>
    <row r="30865" spans="26:26" x14ac:dyDescent="0.25">
      <c r="Z30865">
        <v>400000</v>
      </c>
    </row>
    <row r="30866" spans="26:26" x14ac:dyDescent="0.25">
      <c r="Z30866">
        <v>400000</v>
      </c>
    </row>
    <row r="30867" spans="26:26" x14ac:dyDescent="0.25">
      <c r="Z30867">
        <v>400000</v>
      </c>
    </row>
    <row r="30868" spans="26:26" x14ac:dyDescent="0.25">
      <c r="Z30868">
        <v>400000</v>
      </c>
    </row>
    <row r="30869" spans="26:26" x14ac:dyDescent="0.25">
      <c r="Z30869">
        <v>400000</v>
      </c>
    </row>
    <row r="30870" spans="26:26" x14ac:dyDescent="0.25">
      <c r="Z30870">
        <v>400000</v>
      </c>
    </row>
    <row r="30871" spans="26:26" x14ac:dyDescent="0.25">
      <c r="Z30871">
        <v>400000</v>
      </c>
    </row>
    <row r="30872" spans="26:26" x14ac:dyDescent="0.25">
      <c r="Z30872">
        <v>400000</v>
      </c>
    </row>
    <row r="30873" spans="26:26" x14ac:dyDescent="0.25">
      <c r="Z30873">
        <v>400000</v>
      </c>
    </row>
    <row r="30874" spans="26:26" x14ac:dyDescent="0.25">
      <c r="Z30874">
        <v>400000</v>
      </c>
    </row>
    <row r="30875" spans="26:26" x14ac:dyDescent="0.25">
      <c r="Z30875">
        <v>400000</v>
      </c>
    </row>
    <row r="30876" spans="26:26" x14ac:dyDescent="0.25">
      <c r="Z30876">
        <v>400000</v>
      </c>
    </row>
    <row r="30877" spans="26:26" x14ac:dyDescent="0.25">
      <c r="Z30877">
        <v>400000</v>
      </c>
    </row>
    <row r="30878" spans="26:26" x14ac:dyDescent="0.25">
      <c r="Z30878">
        <v>400000</v>
      </c>
    </row>
    <row r="30879" spans="26:26" x14ac:dyDescent="0.25">
      <c r="Z30879">
        <v>400000</v>
      </c>
    </row>
    <row r="30880" spans="26:26" x14ac:dyDescent="0.25">
      <c r="Z30880">
        <v>400000</v>
      </c>
    </row>
    <row r="30881" spans="26:26" x14ac:dyDescent="0.25">
      <c r="Z30881">
        <v>400000</v>
      </c>
    </row>
    <row r="30882" spans="26:26" x14ac:dyDescent="0.25">
      <c r="Z30882">
        <v>400000</v>
      </c>
    </row>
    <row r="30883" spans="26:26" x14ac:dyDescent="0.25">
      <c r="Z30883">
        <v>400000</v>
      </c>
    </row>
    <row r="30884" spans="26:26" x14ac:dyDescent="0.25">
      <c r="Z30884">
        <v>400000</v>
      </c>
    </row>
    <row r="30885" spans="26:26" x14ac:dyDescent="0.25">
      <c r="Z30885">
        <v>400000</v>
      </c>
    </row>
    <row r="30886" spans="26:26" x14ac:dyDescent="0.25">
      <c r="Z30886">
        <v>400000</v>
      </c>
    </row>
    <row r="30887" spans="26:26" x14ac:dyDescent="0.25">
      <c r="Z30887">
        <v>400000</v>
      </c>
    </row>
    <row r="30888" spans="26:26" x14ac:dyDescent="0.25">
      <c r="Z30888">
        <v>400000</v>
      </c>
    </row>
    <row r="30889" spans="26:26" x14ac:dyDescent="0.25">
      <c r="Z30889">
        <v>400000</v>
      </c>
    </row>
    <row r="30890" spans="26:26" x14ac:dyDescent="0.25">
      <c r="Z30890">
        <v>400000</v>
      </c>
    </row>
    <row r="30891" spans="26:26" x14ac:dyDescent="0.25">
      <c r="Z30891">
        <v>400000</v>
      </c>
    </row>
    <row r="30892" spans="26:26" x14ac:dyDescent="0.25">
      <c r="Z30892">
        <v>400000</v>
      </c>
    </row>
    <row r="30893" spans="26:26" x14ac:dyDescent="0.25">
      <c r="Z30893">
        <v>400000</v>
      </c>
    </row>
    <row r="30894" spans="26:26" x14ac:dyDescent="0.25">
      <c r="Z30894">
        <v>400000</v>
      </c>
    </row>
    <row r="30895" spans="26:26" x14ac:dyDescent="0.25">
      <c r="Z30895">
        <v>400000</v>
      </c>
    </row>
    <row r="30896" spans="26:26" x14ac:dyDescent="0.25">
      <c r="Z30896">
        <v>400000</v>
      </c>
    </row>
    <row r="30897" spans="26:26" x14ac:dyDescent="0.25">
      <c r="Z30897">
        <v>400000</v>
      </c>
    </row>
    <row r="30898" spans="26:26" x14ac:dyDescent="0.25">
      <c r="Z30898">
        <v>400000</v>
      </c>
    </row>
    <row r="30899" spans="26:26" x14ac:dyDescent="0.25">
      <c r="Z30899">
        <v>400000</v>
      </c>
    </row>
    <row r="30900" spans="26:26" x14ac:dyDescent="0.25">
      <c r="Z30900">
        <v>400000</v>
      </c>
    </row>
    <row r="30901" spans="26:26" x14ac:dyDescent="0.25">
      <c r="Z30901">
        <v>400000</v>
      </c>
    </row>
    <row r="30902" spans="26:26" x14ac:dyDescent="0.25">
      <c r="Z30902">
        <v>400000</v>
      </c>
    </row>
    <row r="30903" spans="26:26" x14ac:dyDescent="0.25">
      <c r="Z30903">
        <v>400000</v>
      </c>
    </row>
    <row r="30904" spans="26:26" x14ac:dyDescent="0.25">
      <c r="Z30904">
        <v>400000</v>
      </c>
    </row>
    <row r="30905" spans="26:26" x14ac:dyDescent="0.25">
      <c r="Z30905">
        <v>400000</v>
      </c>
    </row>
    <row r="30906" spans="26:26" x14ac:dyDescent="0.25">
      <c r="Z30906">
        <v>400000</v>
      </c>
    </row>
    <row r="30907" spans="26:26" x14ac:dyDescent="0.25">
      <c r="Z30907">
        <v>400000</v>
      </c>
    </row>
    <row r="30908" spans="26:26" x14ac:dyDescent="0.25">
      <c r="Z30908">
        <v>400000</v>
      </c>
    </row>
    <row r="30909" spans="26:26" x14ac:dyDescent="0.25">
      <c r="Z30909">
        <v>400000</v>
      </c>
    </row>
    <row r="30910" spans="26:26" x14ac:dyDescent="0.25">
      <c r="Z30910">
        <v>400000</v>
      </c>
    </row>
    <row r="30911" spans="26:26" x14ac:dyDescent="0.25">
      <c r="Z30911">
        <v>400000</v>
      </c>
    </row>
    <row r="30912" spans="26:26" x14ac:dyDescent="0.25">
      <c r="Z30912">
        <v>400000</v>
      </c>
    </row>
    <row r="30913" spans="26:26" x14ac:dyDescent="0.25">
      <c r="Z30913">
        <v>400000</v>
      </c>
    </row>
    <row r="30914" spans="26:26" x14ac:dyDescent="0.25">
      <c r="Z30914">
        <v>400000</v>
      </c>
    </row>
    <row r="30915" spans="26:26" x14ac:dyDescent="0.25">
      <c r="Z30915">
        <v>400000</v>
      </c>
    </row>
    <row r="30916" spans="26:26" x14ac:dyDescent="0.25">
      <c r="Z30916">
        <v>400000</v>
      </c>
    </row>
    <row r="30917" spans="26:26" x14ac:dyDescent="0.25">
      <c r="Z30917">
        <v>400000</v>
      </c>
    </row>
    <row r="30918" spans="26:26" x14ac:dyDescent="0.25">
      <c r="Z30918">
        <v>400000</v>
      </c>
    </row>
    <row r="30919" spans="26:26" x14ac:dyDescent="0.25">
      <c r="Z30919">
        <v>400000</v>
      </c>
    </row>
    <row r="30920" spans="26:26" x14ac:dyDescent="0.25">
      <c r="Z30920">
        <v>400000</v>
      </c>
    </row>
    <row r="30921" spans="26:26" x14ac:dyDescent="0.25">
      <c r="Z30921">
        <v>400000</v>
      </c>
    </row>
    <row r="30922" spans="26:26" x14ac:dyDescent="0.25">
      <c r="Z30922">
        <v>400000</v>
      </c>
    </row>
    <row r="30923" spans="26:26" x14ac:dyDescent="0.25">
      <c r="Z30923">
        <v>400000</v>
      </c>
    </row>
    <row r="30924" spans="26:26" x14ac:dyDescent="0.25">
      <c r="Z30924">
        <v>400000</v>
      </c>
    </row>
    <row r="30925" spans="26:26" x14ac:dyDescent="0.25">
      <c r="Z30925">
        <v>400000</v>
      </c>
    </row>
    <row r="30926" spans="26:26" x14ac:dyDescent="0.25">
      <c r="Z30926">
        <v>400000</v>
      </c>
    </row>
    <row r="30927" spans="26:26" x14ac:dyDescent="0.25">
      <c r="Z30927">
        <v>400000</v>
      </c>
    </row>
    <row r="30928" spans="26:26" x14ac:dyDescent="0.25">
      <c r="Z30928">
        <v>400000</v>
      </c>
    </row>
    <row r="30929" spans="26:26" x14ac:dyDescent="0.25">
      <c r="Z30929">
        <v>400000</v>
      </c>
    </row>
    <row r="30930" spans="26:26" x14ac:dyDescent="0.25">
      <c r="Z30930">
        <v>400000</v>
      </c>
    </row>
    <row r="30931" spans="26:26" x14ac:dyDescent="0.25">
      <c r="Z30931">
        <v>400000</v>
      </c>
    </row>
    <row r="30932" spans="26:26" x14ac:dyDescent="0.25">
      <c r="Z30932">
        <v>400000</v>
      </c>
    </row>
    <row r="30933" spans="26:26" x14ac:dyDescent="0.25">
      <c r="Z30933">
        <v>400000</v>
      </c>
    </row>
    <row r="30934" spans="26:26" x14ac:dyDescent="0.25">
      <c r="Z30934">
        <v>400000</v>
      </c>
    </row>
    <row r="30935" spans="26:26" x14ac:dyDescent="0.25">
      <c r="Z30935">
        <v>400000</v>
      </c>
    </row>
    <row r="30936" spans="26:26" x14ac:dyDescent="0.25">
      <c r="Z30936">
        <v>400000</v>
      </c>
    </row>
    <row r="30937" spans="26:26" x14ac:dyDescent="0.25">
      <c r="Z30937">
        <v>400000</v>
      </c>
    </row>
    <row r="30938" spans="26:26" x14ac:dyDescent="0.25">
      <c r="Z30938">
        <v>400000</v>
      </c>
    </row>
    <row r="30939" spans="26:26" x14ac:dyDescent="0.25">
      <c r="Z30939">
        <v>400000</v>
      </c>
    </row>
    <row r="30940" spans="26:26" x14ac:dyDescent="0.25">
      <c r="Z30940">
        <v>400000</v>
      </c>
    </row>
    <row r="30941" spans="26:26" x14ac:dyDescent="0.25">
      <c r="Z30941">
        <v>400000</v>
      </c>
    </row>
    <row r="30942" spans="26:26" x14ac:dyDescent="0.25">
      <c r="Z30942">
        <v>400000</v>
      </c>
    </row>
    <row r="30943" spans="26:26" x14ac:dyDescent="0.25">
      <c r="Z30943">
        <v>400000</v>
      </c>
    </row>
    <row r="30944" spans="26:26" x14ac:dyDescent="0.25">
      <c r="Z30944">
        <v>400000</v>
      </c>
    </row>
    <row r="30945" spans="26:26" x14ac:dyDescent="0.25">
      <c r="Z30945">
        <v>400000</v>
      </c>
    </row>
    <row r="30946" spans="26:26" x14ac:dyDescent="0.25">
      <c r="Z30946">
        <v>400000</v>
      </c>
    </row>
    <row r="30947" spans="26:26" x14ac:dyDescent="0.25">
      <c r="Z30947">
        <v>400000</v>
      </c>
    </row>
    <row r="30948" spans="26:26" x14ac:dyDescent="0.25">
      <c r="Z30948">
        <v>400000</v>
      </c>
    </row>
    <row r="30949" spans="26:26" x14ac:dyDescent="0.25">
      <c r="Z30949">
        <v>400000</v>
      </c>
    </row>
    <row r="30950" spans="26:26" x14ac:dyDescent="0.25">
      <c r="Z30950">
        <v>400000</v>
      </c>
    </row>
    <row r="30951" spans="26:26" x14ac:dyDescent="0.25">
      <c r="Z30951">
        <v>400000</v>
      </c>
    </row>
    <row r="30952" spans="26:26" x14ac:dyDescent="0.25">
      <c r="Z30952">
        <v>400000</v>
      </c>
    </row>
    <row r="30953" spans="26:26" x14ac:dyDescent="0.25">
      <c r="Z30953">
        <v>400000</v>
      </c>
    </row>
    <row r="30954" spans="26:26" x14ac:dyDescent="0.25">
      <c r="Z30954">
        <v>400000</v>
      </c>
    </row>
    <row r="30955" spans="26:26" x14ac:dyDescent="0.25">
      <c r="Z30955">
        <v>400000</v>
      </c>
    </row>
    <row r="30956" spans="26:26" x14ac:dyDescent="0.25">
      <c r="Z30956">
        <v>400000</v>
      </c>
    </row>
    <row r="30957" spans="26:26" x14ac:dyDescent="0.25">
      <c r="Z30957">
        <v>400000</v>
      </c>
    </row>
    <row r="30958" spans="26:26" x14ac:dyDescent="0.25">
      <c r="Z30958">
        <v>400000</v>
      </c>
    </row>
    <row r="30959" spans="26:26" x14ac:dyDescent="0.25">
      <c r="Z30959">
        <v>400000</v>
      </c>
    </row>
    <row r="30960" spans="26:26" x14ac:dyDescent="0.25">
      <c r="Z30960">
        <v>400000</v>
      </c>
    </row>
    <row r="30961" spans="26:26" x14ac:dyDescent="0.25">
      <c r="Z30961">
        <v>400000</v>
      </c>
    </row>
    <row r="30962" spans="26:26" x14ac:dyDescent="0.25">
      <c r="Z30962">
        <v>400000</v>
      </c>
    </row>
    <row r="30963" spans="26:26" x14ac:dyDescent="0.25">
      <c r="Z30963">
        <v>400000</v>
      </c>
    </row>
    <row r="30964" spans="26:26" x14ac:dyDescent="0.25">
      <c r="Z30964">
        <v>400000</v>
      </c>
    </row>
    <row r="30965" spans="26:26" x14ac:dyDescent="0.25">
      <c r="Z30965">
        <v>400000</v>
      </c>
    </row>
    <row r="30966" spans="26:26" x14ac:dyDescent="0.25">
      <c r="Z30966">
        <v>400000</v>
      </c>
    </row>
    <row r="30967" spans="26:26" x14ac:dyDescent="0.25">
      <c r="Z30967">
        <v>400000</v>
      </c>
    </row>
    <row r="30968" spans="26:26" x14ac:dyDescent="0.25">
      <c r="Z30968">
        <v>400000</v>
      </c>
    </row>
    <row r="30969" spans="26:26" x14ac:dyDescent="0.25">
      <c r="Z30969">
        <v>400000</v>
      </c>
    </row>
    <row r="30970" spans="26:26" x14ac:dyDescent="0.25">
      <c r="Z30970">
        <v>400000</v>
      </c>
    </row>
    <row r="30971" spans="26:26" x14ac:dyDescent="0.25">
      <c r="Z30971">
        <v>400000</v>
      </c>
    </row>
    <row r="30972" spans="26:26" x14ac:dyDescent="0.25">
      <c r="Z30972">
        <v>400000</v>
      </c>
    </row>
    <row r="30973" spans="26:26" x14ac:dyDescent="0.25">
      <c r="Z30973">
        <v>400000</v>
      </c>
    </row>
    <row r="30974" spans="26:26" x14ac:dyDescent="0.25">
      <c r="Z30974">
        <v>400000</v>
      </c>
    </row>
    <row r="30975" spans="26:26" x14ac:dyDescent="0.25">
      <c r="Z30975">
        <v>400000</v>
      </c>
    </row>
    <row r="30976" spans="26:26" x14ac:dyDescent="0.25">
      <c r="Z30976">
        <v>400000</v>
      </c>
    </row>
    <row r="30977" spans="26:26" x14ac:dyDescent="0.25">
      <c r="Z30977">
        <v>400000</v>
      </c>
    </row>
    <row r="30978" spans="26:26" x14ac:dyDescent="0.25">
      <c r="Z30978">
        <v>400000</v>
      </c>
    </row>
    <row r="30979" spans="26:26" x14ac:dyDescent="0.25">
      <c r="Z30979">
        <v>400000</v>
      </c>
    </row>
    <row r="30980" spans="26:26" x14ac:dyDescent="0.25">
      <c r="Z30980">
        <v>400000</v>
      </c>
    </row>
    <row r="30981" spans="26:26" x14ac:dyDescent="0.25">
      <c r="Z30981">
        <v>400000</v>
      </c>
    </row>
    <row r="30982" spans="26:26" x14ac:dyDescent="0.25">
      <c r="Z30982">
        <v>400000</v>
      </c>
    </row>
    <row r="30983" spans="26:26" x14ac:dyDescent="0.25">
      <c r="Z30983">
        <v>400000</v>
      </c>
    </row>
    <row r="30984" spans="26:26" x14ac:dyDescent="0.25">
      <c r="Z30984">
        <v>400000</v>
      </c>
    </row>
    <row r="30985" spans="26:26" x14ac:dyDescent="0.25">
      <c r="Z30985">
        <v>400000</v>
      </c>
    </row>
    <row r="30986" spans="26:26" x14ac:dyDescent="0.25">
      <c r="Z30986">
        <v>400000</v>
      </c>
    </row>
    <row r="30987" spans="26:26" x14ac:dyDescent="0.25">
      <c r="Z30987">
        <v>400000</v>
      </c>
    </row>
    <row r="30988" spans="26:26" x14ac:dyDescent="0.25">
      <c r="Z30988">
        <v>400000</v>
      </c>
    </row>
    <row r="30989" spans="26:26" x14ac:dyDescent="0.25">
      <c r="Z30989">
        <v>400000</v>
      </c>
    </row>
    <row r="30990" spans="26:26" x14ac:dyDescent="0.25">
      <c r="Z30990">
        <v>400000</v>
      </c>
    </row>
    <row r="30991" spans="26:26" x14ac:dyDescent="0.25">
      <c r="Z30991">
        <v>400000</v>
      </c>
    </row>
    <row r="30992" spans="26:26" x14ac:dyDescent="0.25">
      <c r="Z30992">
        <v>400000</v>
      </c>
    </row>
    <row r="30993" spans="26:26" x14ac:dyDescent="0.25">
      <c r="Z30993">
        <v>400000</v>
      </c>
    </row>
    <row r="30994" spans="26:26" x14ac:dyDescent="0.25">
      <c r="Z30994">
        <v>400000</v>
      </c>
    </row>
    <row r="30995" spans="26:26" x14ac:dyDescent="0.25">
      <c r="Z30995">
        <v>400000</v>
      </c>
    </row>
    <row r="30996" spans="26:26" x14ac:dyDescent="0.25">
      <c r="Z30996">
        <v>400000</v>
      </c>
    </row>
    <row r="30997" spans="26:26" x14ac:dyDescent="0.25">
      <c r="Z30997">
        <v>400000</v>
      </c>
    </row>
    <row r="30998" spans="26:26" x14ac:dyDescent="0.25">
      <c r="Z30998">
        <v>400000</v>
      </c>
    </row>
    <row r="30999" spans="26:26" x14ac:dyDescent="0.25">
      <c r="Z30999">
        <v>400000</v>
      </c>
    </row>
    <row r="31000" spans="26:26" x14ac:dyDescent="0.25">
      <c r="Z31000">
        <v>400000</v>
      </c>
    </row>
    <row r="31001" spans="26:26" x14ac:dyDescent="0.25">
      <c r="Z31001">
        <v>400000</v>
      </c>
    </row>
    <row r="31002" spans="26:26" x14ac:dyDescent="0.25">
      <c r="Z31002">
        <v>400000</v>
      </c>
    </row>
    <row r="31003" spans="26:26" x14ac:dyDescent="0.25">
      <c r="Z31003">
        <v>400000</v>
      </c>
    </row>
    <row r="31004" spans="26:26" x14ac:dyDescent="0.25">
      <c r="Z31004">
        <v>400000</v>
      </c>
    </row>
    <row r="31005" spans="26:26" x14ac:dyDescent="0.25">
      <c r="Z31005">
        <v>400000</v>
      </c>
    </row>
    <row r="31006" spans="26:26" x14ac:dyDescent="0.25">
      <c r="Z31006">
        <v>400000</v>
      </c>
    </row>
    <row r="31007" spans="26:26" x14ac:dyDescent="0.25">
      <c r="Z31007">
        <v>400000</v>
      </c>
    </row>
    <row r="31008" spans="26:26" x14ac:dyDescent="0.25">
      <c r="Z31008">
        <v>400000</v>
      </c>
    </row>
    <row r="31009" spans="26:26" x14ac:dyDescent="0.25">
      <c r="Z31009">
        <v>400000</v>
      </c>
    </row>
    <row r="31010" spans="26:26" x14ac:dyDescent="0.25">
      <c r="Z31010">
        <v>400000</v>
      </c>
    </row>
    <row r="31011" spans="26:26" x14ac:dyDescent="0.25">
      <c r="Z31011">
        <v>400000</v>
      </c>
    </row>
    <row r="31012" spans="26:26" x14ac:dyDescent="0.25">
      <c r="Z31012">
        <v>400000</v>
      </c>
    </row>
    <row r="31013" spans="26:26" x14ac:dyDescent="0.25">
      <c r="Z31013">
        <v>400000</v>
      </c>
    </row>
    <row r="31014" spans="26:26" x14ac:dyDescent="0.25">
      <c r="Z31014">
        <v>400000</v>
      </c>
    </row>
    <row r="31015" spans="26:26" x14ac:dyDescent="0.25">
      <c r="Z31015">
        <v>400000</v>
      </c>
    </row>
    <row r="31016" spans="26:26" x14ac:dyDescent="0.25">
      <c r="Z31016">
        <v>400000</v>
      </c>
    </row>
    <row r="31017" spans="26:26" x14ac:dyDescent="0.25">
      <c r="Z31017">
        <v>400000</v>
      </c>
    </row>
    <row r="31018" spans="26:26" x14ac:dyDescent="0.25">
      <c r="Z31018">
        <v>400000</v>
      </c>
    </row>
    <row r="31019" spans="26:26" x14ac:dyDescent="0.25">
      <c r="Z31019">
        <v>400000</v>
      </c>
    </row>
    <row r="31020" spans="26:26" x14ac:dyDescent="0.25">
      <c r="Z31020">
        <v>400000</v>
      </c>
    </row>
    <row r="31021" spans="26:26" x14ac:dyDescent="0.25">
      <c r="Z31021">
        <v>400000</v>
      </c>
    </row>
    <row r="31022" spans="26:26" x14ac:dyDescent="0.25">
      <c r="Z31022">
        <v>400000</v>
      </c>
    </row>
    <row r="31023" spans="26:26" x14ac:dyDescent="0.25">
      <c r="Z31023">
        <v>400000</v>
      </c>
    </row>
    <row r="31024" spans="26:26" x14ac:dyDescent="0.25">
      <c r="Z31024">
        <v>400000</v>
      </c>
    </row>
    <row r="31025" spans="26:26" x14ac:dyDescent="0.25">
      <c r="Z31025">
        <v>400000</v>
      </c>
    </row>
    <row r="31026" spans="26:26" x14ac:dyDescent="0.25">
      <c r="Z31026">
        <v>400000</v>
      </c>
    </row>
    <row r="31027" spans="26:26" x14ac:dyDescent="0.25">
      <c r="Z31027">
        <v>400000</v>
      </c>
    </row>
    <row r="31028" spans="26:26" x14ac:dyDescent="0.25">
      <c r="Z31028">
        <v>400000</v>
      </c>
    </row>
    <row r="31029" spans="26:26" x14ac:dyDescent="0.25">
      <c r="Z31029">
        <v>400000</v>
      </c>
    </row>
    <row r="31030" spans="26:26" x14ac:dyDescent="0.25">
      <c r="Z31030">
        <v>400000</v>
      </c>
    </row>
    <row r="31031" spans="26:26" x14ac:dyDescent="0.25">
      <c r="Z31031">
        <v>400000</v>
      </c>
    </row>
    <row r="31032" spans="26:26" x14ac:dyDescent="0.25">
      <c r="Z31032">
        <v>400000</v>
      </c>
    </row>
    <row r="31033" spans="26:26" x14ac:dyDescent="0.25">
      <c r="Z31033">
        <v>400000</v>
      </c>
    </row>
    <row r="31034" spans="26:26" x14ac:dyDescent="0.25">
      <c r="Z31034">
        <v>400000</v>
      </c>
    </row>
    <row r="31035" spans="26:26" x14ac:dyDescent="0.25">
      <c r="Z31035">
        <v>400000</v>
      </c>
    </row>
    <row r="31036" spans="26:26" x14ac:dyDescent="0.25">
      <c r="Z31036">
        <v>400000</v>
      </c>
    </row>
    <row r="31037" spans="26:26" x14ac:dyDescent="0.25">
      <c r="Z31037">
        <v>400000</v>
      </c>
    </row>
    <row r="31038" spans="26:26" x14ac:dyDescent="0.25">
      <c r="Z31038">
        <v>400000</v>
      </c>
    </row>
    <row r="31039" spans="26:26" x14ac:dyDescent="0.25">
      <c r="Z31039">
        <v>400000</v>
      </c>
    </row>
    <row r="31040" spans="26:26" x14ac:dyDescent="0.25">
      <c r="Z31040">
        <v>400000</v>
      </c>
    </row>
    <row r="31041" spans="26:26" x14ac:dyDescent="0.25">
      <c r="Z31041">
        <v>400000</v>
      </c>
    </row>
    <row r="31042" spans="26:26" x14ac:dyDescent="0.25">
      <c r="Z31042">
        <v>400000</v>
      </c>
    </row>
    <row r="31043" spans="26:26" x14ac:dyDescent="0.25">
      <c r="Z31043">
        <v>400000</v>
      </c>
    </row>
    <row r="31044" spans="26:26" x14ac:dyDescent="0.25">
      <c r="Z31044">
        <v>400000</v>
      </c>
    </row>
    <row r="31045" spans="26:26" x14ac:dyDescent="0.25">
      <c r="Z31045">
        <v>400000</v>
      </c>
    </row>
    <row r="31046" spans="26:26" x14ac:dyDescent="0.25">
      <c r="Z31046">
        <v>400000</v>
      </c>
    </row>
    <row r="31047" spans="26:26" x14ac:dyDescent="0.25">
      <c r="Z31047">
        <v>400000</v>
      </c>
    </row>
    <row r="31048" spans="26:26" x14ac:dyDescent="0.25">
      <c r="Z31048">
        <v>400000</v>
      </c>
    </row>
    <row r="31049" spans="26:26" x14ac:dyDescent="0.25">
      <c r="Z31049">
        <v>400000</v>
      </c>
    </row>
    <row r="31050" spans="26:26" x14ac:dyDescent="0.25">
      <c r="Z31050">
        <v>400000</v>
      </c>
    </row>
    <row r="31051" spans="26:26" x14ac:dyDescent="0.25">
      <c r="Z31051">
        <v>400000</v>
      </c>
    </row>
    <row r="31052" spans="26:26" x14ac:dyDescent="0.25">
      <c r="Z31052">
        <v>400000</v>
      </c>
    </row>
    <row r="31053" spans="26:26" x14ac:dyDescent="0.25">
      <c r="Z31053">
        <v>400000</v>
      </c>
    </row>
    <row r="31054" spans="26:26" x14ac:dyDescent="0.25">
      <c r="Z31054">
        <v>400000</v>
      </c>
    </row>
    <row r="31055" spans="26:26" x14ac:dyDescent="0.25">
      <c r="Z31055">
        <v>400000</v>
      </c>
    </row>
    <row r="31056" spans="26:26" x14ac:dyDescent="0.25">
      <c r="Z31056">
        <v>400000</v>
      </c>
    </row>
    <row r="31057" spans="26:26" x14ac:dyDescent="0.25">
      <c r="Z31057">
        <v>400000</v>
      </c>
    </row>
    <row r="31058" spans="26:26" x14ac:dyDescent="0.25">
      <c r="Z31058">
        <v>400000</v>
      </c>
    </row>
    <row r="31059" spans="26:26" x14ac:dyDescent="0.25">
      <c r="Z31059">
        <v>400000</v>
      </c>
    </row>
    <row r="31060" spans="26:26" x14ac:dyDescent="0.25">
      <c r="Z31060">
        <v>400000</v>
      </c>
    </row>
    <row r="31061" spans="26:26" x14ac:dyDescent="0.25">
      <c r="Z31061">
        <v>400000</v>
      </c>
    </row>
    <row r="31062" spans="26:26" x14ac:dyDescent="0.25">
      <c r="Z31062">
        <v>400000</v>
      </c>
    </row>
    <row r="31063" spans="26:26" x14ac:dyDescent="0.25">
      <c r="Z31063">
        <v>400000</v>
      </c>
    </row>
    <row r="31064" spans="26:26" x14ac:dyDescent="0.25">
      <c r="Z31064">
        <v>400000</v>
      </c>
    </row>
    <row r="31065" spans="26:26" x14ac:dyDescent="0.25">
      <c r="Z31065">
        <v>400000</v>
      </c>
    </row>
    <row r="31066" spans="26:26" x14ac:dyDescent="0.25">
      <c r="Z31066">
        <v>400000</v>
      </c>
    </row>
    <row r="31067" spans="26:26" x14ac:dyDescent="0.25">
      <c r="Z31067">
        <v>400000</v>
      </c>
    </row>
    <row r="31068" spans="26:26" x14ac:dyDescent="0.25">
      <c r="Z31068">
        <v>400000</v>
      </c>
    </row>
    <row r="31069" spans="26:26" x14ac:dyDescent="0.25">
      <c r="Z31069">
        <v>400000</v>
      </c>
    </row>
    <row r="31070" spans="26:26" x14ac:dyDescent="0.25">
      <c r="Z31070">
        <v>400000</v>
      </c>
    </row>
    <row r="31071" spans="26:26" x14ac:dyDescent="0.25">
      <c r="Z31071">
        <v>400000</v>
      </c>
    </row>
    <row r="31072" spans="26:26" x14ac:dyDescent="0.25">
      <c r="Z31072">
        <v>400000</v>
      </c>
    </row>
    <row r="31073" spans="26:26" x14ac:dyDescent="0.25">
      <c r="Z31073">
        <v>400000</v>
      </c>
    </row>
    <row r="31074" spans="26:26" x14ac:dyDescent="0.25">
      <c r="Z31074">
        <v>400000</v>
      </c>
    </row>
    <row r="31075" spans="26:26" x14ac:dyDescent="0.25">
      <c r="Z31075">
        <v>400000</v>
      </c>
    </row>
    <row r="31076" spans="26:26" x14ac:dyDescent="0.25">
      <c r="Z31076">
        <v>400000</v>
      </c>
    </row>
    <row r="31077" spans="26:26" x14ac:dyDescent="0.25">
      <c r="Z31077">
        <v>400000</v>
      </c>
    </row>
    <row r="31078" spans="26:26" x14ac:dyDescent="0.25">
      <c r="Z31078">
        <v>400000</v>
      </c>
    </row>
    <row r="31079" spans="26:26" x14ac:dyDescent="0.25">
      <c r="Z31079">
        <v>400000</v>
      </c>
    </row>
    <row r="31080" spans="26:26" x14ac:dyDescent="0.25">
      <c r="Z31080">
        <v>400000</v>
      </c>
    </row>
    <row r="31081" spans="26:26" x14ac:dyDescent="0.25">
      <c r="Z31081">
        <v>400000</v>
      </c>
    </row>
    <row r="31082" spans="26:26" x14ac:dyDescent="0.25">
      <c r="Z31082">
        <v>400000</v>
      </c>
    </row>
    <row r="31083" spans="26:26" x14ac:dyDescent="0.25">
      <c r="Z31083">
        <v>400000</v>
      </c>
    </row>
    <row r="31084" spans="26:26" x14ac:dyDescent="0.25">
      <c r="Z31084">
        <v>400000</v>
      </c>
    </row>
    <row r="31085" spans="26:26" x14ac:dyDescent="0.25">
      <c r="Z31085">
        <v>400000</v>
      </c>
    </row>
    <row r="31086" spans="26:26" x14ac:dyDescent="0.25">
      <c r="Z31086">
        <v>400000</v>
      </c>
    </row>
    <row r="31087" spans="26:26" x14ac:dyDescent="0.25">
      <c r="Z31087">
        <v>400000</v>
      </c>
    </row>
    <row r="31088" spans="26:26" x14ac:dyDescent="0.25">
      <c r="Z31088">
        <v>400000</v>
      </c>
    </row>
    <row r="31089" spans="26:26" x14ac:dyDescent="0.25">
      <c r="Z31089">
        <v>400000</v>
      </c>
    </row>
    <row r="31090" spans="26:26" x14ac:dyDescent="0.25">
      <c r="Z31090">
        <v>400000</v>
      </c>
    </row>
    <row r="31091" spans="26:26" x14ac:dyDescent="0.25">
      <c r="Z31091">
        <v>400000</v>
      </c>
    </row>
    <row r="31092" spans="26:26" x14ac:dyDescent="0.25">
      <c r="Z31092">
        <v>400000</v>
      </c>
    </row>
    <row r="31093" spans="26:26" x14ac:dyDescent="0.25">
      <c r="Z31093">
        <v>400000</v>
      </c>
    </row>
    <row r="31094" spans="26:26" x14ac:dyDescent="0.25">
      <c r="Z31094">
        <v>400000</v>
      </c>
    </row>
    <row r="31095" spans="26:26" x14ac:dyDescent="0.25">
      <c r="Z31095">
        <v>400000</v>
      </c>
    </row>
    <row r="31096" spans="26:26" x14ac:dyDescent="0.25">
      <c r="Z31096">
        <v>400000</v>
      </c>
    </row>
    <row r="31097" spans="26:26" x14ac:dyDescent="0.25">
      <c r="Z31097">
        <v>400000</v>
      </c>
    </row>
    <row r="31098" spans="26:26" x14ac:dyDescent="0.25">
      <c r="Z31098">
        <v>400000</v>
      </c>
    </row>
    <row r="31099" spans="26:26" x14ac:dyDescent="0.25">
      <c r="Z31099">
        <v>400000</v>
      </c>
    </row>
    <row r="31100" spans="26:26" x14ac:dyDescent="0.25">
      <c r="Z31100">
        <v>400000</v>
      </c>
    </row>
    <row r="31101" spans="26:26" x14ac:dyDescent="0.25">
      <c r="Z31101">
        <v>400000</v>
      </c>
    </row>
    <row r="31102" spans="26:26" x14ac:dyDescent="0.25">
      <c r="Z31102">
        <v>400000</v>
      </c>
    </row>
    <row r="31103" spans="26:26" x14ac:dyDescent="0.25">
      <c r="Z31103">
        <v>400000</v>
      </c>
    </row>
    <row r="31104" spans="26:26" x14ac:dyDescent="0.25">
      <c r="Z31104">
        <v>400000</v>
      </c>
    </row>
    <row r="31105" spans="26:26" x14ac:dyDescent="0.25">
      <c r="Z31105">
        <v>400000</v>
      </c>
    </row>
    <row r="31106" spans="26:26" x14ac:dyDescent="0.25">
      <c r="Z31106">
        <v>400000</v>
      </c>
    </row>
    <row r="31107" spans="26:26" x14ac:dyDescent="0.25">
      <c r="Z31107">
        <v>400000</v>
      </c>
    </row>
    <row r="31108" spans="26:26" x14ac:dyDescent="0.25">
      <c r="Z31108">
        <v>400000</v>
      </c>
    </row>
    <row r="31109" spans="26:26" x14ac:dyDescent="0.25">
      <c r="Z31109">
        <v>400000</v>
      </c>
    </row>
    <row r="31110" spans="26:26" x14ac:dyDescent="0.25">
      <c r="Z31110">
        <v>400000</v>
      </c>
    </row>
    <row r="31111" spans="26:26" x14ac:dyDescent="0.25">
      <c r="Z31111">
        <v>400000</v>
      </c>
    </row>
    <row r="31112" spans="26:26" x14ac:dyDescent="0.25">
      <c r="Z31112">
        <v>400000</v>
      </c>
    </row>
    <row r="31113" spans="26:26" x14ac:dyDescent="0.25">
      <c r="Z31113">
        <v>400000</v>
      </c>
    </row>
    <row r="31114" spans="26:26" x14ac:dyDescent="0.25">
      <c r="Z31114">
        <v>400000</v>
      </c>
    </row>
    <row r="31115" spans="26:26" x14ac:dyDescent="0.25">
      <c r="Z31115">
        <v>400000</v>
      </c>
    </row>
    <row r="31116" spans="26:26" x14ac:dyDescent="0.25">
      <c r="Z31116">
        <v>400000</v>
      </c>
    </row>
    <row r="31117" spans="26:26" x14ac:dyDescent="0.25">
      <c r="Z31117">
        <v>400000</v>
      </c>
    </row>
    <row r="31118" spans="26:26" x14ac:dyDescent="0.25">
      <c r="Z31118">
        <v>400000</v>
      </c>
    </row>
    <row r="31119" spans="26:26" x14ac:dyDescent="0.25">
      <c r="Z31119">
        <v>400000</v>
      </c>
    </row>
    <row r="31120" spans="26:26" x14ac:dyDescent="0.25">
      <c r="Z31120">
        <v>400000</v>
      </c>
    </row>
    <row r="31121" spans="26:26" x14ac:dyDescent="0.25">
      <c r="Z31121">
        <v>400000</v>
      </c>
    </row>
    <row r="31122" spans="26:26" x14ac:dyDescent="0.25">
      <c r="Z31122">
        <v>400000</v>
      </c>
    </row>
    <row r="31123" spans="26:26" x14ac:dyDescent="0.25">
      <c r="Z31123">
        <v>400000</v>
      </c>
    </row>
    <row r="31124" spans="26:26" x14ac:dyDescent="0.25">
      <c r="Z31124">
        <v>400000</v>
      </c>
    </row>
    <row r="31125" spans="26:26" x14ac:dyDescent="0.25">
      <c r="Z31125">
        <v>400000</v>
      </c>
    </row>
    <row r="31126" spans="26:26" x14ac:dyDescent="0.25">
      <c r="Z31126">
        <v>400000</v>
      </c>
    </row>
    <row r="31127" spans="26:26" x14ac:dyDescent="0.25">
      <c r="Z31127">
        <v>400000</v>
      </c>
    </row>
    <row r="31128" spans="26:26" x14ac:dyDescent="0.25">
      <c r="Z31128">
        <v>400000</v>
      </c>
    </row>
    <row r="31129" spans="26:26" x14ac:dyDescent="0.25">
      <c r="Z31129">
        <v>400000</v>
      </c>
    </row>
    <row r="31130" spans="26:26" x14ac:dyDescent="0.25">
      <c r="Z31130">
        <v>400000</v>
      </c>
    </row>
    <row r="31131" spans="26:26" x14ac:dyDescent="0.25">
      <c r="Z31131">
        <v>400000</v>
      </c>
    </row>
    <row r="31132" spans="26:26" x14ac:dyDescent="0.25">
      <c r="Z31132">
        <v>400000</v>
      </c>
    </row>
    <row r="31133" spans="26:26" x14ac:dyDescent="0.25">
      <c r="Z31133">
        <v>400000</v>
      </c>
    </row>
    <row r="31134" spans="26:26" x14ac:dyDescent="0.25">
      <c r="Z31134">
        <v>400000</v>
      </c>
    </row>
    <row r="31135" spans="26:26" x14ac:dyDescent="0.25">
      <c r="Z31135">
        <v>400000</v>
      </c>
    </row>
    <row r="31136" spans="26:26" x14ac:dyDescent="0.25">
      <c r="Z31136">
        <v>400000</v>
      </c>
    </row>
    <row r="31137" spans="26:26" x14ac:dyDescent="0.25">
      <c r="Z31137">
        <v>400000</v>
      </c>
    </row>
    <row r="31138" spans="26:26" x14ac:dyDescent="0.25">
      <c r="Z31138">
        <v>400000</v>
      </c>
    </row>
    <row r="31139" spans="26:26" x14ac:dyDescent="0.25">
      <c r="Z31139">
        <v>400000</v>
      </c>
    </row>
    <row r="31140" spans="26:26" x14ac:dyDescent="0.25">
      <c r="Z31140">
        <v>400000</v>
      </c>
    </row>
    <row r="31141" spans="26:26" x14ac:dyDescent="0.25">
      <c r="Z31141">
        <v>400000</v>
      </c>
    </row>
    <row r="31142" spans="26:26" x14ac:dyDescent="0.25">
      <c r="Z31142">
        <v>400000</v>
      </c>
    </row>
    <row r="31143" spans="26:26" x14ac:dyDescent="0.25">
      <c r="Z31143">
        <v>400000</v>
      </c>
    </row>
    <row r="31144" spans="26:26" x14ac:dyDescent="0.25">
      <c r="Z31144">
        <v>400000</v>
      </c>
    </row>
    <row r="31145" spans="26:26" x14ac:dyDescent="0.25">
      <c r="Z31145">
        <v>400000</v>
      </c>
    </row>
    <row r="31146" spans="26:26" x14ac:dyDescent="0.25">
      <c r="Z31146">
        <v>400000</v>
      </c>
    </row>
    <row r="31147" spans="26:26" x14ac:dyDescent="0.25">
      <c r="Z31147">
        <v>400000</v>
      </c>
    </row>
    <row r="31148" spans="26:26" x14ac:dyDescent="0.25">
      <c r="Z31148">
        <v>400000</v>
      </c>
    </row>
    <row r="31149" spans="26:26" x14ac:dyDescent="0.25">
      <c r="Z31149">
        <v>400000</v>
      </c>
    </row>
    <row r="31150" spans="26:26" x14ac:dyDescent="0.25">
      <c r="Z31150">
        <v>400000</v>
      </c>
    </row>
    <row r="31151" spans="26:26" x14ac:dyDescent="0.25">
      <c r="Z31151">
        <v>400000</v>
      </c>
    </row>
    <row r="31152" spans="26:26" x14ac:dyDescent="0.25">
      <c r="Z31152">
        <v>400000</v>
      </c>
    </row>
    <row r="31153" spans="26:26" x14ac:dyDescent="0.25">
      <c r="Z31153">
        <v>400000</v>
      </c>
    </row>
    <row r="31154" spans="26:26" x14ac:dyDescent="0.25">
      <c r="Z31154">
        <v>400000</v>
      </c>
    </row>
    <row r="31155" spans="26:26" x14ac:dyDescent="0.25">
      <c r="Z31155">
        <v>400000</v>
      </c>
    </row>
    <row r="31156" spans="26:26" x14ac:dyDescent="0.25">
      <c r="Z31156">
        <v>400000</v>
      </c>
    </row>
    <row r="31157" spans="26:26" x14ac:dyDescent="0.25">
      <c r="Z31157">
        <v>400000</v>
      </c>
    </row>
    <row r="31158" spans="26:26" x14ac:dyDescent="0.25">
      <c r="Z31158">
        <v>400000</v>
      </c>
    </row>
    <row r="31159" spans="26:26" x14ac:dyDescent="0.25">
      <c r="Z31159">
        <v>400000</v>
      </c>
    </row>
    <row r="31160" spans="26:26" x14ac:dyDescent="0.25">
      <c r="Z31160">
        <v>400000</v>
      </c>
    </row>
    <row r="31161" spans="26:26" x14ac:dyDescent="0.25">
      <c r="Z31161">
        <v>400000</v>
      </c>
    </row>
    <row r="31162" spans="26:26" x14ac:dyDescent="0.25">
      <c r="Z31162">
        <v>400000</v>
      </c>
    </row>
    <row r="31163" spans="26:26" x14ac:dyDescent="0.25">
      <c r="Z31163">
        <v>400000</v>
      </c>
    </row>
    <row r="31164" spans="26:26" x14ac:dyDescent="0.25">
      <c r="Z31164">
        <v>400000</v>
      </c>
    </row>
    <row r="31165" spans="26:26" x14ac:dyDescent="0.25">
      <c r="Z31165">
        <v>400000</v>
      </c>
    </row>
    <row r="31166" spans="26:26" x14ac:dyDescent="0.25">
      <c r="Z31166">
        <v>400000</v>
      </c>
    </row>
    <row r="31167" spans="26:26" x14ac:dyDescent="0.25">
      <c r="Z31167">
        <v>400000</v>
      </c>
    </row>
    <row r="31168" spans="26:26" x14ac:dyDescent="0.25">
      <c r="Z31168">
        <v>400000</v>
      </c>
    </row>
    <row r="31169" spans="26:26" x14ac:dyDescent="0.25">
      <c r="Z31169">
        <v>400000</v>
      </c>
    </row>
    <row r="31170" spans="26:26" x14ac:dyDescent="0.25">
      <c r="Z31170">
        <v>400000</v>
      </c>
    </row>
    <row r="31171" spans="26:26" x14ac:dyDescent="0.25">
      <c r="Z31171">
        <v>400000</v>
      </c>
    </row>
    <row r="31172" spans="26:26" x14ac:dyDescent="0.25">
      <c r="Z31172">
        <v>400000</v>
      </c>
    </row>
    <row r="31173" spans="26:26" x14ac:dyDescent="0.25">
      <c r="Z31173">
        <v>400000</v>
      </c>
    </row>
    <row r="31174" spans="26:26" x14ac:dyDescent="0.25">
      <c r="Z31174">
        <v>400000</v>
      </c>
    </row>
    <row r="31175" spans="26:26" x14ac:dyDescent="0.25">
      <c r="Z31175">
        <v>400000</v>
      </c>
    </row>
    <row r="31176" spans="26:26" x14ac:dyDescent="0.25">
      <c r="Z31176">
        <v>400000</v>
      </c>
    </row>
    <row r="31177" spans="26:26" x14ac:dyDescent="0.25">
      <c r="Z31177">
        <v>400000</v>
      </c>
    </row>
    <row r="31178" spans="26:26" x14ac:dyDescent="0.25">
      <c r="Z31178">
        <v>400000</v>
      </c>
    </row>
    <row r="31179" spans="26:26" x14ac:dyDescent="0.25">
      <c r="Z31179">
        <v>400000</v>
      </c>
    </row>
    <row r="31180" spans="26:26" x14ac:dyDescent="0.25">
      <c r="Z31180">
        <v>400000</v>
      </c>
    </row>
    <row r="31181" spans="26:26" x14ac:dyDescent="0.25">
      <c r="Z31181">
        <v>400000</v>
      </c>
    </row>
    <row r="31182" spans="26:26" x14ac:dyDescent="0.25">
      <c r="Z31182">
        <v>400000</v>
      </c>
    </row>
    <row r="31183" spans="26:26" x14ac:dyDescent="0.25">
      <c r="Z31183">
        <v>400000</v>
      </c>
    </row>
    <row r="31184" spans="26:26" x14ac:dyDescent="0.25">
      <c r="Z31184">
        <v>400000</v>
      </c>
    </row>
    <row r="31185" spans="26:26" x14ac:dyDescent="0.25">
      <c r="Z31185">
        <v>400000</v>
      </c>
    </row>
    <row r="31186" spans="26:26" x14ac:dyDescent="0.25">
      <c r="Z31186">
        <v>400000</v>
      </c>
    </row>
    <row r="31187" spans="26:26" x14ac:dyDescent="0.25">
      <c r="Z31187">
        <v>400000</v>
      </c>
    </row>
    <row r="31188" spans="26:26" x14ac:dyDescent="0.25">
      <c r="Z31188">
        <v>400000</v>
      </c>
    </row>
    <row r="31189" spans="26:26" x14ac:dyDescent="0.25">
      <c r="Z31189">
        <v>400000</v>
      </c>
    </row>
    <row r="31190" spans="26:26" x14ac:dyDescent="0.25">
      <c r="Z31190">
        <v>400000</v>
      </c>
    </row>
    <row r="31191" spans="26:26" x14ac:dyDescent="0.25">
      <c r="Z31191">
        <v>400000</v>
      </c>
    </row>
    <row r="31192" spans="26:26" x14ac:dyDescent="0.25">
      <c r="Z31192">
        <v>400000</v>
      </c>
    </row>
    <row r="31193" spans="26:26" x14ac:dyDescent="0.25">
      <c r="Z31193">
        <v>400000</v>
      </c>
    </row>
    <row r="31194" spans="26:26" x14ac:dyDescent="0.25">
      <c r="Z31194">
        <v>400000</v>
      </c>
    </row>
    <row r="31195" spans="26:26" x14ac:dyDescent="0.25">
      <c r="Z31195">
        <v>400000</v>
      </c>
    </row>
    <row r="31196" spans="26:26" x14ac:dyDescent="0.25">
      <c r="Z31196">
        <v>400000</v>
      </c>
    </row>
    <row r="31197" spans="26:26" x14ac:dyDescent="0.25">
      <c r="Z31197">
        <v>400000</v>
      </c>
    </row>
    <row r="31198" spans="26:26" x14ac:dyDescent="0.25">
      <c r="Z31198">
        <v>400000</v>
      </c>
    </row>
    <row r="31199" spans="26:26" x14ac:dyDescent="0.25">
      <c r="Z31199">
        <v>400000</v>
      </c>
    </row>
    <row r="31200" spans="26:26" x14ac:dyDescent="0.25">
      <c r="Z31200">
        <v>400000</v>
      </c>
    </row>
    <row r="31201" spans="26:26" x14ac:dyDescent="0.25">
      <c r="Z31201">
        <v>400000</v>
      </c>
    </row>
    <row r="31202" spans="26:26" x14ac:dyDescent="0.25">
      <c r="Z31202">
        <v>400000</v>
      </c>
    </row>
    <row r="31203" spans="26:26" x14ac:dyDescent="0.25">
      <c r="Z31203">
        <v>400000</v>
      </c>
    </row>
    <row r="31204" spans="26:26" x14ac:dyDescent="0.25">
      <c r="Z31204">
        <v>400000</v>
      </c>
    </row>
    <row r="31205" spans="26:26" x14ac:dyDescent="0.25">
      <c r="Z31205">
        <v>400000</v>
      </c>
    </row>
    <row r="31206" spans="26:26" x14ac:dyDescent="0.25">
      <c r="Z31206">
        <v>400000</v>
      </c>
    </row>
    <row r="31207" spans="26:26" x14ac:dyDescent="0.25">
      <c r="Z31207">
        <v>400000</v>
      </c>
    </row>
    <row r="31208" spans="26:26" x14ac:dyDescent="0.25">
      <c r="Z31208">
        <v>400000</v>
      </c>
    </row>
    <row r="31209" spans="26:26" x14ac:dyDescent="0.25">
      <c r="Z31209">
        <v>400000</v>
      </c>
    </row>
    <row r="31210" spans="26:26" x14ac:dyDescent="0.25">
      <c r="Z31210">
        <v>400000</v>
      </c>
    </row>
    <row r="31211" spans="26:26" x14ac:dyDescent="0.25">
      <c r="Z31211">
        <v>400000</v>
      </c>
    </row>
    <row r="31212" spans="26:26" x14ac:dyDescent="0.25">
      <c r="Z31212">
        <v>400000</v>
      </c>
    </row>
    <row r="31213" spans="26:26" x14ac:dyDescent="0.25">
      <c r="Z31213">
        <v>400000</v>
      </c>
    </row>
    <row r="31214" spans="26:26" x14ac:dyDescent="0.25">
      <c r="Z31214">
        <v>400000</v>
      </c>
    </row>
    <row r="31215" spans="26:26" x14ac:dyDescent="0.25">
      <c r="Z31215">
        <v>400000</v>
      </c>
    </row>
    <row r="31216" spans="26:26" x14ac:dyDescent="0.25">
      <c r="Z31216">
        <v>400000</v>
      </c>
    </row>
    <row r="31217" spans="26:26" x14ac:dyDescent="0.25">
      <c r="Z31217">
        <v>400000</v>
      </c>
    </row>
    <row r="31218" spans="26:26" x14ac:dyDescent="0.25">
      <c r="Z31218">
        <v>400000</v>
      </c>
    </row>
    <row r="31219" spans="26:26" x14ac:dyDescent="0.25">
      <c r="Z31219">
        <v>400000</v>
      </c>
    </row>
    <row r="31220" spans="26:26" x14ac:dyDescent="0.25">
      <c r="Z31220">
        <v>400000</v>
      </c>
    </row>
    <row r="31221" spans="26:26" x14ac:dyDescent="0.25">
      <c r="Z31221">
        <v>400000</v>
      </c>
    </row>
    <row r="31222" spans="26:26" x14ac:dyDescent="0.25">
      <c r="Z31222">
        <v>400000</v>
      </c>
    </row>
    <row r="31223" spans="26:26" x14ac:dyDescent="0.25">
      <c r="Z31223">
        <v>400000</v>
      </c>
    </row>
    <row r="31224" spans="26:26" x14ac:dyDescent="0.25">
      <c r="Z31224">
        <v>400000</v>
      </c>
    </row>
    <row r="31225" spans="26:26" x14ac:dyDescent="0.25">
      <c r="Z31225">
        <v>400000</v>
      </c>
    </row>
    <row r="31226" spans="26:26" x14ac:dyDescent="0.25">
      <c r="Z31226">
        <v>400000</v>
      </c>
    </row>
    <row r="31227" spans="26:26" x14ac:dyDescent="0.25">
      <c r="Z31227">
        <v>400000</v>
      </c>
    </row>
    <row r="31228" spans="26:26" x14ac:dyDescent="0.25">
      <c r="Z31228">
        <v>400000</v>
      </c>
    </row>
    <row r="31229" spans="26:26" x14ac:dyDescent="0.25">
      <c r="Z31229">
        <v>400000</v>
      </c>
    </row>
    <row r="31230" spans="26:26" x14ac:dyDescent="0.25">
      <c r="Z31230">
        <v>400000</v>
      </c>
    </row>
    <row r="31231" spans="26:26" x14ac:dyDescent="0.25">
      <c r="Z31231">
        <v>400000</v>
      </c>
    </row>
    <row r="31232" spans="26:26" x14ac:dyDescent="0.25">
      <c r="Z31232">
        <v>400000</v>
      </c>
    </row>
    <row r="31233" spans="26:26" x14ac:dyDescent="0.25">
      <c r="Z31233">
        <v>400000</v>
      </c>
    </row>
    <row r="31234" spans="26:26" x14ac:dyDescent="0.25">
      <c r="Z31234">
        <v>400000</v>
      </c>
    </row>
    <row r="31235" spans="26:26" x14ac:dyDescent="0.25">
      <c r="Z31235">
        <v>400000</v>
      </c>
    </row>
    <row r="31236" spans="26:26" x14ac:dyDescent="0.25">
      <c r="Z31236">
        <v>400000</v>
      </c>
    </row>
    <row r="31237" spans="26:26" x14ac:dyDescent="0.25">
      <c r="Z31237">
        <v>400000</v>
      </c>
    </row>
    <row r="31238" spans="26:26" x14ac:dyDescent="0.25">
      <c r="Z31238">
        <v>400000</v>
      </c>
    </row>
    <row r="31239" spans="26:26" x14ac:dyDescent="0.25">
      <c r="Z31239">
        <v>400000</v>
      </c>
    </row>
    <row r="31240" spans="26:26" x14ac:dyDescent="0.25">
      <c r="Z31240">
        <v>400000</v>
      </c>
    </row>
    <row r="31241" spans="26:26" x14ac:dyDescent="0.25">
      <c r="Z31241">
        <v>400000</v>
      </c>
    </row>
    <row r="31242" spans="26:26" x14ac:dyDescent="0.25">
      <c r="Z31242">
        <v>400000</v>
      </c>
    </row>
    <row r="31243" spans="26:26" x14ac:dyDescent="0.25">
      <c r="Z31243">
        <v>400000</v>
      </c>
    </row>
    <row r="31244" spans="26:26" x14ac:dyDescent="0.25">
      <c r="Z31244">
        <v>400000</v>
      </c>
    </row>
    <row r="31245" spans="26:26" x14ac:dyDescent="0.25">
      <c r="Z31245">
        <v>400000</v>
      </c>
    </row>
    <row r="31246" spans="26:26" x14ac:dyDescent="0.25">
      <c r="Z31246">
        <v>400000</v>
      </c>
    </row>
    <row r="31247" spans="26:26" x14ac:dyDescent="0.25">
      <c r="Z31247">
        <v>400000</v>
      </c>
    </row>
    <row r="31248" spans="26:26" x14ac:dyDescent="0.25">
      <c r="Z31248">
        <v>400000</v>
      </c>
    </row>
    <row r="31249" spans="26:26" x14ac:dyDescent="0.25">
      <c r="Z31249">
        <v>400000</v>
      </c>
    </row>
    <row r="31250" spans="26:26" x14ac:dyDescent="0.25">
      <c r="Z31250">
        <v>400000</v>
      </c>
    </row>
    <row r="31251" spans="26:26" x14ac:dyDescent="0.25">
      <c r="Z31251">
        <v>400000</v>
      </c>
    </row>
    <row r="31252" spans="26:26" x14ac:dyDescent="0.25">
      <c r="Z31252">
        <v>400000</v>
      </c>
    </row>
    <row r="31253" spans="26:26" x14ac:dyDescent="0.25">
      <c r="Z31253">
        <v>400000</v>
      </c>
    </row>
    <row r="31254" spans="26:26" x14ac:dyDescent="0.25">
      <c r="Z31254">
        <v>400000</v>
      </c>
    </row>
    <row r="31255" spans="26:26" x14ac:dyDescent="0.25">
      <c r="Z31255">
        <v>400000</v>
      </c>
    </row>
    <row r="31256" spans="26:26" x14ac:dyDescent="0.25">
      <c r="Z31256">
        <v>400000</v>
      </c>
    </row>
    <row r="31257" spans="26:26" x14ac:dyDescent="0.25">
      <c r="Z31257">
        <v>400000</v>
      </c>
    </row>
    <row r="31258" spans="26:26" x14ac:dyDescent="0.25">
      <c r="Z31258">
        <v>400000</v>
      </c>
    </row>
    <row r="31259" spans="26:26" x14ac:dyDescent="0.25">
      <c r="Z31259">
        <v>400000</v>
      </c>
    </row>
    <row r="31260" spans="26:26" x14ac:dyDescent="0.25">
      <c r="Z31260">
        <v>400000</v>
      </c>
    </row>
    <row r="31261" spans="26:26" x14ac:dyDescent="0.25">
      <c r="Z31261">
        <v>400000</v>
      </c>
    </row>
    <row r="31262" spans="26:26" x14ac:dyDescent="0.25">
      <c r="Z31262">
        <v>400000</v>
      </c>
    </row>
    <row r="31263" spans="26:26" x14ac:dyDescent="0.25">
      <c r="Z31263">
        <v>400000</v>
      </c>
    </row>
    <row r="31264" spans="26:26" x14ac:dyDescent="0.25">
      <c r="Z31264">
        <v>400000</v>
      </c>
    </row>
    <row r="31265" spans="26:26" x14ac:dyDescent="0.25">
      <c r="Z31265">
        <v>400000</v>
      </c>
    </row>
    <row r="31266" spans="26:26" x14ac:dyDescent="0.25">
      <c r="Z31266">
        <v>400000</v>
      </c>
    </row>
    <row r="31267" spans="26:26" x14ac:dyDescent="0.25">
      <c r="Z31267">
        <v>400000</v>
      </c>
    </row>
    <row r="31268" spans="26:26" x14ac:dyDescent="0.25">
      <c r="Z31268">
        <v>400000</v>
      </c>
    </row>
    <row r="31269" spans="26:26" x14ac:dyDescent="0.25">
      <c r="Z31269">
        <v>400000</v>
      </c>
    </row>
    <row r="31270" spans="26:26" x14ac:dyDescent="0.25">
      <c r="Z31270">
        <v>400000</v>
      </c>
    </row>
    <row r="31271" spans="26:26" x14ac:dyDescent="0.25">
      <c r="Z31271">
        <v>400000</v>
      </c>
    </row>
    <row r="31272" spans="26:26" x14ac:dyDescent="0.25">
      <c r="Z31272">
        <v>400000</v>
      </c>
    </row>
    <row r="31273" spans="26:26" x14ac:dyDescent="0.25">
      <c r="Z31273">
        <v>400000</v>
      </c>
    </row>
    <row r="31274" spans="26:26" x14ac:dyDescent="0.25">
      <c r="Z31274">
        <v>400000</v>
      </c>
    </row>
    <row r="31275" spans="26:26" x14ac:dyDescent="0.25">
      <c r="Z31275">
        <v>400000</v>
      </c>
    </row>
    <row r="31276" spans="26:26" x14ac:dyDescent="0.25">
      <c r="Z31276">
        <v>400000</v>
      </c>
    </row>
    <row r="31277" spans="26:26" x14ac:dyDescent="0.25">
      <c r="Z31277">
        <v>400000</v>
      </c>
    </row>
    <row r="31278" spans="26:26" x14ac:dyDescent="0.25">
      <c r="Z31278">
        <v>400000</v>
      </c>
    </row>
    <row r="31279" spans="26:26" x14ac:dyDescent="0.25">
      <c r="Z31279">
        <v>400000</v>
      </c>
    </row>
    <row r="31280" spans="26:26" x14ac:dyDescent="0.25">
      <c r="Z31280">
        <v>400000</v>
      </c>
    </row>
    <row r="31281" spans="26:26" x14ac:dyDescent="0.25">
      <c r="Z31281">
        <v>400000</v>
      </c>
    </row>
    <row r="31282" spans="26:26" x14ac:dyDescent="0.25">
      <c r="Z31282">
        <v>400000</v>
      </c>
    </row>
    <row r="31283" spans="26:26" x14ac:dyDescent="0.25">
      <c r="Z31283">
        <v>400000</v>
      </c>
    </row>
    <row r="31284" spans="26:26" x14ac:dyDescent="0.25">
      <c r="Z31284">
        <v>400000</v>
      </c>
    </row>
    <row r="31285" spans="26:26" x14ac:dyDescent="0.25">
      <c r="Z31285">
        <v>400000</v>
      </c>
    </row>
    <row r="31286" spans="26:26" x14ac:dyDescent="0.25">
      <c r="Z31286">
        <v>400000</v>
      </c>
    </row>
    <row r="31287" spans="26:26" x14ac:dyDescent="0.25">
      <c r="Z31287">
        <v>400000</v>
      </c>
    </row>
    <row r="31288" spans="26:26" x14ac:dyDescent="0.25">
      <c r="Z31288">
        <v>400000</v>
      </c>
    </row>
    <row r="31289" spans="26:26" x14ac:dyDescent="0.25">
      <c r="Z31289">
        <v>400000</v>
      </c>
    </row>
    <row r="31290" spans="26:26" x14ac:dyDescent="0.25">
      <c r="Z31290">
        <v>400000</v>
      </c>
    </row>
    <row r="31291" spans="26:26" x14ac:dyDescent="0.25">
      <c r="Z31291">
        <v>400000</v>
      </c>
    </row>
    <row r="31292" spans="26:26" x14ac:dyDescent="0.25">
      <c r="Z31292">
        <v>400000</v>
      </c>
    </row>
    <row r="31293" spans="26:26" x14ac:dyDescent="0.25">
      <c r="Z31293">
        <v>400000</v>
      </c>
    </row>
    <row r="31294" spans="26:26" x14ac:dyDescent="0.25">
      <c r="Z31294">
        <v>400000</v>
      </c>
    </row>
    <row r="31295" spans="26:26" x14ac:dyDescent="0.25">
      <c r="Z31295">
        <v>400000</v>
      </c>
    </row>
    <row r="31296" spans="26:26" x14ac:dyDescent="0.25">
      <c r="Z31296">
        <v>400000</v>
      </c>
    </row>
    <row r="31297" spans="26:26" x14ac:dyDescent="0.25">
      <c r="Z31297">
        <v>400000</v>
      </c>
    </row>
    <row r="31298" spans="26:26" x14ac:dyDescent="0.25">
      <c r="Z31298">
        <v>400000</v>
      </c>
    </row>
    <row r="31299" spans="26:26" x14ac:dyDescent="0.25">
      <c r="Z31299">
        <v>400000</v>
      </c>
    </row>
    <row r="31300" spans="26:26" x14ac:dyDescent="0.25">
      <c r="Z31300">
        <v>400000</v>
      </c>
    </row>
    <row r="31301" spans="26:26" x14ac:dyDescent="0.25">
      <c r="Z31301">
        <v>400000</v>
      </c>
    </row>
    <row r="31302" spans="26:26" x14ac:dyDescent="0.25">
      <c r="Z31302">
        <v>400000</v>
      </c>
    </row>
    <row r="31303" spans="26:26" x14ac:dyDescent="0.25">
      <c r="Z31303">
        <v>400000</v>
      </c>
    </row>
    <row r="31304" spans="26:26" x14ac:dyDescent="0.25">
      <c r="Z31304">
        <v>400000</v>
      </c>
    </row>
    <row r="31305" spans="26:26" x14ac:dyDescent="0.25">
      <c r="Z31305">
        <v>400000</v>
      </c>
    </row>
    <row r="31306" spans="26:26" x14ac:dyDescent="0.25">
      <c r="Z31306">
        <v>400000</v>
      </c>
    </row>
    <row r="31307" spans="26:26" x14ac:dyDescent="0.25">
      <c r="Z31307">
        <v>400000</v>
      </c>
    </row>
    <row r="31308" spans="26:26" x14ac:dyDescent="0.25">
      <c r="Z31308">
        <v>400000</v>
      </c>
    </row>
    <row r="31309" spans="26:26" x14ac:dyDescent="0.25">
      <c r="Z31309">
        <v>400000</v>
      </c>
    </row>
    <row r="31310" spans="26:26" x14ac:dyDescent="0.25">
      <c r="Z31310">
        <v>400000</v>
      </c>
    </row>
    <row r="31311" spans="26:26" x14ac:dyDescent="0.25">
      <c r="Z31311">
        <v>400000</v>
      </c>
    </row>
    <row r="31312" spans="26:26" x14ac:dyDescent="0.25">
      <c r="Z31312">
        <v>400000</v>
      </c>
    </row>
    <row r="31313" spans="26:26" x14ac:dyDescent="0.25">
      <c r="Z31313">
        <v>400000</v>
      </c>
    </row>
    <row r="31314" spans="26:26" x14ac:dyDescent="0.25">
      <c r="Z31314">
        <v>400000</v>
      </c>
    </row>
    <row r="31315" spans="26:26" x14ac:dyDescent="0.25">
      <c r="Z31315">
        <v>400000</v>
      </c>
    </row>
    <row r="31316" spans="26:26" x14ac:dyDescent="0.25">
      <c r="Z31316">
        <v>400000</v>
      </c>
    </row>
    <row r="31317" spans="26:26" x14ac:dyDescent="0.25">
      <c r="Z31317">
        <v>400000</v>
      </c>
    </row>
    <row r="31318" spans="26:26" x14ac:dyDescent="0.25">
      <c r="Z31318">
        <v>400000</v>
      </c>
    </row>
    <row r="31319" spans="26:26" x14ac:dyDescent="0.25">
      <c r="Z31319">
        <v>400000</v>
      </c>
    </row>
    <row r="31320" spans="26:26" x14ac:dyDescent="0.25">
      <c r="Z31320">
        <v>400000</v>
      </c>
    </row>
    <row r="31321" spans="26:26" x14ac:dyDescent="0.25">
      <c r="Z31321">
        <v>400000</v>
      </c>
    </row>
    <row r="31322" spans="26:26" x14ac:dyDescent="0.25">
      <c r="Z31322">
        <v>400000</v>
      </c>
    </row>
    <row r="31323" spans="26:26" x14ac:dyDescent="0.25">
      <c r="Z31323">
        <v>400000</v>
      </c>
    </row>
    <row r="31324" spans="26:26" x14ac:dyDescent="0.25">
      <c r="Z31324">
        <v>400000</v>
      </c>
    </row>
    <row r="31325" spans="26:26" x14ac:dyDescent="0.25">
      <c r="Z31325">
        <v>400000</v>
      </c>
    </row>
    <row r="31326" spans="26:26" x14ac:dyDescent="0.25">
      <c r="Z31326">
        <v>400000</v>
      </c>
    </row>
    <row r="31327" spans="26:26" x14ac:dyDescent="0.25">
      <c r="Z31327">
        <v>400000</v>
      </c>
    </row>
    <row r="31328" spans="26:26" x14ac:dyDescent="0.25">
      <c r="Z31328">
        <v>400000</v>
      </c>
    </row>
    <row r="31329" spans="26:26" x14ac:dyDescent="0.25">
      <c r="Z31329">
        <v>400000</v>
      </c>
    </row>
    <row r="31330" spans="26:26" x14ac:dyDescent="0.25">
      <c r="Z31330">
        <v>400000</v>
      </c>
    </row>
    <row r="31331" spans="26:26" x14ac:dyDescent="0.25">
      <c r="Z31331">
        <v>400000</v>
      </c>
    </row>
    <row r="31332" spans="26:26" x14ac:dyDescent="0.25">
      <c r="Z31332">
        <v>400000</v>
      </c>
    </row>
    <row r="31333" spans="26:26" x14ac:dyDescent="0.25">
      <c r="Z31333">
        <v>400000</v>
      </c>
    </row>
    <row r="31334" spans="26:26" x14ac:dyDescent="0.25">
      <c r="Z31334">
        <v>400000</v>
      </c>
    </row>
    <row r="31335" spans="26:26" x14ac:dyDescent="0.25">
      <c r="Z31335">
        <v>400000</v>
      </c>
    </row>
    <row r="31336" spans="26:26" x14ac:dyDescent="0.25">
      <c r="Z31336">
        <v>400000</v>
      </c>
    </row>
    <row r="31337" spans="26:26" x14ac:dyDescent="0.25">
      <c r="Z31337">
        <v>400000</v>
      </c>
    </row>
    <row r="31338" spans="26:26" x14ac:dyDescent="0.25">
      <c r="Z31338">
        <v>400000</v>
      </c>
    </row>
    <row r="31339" spans="26:26" x14ac:dyDescent="0.25">
      <c r="Z31339">
        <v>400000</v>
      </c>
    </row>
    <row r="31340" spans="26:26" x14ac:dyDescent="0.25">
      <c r="Z31340">
        <v>400000</v>
      </c>
    </row>
    <row r="31341" spans="26:26" x14ac:dyDescent="0.25">
      <c r="Z31341">
        <v>400000</v>
      </c>
    </row>
    <row r="31342" spans="26:26" x14ac:dyDescent="0.25">
      <c r="Z31342">
        <v>400000</v>
      </c>
    </row>
    <row r="31343" spans="26:26" x14ac:dyDescent="0.25">
      <c r="Z31343">
        <v>400000</v>
      </c>
    </row>
    <row r="31344" spans="26:26" x14ac:dyDescent="0.25">
      <c r="Z31344">
        <v>400000</v>
      </c>
    </row>
    <row r="31345" spans="26:26" x14ac:dyDescent="0.25">
      <c r="Z31345">
        <v>400000</v>
      </c>
    </row>
    <row r="31346" spans="26:26" x14ac:dyDescent="0.25">
      <c r="Z31346">
        <v>400000</v>
      </c>
    </row>
    <row r="31347" spans="26:26" x14ac:dyDescent="0.25">
      <c r="Z31347">
        <v>400000</v>
      </c>
    </row>
    <row r="31348" spans="26:26" x14ac:dyDescent="0.25">
      <c r="Z31348">
        <v>400000</v>
      </c>
    </row>
    <row r="31349" spans="26:26" x14ac:dyDescent="0.25">
      <c r="Z31349">
        <v>400000</v>
      </c>
    </row>
    <row r="31350" spans="26:26" x14ac:dyDescent="0.25">
      <c r="Z31350">
        <v>400000</v>
      </c>
    </row>
    <row r="31351" spans="26:26" x14ac:dyDescent="0.25">
      <c r="Z31351">
        <v>400000</v>
      </c>
    </row>
    <row r="31352" spans="26:26" x14ac:dyDescent="0.25">
      <c r="Z31352">
        <v>400000</v>
      </c>
    </row>
    <row r="31353" spans="26:26" x14ac:dyDescent="0.25">
      <c r="Z31353">
        <v>400000</v>
      </c>
    </row>
    <row r="31354" spans="26:26" x14ac:dyDescent="0.25">
      <c r="Z31354">
        <v>400000</v>
      </c>
    </row>
    <row r="31355" spans="26:26" x14ac:dyDescent="0.25">
      <c r="Z31355">
        <v>400000</v>
      </c>
    </row>
    <row r="31356" spans="26:26" x14ac:dyDescent="0.25">
      <c r="Z31356">
        <v>400000</v>
      </c>
    </row>
    <row r="31357" spans="26:26" x14ac:dyDescent="0.25">
      <c r="Z31357">
        <v>400000</v>
      </c>
    </row>
    <row r="31358" spans="26:26" x14ac:dyDescent="0.25">
      <c r="Z31358">
        <v>400000</v>
      </c>
    </row>
    <row r="31359" spans="26:26" x14ac:dyDescent="0.25">
      <c r="Z31359">
        <v>400000</v>
      </c>
    </row>
    <row r="31360" spans="26:26" x14ac:dyDescent="0.25">
      <c r="Z31360">
        <v>400000</v>
      </c>
    </row>
    <row r="31361" spans="26:26" x14ac:dyDescent="0.25">
      <c r="Z31361">
        <v>400000</v>
      </c>
    </row>
    <row r="31362" spans="26:26" x14ac:dyDescent="0.25">
      <c r="Z31362">
        <v>400000</v>
      </c>
    </row>
    <row r="31363" spans="26:26" x14ac:dyDescent="0.25">
      <c r="Z31363">
        <v>400000</v>
      </c>
    </row>
    <row r="31364" spans="26:26" x14ac:dyDescent="0.25">
      <c r="Z31364">
        <v>400000</v>
      </c>
    </row>
    <row r="31365" spans="26:26" x14ac:dyDescent="0.25">
      <c r="Z31365">
        <v>400000</v>
      </c>
    </row>
    <row r="31366" spans="26:26" x14ac:dyDescent="0.25">
      <c r="Z31366">
        <v>400000</v>
      </c>
    </row>
    <row r="31367" spans="26:26" x14ac:dyDescent="0.25">
      <c r="Z31367">
        <v>400000</v>
      </c>
    </row>
    <row r="31368" spans="26:26" x14ac:dyDescent="0.25">
      <c r="Z31368">
        <v>400000</v>
      </c>
    </row>
    <row r="31369" spans="26:26" x14ac:dyDescent="0.25">
      <c r="Z31369">
        <v>400000</v>
      </c>
    </row>
    <row r="31370" spans="26:26" x14ac:dyDescent="0.25">
      <c r="Z31370">
        <v>400000</v>
      </c>
    </row>
    <row r="31371" spans="26:26" x14ac:dyDescent="0.25">
      <c r="Z31371">
        <v>400000</v>
      </c>
    </row>
    <row r="31372" spans="26:26" x14ac:dyDescent="0.25">
      <c r="Z31372">
        <v>400000</v>
      </c>
    </row>
    <row r="31373" spans="26:26" x14ac:dyDescent="0.25">
      <c r="Z31373">
        <v>400000</v>
      </c>
    </row>
    <row r="31374" spans="26:26" x14ac:dyDescent="0.25">
      <c r="Z31374">
        <v>400000</v>
      </c>
    </row>
    <row r="31375" spans="26:26" x14ac:dyDescent="0.25">
      <c r="Z31375">
        <v>400000</v>
      </c>
    </row>
    <row r="31376" spans="26:26" x14ac:dyDescent="0.25">
      <c r="Z31376">
        <v>400000</v>
      </c>
    </row>
    <row r="31377" spans="26:26" x14ac:dyDescent="0.25">
      <c r="Z31377">
        <v>400000</v>
      </c>
    </row>
    <row r="31378" spans="26:26" x14ac:dyDescent="0.25">
      <c r="Z31378">
        <v>400000</v>
      </c>
    </row>
    <row r="31379" spans="26:26" x14ac:dyDescent="0.25">
      <c r="Z31379">
        <v>400000</v>
      </c>
    </row>
    <row r="31380" spans="26:26" x14ac:dyDescent="0.25">
      <c r="Z31380">
        <v>400000</v>
      </c>
    </row>
    <row r="31381" spans="26:26" x14ac:dyDescent="0.25">
      <c r="Z31381">
        <v>400000</v>
      </c>
    </row>
    <row r="31382" spans="26:26" x14ac:dyDescent="0.25">
      <c r="Z31382">
        <v>400000</v>
      </c>
    </row>
    <row r="31383" spans="26:26" x14ac:dyDescent="0.25">
      <c r="Z31383">
        <v>400000</v>
      </c>
    </row>
    <row r="31384" spans="26:26" x14ac:dyDescent="0.25">
      <c r="Z31384">
        <v>400000</v>
      </c>
    </row>
    <row r="31385" spans="26:26" x14ac:dyDescent="0.25">
      <c r="Z31385">
        <v>400000</v>
      </c>
    </row>
    <row r="31386" spans="26:26" x14ac:dyDescent="0.25">
      <c r="Z31386">
        <v>400000</v>
      </c>
    </row>
    <row r="31387" spans="26:26" x14ac:dyDescent="0.25">
      <c r="Z31387">
        <v>400000</v>
      </c>
    </row>
    <row r="31388" spans="26:26" x14ac:dyDescent="0.25">
      <c r="Z31388">
        <v>400000</v>
      </c>
    </row>
    <row r="31389" spans="26:26" x14ac:dyDescent="0.25">
      <c r="Z31389">
        <v>400000</v>
      </c>
    </row>
    <row r="31390" spans="26:26" x14ac:dyDescent="0.25">
      <c r="Z31390">
        <v>400000</v>
      </c>
    </row>
    <row r="31391" spans="26:26" x14ac:dyDescent="0.25">
      <c r="Z31391">
        <v>400000</v>
      </c>
    </row>
    <row r="31392" spans="26:26" x14ac:dyDescent="0.25">
      <c r="Z31392">
        <v>400000</v>
      </c>
    </row>
    <row r="31393" spans="26:26" x14ac:dyDescent="0.25">
      <c r="Z31393">
        <v>400000</v>
      </c>
    </row>
    <row r="31394" spans="26:26" x14ac:dyDescent="0.25">
      <c r="Z31394">
        <v>400000</v>
      </c>
    </row>
    <row r="31395" spans="26:26" x14ac:dyDescent="0.25">
      <c r="Z31395">
        <v>400000</v>
      </c>
    </row>
    <row r="31396" spans="26:26" x14ac:dyDescent="0.25">
      <c r="Z31396">
        <v>400000</v>
      </c>
    </row>
    <row r="31397" spans="26:26" x14ac:dyDescent="0.25">
      <c r="Z31397">
        <v>400000</v>
      </c>
    </row>
    <row r="31398" spans="26:26" x14ac:dyDescent="0.25">
      <c r="Z31398">
        <v>400000</v>
      </c>
    </row>
    <row r="31399" spans="26:26" x14ac:dyDescent="0.25">
      <c r="Z31399">
        <v>400000</v>
      </c>
    </row>
    <row r="31400" spans="26:26" x14ac:dyDescent="0.25">
      <c r="Z31400">
        <v>400000</v>
      </c>
    </row>
    <row r="31401" spans="26:26" x14ac:dyDescent="0.25">
      <c r="Z31401">
        <v>400000</v>
      </c>
    </row>
    <row r="31402" spans="26:26" x14ac:dyDescent="0.25">
      <c r="Z31402">
        <v>400000</v>
      </c>
    </row>
    <row r="31403" spans="26:26" x14ac:dyDescent="0.25">
      <c r="Z31403">
        <v>400000</v>
      </c>
    </row>
    <row r="31404" spans="26:26" x14ac:dyDescent="0.25">
      <c r="Z31404">
        <v>400000</v>
      </c>
    </row>
    <row r="31405" spans="26:26" x14ac:dyDescent="0.25">
      <c r="Z31405">
        <v>400000</v>
      </c>
    </row>
    <row r="31406" spans="26:26" x14ac:dyDescent="0.25">
      <c r="Z31406">
        <v>400000</v>
      </c>
    </row>
    <row r="31407" spans="26:26" x14ac:dyDescent="0.25">
      <c r="Z31407">
        <v>400000</v>
      </c>
    </row>
    <row r="31408" spans="26:26" x14ac:dyDescent="0.25">
      <c r="Z31408">
        <v>400000</v>
      </c>
    </row>
    <row r="31409" spans="26:26" x14ac:dyDescent="0.25">
      <c r="Z31409">
        <v>400000</v>
      </c>
    </row>
    <row r="31410" spans="26:26" x14ac:dyDescent="0.25">
      <c r="Z31410">
        <v>400000</v>
      </c>
    </row>
    <row r="31411" spans="26:26" x14ac:dyDescent="0.25">
      <c r="Z31411">
        <v>400000</v>
      </c>
    </row>
    <row r="31412" spans="26:26" x14ac:dyDescent="0.25">
      <c r="Z31412">
        <v>400000</v>
      </c>
    </row>
    <row r="31413" spans="26:26" x14ac:dyDescent="0.25">
      <c r="Z31413">
        <v>400000</v>
      </c>
    </row>
    <row r="31414" spans="26:26" x14ac:dyDescent="0.25">
      <c r="Z31414">
        <v>400000</v>
      </c>
    </row>
    <row r="31415" spans="26:26" x14ac:dyDescent="0.25">
      <c r="Z31415">
        <v>400000</v>
      </c>
    </row>
    <row r="31416" spans="26:26" x14ac:dyDescent="0.25">
      <c r="Z31416">
        <v>400000</v>
      </c>
    </row>
    <row r="31417" spans="26:26" x14ac:dyDescent="0.25">
      <c r="Z31417">
        <v>400000</v>
      </c>
    </row>
    <row r="31418" spans="26:26" x14ac:dyDescent="0.25">
      <c r="Z31418">
        <v>400000</v>
      </c>
    </row>
    <row r="31419" spans="26:26" x14ac:dyDescent="0.25">
      <c r="Z31419">
        <v>400000</v>
      </c>
    </row>
    <row r="31420" spans="26:26" x14ac:dyDescent="0.25">
      <c r="Z31420">
        <v>400000</v>
      </c>
    </row>
    <row r="31421" spans="26:26" x14ac:dyDescent="0.25">
      <c r="Z31421">
        <v>400000</v>
      </c>
    </row>
    <row r="31422" spans="26:26" x14ac:dyDescent="0.25">
      <c r="Z31422">
        <v>400000</v>
      </c>
    </row>
    <row r="31423" spans="26:26" x14ac:dyDescent="0.25">
      <c r="Z31423">
        <v>400000</v>
      </c>
    </row>
    <row r="31424" spans="26:26" x14ac:dyDescent="0.25">
      <c r="Z31424">
        <v>400000</v>
      </c>
    </row>
    <row r="31425" spans="26:26" x14ac:dyDescent="0.25">
      <c r="Z31425">
        <v>400000</v>
      </c>
    </row>
    <row r="31426" spans="26:26" x14ac:dyDescent="0.25">
      <c r="Z31426">
        <v>400000</v>
      </c>
    </row>
    <row r="31427" spans="26:26" x14ac:dyDescent="0.25">
      <c r="Z31427">
        <v>400000</v>
      </c>
    </row>
    <row r="31428" spans="26:26" x14ac:dyDescent="0.25">
      <c r="Z31428">
        <v>400000</v>
      </c>
    </row>
    <row r="31429" spans="26:26" x14ac:dyDescent="0.25">
      <c r="Z31429">
        <v>400000</v>
      </c>
    </row>
    <row r="31430" spans="26:26" x14ac:dyDescent="0.25">
      <c r="Z31430">
        <v>400000</v>
      </c>
    </row>
    <row r="31431" spans="26:26" x14ac:dyDescent="0.25">
      <c r="Z31431">
        <v>400000</v>
      </c>
    </row>
    <row r="31432" spans="26:26" x14ac:dyDescent="0.25">
      <c r="Z31432">
        <v>400000</v>
      </c>
    </row>
    <row r="31433" spans="26:26" x14ac:dyDescent="0.25">
      <c r="Z31433">
        <v>400000</v>
      </c>
    </row>
    <row r="31434" spans="26:26" x14ac:dyDescent="0.25">
      <c r="Z31434">
        <v>400000</v>
      </c>
    </row>
    <row r="31435" spans="26:26" x14ac:dyDescent="0.25">
      <c r="Z31435">
        <v>400000</v>
      </c>
    </row>
    <row r="31436" spans="26:26" x14ac:dyDescent="0.25">
      <c r="Z31436">
        <v>400000</v>
      </c>
    </row>
    <row r="31437" spans="26:26" x14ac:dyDescent="0.25">
      <c r="Z31437">
        <v>400000</v>
      </c>
    </row>
    <row r="31438" spans="26:26" x14ac:dyDescent="0.25">
      <c r="Z31438">
        <v>400000</v>
      </c>
    </row>
    <row r="31439" spans="26:26" x14ac:dyDescent="0.25">
      <c r="Z31439">
        <v>400000</v>
      </c>
    </row>
    <row r="31440" spans="26:26" x14ac:dyDescent="0.25">
      <c r="Z31440">
        <v>400000</v>
      </c>
    </row>
    <row r="31441" spans="26:26" x14ac:dyDescent="0.25">
      <c r="Z31441">
        <v>400000</v>
      </c>
    </row>
    <row r="31442" spans="26:26" x14ac:dyDescent="0.25">
      <c r="Z31442">
        <v>400000</v>
      </c>
    </row>
    <row r="31443" spans="26:26" x14ac:dyDescent="0.25">
      <c r="Z31443">
        <v>400000</v>
      </c>
    </row>
    <row r="31444" spans="26:26" x14ac:dyDescent="0.25">
      <c r="Z31444">
        <v>400000</v>
      </c>
    </row>
    <row r="31445" spans="26:26" x14ac:dyDescent="0.25">
      <c r="Z31445">
        <v>400000</v>
      </c>
    </row>
    <row r="31446" spans="26:26" x14ac:dyDescent="0.25">
      <c r="Z31446">
        <v>400000</v>
      </c>
    </row>
    <row r="31447" spans="26:26" x14ac:dyDescent="0.25">
      <c r="Z31447">
        <v>400000</v>
      </c>
    </row>
    <row r="31448" spans="26:26" x14ac:dyDescent="0.25">
      <c r="Z31448">
        <v>400000</v>
      </c>
    </row>
    <row r="31449" spans="26:26" x14ac:dyDescent="0.25">
      <c r="Z31449">
        <v>400000</v>
      </c>
    </row>
    <row r="31450" spans="26:26" x14ac:dyDescent="0.25">
      <c r="Z31450">
        <v>400000</v>
      </c>
    </row>
    <row r="31451" spans="26:26" x14ac:dyDescent="0.25">
      <c r="Z31451">
        <v>400000</v>
      </c>
    </row>
    <row r="31452" spans="26:26" x14ac:dyDescent="0.25">
      <c r="Z31452">
        <v>400000</v>
      </c>
    </row>
    <row r="31453" spans="26:26" x14ac:dyDescent="0.25">
      <c r="Z31453">
        <v>400000</v>
      </c>
    </row>
    <row r="31454" spans="26:26" x14ac:dyDescent="0.25">
      <c r="Z31454">
        <v>400000</v>
      </c>
    </row>
    <row r="31455" spans="26:26" x14ac:dyDescent="0.25">
      <c r="Z31455">
        <v>400000</v>
      </c>
    </row>
    <row r="31456" spans="26:26" x14ac:dyDescent="0.25">
      <c r="Z31456">
        <v>400000</v>
      </c>
    </row>
    <row r="31457" spans="26:26" x14ac:dyDescent="0.25">
      <c r="Z31457">
        <v>400000</v>
      </c>
    </row>
    <row r="31458" spans="26:26" x14ac:dyDescent="0.25">
      <c r="Z31458">
        <v>400000</v>
      </c>
    </row>
    <row r="31459" spans="26:26" x14ac:dyDescent="0.25">
      <c r="Z31459">
        <v>400000</v>
      </c>
    </row>
    <row r="31460" spans="26:26" x14ac:dyDescent="0.25">
      <c r="Z31460">
        <v>400000</v>
      </c>
    </row>
    <row r="31461" spans="26:26" x14ac:dyDescent="0.25">
      <c r="Z31461">
        <v>400000</v>
      </c>
    </row>
    <row r="31462" spans="26:26" x14ac:dyDescent="0.25">
      <c r="Z31462">
        <v>400000</v>
      </c>
    </row>
    <row r="31463" spans="26:26" x14ac:dyDescent="0.25">
      <c r="Z31463">
        <v>400000</v>
      </c>
    </row>
    <row r="31464" spans="26:26" x14ac:dyDescent="0.25">
      <c r="Z31464">
        <v>400000</v>
      </c>
    </row>
    <row r="31465" spans="26:26" x14ac:dyDescent="0.25">
      <c r="Z31465">
        <v>400000</v>
      </c>
    </row>
    <row r="31466" spans="26:26" x14ac:dyDescent="0.25">
      <c r="Z31466">
        <v>400000</v>
      </c>
    </row>
    <row r="31467" spans="26:26" x14ac:dyDescent="0.25">
      <c r="Z31467">
        <v>400000</v>
      </c>
    </row>
    <row r="31468" spans="26:26" x14ac:dyDescent="0.25">
      <c r="Z31468">
        <v>400000</v>
      </c>
    </row>
    <row r="31469" spans="26:26" x14ac:dyDescent="0.25">
      <c r="Z31469">
        <v>400000</v>
      </c>
    </row>
    <row r="31470" spans="26:26" x14ac:dyDescent="0.25">
      <c r="Z31470">
        <v>400000</v>
      </c>
    </row>
    <row r="31471" spans="26:26" x14ac:dyDescent="0.25">
      <c r="Z31471">
        <v>400000</v>
      </c>
    </row>
    <row r="31472" spans="26:26" x14ac:dyDescent="0.25">
      <c r="Z31472">
        <v>400000</v>
      </c>
    </row>
    <row r="31473" spans="26:26" x14ac:dyDescent="0.25">
      <c r="Z31473">
        <v>400000</v>
      </c>
    </row>
    <row r="31474" spans="26:26" x14ac:dyDescent="0.25">
      <c r="Z31474">
        <v>400000</v>
      </c>
    </row>
    <row r="31475" spans="26:26" x14ac:dyDescent="0.25">
      <c r="Z31475">
        <v>400000</v>
      </c>
    </row>
    <row r="31476" spans="26:26" x14ac:dyDescent="0.25">
      <c r="Z31476">
        <v>400000</v>
      </c>
    </row>
    <row r="31477" spans="26:26" x14ac:dyDescent="0.25">
      <c r="Z31477">
        <v>400000</v>
      </c>
    </row>
    <row r="31478" spans="26:26" x14ac:dyDescent="0.25">
      <c r="Z31478">
        <v>400000</v>
      </c>
    </row>
    <row r="31479" spans="26:26" x14ac:dyDescent="0.25">
      <c r="Z31479">
        <v>400000</v>
      </c>
    </row>
    <row r="31480" spans="26:26" x14ac:dyDescent="0.25">
      <c r="Z31480">
        <v>400000</v>
      </c>
    </row>
    <row r="31481" spans="26:26" x14ac:dyDescent="0.25">
      <c r="Z31481">
        <v>400000</v>
      </c>
    </row>
    <row r="31482" spans="26:26" x14ac:dyDescent="0.25">
      <c r="Z31482">
        <v>400000</v>
      </c>
    </row>
    <row r="31483" spans="26:26" x14ac:dyDescent="0.25">
      <c r="Z31483">
        <v>400000</v>
      </c>
    </row>
    <row r="31484" spans="26:26" x14ac:dyDescent="0.25">
      <c r="Z31484">
        <v>400000</v>
      </c>
    </row>
    <row r="31485" spans="26:26" x14ac:dyDescent="0.25">
      <c r="Z31485">
        <v>400000</v>
      </c>
    </row>
    <row r="31486" spans="26:26" x14ac:dyDescent="0.25">
      <c r="Z31486">
        <v>400000</v>
      </c>
    </row>
    <row r="31487" spans="26:26" x14ac:dyDescent="0.25">
      <c r="Z31487">
        <v>400000</v>
      </c>
    </row>
    <row r="31488" spans="26:26" x14ac:dyDescent="0.25">
      <c r="Z31488">
        <v>400000</v>
      </c>
    </row>
    <row r="31489" spans="26:26" x14ac:dyDescent="0.25">
      <c r="Z31489">
        <v>400000</v>
      </c>
    </row>
    <row r="31490" spans="26:26" x14ac:dyDescent="0.25">
      <c r="Z31490">
        <v>400000</v>
      </c>
    </row>
    <row r="31491" spans="26:26" x14ac:dyDescent="0.25">
      <c r="Z31491">
        <v>400000</v>
      </c>
    </row>
    <row r="31492" spans="26:26" x14ac:dyDescent="0.25">
      <c r="Z31492">
        <v>400000</v>
      </c>
    </row>
    <row r="31493" spans="26:26" x14ac:dyDescent="0.25">
      <c r="Z31493">
        <v>400000</v>
      </c>
    </row>
    <row r="31494" spans="26:26" x14ac:dyDescent="0.25">
      <c r="Z31494">
        <v>400000</v>
      </c>
    </row>
    <row r="31495" spans="26:26" x14ac:dyDescent="0.25">
      <c r="Z31495">
        <v>400000</v>
      </c>
    </row>
    <row r="31496" spans="26:26" x14ac:dyDescent="0.25">
      <c r="Z31496">
        <v>400000</v>
      </c>
    </row>
    <row r="31497" spans="26:26" x14ac:dyDescent="0.25">
      <c r="Z31497">
        <v>400000</v>
      </c>
    </row>
    <row r="31498" spans="26:26" x14ac:dyDescent="0.25">
      <c r="Z31498">
        <v>400000</v>
      </c>
    </row>
    <row r="31499" spans="26:26" x14ac:dyDescent="0.25">
      <c r="Z31499">
        <v>400000</v>
      </c>
    </row>
    <row r="31500" spans="26:26" x14ac:dyDescent="0.25">
      <c r="Z31500">
        <v>400000</v>
      </c>
    </row>
    <row r="31501" spans="26:26" x14ac:dyDescent="0.25">
      <c r="Z31501">
        <v>400000</v>
      </c>
    </row>
    <row r="31502" spans="26:26" x14ac:dyDescent="0.25">
      <c r="Z31502">
        <v>400000</v>
      </c>
    </row>
    <row r="31503" spans="26:26" x14ac:dyDescent="0.25">
      <c r="Z31503">
        <v>400000</v>
      </c>
    </row>
    <row r="31504" spans="26:26" x14ac:dyDescent="0.25">
      <c r="Z31504">
        <v>400000</v>
      </c>
    </row>
    <row r="31505" spans="26:26" x14ac:dyDescent="0.25">
      <c r="Z31505">
        <v>400000</v>
      </c>
    </row>
    <row r="31506" spans="26:26" x14ac:dyDescent="0.25">
      <c r="Z31506">
        <v>400000</v>
      </c>
    </row>
    <row r="31507" spans="26:26" x14ac:dyDescent="0.25">
      <c r="Z31507">
        <v>400000</v>
      </c>
    </row>
    <row r="31508" spans="26:26" x14ac:dyDescent="0.25">
      <c r="Z31508">
        <v>400000</v>
      </c>
    </row>
    <row r="31509" spans="26:26" x14ac:dyDescent="0.25">
      <c r="Z31509">
        <v>400000</v>
      </c>
    </row>
    <row r="31510" spans="26:26" x14ac:dyDescent="0.25">
      <c r="Z31510">
        <v>400000</v>
      </c>
    </row>
    <row r="31511" spans="26:26" x14ac:dyDescent="0.25">
      <c r="Z31511">
        <v>400000</v>
      </c>
    </row>
    <row r="31512" spans="26:26" x14ac:dyDescent="0.25">
      <c r="Z31512">
        <v>400000</v>
      </c>
    </row>
    <row r="31513" spans="26:26" x14ac:dyDescent="0.25">
      <c r="Z31513">
        <v>400000</v>
      </c>
    </row>
    <row r="31514" spans="26:26" x14ac:dyDescent="0.25">
      <c r="Z31514">
        <v>400000</v>
      </c>
    </row>
    <row r="31515" spans="26:26" x14ac:dyDescent="0.25">
      <c r="Z31515">
        <v>400000</v>
      </c>
    </row>
    <row r="31516" spans="26:26" x14ac:dyDescent="0.25">
      <c r="Z31516">
        <v>400000</v>
      </c>
    </row>
    <row r="31517" spans="26:26" x14ac:dyDescent="0.25">
      <c r="Z31517">
        <v>400000</v>
      </c>
    </row>
    <row r="31518" spans="26:26" x14ac:dyDescent="0.25">
      <c r="Z31518">
        <v>400000</v>
      </c>
    </row>
    <row r="31519" spans="26:26" x14ac:dyDescent="0.25">
      <c r="Z31519">
        <v>400000</v>
      </c>
    </row>
    <row r="31520" spans="26:26" x14ac:dyDescent="0.25">
      <c r="Z31520">
        <v>400000</v>
      </c>
    </row>
    <row r="31521" spans="26:26" x14ac:dyDescent="0.25">
      <c r="Z31521">
        <v>400000</v>
      </c>
    </row>
    <row r="31522" spans="26:26" x14ac:dyDescent="0.25">
      <c r="Z31522">
        <v>400000</v>
      </c>
    </row>
    <row r="31523" spans="26:26" x14ac:dyDescent="0.25">
      <c r="Z31523">
        <v>400000</v>
      </c>
    </row>
    <row r="31524" spans="26:26" x14ac:dyDescent="0.25">
      <c r="Z31524">
        <v>400000</v>
      </c>
    </row>
    <row r="31525" spans="26:26" x14ac:dyDescent="0.25">
      <c r="Z31525">
        <v>400000</v>
      </c>
    </row>
    <row r="31526" spans="26:26" x14ac:dyDescent="0.25">
      <c r="Z31526">
        <v>400000</v>
      </c>
    </row>
    <row r="31527" spans="26:26" x14ac:dyDescent="0.25">
      <c r="Z31527">
        <v>400000</v>
      </c>
    </row>
    <row r="31528" spans="26:26" x14ac:dyDescent="0.25">
      <c r="Z31528">
        <v>400000</v>
      </c>
    </row>
    <row r="31529" spans="26:26" x14ac:dyDescent="0.25">
      <c r="Z31529">
        <v>400000</v>
      </c>
    </row>
    <row r="31530" spans="26:26" x14ac:dyDescent="0.25">
      <c r="Z31530">
        <v>400000</v>
      </c>
    </row>
    <row r="31531" spans="26:26" x14ac:dyDescent="0.25">
      <c r="Z31531">
        <v>400000</v>
      </c>
    </row>
    <row r="31532" spans="26:26" x14ac:dyDescent="0.25">
      <c r="Z31532">
        <v>400000</v>
      </c>
    </row>
    <row r="31533" spans="26:26" x14ac:dyDescent="0.25">
      <c r="Z31533">
        <v>400000</v>
      </c>
    </row>
    <row r="31534" spans="26:26" x14ac:dyDescent="0.25">
      <c r="Z31534">
        <v>400000</v>
      </c>
    </row>
    <row r="31535" spans="26:26" x14ac:dyDescent="0.25">
      <c r="Z31535">
        <v>400000</v>
      </c>
    </row>
    <row r="31536" spans="26:26" x14ac:dyDescent="0.25">
      <c r="Z31536">
        <v>400000</v>
      </c>
    </row>
    <row r="31537" spans="26:26" x14ac:dyDescent="0.25">
      <c r="Z31537">
        <v>400000</v>
      </c>
    </row>
    <row r="31538" spans="26:26" x14ac:dyDescent="0.25">
      <c r="Z31538">
        <v>400000</v>
      </c>
    </row>
    <row r="31539" spans="26:26" x14ac:dyDescent="0.25">
      <c r="Z31539">
        <v>400000</v>
      </c>
    </row>
    <row r="31540" spans="26:26" x14ac:dyDescent="0.25">
      <c r="Z31540">
        <v>400000</v>
      </c>
    </row>
    <row r="31541" spans="26:26" x14ac:dyDescent="0.25">
      <c r="Z31541">
        <v>400000</v>
      </c>
    </row>
    <row r="31542" spans="26:26" x14ac:dyDescent="0.25">
      <c r="Z31542">
        <v>400000</v>
      </c>
    </row>
    <row r="31543" spans="26:26" x14ac:dyDescent="0.25">
      <c r="Z31543">
        <v>400000</v>
      </c>
    </row>
    <row r="31544" spans="26:26" x14ac:dyDescent="0.25">
      <c r="Z31544">
        <v>400000</v>
      </c>
    </row>
    <row r="31545" spans="26:26" x14ac:dyDescent="0.25">
      <c r="Z31545">
        <v>400000</v>
      </c>
    </row>
    <row r="31546" spans="26:26" x14ac:dyDescent="0.25">
      <c r="Z31546">
        <v>400000</v>
      </c>
    </row>
    <row r="31547" spans="26:26" x14ac:dyDescent="0.25">
      <c r="Z31547">
        <v>400000</v>
      </c>
    </row>
    <row r="31548" spans="26:26" x14ac:dyDescent="0.25">
      <c r="Z31548">
        <v>400000</v>
      </c>
    </row>
    <row r="31549" spans="26:26" x14ac:dyDescent="0.25">
      <c r="Z31549">
        <v>400000</v>
      </c>
    </row>
    <row r="31550" spans="26:26" x14ac:dyDescent="0.25">
      <c r="Z31550">
        <v>400000</v>
      </c>
    </row>
    <row r="31551" spans="26:26" x14ac:dyDescent="0.25">
      <c r="Z31551">
        <v>400000</v>
      </c>
    </row>
    <row r="31552" spans="26:26" x14ac:dyDescent="0.25">
      <c r="Z31552">
        <v>400000</v>
      </c>
    </row>
    <row r="31553" spans="26:26" x14ac:dyDescent="0.25">
      <c r="Z31553">
        <v>400000</v>
      </c>
    </row>
    <row r="31554" spans="26:26" x14ac:dyDescent="0.25">
      <c r="Z31554">
        <v>400000</v>
      </c>
    </row>
    <row r="31555" spans="26:26" x14ac:dyDescent="0.25">
      <c r="Z31555">
        <v>400000</v>
      </c>
    </row>
    <row r="31556" spans="26:26" x14ac:dyDescent="0.25">
      <c r="Z31556">
        <v>400000</v>
      </c>
    </row>
    <row r="31557" spans="26:26" x14ac:dyDescent="0.25">
      <c r="Z31557">
        <v>400000</v>
      </c>
    </row>
    <row r="31558" spans="26:26" x14ac:dyDescent="0.25">
      <c r="Z31558">
        <v>400000</v>
      </c>
    </row>
    <row r="31559" spans="26:26" x14ac:dyDescent="0.25">
      <c r="Z31559">
        <v>400000</v>
      </c>
    </row>
    <row r="31560" spans="26:26" x14ac:dyDescent="0.25">
      <c r="Z31560">
        <v>400000</v>
      </c>
    </row>
    <row r="31561" spans="26:26" x14ac:dyDescent="0.25">
      <c r="Z31561">
        <v>400000</v>
      </c>
    </row>
    <row r="31562" spans="26:26" x14ac:dyDescent="0.25">
      <c r="Z31562">
        <v>400000</v>
      </c>
    </row>
    <row r="31563" spans="26:26" x14ac:dyDescent="0.25">
      <c r="Z31563">
        <v>400000</v>
      </c>
    </row>
    <row r="31564" spans="26:26" x14ac:dyDescent="0.25">
      <c r="Z31564">
        <v>400000</v>
      </c>
    </row>
    <row r="31565" spans="26:26" x14ac:dyDescent="0.25">
      <c r="Z31565">
        <v>400000</v>
      </c>
    </row>
    <row r="31566" spans="26:26" x14ac:dyDescent="0.25">
      <c r="Z31566">
        <v>400000</v>
      </c>
    </row>
    <row r="31567" spans="26:26" x14ac:dyDescent="0.25">
      <c r="Z31567">
        <v>400000</v>
      </c>
    </row>
    <row r="31568" spans="26:26" x14ac:dyDescent="0.25">
      <c r="Z31568">
        <v>400000</v>
      </c>
    </row>
    <row r="31569" spans="26:26" x14ac:dyDescent="0.25">
      <c r="Z31569">
        <v>400000</v>
      </c>
    </row>
    <row r="31570" spans="26:26" x14ac:dyDescent="0.25">
      <c r="Z31570">
        <v>400000</v>
      </c>
    </row>
    <row r="31571" spans="26:26" x14ac:dyDescent="0.25">
      <c r="Z31571">
        <v>400000</v>
      </c>
    </row>
    <row r="31572" spans="26:26" x14ac:dyDescent="0.25">
      <c r="Z31572">
        <v>400000</v>
      </c>
    </row>
    <row r="31573" spans="26:26" x14ac:dyDescent="0.25">
      <c r="Z31573">
        <v>400000</v>
      </c>
    </row>
    <row r="31574" spans="26:26" x14ac:dyDescent="0.25">
      <c r="Z31574">
        <v>400000</v>
      </c>
    </row>
    <row r="31575" spans="26:26" x14ac:dyDescent="0.25">
      <c r="Z31575">
        <v>400000</v>
      </c>
    </row>
    <row r="31576" spans="26:26" x14ac:dyDescent="0.25">
      <c r="Z31576">
        <v>400000</v>
      </c>
    </row>
    <row r="31577" spans="26:26" x14ac:dyDescent="0.25">
      <c r="Z31577">
        <v>400000</v>
      </c>
    </row>
    <row r="31578" spans="26:26" x14ac:dyDescent="0.25">
      <c r="Z31578">
        <v>400000</v>
      </c>
    </row>
    <row r="31579" spans="26:26" x14ac:dyDescent="0.25">
      <c r="Z31579">
        <v>400000</v>
      </c>
    </row>
    <row r="31580" spans="26:26" x14ac:dyDescent="0.25">
      <c r="Z31580">
        <v>400000</v>
      </c>
    </row>
    <row r="31581" spans="26:26" x14ac:dyDescent="0.25">
      <c r="Z31581">
        <v>400000</v>
      </c>
    </row>
    <row r="31582" spans="26:26" x14ac:dyDescent="0.25">
      <c r="Z31582">
        <v>400000</v>
      </c>
    </row>
    <row r="31583" spans="26:26" x14ac:dyDescent="0.25">
      <c r="Z31583">
        <v>400000</v>
      </c>
    </row>
    <row r="31584" spans="26:26" x14ac:dyDescent="0.25">
      <c r="Z31584">
        <v>400000</v>
      </c>
    </row>
    <row r="31585" spans="26:26" x14ac:dyDescent="0.25">
      <c r="Z31585">
        <v>400000</v>
      </c>
    </row>
    <row r="31586" spans="26:26" x14ac:dyDescent="0.25">
      <c r="Z31586">
        <v>400000</v>
      </c>
    </row>
    <row r="31587" spans="26:26" x14ac:dyDescent="0.25">
      <c r="Z31587">
        <v>400000</v>
      </c>
    </row>
    <row r="31588" spans="26:26" x14ac:dyDescent="0.25">
      <c r="Z31588">
        <v>400000</v>
      </c>
    </row>
    <row r="31589" spans="26:26" x14ac:dyDescent="0.25">
      <c r="Z31589">
        <v>400000</v>
      </c>
    </row>
    <row r="31590" spans="26:26" x14ac:dyDescent="0.25">
      <c r="Z31590">
        <v>400000</v>
      </c>
    </row>
    <row r="31591" spans="26:26" x14ac:dyDescent="0.25">
      <c r="Z31591">
        <v>400000</v>
      </c>
    </row>
    <row r="31592" spans="26:26" x14ac:dyDescent="0.25">
      <c r="Z31592">
        <v>400000</v>
      </c>
    </row>
    <row r="31593" spans="26:26" x14ac:dyDescent="0.25">
      <c r="Z31593">
        <v>400000</v>
      </c>
    </row>
    <row r="31594" spans="26:26" x14ac:dyDescent="0.25">
      <c r="Z31594">
        <v>400000</v>
      </c>
    </row>
    <row r="31595" spans="26:26" x14ac:dyDescent="0.25">
      <c r="Z31595">
        <v>400000</v>
      </c>
    </row>
    <row r="31596" spans="26:26" x14ac:dyDescent="0.25">
      <c r="Z31596">
        <v>400000</v>
      </c>
    </row>
    <row r="31597" spans="26:26" x14ac:dyDescent="0.25">
      <c r="Z31597">
        <v>400000</v>
      </c>
    </row>
    <row r="31598" spans="26:26" x14ac:dyDescent="0.25">
      <c r="Z31598">
        <v>400000</v>
      </c>
    </row>
    <row r="31599" spans="26:26" x14ac:dyDescent="0.25">
      <c r="Z31599">
        <v>400000</v>
      </c>
    </row>
    <row r="31600" spans="26:26" x14ac:dyDescent="0.25">
      <c r="Z31600">
        <v>400000</v>
      </c>
    </row>
    <row r="31601" spans="26:26" x14ac:dyDescent="0.25">
      <c r="Z31601">
        <v>400000</v>
      </c>
    </row>
    <row r="31602" spans="26:26" x14ac:dyDescent="0.25">
      <c r="Z31602">
        <v>400000</v>
      </c>
    </row>
    <row r="31603" spans="26:26" x14ac:dyDescent="0.25">
      <c r="Z31603">
        <v>400000</v>
      </c>
    </row>
    <row r="31604" spans="26:26" x14ac:dyDescent="0.25">
      <c r="Z31604">
        <v>400000</v>
      </c>
    </row>
    <row r="31605" spans="26:26" x14ac:dyDescent="0.25">
      <c r="Z31605">
        <v>400000</v>
      </c>
    </row>
    <row r="31606" spans="26:26" x14ac:dyDescent="0.25">
      <c r="Z31606">
        <v>400000</v>
      </c>
    </row>
    <row r="31607" spans="26:26" x14ac:dyDescent="0.25">
      <c r="Z31607">
        <v>400000</v>
      </c>
    </row>
    <row r="31608" spans="26:26" x14ac:dyDescent="0.25">
      <c r="Z31608">
        <v>400000</v>
      </c>
    </row>
    <row r="31609" spans="26:26" x14ac:dyDescent="0.25">
      <c r="Z31609">
        <v>400000</v>
      </c>
    </row>
    <row r="31610" spans="26:26" x14ac:dyDescent="0.25">
      <c r="Z31610">
        <v>400000</v>
      </c>
    </row>
    <row r="31611" spans="26:26" x14ac:dyDescent="0.25">
      <c r="Z31611">
        <v>400000</v>
      </c>
    </row>
    <row r="31612" spans="26:26" x14ac:dyDescent="0.25">
      <c r="Z31612">
        <v>400000</v>
      </c>
    </row>
    <row r="31613" spans="26:26" x14ac:dyDescent="0.25">
      <c r="Z31613">
        <v>400000</v>
      </c>
    </row>
    <row r="31614" spans="26:26" x14ac:dyDescent="0.25">
      <c r="Z31614">
        <v>400000</v>
      </c>
    </row>
    <row r="31615" spans="26:26" x14ac:dyDescent="0.25">
      <c r="Z31615">
        <v>400000</v>
      </c>
    </row>
    <row r="31616" spans="26:26" x14ac:dyDescent="0.25">
      <c r="Z31616">
        <v>400000</v>
      </c>
    </row>
    <row r="31617" spans="26:26" x14ac:dyDescent="0.25">
      <c r="Z31617">
        <v>400000</v>
      </c>
    </row>
    <row r="31618" spans="26:26" x14ac:dyDescent="0.25">
      <c r="Z31618">
        <v>400000</v>
      </c>
    </row>
    <row r="31619" spans="26:26" x14ac:dyDescent="0.25">
      <c r="Z31619">
        <v>400000</v>
      </c>
    </row>
    <row r="31620" spans="26:26" x14ac:dyDescent="0.25">
      <c r="Z31620">
        <v>400000</v>
      </c>
    </row>
    <row r="31621" spans="26:26" x14ac:dyDescent="0.25">
      <c r="Z31621">
        <v>400000</v>
      </c>
    </row>
    <row r="31622" spans="26:26" x14ac:dyDescent="0.25">
      <c r="Z31622">
        <v>400000</v>
      </c>
    </row>
    <row r="31623" spans="26:26" x14ac:dyDescent="0.25">
      <c r="Z31623">
        <v>400000</v>
      </c>
    </row>
    <row r="31624" spans="26:26" x14ac:dyDescent="0.25">
      <c r="Z31624">
        <v>400000</v>
      </c>
    </row>
    <row r="31625" spans="26:26" x14ac:dyDescent="0.25">
      <c r="Z31625">
        <v>400000</v>
      </c>
    </row>
    <row r="31626" spans="26:26" x14ac:dyDescent="0.25">
      <c r="Z31626">
        <v>400000</v>
      </c>
    </row>
    <row r="31627" spans="26:26" x14ac:dyDescent="0.25">
      <c r="Z31627">
        <v>400000</v>
      </c>
    </row>
    <row r="31628" spans="26:26" x14ac:dyDescent="0.25">
      <c r="Z31628">
        <v>400000</v>
      </c>
    </row>
    <row r="31629" spans="26:26" x14ac:dyDescent="0.25">
      <c r="Z31629">
        <v>400000</v>
      </c>
    </row>
    <row r="31630" spans="26:26" x14ac:dyDescent="0.25">
      <c r="Z31630">
        <v>400000</v>
      </c>
    </row>
    <row r="31631" spans="26:26" x14ac:dyDescent="0.25">
      <c r="Z31631">
        <v>400000</v>
      </c>
    </row>
    <row r="31632" spans="26:26" x14ac:dyDescent="0.25">
      <c r="Z31632">
        <v>400000</v>
      </c>
    </row>
    <row r="31633" spans="26:26" x14ac:dyDescent="0.25">
      <c r="Z31633">
        <v>400000</v>
      </c>
    </row>
    <row r="31634" spans="26:26" x14ac:dyDescent="0.25">
      <c r="Z31634">
        <v>400000</v>
      </c>
    </row>
    <row r="31635" spans="26:26" x14ac:dyDescent="0.25">
      <c r="Z31635">
        <v>400000</v>
      </c>
    </row>
    <row r="31636" spans="26:26" x14ac:dyDescent="0.25">
      <c r="Z31636">
        <v>400000</v>
      </c>
    </row>
    <row r="31637" spans="26:26" x14ac:dyDescent="0.25">
      <c r="Z31637">
        <v>400000</v>
      </c>
    </row>
    <row r="31638" spans="26:26" x14ac:dyDescent="0.25">
      <c r="Z31638">
        <v>400000</v>
      </c>
    </row>
    <row r="31639" spans="26:26" x14ac:dyDescent="0.25">
      <c r="Z31639">
        <v>400000</v>
      </c>
    </row>
    <row r="31640" spans="26:26" x14ac:dyDescent="0.25">
      <c r="Z31640">
        <v>400000</v>
      </c>
    </row>
    <row r="31641" spans="26:26" x14ac:dyDescent="0.25">
      <c r="Z31641">
        <v>400000</v>
      </c>
    </row>
    <row r="31642" spans="26:26" x14ac:dyDescent="0.25">
      <c r="Z31642">
        <v>400000</v>
      </c>
    </row>
    <row r="31643" spans="26:26" x14ac:dyDescent="0.25">
      <c r="Z31643">
        <v>400000</v>
      </c>
    </row>
    <row r="31644" spans="26:26" x14ac:dyDescent="0.25">
      <c r="Z31644">
        <v>400000</v>
      </c>
    </row>
    <row r="31645" spans="26:26" x14ac:dyDescent="0.25">
      <c r="Z31645">
        <v>400000</v>
      </c>
    </row>
    <row r="31646" spans="26:26" x14ac:dyDescent="0.25">
      <c r="Z31646">
        <v>400000</v>
      </c>
    </row>
    <row r="31647" spans="26:26" x14ac:dyDescent="0.25">
      <c r="Z31647">
        <v>400000</v>
      </c>
    </row>
    <row r="31648" spans="26:26" x14ac:dyDescent="0.25">
      <c r="Z31648">
        <v>400000</v>
      </c>
    </row>
    <row r="31649" spans="26:26" x14ac:dyDescent="0.25">
      <c r="Z31649">
        <v>400000</v>
      </c>
    </row>
    <row r="31650" spans="26:26" x14ac:dyDescent="0.25">
      <c r="Z31650">
        <v>400000</v>
      </c>
    </row>
    <row r="31651" spans="26:26" x14ac:dyDescent="0.25">
      <c r="Z31651">
        <v>400000</v>
      </c>
    </row>
    <row r="31652" spans="26:26" x14ac:dyDescent="0.25">
      <c r="Z31652">
        <v>400000</v>
      </c>
    </row>
    <row r="31653" spans="26:26" x14ac:dyDescent="0.25">
      <c r="Z31653">
        <v>400000</v>
      </c>
    </row>
    <row r="31654" spans="26:26" x14ac:dyDescent="0.25">
      <c r="Z31654">
        <v>400000</v>
      </c>
    </row>
    <row r="31655" spans="26:26" x14ac:dyDescent="0.25">
      <c r="Z31655">
        <v>400000</v>
      </c>
    </row>
    <row r="31656" spans="26:26" x14ac:dyDescent="0.25">
      <c r="Z31656">
        <v>400000</v>
      </c>
    </row>
    <row r="31657" spans="26:26" x14ac:dyDescent="0.25">
      <c r="Z31657">
        <v>400000</v>
      </c>
    </row>
    <row r="31658" spans="26:26" x14ac:dyDescent="0.25">
      <c r="Z31658">
        <v>400000</v>
      </c>
    </row>
    <row r="31659" spans="26:26" x14ac:dyDescent="0.25">
      <c r="Z31659">
        <v>400000</v>
      </c>
    </row>
    <row r="31660" spans="26:26" x14ac:dyDescent="0.25">
      <c r="Z31660">
        <v>400000</v>
      </c>
    </row>
    <row r="31661" spans="26:26" x14ac:dyDescent="0.25">
      <c r="Z31661">
        <v>400000</v>
      </c>
    </row>
    <row r="31662" spans="26:26" x14ac:dyDescent="0.25">
      <c r="Z31662">
        <v>400000</v>
      </c>
    </row>
    <row r="31663" spans="26:26" x14ac:dyDescent="0.25">
      <c r="Z31663">
        <v>400000</v>
      </c>
    </row>
    <row r="31664" spans="26:26" x14ac:dyDescent="0.25">
      <c r="Z31664">
        <v>400000</v>
      </c>
    </row>
    <row r="31665" spans="26:26" x14ac:dyDescent="0.25">
      <c r="Z31665">
        <v>400000</v>
      </c>
    </row>
    <row r="31666" spans="26:26" x14ac:dyDescent="0.25">
      <c r="Z31666">
        <v>400000</v>
      </c>
    </row>
    <row r="31667" spans="26:26" x14ac:dyDescent="0.25">
      <c r="Z31667">
        <v>400000</v>
      </c>
    </row>
    <row r="31668" spans="26:26" x14ac:dyDescent="0.25">
      <c r="Z31668">
        <v>400000</v>
      </c>
    </row>
    <row r="31669" spans="26:26" x14ac:dyDescent="0.25">
      <c r="Z31669">
        <v>400000</v>
      </c>
    </row>
    <row r="31670" spans="26:26" x14ac:dyDescent="0.25">
      <c r="Z31670">
        <v>400000</v>
      </c>
    </row>
    <row r="31671" spans="26:26" x14ac:dyDescent="0.25">
      <c r="Z31671">
        <v>400000</v>
      </c>
    </row>
    <row r="31672" spans="26:26" x14ac:dyDescent="0.25">
      <c r="Z31672">
        <v>400000</v>
      </c>
    </row>
    <row r="31673" spans="26:26" x14ac:dyDescent="0.25">
      <c r="Z31673">
        <v>400000</v>
      </c>
    </row>
    <row r="31674" spans="26:26" x14ac:dyDescent="0.25">
      <c r="Z31674">
        <v>400000</v>
      </c>
    </row>
    <row r="31675" spans="26:26" x14ac:dyDescent="0.25">
      <c r="Z31675">
        <v>400000</v>
      </c>
    </row>
    <row r="31676" spans="26:26" x14ac:dyDescent="0.25">
      <c r="Z31676">
        <v>400000</v>
      </c>
    </row>
    <row r="31677" spans="26:26" x14ac:dyDescent="0.25">
      <c r="Z31677">
        <v>400000</v>
      </c>
    </row>
    <row r="31678" spans="26:26" x14ac:dyDescent="0.25">
      <c r="Z31678">
        <v>400000</v>
      </c>
    </row>
    <row r="31679" spans="26:26" x14ac:dyDescent="0.25">
      <c r="Z31679">
        <v>400000</v>
      </c>
    </row>
    <row r="31680" spans="26:26" x14ac:dyDescent="0.25">
      <c r="Z31680">
        <v>400000</v>
      </c>
    </row>
    <row r="31681" spans="26:26" x14ac:dyDescent="0.25">
      <c r="Z31681">
        <v>400000</v>
      </c>
    </row>
    <row r="31682" spans="26:26" x14ac:dyDescent="0.25">
      <c r="Z31682">
        <v>400000</v>
      </c>
    </row>
    <row r="31683" spans="26:26" x14ac:dyDescent="0.25">
      <c r="Z31683">
        <v>400000</v>
      </c>
    </row>
    <row r="31684" spans="26:26" x14ac:dyDescent="0.25">
      <c r="Z31684">
        <v>400000</v>
      </c>
    </row>
    <row r="31685" spans="26:26" x14ac:dyDescent="0.25">
      <c r="Z31685">
        <v>400000</v>
      </c>
    </row>
    <row r="31686" spans="26:26" x14ac:dyDescent="0.25">
      <c r="Z31686">
        <v>400000</v>
      </c>
    </row>
    <row r="31687" spans="26:26" x14ac:dyDescent="0.25">
      <c r="Z31687">
        <v>400000</v>
      </c>
    </row>
    <row r="31688" spans="26:26" x14ac:dyDescent="0.25">
      <c r="Z31688">
        <v>400000</v>
      </c>
    </row>
    <row r="31689" spans="26:26" x14ac:dyDescent="0.25">
      <c r="Z31689">
        <v>400000</v>
      </c>
    </row>
    <row r="31690" spans="26:26" x14ac:dyDescent="0.25">
      <c r="Z31690">
        <v>400000</v>
      </c>
    </row>
    <row r="31691" spans="26:26" x14ac:dyDescent="0.25">
      <c r="Z31691">
        <v>400000</v>
      </c>
    </row>
    <row r="31692" spans="26:26" x14ac:dyDescent="0.25">
      <c r="Z31692">
        <v>400000</v>
      </c>
    </row>
    <row r="31693" spans="26:26" x14ac:dyDescent="0.25">
      <c r="Z31693">
        <v>400000</v>
      </c>
    </row>
    <row r="31694" spans="26:26" x14ac:dyDescent="0.25">
      <c r="Z31694">
        <v>400000</v>
      </c>
    </row>
    <row r="31695" spans="26:26" x14ac:dyDescent="0.25">
      <c r="Z31695">
        <v>400000</v>
      </c>
    </row>
    <row r="31696" spans="26:26" x14ac:dyDescent="0.25">
      <c r="Z31696">
        <v>400000</v>
      </c>
    </row>
    <row r="31697" spans="26:26" x14ac:dyDescent="0.25">
      <c r="Z31697">
        <v>400000</v>
      </c>
    </row>
    <row r="31698" spans="26:26" x14ac:dyDescent="0.25">
      <c r="Z31698">
        <v>400000</v>
      </c>
    </row>
    <row r="31699" spans="26:26" x14ac:dyDescent="0.25">
      <c r="Z31699">
        <v>400000</v>
      </c>
    </row>
    <row r="31700" spans="26:26" x14ac:dyDescent="0.25">
      <c r="Z31700">
        <v>400000</v>
      </c>
    </row>
    <row r="31701" spans="26:26" x14ac:dyDescent="0.25">
      <c r="Z31701">
        <v>400000</v>
      </c>
    </row>
    <row r="31702" spans="26:26" x14ac:dyDescent="0.25">
      <c r="Z31702">
        <v>400000</v>
      </c>
    </row>
    <row r="31703" spans="26:26" x14ac:dyDescent="0.25">
      <c r="Z31703">
        <v>400000</v>
      </c>
    </row>
    <row r="31704" spans="26:26" x14ac:dyDescent="0.25">
      <c r="Z31704">
        <v>400000</v>
      </c>
    </row>
    <row r="31705" spans="26:26" x14ac:dyDescent="0.25">
      <c r="Z31705">
        <v>400000</v>
      </c>
    </row>
    <row r="31706" spans="26:26" x14ac:dyDescent="0.25">
      <c r="Z31706">
        <v>400000</v>
      </c>
    </row>
    <row r="31707" spans="26:26" x14ac:dyDescent="0.25">
      <c r="Z31707">
        <v>400000</v>
      </c>
    </row>
    <row r="31708" spans="26:26" x14ac:dyDescent="0.25">
      <c r="Z31708">
        <v>400000</v>
      </c>
    </row>
    <row r="31709" spans="26:26" x14ac:dyDescent="0.25">
      <c r="Z31709">
        <v>400000</v>
      </c>
    </row>
    <row r="31710" spans="26:26" x14ac:dyDescent="0.25">
      <c r="Z31710">
        <v>400000</v>
      </c>
    </row>
    <row r="31711" spans="26:26" x14ac:dyDescent="0.25">
      <c r="Z31711">
        <v>400000</v>
      </c>
    </row>
    <row r="31712" spans="26:26" x14ac:dyDescent="0.25">
      <c r="Z31712">
        <v>400000</v>
      </c>
    </row>
    <row r="31713" spans="26:26" x14ac:dyDescent="0.25">
      <c r="Z31713">
        <v>400000</v>
      </c>
    </row>
    <row r="31714" spans="26:26" x14ac:dyDescent="0.25">
      <c r="Z31714">
        <v>400000</v>
      </c>
    </row>
    <row r="31715" spans="26:26" x14ac:dyDescent="0.25">
      <c r="Z31715">
        <v>400000</v>
      </c>
    </row>
    <row r="31716" spans="26:26" x14ac:dyDescent="0.25">
      <c r="Z31716">
        <v>400000</v>
      </c>
    </row>
    <row r="31717" spans="26:26" x14ac:dyDescent="0.25">
      <c r="Z31717">
        <v>400000</v>
      </c>
    </row>
    <row r="31718" spans="26:26" x14ac:dyDescent="0.25">
      <c r="Z31718">
        <v>400000</v>
      </c>
    </row>
    <row r="31719" spans="26:26" x14ac:dyDescent="0.25">
      <c r="Z31719">
        <v>400000</v>
      </c>
    </row>
    <row r="31720" spans="26:26" x14ac:dyDescent="0.25">
      <c r="Z31720">
        <v>400000</v>
      </c>
    </row>
    <row r="31721" spans="26:26" x14ac:dyDescent="0.25">
      <c r="Z31721">
        <v>400000</v>
      </c>
    </row>
    <row r="31722" spans="26:26" x14ac:dyDescent="0.25">
      <c r="Z31722">
        <v>400000</v>
      </c>
    </row>
    <row r="31723" spans="26:26" x14ac:dyDescent="0.25">
      <c r="Z31723">
        <v>400000</v>
      </c>
    </row>
    <row r="31724" spans="26:26" x14ac:dyDescent="0.25">
      <c r="Z31724">
        <v>400000</v>
      </c>
    </row>
    <row r="31725" spans="26:26" x14ac:dyDescent="0.25">
      <c r="Z31725">
        <v>400000</v>
      </c>
    </row>
    <row r="31726" spans="26:26" x14ac:dyDescent="0.25">
      <c r="Z31726">
        <v>400000</v>
      </c>
    </row>
    <row r="31727" spans="26:26" x14ac:dyDescent="0.25">
      <c r="Z31727">
        <v>400000</v>
      </c>
    </row>
    <row r="31728" spans="26:26" x14ac:dyDescent="0.25">
      <c r="Z31728">
        <v>400000</v>
      </c>
    </row>
    <row r="31729" spans="26:26" x14ac:dyDescent="0.25">
      <c r="Z31729">
        <v>400000</v>
      </c>
    </row>
    <row r="31730" spans="26:26" x14ac:dyDescent="0.25">
      <c r="Z31730">
        <v>400000</v>
      </c>
    </row>
    <row r="31731" spans="26:26" x14ac:dyDescent="0.25">
      <c r="Z31731">
        <v>400000</v>
      </c>
    </row>
    <row r="31732" spans="26:26" x14ac:dyDescent="0.25">
      <c r="Z31732">
        <v>400000</v>
      </c>
    </row>
    <row r="31733" spans="26:26" x14ac:dyDescent="0.25">
      <c r="Z31733">
        <v>400000</v>
      </c>
    </row>
    <row r="31734" spans="26:26" x14ac:dyDescent="0.25">
      <c r="Z31734">
        <v>400000</v>
      </c>
    </row>
    <row r="31735" spans="26:26" x14ac:dyDescent="0.25">
      <c r="Z31735">
        <v>400000</v>
      </c>
    </row>
    <row r="31736" spans="26:26" x14ac:dyDescent="0.25">
      <c r="Z31736">
        <v>400000</v>
      </c>
    </row>
    <row r="31737" spans="26:26" x14ac:dyDescent="0.25">
      <c r="Z31737">
        <v>400000</v>
      </c>
    </row>
    <row r="31738" spans="26:26" x14ac:dyDescent="0.25">
      <c r="Z31738">
        <v>400000</v>
      </c>
    </row>
    <row r="31739" spans="26:26" x14ac:dyDescent="0.25">
      <c r="Z31739">
        <v>400000</v>
      </c>
    </row>
    <row r="31740" spans="26:26" x14ac:dyDescent="0.25">
      <c r="Z31740">
        <v>400000</v>
      </c>
    </row>
    <row r="31741" spans="26:26" x14ac:dyDescent="0.25">
      <c r="Z31741">
        <v>400000</v>
      </c>
    </row>
    <row r="31742" spans="26:26" x14ac:dyDescent="0.25">
      <c r="Z31742">
        <v>400000</v>
      </c>
    </row>
    <row r="31743" spans="26:26" x14ac:dyDescent="0.25">
      <c r="Z31743">
        <v>400000</v>
      </c>
    </row>
    <row r="31744" spans="26:26" x14ac:dyDescent="0.25">
      <c r="Z31744">
        <v>400000</v>
      </c>
    </row>
    <row r="31745" spans="26:26" x14ac:dyDescent="0.25">
      <c r="Z31745">
        <v>400000</v>
      </c>
    </row>
    <row r="31746" spans="26:26" x14ac:dyDescent="0.25">
      <c r="Z31746">
        <v>400000</v>
      </c>
    </row>
    <row r="31747" spans="26:26" x14ac:dyDescent="0.25">
      <c r="Z31747">
        <v>400000</v>
      </c>
    </row>
    <row r="31748" spans="26:26" x14ac:dyDescent="0.25">
      <c r="Z31748">
        <v>400000</v>
      </c>
    </row>
    <row r="31749" spans="26:26" x14ac:dyDescent="0.25">
      <c r="Z31749">
        <v>400000</v>
      </c>
    </row>
    <row r="31750" spans="26:26" x14ac:dyDescent="0.25">
      <c r="Z31750">
        <v>400000</v>
      </c>
    </row>
    <row r="31751" spans="26:26" x14ac:dyDescent="0.25">
      <c r="Z31751">
        <v>400000</v>
      </c>
    </row>
    <row r="31752" spans="26:26" x14ac:dyDescent="0.25">
      <c r="Z31752">
        <v>400000</v>
      </c>
    </row>
    <row r="31753" spans="26:26" x14ac:dyDescent="0.25">
      <c r="Z31753">
        <v>400000</v>
      </c>
    </row>
    <row r="31754" spans="26:26" x14ac:dyDescent="0.25">
      <c r="Z31754">
        <v>400000</v>
      </c>
    </row>
    <row r="31755" spans="26:26" x14ac:dyDescent="0.25">
      <c r="Z31755">
        <v>400000</v>
      </c>
    </row>
    <row r="31756" spans="26:26" x14ac:dyDescent="0.25">
      <c r="Z31756">
        <v>400000</v>
      </c>
    </row>
    <row r="31757" spans="26:26" x14ac:dyDescent="0.25">
      <c r="Z31757">
        <v>400000</v>
      </c>
    </row>
    <row r="31758" spans="26:26" x14ac:dyDescent="0.25">
      <c r="Z31758">
        <v>400000</v>
      </c>
    </row>
    <row r="31759" spans="26:26" x14ac:dyDescent="0.25">
      <c r="Z31759">
        <v>400000</v>
      </c>
    </row>
    <row r="31760" spans="26:26" x14ac:dyDescent="0.25">
      <c r="Z31760">
        <v>400000</v>
      </c>
    </row>
    <row r="31761" spans="26:26" x14ac:dyDescent="0.25">
      <c r="Z31761">
        <v>400000</v>
      </c>
    </row>
    <row r="31762" spans="26:26" x14ac:dyDescent="0.25">
      <c r="Z31762">
        <v>400000</v>
      </c>
    </row>
    <row r="31763" spans="26:26" x14ac:dyDescent="0.25">
      <c r="Z31763">
        <v>400000</v>
      </c>
    </row>
    <row r="31764" spans="26:26" x14ac:dyDescent="0.25">
      <c r="Z31764">
        <v>400000</v>
      </c>
    </row>
    <row r="31765" spans="26:26" x14ac:dyDescent="0.25">
      <c r="Z31765">
        <v>400000</v>
      </c>
    </row>
    <row r="31766" spans="26:26" x14ac:dyDescent="0.25">
      <c r="Z31766">
        <v>400000</v>
      </c>
    </row>
    <row r="31767" spans="26:26" x14ac:dyDescent="0.25">
      <c r="Z31767">
        <v>400000</v>
      </c>
    </row>
    <row r="31768" spans="26:26" x14ac:dyDescent="0.25">
      <c r="Z31768">
        <v>400000</v>
      </c>
    </row>
    <row r="31769" spans="26:26" x14ac:dyDescent="0.25">
      <c r="Z31769">
        <v>400000</v>
      </c>
    </row>
    <row r="31770" spans="26:26" x14ac:dyDescent="0.25">
      <c r="Z31770">
        <v>400000</v>
      </c>
    </row>
    <row r="31771" spans="26:26" x14ac:dyDescent="0.25">
      <c r="Z31771">
        <v>400000</v>
      </c>
    </row>
    <row r="31772" spans="26:26" x14ac:dyDescent="0.25">
      <c r="Z31772">
        <v>400000</v>
      </c>
    </row>
    <row r="31773" spans="26:26" x14ac:dyDescent="0.25">
      <c r="Z31773">
        <v>400000</v>
      </c>
    </row>
    <row r="31774" spans="26:26" x14ac:dyDescent="0.25">
      <c r="Z31774">
        <v>400000</v>
      </c>
    </row>
    <row r="31775" spans="26:26" x14ac:dyDescent="0.25">
      <c r="Z31775">
        <v>400000</v>
      </c>
    </row>
    <row r="31776" spans="26:26" x14ac:dyDescent="0.25">
      <c r="Z31776">
        <v>400000</v>
      </c>
    </row>
    <row r="31777" spans="26:26" x14ac:dyDescent="0.25">
      <c r="Z31777">
        <v>400000</v>
      </c>
    </row>
    <row r="31778" spans="26:26" x14ac:dyDescent="0.25">
      <c r="Z31778">
        <v>400000</v>
      </c>
    </row>
    <row r="31779" spans="26:26" x14ac:dyDescent="0.25">
      <c r="Z31779">
        <v>400000</v>
      </c>
    </row>
    <row r="31780" spans="26:26" x14ac:dyDescent="0.25">
      <c r="Z31780">
        <v>400000</v>
      </c>
    </row>
    <row r="31781" spans="26:26" x14ac:dyDescent="0.25">
      <c r="Z31781">
        <v>400000</v>
      </c>
    </row>
    <row r="31782" spans="26:26" x14ac:dyDescent="0.25">
      <c r="Z31782">
        <v>400000</v>
      </c>
    </row>
    <row r="31783" spans="26:26" x14ac:dyDescent="0.25">
      <c r="Z31783">
        <v>400000</v>
      </c>
    </row>
    <row r="31784" spans="26:26" x14ac:dyDescent="0.25">
      <c r="Z31784">
        <v>400000</v>
      </c>
    </row>
    <row r="31785" spans="26:26" x14ac:dyDescent="0.25">
      <c r="Z31785">
        <v>400000</v>
      </c>
    </row>
    <row r="31786" spans="26:26" x14ac:dyDescent="0.25">
      <c r="Z31786">
        <v>400000</v>
      </c>
    </row>
    <row r="31787" spans="26:26" x14ac:dyDescent="0.25">
      <c r="Z31787">
        <v>400000</v>
      </c>
    </row>
    <row r="31788" spans="26:26" x14ac:dyDescent="0.25">
      <c r="Z31788">
        <v>400000</v>
      </c>
    </row>
    <row r="31789" spans="26:26" x14ac:dyDescent="0.25">
      <c r="Z31789">
        <v>400000</v>
      </c>
    </row>
    <row r="31790" spans="26:26" x14ac:dyDescent="0.25">
      <c r="Z31790">
        <v>400000</v>
      </c>
    </row>
    <row r="31791" spans="26:26" x14ac:dyDescent="0.25">
      <c r="Z31791">
        <v>400000</v>
      </c>
    </row>
    <row r="31792" spans="26:26" x14ac:dyDescent="0.25">
      <c r="Z31792">
        <v>400000</v>
      </c>
    </row>
    <row r="31793" spans="26:26" x14ac:dyDescent="0.25">
      <c r="Z31793">
        <v>400000</v>
      </c>
    </row>
    <row r="31794" spans="26:26" x14ac:dyDescent="0.25">
      <c r="Z31794">
        <v>400000</v>
      </c>
    </row>
    <row r="31795" spans="26:26" x14ac:dyDescent="0.25">
      <c r="Z31795">
        <v>400000</v>
      </c>
    </row>
    <row r="31796" spans="26:26" x14ac:dyDescent="0.25">
      <c r="Z31796">
        <v>400000</v>
      </c>
    </row>
    <row r="31797" spans="26:26" x14ac:dyDescent="0.25">
      <c r="Z31797">
        <v>400000</v>
      </c>
    </row>
    <row r="31798" spans="26:26" x14ac:dyDescent="0.25">
      <c r="Z31798">
        <v>400000</v>
      </c>
    </row>
    <row r="31799" spans="26:26" x14ac:dyDescent="0.25">
      <c r="Z31799">
        <v>400000</v>
      </c>
    </row>
    <row r="31800" spans="26:26" x14ac:dyDescent="0.25">
      <c r="Z31800">
        <v>400000</v>
      </c>
    </row>
    <row r="31801" spans="26:26" x14ac:dyDescent="0.25">
      <c r="Z31801">
        <v>400000</v>
      </c>
    </row>
    <row r="31802" spans="26:26" x14ac:dyDescent="0.25">
      <c r="Z31802">
        <v>400000</v>
      </c>
    </row>
    <row r="31803" spans="26:26" x14ac:dyDescent="0.25">
      <c r="Z31803">
        <v>400000</v>
      </c>
    </row>
    <row r="31804" spans="26:26" x14ac:dyDescent="0.25">
      <c r="Z31804">
        <v>400000</v>
      </c>
    </row>
    <row r="31805" spans="26:26" x14ac:dyDescent="0.25">
      <c r="Z31805">
        <v>400000</v>
      </c>
    </row>
    <row r="31806" spans="26:26" x14ac:dyDescent="0.25">
      <c r="Z31806">
        <v>400000</v>
      </c>
    </row>
    <row r="31807" spans="26:26" x14ac:dyDescent="0.25">
      <c r="Z31807">
        <v>400000</v>
      </c>
    </row>
    <row r="31808" spans="26:26" x14ac:dyDescent="0.25">
      <c r="Z31808">
        <v>400000</v>
      </c>
    </row>
    <row r="31809" spans="26:26" x14ac:dyDescent="0.25">
      <c r="Z31809">
        <v>400000</v>
      </c>
    </row>
    <row r="31810" spans="26:26" x14ac:dyDescent="0.25">
      <c r="Z31810">
        <v>400000</v>
      </c>
    </row>
    <row r="31811" spans="26:26" x14ac:dyDescent="0.25">
      <c r="Z31811">
        <v>400000</v>
      </c>
    </row>
    <row r="31812" spans="26:26" x14ac:dyDescent="0.25">
      <c r="Z31812">
        <v>400000</v>
      </c>
    </row>
    <row r="31813" spans="26:26" x14ac:dyDescent="0.25">
      <c r="Z31813">
        <v>400000</v>
      </c>
    </row>
    <row r="31814" spans="26:26" x14ac:dyDescent="0.25">
      <c r="Z31814">
        <v>400000</v>
      </c>
    </row>
    <row r="31815" spans="26:26" x14ac:dyDescent="0.25">
      <c r="Z31815">
        <v>400000</v>
      </c>
    </row>
    <row r="31816" spans="26:26" x14ac:dyDescent="0.25">
      <c r="Z31816">
        <v>400000</v>
      </c>
    </row>
    <row r="31817" spans="26:26" x14ac:dyDescent="0.25">
      <c r="Z31817">
        <v>400000</v>
      </c>
    </row>
    <row r="31818" spans="26:26" x14ac:dyDescent="0.25">
      <c r="Z31818">
        <v>400000</v>
      </c>
    </row>
    <row r="31819" spans="26:26" x14ac:dyDescent="0.25">
      <c r="Z31819">
        <v>400000</v>
      </c>
    </row>
    <row r="31820" spans="26:26" x14ac:dyDescent="0.25">
      <c r="Z31820">
        <v>400000</v>
      </c>
    </row>
    <row r="31821" spans="26:26" x14ac:dyDescent="0.25">
      <c r="Z31821">
        <v>400000</v>
      </c>
    </row>
    <row r="31822" spans="26:26" x14ac:dyDescent="0.25">
      <c r="Z31822">
        <v>400000</v>
      </c>
    </row>
    <row r="31823" spans="26:26" x14ac:dyDescent="0.25">
      <c r="Z31823">
        <v>400000</v>
      </c>
    </row>
    <row r="31824" spans="26:26" x14ac:dyDescent="0.25">
      <c r="Z31824">
        <v>400000</v>
      </c>
    </row>
    <row r="31825" spans="26:26" x14ac:dyDescent="0.25">
      <c r="Z31825">
        <v>400000</v>
      </c>
    </row>
    <row r="31826" spans="26:26" x14ac:dyDescent="0.25">
      <c r="Z31826">
        <v>400000</v>
      </c>
    </row>
    <row r="31827" spans="26:26" x14ac:dyDescent="0.25">
      <c r="Z31827">
        <v>400000</v>
      </c>
    </row>
    <row r="31828" spans="26:26" x14ac:dyDescent="0.25">
      <c r="Z31828">
        <v>400000</v>
      </c>
    </row>
    <row r="31829" spans="26:26" x14ac:dyDescent="0.25">
      <c r="Z31829">
        <v>400000</v>
      </c>
    </row>
    <row r="31830" spans="26:26" x14ac:dyDescent="0.25">
      <c r="Z31830">
        <v>400000</v>
      </c>
    </row>
    <row r="31831" spans="26:26" x14ac:dyDescent="0.25">
      <c r="Z31831">
        <v>400000</v>
      </c>
    </row>
    <row r="31832" spans="26:26" x14ac:dyDescent="0.25">
      <c r="Z31832">
        <v>400000</v>
      </c>
    </row>
    <row r="31833" spans="26:26" x14ac:dyDescent="0.25">
      <c r="Z31833">
        <v>400000</v>
      </c>
    </row>
    <row r="31834" spans="26:26" x14ac:dyDescent="0.25">
      <c r="Z31834">
        <v>400000</v>
      </c>
    </row>
    <row r="31835" spans="26:26" x14ac:dyDescent="0.25">
      <c r="Z31835">
        <v>400000</v>
      </c>
    </row>
    <row r="31836" spans="26:26" x14ac:dyDescent="0.25">
      <c r="Z31836">
        <v>400000</v>
      </c>
    </row>
    <row r="31837" spans="26:26" x14ac:dyDescent="0.25">
      <c r="Z31837">
        <v>400000</v>
      </c>
    </row>
    <row r="31838" spans="26:26" x14ac:dyDescent="0.25">
      <c r="Z31838">
        <v>400000</v>
      </c>
    </row>
    <row r="31839" spans="26:26" x14ac:dyDescent="0.25">
      <c r="Z31839">
        <v>400000</v>
      </c>
    </row>
    <row r="31840" spans="26:26" x14ac:dyDescent="0.25">
      <c r="Z31840">
        <v>400000</v>
      </c>
    </row>
    <row r="31841" spans="26:26" x14ac:dyDescent="0.25">
      <c r="Z31841">
        <v>400000</v>
      </c>
    </row>
    <row r="31842" spans="26:26" x14ac:dyDescent="0.25">
      <c r="Z31842">
        <v>400000</v>
      </c>
    </row>
    <row r="31843" spans="26:26" x14ac:dyDescent="0.25">
      <c r="Z31843">
        <v>400000</v>
      </c>
    </row>
    <row r="31844" spans="26:26" x14ac:dyDescent="0.25">
      <c r="Z31844">
        <v>400000</v>
      </c>
    </row>
    <row r="31845" spans="26:26" x14ac:dyDescent="0.25">
      <c r="Z31845">
        <v>400000</v>
      </c>
    </row>
    <row r="31846" spans="26:26" x14ac:dyDescent="0.25">
      <c r="Z31846">
        <v>400000</v>
      </c>
    </row>
    <row r="31847" spans="26:26" x14ac:dyDescent="0.25">
      <c r="Z31847">
        <v>400000</v>
      </c>
    </row>
    <row r="31848" spans="26:26" x14ac:dyDescent="0.25">
      <c r="Z31848">
        <v>400000</v>
      </c>
    </row>
    <row r="31849" spans="26:26" x14ac:dyDescent="0.25">
      <c r="Z31849">
        <v>400000</v>
      </c>
    </row>
    <row r="31850" spans="26:26" x14ac:dyDescent="0.25">
      <c r="Z31850">
        <v>400000</v>
      </c>
    </row>
    <row r="31851" spans="26:26" x14ac:dyDescent="0.25">
      <c r="Z31851">
        <v>400000</v>
      </c>
    </row>
    <row r="31852" spans="26:26" x14ac:dyDescent="0.25">
      <c r="Z31852">
        <v>400000</v>
      </c>
    </row>
    <row r="31853" spans="26:26" x14ac:dyDescent="0.25">
      <c r="Z31853">
        <v>400000</v>
      </c>
    </row>
    <row r="31854" spans="26:26" x14ac:dyDescent="0.25">
      <c r="Z31854">
        <v>400000</v>
      </c>
    </row>
    <row r="31855" spans="26:26" x14ac:dyDescent="0.25">
      <c r="Z31855">
        <v>400000</v>
      </c>
    </row>
    <row r="31856" spans="26:26" x14ac:dyDescent="0.25">
      <c r="Z31856">
        <v>400000</v>
      </c>
    </row>
    <row r="31857" spans="26:26" x14ac:dyDescent="0.25">
      <c r="Z31857">
        <v>400000</v>
      </c>
    </row>
    <row r="31858" spans="26:26" x14ac:dyDescent="0.25">
      <c r="Z31858">
        <v>400000</v>
      </c>
    </row>
    <row r="31859" spans="26:26" x14ac:dyDescent="0.25">
      <c r="Z31859">
        <v>400000</v>
      </c>
    </row>
    <row r="31860" spans="26:26" x14ac:dyDescent="0.25">
      <c r="Z31860">
        <v>400000</v>
      </c>
    </row>
    <row r="31861" spans="26:26" x14ac:dyDescent="0.25">
      <c r="Z31861">
        <v>400000</v>
      </c>
    </row>
    <row r="31862" spans="26:26" x14ac:dyDescent="0.25">
      <c r="Z31862">
        <v>400000</v>
      </c>
    </row>
    <row r="31863" spans="26:26" x14ac:dyDescent="0.25">
      <c r="Z31863">
        <v>400000</v>
      </c>
    </row>
    <row r="31864" spans="26:26" x14ac:dyDescent="0.25">
      <c r="Z31864">
        <v>400000</v>
      </c>
    </row>
    <row r="31865" spans="26:26" x14ac:dyDescent="0.25">
      <c r="Z31865">
        <v>400000</v>
      </c>
    </row>
    <row r="31866" spans="26:26" x14ac:dyDescent="0.25">
      <c r="Z31866">
        <v>400000</v>
      </c>
    </row>
    <row r="31867" spans="26:26" x14ac:dyDescent="0.25">
      <c r="Z31867">
        <v>400000</v>
      </c>
    </row>
    <row r="31868" spans="26:26" x14ac:dyDescent="0.25">
      <c r="Z31868">
        <v>400000</v>
      </c>
    </row>
    <row r="31869" spans="26:26" x14ac:dyDescent="0.25">
      <c r="Z31869">
        <v>400000</v>
      </c>
    </row>
    <row r="31870" spans="26:26" x14ac:dyDescent="0.25">
      <c r="Z31870">
        <v>400000</v>
      </c>
    </row>
    <row r="31871" spans="26:26" x14ac:dyDescent="0.25">
      <c r="Z31871">
        <v>400000</v>
      </c>
    </row>
    <row r="31872" spans="26:26" x14ac:dyDescent="0.25">
      <c r="Z31872">
        <v>400000</v>
      </c>
    </row>
    <row r="31873" spans="26:26" x14ac:dyDescent="0.25">
      <c r="Z31873">
        <v>400000</v>
      </c>
    </row>
    <row r="31874" spans="26:26" x14ac:dyDescent="0.25">
      <c r="Z31874">
        <v>400000</v>
      </c>
    </row>
    <row r="31875" spans="26:26" x14ac:dyDescent="0.25">
      <c r="Z31875">
        <v>400000</v>
      </c>
    </row>
    <row r="31876" spans="26:26" x14ac:dyDescent="0.25">
      <c r="Z31876">
        <v>400000</v>
      </c>
    </row>
    <row r="31877" spans="26:26" x14ac:dyDescent="0.25">
      <c r="Z31877">
        <v>400000</v>
      </c>
    </row>
    <row r="31878" spans="26:26" x14ac:dyDescent="0.25">
      <c r="Z31878">
        <v>400000</v>
      </c>
    </row>
    <row r="31879" spans="26:26" x14ac:dyDescent="0.25">
      <c r="Z31879">
        <v>400000</v>
      </c>
    </row>
    <row r="31880" spans="26:26" x14ac:dyDescent="0.25">
      <c r="Z31880">
        <v>400000</v>
      </c>
    </row>
    <row r="31881" spans="26:26" x14ac:dyDescent="0.25">
      <c r="Z31881">
        <v>400000</v>
      </c>
    </row>
    <row r="31882" spans="26:26" x14ac:dyDescent="0.25">
      <c r="Z31882">
        <v>400000</v>
      </c>
    </row>
    <row r="31883" spans="26:26" x14ac:dyDescent="0.25">
      <c r="Z31883">
        <v>400000</v>
      </c>
    </row>
    <row r="31884" spans="26:26" x14ac:dyDescent="0.25">
      <c r="Z31884">
        <v>400000</v>
      </c>
    </row>
    <row r="31885" spans="26:26" x14ac:dyDescent="0.25">
      <c r="Z31885">
        <v>400000</v>
      </c>
    </row>
    <row r="31886" spans="26:26" x14ac:dyDescent="0.25">
      <c r="Z31886">
        <v>400000</v>
      </c>
    </row>
    <row r="31887" spans="26:26" x14ac:dyDescent="0.25">
      <c r="Z31887">
        <v>400000</v>
      </c>
    </row>
    <row r="31888" spans="26:26" x14ac:dyDescent="0.25">
      <c r="Z31888">
        <v>400000</v>
      </c>
    </row>
    <row r="31889" spans="26:26" x14ac:dyDescent="0.25">
      <c r="Z31889">
        <v>400000</v>
      </c>
    </row>
    <row r="31890" spans="26:26" x14ac:dyDescent="0.25">
      <c r="Z31890">
        <v>400000</v>
      </c>
    </row>
    <row r="31891" spans="26:26" x14ac:dyDescent="0.25">
      <c r="Z31891">
        <v>400000</v>
      </c>
    </row>
    <row r="31892" spans="26:26" x14ac:dyDescent="0.25">
      <c r="Z31892">
        <v>400000</v>
      </c>
    </row>
    <row r="31893" spans="26:26" x14ac:dyDescent="0.25">
      <c r="Z31893">
        <v>400000</v>
      </c>
    </row>
    <row r="31894" spans="26:26" x14ac:dyDescent="0.25">
      <c r="Z31894">
        <v>400000</v>
      </c>
    </row>
    <row r="31895" spans="26:26" x14ac:dyDescent="0.25">
      <c r="Z31895">
        <v>400000</v>
      </c>
    </row>
    <row r="31896" spans="26:26" x14ac:dyDescent="0.25">
      <c r="Z31896">
        <v>400000</v>
      </c>
    </row>
    <row r="31897" spans="26:26" x14ac:dyDescent="0.25">
      <c r="Z31897">
        <v>400000</v>
      </c>
    </row>
    <row r="31898" spans="26:26" x14ac:dyDescent="0.25">
      <c r="Z31898">
        <v>400000</v>
      </c>
    </row>
    <row r="31899" spans="26:26" x14ac:dyDescent="0.25">
      <c r="Z31899">
        <v>400000</v>
      </c>
    </row>
    <row r="31900" spans="26:26" x14ac:dyDescent="0.25">
      <c r="Z31900">
        <v>400000</v>
      </c>
    </row>
    <row r="31901" spans="26:26" x14ac:dyDescent="0.25">
      <c r="Z31901">
        <v>400000</v>
      </c>
    </row>
    <row r="31902" spans="26:26" x14ac:dyDescent="0.25">
      <c r="Z31902">
        <v>400000</v>
      </c>
    </row>
    <row r="31903" spans="26:26" x14ac:dyDescent="0.25">
      <c r="Z31903">
        <v>400000</v>
      </c>
    </row>
    <row r="31904" spans="26:26" x14ac:dyDescent="0.25">
      <c r="Z31904">
        <v>400000</v>
      </c>
    </row>
    <row r="31905" spans="26:26" x14ac:dyDescent="0.25">
      <c r="Z31905">
        <v>400000</v>
      </c>
    </row>
    <row r="31906" spans="26:26" x14ac:dyDescent="0.25">
      <c r="Z31906">
        <v>400000</v>
      </c>
    </row>
    <row r="31907" spans="26:26" x14ac:dyDescent="0.25">
      <c r="Z31907">
        <v>400000</v>
      </c>
    </row>
    <row r="31908" spans="26:26" x14ac:dyDescent="0.25">
      <c r="Z31908">
        <v>400000</v>
      </c>
    </row>
    <row r="31909" spans="26:26" x14ac:dyDescent="0.25">
      <c r="Z31909">
        <v>400000</v>
      </c>
    </row>
    <row r="31910" spans="26:26" x14ac:dyDescent="0.25">
      <c r="Z31910">
        <v>400000</v>
      </c>
    </row>
    <row r="31911" spans="26:26" x14ac:dyDescent="0.25">
      <c r="Z31911">
        <v>400000</v>
      </c>
    </row>
    <row r="31912" spans="26:26" x14ac:dyDescent="0.25">
      <c r="Z31912">
        <v>400000</v>
      </c>
    </row>
    <row r="31913" spans="26:26" x14ac:dyDescent="0.25">
      <c r="Z31913">
        <v>400000</v>
      </c>
    </row>
    <row r="31914" spans="26:26" x14ac:dyDescent="0.25">
      <c r="Z31914">
        <v>400000</v>
      </c>
    </row>
    <row r="31915" spans="26:26" x14ac:dyDescent="0.25">
      <c r="Z31915">
        <v>400000</v>
      </c>
    </row>
    <row r="31916" spans="26:26" x14ac:dyDescent="0.25">
      <c r="Z31916">
        <v>400000</v>
      </c>
    </row>
    <row r="31917" spans="26:26" x14ac:dyDescent="0.25">
      <c r="Z31917">
        <v>400000</v>
      </c>
    </row>
    <row r="31918" spans="26:26" x14ac:dyDescent="0.25">
      <c r="Z31918">
        <v>400000</v>
      </c>
    </row>
    <row r="31919" spans="26:26" x14ac:dyDescent="0.25">
      <c r="Z31919">
        <v>400000</v>
      </c>
    </row>
    <row r="31920" spans="26:26" x14ac:dyDescent="0.25">
      <c r="Z31920">
        <v>400000</v>
      </c>
    </row>
    <row r="31921" spans="26:26" x14ac:dyDescent="0.25">
      <c r="Z31921">
        <v>400000</v>
      </c>
    </row>
    <row r="31922" spans="26:26" x14ac:dyDescent="0.25">
      <c r="Z31922">
        <v>400000</v>
      </c>
    </row>
    <row r="31923" spans="26:26" x14ac:dyDescent="0.25">
      <c r="Z31923">
        <v>400000</v>
      </c>
    </row>
    <row r="31924" spans="26:26" x14ac:dyDescent="0.25">
      <c r="Z31924">
        <v>400000</v>
      </c>
    </row>
    <row r="31925" spans="26:26" x14ac:dyDescent="0.25">
      <c r="Z31925">
        <v>400000</v>
      </c>
    </row>
    <row r="31926" spans="26:26" x14ac:dyDescent="0.25">
      <c r="Z31926">
        <v>400000</v>
      </c>
    </row>
    <row r="31927" spans="26:26" x14ac:dyDescent="0.25">
      <c r="Z31927">
        <v>400000</v>
      </c>
    </row>
    <row r="31928" spans="26:26" x14ac:dyDescent="0.25">
      <c r="Z31928">
        <v>400000</v>
      </c>
    </row>
    <row r="31929" spans="26:26" x14ac:dyDescent="0.25">
      <c r="Z31929">
        <v>400000</v>
      </c>
    </row>
    <row r="31930" spans="26:26" x14ac:dyDescent="0.25">
      <c r="Z31930">
        <v>400000</v>
      </c>
    </row>
    <row r="31931" spans="26:26" x14ac:dyDescent="0.25">
      <c r="Z31931">
        <v>400000</v>
      </c>
    </row>
    <row r="31932" spans="26:26" x14ac:dyDescent="0.25">
      <c r="Z31932">
        <v>400000</v>
      </c>
    </row>
    <row r="31933" spans="26:26" x14ac:dyDescent="0.25">
      <c r="Z31933">
        <v>400000</v>
      </c>
    </row>
    <row r="31934" spans="26:26" x14ac:dyDescent="0.25">
      <c r="Z31934">
        <v>400000</v>
      </c>
    </row>
    <row r="31935" spans="26:26" x14ac:dyDescent="0.25">
      <c r="Z31935">
        <v>400000</v>
      </c>
    </row>
    <row r="31936" spans="26:26" x14ac:dyDescent="0.25">
      <c r="Z31936">
        <v>400000</v>
      </c>
    </row>
    <row r="31937" spans="26:26" x14ac:dyDescent="0.25">
      <c r="Z31937">
        <v>400000</v>
      </c>
    </row>
    <row r="31938" spans="26:26" x14ac:dyDescent="0.25">
      <c r="Z31938">
        <v>400000</v>
      </c>
    </row>
    <row r="31939" spans="26:26" x14ac:dyDescent="0.25">
      <c r="Z31939">
        <v>400000</v>
      </c>
    </row>
    <row r="31940" spans="26:26" x14ac:dyDescent="0.25">
      <c r="Z31940">
        <v>400000</v>
      </c>
    </row>
    <row r="31941" spans="26:26" x14ac:dyDescent="0.25">
      <c r="Z31941">
        <v>400000</v>
      </c>
    </row>
    <row r="31942" spans="26:26" x14ac:dyDescent="0.25">
      <c r="Z31942">
        <v>400000</v>
      </c>
    </row>
    <row r="31943" spans="26:26" x14ac:dyDescent="0.25">
      <c r="Z31943">
        <v>400000</v>
      </c>
    </row>
    <row r="31944" spans="26:26" x14ac:dyDescent="0.25">
      <c r="Z31944">
        <v>400000</v>
      </c>
    </row>
    <row r="31945" spans="26:26" x14ac:dyDescent="0.25">
      <c r="Z31945">
        <v>400000</v>
      </c>
    </row>
    <row r="31946" spans="26:26" x14ac:dyDescent="0.25">
      <c r="Z31946">
        <v>400000</v>
      </c>
    </row>
    <row r="31947" spans="26:26" x14ac:dyDescent="0.25">
      <c r="Z31947">
        <v>400000</v>
      </c>
    </row>
    <row r="31948" spans="26:26" x14ac:dyDescent="0.25">
      <c r="Z31948">
        <v>400000</v>
      </c>
    </row>
    <row r="31949" spans="26:26" x14ac:dyDescent="0.25">
      <c r="Z31949">
        <v>400000</v>
      </c>
    </row>
    <row r="31950" spans="26:26" x14ac:dyDescent="0.25">
      <c r="Z31950">
        <v>400000</v>
      </c>
    </row>
    <row r="31951" spans="26:26" x14ac:dyDescent="0.25">
      <c r="Z31951">
        <v>400000</v>
      </c>
    </row>
    <row r="31952" spans="26:26" x14ac:dyDescent="0.25">
      <c r="Z31952">
        <v>400000</v>
      </c>
    </row>
    <row r="31953" spans="26:26" x14ac:dyDescent="0.25">
      <c r="Z31953">
        <v>400000</v>
      </c>
    </row>
    <row r="31954" spans="26:26" x14ac:dyDescent="0.25">
      <c r="Z31954">
        <v>400000</v>
      </c>
    </row>
    <row r="31955" spans="26:26" x14ac:dyDescent="0.25">
      <c r="Z31955">
        <v>400000</v>
      </c>
    </row>
    <row r="31956" spans="26:26" x14ac:dyDescent="0.25">
      <c r="Z31956">
        <v>400000</v>
      </c>
    </row>
    <row r="31957" spans="26:26" x14ac:dyDescent="0.25">
      <c r="Z31957">
        <v>400000</v>
      </c>
    </row>
    <row r="31958" spans="26:26" x14ac:dyDescent="0.25">
      <c r="Z31958">
        <v>400000</v>
      </c>
    </row>
    <row r="31959" spans="26:26" x14ac:dyDescent="0.25">
      <c r="Z31959">
        <v>400000</v>
      </c>
    </row>
    <row r="31960" spans="26:26" x14ac:dyDescent="0.25">
      <c r="Z31960">
        <v>400000</v>
      </c>
    </row>
    <row r="31961" spans="26:26" x14ac:dyDescent="0.25">
      <c r="Z31961">
        <v>400000</v>
      </c>
    </row>
    <row r="31962" spans="26:26" x14ac:dyDescent="0.25">
      <c r="Z31962">
        <v>400000</v>
      </c>
    </row>
    <row r="31963" spans="26:26" x14ac:dyDescent="0.25">
      <c r="Z31963">
        <v>400000</v>
      </c>
    </row>
    <row r="31964" spans="26:26" x14ac:dyDescent="0.25">
      <c r="Z31964">
        <v>400000</v>
      </c>
    </row>
    <row r="31965" spans="26:26" x14ac:dyDescent="0.25">
      <c r="Z31965">
        <v>400000</v>
      </c>
    </row>
    <row r="31966" spans="26:26" x14ac:dyDescent="0.25">
      <c r="Z31966">
        <v>400000</v>
      </c>
    </row>
    <row r="31967" spans="26:26" x14ac:dyDescent="0.25">
      <c r="Z31967">
        <v>400000</v>
      </c>
    </row>
    <row r="31968" spans="26:26" x14ac:dyDescent="0.25">
      <c r="Z31968">
        <v>400000</v>
      </c>
    </row>
    <row r="31969" spans="26:26" x14ac:dyDescent="0.25">
      <c r="Z31969">
        <v>400000</v>
      </c>
    </row>
    <row r="31970" spans="26:26" x14ac:dyDescent="0.25">
      <c r="Z31970">
        <v>400000</v>
      </c>
    </row>
    <row r="31971" spans="26:26" x14ac:dyDescent="0.25">
      <c r="Z31971">
        <v>400000</v>
      </c>
    </row>
    <row r="31972" spans="26:26" x14ac:dyDescent="0.25">
      <c r="Z31972">
        <v>400000</v>
      </c>
    </row>
    <row r="31973" spans="26:26" x14ac:dyDescent="0.25">
      <c r="Z31973">
        <v>400000</v>
      </c>
    </row>
    <row r="31974" spans="26:26" x14ac:dyDescent="0.25">
      <c r="Z31974">
        <v>400000</v>
      </c>
    </row>
    <row r="31975" spans="26:26" x14ac:dyDescent="0.25">
      <c r="Z31975">
        <v>400000</v>
      </c>
    </row>
    <row r="31976" spans="26:26" x14ac:dyDescent="0.25">
      <c r="Z31976">
        <v>400000</v>
      </c>
    </row>
    <row r="31977" spans="26:26" x14ac:dyDescent="0.25">
      <c r="Z31977">
        <v>400000</v>
      </c>
    </row>
    <row r="31978" spans="26:26" x14ac:dyDescent="0.25">
      <c r="Z31978">
        <v>400000</v>
      </c>
    </row>
    <row r="31979" spans="26:26" x14ac:dyDescent="0.25">
      <c r="Z31979">
        <v>400000</v>
      </c>
    </row>
    <row r="31980" spans="26:26" x14ac:dyDescent="0.25">
      <c r="Z31980">
        <v>400000</v>
      </c>
    </row>
    <row r="31981" spans="26:26" x14ac:dyDescent="0.25">
      <c r="Z31981">
        <v>400000</v>
      </c>
    </row>
    <row r="31982" spans="26:26" x14ac:dyDescent="0.25">
      <c r="Z31982">
        <v>400000</v>
      </c>
    </row>
    <row r="31983" spans="26:26" x14ac:dyDescent="0.25">
      <c r="Z31983">
        <v>400000</v>
      </c>
    </row>
    <row r="31984" spans="26:26" x14ac:dyDescent="0.25">
      <c r="Z31984">
        <v>400000</v>
      </c>
    </row>
    <row r="31985" spans="26:26" x14ac:dyDescent="0.25">
      <c r="Z31985">
        <v>400000</v>
      </c>
    </row>
    <row r="31986" spans="26:26" x14ac:dyDescent="0.25">
      <c r="Z31986">
        <v>400000</v>
      </c>
    </row>
    <row r="31987" spans="26:26" x14ac:dyDescent="0.25">
      <c r="Z31987">
        <v>400000</v>
      </c>
    </row>
    <row r="31988" spans="26:26" x14ac:dyDescent="0.25">
      <c r="Z31988">
        <v>400000</v>
      </c>
    </row>
    <row r="31989" spans="26:26" x14ac:dyDescent="0.25">
      <c r="Z31989">
        <v>400000</v>
      </c>
    </row>
    <row r="31990" spans="26:26" x14ac:dyDescent="0.25">
      <c r="Z31990">
        <v>400000</v>
      </c>
    </row>
    <row r="31991" spans="26:26" x14ac:dyDescent="0.25">
      <c r="Z31991">
        <v>400000</v>
      </c>
    </row>
    <row r="31992" spans="26:26" x14ac:dyDescent="0.25">
      <c r="Z31992">
        <v>400000</v>
      </c>
    </row>
    <row r="31993" spans="26:26" x14ac:dyDescent="0.25">
      <c r="Z31993">
        <v>400000</v>
      </c>
    </row>
    <row r="31994" spans="26:26" x14ac:dyDescent="0.25">
      <c r="Z31994">
        <v>400000</v>
      </c>
    </row>
    <row r="31995" spans="26:26" x14ac:dyDescent="0.25">
      <c r="Z31995">
        <v>400000</v>
      </c>
    </row>
    <row r="31996" spans="26:26" x14ac:dyDescent="0.25">
      <c r="Z31996">
        <v>400000</v>
      </c>
    </row>
    <row r="31997" spans="26:26" x14ac:dyDescent="0.25">
      <c r="Z31997">
        <v>400000</v>
      </c>
    </row>
    <row r="31998" spans="26:26" x14ac:dyDescent="0.25">
      <c r="Z31998">
        <v>400000</v>
      </c>
    </row>
    <row r="31999" spans="26:26" x14ac:dyDescent="0.25">
      <c r="Z31999">
        <v>400000</v>
      </c>
    </row>
    <row r="32000" spans="26:26" x14ac:dyDescent="0.25">
      <c r="Z32000">
        <v>400000</v>
      </c>
    </row>
    <row r="32001" spans="26:26" x14ac:dyDescent="0.25">
      <c r="Z32001">
        <v>400000</v>
      </c>
    </row>
    <row r="32002" spans="26:26" x14ac:dyDescent="0.25">
      <c r="Z32002">
        <v>400000</v>
      </c>
    </row>
    <row r="32003" spans="26:26" x14ac:dyDescent="0.25">
      <c r="Z32003">
        <v>400000</v>
      </c>
    </row>
    <row r="32004" spans="26:26" x14ac:dyDescent="0.25">
      <c r="Z32004">
        <v>400000</v>
      </c>
    </row>
    <row r="32005" spans="26:26" x14ac:dyDescent="0.25">
      <c r="Z32005">
        <v>400000</v>
      </c>
    </row>
    <row r="32006" spans="26:26" x14ac:dyDescent="0.25">
      <c r="Z32006">
        <v>400000</v>
      </c>
    </row>
    <row r="32007" spans="26:26" x14ac:dyDescent="0.25">
      <c r="Z32007">
        <v>400000</v>
      </c>
    </row>
    <row r="32008" spans="26:26" x14ac:dyDescent="0.25">
      <c r="Z32008">
        <v>400000</v>
      </c>
    </row>
    <row r="32009" spans="26:26" x14ac:dyDescent="0.25">
      <c r="Z32009">
        <v>400000</v>
      </c>
    </row>
    <row r="32010" spans="26:26" x14ac:dyDescent="0.25">
      <c r="Z32010">
        <v>400000</v>
      </c>
    </row>
    <row r="32011" spans="26:26" x14ac:dyDescent="0.25">
      <c r="Z32011">
        <v>400000</v>
      </c>
    </row>
    <row r="32012" spans="26:26" x14ac:dyDescent="0.25">
      <c r="Z32012">
        <v>400000</v>
      </c>
    </row>
    <row r="32013" spans="26:26" x14ac:dyDescent="0.25">
      <c r="Z32013">
        <v>400000</v>
      </c>
    </row>
    <row r="32014" spans="26:26" x14ac:dyDescent="0.25">
      <c r="Z32014">
        <v>400000</v>
      </c>
    </row>
    <row r="32015" spans="26:26" x14ac:dyDescent="0.25">
      <c r="Z32015">
        <v>400000</v>
      </c>
    </row>
    <row r="32016" spans="26:26" x14ac:dyDescent="0.25">
      <c r="Z32016">
        <v>400000</v>
      </c>
    </row>
    <row r="32017" spans="26:26" x14ac:dyDescent="0.25">
      <c r="Z32017">
        <v>400000</v>
      </c>
    </row>
    <row r="32018" spans="26:26" x14ac:dyDescent="0.25">
      <c r="Z32018">
        <v>400000</v>
      </c>
    </row>
    <row r="32019" spans="26:26" x14ac:dyDescent="0.25">
      <c r="Z32019">
        <v>400000</v>
      </c>
    </row>
    <row r="32020" spans="26:26" x14ac:dyDescent="0.25">
      <c r="Z32020">
        <v>400000</v>
      </c>
    </row>
    <row r="32021" spans="26:26" x14ac:dyDescent="0.25">
      <c r="Z32021">
        <v>400000</v>
      </c>
    </row>
    <row r="32022" spans="26:26" x14ac:dyDescent="0.25">
      <c r="Z32022">
        <v>400000</v>
      </c>
    </row>
    <row r="32023" spans="26:26" x14ac:dyDescent="0.25">
      <c r="Z32023">
        <v>400000</v>
      </c>
    </row>
    <row r="32024" spans="26:26" x14ac:dyDescent="0.25">
      <c r="Z32024">
        <v>400000</v>
      </c>
    </row>
    <row r="32025" spans="26:26" x14ac:dyDescent="0.25">
      <c r="Z32025">
        <v>400000</v>
      </c>
    </row>
    <row r="32026" spans="26:26" x14ac:dyDescent="0.25">
      <c r="Z32026">
        <v>400000</v>
      </c>
    </row>
    <row r="32027" spans="26:26" x14ac:dyDescent="0.25">
      <c r="Z32027">
        <v>400000</v>
      </c>
    </row>
    <row r="32028" spans="26:26" x14ac:dyDescent="0.25">
      <c r="Z32028">
        <v>400000</v>
      </c>
    </row>
    <row r="32029" spans="26:26" x14ac:dyDescent="0.25">
      <c r="Z32029">
        <v>400000</v>
      </c>
    </row>
    <row r="32030" spans="26:26" x14ac:dyDescent="0.25">
      <c r="Z32030">
        <v>400000</v>
      </c>
    </row>
    <row r="32031" spans="26:26" x14ac:dyDescent="0.25">
      <c r="Z32031">
        <v>400000</v>
      </c>
    </row>
    <row r="32032" spans="26:26" x14ac:dyDescent="0.25">
      <c r="Z32032">
        <v>400000</v>
      </c>
    </row>
    <row r="32033" spans="26:26" x14ac:dyDescent="0.25">
      <c r="Z32033">
        <v>400000</v>
      </c>
    </row>
    <row r="32034" spans="26:26" x14ac:dyDescent="0.25">
      <c r="Z32034">
        <v>400000</v>
      </c>
    </row>
    <row r="32035" spans="26:26" x14ac:dyDescent="0.25">
      <c r="Z32035">
        <v>400000</v>
      </c>
    </row>
    <row r="32036" spans="26:26" x14ac:dyDescent="0.25">
      <c r="Z32036">
        <v>400000</v>
      </c>
    </row>
    <row r="32037" spans="26:26" x14ac:dyDescent="0.25">
      <c r="Z32037">
        <v>400000</v>
      </c>
    </row>
    <row r="32038" spans="26:26" x14ac:dyDescent="0.25">
      <c r="Z32038">
        <v>400000</v>
      </c>
    </row>
    <row r="32039" spans="26:26" x14ac:dyDescent="0.25">
      <c r="Z32039">
        <v>400000</v>
      </c>
    </row>
    <row r="32040" spans="26:26" x14ac:dyDescent="0.25">
      <c r="Z32040">
        <v>400000</v>
      </c>
    </row>
    <row r="32041" spans="26:26" x14ac:dyDescent="0.25">
      <c r="Z32041">
        <v>400000</v>
      </c>
    </row>
    <row r="32042" spans="26:26" x14ac:dyDescent="0.25">
      <c r="Z32042">
        <v>400000</v>
      </c>
    </row>
    <row r="32043" spans="26:26" x14ac:dyDescent="0.25">
      <c r="Z32043">
        <v>400000</v>
      </c>
    </row>
    <row r="32044" spans="26:26" x14ac:dyDescent="0.25">
      <c r="Z32044">
        <v>400000</v>
      </c>
    </row>
    <row r="32045" spans="26:26" x14ac:dyDescent="0.25">
      <c r="Z32045">
        <v>400000</v>
      </c>
    </row>
    <row r="32046" spans="26:26" x14ac:dyDescent="0.25">
      <c r="Z32046">
        <v>400000</v>
      </c>
    </row>
    <row r="32047" spans="26:26" x14ac:dyDescent="0.25">
      <c r="Z32047">
        <v>400000</v>
      </c>
    </row>
    <row r="32048" spans="26:26" x14ac:dyDescent="0.25">
      <c r="Z32048">
        <v>400000</v>
      </c>
    </row>
    <row r="32049" spans="26:26" x14ac:dyDescent="0.25">
      <c r="Z32049">
        <v>400000</v>
      </c>
    </row>
    <row r="32050" spans="26:26" x14ac:dyDescent="0.25">
      <c r="Z32050">
        <v>400000</v>
      </c>
    </row>
    <row r="32051" spans="26:26" x14ac:dyDescent="0.25">
      <c r="Z32051">
        <v>400000</v>
      </c>
    </row>
    <row r="32052" spans="26:26" x14ac:dyDescent="0.25">
      <c r="Z32052">
        <v>400000</v>
      </c>
    </row>
    <row r="32053" spans="26:26" x14ac:dyDescent="0.25">
      <c r="Z32053">
        <v>400000</v>
      </c>
    </row>
    <row r="32054" spans="26:26" x14ac:dyDescent="0.25">
      <c r="Z32054">
        <v>400000</v>
      </c>
    </row>
    <row r="32055" spans="26:26" x14ac:dyDescent="0.25">
      <c r="Z32055">
        <v>400000</v>
      </c>
    </row>
    <row r="32056" spans="26:26" x14ac:dyDescent="0.25">
      <c r="Z32056">
        <v>400000</v>
      </c>
    </row>
    <row r="32057" spans="26:26" x14ac:dyDescent="0.25">
      <c r="Z32057">
        <v>400000</v>
      </c>
    </row>
    <row r="32058" spans="26:26" x14ac:dyDescent="0.25">
      <c r="Z32058">
        <v>400000</v>
      </c>
    </row>
    <row r="32059" spans="26:26" x14ac:dyDescent="0.25">
      <c r="Z32059">
        <v>400000</v>
      </c>
    </row>
    <row r="32060" spans="26:26" x14ac:dyDescent="0.25">
      <c r="Z32060">
        <v>400000</v>
      </c>
    </row>
    <row r="32061" spans="26:26" x14ac:dyDescent="0.25">
      <c r="Z32061">
        <v>400000</v>
      </c>
    </row>
    <row r="32062" spans="26:26" x14ac:dyDescent="0.25">
      <c r="Z32062">
        <v>400000</v>
      </c>
    </row>
    <row r="32063" spans="26:26" x14ac:dyDescent="0.25">
      <c r="Z32063">
        <v>400000</v>
      </c>
    </row>
    <row r="32064" spans="26:26" x14ac:dyDescent="0.25">
      <c r="Z32064">
        <v>400000</v>
      </c>
    </row>
    <row r="32065" spans="26:26" x14ac:dyDescent="0.25">
      <c r="Z32065">
        <v>400000</v>
      </c>
    </row>
    <row r="32066" spans="26:26" x14ac:dyDescent="0.25">
      <c r="Z32066">
        <v>400000</v>
      </c>
    </row>
    <row r="32067" spans="26:26" x14ac:dyDescent="0.25">
      <c r="Z32067">
        <v>400000</v>
      </c>
    </row>
    <row r="32068" spans="26:26" x14ac:dyDescent="0.25">
      <c r="Z32068">
        <v>400000</v>
      </c>
    </row>
    <row r="32069" spans="26:26" x14ac:dyDescent="0.25">
      <c r="Z32069">
        <v>400000</v>
      </c>
    </row>
    <row r="32070" spans="26:26" x14ac:dyDescent="0.25">
      <c r="Z32070">
        <v>400000</v>
      </c>
    </row>
    <row r="32071" spans="26:26" x14ac:dyDescent="0.25">
      <c r="Z32071">
        <v>400000</v>
      </c>
    </row>
    <row r="32072" spans="26:26" x14ac:dyDescent="0.25">
      <c r="Z32072">
        <v>400000</v>
      </c>
    </row>
    <row r="32073" spans="26:26" x14ac:dyDescent="0.25">
      <c r="Z32073">
        <v>400000</v>
      </c>
    </row>
    <row r="32074" spans="26:26" x14ac:dyDescent="0.25">
      <c r="Z32074">
        <v>400000</v>
      </c>
    </row>
    <row r="32075" spans="26:26" x14ac:dyDescent="0.25">
      <c r="Z32075">
        <v>400000</v>
      </c>
    </row>
    <row r="32076" spans="26:26" x14ac:dyDescent="0.25">
      <c r="Z32076">
        <v>400000</v>
      </c>
    </row>
    <row r="32077" spans="26:26" x14ac:dyDescent="0.25">
      <c r="Z32077">
        <v>400000</v>
      </c>
    </row>
    <row r="32078" spans="26:26" x14ac:dyDescent="0.25">
      <c r="Z32078">
        <v>400000</v>
      </c>
    </row>
    <row r="32079" spans="26:26" x14ac:dyDescent="0.25">
      <c r="Z32079">
        <v>400000</v>
      </c>
    </row>
    <row r="32080" spans="26:26" x14ac:dyDescent="0.25">
      <c r="Z32080">
        <v>400000</v>
      </c>
    </row>
    <row r="32081" spans="26:26" x14ac:dyDescent="0.25">
      <c r="Z32081">
        <v>400000</v>
      </c>
    </row>
    <row r="32082" spans="26:26" x14ac:dyDescent="0.25">
      <c r="Z32082">
        <v>400000</v>
      </c>
    </row>
    <row r="32083" spans="26:26" x14ac:dyDescent="0.25">
      <c r="Z32083">
        <v>400000</v>
      </c>
    </row>
    <row r="32084" spans="26:26" x14ac:dyDescent="0.25">
      <c r="Z32084">
        <v>400000</v>
      </c>
    </row>
    <row r="32085" spans="26:26" x14ac:dyDescent="0.25">
      <c r="Z32085">
        <v>400000</v>
      </c>
    </row>
    <row r="32086" spans="26:26" x14ac:dyDescent="0.25">
      <c r="Z32086">
        <v>400000</v>
      </c>
    </row>
    <row r="32087" spans="26:26" x14ac:dyDescent="0.25">
      <c r="Z32087">
        <v>400000</v>
      </c>
    </row>
    <row r="32088" spans="26:26" x14ac:dyDescent="0.25">
      <c r="Z32088">
        <v>400000</v>
      </c>
    </row>
    <row r="32089" spans="26:26" x14ac:dyDescent="0.25">
      <c r="Z32089">
        <v>400000</v>
      </c>
    </row>
    <row r="32090" spans="26:26" x14ac:dyDescent="0.25">
      <c r="Z32090">
        <v>400000</v>
      </c>
    </row>
    <row r="32091" spans="26:26" x14ac:dyDescent="0.25">
      <c r="Z32091">
        <v>400000</v>
      </c>
    </row>
    <row r="32092" spans="26:26" x14ac:dyDescent="0.25">
      <c r="Z32092">
        <v>400000</v>
      </c>
    </row>
    <row r="32093" spans="26:26" x14ac:dyDescent="0.25">
      <c r="Z32093">
        <v>400000</v>
      </c>
    </row>
    <row r="32094" spans="26:26" x14ac:dyDescent="0.25">
      <c r="Z32094">
        <v>400000</v>
      </c>
    </row>
    <row r="32095" spans="26:26" x14ac:dyDescent="0.25">
      <c r="Z32095">
        <v>400000</v>
      </c>
    </row>
    <row r="32096" spans="26:26" x14ac:dyDescent="0.25">
      <c r="Z32096">
        <v>400000</v>
      </c>
    </row>
    <row r="32097" spans="26:26" x14ac:dyDescent="0.25">
      <c r="Z32097">
        <v>400000</v>
      </c>
    </row>
    <row r="32098" spans="26:26" x14ac:dyDescent="0.25">
      <c r="Z32098">
        <v>400000</v>
      </c>
    </row>
    <row r="32099" spans="26:26" x14ac:dyDescent="0.25">
      <c r="Z32099">
        <v>400000</v>
      </c>
    </row>
    <row r="32100" spans="26:26" x14ac:dyDescent="0.25">
      <c r="Z32100">
        <v>400000</v>
      </c>
    </row>
    <row r="32101" spans="26:26" x14ac:dyDescent="0.25">
      <c r="Z32101">
        <v>400000</v>
      </c>
    </row>
    <row r="32102" spans="26:26" x14ac:dyDescent="0.25">
      <c r="Z32102">
        <v>400000</v>
      </c>
    </row>
    <row r="32103" spans="26:26" x14ac:dyDescent="0.25">
      <c r="Z32103">
        <v>400000</v>
      </c>
    </row>
    <row r="32104" spans="26:26" x14ac:dyDescent="0.25">
      <c r="Z32104">
        <v>400000</v>
      </c>
    </row>
    <row r="32105" spans="26:26" x14ac:dyDescent="0.25">
      <c r="Z32105">
        <v>400000</v>
      </c>
    </row>
    <row r="32106" spans="26:26" x14ac:dyDescent="0.25">
      <c r="Z32106">
        <v>400000</v>
      </c>
    </row>
    <row r="32107" spans="26:26" x14ac:dyDescent="0.25">
      <c r="Z32107">
        <v>400000</v>
      </c>
    </row>
    <row r="32108" spans="26:26" x14ac:dyDescent="0.25">
      <c r="Z32108">
        <v>400000</v>
      </c>
    </row>
    <row r="32109" spans="26:26" x14ac:dyDescent="0.25">
      <c r="Z32109">
        <v>400000</v>
      </c>
    </row>
    <row r="32110" spans="26:26" x14ac:dyDescent="0.25">
      <c r="Z32110">
        <v>400000</v>
      </c>
    </row>
    <row r="32111" spans="26:26" x14ac:dyDescent="0.25">
      <c r="Z32111">
        <v>400000</v>
      </c>
    </row>
    <row r="32112" spans="26:26" x14ac:dyDescent="0.25">
      <c r="Z32112">
        <v>400000</v>
      </c>
    </row>
    <row r="32113" spans="26:26" x14ac:dyDescent="0.25">
      <c r="Z32113">
        <v>400000</v>
      </c>
    </row>
    <row r="32114" spans="26:26" x14ac:dyDescent="0.25">
      <c r="Z32114">
        <v>400000</v>
      </c>
    </row>
    <row r="32115" spans="26:26" x14ac:dyDescent="0.25">
      <c r="Z32115">
        <v>400000</v>
      </c>
    </row>
    <row r="32116" spans="26:26" x14ac:dyDescent="0.25">
      <c r="Z32116">
        <v>400000</v>
      </c>
    </row>
    <row r="32117" spans="26:26" x14ac:dyDescent="0.25">
      <c r="Z32117">
        <v>400000</v>
      </c>
    </row>
    <row r="32118" spans="26:26" x14ac:dyDescent="0.25">
      <c r="Z32118">
        <v>400000</v>
      </c>
    </row>
    <row r="32119" spans="26:26" x14ac:dyDescent="0.25">
      <c r="Z32119">
        <v>400000</v>
      </c>
    </row>
    <row r="32120" spans="26:26" x14ac:dyDescent="0.25">
      <c r="Z32120">
        <v>400000</v>
      </c>
    </row>
    <row r="32121" spans="26:26" x14ac:dyDescent="0.25">
      <c r="Z32121">
        <v>400000</v>
      </c>
    </row>
    <row r="32122" spans="26:26" x14ac:dyDescent="0.25">
      <c r="Z32122">
        <v>400000</v>
      </c>
    </row>
    <row r="32123" spans="26:26" x14ac:dyDescent="0.25">
      <c r="Z32123">
        <v>400000</v>
      </c>
    </row>
    <row r="32124" spans="26:26" x14ac:dyDescent="0.25">
      <c r="Z32124">
        <v>400000</v>
      </c>
    </row>
    <row r="32125" spans="26:26" x14ac:dyDescent="0.25">
      <c r="Z32125">
        <v>400000</v>
      </c>
    </row>
    <row r="32126" spans="26:26" x14ac:dyDescent="0.25">
      <c r="Z32126">
        <v>400000</v>
      </c>
    </row>
    <row r="32127" spans="26:26" x14ac:dyDescent="0.25">
      <c r="Z32127">
        <v>400000</v>
      </c>
    </row>
    <row r="32128" spans="26:26" x14ac:dyDescent="0.25">
      <c r="Z32128">
        <v>400000</v>
      </c>
    </row>
    <row r="32129" spans="26:26" x14ac:dyDescent="0.25">
      <c r="Z32129">
        <v>400000</v>
      </c>
    </row>
    <row r="32130" spans="26:26" x14ac:dyDescent="0.25">
      <c r="Z32130">
        <v>400000</v>
      </c>
    </row>
    <row r="32131" spans="26:26" x14ac:dyDescent="0.25">
      <c r="Z32131">
        <v>400000</v>
      </c>
    </row>
    <row r="32132" spans="26:26" x14ac:dyDescent="0.25">
      <c r="Z32132">
        <v>400000</v>
      </c>
    </row>
    <row r="32133" spans="26:26" x14ac:dyDescent="0.25">
      <c r="Z32133">
        <v>400000</v>
      </c>
    </row>
    <row r="32134" spans="26:26" x14ac:dyDescent="0.25">
      <c r="Z32134">
        <v>400000</v>
      </c>
    </row>
    <row r="32135" spans="26:26" x14ac:dyDescent="0.25">
      <c r="Z32135">
        <v>400000</v>
      </c>
    </row>
    <row r="32136" spans="26:26" x14ac:dyDescent="0.25">
      <c r="Z32136">
        <v>400000</v>
      </c>
    </row>
    <row r="32137" spans="26:26" x14ac:dyDescent="0.25">
      <c r="Z32137">
        <v>400000</v>
      </c>
    </row>
    <row r="32138" spans="26:26" x14ac:dyDescent="0.25">
      <c r="Z32138">
        <v>400000</v>
      </c>
    </row>
    <row r="32139" spans="26:26" x14ac:dyDescent="0.25">
      <c r="Z32139">
        <v>400000</v>
      </c>
    </row>
    <row r="32140" spans="26:26" x14ac:dyDescent="0.25">
      <c r="Z32140">
        <v>400000</v>
      </c>
    </row>
    <row r="32141" spans="26:26" x14ac:dyDescent="0.25">
      <c r="Z32141">
        <v>400000</v>
      </c>
    </row>
    <row r="32142" spans="26:26" x14ac:dyDescent="0.25">
      <c r="Z32142">
        <v>400000</v>
      </c>
    </row>
    <row r="32143" spans="26:26" x14ac:dyDescent="0.25">
      <c r="Z32143">
        <v>400000</v>
      </c>
    </row>
    <row r="32144" spans="26:26" x14ac:dyDescent="0.25">
      <c r="Z32144">
        <v>400000</v>
      </c>
    </row>
    <row r="32145" spans="26:26" x14ac:dyDescent="0.25">
      <c r="Z32145">
        <v>400000</v>
      </c>
    </row>
    <row r="32146" spans="26:26" x14ac:dyDescent="0.25">
      <c r="Z32146">
        <v>400000</v>
      </c>
    </row>
    <row r="32147" spans="26:26" x14ac:dyDescent="0.25">
      <c r="Z32147">
        <v>400000</v>
      </c>
    </row>
    <row r="32148" spans="26:26" x14ac:dyDescent="0.25">
      <c r="Z32148">
        <v>400000</v>
      </c>
    </row>
    <row r="32149" spans="26:26" x14ac:dyDescent="0.25">
      <c r="Z32149">
        <v>400000</v>
      </c>
    </row>
    <row r="32150" spans="26:26" x14ac:dyDescent="0.25">
      <c r="Z32150">
        <v>400000</v>
      </c>
    </row>
    <row r="32151" spans="26:26" x14ac:dyDescent="0.25">
      <c r="Z32151">
        <v>400000</v>
      </c>
    </row>
    <row r="32152" spans="26:26" x14ac:dyDescent="0.25">
      <c r="Z32152">
        <v>400000</v>
      </c>
    </row>
    <row r="32153" spans="26:26" x14ac:dyDescent="0.25">
      <c r="Z32153">
        <v>400000</v>
      </c>
    </row>
    <row r="32154" spans="26:26" x14ac:dyDescent="0.25">
      <c r="Z32154">
        <v>400000</v>
      </c>
    </row>
    <row r="32155" spans="26:26" x14ac:dyDescent="0.25">
      <c r="Z32155">
        <v>400000</v>
      </c>
    </row>
    <row r="32156" spans="26:26" x14ac:dyDescent="0.25">
      <c r="Z32156">
        <v>400000</v>
      </c>
    </row>
    <row r="32157" spans="26:26" x14ac:dyDescent="0.25">
      <c r="Z32157">
        <v>400000</v>
      </c>
    </row>
    <row r="32158" spans="26:26" x14ac:dyDescent="0.25">
      <c r="Z32158">
        <v>400000</v>
      </c>
    </row>
    <row r="32159" spans="26:26" x14ac:dyDescent="0.25">
      <c r="Z32159">
        <v>400000</v>
      </c>
    </row>
    <row r="32160" spans="26:26" x14ac:dyDescent="0.25">
      <c r="Z32160">
        <v>400000</v>
      </c>
    </row>
    <row r="32161" spans="26:26" x14ac:dyDescent="0.25">
      <c r="Z32161">
        <v>400000</v>
      </c>
    </row>
    <row r="32162" spans="26:26" x14ac:dyDescent="0.25">
      <c r="Z32162">
        <v>400000</v>
      </c>
    </row>
    <row r="32163" spans="26:26" x14ac:dyDescent="0.25">
      <c r="Z32163">
        <v>400000</v>
      </c>
    </row>
    <row r="32164" spans="26:26" x14ac:dyDescent="0.25">
      <c r="Z32164">
        <v>400000</v>
      </c>
    </row>
    <row r="32165" spans="26:26" x14ac:dyDescent="0.25">
      <c r="Z32165">
        <v>400000</v>
      </c>
    </row>
    <row r="32166" spans="26:26" x14ac:dyDescent="0.25">
      <c r="Z32166">
        <v>400000</v>
      </c>
    </row>
    <row r="32167" spans="26:26" x14ac:dyDescent="0.25">
      <c r="Z32167">
        <v>400000</v>
      </c>
    </row>
    <row r="32168" spans="26:26" x14ac:dyDescent="0.25">
      <c r="Z32168">
        <v>400000</v>
      </c>
    </row>
    <row r="32169" spans="26:26" x14ac:dyDescent="0.25">
      <c r="Z32169">
        <v>400000</v>
      </c>
    </row>
    <row r="32170" spans="26:26" x14ac:dyDescent="0.25">
      <c r="Z32170">
        <v>400000</v>
      </c>
    </row>
    <row r="32171" spans="26:26" x14ac:dyDescent="0.25">
      <c r="Z32171">
        <v>400000</v>
      </c>
    </row>
    <row r="32172" spans="26:26" x14ac:dyDescent="0.25">
      <c r="Z32172">
        <v>400000</v>
      </c>
    </row>
    <row r="32173" spans="26:26" x14ac:dyDescent="0.25">
      <c r="Z32173">
        <v>400000</v>
      </c>
    </row>
    <row r="32174" spans="26:26" x14ac:dyDescent="0.25">
      <c r="Z32174">
        <v>400000</v>
      </c>
    </row>
    <row r="32175" spans="26:26" x14ac:dyDescent="0.25">
      <c r="Z32175">
        <v>400000</v>
      </c>
    </row>
    <row r="32176" spans="26:26" x14ac:dyDescent="0.25">
      <c r="Z32176">
        <v>400000</v>
      </c>
    </row>
    <row r="32177" spans="26:26" x14ac:dyDescent="0.25">
      <c r="Z32177">
        <v>400000</v>
      </c>
    </row>
    <row r="32178" spans="26:26" x14ac:dyDescent="0.25">
      <c r="Z32178">
        <v>400000</v>
      </c>
    </row>
    <row r="32179" spans="26:26" x14ac:dyDescent="0.25">
      <c r="Z32179">
        <v>400000</v>
      </c>
    </row>
    <row r="32180" spans="26:26" x14ac:dyDescent="0.25">
      <c r="Z32180">
        <v>400000</v>
      </c>
    </row>
    <row r="32181" spans="26:26" x14ac:dyDescent="0.25">
      <c r="Z32181">
        <v>400000</v>
      </c>
    </row>
    <row r="32182" spans="26:26" x14ac:dyDescent="0.25">
      <c r="Z32182">
        <v>400000</v>
      </c>
    </row>
    <row r="32183" spans="26:26" x14ac:dyDescent="0.25">
      <c r="Z32183">
        <v>400000</v>
      </c>
    </row>
    <row r="32184" spans="26:26" x14ac:dyDescent="0.25">
      <c r="Z32184">
        <v>400000</v>
      </c>
    </row>
    <row r="32185" spans="26:26" x14ac:dyDescent="0.25">
      <c r="Z32185">
        <v>400000</v>
      </c>
    </row>
    <row r="32186" spans="26:26" x14ac:dyDescent="0.25">
      <c r="Z32186">
        <v>400000</v>
      </c>
    </row>
    <row r="32187" spans="26:26" x14ac:dyDescent="0.25">
      <c r="Z32187">
        <v>400000</v>
      </c>
    </row>
    <row r="32188" spans="26:26" x14ac:dyDescent="0.25">
      <c r="Z32188">
        <v>400000</v>
      </c>
    </row>
    <row r="32189" spans="26:26" x14ac:dyDescent="0.25">
      <c r="Z32189">
        <v>400000</v>
      </c>
    </row>
    <row r="32190" spans="26:26" x14ac:dyDescent="0.25">
      <c r="Z32190">
        <v>400000</v>
      </c>
    </row>
    <row r="32191" spans="26:26" x14ac:dyDescent="0.25">
      <c r="Z32191">
        <v>400000</v>
      </c>
    </row>
    <row r="32192" spans="26:26" x14ac:dyDescent="0.25">
      <c r="Z32192">
        <v>400000</v>
      </c>
    </row>
    <row r="32193" spans="26:26" x14ac:dyDescent="0.25">
      <c r="Z32193">
        <v>400000</v>
      </c>
    </row>
    <row r="32194" spans="26:26" x14ac:dyDescent="0.25">
      <c r="Z32194">
        <v>400000</v>
      </c>
    </row>
    <row r="32195" spans="26:26" x14ac:dyDescent="0.25">
      <c r="Z32195">
        <v>400000</v>
      </c>
    </row>
    <row r="32196" spans="26:26" x14ac:dyDescent="0.25">
      <c r="Z32196">
        <v>400000</v>
      </c>
    </row>
    <row r="32197" spans="26:26" x14ac:dyDescent="0.25">
      <c r="Z32197">
        <v>400000</v>
      </c>
    </row>
    <row r="32198" spans="26:26" x14ac:dyDescent="0.25">
      <c r="Z32198">
        <v>400000</v>
      </c>
    </row>
    <row r="32199" spans="26:26" x14ac:dyDescent="0.25">
      <c r="Z32199">
        <v>400000</v>
      </c>
    </row>
    <row r="32200" spans="26:26" x14ac:dyDescent="0.25">
      <c r="Z32200">
        <v>400000</v>
      </c>
    </row>
    <row r="32201" spans="26:26" x14ac:dyDescent="0.25">
      <c r="Z32201">
        <v>400000</v>
      </c>
    </row>
    <row r="32202" spans="26:26" x14ac:dyDescent="0.25">
      <c r="Z32202">
        <v>400000</v>
      </c>
    </row>
    <row r="32203" spans="26:26" x14ac:dyDescent="0.25">
      <c r="Z32203">
        <v>400000</v>
      </c>
    </row>
    <row r="32204" spans="26:26" x14ac:dyDescent="0.25">
      <c r="Z32204">
        <v>400000</v>
      </c>
    </row>
    <row r="32205" spans="26:26" x14ac:dyDescent="0.25">
      <c r="Z32205">
        <v>400000</v>
      </c>
    </row>
    <row r="32206" spans="26:26" x14ac:dyDescent="0.25">
      <c r="Z32206">
        <v>400000</v>
      </c>
    </row>
    <row r="32207" spans="26:26" x14ac:dyDescent="0.25">
      <c r="Z32207">
        <v>400000</v>
      </c>
    </row>
    <row r="32208" spans="26:26" x14ac:dyDescent="0.25">
      <c r="Z32208">
        <v>400000</v>
      </c>
    </row>
    <row r="32209" spans="26:26" x14ac:dyDescent="0.25">
      <c r="Z32209">
        <v>400000</v>
      </c>
    </row>
    <row r="32210" spans="26:26" x14ac:dyDescent="0.25">
      <c r="Z32210">
        <v>400000</v>
      </c>
    </row>
    <row r="32211" spans="26:26" x14ac:dyDescent="0.25">
      <c r="Z32211">
        <v>400000</v>
      </c>
    </row>
    <row r="32212" spans="26:26" x14ac:dyDescent="0.25">
      <c r="Z32212">
        <v>400000</v>
      </c>
    </row>
    <row r="32213" spans="26:26" x14ac:dyDescent="0.25">
      <c r="Z32213">
        <v>400000</v>
      </c>
    </row>
    <row r="32214" spans="26:26" x14ac:dyDescent="0.25">
      <c r="Z32214">
        <v>400000</v>
      </c>
    </row>
    <row r="32215" spans="26:26" x14ac:dyDescent="0.25">
      <c r="Z32215">
        <v>400000</v>
      </c>
    </row>
    <row r="32216" spans="26:26" x14ac:dyDescent="0.25">
      <c r="Z32216">
        <v>400000</v>
      </c>
    </row>
    <row r="32217" spans="26:26" x14ac:dyDescent="0.25">
      <c r="Z32217">
        <v>400000</v>
      </c>
    </row>
    <row r="32218" spans="26:26" x14ac:dyDescent="0.25">
      <c r="Z32218">
        <v>400000</v>
      </c>
    </row>
    <row r="32219" spans="26:26" x14ac:dyDescent="0.25">
      <c r="Z32219">
        <v>400000</v>
      </c>
    </row>
    <row r="32220" spans="26:26" x14ac:dyDescent="0.25">
      <c r="Z32220">
        <v>400000</v>
      </c>
    </row>
    <row r="32221" spans="26:26" x14ac:dyDescent="0.25">
      <c r="Z32221">
        <v>400000</v>
      </c>
    </row>
    <row r="32222" spans="26:26" x14ac:dyDescent="0.25">
      <c r="Z32222">
        <v>400000</v>
      </c>
    </row>
    <row r="32223" spans="26:26" x14ac:dyDescent="0.25">
      <c r="Z32223">
        <v>400000</v>
      </c>
    </row>
    <row r="32224" spans="26:26" x14ac:dyDescent="0.25">
      <c r="Z32224">
        <v>400000</v>
      </c>
    </row>
    <row r="32225" spans="26:26" x14ac:dyDescent="0.25">
      <c r="Z32225">
        <v>400000</v>
      </c>
    </row>
    <row r="32226" spans="26:26" x14ac:dyDescent="0.25">
      <c r="Z32226">
        <v>400000</v>
      </c>
    </row>
    <row r="32227" spans="26:26" x14ac:dyDescent="0.25">
      <c r="Z32227">
        <v>400000</v>
      </c>
    </row>
    <row r="32228" spans="26:26" x14ac:dyDescent="0.25">
      <c r="Z32228">
        <v>400000</v>
      </c>
    </row>
    <row r="32229" spans="26:26" x14ac:dyDescent="0.25">
      <c r="Z32229">
        <v>400000</v>
      </c>
    </row>
    <row r="32230" spans="26:26" x14ac:dyDescent="0.25">
      <c r="Z32230">
        <v>400000</v>
      </c>
    </row>
    <row r="32231" spans="26:26" x14ac:dyDescent="0.25">
      <c r="Z32231">
        <v>400000</v>
      </c>
    </row>
    <row r="32232" spans="26:26" x14ac:dyDescent="0.25">
      <c r="Z32232">
        <v>400000</v>
      </c>
    </row>
    <row r="32233" spans="26:26" x14ac:dyDescent="0.25">
      <c r="Z32233">
        <v>400000</v>
      </c>
    </row>
    <row r="32234" spans="26:26" x14ac:dyDescent="0.25">
      <c r="Z32234">
        <v>400000</v>
      </c>
    </row>
    <row r="32235" spans="26:26" x14ac:dyDescent="0.25">
      <c r="Z32235">
        <v>400000</v>
      </c>
    </row>
    <row r="32236" spans="26:26" x14ac:dyDescent="0.25">
      <c r="Z32236">
        <v>400000</v>
      </c>
    </row>
    <row r="32237" spans="26:26" x14ac:dyDescent="0.25">
      <c r="Z32237">
        <v>400000</v>
      </c>
    </row>
    <row r="32238" spans="26:26" x14ac:dyDescent="0.25">
      <c r="Z32238">
        <v>400000</v>
      </c>
    </row>
    <row r="32239" spans="26:26" x14ac:dyDescent="0.25">
      <c r="Z32239">
        <v>400000</v>
      </c>
    </row>
    <row r="32240" spans="26:26" x14ac:dyDescent="0.25">
      <c r="Z32240">
        <v>400000</v>
      </c>
    </row>
    <row r="32241" spans="26:26" x14ac:dyDescent="0.25">
      <c r="Z32241">
        <v>400000</v>
      </c>
    </row>
    <row r="32242" spans="26:26" x14ac:dyDescent="0.25">
      <c r="Z32242">
        <v>400000</v>
      </c>
    </row>
    <row r="32243" spans="26:26" x14ac:dyDescent="0.25">
      <c r="Z32243">
        <v>400000</v>
      </c>
    </row>
    <row r="32244" spans="26:26" x14ac:dyDescent="0.25">
      <c r="Z32244">
        <v>400000</v>
      </c>
    </row>
    <row r="32245" spans="26:26" x14ac:dyDescent="0.25">
      <c r="Z32245">
        <v>400000</v>
      </c>
    </row>
    <row r="32246" spans="26:26" x14ac:dyDescent="0.25">
      <c r="Z32246">
        <v>400000</v>
      </c>
    </row>
    <row r="32247" spans="26:26" x14ac:dyDescent="0.25">
      <c r="Z32247">
        <v>400000</v>
      </c>
    </row>
    <row r="32248" spans="26:26" x14ac:dyDescent="0.25">
      <c r="Z32248">
        <v>400000</v>
      </c>
    </row>
    <row r="32249" spans="26:26" x14ac:dyDescent="0.25">
      <c r="Z32249">
        <v>400000</v>
      </c>
    </row>
    <row r="32250" spans="26:26" x14ac:dyDescent="0.25">
      <c r="Z32250">
        <v>400000</v>
      </c>
    </row>
    <row r="32251" spans="26:26" x14ac:dyDescent="0.25">
      <c r="Z32251">
        <v>400000</v>
      </c>
    </row>
    <row r="32252" spans="26:26" x14ac:dyDescent="0.25">
      <c r="Z32252">
        <v>400000</v>
      </c>
    </row>
    <row r="32253" spans="26:26" x14ac:dyDescent="0.25">
      <c r="Z32253">
        <v>400000</v>
      </c>
    </row>
    <row r="32254" spans="26:26" x14ac:dyDescent="0.25">
      <c r="Z32254">
        <v>400000</v>
      </c>
    </row>
    <row r="32255" spans="26:26" x14ac:dyDescent="0.25">
      <c r="Z32255">
        <v>400000</v>
      </c>
    </row>
    <row r="32256" spans="26:26" x14ac:dyDescent="0.25">
      <c r="Z32256">
        <v>400000</v>
      </c>
    </row>
    <row r="32257" spans="26:26" x14ac:dyDescent="0.25">
      <c r="Z32257">
        <v>400000</v>
      </c>
    </row>
    <row r="32258" spans="26:26" x14ac:dyDescent="0.25">
      <c r="Z32258">
        <v>400000</v>
      </c>
    </row>
    <row r="32259" spans="26:26" x14ac:dyDescent="0.25">
      <c r="Z32259">
        <v>400000</v>
      </c>
    </row>
    <row r="32260" spans="26:26" x14ac:dyDescent="0.25">
      <c r="Z32260">
        <v>400000</v>
      </c>
    </row>
    <row r="32261" spans="26:26" x14ac:dyDescent="0.25">
      <c r="Z32261">
        <v>400000</v>
      </c>
    </row>
    <row r="32262" spans="26:26" x14ac:dyDescent="0.25">
      <c r="Z32262">
        <v>400000</v>
      </c>
    </row>
    <row r="32263" spans="26:26" x14ac:dyDescent="0.25">
      <c r="Z32263">
        <v>400000</v>
      </c>
    </row>
    <row r="32264" spans="26:26" x14ac:dyDescent="0.25">
      <c r="Z32264">
        <v>400000</v>
      </c>
    </row>
    <row r="32265" spans="26:26" x14ac:dyDescent="0.25">
      <c r="Z32265">
        <v>400000</v>
      </c>
    </row>
    <row r="32266" spans="26:26" x14ac:dyDescent="0.25">
      <c r="Z32266">
        <v>400000</v>
      </c>
    </row>
    <row r="32267" spans="26:26" x14ac:dyDescent="0.25">
      <c r="Z32267">
        <v>400000</v>
      </c>
    </row>
    <row r="32268" spans="26:26" x14ac:dyDescent="0.25">
      <c r="Z32268">
        <v>400000</v>
      </c>
    </row>
    <row r="32269" spans="26:26" x14ac:dyDescent="0.25">
      <c r="Z32269">
        <v>400000</v>
      </c>
    </row>
    <row r="32270" spans="26:26" x14ac:dyDescent="0.25">
      <c r="Z32270">
        <v>400000</v>
      </c>
    </row>
    <row r="32271" spans="26:26" x14ac:dyDescent="0.25">
      <c r="Z32271">
        <v>400000</v>
      </c>
    </row>
    <row r="32272" spans="26:26" x14ac:dyDescent="0.25">
      <c r="Z32272">
        <v>400000</v>
      </c>
    </row>
    <row r="32273" spans="26:26" x14ac:dyDescent="0.25">
      <c r="Z32273">
        <v>400000</v>
      </c>
    </row>
    <row r="32274" spans="26:26" x14ac:dyDescent="0.25">
      <c r="Z32274">
        <v>400000</v>
      </c>
    </row>
    <row r="32275" spans="26:26" x14ac:dyDescent="0.25">
      <c r="Z32275">
        <v>400000</v>
      </c>
    </row>
    <row r="32276" spans="26:26" x14ac:dyDescent="0.25">
      <c r="Z32276">
        <v>400000</v>
      </c>
    </row>
    <row r="32277" spans="26:26" x14ac:dyDescent="0.25">
      <c r="Z32277">
        <v>400000</v>
      </c>
    </row>
    <row r="32278" spans="26:26" x14ac:dyDescent="0.25">
      <c r="Z32278">
        <v>400000</v>
      </c>
    </row>
    <row r="32279" spans="26:26" x14ac:dyDescent="0.25">
      <c r="Z32279">
        <v>400000</v>
      </c>
    </row>
    <row r="32280" spans="26:26" x14ac:dyDescent="0.25">
      <c r="Z32280">
        <v>400000</v>
      </c>
    </row>
    <row r="32281" spans="26:26" x14ac:dyDescent="0.25">
      <c r="Z32281">
        <v>400000</v>
      </c>
    </row>
    <row r="32282" spans="26:26" x14ac:dyDescent="0.25">
      <c r="Z32282">
        <v>400000</v>
      </c>
    </row>
    <row r="32283" spans="26:26" x14ac:dyDescent="0.25">
      <c r="Z32283">
        <v>400000</v>
      </c>
    </row>
    <row r="32284" spans="26:26" x14ac:dyDescent="0.25">
      <c r="Z32284">
        <v>400000</v>
      </c>
    </row>
    <row r="32285" spans="26:26" x14ac:dyDescent="0.25">
      <c r="Z32285">
        <v>400000</v>
      </c>
    </row>
    <row r="32286" spans="26:26" x14ac:dyDescent="0.25">
      <c r="Z32286">
        <v>400000</v>
      </c>
    </row>
    <row r="32287" spans="26:26" x14ac:dyDescent="0.25">
      <c r="Z32287">
        <v>400000</v>
      </c>
    </row>
    <row r="32288" spans="26:26" x14ac:dyDescent="0.25">
      <c r="Z32288">
        <v>400000</v>
      </c>
    </row>
    <row r="32289" spans="26:26" x14ac:dyDescent="0.25">
      <c r="Z32289">
        <v>400000</v>
      </c>
    </row>
    <row r="32290" spans="26:26" x14ac:dyDescent="0.25">
      <c r="Z32290">
        <v>400000</v>
      </c>
    </row>
    <row r="32291" spans="26:26" x14ac:dyDescent="0.25">
      <c r="Z32291">
        <v>400000</v>
      </c>
    </row>
    <row r="32292" spans="26:26" x14ac:dyDescent="0.25">
      <c r="Z32292">
        <v>400000</v>
      </c>
    </row>
    <row r="32293" spans="26:26" x14ac:dyDescent="0.25">
      <c r="Z32293">
        <v>400000</v>
      </c>
    </row>
    <row r="32294" spans="26:26" x14ac:dyDescent="0.25">
      <c r="Z32294">
        <v>400000</v>
      </c>
    </row>
    <row r="32295" spans="26:26" x14ac:dyDescent="0.25">
      <c r="Z32295">
        <v>400000</v>
      </c>
    </row>
    <row r="32296" spans="26:26" x14ac:dyDescent="0.25">
      <c r="Z32296">
        <v>400000</v>
      </c>
    </row>
    <row r="32297" spans="26:26" x14ac:dyDescent="0.25">
      <c r="Z32297">
        <v>400000</v>
      </c>
    </row>
    <row r="32298" spans="26:26" x14ac:dyDescent="0.25">
      <c r="Z32298">
        <v>400000</v>
      </c>
    </row>
    <row r="32299" spans="26:26" x14ac:dyDescent="0.25">
      <c r="Z32299">
        <v>400000</v>
      </c>
    </row>
    <row r="32300" spans="26:26" x14ac:dyDescent="0.25">
      <c r="Z32300">
        <v>400000</v>
      </c>
    </row>
    <row r="32301" spans="26:26" x14ac:dyDescent="0.25">
      <c r="Z32301">
        <v>400000</v>
      </c>
    </row>
    <row r="32302" spans="26:26" x14ac:dyDescent="0.25">
      <c r="Z32302">
        <v>400000</v>
      </c>
    </row>
    <row r="32303" spans="26:26" x14ac:dyDescent="0.25">
      <c r="Z32303">
        <v>400000</v>
      </c>
    </row>
    <row r="32304" spans="26:26" x14ac:dyDescent="0.25">
      <c r="Z32304">
        <v>400000</v>
      </c>
    </row>
    <row r="32305" spans="26:26" x14ac:dyDescent="0.25">
      <c r="Z32305">
        <v>400000</v>
      </c>
    </row>
    <row r="32306" spans="26:26" x14ac:dyDescent="0.25">
      <c r="Z32306">
        <v>400000</v>
      </c>
    </row>
    <row r="32307" spans="26:26" x14ac:dyDescent="0.25">
      <c r="Z32307">
        <v>400000</v>
      </c>
    </row>
    <row r="32308" spans="26:26" x14ac:dyDescent="0.25">
      <c r="Z32308">
        <v>400000</v>
      </c>
    </row>
    <row r="32309" spans="26:26" x14ac:dyDescent="0.25">
      <c r="Z32309">
        <v>400000</v>
      </c>
    </row>
    <row r="32310" spans="26:26" x14ac:dyDescent="0.25">
      <c r="Z32310">
        <v>400000</v>
      </c>
    </row>
    <row r="32311" spans="26:26" x14ac:dyDescent="0.25">
      <c r="Z32311">
        <v>400000</v>
      </c>
    </row>
    <row r="32312" spans="26:26" x14ac:dyDescent="0.25">
      <c r="Z32312">
        <v>400000</v>
      </c>
    </row>
    <row r="32313" spans="26:26" x14ac:dyDescent="0.25">
      <c r="Z32313">
        <v>400000</v>
      </c>
    </row>
    <row r="32314" spans="26:26" x14ac:dyDescent="0.25">
      <c r="Z32314">
        <v>400000</v>
      </c>
    </row>
    <row r="32315" spans="26:26" x14ac:dyDescent="0.25">
      <c r="Z32315">
        <v>400000</v>
      </c>
    </row>
    <row r="32316" spans="26:26" x14ac:dyDescent="0.25">
      <c r="Z32316">
        <v>400000</v>
      </c>
    </row>
    <row r="32317" spans="26:26" x14ac:dyDescent="0.25">
      <c r="Z32317">
        <v>400000</v>
      </c>
    </row>
    <row r="32318" spans="26:26" x14ac:dyDescent="0.25">
      <c r="Z32318">
        <v>400000</v>
      </c>
    </row>
    <row r="32319" spans="26:26" x14ac:dyDescent="0.25">
      <c r="Z32319">
        <v>400000</v>
      </c>
    </row>
    <row r="32320" spans="26:26" x14ac:dyDescent="0.25">
      <c r="Z32320">
        <v>400000</v>
      </c>
    </row>
    <row r="32321" spans="26:26" x14ac:dyDescent="0.25">
      <c r="Z32321">
        <v>400000</v>
      </c>
    </row>
    <row r="32322" spans="26:26" x14ac:dyDescent="0.25">
      <c r="Z32322">
        <v>400000</v>
      </c>
    </row>
    <row r="32323" spans="26:26" x14ac:dyDescent="0.25">
      <c r="Z32323">
        <v>400000</v>
      </c>
    </row>
    <row r="32324" spans="26:26" x14ac:dyDescent="0.25">
      <c r="Z32324">
        <v>400000</v>
      </c>
    </row>
    <row r="32325" spans="26:26" x14ac:dyDescent="0.25">
      <c r="Z32325">
        <v>400000</v>
      </c>
    </row>
    <row r="32326" spans="26:26" x14ac:dyDescent="0.25">
      <c r="Z32326">
        <v>400000</v>
      </c>
    </row>
    <row r="32327" spans="26:26" x14ac:dyDescent="0.25">
      <c r="Z32327">
        <v>400000</v>
      </c>
    </row>
    <row r="32328" spans="26:26" x14ac:dyDescent="0.25">
      <c r="Z32328">
        <v>400000</v>
      </c>
    </row>
    <row r="32329" spans="26:26" x14ac:dyDescent="0.25">
      <c r="Z32329">
        <v>400000</v>
      </c>
    </row>
    <row r="32330" spans="26:26" x14ac:dyDescent="0.25">
      <c r="Z32330">
        <v>400000</v>
      </c>
    </row>
    <row r="32331" spans="26:26" x14ac:dyDescent="0.25">
      <c r="Z32331">
        <v>400000</v>
      </c>
    </row>
    <row r="32332" spans="26:26" x14ac:dyDescent="0.25">
      <c r="Z32332">
        <v>400000</v>
      </c>
    </row>
    <row r="32333" spans="26:26" x14ac:dyDescent="0.25">
      <c r="Z32333">
        <v>400000</v>
      </c>
    </row>
    <row r="32334" spans="26:26" x14ac:dyDescent="0.25">
      <c r="Z32334">
        <v>400000</v>
      </c>
    </row>
    <row r="32335" spans="26:26" x14ac:dyDescent="0.25">
      <c r="Z32335">
        <v>400000</v>
      </c>
    </row>
    <row r="32336" spans="26:26" x14ac:dyDescent="0.25">
      <c r="Z32336">
        <v>400000</v>
      </c>
    </row>
    <row r="32337" spans="26:26" x14ac:dyDescent="0.25">
      <c r="Z32337">
        <v>400000</v>
      </c>
    </row>
    <row r="32338" spans="26:26" x14ac:dyDescent="0.25">
      <c r="Z32338">
        <v>400000</v>
      </c>
    </row>
    <row r="32339" spans="26:26" x14ac:dyDescent="0.25">
      <c r="Z32339">
        <v>400000</v>
      </c>
    </row>
    <row r="32340" spans="26:26" x14ac:dyDescent="0.25">
      <c r="Z32340">
        <v>400000</v>
      </c>
    </row>
    <row r="32341" spans="26:26" x14ac:dyDescent="0.25">
      <c r="Z32341">
        <v>400000</v>
      </c>
    </row>
    <row r="32342" spans="26:26" x14ac:dyDescent="0.25">
      <c r="Z32342">
        <v>400000</v>
      </c>
    </row>
    <row r="32343" spans="26:26" x14ac:dyDescent="0.25">
      <c r="Z32343">
        <v>400000</v>
      </c>
    </row>
    <row r="32344" spans="26:26" x14ac:dyDescent="0.25">
      <c r="Z32344">
        <v>400000</v>
      </c>
    </row>
    <row r="32345" spans="26:26" x14ac:dyDescent="0.25">
      <c r="Z32345">
        <v>400000</v>
      </c>
    </row>
    <row r="32346" spans="26:26" x14ac:dyDescent="0.25">
      <c r="Z32346">
        <v>400000</v>
      </c>
    </row>
    <row r="32347" spans="26:26" x14ac:dyDescent="0.25">
      <c r="Z32347">
        <v>400000</v>
      </c>
    </row>
    <row r="32348" spans="26:26" x14ac:dyDescent="0.25">
      <c r="Z32348">
        <v>400000</v>
      </c>
    </row>
    <row r="32349" spans="26:26" x14ac:dyDescent="0.25">
      <c r="Z32349">
        <v>400000</v>
      </c>
    </row>
    <row r="32350" spans="26:26" x14ac:dyDescent="0.25">
      <c r="Z32350">
        <v>400000</v>
      </c>
    </row>
    <row r="32351" spans="26:26" x14ac:dyDescent="0.25">
      <c r="Z32351">
        <v>400000</v>
      </c>
    </row>
    <row r="32352" spans="26:26" x14ac:dyDescent="0.25">
      <c r="Z32352">
        <v>400000</v>
      </c>
    </row>
    <row r="32353" spans="26:26" x14ac:dyDescent="0.25">
      <c r="Z32353">
        <v>400000</v>
      </c>
    </row>
    <row r="32354" spans="26:26" x14ac:dyDescent="0.25">
      <c r="Z32354">
        <v>400000</v>
      </c>
    </row>
    <row r="32355" spans="26:26" x14ac:dyDescent="0.25">
      <c r="Z32355">
        <v>400000</v>
      </c>
    </row>
    <row r="32356" spans="26:26" x14ac:dyDescent="0.25">
      <c r="Z32356">
        <v>400000</v>
      </c>
    </row>
    <row r="32357" spans="26:26" x14ac:dyDescent="0.25">
      <c r="Z32357">
        <v>400000</v>
      </c>
    </row>
    <row r="32358" spans="26:26" x14ac:dyDescent="0.25">
      <c r="Z32358">
        <v>400000</v>
      </c>
    </row>
    <row r="32359" spans="26:26" x14ac:dyDescent="0.25">
      <c r="Z32359">
        <v>400000</v>
      </c>
    </row>
    <row r="32360" spans="26:26" x14ac:dyDescent="0.25">
      <c r="Z32360">
        <v>400000</v>
      </c>
    </row>
    <row r="32361" spans="26:26" x14ac:dyDescent="0.25">
      <c r="Z32361">
        <v>400000</v>
      </c>
    </row>
    <row r="32362" spans="26:26" x14ac:dyDescent="0.25">
      <c r="Z32362">
        <v>400000</v>
      </c>
    </row>
    <row r="32363" spans="26:26" x14ac:dyDescent="0.25">
      <c r="Z32363">
        <v>400000</v>
      </c>
    </row>
    <row r="32364" spans="26:26" x14ac:dyDescent="0.25">
      <c r="Z32364">
        <v>400000</v>
      </c>
    </row>
    <row r="32365" spans="26:26" x14ac:dyDescent="0.25">
      <c r="Z32365">
        <v>400000</v>
      </c>
    </row>
    <row r="32366" spans="26:26" x14ac:dyDescent="0.25">
      <c r="Z32366">
        <v>400000</v>
      </c>
    </row>
    <row r="32367" spans="26:26" x14ac:dyDescent="0.25">
      <c r="Z32367">
        <v>400000</v>
      </c>
    </row>
    <row r="32368" spans="26:26" x14ac:dyDescent="0.25">
      <c r="Z32368">
        <v>400000</v>
      </c>
    </row>
    <row r="32369" spans="26:26" x14ac:dyDescent="0.25">
      <c r="Z32369">
        <v>400000</v>
      </c>
    </row>
    <row r="32370" spans="26:26" x14ac:dyDescent="0.25">
      <c r="Z32370">
        <v>400000</v>
      </c>
    </row>
    <row r="32371" spans="26:26" x14ac:dyDescent="0.25">
      <c r="Z32371">
        <v>400000</v>
      </c>
    </row>
    <row r="32372" spans="26:26" x14ac:dyDescent="0.25">
      <c r="Z32372">
        <v>400000</v>
      </c>
    </row>
    <row r="32373" spans="26:26" x14ac:dyDescent="0.25">
      <c r="Z32373">
        <v>400000</v>
      </c>
    </row>
    <row r="32374" spans="26:26" x14ac:dyDescent="0.25">
      <c r="Z32374">
        <v>400000</v>
      </c>
    </row>
    <row r="32375" spans="26:26" x14ac:dyDescent="0.25">
      <c r="Z32375">
        <v>400000</v>
      </c>
    </row>
    <row r="32376" spans="26:26" x14ac:dyDescent="0.25">
      <c r="Z32376">
        <v>400000</v>
      </c>
    </row>
    <row r="32377" spans="26:26" x14ac:dyDescent="0.25">
      <c r="Z32377">
        <v>400000</v>
      </c>
    </row>
    <row r="32378" spans="26:26" x14ac:dyDescent="0.25">
      <c r="Z32378">
        <v>400000</v>
      </c>
    </row>
    <row r="32379" spans="26:26" x14ac:dyDescent="0.25">
      <c r="Z32379">
        <v>400000</v>
      </c>
    </row>
    <row r="32380" spans="26:26" x14ac:dyDescent="0.25">
      <c r="Z32380">
        <v>400000</v>
      </c>
    </row>
    <row r="32381" spans="26:26" x14ac:dyDescent="0.25">
      <c r="Z32381">
        <v>400000</v>
      </c>
    </row>
    <row r="32382" spans="26:26" x14ac:dyDescent="0.25">
      <c r="Z32382">
        <v>400000</v>
      </c>
    </row>
    <row r="32383" spans="26:26" x14ac:dyDescent="0.25">
      <c r="Z32383">
        <v>400000</v>
      </c>
    </row>
    <row r="32384" spans="26:26" x14ac:dyDescent="0.25">
      <c r="Z32384">
        <v>400000</v>
      </c>
    </row>
    <row r="32385" spans="26:26" x14ac:dyDescent="0.25">
      <c r="Z32385">
        <v>400000</v>
      </c>
    </row>
    <row r="32386" spans="26:26" x14ac:dyDescent="0.25">
      <c r="Z32386">
        <v>400000</v>
      </c>
    </row>
    <row r="32387" spans="26:26" x14ac:dyDescent="0.25">
      <c r="Z32387">
        <v>400000</v>
      </c>
    </row>
    <row r="32388" spans="26:26" x14ac:dyDescent="0.25">
      <c r="Z32388">
        <v>400000</v>
      </c>
    </row>
    <row r="32389" spans="26:26" x14ac:dyDescent="0.25">
      <c r="Z32389">
        <v>400000</v>
      </c>
    </row>
    <row r="32390" spans="26:26" x14ac:dyDescent="0.25">
      <c r="Z32390">
        <v>400000</v>
      </c>
    </row>
    <row r="32391" spans="26:26" x14ac:dyDescent="0.25">
      <c r="Z32391">
        <v>400000</v>
      </c>
    </row>
    <row r="32392" spans="26:26" x14ac:dyDescent="0.25">
      <c r="Z32392">
        <v>400000</v>
      </c>
    </row>
    <row r="32393" spans="26:26" x14ac:dyDescent="0.25">
      <c r="Z32393">
        <v>400000</v>
      </c>
    </row>
    <row r="32394" spans="26:26" x14ac:dyDescent="0.25">
      <c r="Z32394">
        <v>400000</v>
      </c>
    </row>
    <row r="32395" spans="26:26" x14ac:dyDescent="0.25">
      <c r="Z32395">
        <v>400000</v>
      </c>
    </row>
    <row r="32396" spans="26:26" x14ac:dyDescent="0.25">
      <c r="Z32396">
        <v>400000</v>
      </c>
    </row>
    <row r="32397" spans="26:26" x14ac:dyDescent="0.25">
      <c r="Z32397">
        <v>400000</v>
      </c>
    </row>
    <row r="32398" spans="26:26" x14ac:dyDescent="0.25">
      <c r="Z32398">
        <v>400000</v>
      </c>
    </row>
    <row r="32399" spans="26:26" x14ac:dyDescent="0.25">
      <c r="Z32399">
        <v>400000</v>
      </c>
    </row>
    <row r="32400" spans="26:26" x14ac:dyDescent="0.25">
      <c r="Z32400">
        <v>400000</v>
      </c>
    </row>
    <row r="32401" spans="26:26" x14ac:dyDescent="0.25">
      <c r="Z32401">
        <v>400000</v>
      </c>
    </row>
    <row r="32402" spans="26:26" x14ac:dyDescent="0.25">
      <c r="Z32402">
        <v>400000</v>
      </c>
    </row>
    <row r="32403" spans="26:26" x14ac:dyDescent="0.25">
      <c r="Z32403">
        <v>400000</v>
      </c>
    </row>
    <row r="32404" spans="26:26" x14ac:dyDescent="0.25">
      <c r="Z32404">
        <v>400000</v>
      </c>
    </row>
    <row r="32405" spans="26:26" x14ac:dyDescent="0.25">
      <c r="Z32405">
        <v>400000</v>
      </c>
    </row>
    <row r="32406" spans="26:26" x14ac:dyDescent="0.25">
      <c r="Z32406">
        <v>400000</v>
      </c>
    </row>
    <row r="32407" spans="26:26" x14ac:dyDescent="0.25">
      <c r="Z32407">
        <v>400000</v>
      </c>
    </row>
    <row r="32408" spans="26:26" x14ac:dyDescent="0.25">
      <c r="Z32408">
        <v>400000</v>
      </c>
    </row>
    <row r="32409" spans="26:26" x14ac:dyDescent="0.25">
      <c r="Z32409">
        <v>400000</v>
      </c>
    </row>
    <row r="32410" spans="26:26" x14ac:dyDescent="0.25">
      <c r="Z32410">
        <v>400000</v>
      </c>
    </row>
    <row r="32411" spans="26:26" x14ac:dyDescent="0.25">
      <c r="Z32411">
        <v>400000</v>
      </c>
    </row>
    <row r="32412" spans="26:26" x14ac:dyDescent="0.25">
      <c r="Z32412">
        <v>400000</v>
      </c>
    </row>
    <row r="32413" spans="26:26" x14ac:dyDescent="0.25">
      <c r="Z32413">
        <v>400000</v>
      </c>
    </row>
    <row r="32414" spans="26:26" x14ac:dyDescent="0.25">
      <c r="Z32414">
        <v>400000</v>
      </c>
    </row>
    <row r="32415" spans="26:26" x14ac:dyDescent="0.25">
      <c r="Z32415">
        <v>400000</v>
      </c>
    </row>
    <row r="32416" spans="26:26" x14ac:dyDescent="0.25">
      <c r="Z32416">
        <v>400000</v>
      </c>
    </row>
    <row r="32417" spans="26:26" x14ac:dyDescent="0.25">
      <c r="Z32417">
        <v>400000</v>
      </c>
    </row>
    <row r="32418" spans="26:26" x14ac:dyDescent="0.25">
      <c r="Z32418">
        <v>400000</v>
      </c>
    </row>
    <row r="32419" spans="26:26" x14ac:dyDescent="0.25">
      <c r="Z32419">
        <v>400000</v>
      </c>
    </row>
    <row r="32420" spans="26:26" x14ac:dyDescent="0.25">
      <c r="Z32420">
        <v>400000</v>
      </c>
    </row>
    <row r="32421" spans="26:26" x14ac:dyDescent="0.25">
      <c r="Z32421">
        <v>400000</v>
      </c>
    </row>
    <row r="32422" spans="26:26" x14ac:dyDescent="0.25">
      <c r="Z32422">
        <v>400000</v>
      </c>
    </row>
    <row r="32423" spans="26:26" x14ac:dyDescent="0.25">
      <c r="Z32423">
        <v>400000</v>
      </c>
    </row>
    <row r="32424" spans="26:26" x14ac:dyDescent="0.25">
      <c r="Z32424">
        <v>400000</v>
      </c>
    </row>
    <row r="32425" spans="26:26" x14ac:dyDescent="0.25">
      <c r="Z32425">
        <v>400000</v>
      </c>
    </row>
    <row r="32426" spans="26:26" x14ac:dyDescent="0.25">
      <c r="Z32426">
        <v>400000</v>
      </c>
    </row>
    <row r="32427" spans="26:26" x14ac:dyDescent="0.25">
      <c r="Z32427">
        <v>400000</v>
      </c>
    </row>
    <row r="32428" spans="26:26" x14ac:dyDescent="0.25">
      <c r="Z32428">
        <v>400000</v>
      </c>
    </row>
    <row r="32429" spans="26:26" x14ac:dyDescent="0.25">
      <c r="Z32429">
        <v>400000</v>
      </c>
    </row>
    <row r="32430" spans="26:26" x14ac:dyDescent="0.25">
      <c r="Z32430">
        <v>400000</v>
      </c>
    </row>
    <row r="32431" spans="26:26" x14ac:dyDescent="0.25">
      <c r="Z32431">
        <v>400000</v>
      </c>
    </row>
    <row r="32432" spans="26:26" x14ac:dyDescent="0.25">
      <c r="Z32432">
        <v>400000</v>
      </c>
    </row>
    <row r="32433" spans="26:26" x14ac:dyDescent="0.25">
      <c r="Z32433">
        <v>400000</v>
      </c>
    </row>
    <row r="32434" spans="26:26" x14ac:dyDescent="0.25">
      <c r="Z32434">
        <v>400000</v>
      </c>
    </row>
    <row r="32435" spans="26:26" x14ac:dyDescent="0.25">
      <c r="Z32435">
        <v>400000</v>
      </c>
    </row>
    <row r="32436" spans="26:26" x14ac:dyDescent="0.25">
      <c r="Z32436">
        <v>400000</v>
      </c>
    </row>
    <row r="32437" spans="26:26" x14ac:dyDescent="0.25">
      <c r="Z32437">
        <v>400000</v>
      </c>
    </row>
    <row r="32438" spans="26:26" x14ac:dyDescent="0.25">
      <c r="Z32438">
        <v>400000</v>
      </c>
    </row>
    <row r="32439" spans="26:26" x14ac:dyDescent="0.25">
      <c r="Z32439">
        <v>400000</v>
      </c>
    </row>
    <row r="32440" spans="26:26" x14ac:dyDescent="0.25">
      <c r="Z32440">
        <v>400000</v>
      </c>
    </row>
    <row r="32441" spans="26:26" x14ac:dyDescent="0.25">
      <c r="Z32441">
        <v>400000</v>
      </c>
    </row>
    <row r="32442" spans="26:26" x14ac:dyDescent="0.25">
      <c r="Z32442">
        <v>400000</v>
      </c>
    </row>
    <row r="32443" spans="26:26" x14ac:dyDescent="0.25">
      <c r="Z32443">
        <v>400000</v>
      </c>
    </row>
    <row r="32444" spans="26:26" x14ac:dyDescent="0.25">
      <c r="Z32444">
        <v>400000</v>
      </c>
    </row>
    <row r="32445" spans="26:26" x14ac:dyDescent="0.25">
      <c r="Z32445">
        <v>400000</v>
      </c>
    </row>
    <row r="32446" spans="26:26" x14ac:dyDescent="0.25">
      <c r="Z32446">
        <v>400000</v>
      </c>
    </row>
    <row r="32447" spans="26:26" x14ac:dyDescent="0.25">
      <c r="Z32447">
        <v>400000</v>
      </c>
    </row>
    <row r="32448" spans="26:26" x14ac:dyDescent="0.25">
      <c r="Z32448">
        <v>400000</v>
      </c>
    </row>
    <row r="32449" spans="26:26" x14ac:dyDescent="0.25">
      <c r="Z32449">
        <v>400000</v>
      </c>
    </row>
    <row r="32450" spans="26:26" x14ac:dyDescent="0.25">
      <c r="Z32450">
        <v>400000</v>
      </c>
    </row>
    <row r="32451" spans="26:26" x14ac:dyDescent="0.25">
      <c r="Z32451">
        <v>400000</v>
      </c>
    </row>
    <row r="32452" spans="26:26" x14ac:dyDescent="0.25">
      <c r="Z32452">
        <v>400000</v>
      </c>
    </row>
    <row r="32453" spans="26:26" x14ac:dyDescent="0.25">
      <c r="Z32453">
        <v>400000</v>
      </c>
    </row>
    <row r="32454" spans="26:26" x14ac:dyDescent="0.25">
      <c r="Z32454">
        <v>400000</v>
      </c>
    </row>
    <row r="32455" spans="26:26" x14ac:dyDescent="0.25">
      <c r="Z32455">
        <v>400000</v>
      </c>
    </row>
    <row r="32456" spans="26:26" x14ac:dyDescent="0.25">
      <c r="Z32456">
        <v>400000</v>
      </c>
    </row>
    <row r="32457" spans="26:26" x14ac:dyDescent="0.25">
      <c r="Z32457">
        <v>400000</v>
      </c>
    </row>
    <row r="32458" spans="26:26" x14ac:dyDescent="0.25">
      <c r="Z32458">
        <v>400000</v>
      </c>
    </row>
    <row r="32459" spans="26:26" x14ac:dyDescent="0.25">
      <c r="Z32459">
        <v>400000</v>
      </c>
    </row>
    <row r="32460" spans="26:26" x14ac:dyDescent="0.25">
      <c r="Z32460">
        <v>400000</v>
      </c>
    </row>
    <row r="32461" spans="26:26" x14ac:dyDescent="0.25">
      <c r="Z32461">
        <v>400000</v>
      </c>
    </row>
    <row r="32462" spans="26:26" x14ac:dyDescent="0.25">
      <c r="Z32462">
        <v>400000</v>
      </c>
    </row>
    <row r="32463" spans="26:26" x14ac:dyDescent="0.25">
      <c r="Z32463">
        <v>400000</v>
      </c>
    </row>
    <row r="32464" spans="26:26" x14ac:dyDescent="0.25">
      <c r="Z32464">
        <v>400000</v>
      </c>
    </row>
    <row r="32465" spans="26:26" x14ac:dyDescent="0.25">
      <c r="Z32465">
        <v>400000</v>
      </c>
    </row>
    <row r="32466" spans="26:26" x14ac:dyDescent="0.25">
      <c r="Z32466">
        <v>400000</v>
      </c>
    </row>
    <row r="32467" spans="26:26" x14ac:dyDescent="0.25">
      <c r="Z32467">
        <v>400000</v>
      </c>
    </row>
    <row r="32468" spans="26:26" x14ac:dyDescent="0.25">
      <c r="Z32468">
        <v>400000</v>
      </c>
    </row>
    <row r="32469" spans="26:26" x14ac:dyDescent="0.25">
      <c r="Z32469">
        <v>400000</v>
      </c>
    </row>
    <row r="32470" spans="26:26" x14ac:dyDescent="0.25">
      <c r="Z32470">
        <v>400000</v>
      </c>
    </row>
    <row r="32471" spans="26:26" x14ac:dyDescent="0.25">
      <c r="Z32471">
        <v>400000</v>
      </c>
    </row>
    <row r="32472" spans="26:26" x14ac:dyDescent="0.25">
      <c r="Z32472">
        <v>400000</v>
      </c>
    </row>
    <row r="32473" spans="26:26" x14ac:dyDescent="0.25">
      <c r="Z32473">
        <v>400000</v>
      </c>
    </row>
    <row r="32474" spans="26:26" x14ac:dyDescent="0.25">
      <c r="Z32474">
        <v>400000</v>
      </c>
    </row>
    <row r="32475" spans="26:26" x14ac:dyDescent="0.25">
      <c r="Z32475">
        <v>400000</v>
      </c>
    </row>
    <row r="32476" spans="26:26" x14ac:dyDescent="0.25">
      <c r="Z32476">
        <v>400000</v>
      </c>
    </row>
    <row r="32477" spans="26:26" x14ac:dyDescent="0.25">
      <c r="Z32477">
        <v>400000</v>
      </c>
    </row>
    <row r="32478" spans="26:26" x14ac:dyDescent="0.25">
      <c r="Z32478">
        <v>400000</v>
      </c>
    </row>
    <row r="32479" spans="26:26" x14ac:dyDescent="0.25">
      <c r="Z32479">
        <v>400000</v>
      </c>
    </row>
    <row r="32480" spans="26:26" x14ac:dyDescent="0.25">
      <c r="Z32480">
        <v>400000</v>
      </c>
    </row>
    <row r="32481" spans="26:26" x14ac:dyDescent="0.25">
      <c r="Z32481">
        <v>400000</v>
      </c>
    </row>
    <row r="32482" spans="26:26" x14ac:dyDescent="0.25">
      <c r="Z32482">
        <v>400000</v>
      </c>
    </row>
    <row r="32483" spans="26:26" x14ac:dyDescent="0.25">
      <c r="Z32483">
        <v>400000</v>
      </c>
    </row>
    <row r="32484" spans="26:26" x14ac:dyDescent="0.25">
      <c r="Z32484">
        <v>400000</v>
      </c>
    </row>
    <row r="32485" spans="26:26" x14ac:dyDescent="0.25">
      <c r="Z32485">
        <v>400000</v>
      </c>
    </row>
    <row r="32486" spans="26:26" x14ac:dyDescent="0.25">
      <c r="Z32486">
        <v>400000</v>
      </c>
    </row>
    <row r="32487" spans="26:26" x14ac:dyDescent="0.25">
      <c r="Z32487">
        <v>400000</v>
      </c>
    </row>
    <row r="32488" spans="26:26" x14ac:dyDescent="0.25">
      <c r="Z32488">
        <v>400000</v>
      </c>
    </row>
    <row r="32489" spans="26:26" x14ac:dyDescent="0.25">
      <c r="Z32489">
        <v>400000</v>
      </c>
    </row>
    <row r="32490" spans="26:26" x14ac:dyDescent="0.25">
      <c r="Z32490">
        <v>400000</v>
      </c>
    </row>
    <row r="32491" spans="26:26" x14ac:dyDescent="0.25">
      <c r="Z32491">
        <v>400000</v>
      </c>
    </row>
    <row r="32492" spans="26:26" x14ac:dyDescent="0.25">
      <c r="Z32492">
        <v>400000</v>
      </c>
    </row>
    <row r="32493" spans="26:26" x14ac:dyDescent="0.25">
      <c r="Z32493">
        <v>400000</v>
      </c>
    </row>
    <row r="32494" spans="26:26" x14ac:dyDescent="0.25">
      <c r="Z32494">
        <v>400000</v>
      </c>
    </row>
    <row r="32495" spans="26:26" x14ac:dyDescent="0.25">
      <c r="Z32495">
        <v>400000</v>
      </c>
    </row>
    <row r="32496" spans="26:26" x14ac:dyDescent="0.25">
      <c r="Z32496">
        <v>400000</v>
      </c>
    </row>
    <row r="32497" spans="26:26" x14ac:dyDescent="0.25">
      <c r="Z32497">
        <v>400000</v>
      </c>
    </row>
    <row r="32498" spans="26:26" x14ac:dyDescent="0.25">
      <c r="Z32498">
        <v>400000</v>
      </c>
    </row>
    <row r="32499" spans="26:26" x14ac:dyDescent="0.25">
      <c r="Z32499">
        <v>400000</v>
      </c>
    </row>
    <row r="32500" spans="26:26" x14ac:dyDescent="0.25">
      <c r="Z32500">
        <v>400000</v>
      </c>
    </row>
    <row r="32501" spans="26:26" x14ac:dyDescent="0.25">
      <c r="Z32501">
        <v>400000</v>
      </c>
    </row>
    <row r="32502" spans="26:26" x14ac:dyDescent="0.25">
      <c r="Z32502">
        <v>400000</v>
      </c>
    </row>
    <row r="32503" spans="26:26" x14ac:dyDescent="0.25">
      <c r="Z32503">
        <v>400000</v>
      </c>
    </row>
    <row r="32504" spans="26:26" x14ac:dyDescent="0.25">
      <c r="Z32504">
        <v>400000</v>
      </c>
    </row>
    <row r="32505" spans="26:26" x14ac:dyDescent="0.25">
      <c r="Z32505">
        <v>400000</v>
      </c>
    </row>
    <row r="32506" spans="26:26" x14ac:dyDescent="0.25">
      <c r="Z32506">
        <v>400000</v>
      </c>
    </row>
    <row r="32507" spans="26:26" x14ac:dyDescent="0.25">
      <c r="Z32507">
        <v>400000</v>
      </c>
    </row>
    <row r="32508" spans="26:26" x14ac:dyDescent="0.25">
      <c r="Z32508">
        <v>400000</v>
      </c>
    </row>
    <row r="32509" spans="26:26" x14ac:dyDescent="0.25">
      <c r="Z32509">
        <v>400000</v>
      </c>
    </row>
    <row r="32510" spans="26:26" x14ac:dyDescent="0.25">
      <c r="Z32510">
        <v>400000</v>
      </c>
    </row>
    <row r="32511" spans="26:26" x14ac:dyDescent="0.25">
      <c r="Z32511">
        <v>400000</v>
      </c>
    </row>
    <row r="32512" spans="26:26" x14ac:dyDescent="0.25">
      <c r="Z32512">
        <v>400000</v>
      </c>
    </row>
    <row r="32513" spans="26:26" x14ac:dyDescent="0.25">
      <c r="Z32513">
        <v>400000</v>
      </c>
    </row>
    <row r="32514" spans="26:26" x14ac:dyDescent="0.25">
      <c r="Z32514">
        <v>400000</v>
      </c>
    </row>
    <row r="32515" spans="26:26" x14ac:dyDescent="0.25">
      <c r="Z32515">
        <v>400000</v>
      </c>
    </row>
    <row r="32516" spans="26:26" x14ac:dyDescent="0.25">
      <c r="Z32516">
        <v>400000</v>
      </c>
    </row>
    <row r="32517" spans="26:26" x14ac:dyDescent="0.25">
      <c r="Z32517">
        <v>400000</v>
      </c>
    </row>
    <row r="32518" spans="26:26" x14ac:dyDescent="0.25">
      <c r="Z32518">
        <v>400000</v>
      </c>
    </row>
    <row r="32519" spans="26:26" x14ac:dyDescent="0.25">
      <c r="Z32519">
        <v>400000</v>
      </c>
    </row>
    <row r="32520" spans="26:26" x14ac:dyDescent="0.25">
      <c r="Z32520">
        <v>400000</v>
      </c>
    </row>
    <row r="32521" spans="26:26" x14ac:dyDescent="0.25">
      <c r="Z32521">
        <v>400000</v>
      </c>
    </row>
    <row r="32522" spans="26:26" x14ac:dyDescent="0.25">
      <c r="Z32522">
        <v>400000</v>
      </c>
    </row>
    <row r="32523" spans="26:26" x14ac:dyDescent="0.25">
      <c r="Z32523">
        <v>400000</v>
      </c>
    </row>
    <row r="32524" spans="26:26" x14ac:dyDescent="0.25">
      <c r="Z32524">
        <v>400000</v>
      </c>
    </row>
    <row r="32525" spans="26:26" x14ac:dyDescent="0.25">
      <c r="Z32525">
        <v>400000</v>
      </c>
    </row>
    <row r="32526" spans="26:26" x14ac:dyDescent="0.25">
      <c r="Z32526">
        <v>400000</v>
      </c>
    </row>
    <row r="32527" spans="26:26" x14ac:dyDescent="0.25">
      <c r="Z32527">
        <v>400000</v>
      </c>
    </row>
    <row r="32528" spans="26:26" x14ac:dyDescent="0.25">
      <c r="Z32528">
        <v>400000</v>
      </c>
    </row>
    <row r="32529" spans="26:26" x14ac:dyDescent="0.25">
      <c r="Z32529">
        <v>400000</v>
      </c>
    </row>
    <row r="32530" spans="26:26" x14ac:dyDescent="0.25">
      <c r="Z32530">
        <v>400000</v>
      </c>
    </row>
    <row r="32531" spans="26:26" x14ac:dyDescent="0.25">
      <c r="Z32531">
        <v>400000</v>
      </c>
    </row>
    <row r="32532" spans="26:26" x14ac:dyDescent="0.25">
      <c r="Z32532">
        <v>400000</v>
      </c>
    </row>
    <row r="32533" spans="26:26" x14ac:dyDescent="0.25">
      <c r="Z32533">
        <v>400000</v>
      </c>
    </row>
    <row r="32534" spans="26:26" x14ac:dyDescent="0.25">
      <c r="Z32534">
        <v>400000</v>
      </c>
    </row>
    <row r="32535" spans="26:26" x14ac:dyDescent="0.25">
      <c r="Z32535">
        <v>400000</v>
      </c>
    </row>
    <row r="32536" spans="26:26" x14ac:dyDescent="0.25">
      <c r="Z32536">
        <v>400000</v>
      </c>
    </row>
    <row r="32537" spans="26:26" x14ac:dyDescent="0.25">
      <c r="Z32537">
        <v>400000</v>
      </c>
    </row>
    <row r="32538" spans="26:26" x14ac:dyDescent="0.25">
      <c r="Z32538">
        <v>400000</v>
      </c>
    </row>
    <row r="32539" spans="26:26" x14ac:dyDescent="0.25">
      <c r="Z32539">
        <v>400000</v>
      </c>
    </row>
    <row r="32540" spans="26:26" x14ac:dyDescent="0.25">
      <c r="Z32540">
        <v>400000</v>
      </c>
    </row>
    <row r="32541" spans="26:26" x14ac:dyDescent="0.25">
      <c r="Z32541">
        <v>400000</v>
      </c>
    </row>
    <row r="32542" spans="26:26" x14ac:dyDescent="0.25">
      <c r="Z32542">
        <v>400000</v>
      </c>
    </row>
    <row r="32543" spans="26:26" x14ac:dyDescent="0.25">
      <c r="Z32543">
        <v>400000</v>
      </c>
    </row>
    <row r="32544" spans="26:26" x14ac:dyDescent="0.25">
      <c r="Z32544">
        <v>400000</v>
      </c>
    </row>
    <row r="32545" spans="26:26" x14ac:dyDescent="0.25">
      <c r="Z32545">
        <v>400000</v>
      </c>
    </row>
    <row r="32546" spans="26:26" x14ac:dyDescent="0.25">
      <c r="Z32546">
        <v>400000</v>
      </c>
    </row>
    <row r="32547" spans="26:26" x14ac:dyDescent="0.25">
      <c r="Z32547">
        <v>400000</v>
      </c>
    </row>
    <row r="32548" spans="26:26" x14ac:dyDescent="0.25">
      <c r="Z32548">
        <v>400000</v>
      </c>
    </row>
    <row r="32549" spans="26:26" x14ac:dyDescent="0.25">
      <c r="Z32549">
        <v>400000</v>
      </c>
    </row>
    <row r="32550" spans="26:26" x14ac:dyDescent="0.25">
      <c r="Z32550">
        <v>400000</v>
      </c>
    </row>
    <row r="32551" spans="26:26" x14ac:dyDescent="0.25">
      <c r="Z32551">
        <v>400000</v>
      </c>
    </row>
    <row r="32552" spans="26:26" x14ac:dyDescent="0.25">
      <c r="Z32552">
        <v>400000</v>
      </c>
    </row>
    <row r="32553" spans="26:26" x14ac:dyDescent="0.25">
      <c r="Z32553">
        <v>400000</v>
      </c>
    </row>
    <row r="32554" spans="26:26" x14ac:dyDescent="0.25">
      <c r="Z32554">
        <v>400000</v>
      </c>
    </row>
    <row r="32555" spans="26:26" x14ac:dyDescent="0.25">
      <c r="Z32555">
        <v>400000</v>
      </c>
    </row>
    <row r="32556" spans="26:26" x14ac:dyDescent="0.25">
      <c r="Z32556">
        <v>400000</v>
      </c>
    </row>
    <row r="32557" spans="26:26" x14ac:dyDescent="0.25">
      <c r="Z32557">
        <v>400000</v>
      </c>
    </row>
    <row r="32558" spans="26:26" x14ac:dyDescent="0.25">
      <c r="Z32558">
        <v>400000</v>
      </c>
    </row>
    <row r="32559" spans="26:26" x14ac:dyDescent="0.25">
      <c r="Z32559">
        <v>400000</v>
      </c>
    </row>
    <row r="32560" spans="26:26" x14ac:dyDescent="0.25">
      <c r="Z32560">
        <v>400000</v>
      </c>
    </row>
    <row r="32561" spans="26:26" x14ac:dyDescent="0.25">
      <c r="Z32561">
        <v>400000</v>
      </c>
    </row>
    <row r="32562" spans="26:26" x14ac:dyDescent="0.25">
      <c r="Z32562">
        <v>400000</v>
      </c>
    </row>
    <row r="32563" spans="26:26" x14ac:dyDescent="0.25">
      <c r="Z32563">
        <v>400000</v>
      </c>
    </row>
    <row r="32564" spans="26:26" x14ac:dyDescent="0.25">
      <c r="Z32564">
        <v>400000</v>
      </c>
    </row>
    <row r="32565" spans="26:26" x14ac:dyDescent="0.25">
      <c r="Z32565">
        <v>400000</v>
      </c>
    </row>
    <row r="32566" spans="26:26" x14ac:dyDescent="0.25">
      <c r="Z32566">
        <v>400000</v>
      </c>
    </row>
    <row r="32567" spans="26:26" x14ac:dyDescent="0.25">
      <c r="Z32567">
        <v>400000</v>
      </c>
    </row>
    <row r="32568" spans="26:26" x14ac:dyDescent="0.25">
      <c r="Z32568">
        <v>400000</v>
      </c>
    </row>
    <row r="32569" spans="26:26" x14ac:dyDescent="0.25">
      <c r="Z32569">
        <v>400000</v>
      </c>
    </row>
    <row r="32570" spans="26:26" x14ac:dyDescent="0.25">
      <c r="Z32570">
        <v>400000</v>
      </c>
    </row>
    <row r="32571" spans="26:26" x14ac:dyDescent="0.25">
      <c r="Z32571">
        <v>400000</v>
      </c>
    </row>
    <row r="32572" spans="26:26" x14ac:dyDescent="0.25">
      <c r="Z32572">
        <v>400000</v>
      </c>
    </row>
    <row r="32573" spans="26:26" x14ac:dyDescent="0.25">
      <c r="Z32573">
        <v>400000</v>
      </c>
    </row>
    <row r="32574" spans="26:26" x14ac:dyDescent="0.25">
      <c r="Z32574">
        <v>400000</v>
      </c>
    </row>
    <row r="32575" spans="26:26" x14ac:dyDescent="0.25">
      <c r="Z32575">
        <v>400000</v>
      </c>
    </row>
    <row r="32576" spans="26:26" x14ac:dyDescent="0.25">
      <c r="Z32576">
        <v>400000</v>
      </c>
    </row>
    <row r="32577" spans="26:26" x14ac:dyDescent="0.25">
      <c r="Z32577">
        <v>400000</v>
      </c>
    </row>
    <row r="32578" spans="26:26" x14ac:dyDescent="0.25">
      <c r="Z32578">
        <v>400000</v>
      </c>
    </row>
    <row r="32579" spans="26:26" x14ac:dyDescent="0.25">
      <c r="Z32579">
        <v>400000</v>
      </c>
    </row>
    <row r="32580" spans="26:26" x14ac:dyDescent="0.25">
      <c r="Z32580">
        <v>400000</v>
      </c>
    </row>
    <row r="32581" spans="26:26" x14ac:dyDescent="0.25">
      <c r="Z32581">
        <v>400000</v>
      </c>
    </row>
    <row r="32582" spans="26:26" x14ac:dyDescent="0.25">
      <c r="Z32582">
        <v>400000</v>
      </c>
    </row>
    <row r="32583" spans="26:26" x14ac:dyDescent="0.25">
      <c r="Z32583">
        <v>400000</v>
      </c>
    </row>
    <row r="32584" spans="26:26" x14ac:dyDescent="0.25">
      <c r="Z32584">
        <v>400000</v>
      </c>
    </row>
    <row r="32585" spans="26:26" x14ac:dyDescent="0.25">
      <c r="Z32585">
        <v>400000</v>
      </c>
    </row>
    <row r="32586" spans="26:26" x14ac:dyDescent="0.25">
      <c r="Z32586">
        <v>400000</v>
      </c>
    </row>
    <row r="32587" spans="26:26" x14ac:dyDescent="0.25">
      <c r="Z32587">
        <v>400000</v>
      </c>
    </row>
    <row r="32588" spans="26:26" x14ac:dyDescent="0.25">
      <c r="Z32588">
        <v>400000</v>
      </c>
    </row>
    <row r="32589" spans="26:26" x14ac:dyDescent="0.25">
      <c r="Z32589">
        <v>400000</v>
      </c>
    </row>
    <row r="32590" spans="26:26" x14ac:dyDescent="0.25">
      <c r="Z32590">
        <v>400000</v>
      </c>
    </row>
    <row r="32591" spans="26:26" x14ac:dyDescent="0.25">
      <c r="Z32591">
        <v>400000</v>
      </c>
    </row>
    <row r="32592" spans="26:26" x14ac:dyDescent="0.25">
      <c r="Z32592">
        <v>400000</v>
      </c>
    </row>
    <row r="32593" spans="26:26" x14ac:dyDescent="0.25">
      <c r="Z32593">
        <v>400000</v>
      </c>
    </row>
    <row r="32594" spans="26:26" x14ac:dyDescent="0.25">
      <c r="Z32594">
        <v>400000</v>
      </c>
    </row>
    <row r="32595" spans="26:26" x14ac:dyDescent="0.25">
      <c r="Z32595">
        <v>400000</v>
      </c>
    </row>
    <row r="32596" spans="26:26" x14ac:dyDescent="0.25">
      <c r="Z32596">
        <v>400000</v>
      </c>
    </row>
    <row r="32597" spans="26:26" x14ac:dyDescent="0.25">
      <c r="Z32597">
        <v>400000</v>
      </c>
    </row>
    <row r="32598" spans="26:26" x14ac:dyDescent="0.25">
      <c r="Z32598">
        <v>400000</v>
      </c>
    </row>
    <row r="32599" spans="26:26" x14ac:dyDescent="0.25">
      <c r="Z32599">
        <v>400000</v>
      </c>
    </row>
    <row r="32600" spans="26:26" x14ac:dyDescent="0.25">
      <c r="Z32600">
        <v>400000</v>
      </c>
    </row>
    <row r="32601" spans="26:26" x14ac:dyDescent="0.25">
      <c r="Z32601">
        <v>400000</v>
      </c>
    </row>
    <row r="32602" spans="26:26" x14ac:dyDescent="0.25">
      <c r="Z32602">
        <v>400000</v>
      </c>
    </row>
    <row r="32603" spans="26:26" x14ac:dyDescent="0.25">
      <c r="Z32603">
        <v>400000</v>
      </c>
    </row>
    <row r="32604" spans="26:26" x14ac:dyDescent="0.25">
      <c r="Z32604">
        <v>400000</v>
      </c>
    </row>
    <row r="32605" spans="26:26" x14ac:dyDescent="0.25">
      <c r="Z32605">
        <v>400000</v>
      </c>
    </row>
    <row r="32606" spans="26:26" x14ac:dyDescent="0.25">
      <c r="Z32606">
        <v>400000</v>
      </c>
    </row>
    <row r="32607" spans="26:26" x14ac:dyDescent="0.25">
      <c r="Z32607">
        <v>400000</v>
      </c>
    </row>
    <row r="32608" spans="26:26" x14ac:dyDescent="0.25">
      <c r="Z32608">
        <v>400000</v>
      </c>
    </row>
    <row r="32609" spans="26:26" x14ac:dyDescent="0.25">
      <c r="Z32609">
        <v>400000</v>
      </c>
    </row>
    <row r="32610" spans="26:26" x14ac:dyDescent="0.25">
      <c r="Z32610">
        <v>400000</v>
      </c>
    </row>
    <row r="32611" spans="26:26" x14ac:dyDescent="0.25">
      <c r="Z32611">
        <v>400000</v>
      </c>
    </row>
    <row r="32612" spans="26:26" x14ac:dyDescent="0.25">
      <c r="Z32612">
        <v>400000</v>
      </c>
    </row>
    <row r="32613" spans="26:26" x14ac:dyDescent="0.25">
      <c r="Z32613">
        <v>400000</v>
      </c>
    </row>
    <row r="32614" spans="26:26" x14ac:dyDescent="0.25">
      <c r="Z32614">
        <v>400000</v>
      </c>
    </row>
    <row r="32615" spans="26:26" x14ac:dyDescent="0.25">
      <c r="Z32615">
        <v>400000</v>
      </c>
    </row>
    <row r="32616" spans="26:26" x14ac:dyDescent="0.25">
      <c r="Z32616">
        <v>400000</v>
      </c>
    </row>
    <row r="32617" spans="26:26" x14ac:dyDescent="0.25">
      <c r="Z32617">
        <v>400000</v>
      </c>
    </row>
    <row r="32618" spans="26:26" x14ac:dyDescent="0.25">
      <c r="Z32618">
        <v>400000</v>
      </c>
    </row>
    <row r="32619" spans="26:26" x14ac:dyDescent="0.25">
      <c r="Z32619">
        <v>400000</v>
      </c>
    </row>
    <row r="32620" spans="26:26" x14ac:dyDescent="0.25">
      <c r="Z32620">
        <v>400000</v>
      </c>
    </row>
    <row r="32621" spans="26:26" x14ac:dyDescent="0.25">
      <c r="Z32621">
        <v>400000</v>
      </c>
    </row>
    <row r="32622" spans="26:26" x14ac:dyDescent="0.25">
      <c r="Z32622">
        <v>400000</v>
      </c>
    </row>
    <row r="32623" spans="26:26" x14ac:dyDescent="0.25">
      <c r="Z32623">
        <v>400000</v>
      </c>
    </row>
    <row r="32624" spans="26:26" x14ac:dyDescent="0.25">
      <c r="Z32624">
        <v>400000</v>
      </c>
    </row>
    <row r="32625" spans="26:26" x14ac:dyDescent="0.25">
      <c r="Z32625">
        <v>400000</v>
      </c>
    </row>
    <row r="32626" spans="26:26" x14ac:dyDescent="0.25">
      <c r="Z32626">
        <v>400000</v>
      </c>
    </row>
    <row r="32627" spans="26:26" x14ac:dyDescent="0.25">
      <c r="Z32627">
        <v>400000</v>
      </c>
    </row>
    <row r="32628" spans="26:26" x14ac:dyDescent="0.25">
      <c r="Z32628">
        <v>400000</v>
      </c>
    </row>
    <row r="32629" spans="26:26" x14ac:dyDescent="0.25">
      <c r="Z32629">
        <v>400000</v>
      </c>
    </row>
    <row r="32630" spans="26:26" x14ac:dyDescent="0.25">
      <c r="Z32630">
        <v>400000</v>
      </c>
    </row>
    <row r="32631" spans="26:26" x14ac:dyDescent="0.25">
      <c r="Z32631">
        <v>400000</v>
      </c>
    </row>
    <row r="32632" spans="26:26" x14ac:dyDescent="0.25">
      <c r="Z32632">
        <v>400000</v>
      </c>
    </row>
    <row r="32633" spans="26:26" x14ac:dyDescent="0.25">
      <c r="Z32633">
        <v>400000</v>
      </c>
    </row>
    <row r="32634" spans="26:26" x14ac:dyDescent="0.25">
      <c r="Z32634">
        <v>400000</v>
      </c>
    </row>
    <row r="32635" spans="26:26" x14ac:dyDescent="0.25">
      <c r="Z32635">
        <v>400000</v>
      </c>
    </row>
    <row r="32636" spans="26:26" x14ac:dyDescent="0.25">
      <c r="Z32636">
        <v>400000</v>
      </c>
    </row>
    <row r="32637" spans="26:26" x14ac:dyDescent="0.25">
      <c r="Z32637">
        <v>400000</v>
      </c>
    </row>
    <row r="32638" spans="26:26" x14ac:dyDescent="0.25">
      <c r="Z32638">
        <v>400000</v>
      </c>
    </row>
    <row r="32639" spans="26:26" x14ac:dyDescent="0.25">
      <c r="Z32639">
        <v>400000</v>
      </c>
    </row>
    <row r="32640" spans="26:26" x14ac:dyDescent="0.25">
      <c r="Z32640">
        <v>400000</v>
      </c>
    </row>
    <row r="32641" spans="26:26" x14ac:dyDescent="0.25">
      <c r="Z32641">
        <v>400000</v>
      </c>
    </row>
    <row r="32642" spans="26:26" x14ac:dyDescent="0.25">
      <c r="Z32642">
        <v>400000</v>
      </c>
    </row>
    <row r="32643" spans="26:26" x14ac:dyDescent="0.25">
      <c r="Z32643">
        <v>400000</v>
      </c>
    </row>
    <row r="32644" spans="26:26" x14ac:dyDescent="0.25">
      <c r="Z32644">
        <v>400000</v>
      </c>
    </row>
    <row r="32645" spans="26:26" x14ac:dyDescent="0.25">
      <c r="Z32645">
        <v>400000</v>
      </c>
    </row>
    <row r="32646" spans="26:26" x14ac:dyDescent="0.25">
      <c r="Z32646">
        <v>400000</v>
      </c>
    </row>
    <row r="32647" spans="26:26" x14ac:dyDescent="0.25">
      <c r="Z32647">
        <v>400000</v>
      </c>
    </row>
    <row r="32648" spans="26:26" x14ac:dyDescent="0.25">
      <c r="Z32648">
        <v>400000</v>
      </c>
    </row>
    <row r="32649" spans="26:26" x14ac:dyDescent="0.25">
      <c r="Z32649">
        <v>400000</v>
      </c>
    </row>
    <row r="32650" spans="26:26" x14ac:dyDescent="0.25">
      <c r="Z32650">
        <v>400000</v>
      </c>
    </row>
    <row r="32651" spans="26:26" x14ac:dyDescent="0.25">
      <c r="Z32651">
        <v>400000</v>
      </c>
    </row>
    <row r="32652" spans="26:26" x14ac:dyDescent="0.25">
      <c r="Z32652">
        <v>400000</v>
      </c>
    </row>
    <row r="32653" spans="26:26" x14ac:dyDescent="0.25">
      <c r="Z32653">
        <v>400000</v>
      </c>
    </row>
    <row r="32654" spans="26:26" x14ac:dyDescent="0.25">
      <c r="Z32654">
        <v>400000</v>
      </c>
    </row>
    <row r="32655" spans="26:26" x14ac:dyDescent="0.25">
      <c r="Z32655">
        <v>400000</v>
      </c>
    </row>
    <row r="32656" spans="26:26" x14ac:dyDescent="0.25">
      <c r="Z32656">
        <v>400000</v>
      </c>
    </row>
    <row r="32657" spans="26:26" x14ac:dyDescent="0.25">
      <c r="Z32657">
        <v>400000</v>
      </c>
    </row>
    <row r="32658" spans="26:26" x14ac:dyDescent="0.25">
      <c r="Z32658">
        <v>400000</v>
      </c>
    </row>
    <row r="32659" spans="26:26" x14ac:dyDescent="0.25">
      <c r="Z32659">
        <v>400000</v>
      </c>
    </row>
    <row r="32660" spans="26:26" x14ac:dyDescent="0.25">
      <c r="Z32660">
        <v>400000</v>
      </c>
    </row>
    <row r="32661" spans="26:26" x14ac:dyDescent="0.25">
      <c r="Z32661">
        <v>400000</v>
      </c>
    </row>
    <row r="32662" spans="26:26" x14ac:dyDescent="0.25">
      <c r="Z32662">
        <v>400000</v>
      </c>
    </row>
    <row r="32663" spans="26:26" x14ac:dyDescent="0.25">
      <c r="Z32663">
        <v>400000</v>
      </c>
    </row>
    <row r="32664" spans="26:26" x14ac:dyDescent="0.25">
      <c r="Z32664">
        <v>400000</v>
      </c>
    </row>
    <row r="32665" spans="26:26" x14ac:dyDescent="0.25">
      <c r="Z32665">
        <v>400000</v>
      </c>
    </row>
    <row r="32666" spans="26:26" x14ac:dyDescent="0.25">
      <c r="Z32666">
        <v>400000</v>
      </c>
    </row>
    <row r="32667" spans="26:26" x14ac:dyDescent="0.25">
      <c r="Z32667">
        <v>400000</v>
      </c>
    </row>
    <row r="32668" spans="26:26" x14ac:dyDescent="0.25">
      <c r="Z32668">
        <v>400000</v>
      </c>
    </row>
    <row r="32669" spans="26:26" x14ac:dyDescent="0.25">
      <c r="Z32669">
        <v>400000</v>
      </c>
    </row>
    <row r="32670" spans="26:26" x14ac:dyDescent="0.25">
      <c r="Z32670">
        <v>400000</v>
      </c>
    </row>
    <row r="32671" spans="26:26" x14ac:dyDescent="0.25">
      <c r="Z32671">
        <v>400000</v>
      </c>
    </row>
    <row r="32672" spans="26:26" x14ac:dyDescent="0.25">
      <c r="Z32672">
        <v>400000</v>
      </c>
    </row>
    <row r="32673" spans="26:26" x14ac:dyDescent="0.25">
      <c r="Z32673">
        <v>400000</v>
      </c>
    </row>
    <row r="32674" spans="26:26" x14ac:dyDescent="0.25">
      <c r="Z32674">
        <v>400000</v>
      </c>
    </row>
    <row r="32675" spans="26:26" x14ac:dyDescent="0.25">
      <c r="Z32675">
        <v>400000</v>
      </c>
    </row>
    <row r="32676" spans="26:26" x14ac:dyDescent="0.25">
      <c r="Z32676">
        <v>400000</v>
      </c>
    </row>
    <row r="32677" spans="26:26" x14ac:dyDescent="0.25">
      <c r="Z32677">
        <v>400000</v>
      </c>
    </row>
    <row r="32678" spans="26:26" x14ac:dyDescent="0.25">
      <c r="Z32678">
        <v>400000</v>
      </c>
    </row>
    <row r="32679" spans="26:26" x14ac:dyDescent="0.25">
      <c r="Z32679">
        <v>400000</v>
      </c>
    </row>
    <row r="32680" spans="26:26" x14ac:dyDescent="0.25">
      <c r="Z32680">
        <v>400000</v>
      </c>
    </row>
    <row r="32681" spans="26:26" x14ac:dyDescent="0.25">
      <c r="Z32681">
        <v>400000</v>
      </c>
    </row>
    <row r="32682" spans="26:26" x14ac:dyDescent="0.25">
      <c r="Z32682">
        <v>400000</v>
      </c>
    </row>
    <row r="32683" spans="26:26" x14ac:dyDescent="0.25">
      <c r="Z32683">
        <v>400000</v>
      </c>
    </row>
    <row r="32684" spans="26:26" x14ac:dyDescent="0.25">
      <c r="Z32684">
        <v>400000</v>
      </c>
    </row>
    <row r="32685" spans="26:26" x14ac:dyDescent="0.25">
      <c r="Z32685">
        <v>400000</v>
      </c>
    </row>
    <row r="32686" spans="26:26" x14ac:dyDescent="0.25">
      <c r="Z32686">
        <v>400000</v>
      </c>
    </row>
    <row r="32687" spans="26:26" x14ac:dyDescent="0.25">
      <c r="Z32687">
        <v>400000</v>
      </c>
    </row>
    <row r="32688" spans="26:26" x14ac:dyDescent="0.25">
      <c r="Z32688">
        <v>400000</v>
      </c>
    </row>
    <row r="32689" spans="26:26" x14ac:dyDescent="0.25">
      <c r="Z32689">
        <v>400000</v>
      </c>
    </row>
    <row r="32690" spans="26:26" x14ac:dyDescent="0.25">
      <c r="Z32690">
        <v>400000</v>
      </c>
    </row>
    <row r="32691" spans="26:26" x14ac:dyDescent="0.25">
      <c r="Z32691">
        <v>400000</v>
      </c>
    </row>
    <row r="32692" spans="26:26" x14ac:dyDescent="0.25">
      <c r="Z32692">
        <v>400000</v>
      </c>
    </row>
    <row r="32693" spans="26:26" x14ac:dyDescent="0.25">
      <c r="Z32693">
        <v>400000</v>
      </c>
    </row>
    <row r="32694" spans="26:26" x14ac:dyDescent="0.25">
      <c r="Z32694">
        <v>400000</v>
      </c>
    </row>
    <row r="32695" spans="26:26" x14ac:dyDescent="0.25">
      <c r="Z32695">
        <v>400000</v>
      </c>
    </row>
    <row r="32696" spans="26:26" x14ac:dyDescent="0.25">
      <c r="Z32696">
        <v>400000</v>
      </c>
    </row>
    <row r="32697" spans="26:26" x14ac:dyDescent="0.25">
      <c r="Z32697">
        <v>400000</v>
      </c>
    </row>
    <row r="32698" spans="26:26" x14ac:dyDescent="0.25">
      <c r="Z32698">
        <v>400000</v>
      </c>
    </row>
    <row r="32699" spans="26:26" x14ac:dyDescent="0.25">
      <c r="Z32699">
        <v>400000</v>
      </c>
    </row>
    <row r="32700" spans="26:26" x14ac:dyDescent="0.25">
      <c r="Z32700">
        <v>400000</v>
      </c>
    </row>
    <row r="32701" spans="26:26" x14ac:dyDescent="0.25">
      <c r="Z32701">
        <v>400000</v>
      </c>
    </row>
    <row r="32702" spans="26:26" x14ac:dyDescent="0.25">
      <c r="Z32702">
        <v>400000</v>
      </c>
    </row>
    <row r="32703" spans="26:26" x14ac:dyDescent="0.25">
      <c r="Z32703">
        <v>400000</v>
      </c>
    </row>
    <row r="32704" spans="26:26" x14ac:dyDescent="0.25">
      <c r="Z32704">
        <v>400000</v>
      </c>
    </row>
    <row r="32705" spans="26:26" x14ac:dyDescent="0.25">
      <c r="Z32705">
        <v>400000</v>
      </c>
    </row>
    <row r="32706" spans="26:26" x14ac:dyDescent="0.25">
      <c r="Z32706">
        <v>400000</v>
      </c>
    </row>
    <row r="32707" spans="26:26" x14ac:dyDescent="0.25">
      <c r="Z32707">
        <v>400000</v>
      </c>
    </row>
    <row r="32708" spans="26:26" x14ac:dyDescent="0.25">
      <c r="Z32708">
        <v>400000</v>
      </c>
    </row>
    <row r="32709" spans="26:26" x14ac:dyDescent="0.25">
      <c r="Z32709">
        <v>400000</v>
      </c>
    </row>
    <row r="32710" spans="26:26" x14ac:dyDescent="0.25">
      <c r="Z32710">
        <v>400000</v>
      </c>
    </row>
    <row r="32711" spans="26:26" x14ac:dyDescent="0.25">
      <c r="Z32711">
        <v>400000</v>
      </c>
    </row>
    <row r="32712" spans="26:26" x14ac:dyDescent="0.25">
      <c r="Z32712">
        <v>400000</v>
      </c>
    </row>
    <row r="32713" spans="26:26" x14ac:dyDescent="0.25">
      <c r="Z32713">
        <v>400000</v>
      </c>
    </row>
    <row r="32714" spans="26:26" x14ac:dyDescent="0.25">
      <c r="Z32714">
        <v>400000</v>
      </c>
    </row>
    <row r="32715" spans="26:26" x14ac:dyDescent="0.25">
      <c r="Z32715">
        <v>400000</v>
      </c>
    </row>
    <row r="32716" spans="26:26" x14ac:dyDescent="0.25">
      <c r="Z32716">
        <v>400000</v>
      </c>
    </row>
    <row r="32717" spans="26:26" x14ac:dyDescent="0.25">
      <c r="Z32717">
        <v>400000</v>
      </c>
    </row>
    <row r="32718" spans="26:26" x14ac:dyDescent="0.25">
      <c r="Z32718">
        <v>400000</v>
      </c>
    </row>
    <row r="32719" spans="26:26" x14ac:dyDescent="0.25">
      <c r="Z32719">
        <v>400000</v>
      </c>
    </row>
    <row r="32720" spans="26:26" x14ac:dyDescent="0.25">
      <c r="Z32720">
        <v>400000</v>
      </c>
    </row>
    <row r="32721" spans="26:26" x14ac:dyDescent="0.25">
      <c r="Z32721">
        <v>400000</v>
      </c>
    </row>
    <row r="32722" spans="26:26" x14ac:dyDescent="0.25">
      <c r="Z32722">
        <v>400000</v>
      </c>
    </row>
    <row r="32723" spans="26:26" x14ac:dyDescent="0.25">
      <c r="Z32723">
        <v>400000</v>
      </c>
    </row>
    <row r="32724" spans="26:26" x14ac:dyDescent="0.25">
      <c r="Z32724">
        <v>400000</v>
      </c>
    </row>
    <row r="32725" spans="26:26" x14ac:dyDescent="0.25">
      <c r="Z32725">
        <v>400000</v>
      </c>
    </row>
    <row r="32726" spans="26:26" x14ac:dyDescent="0.25">
      <c r="Z32726">
        <v>400000</v>
      </c>
    </row>
    <row r="32727" spans="26:26" x14ac:dyDescent="0.25">
      <c r="Z32727">
        <v>400000</v>
      </c>
    </row>
    <row r="32728" spans="26:26" x14ac:dyDescent="0.25">
      <c r="Z32728">
        <v>400000</v>
      </c>
    </row>
    <row r="32729" spans="26:26" x14ac:dyDescent="0.25">
      <c r="Z32729">
        <v>400000</v>
      </c>
    </row>
    <row r="32730" spans="26:26" x14ac:dyDescent="0.25">
      <c r="Z32730">
        <v>400000</v>
      </c>
    </row>
    <row r="32731" spans="26:26" x14ac:dyDescent="0.25">
      <c r="Z32731">
        <v>400000</v>
      </c>
    </row>
    <row r="32732" spans="26:26" x14ac:dyDescent="0.25">
      <c r="Z32732">
        <v>400000</v>
      </c>
    </row>
    <row r="32733" spans="26:26" x14ac:dyDescent="0.25">
      <c r="Z32733">
        <v>400000</v>
      </c>
    </row>
    <row r="32734" spans="26:26" x14ac:dyDescent="0.25">
      <c r="Z32734">
        <v>400000</v>
      </c>
    </row>
    <row r="32735" spans="26:26" x14ac:dyDescent="0.25">
      <c r="Z32735">
        <v>400000</v>
      </c>
    </row>
    <row r="32736" spans="26:26" x14ac:dyDescent="0.25">
      <c r="Z32736">
        <v>400000</v>
      </c>
    </row>
    <row r="32737" spans="26:26" x14ac:dyDescent="0.25">
      <c r="Z32737">
        <v>400000</v>
      </c>
    </row>
    <row r="32738" spans="26:26" x14ac:dyDescent="0.25">
      <c r="Z32738">
        <v>400000</v>
      </c>
    </row>
    <row r="32739" spans="26:26" x14ac:dyDescent="0.25">
      <c r="Z32739">
        <v>400000</v>
      </c>
    </row>
    <row r="32740" spans="26:26" x14ac:dyDescent="0.25">
      <c r="Z32740">
        <v>400000</v>
      </c>
    </row>
    <row r="32741" spans="26:26" x14ac:dyDescent="0.25">
      <c r="Z32741">
        <v>400000</v>
      </c>
    </row>
    <row r="32742" spans="26:26" x14ac:dyDescent="0.25">
      <c r="Z32742">
        <v>400000</v>
      </c>
    </row>
    <row r="32743" spans="26:26" x14ac:dyDescent="0.25">
      <c r="Z32743">
        <v>400000</v>
      </c>
    </row>
    <row r="32744" spans="26:26" x14ac:dyDescent="0.25">
      <c r="Z32744">
        <v>400000</v>
      </c>
    </row>
    <row r="32745" spans="26:26" x14ac:dyDescent="0.25">
      <c r="Z32745">
        <v>400000</v>
      </c>
    </row>
    <row r="32746" spans="26:26" x14ac:dyDescent="0.25">
      <c r="Z32746">
        <v>400000</v>
      </c>
    </row>
    <row r="32747" spans="26:26" x14ac:dyDescent="0.25">
      <c r="Z32747">
        <v>400000</v>
      </c>
    </row>
    <row r="32748" spans="26:26" x14ac:dyDescent="0.25">
      <c r="Z32748">
        <v>400000</v>
      </c>
    </row>
    <row r="32749" spans="26:26" x14ac:dyDescent="0.25">
      <c r="Z32749">
        <v>400000</v>
      </c>
    </row>
    <row r="32750" spans="26:26" x14ac:dyDescent="0.25">
      <c r="Z32750">
        <v>400000</v>
      </c>
    </row>
    <row r="32751" spans="26:26" x14ac:dyDescent="0.25">
      <c r="Z32751">
        <v>400000</v>
      </c>
    </row>
    <row r="32752" spans="26:26" x14ac:dyDescent="0.25">
      <c r="Z32752">
        <v>400000</v>
      </c>
    </row>
    <row r="32753" spans="26:26" x14ac:dyDescent="0.25">
      <c r="Z32753">
        <v>400000</v>
      </c>
    </row>
    <row r="32754" spans="26:26" x14ac:dyDescent="0.25">
      <c r="Z32754">
        <v>400000</v>
      </c>
    </row>
    <row r="32755" spans="26:26" x14ac:dyDescent="0.25">
      <c r="Z32755">
        <v>400000</v>
      </c>
    </row>
    <row r="32756" spans="26:26" x14ac:dyDescent="0.25">
      <c r="Z32756">
        <v>400000</v>
      </c>
    </row>
    <row r="32757" spans="26:26" x14ac:dyDescent="0.25">
      <c r="Z32757">
        <v>400000</v>
      </c>
    </row>
    <row r="32758" spans="26:26" x14ac:dyDescent="0.25">
      <c r="Z32758">
        <v>400000</v>
      </c>
    </row>
    <row r="32759" spans="26:26" x14ac:dyDescent="0.25">
      <c r="Z32759">
        <v>400000</v>
      </c>
    </row>
    <row r="32760" spans="26:26" x14ac:dyDescent="0.25">
      <c r="Z32760">
        <v>400000</v>
      </c>
    </row>
    <row r="32761" spans="26:26" x14ac:dyDescent="0.25">
      <c r="Z32761">
        <v>400000</v>
      </c>
    </row>
    <row r="32762" spans="26:26" x14ac:dyDescent="0.25">
      <c r="Z32762">
        <v>400000</v>
      </c>
    </row>
    <row r="32763" spans="26:26" x14ac:dyDescent="0.25">
      <c r="Z32763">
        <v>400000</v>
      </c>
    </row>
    <row r="32764" spans="26:26" x14ac:dyDescent="0.25">
      <c r="Z32764">
        <v>400000</v>
      </c>
    </row>
    <row r="32765" spans="26:26" x14ac:dyDescent="0.25">
      <c r="Z32765">
        <v>400000</v>
      </c>
    </row>
    <row r="32766" spans="26:26" x14ac:dyDescent="0.25">
      <c r="Z32766">
        <v>400000</v>
      </c>
    </row>
    <row r="32767" spans="26:26" x14ac:dyDescent="0.25">
      <c r="Z32767">
        <v>400000</v>
      </c>
    </row>
    <row r="32768" spans="26:26" x14ac:dyDescent="0.25">
      <c r="Z32768">
        <v>400000</v>
      </c>
    </row>
    <row r="32769" spans="26:26" x14ac:dyDescent="0.25">
      <c r="Z32769">
        <v>400000</v>
      </c>
    </row>
    <row r="32770" spans="26:26" x14ac:dyDescent="0.25">
      <c r="Z32770">
        <v>400000</v>
      </c>
    </row>
    <row r="32771" spans="26:26" x14ac:dyDescent="0.25">
      <c r="Z32771">
        <v>400000</v>
      </c>
    </row>
    <row r="32772" spans="26:26" x14ac:dyDescent="0.25">
      <c r="Z32772">
        <v>400000</v>
      </c>
    </row>
    <row r="32773" spans="26:26" x14ac:dyDescent="0.25">
      <c r="Z32773">
        <v>400000</v>
      </c>
    </row>
    <row r="32774" spans="26:26" x14ac:dyDescent="0.25">
      <c r="Z32774">
        <v>400000</v>
      </c>
    </row>
    <row r="32775" spans="26:26" x14ac:dyDescent="0.25">
      <c r="Z32775">
        <v>400000</v>
      </c>
    </row>
    <row r="32776" spans="26:26" x14ac:dyDescent="0.25">
      <c r="Z32776">
        <v>400000</v>
      </c>
    </row>
    <row r="32777" spans="26:26" x14ac:dyDescent="0.25">
      <c r="Z32777">
        <v>400000</v>
      </c>
    </row>
    <row r="32778" spans="26:26" x14ac:dyDescent="0.25">
      <c r="Z32778">
        <v>400000</v>
      </c>
    </row>
    <row r="32779" spans="26:26" x14ac:dyDescent="0.25">
      <c r="Z32779">
        <v>400000</v>
      </c>
    </row>
    <row r="32780" spans="26:26" x14ac:dyDescent="0.25">
      <c r="Z32780">
        <v>400000</v>
      </c>
    </row>
    <row r="32781" spans="26:26" x14ac:dyDescent="0.25">
      <c r="Z32781">
        <v>400000</v>
      </c>
    </row>
    <row r="32782" spans="26:26" x14ac:dyDescent="0.25">
      <c r="Z32782">
        <v>400000</v>
      </c>
    </row>
    <row r="32783" spans="26:26" x14ac:dyDescent="0.25">
      <c r="Z32783">
        <v>400000</v>
      </c>
    </row>
    <row r="32784" spans="26:26" x14ac:dyDescent="0.25">
      <c r="Z32784">
        <v>400000</v>
      </c>
    </row>
    <row r="32785" spans="26:26" x14ac:dyDescent="0.25">
      <c r="Z32785">
        <v>400000</v>
      </c>
    </row>
    <row r="32786" spans="26:26" x14ac:dyDescent="0.25">
      <c r="Z32786">
        <v>400000</v>
      </c>
    </row>
    <row r="32787" spans="26:26" x14ac:dyDescent="0.25">
      <c r="Z32787">
        <v>400000</v>
      </c>
    </row>
    <row r="32788" spans="26:26" x14ac:dyDescent="0.25">
      <c r="Z32788">
        <v>400000</v>
      </c>
    </row>
    <row r="32789" spans="26:26" x14ac:dyDescent="0.25">
      <c r="Z32789">
        <v>400000</v>
      </c>
    </row>
    <row r="32790" spans="26:26" x14ac:dyDescent="0.25">
      <c r="Z32790">
        <v>400000</v>
      </c>
    </row>
    <row r="32791" spans="26:26" x14ac:dyDescent="0.25">
      <c r="Z32791">
        <v>400000</v>
      </c>
    </row>
    <row r="32792" spans="26:26" x14ac:dyDescent="0.25">
      <c r="Z32792">
        <v>400000</v>
      </c>
    </row>
    <row r="32793" spans="26:26" x14ac:dyDescent="0.25">
      <c r="Z32793">
        <v>400000</v>
      </c>
    </row>
    <row r="32794" spans="26:26" x14ac:dyDescent="0.25">
      <c r="Z32794">
        <v>400000</v>
      </c>
    </row>
    <row r="32795" spans="26:26" x14ac:dyDescent="0.25">
      <c r="Z32795">
        <v>400000</v>
      </c>
    </row>
    <row r="32796" spans="26:26" x14ac:dyDescent="0.25">
      <c r="Z32796">
        <v>400000</v>
      </c>
    </row>
    <row r="32797" spans="26:26" x14ac:dyDescent="0.25">
      <c r="Z32797">
        <v>400000</v>
      </c>
    </row>
    <row r="32798" spans="26:26" x14ac:dyDescent="0.25">
      <c r="Z32798">
        <v>400000</v>
      </c>
    </row>
    <row r="32799" spans="26:26" x14ac:dyDescent="0.25">
      <c r="Z32799">
        <v>400000</v>
      </c>
    </row>
    <row r="32800" spans="26:26" x14ac:dyDescent="0.25">
      <c r="Z32800">
        <v>400000</v>
      </c>
    </row>
    <row r="32801" spans="26:26" x14ac:dyDescent="0.25">
      <c r="Z32801">
        <v>400000</v>
      </c>
    </row>
    <row r="32802" spans="26:26" x14ac:dyDescent="0.25">
      <c r="Z32802">
        <v>400000</v>
      </c>
    </row>
    <row r="32803" spans="26:26" x14ac:dyDescent="0.25">
      <c r="Z32803">
        <v>400000</v>
      </c>
    </row>
    <row r="32804" spans="26:26" x14ac:dyDescent="0.25">
      <c r="Z32804">
        <v>400000</v>
      </c>
    </row>
    <row r="32805" spans="26:26" x14ac:dyDescent="0.25">
      <c r="Z32805">
        <v>400000</v>
      </c>
    </row>
    <row r="32806" spans="26:26" x14ac:dyDescent="0.25">
      <c r="Z32806">
        <v>400000</v>
      </c>
    </row>
    <row r="32807" spans="26:26" x14ac:dyDescent="0.25">
      <c r="Z32807">
        <v>400000</v>
      </c>
    </row>
    <row r="32808" spans="26:26" x14ac:dyDescent="0.25">
      <c r="Z32808">
        <v>400000</v>
      </c>
    </row>
    <row r="32809" spans="26:26" x14ac:dyDescent="0.25">
      <c r="Z32809">
        <v>400000</v>
      </c>
    </row>
    <row r="32810" spans="26:26" x14ac:dyDescent="0.25">
      <c r="Z32810">
        <v>400000</v>
      </c>
    </row>
    <row r="32811" spans="26:26" x14ac:dyDescent="0.25">
      <c r="Z32811">
        <v>400000</v>
      </c>
    </row>
    <row r="32812" spans="26:26" x14ac:dyDescent="0.25">
      <c r="Z32812">
        <v>400000</v>
      </c>
    </row>
    <row r="32813" spans="26:26" x14ac:dyDescent="0.25">
      <c r="Z32813">
        <v>400000</v>
      </c>
    </row>
    <row r="32814" spans="26:26" x14ac:dyDescent="0.25">
      <c r="Z32814">
        <v>400000</v>
      </c>
    </row>
    <row r="32815" spans="26:26" x14ac:dyDescent="0.25">
      <c r="Z32815">
        <v>400000</v>
      </c>
    </row>
    <row r="32816" spans="26:26" x14ac:dyDescent="0.25">
      <c r="Z32816">
        <v>400000</v>
      </c>
    </row>
    <row r="32817" spans="26:26" x14ac:dyDescent="0.25">
      <c r="Z32817">
        <v>400000</v>
      </c>
    </row>
    <row r="32818" spans="26:26" x14ac:dyDescent="0.25">
      <c r="Z32818">
        <v>400000</v>
      </c>
    </row>
    <row r="32819" spans="26:26" x14ac:dyDescent="0.25">
      <c r="Z32819">
        <v>400000</v>
      </c>
    </row>
    <row r="32820" spans="26:26" x14ac:dyDescent="0.25">
      <c r="Z32820">
        <v>400000</v>
      </c>
    </row>
    <row r="32821" spans="26:26" x14ac:dyDescent="0.25">
      <c r="Z32821">
        <v>400000</v>
      </c>
    </row>
    <row r="32822" spans="26:26" x14ac:dyDescent="0.25">
      <c r="Z32822">
        <v>400000</v>
      </c>
    </row>
    <row r="32823" spans="26:26" x14ac:dyDescent="0.25">
      <c r="Z32823">
        <v>400000</v>
      </c>
    </row>
    <row r="32824" spans="26:26" x14ac:dyDescent="0.25">
      <c r="Z32824">
        <v>400000</v>
      </c>
    </row>
    <row r="32825" spans="26:26" x14ac:dyDescent="0.25">
      <c r="Z32825">
        <v>400000</v>
      </c>
    </row>
    <row r="32826" spans="26:26" x14ac:dyDescent="0.25">
      <c r="Z32826">
        <v>400000</v>
      </c>
    </row>
    <row r="32827" spans="26:26" x14ac:dyDescent="0.25">
      <c r="Z32827">
        <v>400000</v>
      </c>
    </row>
    <row r="32828" spans="26:26" x14ac:dyDescent="0.25">
      <c r="Z32828">
        <v>400000</v>
      </c>
    </row>
    <row r="32829" spans="26:26" x14ac:dyDescent="0.25">
      <c r="Z32829">
        <v>400000</v>
      </c>
    </row>
    <row r="32830" spans="26:26" x14ac:dyDescent="0.25">
      <c r="Z32830">
        <v>400000</v>
      </c>
    </row>
    <row r="32831" spans="26:26" x14ac:dyDescent="0.25">
      <c r="Z32831">
        <v>400000</v>
      </c>
    </row>
    <row r="32832" spans="26:26" x14ac:dyDescent="0.25">
      <c r="Z32832">
        <v>400000</v>
      </c>
    </row>
    <row r="32833" spans="26:26" x14ac:dyDescent="0.25">
      <c r="Z32833">
        <v>400000</v>
      </c>
    </row>
    <row r="32834" spans="26:26" x14ac:dyDescent="0.25">
      <c r="Z32834">
        <v>400000</v>
      </c>
    </row>
    <row r="32835" spans="26:26" x14ac:dyDescent="0.25">
      <c r="Z32835">
        <v>400000</v>
      </c>
    </row>
    <row r="32836" spans="26:26" x14ac:dyDescent="0.25">
      <c r="Z32836">
        <v>400000</v>
      </c>
    </row>
    <row r="32837" spans="26:26" x14ac:dyDescent="0.25">
      <c r="Z32837">
        <v>400000</v>
      </c>
    </row>
    <row r="32838" spans="26:26" x14ac:dyDescent="0.25">
      <c r="Z32838">
        <v>400000</v>
      </c>
    </row>
    <row r="32839" spans="26:26" x14ac:dyDescent="0.25">
      <c r="Z32839">
        <v>400000</v>
      </c>
    </row>
    <row r="32840" spans="26:26" x14ac:dyDescent="0.25">
      <c r="Z32840">
        <v>400000</v>
      </c>
    </row>
    <row r="32841" spans="26:26" x14ac:dyDescent="0.25">
      <c r="Z32841">
        <v>400000</v>
      </c>
    </row>
    <row r="32842" spans="26:26" x14ac:dyDescent="0.25">
      <c r="Z32842">
        <v>400000</v>
      </c>
    </row>
    <row r="32843" spans="26:26" x14ac:dyDescent="0.25">
      <c r="Z32843">
        <v>400000</v>
      </c>
    </row>
    <row r="32844" spans="26:26" x14ac:dyDescent="0.25">
      <c r="Z32844">
        <v>400000</v>
      </c>
    </row>
    <row r="32845" spans="26:26" x14ac:dyDescent="0.25">
      <c r="Z32845">
        <v>400000</v>
      </c>
    </row>
    <row r="32846" spans="26:26" x14ac:dyDescent="0.25">
      <c r="Z32846">
        <v>400000</v>
      </c>
    </row>
    <row r="32847" spans="26:26" x14ac:dyDescent="0.25">
      <c r="Z32847">
        <v>400000</v>
      </c>
    </row>
    <row r="32848" spans="26:26" x14ac:dyDescent="0.25">
      <c r="Z32848">
        <v>400000</v>
      </c>
    </row>
    <row r="32849" spans="26:26" x14ac:dyDescent="0.25">
      <c r="Z32849">
        <v>400000</v>
      </c>
    </row>
    <row r="32850" spans="26:26" x14ac:dyDescent="0.25">
      <c r="Z32850">
        <v>400000</v>
      </c>
    </row>
    <row r="32851" spans="26:26" x14ac:dyDescent="0.25">
      <c r="Z32851">
        <v>400000</v>
      </c>
    </row>
    <row r="32852" spans="26:26" x14ac:dyDescent="0.25">
      <c r="Z32852">
        <v>400000</v>
      </c>
    </row>
    <row r="32853" spans="26:26" x14ac:dyDescent="0.25">
      <c r="Z32853">
        <v>400000</v>
      </c>
    </row>
    <row r="32854" spans="26:26" x14ac:dyDescent="0.25">
      <c r="Z32854">
        <v>400000</v>
      </c>
    </row>
    <row r="32855" spans="26:26" x14ac:dyDescent="0.25">
      <c r="Z32855">
        <v>400000</v>
      </c>
    </row>
    <row r="32856" spans="26:26" x14ac:dyDescent="0.25">
      <c r="Z32856">
        <v>400000</v>
      </c>
    </row>
    <row r="32857" spans="26:26" x14ac:dyDescent="0.25">
      <c r="Z32857">
        <v>400000</v>
      </c>
    </row>
    <row r="32858" spans="26:26" x14ac:dyDescent="0.25">
      <c r="Z32858">
        <v>400000</v>
      </c>
    </row>
    <row r="32859" spans="26:26" x14ac:dyDescent="0.25">
      <c r="Z32859">
        <v>400000</v>
      </c>
    </row>
    <row r="32860" spans="26:26" x14ac:dyDescent="0.25">
      <c r="Z32860">
        <v>400000</v>
      </c>
    </row>
    <row r="32861" spans="26:26" x14ac:dyDescent="0.25">
      <c r="Z32861">
        <v>400000</v>
      </c>
    </row>
    <row r="32862" spans="26:26" x14ac:dyDescent="0.25">
      <c r="Z32862">
        <v>400000</v>
      </c>
    </row>
    <row r="32863" spans="26:26" x14ac:dyDescent="0.25">
      <c r="Z32863">
        <v>400000</v>
      </c>
    </row>
    <row r="32864" spans="26:26" x14ac:dyDescent="0.25">
      <c r="Z32864">
        <v>400000</v>
      </c>
    </row>
    <row r="32865" spans="26:26" x14ac:dyDescent="0.25">
      <c r="Z32865">
        <v>400000</v>
      </c>
    </row>
    <row r="32866" spans="26:26" x14ac:dyDescent="0.25">
      <c r="Z32866">
        <v>400000</v>
      </c>
    </row>
    <row r="32867" spans="26:26" x14ac:dyDescent="0.25">
      <c r="Z32867">
        <v>400000</v>
      </c>
    </row>
    <row r="32868" spans="26:26" x14ac:dyDescent="0.25">
      <c r="Z32868">
        <v>400000</v>
      </c>
    </row>
    <row r="32869" spans="26:26" x14ac:dyDescent="0.25">
      <c r="Z32869">
        <v>400000</v>
      </c>
    </row>
    <row r="32870" spans="26:26" x14ac:dyDescent="0.25">
      <c r="Z32870">
        <v>400000</v>
      </c>
    </row>
    <row r="32871" spans="26:26" x14ac:dyDescent="0.25">
      <c r="Z32871">
        <v>400000</v>
      </c>
    </row>
    <row r="32872" spans="26:26" x14ac:dyDescent="0.25">
      <c r="Z32872">
        <v>400000</v>
      </c>
    </row>
    <row r="32873" spans="26:26" x14ac:dyDescent="0.25">
      <c r="Z32873">
        <v>400000</v>
      </c>
    </row>
    <row r="32874" spans="26:26" x14ac:dyDescent="0.25">
      <c r="Z32874">
        <v>400000</v>
      </c>
    </row>
    <row r="32875" spans="26:26" x14ac:dyDescent="0.25">
      <c r="Z32875">
        <v>400000</v>
      </c>
    </row>
    <row r="32876" spans="26:26" x14ac:dyDescent="0.25">
      <c r="Z32876">
        <v>400000</v>
      </c>
    </row>
    <row r="32877" spans="26:26" x14ac:dyDescent="0.25">
      <c r="Z32877">
        <v>400000</v>
      </c>
    </row>
    <row r="32878" spans="26:26" x14ac:dyDescent="0.25">
      <c r="Z32878">
        <v>400000</v>
      </c>
    </row>
    <row r="32879" spans="26:26" x14ac:dyDescent="0.25">
      <c r="Z32879">
        <v>400000</v>
      </c>
    </row>
    <row r="32880" spans="26:26" x14ac:dyDescent="0.25">
      <c r="Z32880">
        <v>400000</v>
      </c>
    </row>
    <row r="32881" spans="26:26" x14ac:dyDescent="0.25">
      <c r="Z32881">
        <v>400000</v>
      </c>
    </row>
    <row r="32882" spans="26:26" x14ac:dyDescent="0.25">
      <c r="Z32882">
        <v>400000</v>
      </c>
    </row>
    <row r="32883" spans="26:26" x14ac:dyDescent="0.25">
      <c r="Z32883">
        <v>400000</v>
      </c>
    </row>
    <row r="32884" spans="26:26" x14ac:dyDescent="0.25">
      <c r="Z32884">
        <v>400000</v>
      </c>
    </row>
    <row r="32885" spans="26:26" x14ac:dyDescent="0.25">
      <c r="Z32885">
        <v>400000</v>
      </c>
    </row>
    <row r="32886" spans="26:26" x14ac:dyDescent="0.25">
      <c r="Z32886">
        <v>400000</v>
      </c>
    </row>
    <row r="32887" spans="26:26" x14ac:dyDescent="0.25">
      <c r="Z32887">
        <v>400000</v>
      </c>
    </row>
    <row r="32888" spans="26:26" x14ac:dyDescent="0.25">
      <c r="Z32888">
        <v>400000</v>
      </c>
    </row>
    <row r="32889" spans="26:26" x14ac:dyDescent="0.25">
      <c r="Z32889">
        <v>400000</v>
      </c>
    </row>
    <row r="32890" spans="26:26" x14ac:dyDescent="0.25">
      <c r="Z32890">
        <v>400000</v>
      </c>
    </row>
    <row r="32891" spans="26:26" x14ac:dyDescent="0.25">
      <c r="Z32891">
        <v>400000</v>
      </c>
    </row>
    <row r="32892" spans="26:26" x14ac:dyDescent="0.25">
      <c r="Z32892">
        <v>400000</v>
      </c>
    </row>
    <row r="32893" spans="26:26" x14ac:dyDescent="0.25">
      <c r="Z32893">
        <v>400000</v>
      </c>
    </row>
    <row r="32894" spans="26:26" x14ac:dyDescent="0.25">
      <c r="Z32894">
        <v>400000</v>
      </c>
    </row>
    <row r="32895" spans="26:26" x14ac:dyDescent="0.25">
      <c r="Z32895">
        <v>400000</v>
      </c>
    </row>
    <row r="32896" spans="26:26" x14ac:dyDescent="0.25">
      <c r="Z32896">
        <v>400000</v>
      </c>
    </row>
    <row r="32897" spans="26:26" x14ac:dyDescent="0.25">
      <c r="Z32897">
        <v>400000</v>
      </c>
    </row>
    <row r="32898" spans="26:26" x14ac:dyDescent="0.25">
      <c r="Z32898">
        <v>400000</v>
      </c>
    </row>
    <row r="32899" spans="26:26" x14ac:dyDescent="0.25">
      <c r="Z32899">
        <v>400000</v>
      </c>
    </row>
    <row r="32900" spans="26:26" x14ac:dyDescent="0.25">
      <c r="Z32900">
        <v>400000</v>
      </c>
    </row>
    <row r="32901" spans="26:26" x14ac:dyDescent="0.25">
      <c r="Z32901">
        <v>400000</v>
      </c>
    </row>
    <row r="32902" spans="26:26" x14ac:dyDescent="0.25">
      <c r="Z32902">
        <v>400000</v>
      </c>
    </row>
    <row r="32903" spans="26:26" x14ac:dyDescent="0.25">
      <c r="Z32903">
        <v>400000</v>
      </c>
    </row>
    <row r="32904" spans="26:26" x14ac:dyDescent="0.25">
      <c r="Z32904">
        <v>400000</v>
      </c>
    </row>
    <row r="32905" spans="26:26" x14ac:dyDescent="0.25">
      <c r="Z32905">
        <v>400000</v>
      </c>
    </row>
    <row r="32906" spans="26:26" x14ac:dyDescent="0.25">
      <c r="Z32906">
        <v>400000</v>
      </c>
    </row>
    <row r="32907" spans="26:26" x14ac:dyDescent="0.25">
      <c r="Z32907">
        <v>400000</v>
      </c>
    </row>
    <row r="32908" spans="26:26" x14ac:dyDescent="0.25">
      <c r="Z32908">
        <v>400000</v>
      </c>
    </row>
    <row r="32909" spans="26:26" x14ac:dyDescent="0.25">
      <c r="Z32909">
        <v>400000</v>
      </c>
    </row>
    <row r="32910" spans="26:26" x14ac:dyDescent="0.25">
      <c r="Z32910">
        <v>400000</v>
      </c>
    </row>
    <row r="32911" spans="26:26" x14ac:dyDescent="0.25">
      <c r="Z32911">
        <v>400000</v>
      </c>
    </row>
    <row r="32912" spans="26:26" x14ac:dyDescent="0.25">
      <c r="Z32912">
        <v>400000</v>
      </c>
    </row>
    <row r="32913" spans="26:26" x14ac:dyDescent="0.25">
      <c r="Z32913">
        <v>400000</v>
      </c>
    </row>
    <row r="32914" spans="26:26" x14ac:dyDescent="0.25">
      <c r="Z32914">
        <v>400000</v>
      </c>
    </row>
    <row r="32915" spans="26:26" x14ac:dyDescent="0.25">
      <c r="Z32915">
        <v>400000</v>
      </c>
    </row>
    <row r="32916" spans="26:26" x14ac:dyDescent="0.25">
      <c r="Z32916">
        <v>400000</v>
      </c>
    </row>
    <row r="32917" spans="26:26" x14ac:dyDescent="0.25">
      <c r="Z32917">
        <v>400000</v>
      </c>
    </row>
    <row r="32918" spans="26:26" x14ac:dyDescent="0.25">
      <c r="Z32918">
        <v>400000</v>
      </c>
    </row>
    <row r="32919" spans="26:26" x14ac:dyDescent="0.25">
      <c r="Z32919">
        <v>400000</v>
      </c>
    </row>
    <row r="32920" spans="26:26" x14ac:dyDescent="0.25">
      <c r="Z32920">
        <v>400000</v>
      </c>
    </row>
    <row r="32921" spans="26:26" x14ac:dyDescent="0.25">
      <c r="Z32921">
        <v>400000</v>
      </c>
    </row>
    <row r="32922" spans="26:26" x14ac:dyDescent="0.25">
      <c r="Z32922">
        <v>400000</v>
      </c>
    </row>
    <row r="32923" spans="26:26" x14ac:dyDescent="0.25">
      <c r="Z32923">
        <v>400000</v>
      </c>
    </row>
    <row r="32924" spans="26:26" x14ac:dyDescent="0.25">
      <c r="Z32924">
        <v>400000</v>
      </c>
    </row>
    <row r="32925" spans="26:26" x14ac:dyDescent="0.25">
      <c r="Z32925">
        <v>400000</v>
      </c>
    </row>
    <row r="32926" spans="26:26" x14ac:dyDescent="0.25">
      <c r="Z32926">
        <v>400000</v>
      </c>
    </row>
    <row r="32927" spans="26:26" x14ac:dyDescent="0.25">
      <c r="Z32927">
        <v>400000</v>
      </c>
    </row>
    <row r="32928" spans="26:26" x14ac:dyDescent="0.25">
      <c r="Z32928">
        <v>400000</v>
      </c>
    </row>
    <row r="32929" spans="26:26" x14ac:dyDescent="0.25">
      <c r="Z32929">
        <v>400000</v>
      </c>
    </row>
    <row r="32930" spans="26:26" x14ac:dyDescent="0.25">
      <c r="Z32930">
        <v>400000</v>
      </c>
    </row>
    <row r="32931" spans="26:26" x14ac:dyDescent="0.25">
      <c r="Z32931">
        <v>400000</v>
      </c>
    </row>
    <row r="32932" spans="26:26" x14ac:dyDescent="0.25">
      <c r="Z32932">
        <v>400000</v>
      </c>
    </row>
    <row r="32933" spans="26:26" x14ac:dyDescent="0.25">
      <c r="Z32933">
        <v>400000</v>
      </c>
    </row>
    <row r="32934" spans="26:26" x14ac:dyDescent="0.25">
      <c r="Z32934">
        <v>400000</v>
      </c>
    </row>
    <row r="32935" spans="26:26" x14ac:dyDescent="0.25">
      <c r="Z32935">
        <v>400000</v>
      </c>
    </row>
    <row r="32936" spans="26:26" x14ac:dyDescent="0.25">
      <c r="Z32936">
        <v>400000</v>
      </c>
    </row>
    <row r="32937" spans="26:26" x14ac:dyDescent="0.25">
      <c r="Z32937">
        <v>400000</v>
      </c>
    </row>
    <row r="32938" spans="26:26" x14ac:dyDescent="0.25">
      <c r="Z32938">
        <v>400000</v>
      </c>
    </row>
    <row r="32939" spans="26:26" x14ac:dyDescent="0.25">
      <c r="Z32939">
        <v>400000</v>
      </c>
    </row>
    <row r="32940" spans="26:26" x14ac:dyDescent="0.25">
      <c r="Z32940">
        <v>400000</v>
      </c>
    </row>
    <row r="32941" spans="26:26" x14ac:dyDescent="0.25">
      <c r="Z32941">
        <v>400000</v>
      </c>
    </row>
    <row r="32942" spans="26:26" x14ac:dyDescent="0.25">
      <c r="Z32942">
        <v>400000</v>
      </c>
    </row>
    <row r="32943" spans="26:26" x14ac:dyDescent="0.25">
      <c r="Z32943">
        <v>400000</v>
      </c>
    </row>
    <row r="32944" spans="26:26" x14ac:dyDescent="0.25">
      <c r="Z32944">
        <v>400000</v>
      </c>
    </row>
    <row r="32945" spans="26:26" x14ac:dyDescent="0.25">
      <c r="Z32945">
        <v>400000</v>
      </c>
    </row>
    <row r="32946" spans="26:26" x14ac:dyDescent="0.25">
      <c r="Z32946">
        <v>400000</v>
      </c>
    </row>
    <row r="32947" spans="26:26" x14ac:dyDescent="0.25">
      <c r="Z32947">
        <v>400000</v>
      </c>
    </row>
    <row r="32948" spans="26:26" x14ac:dyDescent="0.25">
      <c r="Z32948">
        <v>400000</v>
      </c>
    </row>
    <row r="32949" spans="26:26" x14ac:dyDescent="0.25">
      <c r="Z32949">
        <v>400000</v>
      </c>
    </row>
    <row r="32950" spans="26:26" x14ac:dyDescent="0.25">
      <c r="Z32950">
        <v>400000</v>
      </c>
    </row>
    <row r="32951" spans="26:26" x14ac:dyDescent="0.25">
      <c r="Z32951">
        <v>400000</v>
      </c>
    </row>
    <row r="32952" spans="26:26" x14ac:dyDescent="0.25">
      <c r="Z32952">
        <v>400000</v>
      </c>
    </row>
    <row r="32953" spans="26:26" x14ac:dyDescent="0.25">
      <c r="Z32953">
        <v>400000</v>
      </c>
    </row>
    <row r="32954" spans="26:26" x14ac:dyDescent="0.25">
      <c r="Z32954">
        <v>400000</v>
      </c>
    </row>
    <row r="32955" spans="26:26" x14ac:dyDescent="0.25">
      <c r="Z32955">
        <v>400000</v>
      </c>
    </row>
    <row r="32956" spans="26:26" x14ac:dyDescent="0.25">
      <c r="Z32956">
        <v>400000</v>
      </c>
    </row>
    <row r="32957" spans="26:26" x14ac:dyDescent="0.25">
      <c r="Z32957">
        <v>400000</v>
      </c>
    </row>
    <row r="32958" spans="26:26" x14ac:dyDescent="0.25">
      <c r="Z32958">
        <v>400000</v>
      </c>
    </row>
    <row r="32959" spans="26:26" x14ac:dyDescent="0.25">
      <c r="Z32959">
        <v>400000</v>
      </c>
    </row>
    <row r="32960" spans="26:26" x14ac:dyDescent="0.25">
      <c r="Z32960">
        <v>400000</v>
      </c>
    </row>
    <row r="32961" spans="26:26" x14ac:dyDescent="0.25">
      <c r="Z32961">
        <v>400000</v>
      </c>
    </row>
    <row r="32962" spans="26:26" x14ac:dyDescent="0.25">
      <c r="Z32962">
        <v>400000</v>
      </c>
    </row>
    <row r="32963" spans="26:26" x14ac:dyDescent="0.25">
      <c r="Z32963">
        <v>400000</v>
      </c>
    </row>
    <row r="32964" spans="26:26" x14ac:dyDescent="0.25">
      <c r="Z32964">
        <v>400000</v>
      </c>
    </row>
    <row r="32965" spans="26:26" x14ac:dyDescent="0.25">
      <c r="Z32965">
        <v>400000</v>
      </c>
    </row>
    <row r="32966" spans="26:26" x14ac:dyDescent="0.25">
      <c r="Z32966">
        <v>400000</v>
      </c>
    </row>
    <row r="32967" spans="26:26" x14ac:dyDescent="0.25">
      <c r="Z32967">
        <v>400000</v>
      </c>
    </row>
    <row r="32968" spans="26:26" x14ac:dyDescent="0.25">
      <c r="Z32968">
        <v>400000</v>
      </c>
    </row>
    <row r="32969" spans="26:26" x14ac:dyDescent="0.25">
      <c r="Z32969">
        <v>400000</v>
      </c>
    </row>
    <row r="32970" spans="26:26" x14ac:dyDescent="0.25">
      <c r="Z32970">
        <v>400000</v>
      </c>
    </row>
    <row r="32971" spans="26:26" x14ac:dyDescent="0.25">
      <c r="Z32971">
        <v>400000</v>
      </c>
    </row>
    <row r="32972" spans="26:26" x14ac:dyDescent="0.25">
      <c r="Z32972">
        <v>400000</v>
      </c>
    </row>
    <row r="32973" spans="26:26" x14ac:dyDescent="0.25">
      <c r="Z32973">
        <v>400000</v>
      </c>
    </row>
    <row r="32974" spans="26:26" x14ac:dyDescent="0.25">
      <c r="Z32974">
        <v>400000</v>
      </c>
    </row>
    <row r="32975" spans="26:26" x14ac:dyDescent="0.25">
      <c r="Z32975">
        <v>400000</v>
      </c>
    </row>
    <row r="32976" spans="26:26" x14ac:dyDescent="0.25">
      <c r="Z32976">
        <v>400000</v>
      </c>
    </row>
    <row r="32977" spans="26:26" x14ac:dyDescent="0.25">
      <c r="Z32977">
        <v>400000</v>
      </c>
    </row>
    <row r="32978" spans="26:26" x14ac:dyDescent="0.25">
      <c r="Z32978">
        <v>400000</v>
      </c>
    </row>
    <row r="32979" spans="26:26" x14ac:dyDescent="0.25">
      <c r="Z32979">
        <v>400000</v>
      </c>
    </row>
    <row r="32980" spans="26:26" x14ac:dyDescent="0.25">
      <c r="Z32980">
        <v>400000</v>
      </c>
    </row>
    <row r="32981" spans="26:26" x14ac:dyDescent="0.25">
      <c r="Z32981">
        <v>400000</v>
      </c>
    </row>
    <row r="32982" spans="26:26" x14ac:dyDescent="0.25">
      <c r="Z32982">
        <v>400000</v>
      </c>
    </row>
    <row r="32983" spans="26:26" x14ac:dyDescent="0.25">
      <c r="Z32983">
        <v>400000</v>
      </c>
    </row>
    <row r="32984" spans="26:26" x14ac:dyDescent="0.25">
      <c r="Z32984">
        <v>400000</v>
      </c>
    </row>
    <row r="32985" spans="26:26" x14ac:dyDescent="0.25">
      <c r="Z32985">
        <v>400000</v>
      </c>
    </row>
    <row r="32986" spans="26:26" x14ac:dyDescent="0.25">
      <c r="Z32986">
        <v>400000</v>
      </c>
    </row>
    <row r="32987" spans="26:26" x14ac:dyDescent="0.25">
      <c r="Z32987">
        <v>400000</v>
      </c>
    </row>
    <row r="32988" spans="26:26" x14ac:dyDescent="0.25">
      <c r="Z32988">
        <v>400000</v>
      </c>
    </row>
    <row r="32989" spans="26:26" x14ac:dyDescent="0.25">
      <c r="Z32989">
        <v>400000</v>
      </c>
    </row>
    <row r="32990" spans="26:26" x14ac:dyDescent="0.25">
      <c r="Z32990">
        <v>400000</v>
      </c>
    </row>
    <row r="32991" spans="26:26" x14ac:dyDescent="0.25">
      <c r="Z32991">
        <v>400000</v>
      </c>
    </row>
    <row r="32992" spans="26:26" x14ac:dyDescent="0.25">
      <c r="Z32992">
        <v>400000</v>
      </c>
    </row>
    <row r="32993" spans="26:26" x14ac:dyDescent="0.25">
      <c r="Z32993">
        <v>400000</v>
      </c>
    </row>
    <row r="32994" spans="26:26" x14ac:dyDescent="0.25">
      <c r="Z32994">
        <v>400000</v>
      </c>
    </row>
    <row r="32995" spans="26:26" x14ac:dyDescent="0.25">
      <c r="Z32995">
        <v>400000</v>
      </c>
    </row>
    <row r="32996" spans="26:26" x14ac:dyDescent="0.25">
      <c r="Z32996">
        <v>400000</v>
      </c>
    </row>
    <row r="32997" spans="26:26" x14ac:dyDescent="0.25">
      <c r="Z32997">
        <v>400000</v>
      </c>
    </row>
    <row r="32998" spans="26:26" x14ac:dyDescent="0.25">
      <c r="Z32998">
        <v>400000</v>
      </c>
    </row>
    <row r="32999" spans="26:26" x14ac:dyDescent="0.25">
      <c r="Z32999">
        <v>400000</v>
      </c>
    </row>
    <row r="33000" spans="26:26" x14ac:dyDescent="0.25">
      <c r="Z33000">
        <v>400000</v>
      </c>
    </row>
    <row r="33001" spans="26:26" x14ac:dyDescent="0.25">
      <c r="Z33001">
        <v>400000</v>
      </c>
    </row>
    <row r="33002" spans="26:26" x14ac:dyDescent="0.25">
      <c r="Z33002">
        <v>400000</v>
      </c>
    </row>
    <row r="33003" spans="26:26" x14ac:dyDescent="0.25">
      <c r="Z33003">
        <v>400000</v>
      </c>
    </row>
    <row r="33004" spans="26:26" x14ac:dyDescent="0.25">
      <c r="Z33004">
        <v>400000</v>
      </c>
    </row>
    <row r="33005" spans="26:26" x14ac:dyDescent="0.25">
      <c r="Z33005">
        <v>400000</v>
      </c>
    </row>
    <row r="33006" spans="26:26" x14ac:dyDescent="0.25">
      <c r="Z33006">
        <v>400000</v>
      </c>
    </row>
    <row r="33007" spans="26:26" x14ac:dyDescent="0.25">
      <c r="Z33007">
        <v>400000</v>
      </c>
    </row>
    <row r="33008" spans="26:26" x14ac:dyDescent="0.25">
      <c r="Z33008">
        <v>400000</v>
      </c>
    </row>
    <row r="33009" spans="26:26" x14ac:dyDescent="0.25">
      <c r="Z33009">
        <v>400000</v>
      </c>
    </row>
    <row r="33010" spans="26:26" x14ac:dyDescent="0.25">
      <c r="Z33010">
        <v>400000</v>
      </c>
    </row>
    <row r="33011" spans="26:26" x14ac:dyDescent="0.25">
      <c r="Z33011">
        <v>400000</v>
      </c>
    </row>
    <row r="33012" spans="26:26" x14ac:dyDescent="0.25">
      <c r="Z33012">
        <v>400000</v>
      </c>
    </row>
    <row r="33013" spans="26:26" x14ac:dyDescent="0.25">
      <c r="Z33013">
        <v>400000</v>
      </c>
    </row>
    <row r="33014" spans="26:26" x14ac:dyDescent="0.25">
      <c r="Z33014">
        <v>400000</v>
      </c>
    </row>
    <row r="33015" spans="26:26" x14ac:dyDescent="0.25">
      <c r="Z33015">
        <v>400000</v>
      </c>
    </row>
    <row r="33016" spans="26:26" x14ac:dyDescent="0.25">
      <c r="Z33016">
        <v>400000</v>
      </c>
    </row>
    <row r="33017" spans="26:26" x14ac:dyDescent="0.25">
      <c r="Z33017">
        <v>400000</v>
      </c>
    </row>
    <row r="33018" spans="26:26" x14ac:dyDescent="0.25">
      <c r="Z33018">
        <v>400000</v>
      </c>
    </row>
    <row r="33019" spans="26:26" x14ac:dyDescent="0.25">
      <c r="Z33019">
        <v>400000</v>
      </c>
    </row>
    <row r="33020" spans="26:26" x14ac:dyDescent="0.25">
      <c r="Z33020">
        <v>400000</v>
      </c>
    </row>
    <row r="33021" spans="26:26" x14ac:dyDescent="0.25">
      <c r="Z33021">
        <v>400000</v>
      </c>
    </row>
    <row r="33022" spans="26:26" x14ac:dyDescent="0.25">
      <c r="Z33022">
        <v>400000</v>
      </c>
    </row>
    <row r="33023" spans="26:26" x14ac:dyDescent="0.25">
      <c r="Z33023">
        <v>400000</v>
      </c>
    </row>
    <row r="33024" spans="26:26" x14ac:dyDescent="0.25">
      <c r="Z33024">
        <v>400000</v>
      </c>
    </row>
    <row r="33025" spans="26:26" x14ac:dyDescent="0.25">
      <c r="Z33025">
        <v>400000</v>
      </c>
    </row>
    <row r="33026" spans="26:26" x14ac:dyDescent="0.25">
      <c r="Z33026">
        <v>400000</v>
      </c>
    </row>
    <row r="33027" spans="26:26" x14ac:dyDescent="0.25">
      <c r="Z33027">
        <v>400000</v>
      </c>
    </row>
    <row r="33028" spans="26:26" x14ac:dyDescent="0.25">
      <c r="Z33028">
        <v>400000</v>
      </c>
    </row>
    <row r="33029" spans="26:26" x14ac:dyDescent="0.25">
      <c r="Z33029">
        <v>400000</v>
      </c>
    </row>
    <row r="33030" spans="26:26" x14ac:dyDescent="0.25">
      <c r="Z33030">
        <v>400000</v>
      </c>
    </row>
    <row r="33031" spans="26:26" x14ac:dyDescent="0.25">
      <c r="Z33031">
        <v>400000</v>
      </c>
    </row>
    <row r="33032" spans="26:26" x14ac:dyDescent="0.25">
      <c r="Z33032">
        <v>400000</v>
      </c>
    </row>
    <row r="33033" spans="26:26" x14ac:dyDescent="0.25">
      <c r="Z33033">
        <v>400000</v>
      </c>
    </row>
    <row r="33034" spans="26:26" x14ac:dyDescent="0.25">
      <c r="Z33034">
        <v>400000</v>
      </c>
    </row>
    <row r="33035" spans="26:26" x14ac:dyDescent="0.25">
      <c r="Z33035">
        <v>400000</v>
      </c>
    </row>
    <row r="33036" spans="26:26" x14ac:dyDescent="0.25">
      <c r="Z33036">
        <v>400000</v>
      </c>
    </row>
    <row r="33037" spans="26:26" x14ac:dyDescent="0.25">
      <c r="Z33037">
        <v>400000</v>
      </c>
    </row>
    <row r="33038" spans="26:26" x14ac:dyDescent="0.25">
      <c r="Z33038">
        <v>400000</v>
      </c>
    </row>
    <row r="33039" spans="26:26" x14ac:dyDescent="0.25">
      <c r="Z33039">
        <v>400000</v>
      </c>
    </row>
    <row r="33040" spans="26:26" x14ac:dyDescent="0.25">
      <c r="Z33040">
        <v>400000</v>
      </c>
    </row>
    <row r="33041" spans="26:26" x14ac:dyDescent="0.25">
      <c r="Z33041">
        <v>400000</v>
      </c>
    </row>
    <row r="33042" spans="26:26" x14ac:dyDescent="0.25">
      <c r="Z33042">
        <v>400000</v>
      </c>
    </row>
    <row r="33043" spans="26:26" x14ac:dyDescent="0.25">
      <c r="Z33043">
        <v>400000</v>
      </c>
    </row>
    <row r="33044" spans="26:26" x14ac:dyDescent="0.25">
      <c r="Z33044">
        <v>400000</v>
      </c>
    </row>
    <row r="33045" spans="26:26" x14ac:dyDescent="0.25">
      <c r="Z33045">
        <v>400000</v>
      </c>
    </row>
    <row r="33046" spans="26:26" x14ac:dyDescent="0.25">
      <c r="Z33046">
        <v>400000</v>
      </c>
    </row>
    <row r="33047" spans="26:26" x14ac:dyDescent="0.25">
      <c r="Z33047">
        <v>400000</v>
      </c>
    </row>
    <row r="33048" spans="26:26" x14ac:dyDescent="0.25">
      <c r="Z33048">
        <v>400000</v>
      </c>
    </row>
    <row r="33049" spans="26:26" x14ac:dyDescent="0.25">
      <c r="Z33049">
        <v>400000</v>
      </c>
    </row>
    <row r="33050" spans="26:26" x14ac:dyDescent="0.25">
      <c r="Z33050">
        <v>400000</v>
      </c>
    </row>
    <row r="33051" spans="26:26" x14ac:dyDescent="0.25">
      <c r="Z33051">
        <v>400000</v>
      </c>
    </row>
    <row r="33052" spans="26:26" x14ac:dyDescent="0.25">
      <c r="Z33052">
        <v>400000</v>
      </c>
    </row>
    <row r="33053" spans="26:26" x14ac:dyDescent="0.25">
      <c r="Z33053">
        <v>400000</v>
      </c>
    </row>
    <row r="33054" spans="26:26" x14ac:dyDescent="0.25">
      <c r="Z33054">
        <v>400000</v>
      </c>
    </row>
    <row r="33055" spans="26:26" x14ac:dyDescent="0.25">
      <c r="Z33055">
        <v>400000</v>
      </c>
    </row>
    <row r="33056" spans="26:26" x14ac:dyDescent="0.25">
      <c r="Z33056">
        <v>400000</v>
      </c>
    </row>
    <row r="33057" spans="26:26" x14ac:dyDescent="0.25">
      <c r="Z33057">
        <v>400000</v>
      </c>
    </row>
    <row r="33058" spans="26:26" x14ac:dyDescent="0.25">
      <c r="Z33058">
        <v>400000</v>
      </c>
    </row>
    <row r="33059" spans="26:26" x14ac:dyDescent="0.25">
      <c r="Z33059">
        <v>400000</v>
      </c>
    </row>
    <row r="33060" spans="26:26" x14ac:dyDescent="0.25">
      <c r="Z33060">
        <v>400000</v>
      </c>
    </row>
    <row r="33061" spans="26:26" x14ac:dyDescent="0.25">
      <c r="Z33061">
        <v>400000</v>
      </c>
    </row>
    <row r="33062" spans="26:26" x14ac:dyDescent="0.25">
      <c r="Z33062">
        <v>400000</v>
      </c>
    </row>
    <row r="33063" spans="26:26" x14ac:dyDescent="0.25">
      <c r="Z33063">
        <v>400000</v>
      </c>
    </row>
    <row r="33064" spans="26:26" x14ac:dyDescent="0.25">
      <c r="Z33064">
        <v>400000</v>
      </c>
    </row>
    <row r="33065" spans="26:26" x14ac:dyDescent="0.25">
      <c r="Z33065">
        <v>400000</v>
      </c>
    </row>
    <row r="33066" spans="26:26" x14ac:dyDescent="0.25">
      <c r="Z33066">
        <v>400000</v>
      </c>
    </row>
    <row r="33067" spans="26:26" x14ac:dyDescent="0.25">
      <c r="Z33067">
        <v>400000</v>
      </c>
    </row>
    <row r="33068" spans="26:26" x14ac:dyDescent="0.25">
      <c r="Z33068">
        <v>400000</v>
      </c>
    </row>
    <row r="33069" spans="26:26" x14ac:dyDescent="0.25">
      <c r="Z33069">
        <v>400000</v>
      </c>
    </row>
    <row r="33070" spans="26:26" x14ac:dyDescent="0.25">
      <c r="Z33070">
        <v>400000</v>
      </c>
    </row>
    <row r="33071" spans="26:26" x14ac:dyDescent="0.25">
      <c r="Z33071">
        <v>400000</v>
      </c>
    </row>
    <row r="33072" spans="26:26" x14ac:dyDescent="0.25">
      <c r="Z33072">
        <v>400000</v>
      </c>
    </row>
    <row r="33073" spans="26:26" x14ac:dyDescent="0.25">
      <c r="Z33073">
        <v>400000</v>
      </c>
    </row>
    <row r="33074" spans="26:26" x14ac:dyDescent="0.25">
      <c r="Z33074">
        <v>400000</v>
      </c>
    </row>
    <row r="33075" spans="26:26" x14ac:dyDescent="0.25">
      <c r="Z33075">
        <v>400000</v>
      </c>
    </row>
    <row r="33076" spans="26:26" x14ac:dyDescent="0.25">
      <c r="Z33076">
        <v>400000</v>
      </c>
    </row>
    <row r="33077" spans="26:26" x14ac:dyDescent="0.25">
      <c r="Z33077">
        <v>400000</v>
      </c>
    </row>
    <row r="33078" spans="26:26" x14ac:dyDescent="0.25">
      <c r="Z33078">
        <v>400000</v>
      </c>
    </row>
    <row r="33079" spans="26:26" x14ac:dyDescent="0.25">
      <c r="Z33079">
        <v>400000</v>
      </c>
    </row>
    <row r="33080" spans="26:26" x14ac:dyDescent="0.25">
      <c r="Z33080">
        <v>400000</v>
      </c>
    </row>
    <row r="33081" spans="26:26" x14ac:dyDescent="0.25">
      <c r="Z33081">
        <v>400000</v>
      </c>
    </row>
    <row r="33082" spans="26:26" x14ac:dyDescent="0.25">
      <c r="Z33082">
        <v>400000</v>
      </c>
    </row>
    <row r="33083" spans="26:26" x14ac:dyDescent="0.25">
      <c r="Z33083">
        <v>400000</v>
      </c>
    </row>
    <row r="33084" spans="26:26" x14ac:dyDescent="0.25">
      <c r="Z33084">
        <v>400000</v>
      </c>
    </row>
    <row r="33085" spans="26:26" x14ac:dyDescent="0.25">
      <c r="Z33085">
        <v>400000</v>
      </c>
    </row>
    <row r="33086" spans="26:26" x14ac:dyDescent="0.25">
      <c r="Z33086">
        <v>400000</v>
      </c>
    </row>
    <row r="33087" spans="26:26" x14ac:dyDescent="0.25">
      <c r="Z33087">
        <v>400000</v>
      </c>
    </row>
    <row r="33088" spans="26:26" x14ac:dyDescent="0.25">
      <c r="Z33088">
        <v>400000</v>
      </c>
    </row>
    <row r="33089" spans="26:26" x14ac:dyDescent="0.25">
      <c r="Z33089">
        <v>400000</v>
      </c>
    </row>
    <row r="33090" spans="26:26" x14ac:dyDescent="0.25">
      <c r="Z33090">
        <v>400000</v>
      </c>
    </row>
    <row r="33091" spans="26:26" x14ac:dyDescent="0.25">
      <c r="Z33091">
        <v>400000</v>
      </c>
    </row>
    <row r="33092" spans="26:26" x14ac:dyDescent="0.25">
      <c r="Z33092">
        <v>400000</v>
      </c>
    </row>
    <row r="33093" spans="26:26" x14ac:dyDescent="0.25">
      <c r="Z33093">
        <v>400000</v>
      </c>
    </row>
    <row r="33094" spans="26:26" x14ac:dyDescent="0.25">
      <c r="Z33094">
        <v>400000</v>
      </c>
    </row>
    <row r="33095" spans="26:26" x14ac:dyDescent="0.25">
      <c r="Z33095">
        <v>400000</v>
      </c>
    </row>
    <row r="33096" spans="26:26" x14ac:dyDescent="0.25">
      <c r="Z33096">
        <v>400000</v>
      </c>
    </row>
    <row r="33097" spans="26:26" x14ac:dyDescent="0.25">
      <c r="Z33097">
        <v>400000</v>
      </c>
    </row>
    <row r="33098" spans="26:26" x14ac:dyDescent="0.25">
      <c r="Z33098">
        <v>400000</v>
      </c>
    </row>
    <row r="33099" spans="26:26" x14ac:dyDescent="0.25">
      <c r="Z33099">
        <v>400000</v>
      </c>
    </row>
    <row r="33100" spans="26:26" x14ac:dyDescent="0.25">
      <c r="Z33100">
        <v>400000</v>
      </c>
    </row>
    <row r="33101" spans="26:26" x14ac:dyDescent="0.25">
      <c r="Z33101">
        <v>400000</v>
      </c>
    </row>
    <row r="33102" spans="26:26" x14ac:dyDescent="0.25">
      <c r="Z33102">
        <v>400000</v>
      </c>
    </row>
    <row r="33103" spans="26:26" x14ac:dyDescent="0.25">
      <c r="Z33103">
        <v>400000</v>
      </c>
    </row>
    <row r="33104" spans="26:26" x14ac:dyDescent="0.25">
      <c r="Z33104">
        <v>400000</v>
      </c>
    </row>
    <row r="33105" spans="26:26" x14ac:dyDescent="0.25">
      <c r="Z33105">
        <v>400000</v>
      </c>
    </row>
    <row r="33106" spans="26:26" x14ac:dyDescent="0.25">
      <c r="Z33106">
        <v>400000</v>
      </c>
    </row>
    <row r="33107" spans="26:26" x14ac:dyDescent="0.25">
      <c r="Z33107">
        <v>400000</v>
      </c>
    </row>
    <row r="33108" spans="26:26" x14ac:dyDescent="0.25">
      <c r="Z33108">
        <v>400000</v>
      </c>
    </row>
    <row r="33109" spans="26:26" x14ac:dyDescent="0.25">
      <c r="Z33109">
        <v>400000</v>
      </c>
    </row>
    <row r="33110" spans="26:26" x14ac:dyDescent="0.25">
      <c r="Z33110">
        <v>400000</v>
      </c>
    </row>
    <row r="33111" spans="26:26" x14ac:dyDescent="0.25">
      <c r="Z33111">
        <v>400000</v>
      </c>
    </row>
    <row r="33112" spans="26:26" x14ac:dyDescent="0.25">
      <c r="Z33112">
        <v>400000</v>
      </c>
    </row>
    <row r="33113" spans="26:26" x14ac:dyDescent="0.25">
      <c r="Z33113">
        <v>400000</v>
      </c>
    </row>
    <row r="33114" spans="26:26" x14ac:dyDescent="0.25">
      <c r="Z33114">
        <v>400000</v>
      </c>
    </row>
    <row r="33115" spans="26:26" x14ac:dyDescent="0.25">
      <c r="Z33115">
        <v>400000</v>
      </c>
    </row>
    <row r="33116" spans="26:26" x14ac:dyDescent="0.25">
      <c r="Z33116">
        <v>400000</v>
      </c>
    </row>
    <row r="33117" spans="26:26" x14ac:dyDescent="0.25">
      <c r="Z33117">
        <v>400000</v>
      </c>
    </row>
    <row r="33118" spans="26:26" x14ac:dyDescent="0.25">
      <c r="Z33118">
        <v>400000</v>
      </c>
    </row>
    <row r="33119" spans="26:26" x14ac:dyDescent="0.25">
      <c r="Z33119">
        <v>400000</v>
      </c>
    </row>
    <row r="33120" spans="26:26" x14ac:dyDescent="0.25">
      <c r="Z33120">
        <v>400000</v>
      </c>
    </row>
    <row r="33121" spans="26:26" x14ac:dyDescent="0.25">
      <c r="Z33121">
        <v>400000</v>
      </c>
    </row>
    <row r="33122" spans="26:26" x14ac:dyDescent="0.25">
      <c r="Z33122">
        <v>400000</v>
      </c>
    </row>
    <row r="33123" spans="26:26" x14ac:dyDescent="0.25">
      <c r="Z33123">
        <v>400000</v>
      </c>
    </row>
    <row r="33124" spans="26:26" x14ac:dyDescent="0.25">
      <c r="Z33124">
        <v>400000</v>
      </c>
    </row>
    <row r="33125" spans="26:26" x14ac:dyDescent="0.25">
      <c r="Z33125">
        <v>400000</v>
      </c>
    </row>
    <row r="33126" spans="26:26" x14ac:dyDescent="0.25">
      <c r="Z33126">
        <v>400000</v>
      </c>
    </row>
    <row r="33127" spans="26:26" x14ac:dyDescent="0.25">
      <c r="Z33127">
        <v>400000</v>
      </c>
    </row>
    <row r="33128" spans="26:26" x14ac:dyDescent="0.25">
      <c r="Z33128">
        <v>400000</v>
      </c>
    </row>
    <row r="33129" spans="26:26" x14ac:dyDescent="0.25">
      <c r="Z33129">
        <v>400000</v>
      </c>
    </row>
    <row r="33130" spans="26:26" x14ac:dyDescent="0.25">
      <c r="Z33130">
        <v>400000</v>
      </c>
    </row>
    <row r="33131" spans="26:26" x14ac:dyDescent="0.25">
      <c r="Z33131">
        <v>400000</v>
      </c>
    </row>
    <row r="33132" spans="26:26" x14ac:dyDescent="0.25">
      <c r="Z33132">
        <v>400000</v>
      </c>
    </row>
    <row r="33133" spans="26:26" x14ac:dyDescent="0.25">
      <c r="Z33133">
        <v>400000</v>
      </c>
    </row>
    <row r="33134" spans="26:26" x14ac:dyDescent="0.25">
      <c r="Z33134">
        <v>400000</v>
      </c>
    </row>
    <row r="33135" spans="26:26" x14ac:dyDescent="0.25">
      <c r="Z33135">
        <v>400000</v>
      </c>
    </row>
    <row r="33136" spans="26:26" x14ac:dyDescent="0.25">
      <c r="Z33136">
        <v>400000</v>
      </c>
    </row>
    <row r="33137" spans="26:26" x14ac:dyDescent="0.25">
      <c r="Z33137">
        <v>400000</v>
      </c>
    </row>
    <row r="33138" spans="26:26" x14ac:dyDescent="0.25">
      <c r="Z33138">
        <v>400000</v>
      </c>
    </row>
    <row r="33139" spans="26:26" x14ac:dyDescent="0.25">
      <c r="Z33139">
        <v>400000</v>
      </c>
    </row>
    <row r="33140" spans="26:26" x14ac:dyDescent="0.25">
      <c r="Z33140">
        <v>400000</v>
      </c>
    </row>
    <row r="33141" spans="26:26" x14ac:dyDescent="0.25">
      <c r="Z33141">
        <v>400000</v>
      </c>
    </row>
    <row r="33142" spans="26:26" x14ac:dyDescent="0.25">
      <c r="Z33142">
        <v>400000</v>
      </c>
    </row>
    <row r="33143" spans="26:26" x14ac:dyDescent="0.25">
      <c r="Z33143">
        <v>400000</v>
      </c>
    </row>
    <row r="33144" spans="26:26" x14ac:dyDescent="0.25">
      <c r="Z33144">
        <v>400000</v>
      </c>
    </row>
    <row r="33145" spans="26:26" x14ac:dyDescent="0.25">
      <c r="Z33145">
        <v>400000</v>
      </c>
    </row>
    <row r="33146" spans="26:26" x14ac:dyDescent="0.25">
      <c r="Z33146">
        <v>400000</v>
      </c>
    </row>
    <row r="33147" spans="26:26" x14ac:dyDescent="0.25">
      <c r="Z33147">
        <v>400000</v>
      </c>
    </row>
    <row r="33148" spans="26:26" x14ac:dyDescent="0.25">
      <c r="Z33148">
        <v>400000</v>
      </c>
    </row>
    <row r="33149" spans="26:26" x14ac:dyDescent="0.25">
      <c r="Z33149">
        <v>400000</v>
      </c>
    </row>
    <row r="33150" spans="26:26" x14ac:dyDescent="0.25">
      <c r="Z33150">
        <v>400000</v>
      </c>
    </row>
    <row r="33151" spans="26:26" x14ac:dyDescent="0.25">
      <c r="Z33151">
        <v>400000</v>
      </c>
    </row>
    <row r="33152" spans="26:26" x14ac:dyDescent="0.25">
      <c r="Z33152">
        <v>400000</v>
      </c>
    </row>
    <row r="33153" spans="26:26" x14ac:dyDescent="0.25">
      <c r="Z33153">
        <v>400000</v>
      </c>
    </row>
    <row r="33154" spans="26:26" x14ac:dyDescent="0.25">
      <c r="Z33154">
        <v>400000</v>
      </c>
    </row>
    <row r="33155" spans="26:26" x14ac:dyDescent="0.25">
      <c r="Z33155">
        <v>400000</v>
      </c>
    </row>
    <row r="33156" spans="26:26" x14ac:dyDescent="0.25">
      <c r="Z33156">
        <v>400000</v>
      </c>
    </row>
    <row r="33157" spans="26:26" x14ac:dyDescent="0.25">
      <c r="Z33157">
        <v>400000</v>
      </c>
    </row>
    <row r="33158" spans="26:26" x14ac:dyDescent="0.25">
      <c r="Z33158">
        <v>400000</v>
      </c>
    </row>
    <row r="33159" spans="26:26" x14ac:dyDescent="0.25">
      <c r="Z33159">
        <v>400000</v>
      </c>
    </row>
    <row r="33160" spans="26:26" x14ac:dyDescent="0.25">
      <c r="Z33160">
        <v>400000</v>
      </c>
    </row>
    <row r="33161" spans="26:26" x14ac:dyDescent="0.25">
      <c r="Z33161">
        <v>400000</v>
      </c>
    </row>
    <row r="33162" spans="26:26" x14ac:dyDescent="0.25">
      <c r="Z33162">
        <v>400000</v>
      </c>
    </row>
    <row r="33163" spans="26:26" x14ac:dyDescent="0.25">
      <c r="Z33163">
        <v>400000</v>
      </c>
    </row>
    <row r="33164" spans="26:26" x14ac:dyDescent="0.25">
      <c r="Z33164">
        <v>400000</v>
      </c>
    </row>
    <row r="33165" spans="26:26" x14ac:dyDescent="0.25">
      <c r="Z33165">
        <v>400000</v>
      </c>
    </row>
    <row r="33166" spans="26:26" x14ac:dyDescent="0.25">
      <c r="Z33166">
        <v>400000</v>
      </c>
    </row>
    <row r="33167" spans="26:26" x14ac:dyDescent="0.25">
      <c r="Z33167">
        <v>400000</v>
      </c>
    </row>
    <row r="33168" spans="26:26" x14ac:dyDescent="0.25">
      <c r="Z33168">
        <v>400000</v>
      </c>
    </row>
    <row r="33169" spans="26:26" x14ac:dyDescent="0.25">
      <c r="Z33169">
        <v>400000</v>
      </c>
    </row>
    <row r="33170" spans="26:26" x14ac:dyDescent="0.25">
      <c r="Z33170">
        <v>400000</v>
      </c>
    </row>
    <row r="33171" spans="26:26" x14ac:dyDescent="0.25">
      <c r="Z33171">
        <v>400000</v>
      </c>
    </row>
    <row r="33172" spans="26:26" x14ac:dyDescent="0.25">
      <c r="Z33172">
        <v>400000</v>
      </c>
    </row>
    <row r="33173" spans="26:26" x14ac:dyDescent="0.25">
      <c r="Z33173">
        <v>400000</v>
      </c>
    </row>
    <row r="33174" spans="26:26" x14ac:dyDescent="0.25">
      <c r="Z33174">
        <v>400000</v>
      </c>
    </row>
    <row r="33175" spans="26:26" x14ac:dyDescent="0.25">
      <c r="Z33175">
        <v>400000</v>
      </c>
    </row>
    <row r="33176" spans="26:26" x14ac:dyDescent="0.25">
      <c r="Z33176">
        <v>400000</v>
      </c>
    </row>
    <row r="33177" spans="26:26" x14ac:dyDescent="0.25">
      <c r="Z33177">
        <v>400000</v>
      </c>
    </row>
    <row r="33178" spans="26:26" x14ac:dyDescent="0.25">
      <c r="Z33178">
        <v>400000</v>
      </c>
    </row>
    <row r="33179" spans="26:26" x14ac:dyDescent="0.25">
      <c r="Z33179">
        <v>400000</v>
      </c>
    </row>
    <row r="33180" spans="26:26" x14ac:dyDescent="0.25">
      <c r="Z33180">
        <v>400000</v>
      </c>
    </row>
    <row r="33181" spans="26:26" x14ac:dyDescent="0.25">
      <c r="Z33181">
        <v>400000</v>
      </c>
    </row>
    <row r="33182" spans="26:26" x14ac:dyDescent="0.25">
      <c r="Z33182">
        <v>400000</v>
      </c>
    </row>
    <row r="33183" spans="26:26" x14ac:dyDescent="0.25">
      <c r="Z33183">
        <v>400000</v>
      </c>
    </row>
    <row r="33184" spans="26:26" x14ac:dyDescent="0.25">
      <c r="Z33184">
        <v>400000</v>
      </c>
    </row>
    <row r="33185" spans="26:26" x14ac:dyDescent="0.25">
      <c r="Z33185">
        <v>400000</v>
      </c>
    </row>
    <row r="33186" spans="26:26" x14ac:dyDescent="0.25">
      <c r="Z33186">
        <v>400000</v>
      </c>
    </row>
    <row r="33187" spans="26:26" x14ac:dyDescent="0.25">
      <c r="Z33187">
        <v>400000</v>
      </c>
    </row>
    <row r="33188" spans="26:26" x14ac:dyDescent="0.25">
      <c r="Z33188">
        <v>400000</v>
      </c>
    </row>
    <row r="33189" spans="26:26" x14ac:dyDescent="0.25">
      <c r="Z33189">
        <v>400000</v>
      </c>
    </row>
    <row r="33190" spans="26:26" x14ac:dyDescent="0.25">
      <c r="Z33190">
        <v>400000</v>
      </c>
    </row>
    <row r="33191" spans="26:26" x14ac:dyDescent="0.25">
      <c r="Z33191">
        <v>400000</v>
      </c>
    </row>
    <row r="33192" spans="26:26" x14ac:dyDescent="0.25">
      <c r="Z33192">
        <v>400000</v>
      </c>
    </row>
    <row r="33193" spans="26:26" x14ac:dyDescent="0.25">
      <c r="Z33193">
        <v>400000</v>
      </c>
    </row>
    <row r="33194" spans="26:26" x14ac:dyDescent="0.25">
      <c r="Z33194">
        <v>400000</v>
      </c>
    </row>
    <row r="33195" spans="26:26" x14ac:dyDescent="0.25">
      <c r="Z33195">
        <v>400000</v>
      </c>
    </row>
    <row r="33196" spans="26:26" x14ac:dyDescent="0.25">
      <c r="Z33196">
        <v>400000</v>
      </c>
    </row>
    <row r="33197" spans="26:26" x14ac:dyDescent="0.25">
      <c r="Z33197">
        <v>400000</v>
      </c>
    </row>
    <row r="33198" spans="26:26" x14ac:dyDescent="0.25">
      <c r="Z33198">
        <v>400000</v>
      </c>
    </row>
    <row r="33199" spans="26:26" x14ac:dyDescent="0.25">
      <c r="Z33199">
        <v>400000</v>
      </c>
    </row>
    <row r="33200" spans="26:26" x14ac:dyDescent="0.25">
      <c r="Z33200">
        <v>400000</v>
      </c>
    </row>
    <row r="33201" spans="26:26" x14ac:dyDescent="0.25">
      <c r="Z33201">
        <v>400000</v>
      </c>
    </row>
    <row r="33202" spans="26:26" x14ac:dyDescent="0.25">
      <c r="Z33202">
        <v>400000</v>
      </c>
    </row>
    <row r="33203" spans="26:26" x14ac:dyDescent="0.25">
      <c r="Z33203">
        <v>400000</v>
      </c>
    </row>
    <row r="33204" spans="26:26" x14ac:dyDescent="0.25">
      <c r="Z33204">
        <v>400000</v>
      </c>
    </row>
    <row r="33205" spans="26:26" x14ac:dyDescent="0.25">
      <c r="Z33205">
        <v>400000</v>
      </c>
    </row>
    <row r="33206" spans="26:26" x14ac:dyDescent="0.25">
      <c r="Z33206">
        <v>400000</v>
      </c>
    </row>
    <row r="33207" spans="26:26" x14ac:dyDescent="0.25">
      <c r="Z33207">
        <v>400000</v>
      </c>
    </row>
    <row r="33208" spans="26:26" x14ac:dyDescent="0.25">
      <c r="Z33208">
        <v>400000</v>
      </c>
    </row>
    <row r="33209" spans="26:26" x14ac:dyDescent="0.25">
      <c r="Z33209">
        <v>400000</v>
      </c>
    </row>
    <row r="33210" spans="26:26" x14ac:dyDescent="0.25">
      <c r="Z33210">
        <v>400000</v>
      </c>
    </row>
    <row r="33211" spans="26:26" x14ac:dyDescent="0.25">
      <c r="Z33211">
        <v>400000</v>
      </c>
    </row>
    <row r="33212" spans="26:26" x14ac:dyDescent="0.25">
      <c r="Z33212">
        <v>400000</v>
      </c>
    </row>
    <row r="33213" spans="26:26" x14ac:dyDescent="0.25">
      <c r="Z33213">
        <v>400000</v>
      </c>
    </row>
    <row r="33214" spans="26:26" x14ac:dyDescent="0.25">
      <c r="Z33214">
        <v>400000</v>
      </c>
    </row>
    <row r="33215" spans="26:26" x14ac:dyDescent="0.25">
      <c r="Z33215">
        <v>400000</v>
      </c>
    </row>
    <row r="33216" spans="26:26" x14ac:dyDescent="0.25">
      <c r="Z33216">
        <v>400000</v>
      </c>
    </row>
    <row r="33217" spans="26:26" x14ac:dyDescent="0.25">
      <c r="Z33217">
        <v>400000</v>
      </c>
    </row>
    <row r="33218" spans="26:26" x14ac:dyDescent="0.25">
      <c r="Z33218">
        <v>400000</v>
      </c>
    </row>
    <row r="33219" spans="26:26" x14ac:dyDescent="0.25">
      <c r="Z33219">
        <v>400000</v>
      </c>
    </row>
    <row r="33220" spans="26:26" x14ac:dyDescent="0.25">
      <c r="Z33220">
        <v>400000</v>
      </c>
    </row>
    <row r="33221" spans="26:26" x14ac:dyDescent="0.25">
      <c r="Z33221">
        <v>400000</v>
      </c>
    </row>
    <row r="33222" spans="26:26" x14ac:dyDescent="0.25">
      <c r="Z33222">
        <v>400000</v>
      </c>
    </row>
    <row r="33223" spans="26:26" x14ac:dyDescent="0.25">
      <c r="Z33223">
        <v>400000</v>
      </c>
    </row>
    <row r="33224" spans="26:26" x14ac:dyDescent="0.25">
      <c r="Z33224">
        <v>400000</v>
      </c>
    </row>
    <row r="33225" spans="26:26" x14ac:dyDescent="0.25">
      <c r="Z33225">
        <v>400000</v>
      </c>
    </row>
    <row r="33226" spans="26:26" x14ac:dyDescent="0.25">
      <c r="Z33226">
        <v>400000</v>
      </c>
    </row>
    <row r="33227" spans="26:26" x14ac:dyDescent="0.25">
      <c r="Z33227">
        <v>400000</v>
      </c>
    </row>
    <row r="33228" spans="26:26" x14ac:dyDescent="0.25">
      <c r="Z33228">
        <v>400000</v>
      </c>
    </row>
    <row r="33229" spans="26:26" x14ac:dyDescent="0.25">
      <c r="Z33229">
        <v>400000</v>
      </c>
    </row>
    <row r="33230" spans="26:26" x14ac:dyDescent="0.25">
      <c r="Z33230">
        <v>400000</v>
      </c>
    </row>
    <row r="33231" spans="26:26" x14ac:dyDescent="0.25">
      <c r="Z33231">
        <v>400000</v>
      </c>
    </row>
    <row r="33232" spans="26:26" x14ac:dyDescent="0.25">
      <c r="Z33232">
        <v>400000</v>
      </c>
    </row>
    <row r="33233" spans="26:26" x14ac:dyDescent="0.25">
      <c r="Z33233">
        <v>400000</v>
      </c>
    </row>
    <row r="33234" spans="26:26" x14ac:dyDescent="0.25">
      <c r="Z33234">
        <v>400000</v>
      </c>
    </row>
    <row r="33235" spans="26:26" x14ac:dyDescent="0.25">
      <c r="Z33235">
        <v>400000</v>
      </c>
    </row>
    <row r="33236" spans="26:26" x14ac:dyDescent="0.25">
      <c r="Z33236">
        <v>400000</v>
      </c>
    </row>
    <row r="33237" spans="26:26" x14ac:dyDescent="0.25">
      <c r="Z33237">
        <v>400000</v>
      </c>
    </row>
    <row r="33238" spans="26:26" x14ac:dyDescent="0.25">
      <c r="Z33238">
        <v>400000</v>
      </c>
    </row>
    <row r="33239" spans="26:26" x14ac:dyDescent="0.25">
      <c r="Z33239">
        <v>400000</v>
      </c>
    </row>
    <row r="33240" spans="26:26" x14ac:dyDescent="0.25">
      <c r="Z33240">
        <v>400000</v>
      </c>
    </row>
    <row r="33241" spans="26:26" x14ac:dyDescent="0.25">
      <c r="Z33241">
        <v>400000</v>
      </c>
    </row>
    <row r="33242" spans="26:26" x14ac:dyDescent="0.25">
      <c r="Z33242">
        <v>400000</v>
      </c>
    </row>
    <row r="33243" spans="26:26" x14ac:dyDescent="0.25">
      <c r="Z33243">
        <v>400000</v>
      </c>
    </row>
    <row r="33244" spans="26:26" x14ac:dyDescent="0.25">
      <c r="Z33244">
        <v>400000</v>
      </c>
    </row>
    <row r="33245" spans="26:26" x14ac:dyDescent="0.25">
      <c r="Z33245">
        <v>400000</v>
      </c>
    </row>
    <row r="33246" spans="26:26" x14ac:dyDescent="0.25">
      <c r="Z33246">
        <v>400000</v>
      </c>
    </row>
    <row r="33247" spans="26:26" x14ac:dyDescent="0.25">
      <c r="Z33247">
        <v>400000</v>
      </c>
    </row>
    <row r="33248" spans="26:26" x14ac:dyDescent="0.25">
      <c r="Z33248">
        <v>400000</v>
      </c>
    </row>
    <row r="33249" spans="26:26" x14ac:dyDescent="0.25">
      <c r="Z33249">
        <v>400000</v>
      </c>
    </row>
    <row r="33250" spans="26:26" x14ac:dyDescent="0.25">
      <c r="Z33250">
        <v>400000</v>
      </c>
    </row>
    <row r="33251" spans="26:26" x14ac:dyDescent="0.25">
      <c r="Z33251">
        <v>400000</v>
      </c>
    </row>
    <row r="33252" spans="26:26" x14ac:dyDescent="0.25">
      <c r="Z33252">
        <v>400000</v>
      </c>
    </row>
    <row r="33253" spans="26:26" x14ac:dyDescent="0.25">
      <c r="Z33253">
        <v>400000</v>
      </c>
    </row>
    <row r="33254" spans="26:26" x14ac:dyDescent="0.25">
      <c r="Z33254">
        <v>400000</v>
      </c>
    </row>
    <row r="33255" spans="26:26" x14ac:dyDescent="0.25">
      <c r="Z33255">
        <v>400000</v>
      </c>
    </row>
    <row r="33256" spans="26:26" x14ac:dyDescent="0.25">
      <c r="Z33256">
        <v>400000</v>
      </c>
    </row>
    <row r="33257" spans="26:26" x14ac:dyDescent="0.25">
      <c r="Z33257">
        <v>400000</v>
      </c>
    </row>
    <row r="33258" spans="26:26" x14ac:dyDescent="0.25">
      <c r="Z33258">
        <v>400000</v>
      </c>
    </row>
    <row r="33259" spans="26:26" x14ac:dyDescent="0.25">
      <c r="Z33259">
        <v>400000</v>
      </c>
    </row>
    <row r="33260" spans="26:26" x14ac:dyDescent="0.25">
      <c r="Z33260">
        <v>400000</v>
      </c>
    </row>
    <row r="33261" spans="26:26" x14ac:dyDescent="0.25">
      <c r="Z33261">
        <v>400000</v>
      </c>
    </row>
    <row r="33262" spans="26:26" x14ac:dyDescent="0.25">
      <c r="Z33262">
        <v>400000</v>
      </c>
    </row>
    <row r="33263" spans="26:26" x14ac:dyDescent="0.25">
      <c r="Z33263">
        <v>400000</v>
      </c>
    </row>
    <row r="33264" spans="26:26" x14ac:dyDescent="0.25">
      <c r="Z33264">
        <v>400000</v>
      </c>
    </row>
    <row r="33265" spans="26:26" x14ac:dyDescent="0.25">
      <c r="Z33265">
        <v>400000</v>
      </c>
    </row>
    <row r="33266" spans="26:26" x14ac:dyDescent="0.25">
      <c r="Z33266">
        <v>400000</v>
      </c>
    </row>
    <row r="33267" spans="26:26" x14ac:dyDescent="0.25">
      <c r="Z33267">
        <v>400000</v>
      </c>
    </row>
    <row r="33268" spans="26:26" x14ac:dyDescent="0.25">
      <c r="Z33268">
        <v>400000</v>
      </c>
    </row>
    <row r="33269" spans="26:26" x14ac:dyDescent="0.25">
      <c r="Z33269">
        <v>400000</v>
      </c>
    </row>
    <row r="33270" spans="26:26" x14ac:dyDescent="0.25">
      <c r="Z33270">
        <v>400000</v>
      </c>
    </row>
    <row r="33271" spans="26:26" x14ac:dyDescent="0.25">
      <c r="Z33271">
        <v>400000</v>
      </c>
    </row>
    <row r="33272" spans="26:26" x14ac:dyDescent="0.25">
      <c r="Z33272">
        <v>400000</v>
      </c>
    </row>
    <row r="33273" spans="26:26" x14ac:dyDescent="0.25">
      <c r="Z33273">
        <v>400000</v>
      </c>
    </row>
    <row r="33274" spans="26:26" x14ac:dyDescent="0.25">
      <c r="Z33274">
        <v>400000</v>
      </c>
    </row>
    <row r="33275" spans="26:26" x14ac:dyDescent="0.25">
      <c r="Z33275">
        <v>400000</v>
      </c>
    </row>
    <row r="33276" spans="26:26" x14ac:dyDescent="0.25">
      <c r="Z33276">
        <v>400000</v>
      </c>
    </row>
    <row r="33277" spans="26:26" x14ac:dyDescent="0.25">
      <c r="Z33277">
        <v>400000</v>
      </c>
    </row>
    <row r="33278" spans="26:26" x14ac:dyDescent="0.25">
      <c r="Z33278">
        <v>400000</v>
      </c>
    </row>
    <row r="33279" spans="26:26" x14ac:dyDescent="0.25">
      <c r="Z33279">
        <v>400000</v>
      </c>
    </row>
    <row r="33280" spans="26:26" x14ac:dyDescent="0.25">
      <c r="Z33280">
        <v>400000</v>
      </c>
    </row>
    <row r="33281" spans="26:26" x14ac:dyDescent="0.25">
      <c r="Z33281">
        <v>400000</v>
      </c>
    </row>
    <row r="33282" spans="26:26" x14ac:dyDescent="0.25">
      <c r="Z33282">
        <v>400000</v>
      </c>
    </row>
    <row r="33283" spans="26:26" x14ac:dyDescent="0.25">
      <c r="Z33283">
        <v>400000</v>
      </c>
    </row>
    <row r="33284" spans="26:26" x14ac:dyDescent="0.25">
      <c r="Z33284">
        <v>400000</v>
      </c>
    </row>
    <row r="33285" spans="26:26" x14ac:dyDescent="0.25">
      <c r="Z33285">
        <v>400000</v>
      </c>
    </row>
    <row r="33286" spans="26:26" x14ac:dyDescent="0.25">
      <c r="Z33286">
        <v>400000</v>
      </c>
    </row>
    <row r="33287" spans="26:26" x14ac:dyDescent="0.25">
      <c r="Z33287">
        <v>400000</v>
      </c>
    </row>
    <row r="33288" spans="26:26" x14ac:dyDescent="0.25">
      <c r="Z33288">
        <v>400000</v>
      </c>
    </row>
    <row r="33289" spans="26:26" x14ac:dyDescent="0.25">
      <c r="Z33289">
        <v>400000</v>
      </c>
    </row>
    <row r="33290" spans="26:26" x14ac:dyDescent="0.25">
      <c r="Z33290">
        <v>400000</v>
      </c>
    </row>
    <row r="33291" spans="26:26" x14ac:dyDescent="0.25">
      <c r="Z33291">
        <v>400000</v>
      </c>
    </row>
    <row r="33292" spans="26:26" x14ac:dyDescent="0.25">
      <c r="Z33292">
        <v>400000</v>
      </c>
    </row>
    <row r="33293" spans="26:26" x14ac:dyDescent="0.25">
      <c r="Z33293">
        <v>400000</v>
      </c>
    </row>
    <row r="33294" spans="26:26" x14ac:dyDescent="0.25">
      <c r="Z33294">
        <v>400000</v>
      </c>
    </row>
    <row r="33295" spans="26:26" x14ac:dyDescent="0.25">
      <c r="Z33295">
        <v>400000</v>
      </c>
    </row>
    <row r="33296" spans="26:26" x14ac:dyDescent="0.25">
      <c r="Z33296">
        <v>400000</v>
      </c>
    </row>
    <row r="33297" spans="26:26" x14ac:dyDescent="0.25">
      <c r="Z33297">
        <v>400000</v>
      </c>
    </row>
    <row r="33298" spans="26:26" x14ac:dyDescent="0.25">
      <c r="Z33298">
        <v>400000</v>
      </c>
    </row>
    <row r="33299" spans="26:26" x14ac:dyDescent="0.25">
      <c r="Z33299">
        <v>400000</v>
      </c>
    </row>
    <row r="33300" spans="26:26" x14ac:dyDescent="0.25">
      <c r="Z33300">
        <v>400000</v>
      </c>
    </row>
    <row r="33301" spans="26:26" x14ac:dyDescent="0.25">
      <c r="Z33301">
        <v>400000</v>
      </c>
    </row>
    <row r="33302" spans="26:26" x14ac:dyDescent="0.25">
      <c r="Z33302">
        <v>400000</v>
      </c>
    </row>
    <row r="33303" spans="26:26" x14ac:dyDescent="0.25">
      <c r="Z33303">
        <v>400000</v>
      </c>
    </row>
    <row r="33304" spans="26:26" x14ac:dyDescent="0.25">
      <c r="Z33304">
        <v>400000</v>
      </c>
    </row>
    <row r="33305" spans="26:26" x14ac:dyDescent="0.25">
      <c r="Z33305">
        <v>400000</v>
      </c>
    </row>
    <row r="33306" spans="26:26" x14ac:dyDescent="0.25">
      <c r="Z33306">
        <v>400000</v>
      </c>
    </row>
    <row r="33307" spans="26:26" x14ac:dyDescent="0.25">
      <c r="Z33307">
        <v>400000</v>
      </c>
    </row>
    <row r="33308" spans="26:26" x14ac:dyDescent="0.25">
      <c r="Z33308">
        <v>400000</v>
      </c>
    </row>
    <row r="33309" spans="26:26" x14ac:dyDescent="0.25">
      <c r="Z33309">
        <v>400000</v>
      </c>
    </row>
    <row r="33310" spans="26:26" x14ac:dyDescent="0.25">
      <c r="Z33310">
        <v>400000</v>
      </c>
    </row>
    <row r="33311" spans="26:26" x14ac:dyDescent="0.25">
      <c r="Z33311">
        <v>400000</v>
      </c>
    </row>
    <row r="33312" spans="26:26" x14ac:dyDescent="0.25">
      <c r="Z33312">
        <v>400000</v>
      </c>
    </row>
    <row r="33313" spans="26:26" x14ac:dyDescent="0.25">
      <c r="Z33313">
        <v>400000</v>
      </c>
    </row>
    <row r="33314" spans="26:26" x14ac:dyDescent="0.25">
      <c r="Z33314">
        <v>400000</v>
      </c>
    </row>
    <row r="33315" spans="26:26" x14ac:dyDescent="0.25">
      <c r="Z33315">
        <v>400000</v>
      </c>
    </row>
    <row r="33316" spans="26:26" x14ac:dyDescent="0.25">
      <c r="Z33316">
        <v>400000</v>
      </c>
    </row>
    <row r="33317" spans="26:26" x14ac:dyDescent="0.25">
      <c r="Z33317">
        <v>400000</v>
      </c>
    </row>
    <row r="33318" spans="26:26" x14ac:dyDescent="0.25">
      <c r="Z33318">
        <v>400000</v>
      </c>
    </row>
    <row r="33319" spans="26:26" x14ac:dyDescent="0.25">
      <c r="Z33319">
        <v>400000</v>
      </c>
    </row>
    <row r="33320" spans="26:26" x14ac:dyDescent="0.25">
      <c r="Z33320">
        <v>400000</v>
      </c>
    </row>
    <row r="33321" spans="26:26" x14ac:dyDescent="0.25">
      <c r="Z33321">
        <v>400000</v>
      </c>
    </row>
    <row r="33322" spans="26:26" x14ac:dyDescent="0.25">
      <c r="Z33322">
        <v>400000</v>
      </c>
    </row>
    <row r="33323" spans="26:26" x14ac:dyDescent="0.25">
      <c r="Z33323">
        <v>400000</v>
      </c>
    </row>
    <row r="33324" spans="26:26" x14ac:dyDescent="0.25">
      <c r="Z33324">
        <v>400000</v>
      </c>
    </row>
    <row r="33325" spans="26:26" x14ac:dyDescent="0.25">
      <c r="Z33325">
        <v>400000</v>
      </c>
    </row>
    <row r="33326" spans="26:26" x14ac:dyDescent="0.25">
      <c r="Z33326">
        <v>400000</v>
      </c>
    </row>
    <row r="33327" spans="26:26" x14ac:dyDescent="0.25">
      <c r="Z33327">
        <v>400000</v>
      </c>
    </row>
    <row r="33328" spans="26:26" x14ac:dyDescent="0.25">
      <c r="Z33328">
        <v>400000</v>
      </c>
    </row>
    <row r="33329" spans="26:26" x14ac:dyDescent="0.25">
      <c r="Z33329">
        <v>400000</v>
      </c>
    </row>
    <row r="33330" spans="26:26" x14ac:dyDescent="0.25">
      <c r="Z33330">
        <v>400000</v>
      </c>
    </row>
    <row r="33331" spans="26:26" x14ac:dyDescent="0.25">
      <c r="Z33331">
        <v>400000</v>
      </c>
    </row>
    <row r="33332" spans="26:26" x14ac:dyDescent="0.25">
      <c r="Z33332">
        <v>400000</v>
      </c>
    </row>
    <row r="33333" spans="26:26" x14ac:dyDescent="0.25">
      <c r="Z33333">
        <v>400000</v>
      </c>
    </row>
    <row r="33334" spans="26:26" x14ac:dyDescent="0.25">
      <c r="Z33334">
        <v>400000</v>
      </c>
    </row>
    <row r="33335" spans="26:26" x14ac:dyDescent="0.25">
      <c r="Z33335">
        <v>400000</v>
      </c>
    </row>
    <row r="33336" spans="26:26" x14ac:dyDescent="0.25">
      <c r="Z33336">
        <v>400000</v>
      </c>
    </row>
    <row r="33337" spans="26:26" x14ac:dyDescent="0.25">
      <c r="Z33337">
        <v>400000</v>
      </c>
    </row>
    <row r="33338" spans="26:26" x14ac:dyDescent="0.25">
      <c r="Z33338">
        <v>400000</v>
      </c>
    </row>
    <row r="33339" spans="26:26" x14ac:dyDescent="0.25">
      <c r="Z33339">
        <v>400000</v>
      </c>
    </row>
    <row r="33340" spans="26:26" x14ac:dyDescent="0.25">
      <c r="Z33340">
        <v>400000</v>
      </c>
    </row>
    <row r="33341" spans="26:26" x14ac:dyDescent="0.25">
      <c r="Z33341">
        <v>400000</v>
      </c>
    </row>
    <row r="33342" spans="26:26" x14ac:dyDescent="0.25">
      <c r="Z33342">
        <v>400000</v>
      </c>
    </row>
    <row r="33343" spans="26:26" x14ac:dyDescent="0.25">
      <c r="Z33343">
        <v>400000</v>
      </c>
    </row>
    <row r="33344" spans="26:26" x14ac:dyDescent="0.25">
      <c r="Z33344">
        <v>400000</v>
      </c>
    </row>
    <row r="33345" spans="26:26" x14ac:dyDescent="0.25">
      <c r="Z33345">
        <v>400000</v>
      </c>
    </row>
    <row r="33346" spans="26:26" x14ac:dyDescent="0.25">
      <c r="Z33346">
        <v>400000</v>
      </c>
    </row>
    <row r="33347" spans="26:26" x14ac:dyDescent="0.25">
      <c r="Z33347">
        <v>400000</v>
      </c>
    </row>
    <row r="33348" spans="26:26" x14ac:dyDescent="0.25">
      <c r="Z33348">
        <v>400000</v>
      </c>
    </row>
    <row r="33349" spans="26:26" x14ac:dyDescent="0.25">
      <c r="Z33349">
        <v>400000</v>
      </c>
    </row>
    <row r="33350" spans="26:26" x14ac:dyDescent="0.25">
      <c r="Z33350">
        <v>400000</v>
      </c>
    </row>
    <row r="33351" spans="26:26" x14ac:dyDescent="0.25">
      <c r="Z33351">
        <v>400000</v>
      </c>
    </row>
    <row r="33352" spans="26:26" x14ac:dyDescent="0.25">
      <c r="Z33352">
        <v>400000</v>
      </c>
    </row>
    <row r="33353" spans="26:26" x14ac:dyDescent="0.25">
      <c r="Z33353">
        <v>400000</v>
      </c>
    </row>
    <row r="33354" spans="26:26" x14ac:dyDescent="0.25">
      <c r="Z33354">
        <v>400000</v>
      </c>
    </row>
    <row r="33355" spans="26:26" x14ac:dyDescent="0.25">
      <c r="Z33355">
        <v>400000</v>
      </c>
    </row>
    <row r="33356" spans="26:26" x14ac:dyDescent="0.25">
      <c r="Z33356">
        <v>400000</v>
      </c>
    </row>
    <row r="33357" spans="26:26" x14ac:dyDescent="0.25">
      <c r="Z33357">
        <v>400000</v>
      </c>
    </row>
    <row r="33358" spans="26:26" x14ac:dyDescent="0.25">
      <c r="Z33358">
        <v>400000</v>
      </c>
    </row>
    <row r="33359" spans="26:26" x14ac:dyDescent="0.25">
      <c r="Z33359">
        <v>400000</v>
      </c>
    </row>
    <row r="33360" spans="26:26" x14ac:dyDescent="0.25">
      <c r="Z33360">
        <v>400000</v>
      </c>
    </row>
    <row r="33361" spans="26:26" x14ac:dyDescent="0.25">
      <c r="Z33361">
        <v>400000</v>
      </c>
    </row>
    <row r="33362" spans="26:26" x14ac:dyDescent="0.25">
      <c r="Z33362">
        <v>400000</v>
      </c>
    </row>
    <row r="33363" spans="26:26" x14ac:dyDescent="0.25">
      <c r="Z33363">
        <v>400000</v>
      </c>
    </row>
    <row r="33364" spans="26:26" x14ac:dyDescent="0.25">
      <c r="Z33364">
        <v>400000</v>
      </c>
    </row>
    <row r="33365" spans="26:26" x14ac:dyDescent="0.25">
      <c r="Z33365">
        <v>400000</v>
      </c>
    </row>
    <row r="33366" spans="26:26" x14ac:dyDescent="0.25">
      <c r="Z33366">
        <v>400000</v>
      </c>
    </row>
    <row r="33367" spans="26:26" x14ac:dyDescent="0.25">
      <c r="Z33367">
        <v>400000</v>
      </c>
    </row>
    <row r="33368" spans="26:26" x14ac:dyDescent="0.25">
      <c r="Z33368">
        <v>400000</v>
      </c>
    </row>
    <row r="33369" spans="26:26" x14ac:dyDescent="0.25">
      <c r="Z33369">
        <v>400000</v>
      </c>
    </row>
    <row r="33370" spans="26:26" x14ac:dyDescent="0.25">
      <c r="Z33370">
        <v>400000</v>
      </c>
    </row>
    <row r="33371" spans="26:26" x14ac:dyDescent="0.25">
      <c r="Z33371">
        <v>400000</v>
      </c>
    </row>
    <row r="33372" spans="26:26" x14ac:dyDescent="0.25">
      <c r="Z33372">
        <v>400000</v>
      </c>
    </row>
    <row r="33373" spans="26:26" x14ac:dyDescent="0.25">
      <c r="Z33373">
        <v>400000</v>
      </c>
    </row>
    <row r="33374" spans="26:26" x14ac:dyDescent="0.25">
      <c r="Z33374">
        <v>400000</v>
      </c>
    </row>
    <row r="33375" spans="26:26" x14ac:dyDescent="0.25">
      <c r="Z33375">
        <v>400000</v>
      </c>
    </row>
    <row r="33376" spans="26:26" x14ac:dyDescent="0.25">
      <c r="Z33376">
        <v>400000</v>
      </c>
    </row>
    <row r="33377" spans="26:26" x14ac:dyDescent="0.25">
      <c r="Z33377">
        <v>400000</v>
      </c>
    </row>
    <row r="33378" spans="26:26" x14ac:dyDescent="0.25">
      <c r="Z33378">
        <v>400000</v>
      </c>
    </row>
    <row r="33379" spans="26:26" x14ac:dyDescent="0.25">
      <c r="Z33379">
        <v>400000</v>
      </c>
    </row>
    <row r="33380" spans="26:26" x14ac:dyDescent="0.25">
      <c r="Z33380">
        <v>400000</v>
      </c>
    </row>
    <row r="33381" spans="26:26" x14ac:dyDescent="0.25">
      <c r="Z33381">
        <v>400000</v>
      </c>
    </row>
    <row r="33382" spans="26:26" x14ac:dyDescent="0.25">
      <c r="Z33382">
        <v>400000</v>
      </c>
    </row>
    <row r="33383" spans="26:26" x14ac:dyDescent="0.25">
      <c r="Z33383">
        <v>400000</v>
      </c>
    </row>
    <row r="33384" spans="26:26" x14ac:dyDescent="0.25">
      <c r="Z33384">
        <v>400000</v>
      </c>
    </row>
    <row r="33385" spans="26:26" x14ac:dyDescent="0.25">
      <c r="Z33385">
        <v>400000</v>
      </c>
    </row>
    <row r="33386" spans="26:26" x14ac:dyDescent="0.25">
      <c r="Z33386">
        <v>400000</v>
      </c>
    </row>
    <row r="33387" spans="26:26" x14ac:dyDescent="0.25">
      <c r="Z33387">
        <v>400000</v>
      </c>
    </row>
    <row r="33388" spans="26:26" x14ac:dyDescent="0.25">
      <c r="Z33388">
        <v>400000</v>
      </c>
    </row>
    <row r="33389" spans="26:26" x14ac:dyDescent="0.25">
      <c r="Z33389">
        <v>400000</v>
      </c>
    </row>
    <row r="33390" spans="26:26" x14ac:dyDescent="0.25">
      <c r="Z33390">
        <v>400000</v>
      </c>
    </row>
    <row r="33391" spans="26:26" x14ac:dyDescent="0.25">
      <c r="Z33391">
        <v>400000</v>
      </c>
    </row>
    <row r="33392" spans="26:26" x14ac:dyDescent="0.25">
      <c r="Z33392">
        <v>400000</v>
      </c>
    </row>
    <row r="33393" spans="26:26" x14ac:dyDescent="0.25">
      <c r="Z33393">
        <v>400000</v>
      </c>
    </row>
    <row r="33394" spans="26:26" x14ac:dyDescent="0.25">
      <c r="Z33394">
        <v>400000</v>
      </c>
    </row>
    <row r="33395" spans="26:26" x14ac:dyDescent="0.25">
      <c r="Z33395">
        <v>400000</v>
      </c>
    </row>
    <row r="33396" spans="26:26" x14ac:dyDescent="0.25">
      <c r="Z33396">
        <v>400000</v>
      </c>
    </row>
    <row r="33397" spans="26:26" x14ac:dyDescent="0.25">
      <c r="Z33397">
        <v>400000</v>
      </c>
    </row>
    <row r="33398" spans="26:26" x14ac:dyDescent="0.25">
      <c r="Z33398">
        <v>400000</v>
      </c>
    </row>
    <row r="33399" spans="26:26" x14ac:dyDescent="0.25">
      <c r="Z33399">
        <v>400000</v>
      </c>
    </row>
    <row r="33400" spans="26:26" x14ac:dyDescent="0.25">
      <c r="Z33400">
        <v>400000</v>
      </c>
    </row>
    <row r="33401" spans="26:26" x14ac:dyDescent="0.25">
      <c r="Z33401">
        <v>400000</v>
      </c>
    </row>
    <row r="33402" spans="26:26" x14ac:dyDescent="0.25">
      <c r="Z33402">
        <v>400000</v>
      </c>
    </row>
    <row r="33403" spans="26:26" x14ac:dyDescent="0.25">
      <c r="Z33403">
        <v>400000</v>
      </c>
    </row>
    <row r="33404" spans="26:26" x14ac:dyDescent="0.25">
      <c r="Z33404">
        <v>400000</v>
      </c>
    </row>
    <row r="33405" spans="26:26" x14ac:dyDescent="0.25">
      <c r="Z33405">
        <v>400000</v>
      </c>
    </row>
    <row r="33406" spans="26:26" x14ac:dyDescent="0.25">
      <c r="Z33406">
        <v>400000</v>
      </c>
    </row>
    <row r="33407" spans="26:26" x14ac:dyDescent="0.25">
      <c r="Z33407">
        <v>400000</v>
      </c>
    </row>
    <row r="33408" spans="26:26" x14ac:dyDescent="0.25">
      <c r="Z33408">
        <v>400000</v>
      </c>
    </row>
    <row r="33409" spans="26:26" x14ac:dyDescent="0.25">
      <c r="Z33409">
        <v>400000</v>
      </c>
    </row>
    <row r="33410" spans="26:26" x14ac:dyDescent="0.25">
      <c r="Z33410">
        <v>400000</v>
      </c>
    </row>
    <row r="33411" spans="26:26" x14ac:dyDescent="0.25">
      <c r="Z33411">
        <v>400000</v>
      </c>
    </row>
    <row r="33412" spans="26:26" x14ac:dyDescent="0.25">
      <c r="Z33412">
        <v>400000</v>
      </c>
    </row>
    <row r="33413" spans="26:26" x14ac:dyDescent="0.25">
      <c r="Z33413">
        <v>400000</v>
      </c>
    </row>
    <row r="33414" spans="26:26" x14ac:dyDescent="0.25">
      <c r="Z33414">
        <v>400000</v>
      </c>
    </row>
    <row r="33415" spans="26:26" x14ac:dyDescent="0.25">
      <c r="Z33415">
        <v>400000</v>
      </c>
    </row>
    <row r="33416" spans="26:26" x14ac:dyDescent="0.25">
      <c r="Z33416">
        <v>400000</v>
      </c>
    </row>
    <row r="33417" spans="26:26" x14ac:dyDescent="0.25">
      <c r="Z33417">
        <v>400000</v>
      </c>
    </row>
    <row r="33418" spans="26:26" x14ac:dyDescent="0.25">
      <c r="Z33418">
        <v>400000</v>
      </c>
    </row>
    <row r="33419" spans="26:26" x14ac:dyDescent="0.25">
      <c r="Z33419">
        <v>400000</v>
      </c>
    </row>
    <row r="33420" spans="26:26" x14ac:dyDescent="0.25">
      <c r="Z33420">
        <v>400000</v>
      </c>
    </row>
    <row r="33421" spans="26:26" x14ac:dyDescent="0.25">
      <c r="Z33421">
        <v>400000</v>
      </c>
    </row>
    <row r="33422" spans="26:26" x14ac:dyDescent="0.25">
      <c r="Z33422">
        <v>400000</v>
      </c>
    </row>
    <row r="33423" spans="26:26" x14ac:dyDescent="0.25">
      <c r="Z33423">
        <v>400000</v>
      </c>
    </row>
    <row r="33424" spans="26:26" x14ac:dyDescent="0.25">
      <c r="Z33424">
        <v>400000</v>
      </c>
    </row>
    <row r="33425" spans="26:26" x14ac:dyDescent="0.25">
      <c r="Z33425">
        <v>400000</v>
      </c>
    </row>
    <row r="33426" spans="26:26" x14ac:dyDescent="0.25">
      <c r="Z33426">
        <v>400000</v>
      </c>
    </row>
    <row r="33427" spans="26:26" x14ac:dyDescent="0.25">
      <c r="Z33427">
        <v>400000</v>
      </c>
    </row>
    <row r="33428" spans="26:26" x14ac:dyDescent="0.25">
      <c r="Z33428">
        <v>400000</v>
      </c>
    </row>
    <row r="33429" spans="26:26" x14ac:dyDescent="0.25">
      <c r="Z33429">
        <v>400000</v>
      </c>
    </row>
    <row r="33430" spans="26:26" x14ac:dyDescent="0.25">
      <c r="Z33430">
        <v>400000</v>
      </c>
    </row>
    <row r="33431" spans="26:26" x14ac:dyDescent="0.25">
      <c r="Z33431">
        <v>400000</v>
      </c>
    </row>
    <row r="33432" spans="26:26" x14ac:dyDescent="0.25">
      <c r="Z33432">
        <v>400000</v>
      </c>
    </row>
    <row r="33433" spans="26:26" x14ac:dyDescent="0.25">
      <c r="Z33433">
        <v>400000</v>
      </c>
    </row>
    <row r="33434" spans="26:26" x14ac:dyDescent="0.25">
      <c r="Z33434">
        <v>400000</v>
      </c>
    </row>
    <row r="33435" spans="26:26" x14ac:dyDescent="0.25">
      <c r="Z33435">
        <v>400000</v>
      </c>
    </row>
    <row r="33436" spans="26:26" x14ac:dyDescent="0.25">
      <c r="Z33436">
        <v>400000</v>
      </c>
    </row>
    <row r="33437" spans="26:26" x14ac:dyDescent="0.25">
      <c r="Z33437">
        <v>400000</v>
      </c>
    </row>
    <row r="33438" spans="26:26" x14ac:dyDescent="0.25">
      <c r="Z33438">
        <v>400000</v>
      </c>
    </row>
    <row r="33439" spans="26:26" x14ac:dyDescent="0.25">
      <c r="Z33439">
        <v>400000</v>
      </c>
    </row>
    <row r="33440" spans="26:26" x14ac:dyDescent="0.25">
      <c r="Z33440">
        <v>400000</v>
      </c>
    </row>
    <row r="33441" spans="26:26" x14ac:dyDescent="0.25">
      <c r="Z33441">
        <v>400000</v>
      </c>
    </row>
    <row r="33442" spans="26:26" x14ac:dyDescent="0.25">
      <c r="Z33442">
        <v>400000</v>
      </c>
    </row>
    <row r="33443" spans="26:26" x14ac:dyDescent="0.25">
      <c r="Z33443">
        <v>400000</v>
      </c>
    </row>
    <row r="33444" spans="26:26" x14ac:dyDescent="0.25">
      <c r="Z33444">
        <v>400000</v>
      </c>
    </row>
    <row r="33445" spans="26:26" x14ac:dyDescent="0.25">
      <c r="Z33445">
        <v>400000</v>
      </c>
    </row>
    <row r="33446" spans="26:26" x14ac:dyDescent="0.25">
      <c r="Z33446">
        <v>400000</v>
      </c>
    </row>
    <row r="33447" spans="26:26" x14ac:dyDescent="0.25">
      <c r="Z33447">
        <v>400000</v>
      </c>
    </row>
    <row r="33448" spans="26:26" x14ac:dyDescent="0.25">
      <c r="Z33448">
        <v>400000</v>
      </c>
    </row>
    <row r="33449" spans="26:26" x14ac:dyDescent="0.25">
      <c r="Z33449">
        <v>400000</v>
      </c>
    </row>
    <row r="33450" spans="26:26" x14ac:dyDescent="0.25">
      <c r="Z33450">
        <v>400000</v>
      </c>
    </row>
    <row r="33451" spans="26:26" x14ac:dyDescent="0.25">
      <c r="Z33451">
        <v>400000</v>
      </c>
    </row>
    <row r="33452" spans="26:26" x14ac:dyDescent="0.25">
      <c r="Z33452">
        <v>400000</v>
      </c>
    </row>
    <row r="33453" spans="26:26" x14ac:dyDescent="0.25">
      <c r="Z33453">
        <v>400000</v>
      </c>
    </row>
    <row r="33454" spans="26:26" x14ac:dyDescent="0.25">
      <c r="Z33454">
        <v>400000</v>
      </c>
    </row>
    <row r="33455" spans="26:26" x14ac:dyDescent="0.25">
      <c r="Z33455">
        <v>400000</v>
      </c>
    </row>
    <row r="33456" spans="26:26" x14ac:dyDescent="0.25">
      <c r="Z33456">
        <v>400000</v>
      </c>
    </row>
    <row r="33457" spans="26:26" x14ac:dyDescent="0.25">
      <c r="Z33457">
        <v>400000</v>
      </c>
    </row>
    <row r="33458" spans="26:26" x14ac:dyDescent="0.25">
      <c r="Z33458">
        <v>400000</v>
      </c>
    </row>
    <row r="33459" spans="26:26" x14ac:dyDescent="0.25">
      <c r="Z33459">
        <v>400000</v>
      </c>
    </row>
    <row r="33460" spans="26:26" x14ac:dyDescent="0.25">
      <c r="Z33460">
        <v>400000</v>
      </c>
    </row>
    <row r="33461" spans="26:26" x14ac:dyDescent="0.25">
      <c r="Z33461">
        <v>400000</v>
      </c>
    </row>
    <row r="33462" spans="26:26" x14ac:dyDescent="0.25">
      <c r="Z33462">
        <v>400000</v>
      </c>
    </row>
    <row r="33463" spans="26:26" x14ac:dyDescent="0.25">
      <c r="Z33463">
        <v>400000</v>
      </c>
    </row>
    <row r="33464" spans="26:26" x14ac:dyDescent="0.25">
      <c r="Z33464">
        <v>400000</v>
      </c>
    </row>
    <row r="33465" spans="26:26" x14ac:dyDescent="0.25">
      <c r="Z33465">
        <v>400000</v>
      </c>
    </row>
    <row r="33466" spans="26:26" x14ac:dyDescent="0.25">
      <c r="Z33466">
        <v>400000</v>
      </c>
    </row>
    <row r="33467" spans="26:26" x14ac:dyDescent="0.25">
      <c r="Z33467">
        <v>400000</v>
      </c>
    </row>
    <row r="33468" spans="26:26" x14ac:dyDescent="0.25">
      <c r="Z33468">
        <v>400000</v>
      </c>
    </row>
    <row r="33469" spans="26:26" x14ac:dyDescent="0.25">
      <c r="Z33469">
        <v>400000</v>
      </c>
    </row>
    <row r="33470" spans="26:26" x14ac:dyDescent="0.25">
      <c r="Z33470">
        <v>400000</v>
      </c>
    </row>
    <row r="33471" spans="26:26" x14ac:dyDescent="0.25">
      <c r="Z33471">
        <v>400000</v>
      </c>
    </row>
    <row r="33472" spans="26:26" x14ac:dyDescent="0.25">
      <c r="Z33472">
        <v>400000</v>
      </c>
    </row>
    <row r="33473" spans="26:26" x14ac:dyDescent="0.25">
      <c r="Z33473">
        <v>400000</v>
      </c>
    </row>
    <row r="33474" spans="26:26" x14ac:dyDescent="0.25">
      <c r="Z33474">
        <v>400000</v>
      </c>
    </row>
    <row r="33475" spans="26:26" x14ac:dyDescent="0.25">
      <c r="Z33475">
        <v>400000</v>
      </c>
    </row>
    <row r="33476" spans="26:26" x14ac:dyDescent="0.25">
      <c r="Z33476">
        <v>400000</v>
      </c>
    </row>
    <row r="33477" spans="26:26" x14ac:dyDescent="0.25">
      <c r="Z33477">
        <v>400000</v>
      </c>
    </row>
    <row r="33478" spans="26:26" x14ac:dyDescent="0.25">
      <c r="Z33478">
        <v>400000</v>
      </c>
    </row>
    <row r="33479" spans="26:26" x14ac:dyDescent="0.25">
      <c r="Z33479">
        <v>400000</v>
      </c>
    </row>
    <row r="33480" spans="26:26" x14ac:dyDescent="0.25">
      <c r="Z33480">
        <v>400000</v>
      </c>
    </row>
    <row r="33481" spans="26:26" x14ac:dyDescent="0.25">
      <c r="Z33481">
        <v>400000</v>
      </c>
    </row>
    <row r="33482" spans="26:26" x14ac:dyDescent="0.25">
      <c r="Z33482">
        <v>400000</v>
      </c>
    </row>
    <row r="33483" spans="26:26" x14ac:dyDescent="0.25">
      <c r="Z33483">
        <v>400000</v>
      </c>
    </row>
    <row r="33484" spans="26:26" x14ac:dyDescent="0.25">
      <c r="Z33484">
        <v>400000</v>
      </c>
    </row>
    <row r="33485" spans="26:26" x14ac:dyDescent="0.25">
      <c r="Z33485">
        <v>400000</v>
      </c>
    </row>
    <row r="33486" spans="26:26" x14ac:dyDescent="0.25">
      <c r="Z33486">
        <v>400000</v>
      </c>
    </row>
    <row r="33487" spans="26:26" x14ac:dyDescent="0.25">
      <c r="Z33487">
        <v>400000</v>
      </c>
    </row>
    <row r="33488" spans="26:26" x14ac:dyDescent="0.25">
      <c r="Z33488">
        <v>400000</v>
      </c>
    </row>
    <row r="33489" spans="26:26" x14ac:dyDescent="0.25">
      <c r="Z33489">
        <v>400000</v>
      </c>
    </row>
    <row r="33490" spans="26:26" x14ac:dyDescent="0.25">
      <c r="Z33490">
        <v>400000</v>
      </c>
    </row>
    <row r="33491" spans="26:26" x14ac:dyDescent="0.25">
      <c r="Z33491">
        <v>400000</v>
      </c>
    </row>
    <row r="33492" spans="26:26" x14ac:dyDescent="0.25">
      <c r="Z33492">
        <v>400000</v>
      </c>
    </row>
    <row r="33493" spans="26:26" x14ac:dyDescent="0.25">
      <c r="Z33493">
        <v>400000</v>
      </c>
    </row>
    <row r="33494" spans="26:26" x14ac:dyDescent="0.25">
      <c r="Z33494">
        <v>400000</v>
      </c>
    </row>
    <row r="33495" spans="26:26" x14ac:dyDescent="0.25">
      <c r="Z33495">
        <v>400000</v>
      </c>
    </row>
    <row r="33496" spans="26:26" x14ac:dyDescent="0.25">
      <c r="Z33496">
        <v>400000</v>
      </c>
    </row>
    <row r="33497" spans="26:26" x14ac:dyDescent="0.25">
      <c r="Z33497">
        <v>400000</v>
      </c>
    </row>
    <row r="33498" spans="26:26" x14ac:dyDescent="0.25">
      <c r="Z33498">
        <v>400000</v>
      </c>
    </row>
    <row r="33499" spans="26:26" x14ac:dyDescent="0.25">
      <c r="Z33499">
        <v>400000</v>
      </c>
    </row>
    <row r="33500" spans="26:26" x14ac:dyDescent="0.25">
      <c r="Z33500">
        <v>400000</v>
      </c>
    </row>
    <row r="33501" spans="26:26" x14ac:dyDescent="0.25">
      <c r="Z33501">
        <v>400000</v>
      </c>
    </row>
    <row r="33502" spans="26:26" x14ac:dyDescent="0.25">
      <c r="Z33502">
        <v>400000</v>
      </c>
    </row>
    <row r="33503" spans="26:26" x14ac:dyDescent="0.25">
      <c r="Z33503">
        <v>400000</v>
      </c>
    </row>
    <row r="33504" spans="26:26" x14ac:dyDescent="0.25">
      <c r="Z33504">
        <v>400000</v>
      </c>
    </row>
    <row r="33505" spans="26:26" x14ac:dyDescent="0.25">
      <c r="Z33505">
        <v>400000</v>
      </c>
    </row>
    <row r="33506" spans="26:26" x14ac:dyDescent="0.25">
      <c r="Z33506">
        <v>400000</v>
      </c>
    </row>
    <row r="33507" spans="26:26" x14ac:dyDescent="0.25">
      <c r="Z33507">
        <v>400000</v>
      </c>
    </row>
    <row r="33508" spans="26:26" x14ac:dyDescent="0.25">
      <c r="Z33508">
        <v>400000</v>
      </c>
    </row>
    <row r="33509" spans="26:26" x14ac:dyDescent="0.25">
      <c r="Z33509">
        <v>400000</v>
      </c>
    </row>
    <row r="33510" spans="26:26" x14ac:dyDescent="0.25">
      <c r="Z33510">
        <v>400000</v>
      </c>
    </row>
    <row r="33511" spans="26:26" x14ac:dyDescent="0.25">
      <c r="Z33511">
        <v>400000</v>
      </c>
    </row>
    <row r="33512" spans="26:26" x14ac:dyDescent="0.25">
      <c r="Z33512">
        <v>400000</v>
      </c>
    </row>
    <row r="33513" spans="26:26" x14ac:dyDescent="0.25">
      <c r="Z33513">
        <v>400000</v>
      </c>
    </row>
    <row r="33514" spans="26:26" x14ac:dyDescent="0.25">
      <c r="Z33514">
        <v>400000</v>
      </c>
    </row>
    <row r="33515" spans="26:26" x14ac:dyDescent="0.25">
      <c r="Z33515">
        <v>400000</v>
      </c>
    </row>
    <row r="33516" spans="26:26" x14ac:dyDescent="0.25">
      <c r="Z33516">
        <v>400000</v>
      </c>
    </row>
    <row r="33517" spans="26:26" x14ac:dyDescent="0.25">
      <c r="Z33517">
        <v>400000</v>
      </c>
    </row>
    <row r="33518" spans="26:26" x14ac:dyDescent="0.25">
      <c r="Z33518">
        <v>400000</v>
      </c>
    </row>
    <row r="33519" spans="26:26" x14ac:dyDescent="0.25">
      <c r="Z33519">
        <v>400000</v>
      </c>
    </row>
    <row r="33520" spans="26:26" x14ac:dyDescent="0.25">
      <c r="Z33520">
        <v>400000</v>
      </c>
    </row>
    <row r="33521" spans="26:26" x14ac:dyDescent="0.25">
      <c r="Z33521">
        <v>400000</v>
      </c>
    </row>
    <row r="33522" spans="26:26" x14ac:dyDescent="0.25">
      <c r="Z33522">
        <v>400000</v>
      </c>
    </row>
    <row r="33523" spans="26:26" x14ac:dyDescent="0.25">
      <c r="Z33523">
        <v>400000</v>
      </c>
    </row>
    <row r="33524" spans="26:26" x14ac:dyDescent="0.25">
      <c r="Z33524">
        <v>400000</v>
      </c>
    </row>
    <row r="33525" spans="26:26" x14ac:dyDescent="0.25">
      <c r="Z33525">
        <v>400000</v>
      </c>
    </row>
    <row r="33526" spans="26:26" x14ac:dyDescent="0.25">
      <c r="Z33526">
        <v>400000</v>
      </c>
    </row>
    <row r="33527" spans="26:26" x14ac:dyDescent="0.25">
      <c r="Z33527">
        <v>400000</v>
      </c>
    </row>
    <row r="33528" spans="26:26" x14ac:dyDescent="0.25">
      <c r="Z33528">
        <v>400000</v>
      </c>
    </row>
    <row r="33529" spans="26:26" x14ac:dyDescent="0.25">
      <c r="Z33529">
        <v>400000</v>
      </c>
    </row>
    <row r="33530" spans="26:26" x14ac:dyDescent="0.25">
      <c r="Z33530">
        <v>400000</v>
      </c>
    </row>
    <row r="33531" spans="26:26" x14ac:dyDescent="0.25">
      <c r="Z33531">
        <v>400000</v>
      </c>
    </row>
    <row r="33532" spans="26:26" x14ac:dyDescent="0.25">
      <c r="Z33532">
        <v>400000</v>
      </c>
    </row>
    <row r="33533" spans="26:26" x14ac:dyDescent="0.25">
      <c r="Z33533">
        <v>400000</v>
      </c>
    </row>
    <row r="33534" spans="26:26" x14ac:dyDescent="0.25">
      <c r="Z33534">
        <v>400000</v>
      </c>
    </row>
    <row r="33535" spans="26:26" x14ac:dyDescent="0.25">
      <c r="Z33535">
        <v>400000</v>
      </c>
    </row>
    <row r="33536" spans="26:26" x14ac:dyDescent="0.25">
      <c r="Z33536">
        <v>400000</v>
      </c>
    </row>
    <row r="33537" spans="26:26" x14ac:dyDescent="0.25">
      <c r="Z33537">
        <v>400000</v>
      </c>
    </row>
    <row r="33538" spans="26:26" x14ac:dyDescent="0.25">
      <c r="Z33538">
        <v>400000</v>
      </c>
    </row>
    <row r="33539" spans="26:26" x14ac:dyDescent="0.25">
      <c r="Z33539">
        <v>400000</v>
      </c>
    </row>
    <row r="33540" spans="26:26" x14ac:dyDescent="0.25">
      <c r="Z33540">
        <v>400000</v>
      </c>
    </row>
    <row r="33541" spans="26:26" x14ac:dyDescent="0.25">
      <c r="Z33541">
        <v>400000</v>
      </c>
    </row>
    <row r="33542" spans="26:26" x14ac:dyDescent="0.25">
      <c r="Z33542">
        <v>400000</v>
      </c>
    </row>
    <row r="33543" spans="26:26" x14ac:dyDescent="0.25">
      <c r="Z33543">
        <v>400000</v>
      </c>
    </row>
    <row r="33544" spans="26:26" x14ac:dyDescent="0.25">
      <c r="Z33544">
        <v>400000</v>
      </c>
    </row>
    <row r="33545" spans="26:26" x14ac:dyDescent="0.25">
      <c r="Z33545">
        <v>400000</v>
      </c>
    </row>
    <row r="33546" spans="26:26" x14ac:dyDescent="0.25">
      <c r="Z33546">
        <v>400000</v>
      </c>
    </row>
    <row r="33547" spans="26:26" x14ac:dyDescent="0.25">
      <c r="Z33547">
        <v>400000</v>
      </c>
    </row>
    <row r="33548" spans="26:26" x14ac:dyDescent="0.25">
      <c r="Z33548">
        <v>400000</v>
      </c>
    </row>
    <row r="33549" spans="26:26" x14ac:dyDescent="0.25">
      <c r="Z33549">
        <v>400000</v>
      </c>
    </row>
    <row r="33550" spans="26:26" x14ac:dyDescent="0.25">
      <c r="Z33550">
        <v>400000</v>
      </c>
    </row>
    <row r="33551" spans="26:26" x14ac:dyDescent="0.25">
      <c r="Z33551">
        <v>400000</v>
      </c>
    </row>
    <row r="33552" spans="26:26" x14ac:dyDescent="0.25">
      <c r="Z33552">
        <v>400000</v>
      </c>
    </row>
    <row r="33553" spans="26:26" x14ac:dyDescent="0.25">
      <c r="Z33553">
        <v>400000</v>
      </c>
    </row>
    <row r="33554" spans="26:26" x14ac:dyDescent="0.25">
      <c r="Z33554">
        <v>400000</v>
      </c>
    </row>
    <row r="33555" spans="26:26" x14ac:dyDescent="0.25">
      <c r="Z33555">
        <v>400000</v>
      </c>
    </row>
    <row r="33556" spans="26:26" x14ac:dyDescent="0.25">
      <c r="Z33556">
        <v>400000</v>
      </c>
    </row>
    <row r="33557" spans="26:26" x14ac:dyDescent="0.25">
      <c r="Z33557">
        <v>400000</v>
      </c>
    </row>
    <row r="33558" spans="26:26" x14ac:dyDescent="0.25">
      <c r="Z33558">
        <v>400000</v>
      </c>
    </row>
    <row r="33559" spans="26:26" x14ac:dyDescent="0.25">
      <c r="Z33559">
        <v>400000</v>
      </c>
    </row>
    <row r="33560" spans="26:26" x14ac:dyDescent="0.25">
      <c r="Z33560">
        <v>400000</v>
      </c>
    </row>
    <row r="33561" spans="26:26" x14ac:dyDescent="0.25">
      <c r="Z33561">
        <v>400000</v>
      </c>
    </row>
    <row r="33562" spans="26:26" x14ac:dyDescent="0.25">
      <c r="Z33562">
        <v>400000</v>
      </c>
    </row>
    <row r="33563" spans="26:26" x14ac:dyDescent="0.25">
      <c r="Z33563">
        <v>400000</v>
      </c>
    </row>
    <row r="33564" spans="26:26" x14ac:dyDescent="0.25">
      <c r="Z33564">
        <v>400000</v>
      </c>
    </row>
    <row r="33565" spans="26:26" x14ac:dyDescent="0.25">
      <c r="Z33565">
        <v>400000</v>
      </c>
    </row>
    <row r="33566" spans="26:26" x14ac:dyDescent="0.25">
      <c r="Z33566">
        <v>400000</v>
      </c>
    </row>
    <row r="33567" spans="26:26" x14ac:dyDescent="0.25">
      <c r="Z33567">
        <v>400000</v>
      </c>
    </row>
    <row r="33568" spans="26:26" x14ac:dyDescent="0.25">
      <c r="Z33568">
        <v>400000</v>
      </c>
    </row>
    <row r="33569" spans="26:26" x14ac:dyDescent="0.25">
      <c r="Z33569">
        <v>400000</v>
      </c>
    </row>
    <row r="33570" spans="26:26" x14ac:dyDescent="0.25">
      <c r="Z33570">
        <v>400000</v>
      </c>
    </row>
    <row r="33571" spans="26:26" x14ac:dyDescent="0.25">
      <c r="Z33571">
        <v>400000</v>
      </c>
    </row>
    <row r="33572" spans="26:26" x14ac:dyDescent="0.25">
      <c r="Z33572">
        <v>400000</v>
      </c>
    </row>
    <row r="33573" spans="26:26" x14ac:dyDescent="0.25">
      <c r="Z33573">
        <v>400000</v>
      </c>
    </row>
    <row r="33574" spans="26:26" x14ac:dyDescent="0.25">
      <c r="Z33574">
        <v>400000</v>
      </c>
    </row>
    <row r="33575" spans="26:26" x14ac:dyDescent="0.25">
      <c r="Z33575">
        <v>400000</v>
      </c>
    </row>
    <row r="33576" spans="26:26" x14ac:dyDescent="0.25">
      <c r="Z33576">
        <v>400000</v>
      </c>
    </row>
    <row r="33577" spans="26:26" x14ac:dyDescent="0.25">
      <c r="Z33577">
        <v>400000</v>
      </c>
    </row>
    <row r="33578" spans="26:26" x14ac:dyDescent="0.25">
      <c r="Z33578">
        <v>400000</v>
      </c>
    </row>
    <row r="33579" spans="26:26" x14ac:dyDescent="0.25">
      <c r="Z33579">
        <v>400000</v>
      </c>
    </row>
    <row r="33580" spans="26:26" x14ac:dyDescent="0.25">
      <c r="Z33580">
        <v>400000</v>
      </c>
    </row>
    <row r="33581" spans="26:26" x14ac:dyDescent="0.25">
      <c r="Z33581">
        <v>400000</v>
      </c>
    </row>
    <row r="33582" spans="26:26" x14ac:dyDescent="0.25">
      <c r="Z33582">
        <v>400000</v>
      </c>
    </row>
    <row r="33583" spans="26:26" x14ac:dyDescent="0.25">
      <c r="Z33583">
        <v>400000</v>
      </c>
    </row>
    <row r="33584" spans="26:26" x14ac:dyDescent="0.25">
      <c r="Z33584">
        <v>400000</v>
      </c>
    </row>
    <row r="33585" spans="26:26" x14ac:dyDescent="0.25">
      <c r="Z33585">
        <v>400000</v>
      </c>
    </row>
    <row r="33586" spans="26:26" x14ac:dyDescent="0.25">
      <c r="Z33586">
        <v>400000</v>
      </c>
    </row>
    <row r="33587" spans="26:26" x14ac:dyDescent="0.25">
      <c r="Z33587">
        <v>400000</v>
      </c>
    </row>
    <row r="33588" spans="26:26" x14ac:dyDescent="0.25">
      <c r="Z33588">
        <v>400000</v>
      </c>
    </row>
    <row r="33589" spans="26:26" x14ac:dyDescent="0.25">
      <c r="Z33589">
        <v>400000</v>
      </c>
    </row>
    <row r="33590" spans="26:26" x14ac:dyDescent="0.25">
      <c r="Z33590">
        <v>400000</v>
      </c>
    </row>
    <row r="33591" spans="26:26" x14ac:dyDescent="0.25">
      <c r="Z33591">
        <v>400000</v>
      </c>
    </row>
    <row r="33592" spans="26:26" x14ac:dyDescent="0.25">
      <c r="Z33592">
        <v>400000</v>
      </c>
    </row>
    <row r="33593" spans="26:26" x14ac:dyDescent="0.25">
      <c r="Z33593">
        <v>400000</v>
      </c>
    </row>
    <row r="33594" spans="26:26" x14ac:dyDescent="0.25">
      <c r="Z33594">
        <v>400000</v>
      </c>
    </row>
    <row r="33595" spans="26:26" x14ac:dyDescent="0.25">
      <c r="Z33595">
        <v>400000</v>
      </c>
    </row>
    <row r="33596" spans="26:26" x14ac:dyDescent="0.25">
      <c r="Z33596">
        <v>400000</v>
      </c>
    </row>
    <row r="33597" spans="26:26" x14ac:dyDescent="0.25">
      <c r="Z33597">
        <v>400000</v>
      </c>
    </row>
    <row r="33598" spans="26:26" x14ac:dyDescent="0.25">
      <c r="Z33598">
        <v>400000</v>
      </c>
    </row>
    <row r="33599" spans="26:26" x14ac:dyDescent="0.25">
      <c r="Z33599">
        <v>400000</v>
      </c>
    </row>
    <row r="33600" spans="26:26" x14ac:dyDescent="0.25">
      <c r="Z33600">
        <v>400000</v>
      </c>
    </row>
    <row r="33601" spans="26:26" x14ac:dyDescent="0.25">
      <c r="Z33601">
        <v>400000</v>
      </c>
    </row>
    <row r="33602" spans="26:26" x14ac:dyDescent="0.25">
      <c r="Z33602">
        <v>400000</v>
      </c>
    </row>
    <row r="33603" spans="26:26" x14ac:dyDescent="0.25">
      <c r="Z33603">
        <v>400000</v>
      </c>
    </row>
    <row r="33604" spans="26:26" x14ac:dyDescent="0.25">
      <c r="Z33604">
        <v>400000</v>
      </c>
    </row>
    <row r="33605" spans="26:26" x14ac:dyDescent="0.25">
      <c r="Z33605">
        <v>400000</v>
      </c>
    </row>
    <row r="33606" spans="26:26" x14ac:dyDescent="0.25">
      <c r="Z33606">
        <v>400000</v>
      </c>
    </row>
    <row r="33607" spans="26:26" x14ac:dyDescent="0.25">
      <c r="Z33607">
        <v>400000</v>
      </c>
    </row>
    <row r="33608" spans="26:26" x14ac:dyDescent="0.25">
      <c r="Z33608">
        <v>400000</v>
      </c>
    </row>
    <row r="33609" spans="26:26" x14ac:dyDescent="0.25">
      <c r="Z33609">
        <v>400000</v>
      </c>
    </row>
    <row r="33610" spans="26:26" x14ac:dyDescent="0.25">
      <c r="Z33610">
        <v>400000</v>
      </c>
    </row>
    <row r="33611" spans="26:26" x14ac:dyDescent="0.25">
      <c r="Z33611">
        <v>400000</v>
      </c>
    </row>
    <row r="33612" spans="26:26" x14ac:dyDescent="0.25">
      <c r="Z33612">
        <v>400000</v>
      </c>
    </row>
    <row r="33613" spans="26:26" x14ac:dyDescent="0.25">
      <c r="Z33613">
        <v>400000</v>
      </c>
    </row>
    <row r="33614" spans="26:26" x14ac:dyDescent="0.25">
      <c r="Z33614">
        <v>400000</v>
      </c>
    </row>
    <row r="33615" spans="26:26" x14ac:dyDescent="0.25">
      <c r="Z33615">
        <v>400000</v>
      </c>
    </row>
    <row r="33616" spans="26:26" x14ac:dyDescent="0.25">
      <c r="Z33616">
        <v>400000</v>
      </c>
    </row>
    <row r="33617" spans="26:26" x14ac:dyDescent="0.25">
      <c r="Z33617">
        <v>400000</v>
      </c>
    </row>
    <row r="33618" spans="26:26" x14ac:dyDescent="0.25">
      <c r="Z33618">
        <v>400000</v>
      </c>
    </row>
    <row r="33619" spans="26:26" x14ac:dyDescent="0.25">
      <c r="Z33619">
        <v>400000</v>
      </c>
    </row>
    <row r="33620" spans="26:26" x14ac:dyDescent="0.25">
      <c r="Z33620">
        <v>400000</v>
      </c>
    </row>
    <row r="33621" spans="26:26" x14ac:dyDescent="0.25">
      <c r="Z33621">
        <v>400000</v>
      </c>
    </row>
    <row r="33622" spans="26:26" x14ac:dyDescent="0.25">
      <c r="Z33622">
        <v>400000</v>
      </c>
    </row>
    <row r="33623" spans="26:26" x14ac:dyDescent="0.25">
      <c r="Z33623">
        <v>400000</v>
      </c>
    </row>
    <row r="33624" spans="26:26" x14ac:dyDescent="0.25">
      <c r="Z33624">
        <v>400000</v>
      </c>
    </row>
    <row r="33625" spans="26:26" x14ac:dyDescent="0.25">
      <c r="Z33625">
        <v>400000</v>
      </c>
    </row>
    <row r="33626" spans="26:26" x14ac:dyDescent="0.25">
      <c r="Z33626">
        <v>400000</v>
      </c>
    </row>
    <row r="33627" spans="26:26" x14ac:dyDescent="0.25">
      <c r="Z33627">
        <v>400000</v>
      </c>
    </row>
    <row r="33628" spans="26:26" x14ac:dyDescent="0.25">
      <c r="Z33628">
        <v>400000</v>
      </c>
    </row>
    <row r="33629" spans="26:26" x14ac:dyDescent="0.25">
      <c r="Z33629">
        <v>400000</v>
      </c>
    </row>
    <row r="33630" spans="26:26" x14ac:dyDescent="0.25">
      <c r="Z33630">
        <v>400000</v>
      </c>
    </row>
    <row r="33631" spans="26:26" x14ac:dyDescent="0.25">
      <c r="Z33631">
        <v>400000</v>
      </c>
    </row>
    <row r="33632" spans="26:26" x14ac:dyDescent="0.25">
      <c r="Z33632">
        <v>400000</v>
      </c>
    </row>
    <row r="33633" spans="26:26" x14ac:dyDescent="0.25">
      <c r="Z33633">
        <v>400000</v>
      </c>
    </row>
    <row r="33634" spans="26:26" x14ac:dyDescent="0.25">
      <c r="Z33634">
        <v>400000</v>
      </c>
    </row>
    <row r="33635" spans="26:26" x14ac:dyDescent="0.25">
      <c r="Z33635">
        <v>400000</v>
      </c>
    </row>
    <row r="33636" spans="26:26" x14ac:dyDescent="0.25">
      <c r="Z33636">
        <v>400000</v>
      </c>
    </row>
    <row r="33637" spans="26:26" x14ac:dyDescent="0.25">
      <c r="Z33637">
        <v>400000</v>
      </c>
    </row>
    <row r="33638" spans="26:26" x14ac:dyDescent="0.25">
      <c r="Z33638">
        <v>400000</v>
      </c>
    </row>
    <row r="33639" spans="26:26" x14ac:dyDescent="0.25">
      <c r="Z33639">
        <v>400000</v>
      </c>
    </row>
    <row r="33640" spans="26:26" x14ac:dyDescent="0.25">
      <c r="Z33640">
        <v>400000</v>
      </c>
    </row>
    <row r="33641" spans="26:26" x14ac:dyDescent="0.25">
      <c r="Z33641">
        <v>400000</v>
      </c>
    </row>
    <row r="33642" spans="26:26" x14ac:dyDescent="0.25">
      <c r="Z33642">
        <v>400000</v>
      </c>
    </row>
    <row r="33643" spans="26:26" x14ac:dyDescent="0.25">
      <c r="Z33643">
        <v>400000</v>
      </c>
    </row>
    <row r="33644" spans="26:26" x14ac:dyDescent="0.25">
      <c r="Z33644">
        <v>400000</v>
      </c>
    </row>
    <row r="33645" spans="26:26" x14ac:dyDescent="0.25">
      <c r="Z33645">
        <v>400000</v>
      </c>
    </row>
    <row r="33646" spans="26:26" x14ac:dyDescent="0.25">
      <c r="Z33646">
        <v>400000</v>
      </c>
    </row>
    <row r="33647" spans="26:26" x14ac:dyDescent="0.25">
      <c r="Z33647">
        <v>400000</v>
      </c>
    </row>
    <row r="33648" spans="26:26" x14ac:dyDescent="0.25">
      <c r="Z33648">
        <v>400000</v>
      </c>
    </row>
    <row r="33649" spans="26:26" x14ac:dyDescent="0.25">
      <c r="Z33649">
        <v>400000</v>
      </c>
    </row>
    <row r="33650" spans="26:26" x14ac:dyDescent="0.25">
      <c r="Z33650">
        <v>400000</v>
      </c>
    </row>
    <row r="33651" spans="26:26" x14ac:dyDescent="0.25">
      <c r="Z33651">
        <v>400000</v>
      </c>
    </row>
    <row r="33652" spans="26:26" x14ac:dyDescent="0.25">
      <c r="Z33652">
        <v>400000</v>
      </c>
    </row>
    <row r="33653" spans="26:26" x14ac:dyDescent="0.25">
      <c r="Z33653">
        <v>400000</v>
      </c>
    </row>
    <row r="33654" spans="26:26" x14ac:dyDescent="0.25">
      <c r="Z33654">
        <v>400000</v>
      </c>
    </row>
    <row r="33655" spans="26:26" x14ac:dyDescent="0.25">
      <c r="Z33655">
        <v>400000</v>
      </c>
    </row>
    <row r="33656" spans="26:26" x14ac:dyDescent="0.25">
      <c r="Z33656">
        <v>400000</v>
      </c>
    </row>
    <row r="33657" spans="26:26" x14ac:dyDescent="0.25">
      <c r="Z33657">
        <v>400000</v>
      </c>
    </row>
    <row r="33658" spans="26:26" x14ac:dyDescent="0.25">
      <c r="Z33658">
        <v>400000</v>
      </c>
    </row>
    <row r="33659" spans="26:26" x14ac:dyDescent="0.25">
      <c r="Z33659">
        <v>400000</v>
      </c>
    </row>
    <row r="33660" spans="26:26" x14ac:dyDescent="0.25">
      <c r="Z33660">
        <v>400000</v>
      </c>
    </row>
    <row r="33661" spans="26:26" x14ac:dyDescent="0.25">
      <c r="Z33661">
        <v>400000</v>
      </c>
    </row>
    <row r="33662" spans="26:26" x14ac:dyDescent="0.25">
      <c r="Z33662">
        <v>400000</v>
      </c>
    </row>
    <row r="33663" spans="26:26" x14ac:dyDescent="0.25">
      <c r="Z33663">
        <v>400000</v>
      </c>
    </row>
    <row r="33664" spans="26:26" x14ac:dyDescent="0.25">
      <c r="Z33664">
        <v>400000</v>
      </c>
    </row>
    <row r="33665" spans="26:26" x14ac:dyDescent="0.25">
      <c r="Z33665">
        <v>400000</v>
      </c>
    </row>
    <row r="33666" spans="26:26" x14ac:dyDescent="0.25">
      <c r="Z33666">
        <v>400000</v>
      </c>
    </row>
    <row r="33667" spans="26:26" x14ac:dyDescent="0.25">
      <c r="Z33667">
        <v>400000</v>
      </c>
    </row>
    <row r="33668" spans="26:26" x14ac:dyDescent="0.25">
      <c r="Z33668">
        <v>400000</v>
      </c>
    </row>
    <row r="33669" spans="26:26" x14ac:dyDescent="0.25">
      <c r="Z33669">
        <v>400000</v>
      </c>
    </row>
    <row r="33670" spans="26:26" x14ac:dyDescent="0.25">
      <c r="Z33670">
        <v>400000</v>
      </c>
    </row>
    <row r="33671" spans="26:26" x14ac:dyDescent="0.25">
      <c r="Z33671">
        <v>400000</v>
      </c>
    </row>
    <row r="33672" spans="26:26" x14ac:dyDescent="0.25">
      <c r="Z33672">
        <v>400000</v>
      </c>
    </row>
    <row r="33673" spans="26:26" x14ac:dyDescent="0.25">
      <c r="Z33673">
        <v>400000</v>
      </c>
    </row>
    <row r="33674" spans="26:26" x14ac:dyDescent="0.25">
      <c r="Z33674">
        <v>400000</v>
      </c>
    </row>
    <row r="33675" spans="26:26" x14ac:dyDescent="0.25">
      <c r="Z33675">
        <v>400000</v>
      </c>
    </row>
    <row r="33676" spans="26:26" x14ac:dyDescent="0.25">
      <c r="Z33676">
        <v>400000</v>
      </c>
    </row>
    <row r="33677" spans="26:26" x14ac:dyDescent="0.25">
      <c r="Z33677">
        <v>400000</v>
      </c>
    </row>
    <row r="33678" spans="26:26" x14ac:dyDescent="0.25">
      <c r="Z33678">
        <v>400000</v>
      </c>
    </row>
    <row r="33679" spans="26:26" x14ac:dyDescent="0.25">
      <c r="Z33679">
        <v>400000</v>
      </c>
    </row>
    <row r="33680" spans="26:26" x14ac:dyDescent="0.25">
      <c r="Z33680">
        <v>400000</v>
      </c>
    </row>
    <row r="33681" spans="26:26" x14ac:dyDescent="0.25">
      <c r="Z33681">
        <v>400000</v>
      </c>
    </row>
    <row r="33682" spans="26:26" x14ac:dyDescent="0.25">
      <c r="Z33682">
        <v>400000</v>
      </c>
    </row>
    <row r="33683" spans="26:26" x14ac:dyDescent="0.25">
      <c r="Z33683">
        <v>400000</v>
      </c>
    </row>
    <row r="33684" spans="26:26" x14ac:dyDescent="0.25">
      <c r="Z33684">
        <v>400000</v>
      </c>
    </row>
    <row r="33685" spans="26:26" x14ac:dyDescent="0.25">
      <c r="Z33685">
        <v>400000</v>
      </c>
    </row>
    <row r="33686" spans="26:26" x14ac:dyDescent="0.25">
      <c r="Z33686">
        <v>400000</v>
      </c>
    </row>
    <row r="33687" spans="26:26" x14ac:dyDescent="0.25">
      <c r="Z33687">
        <v>400000</v>
      </c>
    </row>
    <row r="33688" spans="26:26" x14ac:dyDescent="0.25">
      <c r="Z33688">
        <v>400000</v>
      </c>
    </row>
    <row r="33689" spans="26:26" x14ac:dyDescent="0.25">
      <c r="Z33689">
        <v>400000</v>
      </c>
    </row>
    <row r="33690" spans="26:26" x14ac:dyDescent="0.25">
      <c r="Z33690">
        <v>400000</v>
      </c>
    </row>
    <row r="33691" spans="26:26" x14ac:dyDescent="0.25">
      <c r="Z33691">
        <v>400000</v>
      </c>
    </row>
    <row r="33692" spans="26:26" x14ac:dyDescent="0.25">
      <c r="Z33692">
        <v>400000</v>
      </c>
    </row>
    <row r="33693" spans="26:26" x14ac:dyDescent="0.25">
      <c r="Z33693">
        <v>400000</v>
      </c>
    </row>
    <row r="33694" spans="26:26" x14ac:dyDescent="0.25">
      <c r="Z33694">
        <v>400000</v>
      </c>
    </row>
    <row r="33695" spans="26:26" x14ac:dyDescent="0.25">
      <c r="Z33695">
        <v>400000</v>
      </c>
    </row>
    <row r="33696" spans="26:26" x14ac:dyDescent="0.25">
      <c r="Z33696">
        <v>400000</v>
      </c>
    </row>
    <row r="33697" spans="26:26" x14ac:dyDescent="0.25">
      <c r="Z33697">
        <v>400000</v>
      </c>
    </row>
    <row r="33698" spans="26:26" x14ac:dyDescent="0.25">
      <c r="Z33698">
        <v>400000</v>
      </c>
    </row>
    <row r="33699" spans="26:26" x14ac:dyDescent="0.25">
      <c r="Z33699">
        <v>400000</v>
      </c>
    </row>
    <row r="33700" spans="26:26" x14ac:dyDescent="0.25">
      <c r="Z33700">
        <v>400000</v>
      </c>
    </row>
    <row r="33701" spans="26:26" x14ac:dyDescent="0.25">
      <c r="Z33701">
        <v>400000</v>
      </c>
    </row>
    <row r="33702" spans="26:26" x14ac:dyDescent="0.25">
      <c r="Z33702">
        <v>400000</v>
      </c>
    </row>
    <row r="33703" spans="26:26" x14ac:dyDescent="0.25">
      <c r="Z33703">
        <v>400000</v>
      </c>
    </row>
    <row r="33704" spans="26:26" x14ac:dyDescent="0.25">
      <c r="Z33704">
        <v>400000</v>
      </c>
    </row>
    <row r="33705" spans="26:26" x14ac:dyDescent="0.25">
      <c r="Z33705">
        <v>400000</v>
      </c>
    </row>
    <row r="33706" spans="26:26" x14ac:dyDescent="0.25">
      <c r="Z33706">
        <v>400000</v>
      </c>
    </row>
    <row r="33707" spans="26:26" x14ac:dyDescent="0.25">
      <c r="Z33707">
        <v>400000</v>
      </c>
    </row>
    <row r="33708" spans="26:26" x14ac:dyDescent="0.25">
      <c r="Z33708">
        <v>400000</v>
      </c>
    </row>
    <row r="33709" spans="26:26" x14ac:dyDescent="0.25">
      <c r="Z33709">
        <v>400000</v>
      </c>
    </row>
    <row r="33710" spans="26:26" x14ac:dyDescent="0.25">
      <c r="Z33710">
        <v>400000</v>
      </c>
    </row>
    <row r="33711" spans="26:26" x14ac:dyDescent="0.25">
      <c r="Z33711">
        <v>400000</v>
      </c>
    </row>
    <row r="33712" spans="26:26" x14ac:dyDescent="0.25">
      <c r="Z33712">
        <v>400000</v>
      </c>
    </row>
    <row r="33713" spans="26:26" x14ac:dyDescent="0.25">
      <c r="Z33713">
        <v>400000</v>
      </c>
    </row>
    <row r="33714" spans="26:26" x14ac:dyDescent="0.25">
      <c r="Z33714">
        <v>400000</v>
      </c>
    </row>
    <row r="33715" spans="26:26" x14ac:dyDescent="0.25">
      <c r="Z33715">
        <v>400000</v>
      </c>
    </row>
    <row r="33716" spans="26:26" x14ac:dyDescent="0.25">
      <c r="Z33716">
        <v>400000</v>
      </c>
    </row>
    <row r="33717" spans="26:26" x14ac:dyDescent="0.25">
      <c r="Z33717">
        <v>400000</v>
      </c>
    </row>
    <row r="33718" spans="26:26" x14ac:dyDescent="0.25">
      <c r="Z33718">
        <v>400000</v>
      </c>
    </row>
    <row r="33719" spans="26:26" x14ac:dyDescent="0.25">
      <c r="Z33719">
        <v>400000</v>
      </c>
    </row>
    <row r="33720" spans="26:26" x14ac:dyDescent="0.25">
      <c r="Z33720">
        <v>400000</v>
      </c>
    </row>
    <row r="33721" spans="26:26" x14ac:dyDescent="0.25">
      <c r="Z33721">
        <v>400000</v>
      </c>
    </row>
    <row r="33722" spans="26:26" x14ac:dyDescent="0.25">
      <c r="Z33722">
        <v>400000</v>
      </c>
    </row>
    <row r="33723" spans="26:26" x14ac:dyDescent="0.25">
      <c r="Z33723">
        <v>400000</v>
      </c>
    </row>
    <row r="33724" spans="26:26" x14ac:dyDescent="0.25">
      <c r="Z33724">
        <v>400000</v>
      </c>
    </row>
    <row r="33725" spans="26:26" x14ac:dyDescent="0.25">
      <c r="Z33725">
        <v>400000</v>
      </c>
    </row>
    <row r="33726" spans="26:26" x14ac:dyDescent="0.25">
      <c r="Z33726">
        <v>400000</v>
      </c>
    </row>
    <row r="33727" spans="26:26" x14ac:dyDescent="0.25">
      <c r="Z33727">
        <v>400000</v>
      </c>
    </row>
    <row r="33728" spans="26:26" x14ac:dyDescent="0.25">
      <c r="Z33728">
        <v>400000</v>
      </c>
    </row>
    <row r="33729" spans="26:26" x14ac:dyDescent="0.25">
      <c r="Z33729">
        <v>400000</v>
      </c>
    </row>
    <row r="33730" spans="26:26" x14ac:dyDescent="0.25">
      <c r="Z33730">
        <v>400000</v>
      </c>
    </row>
    <row r="33731" spans="26:26" x14ac:dyDescent="0.25">
      <c r="Z33731">
        <v>400000</v>
      </c>
    </row>
    <row r="33732" spans="26:26" x14ac:dyDescent="0.25">
      <c r="Z33732">
        <v>400000</v>
      </c>
    </row>
    <row r="33733" spans="26:26" x14ac:dyDescent="0.25">
      <c r="Z33733">
        <v>400000</v>
      </c>
    </row>
    <row r="33734" spans="26:26" x14ac:dyDescent="0.25">
      <c r="Z33734">
        <v>400000</v>
      </c>
    </row>
    <row r="33735" spans="26:26" x14ac:dyDescent="0.25">
      <c r="Z33735">
        <v>400000</v>
      </c>
    </row>
    <row r="33736" spans="26:26" x14ac:dyDescent="0.25">
      <c r="Z33736">
        <v>400000</v>
      </c>
    </row>
    <row r="33737" spans="26:26" x14ac:dyDescent="0.25">
      <c r="Z33737">
        <v>400000</v>
      </c>
    </row>
    <row r="33738" spans="26:26" x14ac:dyDescent="0.25">
      <c r="Z33738">
        <v>400000</v>
      </c>
    </row>
    <row r="33739" spans="26:26" x14ac:dyDescent="0.25">
      <c r="Z33739">
        <v>400000</v>
      </c>
    </row>
    <row r="33740" spans="26:26" x14ac:dyDescent="0.25">
      <c r="Z33740">
        <v>400000</v>
      </c>
    </row>
    <row r="33741" spans="26:26" x14ac:dyDescent="0.25">
      <c r="Z33741">
        <v>400000</v>
      </c>
    </row>
    <row r="33742" spans="26:26" x14ac:dyDescent="0.25">
      <c r="Z33742">
        <v>400000</v>
      </c>
    </row>
    <row r="33743" spans="26:26" x14ac:dyDescent="0.25">
      <c r="Z33743">
        <v>400000</v>
      </c>
    </row>
    <row r="33744" spans="26:26" x14ac:dyDescent="0.25">
      <c r="Z33744">
        <v>400000</v>
      </c>
    </row>
    <row r="33745" spans="26:26" x14ac:dyDescent="0.25">
      <c r="Z33745">
        <v>400000</v>
      </c>
    </row>
    <row r="33746" spans="26:26" x14ac:dyDescent="0.25">
      <c r="Z33746">
        <v>400000</v>
      </c>
    </row>
    <row r="33747" spans="26:26" x14ac:dyDescent="0.25">
      <c r="Z33747">
        <v>400000</v>
      </c>
    </row>
    <row r="33748" spans="26:26" x14ac:dyDescent="0.25">
      <c r="Z33748">
        <v>400000</v>
      </c>
    </row>
    <row r="33749" spans="26:26" x14ac:dyDescent="0.25">
      <c r="Z33749">
        <v>400000</v>
      </c>
    </row>
    <row r="33750" spans="26:26" x14ac:dyDescent="0.25">
      <c r="Z33750">
        <v>400000</v>
      </c>
    </row>
    <row r="33751" spans="26:26" x14ac:dyDescent="0.25">
      <c r="Z33751">
        <v>400000</v>
      </c>
    </row>
    <row r="33752" spans="26:26" x14ac:dyDescent="0.25">
      <c r="Z33752">
        <v>400000</v>
      </c>
    </row>
    <row r="33753" spans="26:26" x14ac:dyDescent="0.25">
      <c r="Z33753">
        <v>400000</v>
      </c>
    </row>
    <row r="33754" spans="26:26" x14ac:dyDescent="0.25">
      <c r="Z33754">
        <v>400000</v>
      </c>
    </row>
    <row r="33755" spans="26:26" x14ac:dyDescent="0.25">
      <c r="Z33755">
        <v>400000</v>
      </c>
    </row>
    <row r="33756" spans="26:26" x14ac:dyDescent="0.25">
      <c r="Z33756">
        <v>400000</v>
      </c>
    </row>
    <row r="33757" spans="26:26" x14ac:dyDescent="0.25">
      <c r="Z33757">
        <v>400000</v>
      </c>
    </row>
    <row r="33758" spans="26:26" x14ac:dyDescent="0.25">
      <c r="Z33758">
        <v>400000</v>
      </c>
    </row>
    <row r="33759" spans="26:26" x14ac:dyDescent="0.25">
      <c r="Z33759">
        <v>400000</v>
      </c>
    </row>
    <row r="33760" spans="26:26" x14ac:dyDescent="0.25">
      <c r="Z33760">
        <v>400000</v>
      </c>
    </row>
    <row r="33761" spans="26:26" x14ac:dyDescent="0.25">
      <c r="Z33761">
        <v>400000</v>
      </c>
    </row>
    <row r="33762" spans="26:26" x14ac:dyDescent="0.25">
      <c r="Z33762">
        <v>400000</v>
      </c>
    </row>
    <row r="33763" spans="26:26" x14ac:dyDescent="0.25">
      <c r="Z33763">
        <v>400000</v>
      </c>
    </row>
    <row r="33764" spans="26:26" x14ac:dyDescent="0.25">
      <c r="Z33764">
        <v>400000</v>
      </c>
    </row>
    <row r="33765" spans="26:26" x14ac:dyDescent="0.25">
      <c r="Z33765">
        <v>400000</v>
      </c>
    </row>
    <row r="33766" spans="26:26" x14ac:dyDescent="0.25">
      <c r="Z33766">
        <v>400000</v>
      </c>
    </row>
    <row r="33767" spans="26:26" x14ac:dyDescent="0.25">
      <c r="Z33767">
        <v>400000</v>
      </c>
    </row>
    <row r="33768" spans="26:26" x14ac:dyDescent="0.25">
      <c r="Z33768">
        <v>400000</v>
      </c>
    </row>
    <row r="33769" spans="26:26" x14ac:dyDescent="0.25">
      <c r="Z33769">
        <v>400000</v>
      </c>
    </row>
    <row r="33770" spans="26:26" x14ac:dyDescent="0.25">
      <c r="Z33770">
        <v>400000</v>
      </c>
    </row>
    <row r="33771" spans="26:26" x14ac:dyDescent="0.25">
      <c r="Z33771">
        <v>400000</v>
      </c>
    </row>
    <row r="33772" spans="26:26" x14ac:dyDescent="0.25">
      <c r="Z33772">
        <v>400000</v>
      </c>
    </row>
    <row r="33773" spans="26:26" x14ac:dyDescent="0.25">
      <c r="Z33773">
        <v>400000</v>
      </c>
    </row>
    <row r="33774" spans="26:26" x14ac:dyDescent="0.25">
      <c r="Z33774">
        <v>400000</v>
      </c>
    </row>
    <row r="33775" spans="26:26" x14ac:dyDescent="0.25">
      <c r="Z33775">
        <v>400000</v>
      </c>
    </row>
    <row r="33776" spans="26:26" x14ac:dyDescent="0.25">
      <c r="Z33776">
        <v>400000</v>
      </c>
    </row>
    <row r="33777" spans="26:26" x14ac:dyDescent="0.25">
      <c r="Z33777">
        <v>400000</v>
      </c>
    </row>
    <row r="33778" spans="26:26" x14ac:dyDescent="0.25">
      <c r="Z33778">
        <v>400000</v>
      </c>
    </row>
    <row r="33779" spans="26:26" x14ac:dyDescent="0.25">
      <c r="Z33779">
        <v>400000</v>
      </c>
    </row>
    <row r="33780" spans="26:26" x14ac:dyDescent="0.25">
      <c r="Z33780">
        <v>400000</v>
      </c>
    </row>
    <row r="33781" spans="26:26" x14ac:dyDescent="0.25">
      <c r="Z33781">
        <v>400000</v>
      </c>
    </row>
    <row r="33782" spans="26:26" x14ac:dyDescent="0.25">
      <c r="Z33782">
        <v>400000</v>
      </c>
    </row>
    <row r="33783" spans="26:26" x14ac:dyDescent="0.25">
      <c r="Z33783">
        <v>400000</v>
      </c>
    </row>
    <row r="33784" spans="26:26" x14ac:dyDescent="0.25">
      <c r="Z33784">
        <v>400000</v>
      </c>
    </row>
    <row r="33785" spans="26:26" x14ac:dyDescent="0.25">
      <c r="Z33785">
        <v>400000</v>
      </c>
    </row>
    <row r="33786" spans="26:26" x14ac:dyDescent="0.25">
      <c r="Z33786">
        <v>400000</v>
      </c>
    </row>
    <row r="33787" spans="26:26" x14ac:dyDescent="0.25">
      <c r="Z33787">
        <v>400000</v>
      </c>
    </row>
    <row r="33788" spans="26:26" x14ac:dyDescent="0.25">
      <c r="Z33788">
        <v>400000</v>
      </c>
    </row>
    <row r="33789" spans="26:26" x14ac:dyDescent="0.25">
      <c r="Z33789">
        <v>400000</v>
      </c>
    </row>
    <row r="33790" spans="26:26" x14ac:dyDescent="0.25">
      <c r="Z33790">
        <v>400000</v>
      </c>
    </row>
    <row r="33791" spans="26:26" x14ac:dyDescent="0.25">
      <c r="Z33791">
        <v>400000</v>
      </c>
    </row>
    <row r="33792" spans="26:26" x14ac:dyDescent="0.25">
      <c r="Z33792">
        <v>400000</v>
      </c>
    </row>
    <row r="33793" spans="26:26" x14ac:dyDescent="0.25">
      <c r="Z33793">
        <v>400000</v>
      </c>
    </row>
    <row r="33794" spans="26:26" x14ac:dyDescent="0.25">
      <c r="Z33794">
        <v>400000</v>
      </c>
    </row>
    <row r="33795" spans="26:26" x14ac:dyDescent="0.25">
      <c r="Z33795">
        <v>400000</v>
      </c>
    </row>
    <row r="33796" spans="26:26" x14ac:dyDescent="0.25">
      <c r="Z33796">
        <v>400000</v>
      </c>
    </row>
    <row r="33797" spans="26:26" x14ac:dyDescent="0.25">
      <c r="Z33797">
        <v>400000</v>
      </c>
    </row>
    <row r="33798" spans="26:26" x14ac:dyDescent="0.25">
      <c r="Z33798">
        <v>400000</v>
      </c>
    </row>
    <row r="33799" spans="26:26" x14ac:dyDescent="0.25">
      <c r="Z33799">
        <v>400000</v>
      </c>
    </row>
    <row r="33800" spans="26:26" x14ac:dyDescent="0.25">
      <c r="Z33800">
        <v>400000</v>
      </c>
    </row>
    <row r="33801" spans="26:26" x14ac:dyDescent="0.25">
      <c r="Z33801">
        <v>400000</v>
      </c>
    </row>
    <row r="33802" spans="26:26" x14ac:dyDescent="0.25">
      <c r="Z33802">
        <v>400000</v>
      </c>
    </row>
    <row r="33803" spans="26:26" x14ac:dyDescent="0.25">
      <c r="Z33803">
        <v>400000</v>
      </c>
    </row>
    <row r="33804" spans="26:26" x14ac:dyDescent="0.25">
      <c r="Z33804">
        <v>400000</v>
      </c>
    </row>
    <row r="33805" spans="26:26" x14ac:dyDescent="0.25">
      <c r="Z33805">
        <v>400000</v>
      </c>
    </row>
    <row r="33806" spans="26:26" x14ac:dyDescent="0.25">
      <c r="Z33806">
        <v>400000</v>
      </c>
    </row>
    <row r="33807" spans="26:26" x14ac:dyDescent="0.25">
      <c r="Z33807">
        <v>400000</v>
      </c>
    </row>
    <row r="33808" spans="26:26" x14ac:dyDescent="0.25">
      <c r="Z33808">
        <v>400000</v>
      </c>
    </row>
    <row r="33809" spans="26:26" x14ac:dyDescent="0.25">
      <c r="Z33809">
        <v>400000</v>
      </c>
    </row>
    <row r="33810" spans="26:26" x14ac:dyDescent="0.25">
      <c r="Z33810">
        <v>400000</v>
      </c>
    </row>
    <row r="33811" spans="26:26" x14ac:dyDescent="0.25">
      <c r="Z33811">
        <v>400000</v>
      </c>
    </row>
    <row r="33812" spans="26:26" x14ac:dyDescent="0.25">
      <c r="Z33812">
        <v>400000</v>
      </c>
    </row>
    <row r="33813" spans="26:26" x14ac:dyDescent="0.25">
      <c r="Z33813">
        <v>400000</v>
      </c>
    </row>
    <row r="33814" spans="26:26" x14ac:dyDescent="0.25">
      <c r="Z33814">
        <v>400000</v>
      </c>
    </row>
    <row r="33815" spans="26:26" x14ac:dyDescent="0.25">
      <c r="Z33815">
        <v>400000</v>
      </c>
    </row>
    <row r="33816" spans="26:26" x14ac:dyDescent="0.25">
      <c r="Z33816">
        <v>400000</v>
      </c>
    </row>
    <row r="33817" spans="26:26" x14ac:dyDescent="0.25">
      <c r="Z33817">
        <v>400000</v>
      </c>
    </row>
    <row r="33818" spans="26:26" x14ac:dyDescent="0.25">
      <c r="Z33818">
        <v>400000</v>
      </c>
    </row>
    <row r="33819" spans="26:26" x14ac:dyDescent="0.25">
      <c r="Z33819">
        <v>400000</v>
      </c>
    </row>
    <row r="33820" spans="26:26" x14ac:dyDescent="0.25">
      <c r="Z33820">
        <v>400000</v>
      </c>
    </row>
    <row r="33821" spans="26:26" x14ac:dyDescent="0.25">
      <c r="Z33821">
        <v>400000</v>
      </c>
    </row>
    <row r="33822" spans="26:26" x14ac:dyDescent="0.25">
      <c r="Z33822">
        <v>400000</v>
      </c>
    </row>
    <row r="33823" spans="26:26" x14ac:dyDescent="0.25">
      <c r="Z33823">
        <v>400000</v>
      </c>
    </row>
    <row r="33824" spans="26:26" x14ac:dyDescent="0.25">
      <c r="Z33824">
        <v>400000</v>
      </c>
    </row>
    <row r="33825" spans="26:26" x14ac:dyDescent="0.25">
      <c r="Z33825">
        <v>400000</v>
      </c>
    </row>
    <row r="33826" spans="26:26" x14ac:dyDescent="0.25">
      <c r="Z33826">
        <v>400000</v>
      </c>
    </row>
    <row r="33827" spans="26:26" x14ac:dyDescent="0.25">
      <c r="Z33827">
        <v>400000</v>
      </c>
    </row>
    <row r="33828" spans="26:26" x14ac:dyDescent="0.25">
      <c r="Z33828">
        <v>400000</v>
      </c>
    </row>
    <row r="33829" spans="26:26" x14ac:dyDescent="0.25">
      <c r="Z33829">
        <v>400000</v>
      </c>
    </row>
    <row r="33830" spans="26:26" x14ac:dyDescent="0.25">
      <c r="Z33830">
        <v>400000</v>
      </c>
    </row>
    <row r="33831" spans="26:26" x14ac:dyDescent="0.25">
      <c r="Z33831">
        <v>400000</v>
      </c>
    </row>
    <row r="33832" spans="26:26" x14ac:dyDescent="0.25">
      <c r="Z33832">
        <v>400000</v>
      </c>
    </row>
    <row r="33833" spans="26:26" x14ac:dyDescent="0.25">
      <c r="Z33833">
        <v>400000</v>
      </c>
    </row>
    <row r="33834" spans="26:26" x14ac:dyDescent="0.25">
      <c r="Z33834">
        <v>400000</v>
      </c>
    </row>
    <row r="33835" spans="26:26" x14ac:dyDescent="0.25">
      <c r="Z33835">
        <v>400000</v>
      </c>
    </row>
    <row r="33836" spans="26:26" x14ac:dyDescent="0.25">
      <c r="Z33836">
        <v>400000</v>
      </c>
    </row>
    <row r="33837" spans="26:26" x14ac:dyDescent="0.25">
      <c r="Z33837">
        <v>400000</v>
      </c>
    </row>
    <row r="33838" spans="26:26" x14ac:dyDescent="0.25">
      <c r="Z33838">
        <v>400000</v>
      </c>
    </row>
    <row r="33839" spans="26:26" x14ac:dyDescent="0.25">
      <c r="Z33839">
        <v>400000</v>
      </c>
    </row>
    <row r="33840" spans="26:26" x14ac:dyDescent="0.25">
      <c r="Z33840">
        <v>400000</v>
      </c>
    </row>
    <row r="33841" spans="26:26" x14ac:dyDescent="0.25">
      <c r="Z33841">
        <v>400000</v>
      </c>
    </row>
    <row r="33842" spans="26:26" x14ac:dyDescent="0.25">
      <c r="Z33842">
        <v>400000</v>
      </c>
    </row>
    <row r="33843" spans="26:26" x14ac:dyDescent="0.25">
      <c r="Z33843">
        <v>400000</v>
      </c>
    </row>
    <row r="33844" spans="26:26" x14ac:dyDescent="0.25">
      <c r="Z33844">
        <v>400000</v>
      </c>
    </row>
    <row r="33845" spans="26:26" x14ac:dyDescent="0.25">
      <c r="Z33845">
        <v>400000</v>
      </c>
    </row>
    <row r="33846" spans="26:26" x14ac:dyDescent="0.25">
      <c r="Z33846">
        <v>400000</v>
      </c>
    </row>
    <row r="33847" spans="26:26" x14ac:dyDescent="0.25">
      <c r="Z33847">
        <v>400000</v>
      </c>
    </row>
    <row r="33848" spans="26:26" x14ac:dyDescent="0.25">
      <c r="Z33848">
        <v>400000</v>
      </c>
    </row>
    <row r="33849" spans="26:26" x14ac:dyDescent="0.25">
      <c r="Z33849">
        <v>400000</v>
      </c>
    </row>
    <row r="33850" spans="26:26" x14ac:dyDescent="0.25">
      <c r="Z33850">
        <v>400000</v>
      </c>
    </row>
    <row r="33851" spans="26:26" x14ac:dyDescent="0.25">
      <c r="Z33851">
        <v>400000</v>
      </c>
    </row>
    <row r="33852" spans="26:26" x14ac:dyDescent="0.25">
      <c r="Z33852">
        <v>400000</v>
      </c>
    </row>
    <row r="33853" spans="26:26" x14ac:dyDescent="0.25">
      <c r="Z33853">
        <v>400000</v>
      </c>
    </row>
    <row r="33854" spans="26:26" x14ac:dyDescent="0.25">
      <c r="Z33854">
        <v>400000</v>
      </c>
    </row>
    <row r="33855" spans="26:26" x14ac:dyDescent="0.25">
      <c r="Z33855">
        <v>400000</v>
      </c>
    </row>
    <row r="33856" spans="26:26" x14ac:dyDescent="0.25">
      <c r="Z33856">
        <v>400000</v>
      </c>
    </row>
    <row r="33857" spans="26:26" x14ac:dyDescent="0.25">
      <c r="Z33857">
        <v>400000</v>
      </c>
    </row>
    <row r="33858" spans="26:26" x14ac:dyDescent="0.25">
      <c r="Z33858">
        <v>400000</v>
      </c>
    </row>
    <row r="33859" spans="26:26" x14ac:dyDescent="0.25">
      <c r="Z33859">
        <v>400000</v>
      </c>
    </row>
    <row r="33860" spans="26:26" x14ac:dyDescent="0.25">
      <c r="Z33860">
        <v>400000</v>
      </c>
    </row>
    <row r="33861" spans="26:26" x14ac:dyDescent="0.25">
      <c r="Z33861">
        <v>400000</v>
      </c>
    </row>
    <row r="33862" spans="26:26" x14ac:dyDescent="0.25">
      <c r="Z33862">
        <v>400000</v>
      </c>
    </row>
    <row r="33863" spans="26:26" x14ac:dyDescent="0.25">
      <c r="Z33863">
        <v>400000</v>
      </c>
    </row>
    <row r="33864" spans="26:26" x14ac:dyDescent="0.25">
      <c r="Z33864">
        <v>400000</v>
      </c>
    </row>
    <row r="33865" spans="26:26" x14ac:dyDescent="0.25">
      <c r="Z33865">
        <v>400000</v>
      </c>
    </row>
    <row r="33866" spans="26:26" x14ac:dyDescent="0.25">
      <c r="Z33866">
        <v>400000</v>
      </c>
    </row>
    <row r="33867" spans="26:26" x14ac:dyDescent="0.25">
      <c r="Z33867">
        <v>400000</v>
      </c>
    </row>
    <row r="33868" spans="26:26" x14ac:dyDescent="0.25">
      <c r="Z33868">
        <v>400000</v>
      </c>
    </row>
    <row r="33869" spans="26:26" x14ac:dyDescent="0.25">
      <c r="Z33869">
        <v>400000</v>
      </c>
    </row>
    <row r="33870" spans="26:26" x14ac:dyDescent="0.25">
      <c r="Z33870">
        <v>400000</v>
      </c>
    </row>
    <row r="33871" spans="26:26" x14ac:dyDescent="0.25">
      <c r="Z33871">
        <v>400000</v>
      </c>
    </row>
    <row r="33872" spans="26:26" x14ac:dyDescent="0.25">
      <c r="Z33872">
        <v>400000</v>
      </c>
    </row>
    <row r="33873" spans="26:26" x14ac:dyDescent="0.25">
      <c r="Z33873">
        <v>400000</v>
      </c>
    </row>
    <row r="33874" spans="26:26" x14ac:dyDescent="0.25">
      <c r="Z33874">
        <v>400000</v>
      </c>
    </row>
    <row r="33875" spans="26:26" x14ac:dyDescent="0.25">
      <c r="Z33875">
        <v>400000</v>
      </c>
    </row>
    <row r="33876" spans="26:26" x14ac:dyDescent="0.25">
      <c r="Z33876">
        <v>400000</v>
      </c>
    </row>
    <row r="33877" spans="26:26" x14ac:dyDescent="0.25">
      <c r="Z33877">
        <v>400000</v>
      </c>
    </row>
    <row r="33878" spans="26:26" x14ac:dyDescent="0.25">
      <c r="Z33878">
        <v>400000</v>
      </c>
    </row>
    <row r="33879" spans="26:26" x14ac:dyDescent="0.25">
      <c r="Z33879">
        <v>400000</v>
      </c>
    </row>
    <row r="33880" spans="26:26" x14ac:dyDescent="0.25">
      <c r="Z33880">
        <v>400000</v>
      </c>
    </row>
    <row r="33881" spans="26:26" x14ac:dyDescent="0.25">
      <c r="Z33881">
        <v>400000</v>
      </c>
    </row>
    <row r="33882" spans="26:26" x14ac:dyDescent="0.25">
      <c r="Z33882">
        <v>400000</v>
      </c>
    </row>
    <row r="33883" spans="26:26" x14ac:dyDescent="0.25">
      <c r="Z33883">
        <v>400000</v>
      </c>
    </row>
    <row r="33884" spans="26:26" x14ac:dyDescent="0.25">
      <c r="Z33884">
        <v>400000</v>
      </c>
    </row>
    <row r="33885" spans="26:26" x14ac:dyDescent="0.25">
      <c r="Z33885">
        <v>400000</v>
      </c>
    </row>
    <row r="33886" spans="26:26" x14ac:dyDescent="0.25">
      <c r="Z33886">
        <v>400000</v>
      </c>
    </row>
    <row r="33887" spans="26:26" x14ac:dyDescent="0.25">
      <c r="Z33887">
        <v>400000</v>
      </c>
    </row>
    <row r="33888" spans="26:26" x14ac:dyDescent="0.25">
      <c r="Z33888">
        <v>400000</v>
      </c>
    </row>
    <row r="33889" spans="26:26" x14ac:dyDescent="0.25">
      <c r="Z33889">
        <v>400000</v>
      </c>
    </row>
    <row r="33890" spans="26:26" x14ac:dyDescent="0.25">
      <c r="Z33890">
        <v>400000</v>
      </c>
    </row>
    <row r="33891" spans="26:26" x14ac:dyDescent="0.25">
      <c r="Z33891">
        <v>400000</v>
      </c>
    </row>
    <row r="33892" spans="26:26" x14ac:dyDescent="0.25">
      <c r="Z33892">
        <v>400000</v>
      </c>
    </row>
    <row r="33893" spans="26:26" x14ac:dyDescent="0.25">
      <c r="Z33893">
        <v>400000</v>
      </c>
    </row>
    <row r="33894" spans="26:26" x14ac:dyDescent="0.25">
      <c r="Z33894">
        <v>400000</v>
      </c>
    </row>
    <row r="33895" spans="26:26" x14ac:dyDescent="0.25">
      <c r="Z33895">
        <v>400000</v>
      </c>
    </row>
    <row r="33896" spans="26:26" x14ac:dyDescent="0.25">
      <c r="Z33896">
        <v>400000</v>
      </c>
    </row>
    <row r="33897" spans="26:26" x14ac:dyDescent="0.25">
      <c r="Z33897">
        <v>400000</v>
      </c>
    </row>
    <row r="33898" spans="26:26" x14ac:dyDescent="0.25">
      <c r="Z33898">
        <v>400000</v>
      </c>
    </row>
    <row r="33899" spans="26:26" x14ac:dyDescent="0.25">
      <c r="Z33899">
        <v>400000</v>
      </c>
    </row>
    <row r="33900" spans="26:26" x14ac:dyDescent="0.25">
      <c r="Z33900">
        <v>400000</v>
      </c>
    </row>
    <row r="33901" spans="26:26" x14ac:dyDescent="0.25">
      <c r="Z33901">
        <v>400000</v>
      </c>
    </row>
    <row r="33902" spans="26:26" x14ac:dyDescent="0.25">
      <c r="Z33902">
        <v>400000</v>
      </c>
    </row>
    <row r="33903" spans="26:26" x14ac:dyDescent="0.25">
      <c r="Z33903">
        <v>400000</v>
      </c>
    </row>
    <row r="33904" spans="26:26" x14ac:dyDescent="0.25">
      <c r="Z33904">
        <v>400000</v>
      </c>
    </row>
    <row r="33905" spans="26:26" x14ac:dyDescent="0.25">
      <c r="Z33905">
        <v>400000</v>
      </c>
    </row>
    <row r="33906" spans="26:26" x14ac:dyDescent="0.25">
      <c r="Z33906">
        <v>400000</v>
      </c>
    </row>
    <row r="33907" spans="26:26" x14ac:dyDescent="0.25">
      <c r="Z33907">
        <v>400000</v>
      </c>
    </row>
    <row r="33908" spans="26:26" x14ac:dyDescent="0.25">
      <c r="Z33908">
        <v>400000</v>
      </c>
    </row>
    <row r="33909" spans="26:26" x14ac:dyDescent="0.25">
      <c r="Z33909">
        <v>400000</v>
      </c>
    </row>
    <row r="33910" spans="26:26" x14ac:dyDescent="0.25">
      <c r="Z33910">
        <v>400000</v>
      </c>
    </row>
    <row r="33911" spans="26:26" x14ac:dyDescent="0.25">
      <c r="Z33911">
        <v>400000</v>
      </c>
    </row>
    <row r="33912" spans="26:26" x14ac:dyDescent="0.25">
      <c r="Z33912">
        <v>400000</v>
      </c>
    </row>
    <row r="33913" spans="26:26" x14ac:dyDescent="0.25">
      <c r="Z33913">
        <v>400000</v>
      </c>
    </row>
    <row r="33914" spans="26:26" x14ac:dyDescent="0.25">
      <c r="Z33914">
        <v>400000</v>
      </c>
    </row>
    <row r="33915" spans="26:26" x14ac:dyDescent="0.25">
      <c r="Z33915">
        <v>400000</v>
      </c>
    </row>
    <row r="33916" spans="26:26" x14ac:dyDescent="0.25">
      <c r="Z33916">
        <v>400000</v>
      </c>
    </row>
    <row r="33917" spans="26:26" x14ac:dyDescent="0.25">
      <c r="Z33917">
        <v>400000</v>
      </c>
    </row>
    <row r="33918" spans="26:26" x14ac:dyDescent="0.25">
      <c r="Z33918">
        <v>400000</v>
      </c>
    </row>
    <row r="33919" spans="26:26" x14ac:dyDescent="0.25">
      <c r="Z33919">
        <v>400000</v>
      </c>
    </row>
    <row r="33920" spans="26:26" x14ac:dyDescent="0.25">
      <c r="Z33920">
        <v>400000</v>
      </c>
    </row>
    <row r="33921" spans="26:26" x14ac:dyDescent="0.25">
      <c r="Z33921">
        <v>400000</v>
      </c>
    </row>
    <row r="33922" spans="26:26" x14ac:dyDescent="0.25">
      <c r="Z33922">
        <v>400000</v>
      </c>
    </row>
    <row r="33923" spans="26:26" x14ac:dyDescent="0.25">
      <c r="Z33923">
        <v>400000</v>
      </c>
    </row>
    <row r="33924" spans="26:26" x14ac:dyDescent="0.25">
      <c r="Z33924">
        <v>400000</v>
      </c>
    </row>
    <row r="33925" spans="26:26" x14ac:dyDescent="0.25">
      <c r="Z33925">
        <v>400000</v>
      </c>
    </row>
    <row r="33926" spans="26:26" x14ac:dyDescent="0.25">
      <c r="Z33926">
        <v>400000</v>
      </c>
    </row>
    <row r="33927" spans="26:26" x14ac:dyDescent="0.25">
      <c r="Z33927">
        <v>400000</v>
      </c>
    </row>
    <row r="33928" spans="26:26" x14ac:dyDescent="0.25">
      <c r="Z33928">
        <v>400000</v>
      </c>
    </row>
    <row r="33929" spans="26:26" x14ac:dyDescent="0.25">
      <c r="Z33929">
        <v>400000</v>
      </c>
    </row>
    <row r="33930" spans="26:26" x14ac:dyDescent="0.25">
      <c r="Z33930">
        <v>400000</v>
      </c>
    </row>
    <row r="33931" spans="26:26" x14ac:dyDescent="0.25">
      <c r="Z33931">
        <v>400000</v>
      </c>
    </row>
    <row r="33932" spans="26:26" x14ac:dyDescent="0.25">
      <c r="Z33932">
        <v>400000</v>
      </c>
    </row>
    <row r="33933" spans="26:26" x14ac:dyDescent="0.25">
      <c r="Z33933">
        <v>400000</v>
      </c>
    </row>
    <row r="33934" spans="26:26" x14ac:dyDescent="0.25">
      <c r="Z33934">
        <v>400000</v>
      </c>
    </row>
    <row r="33935" spans="26:26" x14ac:dyDescent="0.25">
      <c r="Z33935">
        <v>400000</v>
      </c>
    </row>
    <row r="33936" spans="26:26" x14ac:dyDescent="0.25">
      <c r="Z33936">
        <v>400000</v>
      </c>
    </row>
    <row r="33937" spans="26:26" x14ac:dyDescent="0.25">
      <c r="Z33937">
        <v>400000</v>
      </c>
    </row>
    <row r="33938" spans="26:26" x14ac:dyDescent="0.25">
      <c r="Z33938">
        <v>400000</v>
      </c>
    </row>
    <row r="33939" spans="26:26" x14ac:dyDescent="0.25">
      <c r="Z33939">
        <v>400000</v>
      </c>
    </row>
    <row r="33940" spans="26:26" x14ac:dyDescent="0.25">
      <c r="Z33940">
        <v>400000</v>
      </c>
    </row>
    <row r="33941" spans="26:26" x14ac:dyDescent="0.25">
      <c r="Z33941">
        <v>400000</v>
      </c>
    </row>
    <row r="33942" spans="26:26" x14ac:dyDescent="0.25">
      <c r="Z33942">
        <v>400000</v>
      </c>
    </row>
    <row r="33943" spans="26:26" x14ac:dyDescent="0.25">
      <c r="Z33943">
        <v>400000</v>
      </c>
    </row>
    <row r="33944" spans="26:26" x14ac:dyDescent="0.25">
      <c r="Z33944">
        <v>400000</v>
      </c>
    </row>
    <row r="33945" spans="26:26" x14ac:dyDescent="0.25">
      <c r="Z33945">
        <v>400000</v>
      </c>
    </row>
    <row r="33946" spans="26:26" x14ac:dyDescent="0.25">
      <c r="Z33946">
        <v>400000</v>
      </c>
    </row>
    <row r="33947" spans="26:26" x14ac:dyDescent="0.25">
      <c r="Z33947">
        <v>400000</v>
      </c>
    </row>
    <row r="33948" spans="26:26" x14ac:dyDescent="0.25">
      <c r="Z33948">
        <v>400000</v>
      </c>
    </row>
    <row r="33949" spans="26:26" x14ac:dyDescent="0.25">
      <c r="Z33949">
        <v>400000</v>
      </c>
    </row>
    <row r="33950" spans="26:26" x14ac:dyDescent="0.25">
      <c r="Z33950">
        <v>400000</v>
      </c>
    </row>
    <row r="33951" spans="26:26" x14ac:dyDescent="0.25">
      <c r="Z33951">
        <v>400000</v>
      </c>
    </row>
    <row r="33952" spans="26:26" x14ac:dyDescent="0.25">
      <c r="Z33952">
        <v>400000</v>
      </c>
    </row>
    <row r="33953" spans="26:26" x14ac:dyDescent="0.25">
      <c r="Z33953">
        <v>400000</v>
      </c>
    </row>
    <row r="33954" spans="26:26" x14ac:dyDescent="0.25">
      <c r="Z33954">
        <v>400000</v>
      </c>
    </row>
    <row r="33955" spans="26:26" x14ac:dyDescent="0.25">
      <c r="Z33955">
        <v>400000</v>
      </c>
    </row>
    <row r="33956" spans="26:26" x14ac:dyDescent="0.25">
      <c r="Z33956">
        <v>400000</v>
      </c>
    </row>
    <row r="33957" spans="26:26" x14ac:dyDescent="0.25">
      <c r="Z33957">
        <v>400000</v>
      </c>
    </row>
    <row r="33958" spans="26:26" x14ac:dyDescent="0.25">
      <c r="Z33958">
        <v>400000</v>
      </c>
    </row>
    <row r="33959" spans="26:26" x14ac:dyDescent="0.25">
      <c r="Z33959">
        <v>400000</v>
      </c>
    </row>
    <row r="33960" spans="26:26" x14ac:dyDescent="0.25">
      <c r="Z33960">
        <v>400000</v>
      </c>
    </row>
    <row r="33961" spans="26:26" x14ac:dyDescent="0.25">
      <c r="Z33961">
        <v>400000</v>
      </c>
    </row>
    <row r="33962" spans="26:26" x14ac:dyDescent="0.25">
      <c r="Z33962">
        <v>400000</v>
      </c>
    </row>
    <row r="33963" spans="26:26" x14ac:dyDescent="0.25">
      <c r="Z33963">
        <v>400000</v>
      </c>
    </row>
    <row r="33964" spans="26:26" x14ac:dyDescent="0.25">
      <c r="Z33964">
        <v>400000</v>
      </c>
    </row>
    <row r="33965" spans="26:26" x14ac:dyDescent="0.25">
      <c r="Z33965">
        <v>400000</v>
      </c>
    </row>
    <row r="33966" spans="26:26" x14ac:dyDescent="0.25">
      <c r="Z33966">
        <v>400000</v>
      </c>
    </row>
    <row r="33967" spans="26:26" x14ac:dyDescent="0.25">
      <c r="Z33967">
        <v>400000</v>
      </c>
    </row>
    <row r="33968" spans="26:26" x14ac:dyDescent="0.25">
      <c r="Z33968">
        <v>400000</v>
      </c>
    </row>
    <row r="33969" spans="26:26" x14ac:dyDescent="0.25">
      <c r="Z33969">
        <v>400000</v>
      </c>
    </row>
    <row r="33970" spans="26:26" x14ac:dyDescent="0.25">
      <c r="Z33970">
        <v>400000</v>
      </c>
    </row>
    <row r="33971" spans="26:26" x14ac:dyDescent="0.25">
      <c r="Z33971">
        <v>400000</v>
      </c>
    </row>
    <row r="33972" spans="26:26" x14ac:dyDescent="0.25">
      <c r="Z33972">
        <v>400000</v>
      </c>
    </row>
    <row r="33973" spans="26:26" x14ac:dyDescent="0.25">
      <c r="Z33973">
        <v>400000</v>
      </c>
    </row>
    <row r="33974" spans="26:26" x14ac:dyDescent="0.25">
      <c r="Z33974">
        <v>400000</v>
      </c>
    </row>
    <row r="33975" spans="26:26" x14ac:dyDescent="0.25">
      <c r="Z33975">
        <v>400000</v>
      </c>
    </row>
    <row r="33976" spans="26:26" x14ac:dyDescent="0.25">
      <c r="Z33976">
        <v>400000</v>
      </c>
    </row>
    <row r="33977" spans="26:26" x14ac:dyDescent="0.25">
      <c r="Z33977">
        <v>400000</v>
      </c>
    </row>
    <row r="33978" spans="26:26" x14ac:dyDescent="0.25">
      <c r="Z33978">
        <v>400000</v>
      </c>
    </row>
    <row r="33979" spans="26:26" x14ac:dyDescent="0.25">
      <c r="Z33979">
        <v>400000</v>
      </c>
    </row>
    <row r="33980" spans="26:26" x14ac:dyDescent="0.25">
      <c r="Z33980">
        <v>400000</v>
      </c>
    </row>
    <row r="33981" spans="26:26" x14ac:dyDescent="0.25">
      <c r="Z33981">
        <v>400000</v>
      </c>
    </row>
    <row r="33982" spans="26:26" x14ac:dyDescent="0.25">
      <c r="Z33982">
        <v>400000</v>
      </c>
    </row>
    <row r="33983" spans="26:26" x14ac:dyDescent="0.25">
      <c r="Z33983">
        <v>400000</v>
      </c>
    </row>
    <row r="33984" spans="26:26" x14ac:dyDescent="0.25">
      <c r="Z33984">
        <v>400000</v>
      </c>
    </row>
    <row r="33985" spans="26:26" x14ac:dyDescent="0.25">
      <c r="Z33985">
        <v>400000</v>
      </c>
    </row>
    <row r="33986" spans="26:26" x14ac:dyDescent="0.25">
      <c r="Z33986">
        <v>400000</v>
      </c>
    </row>
    <row r="33987" spans="26:26" x14ac:dyDescent="0.25">
      <c r="Z33987">
        <v>400000</v>
      </c>
    </row>
    <row r="33988" spans="26:26" x14ac:dyDescent="0.25">
      <c r="Z33988">
        <v>400000</v>
      </c>
    </row>
    <row r="33989" spans="26:26" x14ac:dyDescent="0.25">
      <c r="Z33989">
        <v>400000</v>
      </c>
    </row>
    <row r="33990" spans="26:26" x14ac:dyDescent="0.25">
      <c r="Z33990">
        <v>400000</v>
      </c>
    </row>
    <row r="33991" spans="26:26" x14ac:dyDescent="0.25">
      <c r="Z33991">
        <v>400000</v>
      </c>
    </row>
    <row r="33992" spans="26:26" x14ac:dyDescent="0.25">
      <c r="Z33992">
        <v>400000</v>
      </c>
    </row>
    <row r="33993" spans="26:26" x14ac:dyDescent="0.25">
      <c r="Z33993">
        <v>400000</v>
      </c>
    </row>
    <row r="33994" spans="26:26" x14ac:dyDescent="0.25">
      <c r="Z33994">
        <v>400000</v>
      </c>
    </row>
    <row r="33995" spans="26:26" x14ac:dyDescent="0.25">
      <c r="Z33995">
        <v>400000</v>
      </c>
    </row>
    <row r="33996" spans="26:26" x14ac:dyDescent="0.25">
      <c r="Z33996">
        <v>400000</v>
      </c>
    </row>
    <row r="33997" spans="26:26" x14ac:dyDescent="0.25">
      <c r="Z33997">
        <v>400000</v>
      </c>
    </row>
    <row r="33998" spans="26:26" x14ac:dyDescent="0.25">
      <c r="Z33998">
        <v>400000</v>
      </c>
    </row>
    <row r="33999" spans="26:26" x14ac:dyDescent="0.25">
      <c r="Z33999">
        <v>400000</v>
      </c>
    </row>
    <row r="34000" spans="26:26" x14ac:dyDescent="0.25">
      <c r="Z34000">
        <v>400000</v>
      </c>
    </row>
    <row r="34001" spans="26:26" x14ac:dyDescent="0.25">
      <c r="Z34001">
        <v>400000</v>
      </c>
    </row>
    <row r="34002" spans="26:26" x14ac:dyDescent="0.25">
      <c r="Z34002">
        <v>400000</v>
      </c>
    </row>
    <row r="34003" spans="26:26" x14ac:dyDescent="0.25">
      <c r="Z34003">
        <v>400000</v>
      </c>
    </row>
    <row r="34004" spans="26:26" x14ac:dyDescent="0.25">
      <c r="Z34004">
        <v>400000</v>
      </c>
    </row>
    <row r="34005" spans="26:26" x14ac:dyDescent="0.25">
      <c r="Z34005">
        <v>400000</v>
      </c>
    </row>
    <row r="34006" spans="26:26" x14ac:dyDescent="0.25">
      <c r="Z34006">
        <v>400000</v>
      </c>
    </row>
    <row r="34007" spans="26:26" x14ac:dyDescent="0.25">
      <c r="Z34007">
        <v>400000</v>
      </c>
    </row>
    <row r="34008" spans="26:26" x14ac:dyDescent="0.25">
      <c r="Z34008">
        <v>400000</v>
      </c>
    </row>
    <row r="34009" spans="26:26" x14ac:dyDescent="0.25">
      <c r="Z34009">
        <v>400000</v>
      </c>
    </row>
    <row r="34010" spans="26:26" x14ac:dyDescent="0.25">
      <c r="Z34010">
        <v>400000</v>
      </c>
    </row>
    <row r="34011" spans="26:26" x14ac:dyDescent="0.25">
      <c r="Z34011">
        <v>400000</v>
      </c>
    </row>
    <row r="34012" spans="26:26" x14ac:dyDescent="0.25">
      <c r="Z34012">
        <v>400000</v>
      </c>
    </row>
    <row r="34013" spans="26:26" x14ac:dyDescent="0.25">
      <c r="Z34013">
        <v>400000</v>
      </c>
    </row>
    <row r="34014" spans="26:26" x14ac:dyDescent="0.25">
      <c r="Z34014">
        <v>400000</v>
      </c>
    </row>
    <row r="34015" spans="26:26" x14ac:dyDescent="0.25">
      <c r="Z34015">
        <v>400000</v>
      </c>
    </row>
    <row r="34016" spans="26:26" x14ac:dyDescent="0.25">
      <c r="Z34016">
        <v>400000</v>
      </c>
    </row>
    <row r="34017" spans="26:26" x14ac:dyDescent="0.25">
      <c r="Z34017">
        <v>400000</v>
      </c>
    </row>
    <row r="34018" spans="26:26" x14ac:dyDescent="0.25">
      <c r="Z34018">
        <v>400000</v>
      </c>
    </row>
    <row r="34019" spans="26:26" x14ac:dyDescent="0.25">
      <c r="Z34019">
        <v>400000</v>
      </c>
    </row>
    <row r="34020" spans="26:26" x14ac:dyDescent="0.25">
      <c r="Z34020">
        <v>400000</v>
      </c>
    </row>
    <row r="34021" spans="26:26" x14ac:dyDescent="0.25">
      <c r="Z34021">
        <v>400000</v>
      </c>
    </row>
    <row r="34022" spans="26:26" x14ac:dyDescent="0.25">
      <c r="Z34022">
        <v>400000</v>
      </c>
    </row>
    <row r="34023" spans="26:26" x14ac:dyDescent="0.25">
      <c r="Z34023">
        <v>400000</v>
      </c>
    </row>
    <row r="34024" spans="26:26" x14ac:dyDescent="0.25">
      <c r="Z34024">
        <v>400000</v>
      </c>
    </row>
    <row r="34025" spans="26:26" x14ac:dyDescent="0.25">
      <c r="Z34025">
        <v>400000</v>
      </c>
    </row>
    <row r="34026" spans="26:26" x14ac:dyDescent="0.25">
      <c r="Z34026">
        <v>400000</v>
      </c>
    </row>
    <row r="34027" spans="26:26" x14ac:dyDescent="0.25">
      <c r="Z34027">
        <v>400000</v>
      </c>
    </row>
    <row r="34028" spans="26:26" x14ac:dyDescent="0.25">
      <c r="Z34028">
        <v>400000</v>
      </c>
    </row>
    <row r="34029" spans="26:26" x14ac:dyDescent="0.25">
      <c r="Z34029">
        <v>400000</v>
      </c>
    </row>
    <row r="34030" spans="26:26" x14ac:dyDescent="0.25">
      <c r="Z34030">
        <v>400000</v>
      </c>
    </row>
    <row r="34031" spans="26:26" x14ac:dyDescent="0.25">
      <c r="Z34031">
        <v>400000</v>
      </c>
    </row>
    <row r="34032" spans="26:26" x14ac:dyDescent="0.25">
      <c r="Z34032">
        <v>400000</v>
      </c>
    </row>
    <row r="34033" spans="26:26" x14ac:dyDescent="0.25">
      <c r="Z34033">
        <v>400000</v>
      </c>
    </row>
    <row r="34034" spans="26:26" x14ac:dyDescent="0.25">
      <c r="Z34034">
        <v>400000</v>
      </c>
    </row>
    <row r="34035" spans="26:26" x14ac:dyDescent="0.25">
      <c r="Z34035">
        <v>400000</v>
      </c>
    </row>
    <row r="34036" spans="26:26" x14ac:dyDescent="0.25">
      <c r="Z34036">
        <v>400000</v>
      </c>
    </row>
    <row r="34037" spans="26:26" x14ac:dyDescent="0.25">
      <c r="Z34037">
        <v>400000</v>
      </c>
    </row>
    <row r="34038" spans="26:26" x14ac:dyDescent="0.25">
      <c r="Z34038">
        <v>400000</v>
      </c>
    </row>
    <row r="34039" spans="26:26" x14ac:dyDescent="0.25">
      <c r="Z34039">
        <v>400000</v>
      </c>
    </row>
    <row r="34040" spans="26:26" x14ac:dyDescent="0.25">
      <c r="Z34040">
        <v>400000</v>
      </c>
    </row>
    <row r="34041" spans="26:26" x14ac:dyDescent="0.25">
      <c r="Z34041">
        <v>400000</v>
      </c>
    </row>
    <row r="34042" spans="26:26" x14ac:dyDescent="0.25">
      <c r="Z34042">
        <v>400000</v>
      </c>
    </row>
    <row r="34043" spans="26:26" x14ac:dyDescent="0.25">
      <c r="Z34043">
        <v>400000</v>
      </c>
    </row>
    <row r="34044" spans="26:26" x14ac:dyDescent="0.25">
      <c r="Z34044">
        <v>400000</v>
      </c>
    </row>
    <row r="34045" spans="26:26" x14ac:dyDescent="0.25">
      <c r="Z34045">
        <v>400000</v>
      </c>
    </row>
    <row r="34046" spans="26:26" x14ac:dyDescent="0.25">
      <c r="Z34046">
        <v>400000</v>
      </c>
    </row>
    <row r="34047" spans="26:26" x14ac:dyDescent="0.25">
      <c r="Z34047">
        <v>400000</v>
      </c>
    </row>
    <row r="34048" spans="26:26" x14ac:dyDescent="0.25">
      <c r="Z34048">
        <v>400000</v>
      </c>
    </row>
    <row r="34049" spans="26:26" x14ac:dyDescent="0.25">
      <c r="Z34049">
        <v>400000</v>
      </c>
    </row>
    <row r="34050" spans="26:26" x14ac:dyDescent="0.25">
      <c r="Z34050">
        <v>400000</v>
      </c>
    </row>
    <row r="34051" spans="26:26" x14ac:dyDescent="0.25">
      <c r="Z34051">
        <v>400000</v>
      </c>
    </row>
    <row r="34052" spans="26:26" x14ac:dyDescent="0.25">
      <c r="Z34052">
        <v>400000</v>
      </c>
    </row>
    <row r="34053" spans="26:26" x14ac:dyDescent="0.25">
      <c r="Z34053">
        <v>400000</v>
      </c>
    </row>
    <row r="34054" spans="26:26" x14ac:dyDescent="0.25">
      <c r="Z34054">
        <v>400000</v>
      </c>
    </row>
    <row r="34055" spans="26:26" x14ac:dyDescent="0.25">
      <c r="Z34055">
        <v>400000</v>
      </c>
    </row>
    <row r="34056" spans="26:26" x14ac:dyDescent="0.25">
      <c r="Z34056">
        <v>400000</v>
      </c>
    </row>
    <row r="34057" spans="26:26" x14ac:dyDescent="0.25">
      <c r="Z34057">
        <v>400000</v>
      </c>
    </row>
    <row r="34058" spans="26:26" x14ac:dyDescent="0.25">
      <c r="Z34058">
        <v>400000</v>
      </c>
    </row>
    <row r="34059" spans="26:26" x14ac:dyDescent="0.25">
      <c r="Z34059">
        <v>400000</v>
      </c>
    </row>
    <row r="34060" spans="26:26" x14ac:dyDescent="0.25">
      <c r="Z34060">
        <v>400000</v>
      </c>
    </row>
    <row r="34061" spans="26:26" x14ac:dyDescent="0.25">
      <c r="Z34061">
        <v>400000</v>
      </c>
    </row>
    <row r="34062" spans="26:26" x14ac:dyDescent="0.25">
      <c r="Z34062">
        <v>400000</v>
      </c>
    </row>
    <row r="34063" spans="26:26" x14ac:dyDescent="0.25">
      <c r="Z34063">
        <v>400000</v>
      </c>
    </row>
    <row r="34064" spans="26:26" x14ac:dyDescent="0.25">
      <c r="Z34064">
        <v>400000</v>
      </c>
    </row>
    <row r="34065" spans="26:26" x14ac:dyDescent="0.25">
      <c r="Z34065">
        <v>400000</v>
      </c>
    </row>
    <row r="34066" spans="26:26" x14ac:dyDescent="0.25">
      <c r="Z34066">
        <v>400000</v>
      </c>
    </row>
    <row r="34067" spans="26:26" x14ac:dyDescent="0.25">
      <c r="Z34067">
        <v>400000</v>
      </c>
    </row>
    <row r="34068" spans="26:26" x14ac:dyDescent="0.25">
      <c r="Z34068">
        <v>400000</v>
      </c>
    </row>
    <row r="34069" spans="26:26" x14ac:dyDescent="0.25">
      <c r="Z34069">
        <v>400000</v>
      </c>
    </row>
    <row r="34070" spans="26:26" x14ac:dyDescent="0.25">
      <c r="Z34070">
        <v>400000</v>
      </c>
    </row>
    <row r="34071" spans="26:26" x14ac:dyDescent="0.25">
      <c r="Z34071">
        <v>400000</v>
      </c>
    </row>
    <row r="34072" spans="26:26" x14ac:dyDescent="0.25">
      <c r="Z34072">
        <v>400000</v>
      </c>
    </row>
    <row r="34073" spans="26:26" x14ac:dyDescent="0.25">
      <c r="Z34073">
        <v>400000</v>
      </c>
    </row>
    <row r="34074" spans="26:26" x14ac:dyDescent="0.25">
      <c r="Z34074">
        <v>400000</v>
      </c>
    </row>
    <row r="34075" spans="26:26" x14ac:dyDescent="0.25">
      <c r="Z34075">
        <v>400000</v>
      </c>
    </row>
    <row r="34076" spans="26:26" x14ac:dyDescent="0.25">
      <c r="Z34076">
        <v>400000</v>
      </c>
    </row>
    <row r="34077" spans="26:26" x14ac:dyDescent="0.25">
      <c r="Z34077">
        <v>400000</v>
      </c>
    </row>
    <row r="34078" spans="26:26" x14ac:dyDescent="0.25">
      <c r="Z34078">
        <v>400000</v>
      </c>
    </row>
    <row r="34079" spans="26:26" x14ac:dyDescent="0.25">
      <c r="Z34079">
        <v>400000</v>
      </c>
    </row>
    <row r="34080" spans="26:26" x14ac:dyDescent="0.25">
      <c r="Z34080">
        <v>400000</v>
      </c>
    </row>
    <row r="34081" spans="26:26" x14ac:dyDescent="0.25">
      <c r="Z34081">
        <v>400000</v>
      </c>
    </row>
    <row r="34082" spans="26:26" x14ac:dyDescent="0.25">
      <c r="Z34082">
        <v>400000</v>
      </c>
    </row>
    <row r="34083" spans="26:26" x14ac:dyDescent="0.25">
      <c r="Z34083">
        <v>400000</v>
      </c>
    </row>
    <row r="34084" spans="26:26" x14ac:dyDescent="0.25">
      <c r="Z34084">
        <v>400000</v>
      </c>
    </row>
    <row r="34085" spans="26:26" x14ac:dyDescent="0.25">
      <c r="Z34085">
        <v>400000</v>
      </c>
    </row>
    <row r="34086" spans="26:26" x14ac:dyDescent="0.25">
      <c r="Z34086">
        <v>400000</v>
      </c>
    </row>
    <row r="34087" spans="26:26" x14ac:dyDescent="0.25">
      <c r="Z34087">
        <v>400000</v>
      </c>
    </row>
    <row r="34088" spans="26:26" x14ac:dyDescent="0.25">
      <c r="Z34088">
        <v>400000</v>
      </c>
    </row>
    <row r="34089" spans="26:26" x14ac:dyDescent="0.25">
      <c r="Z34089">
        <v>400000</v>
      </c>
    </row>
    <row r="34090" spans="26:26" x14ac:dyDescent="0.25">
      <c r="Z34090">
        <v>400000</v>
      </c>
    </row>
    <row r="34091" spans="26:26" x14ac:dyDescent="0.25">
      <c r="Z34091">
        <v>400000</v>
      </c>
    </row>
    <row r="34092" spans="26:26" x14ac:dyDescent="0.25">
      <c r="Z34092">
        <v>400000</v>
      </c>
    </row>
    <row r="34093" spans="26:26" x14ac:dyDescent="0.25">
      <c r="Z34093">
        <v>400000</v>
      </c>
    </row>
    <row r="34094" spans="26:26" x14ac:dyDescent="0.25">
      <c r="Z34094">
        <v>400000</v>
      </c>
    </row>
    <row r="34095" spans="26:26" x14ac:dyDescent="0.25">
      <c r="Z34095">
        <v>400000</v>
      </c>
    </row>
    <row r="34096" spans="26:26" x14ac:dyDescent="0.25">
      <c r="Z34096">
        <v>400000</v>
      </c>
    </row>
    <row r="34097" spans="26:26" x14ac:dyDescent="0.25">
      <c r="Z34097">
        <v>400000</v>
      </c>
    </row>
    <row r="34098" spans="26:26" x14ac:dyDescent="0.25">
      <c r="Z34098">
        <v>400000</v>
      </c>
    </row>
    <row r="34099" spans="26:26" x14ac:dyDescent="0.25">
      <c r="Z34099">
        <v>400000</v>
      </c>
    </row>
    <row r="34100" spans="26:26" x14ac:dyDescent="0.25">
      <c r="Z34100">
        <v>400000</v>
      </c>
    </row>
    <row r="34101" spans="26:26" x14ac:dyDescent="0.25">
      <c r="Z34101">
        <v>400000</v>
      </c>
    </row>
    <row r="34102" spans="26:26" x14ac:dyDescent="0.25">
      <c r="Z34102">
        <v>400000</v>
      </c>
    </row>
    <row r="34103" spans="26:26" x14ac:dyDescent="0.25">
      <c r="Z34103">
        <v>400000</v>
      </c>
    </row>
    <row r="34104" spans="26:26" x14ac:dyDescent="0.25">
      <c r="Z34104">
        <v>400000</v>
      </c>
    </row>
    <row r="34105" spans="26:26" x14ac:dyDescent="0.25">
      <c r="Z34105">
        <v>400000</v>
      </c>
    </row>
    <row r="34106" spans="26:26" x14ac:dyDescent="0.25">
      <c r="Z34106">
        <v>400000</v>
      </c>
    </row>
    <row r="34107" spans="26:26" x14ac:dyDescent="0.25">
      <c r="Z34107">
        <v>400000</v>
      </c>
    </row>
    <row r="34108" spans="26:26" x14ac:dyDescent="0.25">
      <c r="Z34108">
        <v>400000</v>
      </c>
    </row>
    <row r="34109" spans="26:26" x14ac:dyDescent="0.25">
      <c r="Z34109">
        <v>400000</v>
      </c>
    </row>
    <row r="34110" spans="26:26" x14ac:dyDescent="0.25">
      <c r="Z34110">
        <v>400000</v>
      </c>
    </row>
    <row r="34111" spans="26:26" x14ac:dyDescent="0.25">
      <c r="Z34111">
        <v>400000</v>
      </c>
    </row>
    <row r="34112" spans="26:26" x14ac:dyDescent="0.25">
      <c r="Z34112">
        <v>400000</v>
      </c>
    </row>
    <row r="34113" spans="26:26" x14ac:dyDescent="0.25">
      <c r="Z34113">
        <v>400000</v>
      </c>
    </row>
    <row r="34114" spans="26:26" x14ac:dyDescent="0.25">
      <c r="Z34114">
        <v>400000</v>
      </c>
    </row>
    <row r="34115" spans="26:26" x14ac:dyDescent="0.25">
      <c r="Z34115">
        <v>400000</v>
      </c>
    </row>
    <row r="34116" spans="26:26" x14ac:dyDescent="0.25">
      <c r="Z34116">
        <v>400000</v>
      </c>
    </row>
    <row r="34117" spans="26:26" x14ac:dyDescent="0.25">
      <c r="Z34117">
        <v>400000</v>
      </c>
    </row>
    <row r="34118" spans="26:26" x14ac:dyDescent="0.25">
      <c r="Z34118">
        <v>400000</v>
      </c>
    </row>
    <row r="34119" spans="26:26" x14ac:dyDescent="0.25">
      <c r="Z34119">
        <v>400000</v>
      </c>
    </row>
    <row r="34120" spans="26:26" x14ac:dyDescent="0.25">
      <c r="Z34120">
        <v>400000</v>
      </c>
    </row>
    <row r="34121" spans="26:26" x14ac:dyDescent="0.25">
      <c r="Z34121">
        <v>400000</v>
      </c>
    </row>
    <row r="34122" spans="26:26" x14ac:dyDescent="0.25">
      <c r="Z34122">
        <v>400000</v>
      </c>
    </row>
    <row r="34123" spans="26:26" x14ac:dyDescent="0.25">
      <c r="Z34123">
        <v>400000</v>
      </c>
    </row>
    <row r="34124" spans="26:26" x14ac:dyDescent="0.25">
      <c r="Z34124">
        <v>400000</v>
      </c>
    </row>
    <row r="34125" spans="26:26" x14ac:dyDescent="0.25">
      <c r="Z34125">
        <v>400000</v>
      </c>
    </row>
    <row r="34126" spans="26:26" x14ac:dyDescent="0.25">
      <c r="Z34126">
        <v>400000</v>
      </c>
    </row>
    <row r="34127" spans="26:26" x14ac:dyDescent="0.25">
      <c r="Z34127">
        <v>400000</v>
      </c>
    </row>
    <row r="34128" spans="26:26" x14ac:dyDescent="0.25">
      <c r="Z34128">
        <v>400000</v>
      </c>
    </row>
    <row r="34129" spans="26:26" x14ac:dyDescent="0.25">
      <c r="Z34129">
        <v>400000</v>
      </c>
    </row>
    <row r="34130" spans="26:26" x14ac:dyDescent="0.25">
      <c r="Z34130">
        <v>400000</v>
      </c>
    </row>
    <row r="34131" spans="26:26" x14ac:dyDescent="0.25">
      <c r="Z34131">
        <v>400000</v>
      </c>
    </row>
    <row r="34132" spans="26:26" x14ac:dyDescent="0.25">
      <c r="Z34132">
        <v>400000</v>
      </c>
    </row>
    <row r="34133" spans="26:26" x14ac:dyDescent="0.25">
      <c r="Z34133">
        <v>400000</v>
      </c>
    </row>
    <row r="34134" spans="26:26" x14ac:dyDescent="0.25">
      <c r="Z34134">
        <v>400000</v>
      </c>
    </row>
    <row r="34135" spans="26:26" x14ac:dyDescent="0.25">
      <c r="Z34135">
        <v>400000</v>
      </c>
    </row>
    <row r="34136" spans="26:26" x14ac:dyDescent="0.25">
      <c r="Z34136">
        <v>400000</v>
      </c>
    </row>
    <row r="34137" spans="26:26" x14ac:dyDescent="0.25">
      <c r="Z34137">
        <v>400000</v>
      </c>
    </row>
    <row r="34138" spans="26:26" x14ac:dyDescent="0.25">
      <c r="Z34138">
        <v>400000</v>
      </c>
    </row>
    <row r="34139" spans="26:26" x14ac:dyDescent="0.25">
      <c r="Z34139">
        <v>400000</v>
      </c>
    </row>
    <row r="34140" spans="26:26" x14ac:dyDescent="0.25">
      <c r="Z34140">
        <v>400000</v>
      </c>
    </row>
    <row r="34141" spans="26:26" x14ac:dyDescent="0.25">
      <c r="Z34141">
        <v>400000</v>
      </c>
    </row>
    <row r="34142" spans="26:26" x14ac:dyDescent="0.25">
      <c r="Z34142">
        <v>400000</v>
      </c>
    </row>
    <row r="34143" spans="26:26" x14ac:dyDescent="0.25">
      <c r="Z34143">
        <v>400000</v>
      </c>
    </row>
    <row r="34144" spans="26:26" x14ac:dyDescent="0.25">
      <c r="Z34144">
        <v>400000</v>
      </c>
    </row>
    <row r="34145" spans="26:26" x14ac:dyDescent="0.25">
      <c r="Z34145">
        <v>400000</v>
      </c>
    </row>
    <row r="34146" spans="26:26" x14ac:dyDescent="0.25">
      <c r="Z34146">
        <v>400000</v>
      </c>
    </row>
    <row r="34147" spans="26:26" x14ac:dyDescent="0.25">
      <c r="Z34147">
        <v>400000</v>
      </c>
    </row>
    <row r="34148" spans="26:26" x14ac:dyDescent="0.25">
      <c r="Z34148">
        <v>400000</v>
      </c>
    </row>
    <row r="34149" spans="26:26" x14ac:dyDescent="0.25">
      <c r="Z34149">
        <v>400000</v>
      </c>
    </row>
    <row r="34150" spans="26:26" x14ac:dyDescent="0.25">
      <c r="Z34150">
        <v>400000</v>
      </c>
    </row>
    <row r="34151" spans="26:26" x14ac:dyDescent="0.25">
      <c r="Z34151">
        <v>400000</v>
      </c>
    </row>
    <row r="34152" spans="26:26" x14ac:dyDescent="0.25">
      <c r="Z34152">
        <v>400000</v>
      </c>
    </row>
    <row r="34153" spans="26:26" x14ac:dyDescent="0.25">
      <c r="Z34153">
        <v>400000</v>
      </c>
    </row>
    <row r="34154" spans="26:26" x14ac:dyDescent="0.25">
      <c r="Z34154">
        <v>400000</v>
      </c>
    </row>
    <row r="34155" spans="26:26" x14ac:dyDescent="0.25">
      <c r="Z34155">
        <v>400000</v>
      </c>
    </row>
    <row r="34156" spans="26:26" x14ac:dyDescent="0.25">
      <c r="Z34156">
        <v>400000</v>
      </c>
    </row>
    <row r="34157" spans="26:26" x14ac:dyDescent="0.25">
      <c r="Z34157">
        <v>400000</v>
      </c>
    </row>
    <row r="34158" spans="26:26" x14ac:dyDescent="0.25">
      <c r="Z34158">
        <v>400000</v>
      </c>
    </row>
    <row r="34159" spans="26:26" x14ac:dyDescent="0.25">
      <c r="Z34159">
        <v>400000</v>
      </c>
    </row>
    <row r="34160" spans="26:26" x14ac:dyDescent="0.25">
      <c r="Z34160">
        <v>400000</v>
      </c>
    </row>
    <row r="34161" spans="26:26" x14ac:dyDescent="0.25">
      <c r="Z34161">
        <v>400000</v>
      </c>
    </row>
    <row r="34162" spans="26:26" x14ac:dyDescent="0.25">
      <c r="Z34162">
        <v>400000</v>
      </c>
    </row>
    <row r="34163" spans="26:26" x14ac:dyDescent="0.25">
      <c r="Z34163">
        <v>400000</v>
      </c>
    </row>
    <row r="34164" spans="26:26" x14ac:dyDescent="0.25">
      <c r="Z34164">
        <v>400000</v>
      </c>
    </row>
    <row r="34165" spans="26:26" x14ac:dyDescent="0.25">
      <c r="Z34165">
        <v>400000</v>
      </c>
    </row>
    <row r="34166" spans="26:26" x14ac:dyDescent="0.25">
      <c r="Z34166">
        <v>400000</v>
      </c>
    </row>
    <row r="34167" spans="26:26" x14ac:dyDescent="0.25">
      <c r="Z34167">
        <v>400000</v>
      </c>
    </row>
    <row r="34168" spans="26:26" x14ac:dyDescent="0.25">
      <c r="Z34168">
        <v>400000</v>
      </c>
    </row>
    <row r="34169" spans="26:26" x14ac:dyDescent="0.25">
      <c r="Z34169">
        <v>400000</v>
      </c>
    </row>
    <row r="34170" spans="26:26" x14ac:dyDescent="0.25">
      <c r="Z34170">
        <v>400000</v>
      </c>
    </row>
    <row r="34171" spans="26:26" x14ac:dyDescent="0.25">
      <c r="Z34171">
        <v>400000</v>
      </c>
    </row>
    <row r="34172" spans="26:26" x14ac:dyDescent="0.25">
      <c r="Z34172">
        <v>400000</v>
      </c>
    </row>
    <row r="34173" spans="26:26" x14ac:dyDescent="0.25">
      <c r="Z34173">
        <v>400000</v>
      </c>
    </row>
    <row r="34174" spans="26:26" x14ac:dyDescent="0.25">
      <c r="Z34174">
        <v>400000</v>
      </c>
    </row>
    <row r="34175" spans="26:26" x14ac:dyDescent="0.25">
      <c r="Z34175">
        <v>400000</v>
      </c>
    </row>
    <row r="34176" spans="26:26" x14ac:dyDescent="0.25">
      <c r="Z34176">
        <v>400000</v>
      </c>
    </row>
    <row r="34177" spans="26:26" x14ac:dyDescent="0.25">
      <c r="Z34177">
        <v>400000</v>
      </c>
    </row>
    <row r="34178" spans="26:26" x14ac:dyDescent="0.25">
      <c r="Z34178">
        <v>400000</v>
      </c>
    </row>
    <row r="34179" spans="26:26" x14ac:dyDescent="0.25">
      <c r="Z34179">
        <v>400000</v>
      </c>
    </row>
    <row r="34180" spans="26:26" x14ac:dyDescent="0.25">
      <c r="Z34180">
        <v>400000</v>
      </c>
    </row>
    <row r="34181" spans="26:26" x14ac:dyDescent="0.25">
      <c r="Z34181">
        <v>400000</v>
      </c>
    </row>
    <row r="34182" spans="26:26" x14ac:dyDescent="0.25">
      <c r="Z34182">
        <v>400000</v>
      </c>
    </row>
    <row r="34183" spans="26:26" x14ac:dyDescent="0.25">
      <c r="Z34183">
        <v>400000</v>
      </c>
    </row>
    <row r="34184" spans="26:26" x14ac:dyDescent="0.25">
      <c r="Z34184">
        <v>400000</v>
      </c>
    </row>
    <row r="34185" spans="26:26" x14ac:dyDescent="0.25">
      <c r="Z34185">
        <v>400000</v>
      </c>
    </row>
    <row r="34186" spans="26:26" x14ac:dyDescent="0.25">
      <c r="Z34186">
        <v>400000</v>
      </c>
    </row>
    <row r="34187" spans="26:26" x14ac:dyDescent="0.25">
      <c r="Z34187">
        <v>400000</v>
      </c>
    </row>
    <row r="34188" spans="26:26" x14ac:dyDescent="0.25">
      <c r="Z34188">
        <v>400000</v>
      </c>
    </row>
    <row r="34189" spans="26:26" x14ac:dyDescent="0.25">
      <c r="Z34189">
        <v>400000</v>
      </c>
    </row>
    <row r="34190" spans="26:26" x14ac:dyDescent="0.25">
      <c r="Z34190">
        <v>400000</v>
      </c>
    </row>
    <row r="34191" spans="26:26" x14ac:dyDescent="0.25">
      <c r="Z34191">
        <v>400000</v>
      </c>
    </row>
    <row r="34192" spans="26:26" x14ac:dyDescent="0.25">
      <c r="Z34192">
        <v>400000</v>
      </c>
    </row>
    <row r="34193" spans="26:26" x14ac:dyDescent="0.25">
      <c r="Z34193">
        <v>400000</v>
      </c>
    </row>
    <row r="34194" spans="26:26" x14ac:dyDescent="0.25">
      <c r="Z34194">
        <v>400000</v>
      </c>
    </row>
    <row r="34195" spans="26:26" x14ac:dyDescent="0.25">
      <c r="Z34195">
        <v>400000</v>
      </c>
    </row>
    <row r="34196" spans="26:26" x14ac:dyDescent="0.25">
      <c r="Z34196">
        <v>400000</v>
      </c>
    </row>
    <row r="34197" spans="26:26" x14ac:dyDescent="0.25">
      <c r="Z34197">
        <v>400000</v>
      </c>
    </row>
    <row r="34198" spans="26:26" x14ac:dyDescent="0.25">
      <c r="Z34198">
        <v>400000</v>
      </c>
    </row>
    <row r="34199" spans="26:26" x14ac:dyDescent="0.25">
      <c r="Z34199">
        <v>400000</v>
      </c>
    </row>
    <row r="34200" spans="26:26" x14ac:dyDescent="0.25">
      <c r="Z34200">
        <v>400000</v>
      </c>
    </row>
    <row r="34201" spans="26:26" x14ac:dyDescent="0.25">
      <c r="Z34201">
        <v>400000</v>
      </c>
    </row>
    <row r="34202" spans="26:26" x14ac:dyDescent="0.25">
      <c r="Z34202">
        <v>400000</v>
      </c>
    </row>
    <row r="34203" spans="26:26" x14ac:dyDescent="0.25">
      <c r="Z34203">
        <v>400000</v>
      </c>
    </row>
    <row r="34204" spans="26:26" x14ac:dyDescent="0.25">
      <c r="Z34204">
        <v>400000</v>
      </c>
    </row>
    <row r="34205" spans="26:26" x14ac:dyDescent="0.25">
      <c r="Z34205">
        <v>400000</v>
      </c>
    </row>
    <row r="34206" spans="26:26" x14ac:dyDescent="0.25">
      <c r="Z34206">
        <v>400000</v>
      </c>
    </row>
    <row r="34207" spans="26:26" x14ac:dyDescent="0.25">
      <c r="Z34207">
        <v>400000</v>
      </c>
    </row>
    <row r="34208" spans="26:26" x14ac:dyDescent="0.25">
      <c r="Z34208">
        <v>400000</v>
      </c>
    </row>
    <row r="34209" spans="26:26" x14ac:dyDescent="0.25">
      <c r="Z34209">
        <v>400000</v>
      </c>
    </row>
    <row r="34210" spans="26:26" x14ac:dyDescent="0.25">
      <c r="Z34210">
        <v>400000</v>
      </c>
    </row>
    <row r="34211" spans="26:26" x14ac:dyDescent="0.25">
      <c r="Z34211">
        <v>400000</v>
      </c>
    </row>
    <row r="34212" spans="26:26" x14ac:dyDescent="0.25">
      <c r="Z34212">
        <v>400000</v>
      </c>
    </row>
    <row r="34213" spans="26:26" x14ac:dyDescent="0.25">
      <c r="Z34213">
        <v>400000</v>
      </c>
    </row>
    <row r="34214" spans="26:26" x14ac:dyDescent="0.25">
      <c r="Z34214">
        <v>400000</v>
      </c>
    </row>
    <row r="34215" spans="26:26" x14ac:dyDescent="0.25">
      <c r="Z34215">
        <v>400000</v>
      </c>
    </row>
    <row r="34216" spans="26:26" x14ac:dyDescent="0.25">
      <c r="Z34216">
        <v>400000</v>
      </c>
    </row>
    <row r="34217" spans="26:26" x14ac:dyDescent="0.25">
      <c r="Z34217">
        <v>400000</v>
      </c>
    </row>
    <row r="34218" spans="26:26" x14ac:dyDescent="0.25">
      <c r="Z34218">
        <v>400000</v>
      </c>
    </row>
    <row r="34219" spans="26:26" x14ac:dyDescent="0.25">
      <c r="Z34219">
        <v>400000</v>
      </c>
    </row>
    <row r="34220" spans="26:26" x14ac:dyDescent="0.25">
      <c r="Z34220">
        <v>400000</v>
      </c>
    </row>
    <row r="34221" spans="26:26" x14ac:dyDescent="0.25">
      <c r="Z34221">
        <v>400000</v>
      </c>
    </row>
    <row r="34222" spans="26:26" x14ac:dyDescent="0.25">
      <c r="Z34222">
        <v>400000</v>
      </c>
    </row>
    <row r="34223" spans="26:26" x14ac:dyDescent="0.25">
      <c r="Z34223">
        <v>400000</v>
      </c>
    </row>
    <row r="34224" spans="26:26" x14ac:dyDescent="0.25">
      <c r="Z34224">
        <v>400000</v>
      </c>
    </row>
    <row r="34225" spans="26:26" x14ac:dyDescent="0.25">
      <c r="Z34225">
        <v>400000</v>
      </c>
    </row>
    <row r="34226" spans="26:26" x14ac:dyDescent="0.25">
      <c r="Z34226">
        <v>400000</v>
      </c>
    </row>
    <row r="34227" spans="26:26" x14ac:dyDescent="0.25">
      <c r="Z34227">
        <v>400000</v>
      </c>
    </row>
    <row r="34228" spans="26:26" x14ac:dyDescent="0.25">
      <c r="Z34228">
        <v>400000</v>
      </c>
    </row>
    <row r="34229" spans="26:26" x14ac:dyDescent="0.25">
      <c r="Z34229">
        <v>400000</v>
      </c>
    </row>
    <row r="34230" spans="26:26" x14ac:dyDescent="0.25">
      <c r="Z34230">
        <v>400000</v>
      </c>
    </row>
    <row r="34231" spans="26:26" x14ac:dyDescent="0.25">
      <c r="Z34231">
        <v>400000</v>
      </c>
    </row>
    <row r="34232" spans="26:26" x14ac:dyDescent="0.25">
      <c r="Z34232">
        <v>400000</v>
      </c>
    </row>
    <row r="34233" spans="26:26" x14ac:dyDescent="0.25">
      <c r="Z34233">
        <v>400000</v>
      </c>
    </row>
    <row r="34234" spans="26:26" x14ac:dyDescent="0.25">
      <c r="Z34234">
        <v>400000</v>
      </c>
    </row>
    <row r="34235" spans="26:26" x14ac:dyDescent="0.25">
      <c r="Z34235">
        <v>400000</v>
      </c>
    </row>
    <row r="34236" spans="26:26" x14ac:dyDescent="0.25">
      <c r="Z34236">
        <v>400000</v>
      </c>
    </row>
    <row r="34237" spans="26:26" x14ac:dyDescent="0.25">
      <c r="Z34237">
        <v>400000</v>
      </c>
    </row>
    <row r="34238" spans="26:26" x14ac:dyDescent="0.25">
      <c r="Z34238">
        <v>400000</v>
      </c>
    </row>
    <row r="34239" spans="26:26" x14ac:dyDescent="0.25">
      <c r="Z34239">
        <v>400000</v>
      </c>
    </row>
    <row r="34240" spans="26:26" x14ac:dyDescent="0.25">
      <c r="Z34240">
        <v>400000</v>
      </c>
    </row>
    <row r="34241" spans="26:26" x14ac:dyDescent="0.25">
      <c r="Z34241">
        <v>400000</v>
      </c>
    </row>
    <row r="34242" spans="26:26" x14ac:dyDescent="0.25">
      <c r="Z34242">
        <v>400000</v>
      </c>
    </row>
    <row r="34243" spans="26:26" x14ac:dyDescent="0.25">
      <c r="Z34243">
        <v>400000</v>
      </c>
    </row>
    <row r="34244" spans="26:26" x14ac:dyDescent="0.25">
      <c r="Z34244">
        <v>400000</v>
      </c>
    </row>
    <row r="34245" spans="26:26" x14ac:dyDescent="0.25">
      <c r="Z34245">
        <v>400000</v>
      </c>
    </row>
    <row r="34246" spans="26:26" x14ac:dyDescent="0.25">
      <c r="Z34246">
        <v>400000</v>
      </c>
    </row>
    <row r="34247" spans="26:26" x14ac:dyDescent="0.25">
      <c r="Z34247">
        <v>400000</v>
      </c>
    </row>
    <row r="34248" spans="26:26" x14ac:dyDescent="0.25">
      <c r="Z34248">
        <v>400000</v>
      </c>
    </row>
    <row r="34249" spans="26:26" x14ac:dyDescent="0.25">
      <c r="Z34249">
        <v>400000</v>
      </c>
    </row>
    <row r="34250" spans="26:26" x14ac:dyDescent="0.25">
      <c r="Z34250">
        <v>400000</v>
      </c>
    </row>
    <row r="34251" spans="26:26" x14ac:dyDescent="0.25">
      <c r="Z34251">
        <v>400000</v>
      </c>
    </row>
    <row r="34252" spans="26:26" x14ac:dyDescent="0.25">
      <c r="Z34252">
        <v>400000</v>
      </c>
    </row>
    <row r="34253" spans="26:26" x14ac:dyDescent="0.25">
      <c r="Z34253">
        <v>400000</v>
      </c>
    </row>
    <row r="34254" spans="26:26" x14ac:dyDescent="0.25">
      <c r="Z34254">
        <v>400000</v>
      </c>
    </row>
    <row r="34255" spans="26:26" x14ac:dyDescent="0.25">
      <c r="Z34255">
        <v>400000</v>
      </c>
    </row>
    <row r="34256" spans="26:26" x14ac:dyDescent="0.25">
      <c r="Z34256">
        <v>400000</v>
      </c>
    </row>
    <row r="34257" spans="26:26" x14ac:dyDescent="0.25">
      <c r="Z34257">
        <v>400000</v>
      </c>
    </row>
    <row r="34258" spans="26:26" x14ac:dyDescent="0.25">
      <c r="Z34258">
        <v>400000</v>
      </c>
    </row>
    <row r="34259" spans="26:26" x14ac:dyDescent="0.25">
      <c r="Z34259">
        <v>400000</v>
      </c>
    </row>
    <row r="34260" spans="26:26" x14ac:dyDescent="0.25">
      <c r="Z34260">
        <v>400000</v>
      </c>
    </row>
    <row r="34261" spans="26:26" x14ac:dyDescent="0.25">
      <c r="Z34261">
        <v>400000</v>
      </c>
    </row>
    <row r="34262" spans="26:26" x14ac:dyDescent="0.25">
      <c r="Z34262">
        <v>400000</v>
      </c>
    </row>
    <row r="34263" spans="26:26" x14ac:dyDescent="0.25">
      <c r="Z34263">
        <v>400000</v>
      </c>
    </row>
    <row r="34264" spans="26:26" x14ac:dyDescent="0.25">
      <c r="Z34264">
        <v>400000</v>
      </c>
    </row>
    <row r="34265" spans="26:26" x14ac:dyDescent="0.25">
      <c r="Z34265">
        <v>400000</v>
      </c>
    </row>
    <row r="34266" spans="26:26" x14ac:dyDescent="0.25">
      <c r="Z34266">
        <v>400000</v>
      </c>
    </row>
    <row r="34267" spans="26:26" x14ac:dyDescent="0.25">
      <c r="Z34267">
        <v>400000</v>
      </c>
    </row>
    <row r="34268" spans="26:26" x14ac:dyDescent="0.25">
      <c r="Z34268">
        <v>400000</v>
      </c>
    </row>
    <row r="34269" spans="26:26" x14ac:dyDescent="0.25">
      <c r="Z34269">
        <v>400000</v>
      </c>
    </row>
    <row r="34270" spans="26:26" x14ac:dyDescent="0.25">
      <c r="Z34270">
        <v>400000</v>
      </c>
    </row>
    <row r="34271" spans="26:26" x14ac:dyDescent="0.25">
      <c r="Z34271">
        <v>400000</v>
      </c>
    </row>
    <row r="34272" spans="26:26" x14ac:dyDescent="0.25">
      <c r="Z34272">
        <v>400000</v>
      </c>
    </row>
    <row r="34273" spans="26:26" x14ac:dyDescent="0.25">
      <c r="Z34273">
        <v>400000</v>
      </c>
    </row>
    <row r="34274" spans="26:26" x14ac:dyDescent="0.25">
      <c r="Z34274">
        <v>400000</v>
      </c>
    </row>
    <row r="34275" spans="26:26" x14ac:dyDescent="0.25">
      <c r="Z34275">
        <v>400000</v>
      </c>
    </row>
    <row r="34276" spans="26:26" x14ac:dyDescent="0.25">
      <c r="Z34276">
        <v>400000</v>
      </c>
    </row>
    <row r="34277" spans="26:26" x14ac:dyDescent="0.25">
      <c r="Z34277">
        <v>400000</v>
      </c>
    </row>
    <row r="34278" spans="26:26" x14ac:dyDescent="0.25">
      <c r="Z34278">
        <v>400000</v>
      </c>
    </row>
    <row r="34279" spans="26:26" x14ac:dyDescent="0.25">
      <c r="Z34279">
        <v>400000</v>
      </c>
    </row>
    <row r="34280" spans="26:26" x14ac:dyDescent="0.25">
      <c r="Z34280">
        <v>400000</v>
      </c>
    </row>
    <row r="34281" spans="26:26" x14ac:dyDescent="0.25">
      <c r="Z34281">
        <v>400000</v>
      </c>
    </row>
    <row r="34282" spans="26:26" x14ac:dyDescent="0.25">
      <c r="Z34282">
        <v>400000</v>
      </c>
    </row>
    <row r="34283" spans="26:26" x14ac:dyDescent="0.25">
      <c r="Z34283">
        <v>400000</v>
      </c>
    </row>
    <row r="34284" spans="26:26" x14ac:dyDescent="0.25">
      <c r="Z34284">
        <v>400000</v>
      </c>
    </row>
    <row r="34285" spans="26:26" x14ac:dyDescent="0.25">
      <c r="Z34285">
        <v>400000</v>
      </c>
    </row>
    <row r="34286" spans="26:26" x14ac:dyDescent="0.25">
      <c r="Z34286">
        <v>400000</v>
      </c>
    </row>
    <row r="34287" spans="26:26" x14ac:dyDescent="0.25">
      <c r="Z34287">
        <v>400000</v>
      </c>
    </row>
    <row r="34288" spans="26:26" x14ac:dyDescent="0.25">
      <c r="Z34288">
        <v>400000</v>
      </c>
    </row>
    <row r="34289" spans="26:26" x14ac:dyDescent="0.25">
      <c r="Z34289">
        <v>400000</v>
      </c>
    </row>
    <row r="34290" spans="26:26" x14ac:dyDescent="0.25">
      <c r="Z34290">
        <v>400000</v>
      </c>
    </row>
    <row r="34291" spans="26:26" x14ac:dyDescent="0.25">
      <c r="Z34291">
        <v>400000</v>
      </c>
    </row>
    <row r="34292" spans="26:26" x14ac:dyDescent="0.25">
      <c r="Z34292">
        <v>400000</v>
      </c>
    </row>
    <row r="34293" spans="26:26" x14ac:dyDescent="0.25">
      <c r="Z34293">
        <v>400000</v>
      </c>
    </row>
    <row r="34294" spans="26:26" x14ac:dyDescent="0.25">
      <c r="Z34294">
        <v>400000</v>
      </c>
    </row>
    <row r="34295" spans="26:26" x14ac:dyDescent="0.25">
      <c r="Z34295">
        <v>400000</v>
      </c>
    </row>
    <row r="34296" spans="26:26" x14ac:dyDescent="0.25">
      <c r="Z34296">
        <v>400000</v>
      </c>
    </row>
    <row r="34297" spans="26:26" x14ac:dyDescent="0.25">
      <c r="Z34297">
        <v>400000</v>
      </c>
    </row>
    <row r="34298" spans="26:26" x14ac:dyDescent="0.25">
      <c r="Z34298">
        <v>400000</v>
      </c>
    </row>
    <row r="34299" spans="26:26" x14ac:dyDescent="0.25">
      <c r="Z34299">
        <v>400000</v>
      </c>
    </row>
    <row r="34300" spans="26:26" x14ac:dyDescent="0.25">
      <c r="Z34300">
        <v>400000</v>
      </c>
    </row>
    <row r="34301" spans="26:26" x14ac:dyDescent="0.25">
      <c r="Z34301">
        <v>400000</v>
      </c>
    </row>
    <row r="34302" spans="26:26" x14ac:dyDescent="0.25">
      <c r="Z34302">
        <v>400000</v>
      </c>
    </row>
    <row r="34303" spans="26:26" x14ac:dyDescent="0.25">
      <c r="Z34303">
        <v>400000</v>
      </c>
    </row>
    <row r="34304" spans="26:26" x14ac:dyDescent="0.25">
      <c r="Z34304">
        <v>400000</v>
      </c>
    </row>
    <row r="34305" spans="26:26" x14ac:dyDescent="0.25">
      <c r="Z34305">
        <v>400000</v>
      </c>
    </row>
    <row r="34306" spans="26:26" x14ac:dyDescent="0.25">
      <c r="Z34306">
        <v>400000</v>
      </c>
    </row>
    <row r="34307" spans="26:26" x14ac:dyDescent="0.25">
      <c r="Z34307">
        <v>400000</v>
      </c>
    </row>
    <row r="34308" spans="26:26" x14ac:dyDescent="0.25">
      <c r="Z34308">
        <v>400000</v>
      </c>
    </row>
    <row r="34309" spans="26:26" x14ac:dyDescent="0.25">
      <c r="Z34309">
        <v>400000</v>
      </c>
    </row>
    <row r="34310" spans="26:26" x14ac:dyDescent="0.25">
      <c r="Z34310">
        <v>400000</v>
      </c>
    </row>
    <row r="34311" spans="26:26" x14ac:dyDescent="0.25">
      <c r="Z34311">
        <v>400000</v>
      </c>
    </row>
    <row r="34312" spans="26:26" x14ac:dyDescent="0.25">
      <c r="Z34312">
        <v>400000</v>
      </c>
    </row>
    <row r="34313" spans="26:26" x14ac:dyDescent="0.25">
      <c r="Z34313">
        <v>400000</v>
      </c>
    </row>
    <row r="34314" spans="26:26" x14ac:dyDescent="0.25">
      <c r="Z34314">
        <v>400000</v>
      </c>
    </row>
    <row r="34315" spans="26:26" x14ac:dyDescent="0.25">
      <c r="Z34315">
        <v>400000</v>
      </c>
    </row>
    <row r="34316" spans="26:26" x14ac:dyDescent="0.25">
      <c r="Z34316">
        <v>400000</v>
      </c>
    </row>
    <row r="34317" spans="26:26" x14ac:dyDescent="0.25">
      <c r="Z34317">
        <v>400000</v>
      </c>
    </row>
    <row r="34318" spans="26:26" x14ac:dyDescent="0.25">
      <c r="Z34318">
        <v>400000</v>
      </c>
    </row>
    <row r="34319" spans="26:26" x14ac:dyDescent="0.25">
      <c r="Z34319">
        <v>400000</v>
      </c>
    </row>
    <row r="34320" spans="26:26" x14ac:dyDescent="0.25">
      <c r="Z34320">
        <v>400000</v>
      </c>
    </row>
    <row r="34321" spans="26:26" x14ac:dyDescent="0.25">
      <c r="Z34321">
        <v>400000</v>
      </c>
    </row>
    <row r="34322" spans="26:26" x14ac:dyDescent="0.25">
      <c r="Z34322">
        <v>400000</v>
      </c>
    </row>
    <row r="34323" spans="26:26" x14ac:dyDescent="0.25">
      <c r="Z34323">
        <v>400000</v>
      </c>
    </row>
    <row r="34324" spans="26:26" x14ac:dyDescent="0.25">
      <c r="Z34324">
        <v>400000</v>
      </c>
    </row>
    <row r="34325" spans="26:26" x14ac:dyDescent="0.25">
      <c r="Z34325">
        <v>400000</v>
      </c>
    </row>
    <row r="34326" spans="26:26" x14ac:dyDescent="0.25">
      <c r="Z34326">
        <v>400000</v>
      </c>
    </row>
    <row r="34327" spans="26:26" x14ac:dyDescent="0.25">
      <c r="Z34327">
        <v>400000</v>
      </c>
    </row>
    <row r="34328" spans="26:26" x14ac:dyDescent="0.25">
      <c r="Z34328">
        <v>400000</v>
      </c>
    </row>
    <row r="34329" spans="26:26" x14ac:dyDescent="0.25">
      <c r="Z34329">
        <v>400000</v>
      </c>
    </row>
    <row r="34330" spans="26:26" x14ac:dyDescent="0.25">
      <c r="Z34330">
        <v>400000</v>
      </c>
    </row>
    <row r="34331" spans="26:26" x14ac:dyDescent="0.25">
      <c r="Z34331">
        <v>400000</v>
      </c>
    </row>
    <row r="34332" spans="26:26" x14ac:dyDescent="0.25">
      <c r="Z34332">
        <v>400000</v>
      </c>
    </row>
    <row r="34333" spans="26:26" x14ac:dyDescent="0.25">
      <c r="Z34333">
        <v>400000</v>
      </c>
    </row>
    <row r="34334" spans="26:26" x14ac:dyDescent="0.25">
      <c r="Z34334">
        <v>400000</v>
      </c>
    </row>
    <row r="34335" spans="26:26" x14ac:dyDescent="0.25">
      <c r="Z34335">
        <v>400000</v>
      </c>
    </row>
    <row r="34336" spans="26:26" x14ac:dyDescent="0.25">
      <c r="Z34336">
        <v>400000</v>
      </c>
    </row>
    <row r="34337" spans="26:26" x14ac:dyDescent="0.25">
      <c r="Z34337">
        <v>400000</v>
      </c>
    </row>
    <row r="34338" spans="26:26" x14ac:dyDescent="0.25">
      <c r="Z34338">
        <v>400000</v>
      </c>
    </row>
    <row r="34339" spans="26:26" x14ac:dyDescent="0.25">
      <c r="Z34339">
        <v>400000</v>
      </c>
    </row>
    <row r="34340" spans="26:26" x14ac:dyDescent="0.25">
      <c r="Z34340">
        <v>400000</v>
      </c>
    </row>
    <row r="34341" spans="26:26" x14ac:dyDescent="0.25">
      <c r="Z34341">
        <v>400000</v>
      </c>
    </row>
    <row r="34342" spans="26:26" x14ac:dyDescent="0.25">
      <c r="Z34342">
        <v>400000</v>
      </c>
    </row>
    <row r="34343" spans="26:26" x14ac:dyDescent="0.25">
      <c r="Z34343">
        <v>400000</v>
      </c>
    </row>
    <row r="34344" spans="26:26" x14ac:dyDescent="0.25">
      <c r="Z34344">
        <v>400000</v>
      </c>
    </row>
    <row r="34345" spans="26:26" x14ac:dyDescent="0.25">
      <c r="Z34345">
        <v>400000</v>
      </c>
    </row>
    <row r="34346" spans="26:26" x14ac:dyDescent="0.25">
      <c r="Z34346">
        <v>400000</v>
      </c>
    </row>
    <row r="34347" spans="26:26" x14ac:dyDescent="0.25">
      <c r="Z34347">
        <v>400000</v>
      </c>
    </row>
    <row r="34348" spans="26:26" x14ac:dyDescent="0.25">
      <c r="Z34348">
        <v>400000</v>
      </c>
    </row>
    <row r="34349" spans="26:26" x14ac:dyDescent="0.25">
      <c r="Z34349">
        <v>400000</v>
      </c>
    </row>
    <row r="34350" spans="26:26" x14ac:dyDescent="0.25">
      <c r="Z34350">
        <v>400000</v>
      </c>
    </row>
    <row r="34351" spans="26:26" x14ac:dyDescent="0.25">
      <c r="Z34351">
        <v>400000</v>
      </c>
    </row>
    <row r="34352" spans="26:26" x14ac:dyDescent="0.25">
      <c r="Z34352">
        <v>400000</v>
      </c>
    </row>
    <row r="34353" spans="26:26" x14ac:dyDescent="0.25">
      <c r="Z34353">
        <v>400000</v>
      </c>
    </row>
    <row r="34354" spans="26:26" x14ac:dyDescent="0.25">
      <c r="Z34354">
        <v>400000</v>
      </c>
    </row>
    <row r="34355" spans="26:26" x14ac:dyDescent="0.25">
      <c r="Z34355">
        <v>400000</v>
      </c>
    </row>
    <row r="34356" spans="26:26" x14ac:dyDescent="0.25">
      <c r="Z34356">
        <v>400000</v>
      </c>
    </row>
    <row r="34357" spans="26:26" x14ac:dyDescent="0.25">
      <c r="Z34357">
        <v>400000</v>
      </c>
    </row>
    <row r="34358" spans="26:26" x14ac:dyDescent="0.25">
      <c r="Z34358">
        <v>400000</v>
      </c>
    </row>
    <row r="34359" spans="26:26" x14ac:dyDescent="0.25">
      <c r="Z34359">
        <v>400000</v>
      </c>
    </row>
    <row r="34360" spans="26:26" x14ac:dyDescent="0.25">
      <c r="Z34360">
        <v>400000</v>
      </c>
    </row>
    <row r="34361" spans="26:26" x14ac:dyDescent="0.25">
      <c r="Z34361">
        <v>400000</v>
      </c>
    </row>
    <row r="34362" spans="26:26" x14ac:dyDescent="0.25">
      <c r="Z34362">
        <v>400000</v>
      </c>
    </row>
    <row r="34363" spans="26:26" x14ac:dyDescent="0.25">
      <c r="Z34363">
        <v>400000</v>
      </c>
    </row>
    <row r="34364" spans="26:26" x14ac:dyDescent="0.25">
      <c r="Z34364">
        <v>400000</v>
      </c>
    </row>
    <row r="34365" spans="26:26" x14ac:dyDescent="0.25">
      <c r="Z34365">
        <v>400000</v>
      </c>
    </row>
    <row r="34366" spans="26:26" x14ac:dyDescent="0.25">
      <c r="Z34366">
        <v>400000</v>
      </c>
    </row>
    <row r="34367" spans="26:26" x14ac:dyDescent="0.25">
      <c r="Z34367">
        <v>400000</v>
      </c>
    </row>
    <row r="34368" spans="26:26" x14ac:dyDescent="0.25">
      <c r="Z34368">
        <v>400000</v>
      </c>
    </row>
    <row r="34369" spans="26:26" x14ac:dyDescent="0.25">
      <c r="Z34369">
        <v>400000</v>
      </c>
    </row>
    <row r="34370" spans="26:26" x14ac:dyDescent="0.25">
      <c r="Z34370">
        <v>400000</v>
      </c>
    </row>
    <row r="34371" spans="26:26" x14ac:dyDescent="0.25">
      <c r="Z34371">
        <v>400000</v>
      </c>
    </row>
    <row r="34372" spans="26:26" x14ac:dyDescent="0.25">
      <c r="Z34372">
        <v>400000</v>
      </c>
    </row>
    <row r="34373" spans="26:26" x14ac:dyDescent="0.25">
      <c r="Z34373">
        <v>400000</v>
      </c>
    </row>
    <row r="34374" spans="26:26" x14ac:dyDescent="0.25">
      <c r="Z34374">
        <v>400000</v>
      </c>
    </row>
    <row r="34375" spans="26:26" x14ac:dyDescent="0.25">
      <c r="Z34375">
        <v>400000</v>
      </c>
    </row>
    <row r="34376" spans="26:26" x14ac:dyDescent="0.25">
      <c r="Z34376">
        <v>400000</v>
      </c>
    </row>
    <row r="34377" spans="26:26" x14ac:dyDescent="0.25">
      <c r="Z34377">
        <v>400000</v>
      </c>
    </row>
    <row r="34378" spans="26:26" x14ac:dyDescent="0.25">
      <c r="Z34378">
        <v>400000</v>
      </c>
    </row>
    <row r="34379" spans="26:26" x14ac:dyDescent="0.25">
      <c r="Z34379">
        <v>400000</v>
      </c>
    </row>
    <row r="34380" spans="26:26" x14ac:dyDescent="0.25">
      <c r="Z34380">
        <v>400000</v>
      </c>
    </row>
    <row r="34381" spans="26:26" x14ac:dyDescent="0.25">
      <c r="Z34381">
        <v>400000</v>
      </c>
    </row>
    <row r="34382" spans="26:26" x14ac:dyDescent="0.25">
      <c r="Z34382">
        <v>400000</v>
      </c>
    </row>
    <row r="34383" spans="26:26" x14ac:dyDescent="0.25">
      <c r="Z34383">
        <v>400000</v>
      </c>
    </row>
    <row r="34384" spans="26:26" x14ac:dyDescent="0.25">
      <c r="Z34384">
        <v>400000</v>
      </c>
    </row>
    <row r="34385" spans="26:26" x14ac:dyDescent="0.25">
      <c r="Z34385">
        <v>400000</v>
      </c>
    </row>
    <row r="34386" spans="26:26" x14ac:dyDescent="0.25">
      <c r="Z34386">
        <v>400000</v>
      </c>
    </row>
    <row r="34387" spans="26:26" x14ac:dyDescent="0.25">
      <c r="Z34387">
        <v>400000</v>
      </c>
    </row>
    <row r="34388" spans="26:26" x14ac:dyDescent="0.25">
      <c r="Z34388">
        <v>400000</v>
      </c>
    </row>
    <row r="34389" spans="26:26" x14ac:dyDescent="0.25">
      <c r="Z34389">
        <v>400000</v>
      </c>
    </row>
    <row r="34390" spans="26:26" x14ac:dyDescent="0.25">
      <c r="Z34390">
        <v>400000</v>
      </c>
    </row>
    <row r="34391" spans="26:26" x14ac:dyDescent="0.25">
      <c r="Z34391">
        <v>400000</v>
      </c>
    </row>
    <row r="34392" spans="26:26" x14ac:dyDescent="0.25">
      <c r="Z34392">
        <v>400000</v>
      </c>
    </row>
    <row r="34393" spans="26:26" x14ac:dyDescent="0.25">
      <c r="Z34393">
        <v>400000</v>
      </c>
    </row>
    <row r="34394" spans="26:26" x14ac:dyDescent="0.25">
      <c r="Z34394">
        <v>400000</v>
      </c>
    </row>
    <row r="34395" spans="26:26" x14ac:dyDescent="0.25">
      <c r="Z34395">
        <v>400000</v>
      </c>
    </row>
    <row r="34396" spans="26:26" x14ac:dyDescent="0.25">
      <c r="Z34396">
        <v>400000</v>
      </c>
    </row>
    <row r="34397" spans="26:26" x14ac:dyDescent="0.25">
      <c r="Z34397">
        <v>400000</v>
      </c>
    </row>
    <row r="34398" spans="26:26" x14ac:dyDescent="0.25">
      <c r="Z34398">
        <v>400000</v>
      </c>
    </row>
    <row r="34399" spans="26:26" x14ac:dyDescent="0.25">
      <c r="Z34399">
        <v>400000</v>
      </c>
    </row>
    <row r="34400" spans="26:26" x14ac:dyDescent="0.25">
      <c r="Z34400">
        <v>400000</v>
      </c>
    </row>
    <row r="34401" spans="26:26" x14ac:dyDescent="0.25">
      <c r="Z34401">
        <v>400000</v>
      </c>
    </row>
    <row r="34402" spans="26:26" x14ac:dyDescent="0.25">
      <c r="Z34402">
        <v>400000</v>
      </c>
    </row>
    <row r="34403" spans="26:26" x14ac:dyDescent="0.25">
      <c r="Z34403">
        <v>400000</v>
      </c>
    </row>
    <row r="34404" spans="26:26" x14ac:dyDescent="0.25">
      <c r="Z34404">
        <v>400000</v>
      </c>
    </row>
    <row r="34405" spans="26:26" x14ac:dyDescent="0.25">
      <c r="Z34405">
        <v>400000</v>
      </c>
    </row>
    <row r="34406" spans="26:26" x14ac:dyDescent="0.25">
      <c r="Z34406">
        <v>400000</v>
      </c>
    </row>
    <row r="34407" spans="26:26" x14ac:dyDescent="0.25">
      <c r="Z34407">
        <v>400000</v>
      </c>
    </row>
    <row r="34408" spans="26:26" x14ac:dyDescent="0.25">
      <c r="Z34408">
        <v>400000</v>
      </c>
    </row>
    <row r="34409" spans="26:26" x14ac:dyDescent="0.25">
      <c r="Z34409">
        <v>400000</v>
      </c>
    </row>
    <row r="34410" spans="26:26" x14ac:dyDescent="0.25">
      <c r="Z34410">
        <v>400000</v>
      </c>
    </row>
    <row r="34411" spans="26:26" x14ac:dyDescent="0.25">
      <c r="Z34411">
        <v>400000</v>
      </c>
    </row>
    <row r="34412" spans="26:26" x14ac:dyDescent="0.25">
      <c r="Z34412">
        <v>400000</v>
      </c>
    </row>
    <row r="34413" spans="26:26" x14ac:dyDescent="0.25">
      <c r="Z34413">
        <v>400000</v>
      </c>
    </row>
    <row r="34414" spans="26:26" x14ac:dyDescent="0.25">
      <c r="Z34414">
        <v>400000</v>
      </c>
    </row>
    <row r="34415" spans="26:26" x14ac:dyDescent="0.25">
      <c r="Z34415">
        <v>400000</v>
      </c>
    </row>
    <row r="34416" spans="26:26" x14ac:dyDescent="0.25">
      <c r="Z34416">
        <v>400000</v>
      </c>
    </row>
    <row r="34417" spans="26:26" x14ac:dyDescent="0.25">
      <c r="Z34417">
        <v>400000</v>
      </c>
    </row>
    <row r="34418" spans="26:26" x14ac:dyDescent="0.25">
      <c r="Z34418">
        <v>400000</v>
      </c>
    </row>
    <row r="34419" spans="26:26" x14ac:dyDescent="0.25">
      <c r="Z34419">
        <v>400000</v>
      </c>
    </row>
    <row r="34420" spans="26:26" x14ac:dyDescent="0.25">
      <c r="Z34420">
        <v>400000</v>
      </c>
    </row>
    <row r="34421" spans="26:26" x14ac:dyDescent="0.25">
      <c r="Z34421">
        <v>400000</v>
      </c>
    </row>
    <row r="34422" spans="26:26" x14ac:dyDescent="0.25">
      <c r="Z34422">
        <v>400000</v>
      </c>
    </row>
    <row r="34423" spans="26:26" x14ac:dyDescent="0.25">
      <c r="Z34423">
        <v>400000</v>
      </c>
    </row>
    <row r="34424" spans="26:26" x14ac:dyDescent="0.25">
      <c r="Z34424">
        <v>400000</v>
      </c>
    </row>
    <row r="34425" spans="26:26" x14ac:dyDescent="0.25">
      <c r="Z34425">
        <v>400000</v>
      </c>
    </row>
    <row r="34426" spans="26:26" x14ac:dyDescent="0.25">
      <c r="Z34426">
        <v>400000</v>
      </c>
    </row>
    <row r="34427" spans="26:26" x14ac:dyDescent="0.25">
      <c r="Z34427">
        <v>400000</v>
      </c>
    </row>
    <row r="34428" spans="26:26" x14ac:dyDescent="0.25">
      <c r="Z34428">
        <v>400000</v>
      </c>
    </row>
    <row r="34429" spans="26:26" x14ac:dyDescent="0.25">
      <c r="Z34429">
        <v>400000</v>
      </c>
    </row>
    <row r="34430" spans="26:26" x14ac:dyDescent="0.25">
      <c r="Z34430">
        <v>400000</v>
      </c>
    </row>
    <row r="34431" spans="26:26" x14ac:dyDescent="0.25">
      <c r="Z34431">
        <v>400000</v>
      </c>
    </row>
    <row r="34432" spans="26:26" x14ac:dyDescent="0.25">
      <c r="Z34432">
        <v>400000</v>
      </c>
    </row>
    <row r="34433" spans="26:26" x14ac:dyDescent="0.25">
      <c r="Z34433">
        <v>400000</v>
      </c>
    </row>
    <row r="34434" spans="26:26" x14ac:dyDescent="0.25">
      <c r="Z34434">
        <v>400000</v>
      </c>
    </row>
    <row r="34435" spans="26:26" x14ac:dyDescent="0.25">
      <c r="Z34435">
        <v>400000</v>
      </c>
    </row>
    <row r="34436" spans="26:26" x14ac:dyDescent="0.25">
      <c r="Z34436">
        <v>400000</v>
      </c>
    </row>
    <row r="34437" spans="26:26" x14ac:dyDescent="0.25">
      <c r="Z34437">
        <v>400000</v>
      </c>
    </row>
    <row r="34438" spans="26:26" x14ac:dyDescent="0.25">
      <c r="Z34438">
        <v>400000</v>
      </c>
    </row>
    <row r="34439" spans="26:26" x14ac:dyDescent="0.25">
      <c r="Z34439">
        <v>400000</v>
      </c>
    </row>
    <row r="34440" spans="26:26" x14ac:dyDescent="0.25">
      <c r="Z34440">
        <v>400000</v>
      </c>
    </row>
    <row r="34441" spans="26:26" x14ac:dyDescent="0.25">
      <c r="Z34441">
        <v>400000</v>
      </c>
    </row>
    <row r="34442" spans="26:26" x14ac:dyDescent="0.25">
      <c r="Z34442">
        <v>400000</v>
      </c>
    </row>
    <row r="34443" spans="26:26" x14ac:dyDescent="0.25">
      <c r="Z34443">
        <v>400000</v>
      </c>
    </row>
    <row r="34444" spans="26:26" x14ac:dyDescent="0.25">
      <c r="Z34444">
        <v>400000</v>
      </c>
    </row>
    <row r="34445" spans="26:26" x14ac:dyDescent="0.25">
      <c r="Z34445">
        <v>400000</v>
      </c>
    </row>
    <row r="34446" spans="26:26" x14ac:dyDescent="0.25">
      <c r="Z34446">
        <v>400000</v>
      </c>
    </row>
    <row r="34447" spans="26:26" x14ac:dyDescent="0.25">
      <c r="Z34447">
        <v>400000</v>
      </c>
    </row>
    <row r="34448" spans="26:26" x14ac:dyDescent="0.25">
      <c r="Z34448">
        <v>400000</v>
      </c>
    </row>
    <row r="34449" spans="26:26" x14ac:dyDescent="0.25">
      <c r="Z34449">
        <v>400000</v>
      </c>
    </row>
    <row r="34450" spans="26:26" x14ac:dyDescent="0.25">
      <c r="Z34450">
        <v>400000</v>
      </c>
    </row>
    <row r="34451" spans="26:26" x14ac:dyDescent="0.25">
      <c r="Z34451">
        <v>400000</v>
      </c>
    </row>
    <row r="34452" spans="26:26" x14ac:dyDescent="0.25">
      <c r="Z34452">
        <v>400000</v>
      </c>
    </row>
    <row r="34453" spans="26:26" x14ac:dyDescent="0.25">
      <c r="Z34453">
        <v>400000</v>
      </c>
    </row>
    <row r="34454" spans="26:26" x14ac:dyDescent="0.25">
      <c r="Z34454">
        <v>400000</v>
      </c>
    </row>
    <row r="34455" spans="26:26" x14ac:dyDescent="0.25">
      <c r="Z34455">
        <v>400000</v>
      </c>
    </row>
    <row r="34456" spans="26:26" x14ac:dyDescent="0.25">
      <c r="Z34456">
        <v>400000</v>
      </c>
    </row>
    <row r="34457" spans="26:26" x14ac:dyDescent="0.25">
      <c r="Z34457">
        <v>400000</v>
      </c>
    </row>
    <row r="34458" spans="26:26" x14ac:dyDescent="0.25">
      <c r="Z34458">
        <v>400000</v>
      </c>
    </row>
    <row r="34459" spans="26:26" x14ac:dyDescent="0.25">
      <c r="Z34459">
        <v>400000</v>
      </c>
    </row>
    <row r="34460" spans="26:26" x14ac:dyDescent="0.25">
      <c r="Z34460">
        <v>400000</v>
      </c>
    </row>
    <row r="34461" spans="26:26" x14ac:dyDescent="0.25">
      <c r="Z34461">
        <v>400000</v>
      </c>
    </row>
    <row r="34462" spans="26:26" x14ac:dyDescent="0.25">
      <c r="Z34462">
        <v>400000</v>
      </c>
    </row>
    <row r="34463" spans="26:26" x14ac:dyDescent="0.25">
      <c r="Z34463">
        <v>400000</v>
      </c>
    </row>
    <row r="34464" spans="26:26" x14ac:dyDescent="0.25">
      <c r="Z34464">
        <v>400000</v>
      </c>
    </row>
    <row r="34465" spans="26:26" x14ac:dyDescent="0.25">
      <c r="Z34465">
        <v>400000</v>
      </c>
    </row>
    <row r="34466" spans="26:26" x14ac:dyDescent="0.25">
      <c r="Z34466">
        <v>400000</v>
      </c>
    </row>
    <row r="34467" spans="26:26" x14ac:dyDescent="0.25">
      <c r="Z34467">
        <v>400000</v>
      </c>
    </row>
    <row r="34468" spans="26:26" x14ac:dyDescent="0.25">
      <c r="Z34468">
        <v>400000</v>
      </c>
    </row>
    <row r="34469" spans="26:26" x14ac:dyDescent="0.25">
      <c r="Z34469">
        <v>400000</v>
      </c>
    </row>
    <row r="34470" spans="26:26" x14ac:dyDescent="0.25">
      <c r="Z34470">
        <v>400000</v>
      </c>
    </row>
    <row r="34471" spans="26:26" x14ac:dyDescent="0.25">
      <c r="Z34471">
        <v>400000</v>
      </c>
    </row>
    <row r="34472" spans="26:26" x14ac:dyDescent="0.25">
      <c r="Z34472">
        <v>400000</v>
      </c>
    </row>
    <row r="34473" spans="26:26" x14ac:dyDescent="0.25">
      <c r="Z34473">
        <v>400000</v>
      </c>
    </row>
    <row r="34474" spans="26:26" x14ac:dyDescent="0.25">
      <c r="Z34474">
        <v>400000</v>
      </c>
    </row>
    <row r="34475" spans="26:26" x14ac:dyDescent="0.25">
      <c r="Z34475">
        <v>400000</v>
      </c>
    </row>
    <row r="34476" spans="26:26" x14ac:dyDescent="0.25">
      <c r="Z34476">
        <v>400000</v>
      </c>
    </row>
    <row r="34477" spans="26:26" x14ac:dyDescent="0.25">
      <c r="Z34477">
        <v>400000</v>
      </c>
    </row>
    <row r="34478" spans="26:26" x14ac:dyDescent="0.25">
      <c r="Z34478">
        <v>400000</v>
      </c>
    </row>
    <row r="34479" spans="26:26" x14ac:dyDescent="0.25">
      <c r="Z34479">
        <v>400000</v>
      </c>
    </row>
    <row r="34480" spans="26:26" x14ac:dyDescent="0.25">
      <c r="Z34480">
        <v>400000</v>
      </c>
    </row>
    <row r="34481" spans="26:26" x14ac:dyDescent="0.25">
      <c r="Z34481">
        <v>400000</v>
      </c>
    </row>
    <row r="34482" spans="26:26" x14ac:dyDescent="0.25">
      <c r="Z34482">
        <v>400000</v>
      </c>
    </row>
    <row r="34483" spans="26:26" x14ac:dyDescent="0.25">
      <c r="Z34483">
        <v>400000</v>
      </c>
    </row>
    <row r="34484" spans="26:26" x14ac:dyDescent="0.25">
      <c r="Z34484">
        <v>400000</v>
      </c>
    </row>
    <row r="34485" spans="26:26" x14ac:dyDescent="0.25">
      <c r="Z34485">
        <v>400000</v>
      </c>
    </row>
    <row r="34486" spans="26:26" x14ac:dyDescent="0.25">
      <c r="Z34486">
        <v>400000</v>
      </c>
    </row>
    <row r="34487" spans="26:26" x14ac:dyDescent="0.25">
      <c r="Z34487">
        <v>400000</v>
      </c>
    </row>
    <row r="34488" spans="26:26" x14ac:dyDescent="0.25">
      <c r="Z34488">
        <v>400000</v>
      </c>
    </row>
    <row r="34489" spans="26:26" x14ac:dyDescent="0.25">
      <c r="Z34489">
        <v>400000</v>
      </c>
    </row>
    <row r="34490" spans="26:26" x14ac:dyDescent="0.25">
      <c r="Z34490">
        <v>400000</v>
      </c>
    </row>
    <row r="34491" spans="26:26" x14ac:dyDescent="0.25">
      <c r="Z34491">
        <v>400000</v>
      </c>
    </row>
    <row r="34492" spans="26:26" x14ac:dyDescent="0.25">
      <c r="Z34492">
        <v>400000</v>
      </c>
    </row>
    <row r="34493" spans="26:26" x14ac:dyDescent="0.25">
      <c r="Z34493">
        <v>400000</v>
      </c>
    </row>
    <row r="34494" spans="26:26" x14ac:dyDescent="0.25">
      <c r="Z34494">
        <v>400000</v>
      </c>
    </row>
    <row r="34495" spans="26:26" x14ac:dyDescent="0.25">
      <c r="Z34495">
        <v>400000</v>
      </c>
    </row>
    <row r="34496" spans="26:26" x14ac:dyDescent="0.25">
      <c r="Z34496">
        <v>400000</v>
      </c>
    </row>
    <row r="34497" spans="26:26" x14ac:dyDescent="0.25">
      <c r="Z34497">
        <v>400000</v>
      </c>
    </row>
    <row r="34498" spans="26:26" x14ac:dyDescent="0.25">
      <c r="Z34498">
        <v>400000</v>
      </c>
    </row>
    <row r="34499" spans="26:26" x14ac:dyDescent="0.25">
      <c r="Z34499">
        <v>400000</v>
      </c>
    </row>
    <row r="34500" spans="26:26" x14ac:dyDescent="0.25">
      <c r="Z34500">
        <v>400000</v>
      </c>
    </row>
    <row r="34501" spans="26:26" x14ac:dyDescent="0.25">
      <c r="Z34501">
        <v>400000</v>
      </c>
    </row>
    <row r="34502" spans="26:26" x14ac:dyDescent="0.25">
      <c r="Z34502">
        <v>400000</v>
      </c>
    </row>
    <row r="34503" spans="26:26" x14ac:dyDescent="0.25">
      <c r="Z34503">
        <v>400000</v>
      </c>
    </row>
    <row r="34504" spans="26:26" x14ac:dyDescent="0.25">
      <c r="Z34504">
        <v>400000</v>
      </c>
    </row>
    <row r="34505" spans="26:26" x14ac:dyDescent="0.25">
      <c r="Z34505">
        <v>400000</v>
      </c>
    </row>
    <row r="34506" spans="26:26" x14ac:dyDescent="0.25">
      <c r="Z34506">
        <v>400000</v>
      </c>
    </row>
    <row r="34507" spans="26:26" x14ac:dyDescent="0.25">
      <c r="Z34507">
        <v>400000</v>
      </c>
    </row>
    <row r="34508" spans="26:26" x14ac:dyDescent="0.25">
      <c r="Z34508">
        <v>400000</v>
      </c>
    </row>
    <row r="34509" spans="26:26" x14ac:dyDescent="0.25">
      <c r="Z34509">
        <v>400000</v>
      </c>
    </row>
    <row r="34510" spans="26:26" x14ac:dyDescent="0.25">
      <c r="Z34510">
        <v>400000</v>
      </c>
    </row>
    <row r="34511" spans="26:26" x14ac:dyDescent="0.25">
      <c r="Z34511">
        <v>400000</v>
      </c>
    </row>
    <row r="34512" spans="26:26" x14ac:dyDescent="0.25">
      <c r="Z34512">
        <v>400000</v>
      </c>
    </row>
    <row r="34513" spans="26:26" x14ac:dyDescent="0.25">
      <c r="Z34513">
        <v>400000</v>
      </c>
    </row>
    <row r="34514" spans="26:26" x14ac:dyDescent="0.25">
      <c r="Z34514">
        <v>400000</v>
      </c>
    </row>
    <row r="34515" spans="26:26" x14ac:dyDescent="0.25">
      <c r="Z34515">
        <v>400000</v>
      </c>
    </row>
    <row r="34516" spans="26:26" x14ac:dyDescent="0.25">
      <c r="Z34516">
        <v>400000</v>
      </c>
    </row>
    <row r="34517" spans="26:26" x14ac:dyDescent="0.25">
      <c r="Z34517">
        <v>400000</v>
      </c>
    </row>
    <row r="34518" spans="26:26" x14ac:dyDescent="0.25">
      <c r="Z34518">
        <v>400000</v>
      </c>
    </row>
    <row r="34519" spans="26:26" x14ac:dyDescent="0.25">
      <c r="Z34519">
        <v>400000</v>
      </c>
    </row>
    <row r="34520" spans="26:26" x14ac:dyDescent="0.25">
      <c r="Z34520">
        <v>400000</v>
      </c>
    </row>
    <row r="34521" spans="26:26" x14ac:dyDescent="0.25">
      <c r="Z34521">
        <v>400000</v>
      </c>
    </row>
    <row r="34522" spans="26:26" x14ac:dyDescent="0.25">
      <c r="Z34522">
        <v>400000</v>
      </c>
    </row>
    <row r="34523" spans="26:26" x14ac:dyDescent="0.25">
      <c r="Z34523">
        <v>400000</v>
      </c>
    </row>
    <row r="34524" spans="26:26" x14ac:dyDescent="0.25">
      <c r="Z34524">
        <v>400000</v>
      </c>
    </row>
    <row r="34525" spans="26:26" x14ac:dyDescent="0.25">
      <c r="Z34525">
        <v>400000</v>
      </c>
    </row>
    <row r="34526" spans="26:26" x14ac:dyDescent="0.25">
      <c r="Z34526">
        <v>400000</v>
      </c>
    </row>
    <row r="34527" spans="26:26" x14ac:dyDescent="0.25">
      <c r="Z34527">
        <v>400000</v>
      </c>
    </row>
    <row r="34528" spans="26:26" x14ac:dyDescent="0.25">
      <c r="Z34528">
        <v>400000</v>
      </c>
    </row>
    <row r="34529" spans="26:26" x14ac:dyDescent="0.25">
      <c r="Z34529">
        <v>400000</v>
      </c>
    </row>
    <row r="34530" spans="26:26" x14ac:dyDescent="0.25">
      <c r="Z34530">
        <v>400000</v>
      </c>
    </row>
    <row r="34531" spans="26:26" x14ac:dyDescent="0.25">
      <c r="Z34531">
        <v>400000</v>
      </c>
    </row>
    <row r="34532" spans="26:26" x14ac:dyDescent="0.25">
      <c r="Z34532">
        <v>400000</v>
      </c>
    </row>
    <row r="34533" spans="26:26" x14ac:dyDescent="0.25">
      <c r="Z34533">
        <v>400000</v>
      </c>
    </row>
    <row r="34534" spans="26:26" x14ac:dyDescent="0.25">
      <c r="Z34534">
        <v>400000</v>
      </c>
    </row>
    <row r="34535" spans="26:26" x14ac:dyDescent="0.25">
      <c r="Z34535">
        <v>400000</v>
      </c>
    </row>
    <row r="34536" spans="26:26" x14ac:dyDescent="0.25">
      <c r="Z34536">
        <v>400000</v>
      </c>
    </row>
    <row r="34537" spans="26:26" x14ac:dyDescent="0.25">
      <c r="Z34537">
        <v>400000</v>
      </c>
    </row>
    <row r="34538" spans="26:26" x14ac:dyDescent="0.25">
      <c r="Z34538">
        <v>400000</v>
      </c>
    </row>
    <row r="34539" spans="26:26" x14ac:dyDescent="0.25">
      <c r="Z34539">
        <v>400000</v>
      </c>
    </row>
    <row r="34540" spans="26:26" x14ac:dyDescent="0.25">
      <c r="Z34540">
        <v>400000</v>
      </c>
    </row>
    <row r="34541" spans="26:26" x14ac:dyDescent="0.25">
      <c r="Z34541">
        <v>400000</v>
      </c>
    </row>
    <row r="34542" spans="26:26" x14ac:dyDescent="0.25">
      <c r="Z34542">
        <v>400000</v>
      </c>
    </row>
    <row r="34543" spans="26:26" x14ac:dyDescent="0.25">
      <c r="Z34543">
        <v>400000</v>
      </c>
    </row>
    <row r="34544" spans="26:26" x14ac:dyDescent="0.25">
      <c r="Z34544">
        <v>400000</v>
      </c>
    </row>
    <row r="34545" spans="26:26" x14ac:dyDescent="0.25">
      <c r="Z34545">
        <v>400000</v>
      </c>
    </row>
    <row r="34546" spans="26:26" x14ac:dyDescent="0.25">
      <c r="Z34546">
        <v>400000</v>
      </c>
    </row>
    <row r="34547" spans="26:26" x14ac:dyDescent="0.25">
      <c r="Z34547">
        <v>400000</v>
      </c>
    </row>
    <row r="34548" spans="26:26" x14ac:dyDescent="0.25">
      <c r="Z34548">
        <v>400000</v>
      </c>
    </row>
    <row r="34549" spans="26:26" x14ac:dyDescent="0.25">
      <c r="Z34549">
        <v>400000</v>
      </c>
    </row>
    <row r="34550" spans="26:26" x14ac:dyDescent="0.25">
      <c r="Z34550">
        <v>400000</v>
      </c>
    </row>
    <row r="34551" spans="26:26" x14ac:dyDescent="0.25">
      <c r="Z34551">
        <v>400000</v>
      </c>
    </row>
    <row r="34552" spans="26:26" x14ac:dyDescent="0.25">
      <c r="Z34552">
        <v>400000</v>
      </c>
    </row>
    <row r="34553" spans="26:26" x14ac:dyDescent="0.25">
      <c r="Z34553">
        <v>400000</v>
      </c>
    </row>
    <row r="34554" spans="26:26" x14ac:dyDescent="0.25">
      <c r="Z34554">
        <v>400000</v>
      </c>
    </row>
    <row r="34555" spans="26:26" x14ac:dyDescent="0.25">
      <c r="Z34555">
        <v>400000</v>
      </c>
    </row>
    <row r="34556" spans="26:26" x14ac:dyDescent="0.25">
      <c r="Z34556">
        <v>400000</v>
      </c>
    </row>
    <row r="34557" spans="26:26" x14ac:dyDescent="0.25">
      <c r="Z34557">
        <v>400000</v>
      </c>
    </row>
    <row r="34558" spans="26:26" x14ac:dyDescent="0.25">
      <c r="Z34558">
        <v>400000</v>
      </c>
    </row>
    <row r="34559" spans="26:26" x14ac:dyDescent="0.25">
      <c r="Z34559">
        <v>400000</v>
      </c>
    </row>
    <row r="34560" spans="26:26" x14ac:dyDescent="0.25">
      <c r="Z34560">
        <v>400000</v>
      </c>
    </row>
    <row r="34561" spans="26:26" x14ac:dyDescent="0.25">
      <c r="Z34561">
        <v>400000</v>
      </c>
    </row>
    <row r="34562" spans="26:26" x14ac:dyDescent="0.25">
      <c r="Z34562">
        <v>400000</v>
      </c>
    </row>
    <row r="34563" spans="26:26" x14ac:dyDescent="0.25">
      <c r="Z34563">
        <v>400000</v>
      </c>
    </row>
    <row r="34564" spans="26:26" x14ac:dyDescent="0.25">
      <c r="Z34564">
        <v>400000</v>
      </c>
    </row>
    <row r="34565" spans="26:26" x14ac:dyDescent="0.25">
      <c r="Z34565">
        <v>400000</v>
      </c>
    </row>
    <row r="34566" spans="26:26" x14ac:dyDescent="0.25">
      <c r="Z34566">
        <v>400000</v>
      </c>
    </row>
    <row r="34567" spans="26:26" x14ac:dyDescent="0.25">
      <c r="Z34567">
        <v>400000</v>
      </c>
    </row>
    <row r="34568" spans="26:26" x14ac:dyDescent="0.25">
      <c r="Z34568">
        <v>400000</v>
      </c>
    </row>
    <row r="34569" spans="26:26" x14ac:dyDescent="0.25">
      <c r="Z34569">
        <v>400000</v>
      </c>
    </row>
    <row r="34570" spans="26:26" x14ac:dyDescent="0.25">
      <c r="Z34570">
        <v>400000</v>
      </c>
    </row>
    <row r="34571" spans="26:26" x14ac:dyDescent="0.25">
      <c r="Z34571">
        <v>400000</v>
      </c>
    </row>
    <row r="34572" spans="26:26" x14ac:dyDescent="0.25">
      <c r="Z34572">
        <v>400000</v>
      </c>
    </row>
    <row r="34573" spans="26:26" x14ac:dyDescent="0.25">
      <c r="Z34573">
        <v>400000</v>
      </c>
    </row>
    <row r="34574" spans="26:26" x14ac:dyDescent="0.25">
      <c r="Z34574">
        <v>400000</v>
      </c>
    </row>
    <row r="34575" spans="26:26" x14ac:dyDescent="0.25">
      <c r="Z34575">
        <v>400000</v>
      </c>
    </row>
    <row r="34576" spans="26:26" x14ac:dyDescent="0.25">
      <c r="Z34576">
        <v>400000</v>
      </c>
    </row>
    <row r="34577" spans="26:26" x14ac:dyDescent="0.25">
      <c r="Z34577">
        <v>400000</v>
      </c>
    </row>
    <row r="34578" spans="26:26" x14ac:dyDescent="0.25">
      <c r="Z34578">
        <v>400000</v>
      </c>
    </row>
    <row r="34579" spans="26:26" x14ac:dyDescent="0.25">
      <c r="Z34579">
        <v>400000</v>
      </c>
    </row>
    <row r="34580" spans="26:26" x14ac:dyDescent="0.25">
      <c r="Z34580">
        <v>400000</v>
      </c>
    </row>
    <row r="34581" spans="26:26" x14ac:dyDescent="0.25">
      <c r="Z34581">
        <v>400000</v>
      </c>
    </row>
    <row r="34582" spans="26:26" x14ac:dyDescent="0.25">
      <c r="Z34582">
        <v>400000</v>
      </c>
    </row>
    <row r="34583" spans="26:26" x14ac:dyDescent="0.25">
      <c r="Z34583">
        <v>400000</v>
      </c>
    </row>
    <row r="34584" spans="26:26" x14ac:dyDescent="0.25">
      <c r="Z34584">
        <v>400000</v>
      </c>
    </row>
    <row r="34585" spans="26:26" x14ac:dyDescent="0.25">
      <c r="Z34585">
        <v>400000</v>
      </c>
    </row>
    <row r="34586" spans="26:26" x14ac:dyDescent="0.25">
      <c r="Z34586">
        <v>400000</v>
      </c>
    </row>
    <row r="34587" spans="26:26" x14ac:dyDescent="0.25">
      <c r="Z34587">
        <v>400000</v>
      </c>
    </row>
    <row r="34588" spans="26:26" x14ac:dyDescent="0.25">
      <c r="Z34588">
        <v>400000</v>
      </c>
    </row>
    <row r="34589" spans="26:26" x14ac:dyDescent="0.25">
      <c r="Z34589">
        <v>400000</v>
      </c>
    </row>
    <row r="34590" spans="26:26" x14ac:dyDescent="0.25">
      <c r="Z34590">
        <v>400000</v>
      </c>
    </row>
    <row r="34591" spans="26:26" x14ac:dyDescent="0.25">
      <c r="Z34591">
        <v>400000</v>
      </c>
    </row>
    <row r="34592" spans="26:26" x14ac:dyDescent="0.25">
      <c r="Z34592">
        <v>400000</v>
      </c>
    </row>
    <row r="34593" spans="26:26" x14ac:dyDescent="0.25">
      <c r="Z34593">
        <v>400000</v>
      </c>
    </row>
    <row r="34594" spans="26:26" x14ac:dyDescent="0.25">
      <c r="Z34594">
        <v>400000</v>
      </c>
    </row>
    <row r="34595" spans="26:26" x14ac:dyDescent="0.25">
      <c r="Z34595">
        <v>400000</v>
      </c>
    </row>
    <row r="34596" spans="26:26" x14ac:dyDescent="0.25">
      <c r="Z34596">
        <v>400000</v>
      </c>
    </row>
    <row r="34597" spans="26:26" x14ac:dyDescent="0.25">
      <c r="Z34597">
        <v>400000</v>
      </c>
    </row>
    <row r="34598" spans="26:26" x14ac:dyDescent="0.25">
      <c r="Z34598">
        <v>400000</v>
      </c>
    </row>
    <row r="34599" spans="26:26" x14ac:dyDescent="0.25">
      <c r="Z34599">
        <v>400000</v>
      </c>
    </row>
    <row r="34600" spans="26:26" x14ac:dyDescent="0.25">
      <c r="Z34600">
        <v>400000</v>
      </c>
    </row>
    <row r="34601" spans="26:26" x14ac:dyDescent="0.25">
      <c r="Z34601">
        <v>400000</v>
      </c>
    </row>
    <row r="34602" spans="26:26" x14ac:dyDescent="0.25">
      <c r="Z34602">
        <v>400000</v>
      </c>
    </row>
    <row r="34603" spans="26:26" x14ac:dyDescent="0.25">
      <c r="Z34603">
        <v>400000</v>
      </c>
    </row>
    <row r="34604" spans="26:26" x14ac:dyDescent="0.25">
      <c r="Z34604">
        <v>400000</v>
      </c>
    </row>
    <row r="34605" spans="26:26" x14ac:dyDescent="0.25">
      <c r="Z34605">
        <v>400000</v>
      </c>
    </row>
    <row r="34606" spans="26:26" x14ac:dyDescent="0.25">
      <c r="Z34606">
        <v>400000</v>
      </c>
    </row>
    <row r="34607" spans="26:26" x14ac:dyDescent="0.25">
      <c r="Z34607">
        <v>400000</v>
      </c>
    </row>
    <row r="34608" spans="26:26" x14ac:dyDescent="0.25">
      <c r="Z34608">
        <v>400000</v>
      </c>
    </row>
    <row r="34609" spans="26:26" x14ac:dyDescent="0.25">
      <c r="Z34609">
        <v>400000</v>
      </c>
    </row>
    <row r="34610" spans="26:26" x14ac:dyDescent="0.25">
      <c r="Z34610">
        <v>400000</v>
      </c>
    </row>
    <row r="34611" spans="26:26" x14ac:dyDescent="0.25">
      <c r="Z34611">
        <v>400000</v>
      </c>
    </row>
    <row r="34612" spans="26:26" x14ac:dyDescent="0.25">
      <c r="Z34612">
        <v>400000</v>
      </c>
    </row>
    <row r="34613" spans="26:26" x14ac:dyDescent="0.25">
      <c r="Z34613">
        <v>400000</v>
      </c>
    </row>
    <row r="34614" spans="26:26" x14ac:dyDescent="0.25">
      <c r="Z34614">
        <v>400000</v>
      </c>
    </row>
    <row r="34615" spans="26:26" x14ac:dyDescent="0.25">
      <c r="Z34615">
        <v>400000</v>
      </c>
    </row>
    <row r="34616" spans="26:26" x14ac:dyDescent="0.25">
      <c r="Z34616">
        <v>400000</v>
      </c>
    </row>
    <row r="34617" spans="26:26" x14ac:dyDescent="0.25">
      <c r="Z34617">
        <v>400000</v>
      </c>
    </row>
    <row r="34618" spans="26:26" x14ac:dyDescent="0.25">
      <c r="Z34618">
        <v>400000</v>
      </c>
    </row>
    <row r="34619" spans="26:26" x14ac:dyDescent="0.25">
      <c r="Z34619">
        <v>400000</v>
      </c>
    </row>
    <row r="34620" spans="26:26" x14ac:dyDescent="0.25">
      <c r="Z34620">
        <v>400000</v>
      </c>
    </row>
    <row r="34621" spans="26:26" x14ac:dyDescent="0.25">
      <c r="Z34621">
        <v>400000</v>
      </c>
    </row>
    <row r="34622" spans="26:26" x14ac:dyDescent="0.25">
      <c r="Z34622">
        <v>400000</v>
      </c>
    </row>
    <row r="34623" spans="26:26" x14ac:dyDescent="0.25">
      <c r="Z34623">
        <v>400000</v>
      </c>
    </row>
    <row r="34624" spans="26:26" x14ac:dyDescent="0.25">
      <c r="Z34624">
        <v>400000</v>
      </c>
    </row>
    <row r="34625" spans="26:26" x14ac:dyDescent="0.25">
      <c r="Z34625">
        <v>400000</v>
      </c>
    </row>
    <row r="34626" spans="26:26" x14ac:dyDescent="0.25">
      <c r="Z34626">
        <v>400000</v>
      </c>
    </row>
    <row r="34627" spans="26:26" x14ac:dyDescent="0.25">
      <c r="Z34627">
        <v>400000</v>
      </c>
    </row>
    <row r="34628" spans="26:26" x14ac:dyDescent="0.25">
      <c r="Z34628">
        <v>400000</v>
      </c>
    </row>
    <row r="34629" spans="26:26" x14ac:dyDescent="0.25">
      <c r="Z34629">
        <v>400000</v>
      </c>
    </row>
    <row r="34630" spans="26:26" x14ac:dyDescent="0.25">
      <c r="Z34630">
        <v>400000</v>
      </c>
    </row>
    <row r="34631" spans="26:26" x14ac:dyDescent="0.25">
      <c r="Z34631">
        <v>400000</v>
      </c>
    </row>
    <row r="34632" spans="26:26" x14ac:dyDescent="0.25">
      <c r="Z34632">
        <v>400000</v>
      </c>
    </row>
    <row r="34633" spans="26:26" x14ac:dyDescent="0.25">
      <c r="Z34633">
        <v>400000</v>
      </c>
    </row>
    <row r="34634" spans="26:26" x14ac:dyDescent="0.25">
      <c r="Z34634">
        <v>400000</v>
      </c>
    </row>
    <row r="34635" spans="26:26" x14ac:dyDescent="0.25">
      <c r="Z34635">
        <v>400000</v>
      </c>
    </row>
    <row r="34636" spans="26:26" x14ac:dyDescent="0.25">
      <c r="Z34636">
        <v>400000</v>
      </c>
    </row>
    <row r="34637" spans="26:26" x14ac:dyDescent="0.25">
      <c r="Z34637">
        <v>400000</v>
      </c>
    </row>
    <row r="34638" spans="26:26" x14ac:dyDescent="0.25">
      <c r="Z34638">
        <v>400000</v>
      </c>
    </row>
    <row r="34639" spans="26:26" x14ac:dyDescent="0.25">
      <c r="Z34639">
        <v>400000</v>
      </c>
    </row>
    <row r="34640" spans="26:26" x14ac:dyDescent="0.25">
      <c r="Z34640">
        <v>400000</v>
      </c>
    </row>
    <row r="34641" spans="26:26" x14ac:dyDescent="0.25">
      <c r="Z34641">
        <v>400000</v>
      </c>
    </row>
    <row r="34642" spans="26:26" x14ac:dyDescent="0.25">
      <c r="Z34642">
        <v>400000</v>
      </c>
    </row>
    <row r="34643" spans="26:26" x14ac:dyDescent="0.25">
      <c r="Z34643">
        <v>400000</v>
      </c>
    </row>
    <row r="34644" spans="26:26" x14ac:dyDescent="0.25">
      <c r="Z34644">
        <v>400000</v>
      </c>
    </row>
    <row r="34645" spans="26:26" x14ac:dyDescent="0.25">
      <c r="Z34645">
        <v>400000</v>
      </c>
    </row>
    <row r="34646" spans="26:26" x14ac:dyDescent="0.25">
      <c r="Z34646">
        <v>400000</v>
      </c>
    </row>
    <row r="34647" spans="26:26" x14ac:dyDescent="0.25">
      <c r="Z34647">
        <v>400000</v>
      </c>
    </row>
    <row r="34648" spans="26:26" x14ac:dyDescent="0.25">
      <c r="Z34648">
        <v>400000</v>
      </c>
    </row>
    <row r="34649" spans="26:26" x14ac:dyDescent="0.25">
      <c r="Z34649">
        <v>400000</v>
      </c>
    </row>
    <row r="34650" spans="26:26" x14ac:dyDescent="0.25">
      <c r="Z34650">
        <v>400000</v>
      </c>
    </row>
    <row r="34651" spans="26:26" x14ac:dyDescent="0.25">
      <c r="Z34651">
        <v>400000</v>
      </c>
    </row>
    <row r="34652" spans="26:26" x14ac:dyDescent="0.25">
      <c r="Z34652">
        <v>400000</v>
      </c>
    </row>
    <row r="34653" spans="26:26" x14ac:dyDescent="0.25">
      <c r="Z34653">
        <v>400000</v>
      </c>
    </row>
    <row r="34654" spans="26:26" x14ac:dyDescent="0.25">
      <c r="Z34654">
        <v>400000</v>
      </c>
    </row>
    <row r="34655" spans="26:26" x14ac:dyDescent="0.25">
      <c r="Z34655">
        <v>400000</v>
      </c>
    </row>
    <row r="34656" spans="26:26" x14ac:dyDescent="0.25">
      <c r="Z34656">
        <v>400000</v>
      </c>
    </row>
    <row r="34657" spans="26:26" x14ac:dyDescent="0.25">
      <c r="Z34657">
        <v>400000</v>
      </c>
    </row>
    <row r="34658" spans="26:26" x14ac:dyDescent="0.25">
      <c r="Z34658">
        <v>400000</v>
      </c>
    </row>
    <row r="34659" spans="26:26" x14ac:dyDescent="0.25">
      <c r="Z34659">
        <v>400000</v>
      </c>
    </row>
    <row r="34660" spans="26:26" x14ac:dyDescent="0.25">
      <c r="Z34660">
        <v>400000</v>
      </c>
    </row>
    <row r="34661" spans="26:26" x14ac:dyDescent="0.25">
      <c r="Z34661">
        <v>400000</v>
      </c>
    </row>
    <row r="34662" spans="26:26" x14ac:dyDescent="0.25">
      <c r="Z34662">
        <v>400000</v>
      </c>
    </row>
    <row r="34663" spans="26:26" x14ac:dyDescent="0.25">
      <c r="Z34663">
        <v>400000</v>
      </c>
    </row>
    <row r="34664" spans="26:26" x14ac:dyDescent="0.25">
      <c r="Z34664">
        <v>400000</v>
      </c>
    </row>
    <row r="34665" spans="26:26" x14ac:dyDescent="0.25">
      <c r="Z34665">
        <v>400000</v>
      </c>
    </row>
    <row r="34666" spans="26:26" x14ac:dyDescent="0.25">
      <c r="Z34666">
        <v>400000</v>
      </c>
    </row>
    <row r="34667" spans="26:26" x14ac:dyDescent="0.25">
      <c r="Z34667">
        <v>400000</v>
      </c>
    </row>
    <row r="34668" spans="26:26" x14ac:dyDescent="0.25">
      <c r="Z34668">
        <v>400000</v>
      </c>
    </row>
    <row r="34669" spans="26:26" x14ac:dyDescent="0.25">
      <c r="Z34669">
        <v>400000</v>
      </c>
    </row>
    <row r="34670" spans="26:26" x14ac:dyDescent="0.25">
      <c r="Z34670">
        <v>400000</v>
      </c>
    </row>
    <row r="34671" spans="26:26" x14ac:dyDescent="0.25">
      <c r="Z34671">
        <v>400000</v>
      </c>
    </row>
    <row r="34672" spans="26:26" x14ac:dyDescent="0.25">
      <c r="Z34672">
        <v>400000</v>
      </c>
    </row>
    <row r="34673" spans="26:26" x14ac:dyDescent="0.25">
      <c r="Z34673">
        <v>400000</v>
      </c>
    </row>
    <row r="34674" spans="26:26" x14ac:dyDescent="0.25">
      <c r="Z34674">
        <v>400000</v>
      </c>
    </row>
    <row r="34675" spans="26:26" x14ac:dyDescent="0.25">
      <c r="Z34675">
        <v>400000</v>
      </c>
    </row>
    <row r="34676" spans="26:26" x14ac:dyDescent="0.25">
      <c r="Z34676">
        <v>400000</v>
      </c>
    </row>
    <row r="34677" spans="26:26" x14ac:dyDescent="0.25">
      <c r="Z34677">
        <v>400000</v>
      </c>
    </row>
    <row r="34678" spans="26:26" x14ac:dyDescent="0.25">
      <c r="Z34678">
        <v>400000</v>
      </c>
    </row>
    <row r="34679" spans="26:26" x14ac:dyDescent="0.25">
      <c r="Z34679">
        <v>400000</v>
      </c>
    </row>
    <row r="34680" spans="26:26" x14ac:dyDescent="0.25">
      <c r="Z34680">
        <v>400000</v>
      </c>
    </row>
    <row r="34681" spans="26:26" x14ac:dyDescent="0.25">
      <c r="Z34681">
        <v>400000</v>
      </c>
    </row>
    <row r="34682" spans="26:26" x14ac:dyDescent="0.25">
      <c r="Z34682">
        <v>400000</v>
      </c>
    </row>
    <row r="34683" spans="26:26" x14ac:dyDescent="0.25">
      <c r="Z34683">
        <v>400000</v>
      </c>
    </row>
    <row r="34684" spans="26:26" x14ac:dyDescent="0.25">
      <c r="Z34684">
        <v>400000</v>
      </c>
    </row>
    <row r="34685" spans="26:26" x14ac:dyDescent="0.25">
      <c r="Z34685">
        <v>400000</v>
      </c>
    </row>
    <row r="34686" spans="26:26" x14ac:dyDescent="0.25">
      <c r="Z34686">
        <v>400000</v>
      </c>
    </row>
    <row r="34687" spans="26:26" x14ac:dyDescent="0.25">
      <c r="Z34687">
        <v>400000</v>
      </c>
    </row>
    <row r="34688" spans="26:26" x14ac:dyDescent="0.25">
      <c r="Z34688">
        <v>400000</v>
      </c>
    </row>
    <row r="34689" spans="26:26" x14ac:dyDescent="0.25">
      <c r="Z34689">
        <v>400000</v>
      </c>
    </row>
    <row r="34690" spans="26:26" x14ac:dyDescent="0.25">
      <c r="Z34690">
        <v>400000</v>
      </c>
    </row>
    <row r="34691" spans="26:26" x14ac:dyDescent="0.25">
      <c r="Z34691">
        <v>400000</v>
      </c>
    </row>
    <row r="34692" spans="26:26" x14ac:dyDescent="0.25">
      <c r="Z34692">
        <v>400000</v>
      </c>
    </row>
    <row r="34693" spans="26:26" x14ac:dyDescent="0.25">
      <c r="Z34693">
        <v>400000</v>
      </c>
    </row>
    <row r="34694" spans="26:26" x14ac:dyDescent="0.25">
      <c r="Z34694">
        <v>400000</v>
      </c>
    </row>
    <row r="34695" spans="26:26" x14ac:dyDescent="0.25">
      <c r="Z34695">
        <v>400000</v>
      </c>
    </row>
    <row r="34696" spans="26:26" x14ac:dyDescent="0.25">
      <c r="Z34696">
        <v>400000</v>
      </c>
    </row>
    <row r="34697" spans="26:26" x14ac:dyDescent="0.25">
      <c r="Z34697">
        <v>400000</v>
      </c>
    </row>
    <row r="34698" spans="26:26" x14ac:dyDescent="0.25">
      <c r="Z34698">
        <v>400000</v>
      </c>
    </row>
    <row r="34699" spans="26:26" x14ac:dyDescent="0.25">
      <c r="Z34699">
        <v>400000</v>
      </c>
    </row>
    <row r="34700" spans="26:26" x14ac:dyDescent="0.25">
      <c r="Z34700">
        <v>400000</v>
      </c>
    </row>
    <row r="34701" spans="26:26" x14ac:dyDescent="0.25">
      <c r="Z34701">
        <v>400000</v>
      </c>
    </row>
    <row r="34702" spans="26:26" x14ac:dyDescent="0.25">
      <c r="Z34702">
        <v>400000</v>
      </c>
    </row>
    <row r="34703" spans="26:26" x14ac:dyDescent="0.25">
      <c r="Z34703">
        <v>400000</v>
      </c>
    </row>
    <row r="34704" spans="26:26" x14ac:dyDescent="0.25">
      <c r="Z34704">
        <v>400000</v>
      </c>
    </row>
    <row r="34705" spans="26:26" x14ac:dyDescent="0.25">
      <c r="Z34705">
        <v>400000</v>
      </c>
    </row>
    <row r="34706" spans="26:26" x14ac:dyDescent="0.25">
      <c r="Z34706">
        <v>400000</v>
      </c>
    </row>
    <row r="34707" spans="26:26" x14ac:dyDescent="0.25">
      <c r="Z34707">
        <v>400000</v>
      </c>
    </row>
    <row r="34708" spans="26:26" x14ac:dyDescent="0.25">
      <c r="Z34708">
        <v>400000</v>
      </c>
    </row>
    <row r="34709" spans="26:26" x14ac:dyDescent="0.25">
      <c r="Z34709">
        <v>400000</v>
      </c>
    </row>
    <row r="34710" spans="26:26" x14ac:dyDescent="0.25">
      <c r="Z34710">
        <v>400000</v>
      </c>
    </row>
    <row r="34711" spans="26:26" x14ac:dyDescent="0.25">
      <c r="Z34711">
        <v>400000</v>
      </c>
    </row>
    <row r="34712" spans="26:26" x14ac:dyDescent="0.25">
      <c r="Z34712">
        <v>400000</v>
      </c>
    </row>
    <row r="34713" spans="26:26" x14ac:dyDescent="0.25">
      <c r="Z34713">
        <v>400000</v>
      </c>
    </row>
    <row r="34714" spans="26:26" x14ac:dyDescent="0.25">
      <c r="Z34714">
        <v>400000</v>
      </c>
    </row>
    <row r="34715" spans="26:26" x14ac:dyDescent="0.25">
      <c r="Z34715">
        <v>400000</v>
      </c>
    </row>
    <row r="34716" spans="26:26" x14ac:dyDescent="0.25">
      <c r="Z34716">
        <v>400000</v>
      </c>
    </row>
    <row r="34717" spans="26:26" x14ac:dyDescent="0.25">
      <c r="Z34717">
        <v>400000</v>
      </c>
    </row>
    <row r="34718" spans="26:26" x14ac:dyDescent="0.25">
      <c r="Z34718">
        <v>400000</v>
      </c>
    </row>
    <row r="34719" spans="26:26" x14ac:dyDescent="0.25">
      <c r="Z34719">
        <v>400000</v>
      </c>
    </row>
    <row r="34720" spans="26:26" x14ac:dyDescent="0.25">
      <c r="Z34720">
        <v>400000</v>
      </c>
    </row>
    <row r="34721" spans="26:26" x14ac:dyDescent="0.25">
      <c r="Z34721">
        <v>400000</v>
      </c>
    </row>
    <row r="34722" spans="26:26" x14ac:dyDescent="0.25">
      <c r="Z34722">
        <v>400000</v>
      </c>
    </row>
    <row r="34723" spans="26:26" x14ac:dyDescent="0.25">
      <c r="Z34723">
        <v>400000</v>
      </c>
    </row>
    <row r="34724" spans="26:26" x14ac:dyDescent="0.25">
      <c r="Z34724">
        <v>400000</v>
      </c>
    </row>
    <row r="34725" spans="26:26" x14ac:dyDescent="0.25">
      <c r="Z34725">
        <v>400000</v>
      </c>
    </row>
    <row r="34726" spans="26:26" x14ac:dyDescent="0.25">
      <c r="Z34726">
        <v>400000</v>
      </c>
    </row>
    <row r="34727" spans="26:26" x14ac:dyDescent="0.25">
      <c r="Z34727">
        <v>400000</v>
      </c>
    </row>
    <row r="34728" spans="26:26" x14ac:dyDescent="0.25">
      <c r="Z34728">
        <v>400000</v>
      </c>
    </row>
    <row r="34729" spans="26:26" x14ac:dyDescent="0.25">
      <c r="Z34729">
        <v>400000</v>
      </c>
    </row>
    <row r="34730" spans="26:26" x14ac:dyDescent="0.25">
      <c r="Z34730">
        <v>400000</v>
      </c>
    </row>
    <row r="34731" spans="26:26" x14ac:dyDescent="0.25">
      <c r="Z34731">
        <v>400000</v>
      </c>
    </row>
    <row r="34732" spans="26:26" x14ac:dyDescent="0.25">
      <c r="Z34732">
        <v>400000</v>
      </c>
    </row>
    <row r="34733" spans="26:26" x14ac:dyDescent="0.25">
      <c r="Z34733">
        <v>400000</v>
      </c>
    </row>
    <row r="34734" spans="26:26" x14ac:dyDescent="0.25">
      <c r="Z34734">
        <v>400000</v>
      </c>
    </row>
    <row r="34735" spans="26:26" x14ac:dyDescent="0.25">
      <c r="Z34735">
        <v>400000</v>
      </c>
    </row>
    <row r="34736" spans="26:26" x14ac:dyDescent="0.25">
      <c r="Z34736">
        <v>400000</v>
      </c>
    </row>
    <row r="34737" spans="26:26" x14ac:dyDescent="0.25">
      <c r="Z34737">
        <v>400000</v>
      </c>
    </row>
    <row r="34738" spans="26:26" x14ac:dyDescent="0.25">
      <c r="Z34738">
        <v>400000</v>
      </c>
    </row>
    <row r="34739" spans="26:26" x14ac:dyDescent="0.25">
      <c r="Z34739">
        <v>400000</v>
      </c>
    </row>
    <row r="34740" spans="26:26" x14ac:dyDescent="0.25">
      <c r="Z34740">
        <v>400000</v>
      </c>
    </row>
    <row r="34741" spans="26:26" x14ac:dyDescent="0.25">
      <c r="Z34741">
        <v>400000</v>
      </c>
    </row>
    <row r="34742" spans="26:26" x14ac:dyDescent="0.25">
      <c r="Z34742">
        <v>400000</v>
      </c>
    </row>
    <row r="34743" spans="26:26" x14ac:dyDescent="0.25">
      <c r="Z34743">
        <v>400000</v>
      </c>
    </row>
    <row r="34744" spans="26:26" x14ac:dyDescent="0.25">
      <c r="Z34744">
        <v>400000</v>
      </c>
    </row>
    <row r="34745" spans="26:26" x14ac:dyDescent="0.25">
      <c r="Z34745">
        <v>400000</v>
      </c>
    </row>
    <row r="34746" spans="26:26" x14ac:dyDescent="0.25">
      <c r="Z34746">
        <v>400000</v>
      </c>
    </row>
    <row r="34747" spans="26:26" x14ac:dyDescent="0.25">
      <c r="Z34747">
        <v>400000</v>
      </c>
    </row>
    <row r="34748" spans="26:26" x14ac:dyDescent="0.25">
      <c r="Z34748">
        <v>400000</v>
      </c>
    </row>
    <row r="34749" spans="26:26" x14ac:dyDescent="0.25">
      <c r="Z34749">
        <v>400000</v>
      </c>
    </row>
    <row r="34750" spans="26:26" x14ac:dyDescent="0.25">
      <c r="Z34750">
        <v>400000</v>
      </c>
    </row>
    <row r="34751" spans="26:26" x14ac:dyDescent="0.25">
      <c r="Z34751">
        <v>400000</v>
      </c>
    </row>
    <row r="34752" spans="26:26" x14ac:dyDescent="0.25">
      <c r="Z34752">
        <v>400000</v>
      </c>
    </row>
    <row r="34753" spans="26:26" x14ac:dyDescent="0.25">
      <c r="Z34753">
        <v>400000</v>
      </c>
    </row>
    <row r="34754" spans="26:26" x14ac:dyDescent="0.25">
      <c r="Z34754">
        <v>400000</v>
      </c>
    </row>
    <row r="34755" spans="26:26" x14ac:dyDescent="0.25">
      <c r="Z34755">
        <v>400000</v>
      </c>
    </row>
    <row r="34756" spans="26:26" x14ac:dyDescent="0.25">
      <c r="Z34756">
        <v>400000</v>
      </c>
    </row>
    <row r="34757" spans="26:26" x14ac:dyDescent="0.25">
      <c r="Z34757">
        <v>400000</v>
      </c>
    </row>
    <row r="34758" spans="26:26" x14ac:dyDescent="0.25">
      <c r="Z34758">
        <v>400000</v>
      </c>
    </row>
    <row r="34759" spans="26:26" x14ac:dyDescent="0.25">
      <c r="Z34759">
        <v>400000</v>
      </c>
    </row>
    <row r="34760" spans="26:26" x14ac:dyDescent="0.25">
      <c r="Z34760">
        <v>400000</v>
      </c>
    </row>
    <row r="34761" spans="26:26" x14ac:dyDescent="0.25">
      <c r="Z34761">
        <v>400000</v>
      </c>
    </row>
    <row r="34762" spans="26:26" x14ac:dyDescent="0.25">
      <c r="Z34762">
        <v>400000</v>
      </c>
    </row>
    <row r="34763" spans="26:26" x14ac:dyDescent="0.25">
      <c r="Z34763">
        <v>400000</v>
      </c>
    </row>
    <row r="34764" spans="26:26" x14ac:dyDescent="0.25">
      <c r="Z34764">
        <v>400000</v>
      </c>
    </row>
    <row r="34765" spans="26:26" x14ac:dyDescent="0.25">
      <c r="Z34765">
        <v>400000</v>
      </c>
    </row>
    <row r="34766" spans="26:26" x14ac:dyDescent="0.25">
      <c r="Z34766">
        <v>400000</v>
      </c>
    </row>
    <row r="34767" spans="26:26" x14ac:dyDescent="0.25">
      <c r="Z34767">
        <v>400000</v>
      </c>
    </row>
    <row r="34768" spans="26:26" x14ac:dyDescent="0.25">
      <c r="Z34768">
        <v>400000</v>
      </c>
    </row>
    <row r="34769" spans="26:26" x14ac:dyDescent="0.25">
      <c r="Z34769">
        <v>400000</v>
      </c>
    </row>
    <row r="34770" spans="26:26" x14ac:dyDescent="0.25">
      <c r="Z34770">
        <v>400000</v>
      </c>
    </row>
    <row r="34771" spans="26:26" x14ac:dyDescent="0.25">
      <c r="Z34771">
        <v>400000</v>
      </c>
    </row>
    <row r="34772" spans="26:26" x14ac:dyDescent="0.25">
      <c r="Z34772">
        <v>400000</v>
      </c>
    </row>
    <row r="34773" spans="26:26" x14ac:dyDescent="0.25">
      <c r="Z34773">
        <v>400000</v>
      </c>
    </row>
    <row r="34774" spans="26:26" x14ac:dyDescent="0.25">
      <c r="Z34774">
        <v>400000</v>
      </c>
    </row>
    <row r="34775" spans="26:26" x14ac:dyDescent="0.25">
      <c r="Z34775">
        <v>400000</v>
      </c>
    </row>
    <row r="34776" spans="26:26" x14ac:dyDescent="0.25">
      <c r="Z34776">
        <v>400000</v>
      </c>
    </row>
    <row r="34777" spans="26:26" x14ac:dyDescent="0.25">
      <c r="Z34777">
        <v>400000</v>
      </c>
    </row>
    <row r="34778" spans="26:26" x14ac:dyDescent="0.25">
      <c r="Z34778">
        <v>400000</v>
      </c>
    </row>
    <row r="34779" spans="26:26" x14ac:dyDescent="0.25">
      <c r="Z34779">
        <v>400000</v>
      </c>
    </row>
    <row r="34780" spans="26:26" x14ac:dyDescent="0.25">
      <c r="Z34780">
        <v>400000</v>
      </c>
    </row>
    <row r="34781" spans="26:26" x14ac:dyDescent="0.25">
      <c r="Z34781">
        <v>400000</v>
      </c>
    </row>
    <row r="34782" spans="26:26" x14ac:dyDescent="0.25">
      <c r="Z34782">
        <v>400000</v>
      </c>
    </row>
    <row r="34783" spans="26:26" x14ac:dyDescent="0.25">
      <c r="Z34783">
        <v>400000</v>
      </c>
    </row>
    <row r="34784" spans="26:26" x14ac:dyDescent="0.25">
      <c r="Z34784">
        <v>400000</v>
      </c>
    </row>
    <row r="34785" spans="26:26" x14ac:dyDescent="0.25">
      <c r="Z34785">
        <v>400000</v>
      </c>
    </row>
    <row r="34786" spans="26:26" x14ac:dyDescent="0.25">
      <c r="Z34786">
        <v>400000</v>
      </c>
    </row>
    <row r="34787" spans="26:26" x14ac:dyDescent="0.25">
      <c r="Z34787">
        <v>400000</v>
      </c>
    </row>
    <row r="34788" spans="26:26" x14ac:dyDescent="0.25">
      <c r="Z34788">
        <v>400000</v>
      </c>
    </row>
    <row r="34789" spans="26:26" x14ac:dyDescent="0.25">
      <c r="Z34789">
        <v>400000</v>
      </c>
    </row>
    <row r="34790" spans="26:26" x14ac:dyDescent="0.25">
      <c r="Z34790">
        <v>400000</v>
      </c>
    </row>
    <row r="34791" spans="26:26" x14ac:dyDescent="0.25">
      <c r="Z34791">
        <v>400000</v>
      </c>
    </row>
    <row r="34792" spans="26:26" x14ac:dyDescent="0.25">
      <c r="Z34792">
        <v>400000</v>
      </c>
    </row>
    <row r="34793" spans="26:26" x14ac:dyDescent="0.25">
      <c r="Z34793">
        <v>400000</v>
      </c>
    </row>
    <row r="34794" spans="26:26" x14ac:dyDescent="0.25">
      <c r="Z34794">
        <v>400000</v>
      </c>
    </row>
    <row r="34795" spans="26:26" x14ac:dyDescent="0.25">
      <c r="Z34795">
        <v>400000</v>
      </c>
    </row>
    <row r="34796" spans="26:26" x14ac:dyDescent="0.25">
      <c r="Z34796">
        <v>400000</v>
      </c>
    </row>
    <row r="34797" spans="26:26" x14ac:dyDescent="0.25">
      <c r="Z34797">
        <v>400000</v>
      </c>
    </row>
    <row r="34798" spans="26:26" x14ac:dyDescent="0.25">
      <c r="Z34798">
        <v>400000</v>
      </c>
    </row>
    <row r="34799" spans="26:26" x14ac:dyDescent="0.25">
      <c r="Z34799">
        <v>400000</v>
      </c>
    </row>
    <row r="34800" spans="26:26" x14ac:dyDescent="0.25">
      <c r="Z34800">
        <v>400000</v>
      </c>
    </row>
    <row r="34801" spans="26:26" x14ac:dyDescent="0.25">
      <c r="Z34801">
        <v>400000</v>
      </c>
    </row>
    <row r="34802" spans="26:26" x14ac:dyDescent="0.25">
      <c r="Z34802">
        <v>400000</v>
      </c>
    </row>
    <row r="34803" spans="26:26" x14ac:dyDescent="0.25">
      <c r="Z34803">
        <v>400000</v>
      </c>
    </row>
    <row r="34804" spans="26:26" x14ac:dyDescent="0.25">
      <c r="Z34804">
        <v>400000</v>
      </c>
    </row>
    <row r="34805" spans="26:26" x14ac:dyDescent="0.25">
      <c r="Z34805">
        <v>400000</v>
      </c>
    </row>
    <row r="34806" spans="26:26" x14ac:dyDescent="0.25">
      <c r="Z34806">
        <v>400000</v>
      </c>
    </row>
    <row r="34807" spans="26:26" x14ac:dyDescent="0.25">
      <c r="Z34807">
        <v>400000</v>
      </c>
    </row>
    <row r="34808" spans="26:26" x14ac:dyDescent="0.25">
      <c r="Z34808">
        <v>400000</v>
      </c>
    </row>
    <row r="34809" spans="26:26" x14ac:dyDescent="0.25">
      <c r="Z34809">
        <v>400000</v>
      </c>
    </row>
    <row r="34810" spans="26:26" x14ac:dyDescent="0.25">
      <c r="Z34810">
        <v>400000</v>
      </c>
    </row>
    <row r="34811" spans="26:26" x14ac:dyDescent="0.25">
      <c r="Z34811">
        <v>400000</v>
      </c>
    </row>
    <row r="34812" spans="26:26" x14ac:dyDescent="0.25">
      <c r="Z34812">
        <v>400000</v>
      </c>
    </row>
    <row r="34813" spans="26:26" x14ac:dyDescent="0.25">
      <c r="Z34813">
        <v>400000</v>
      </c>
    </row>
    <row r="34814" spans="26:26" x14ac:dyDescent="0.25">
      <c r="Z34814">
        <v>400000</v>
      </c>
    </row>
    <row r="34815" spans="26:26" x14ac:dyDescent="0.25">
      <c r="Z34815">
        <v>400000</v>
      </c>
    </row>
    <row r="34816" spans="26:26" x14ac:dyDescent="0.25">
      <c r="Z34816">
        <v>400000</v>
      </c>
    </row>
    <row r="34817" spans="26:26" x14ac:dyDescent="0.25">
      <c r="Z34817">
        <v>400000</v>
      </c>
    </row>
    <row r="34818" spans="26:26" x14ac:dyDescent="0.25">
      <c r="Z34818">
        <v>400000</v>
      </c>
    </row>
    <row r="34819" spans="26:26" x14ac:dyDescent="0.25">
      <c r="Z34819">
        <v>400000</v>
      </c>
    </row>
    <row r="34820" spans="26:26" x14ac:dyDescent="0.25">
      <c r="Z34820">
        <v>400000</v>
      </c>
    </row>
    <row r="34821" spans="26:26" x14ac:dyDescent="0.25">
      <c r="Z34821">
        <v>400000</v>
      </c>
    </row>
    <row r="34822" spans="26:26" x14ac:dyDescent="0.25">
      <c r="Z34822">
        <v>400000</v>
      </c>
    </row>
    <row r="34823" spans="26:26" x14ac:dyDescent="0.25">
      <c r="Z34823">
        <v>400000</v>
      </c>
    </row>
    <row r="34824" spans="26:26" x14ac:dyDescent="0.25">
      <c r="Z34824">
        <v>400000</v>
      </c>
    </row>
    <row r="34825" spans="26:26" x14ac:dyDescent="0.25">
      <c r="Z34825">
        <v>400000</v>
      </c>
    </row>
    <row r="34826" spans="26:26" x14ac:dyDescent="0.25">
      <c r="Z34826">
        <v>400000</v>
      </c>
    </row>
    <row r="34827" spans="26:26" x14ac:dyDescent="0.25">
      <c r="Z34827">
        <v>400000</v>
      </c>
    </row>
    <row r="34828" spans="26:26" x14ac:dyDescent="0.25">
      <c r="Z34828">
        <v>400000</v>
      </c>
    </row>
    <row r="34829" spans="26:26" x14ac:dyDescent="0.25">
      <c r="Z34829">
        <v>400000</v>
      </c>
    </row>
    <row r="34830" spans="26:26" x14ac:dyDescent="0.25">
      <c r="Z34830">
        <v>400000</v>
      </c>
    </row>
    <row r="34831" spans="26:26" x14ac:dyDescent="0.25">
      <c r="Z34831">
        <v>400000</v>
      </c>
    </row>
    <row r="34832" spans="26:26" x14ac:dyDescent="0.25">
      <c r="Z34832">
        <v>400000</v>
      </c>
    </row>
    <row r="34833" spans="26:26" x14ac:dyDescent="0.25">
      <c r="Z34833">
        <v>400000</v>
      </c>
    </row>
    <row r="34834" spans="26:26" x14ac:dyDescent="0.25">
      <c r="Z34834">
        <v>400000</v>
      </c>
    </row>
    <row r="34835" spans="26:26" x14ac:dyDescent="0.25">
      <c r="Z34835">
        <v>400000</v>
      </c>
    </row>
    <row r="34836" spans="26:26" x14ac:dyDescent="0.25">
      <c r="Z34836">
        <v>400000</v>
      </c>
    </row>
    <row r="34837" spans="26:26" x14ac:dyDescent="0.25">
      <c r="Z34837">
        <v>400000</v>
      </c>
    </row>
    <row r="34838" spans="26:26" x14ac:dyDescent="0.25">
      <c r="Z34838">
        <v>400000</v>
      </c>
    </row>
    <row r="34839" spans="26:26" x14ac:dyDescent="0.25">
      <c r="Z34839">
        <v>400000</v>
      </c>
    </row>
    <row r="34840" spans="26:26" x14ac:dyDescent="0.25">
      <c r="Z34840">
        <v>400000</v>
      </c>
    </row>
    <row r="34841" spans="26:26" x14ac:dyDescent="0.25">
      <c r="Z34841">
        <v>400000</v>
      </c>
    </row>
    <row r="34842" spans="26:26" x14ac:dyDescent="0.25">
      <c r="Z34842">
        <v>400000</v>
      </c>
    </row>
    <row r="34843" spans="26:26" x14ac:dyDescent="0.25">
      <c r="Z34843">
        <v>400000</v>
      </c>
    </row>
    <row r="34844" spans="26:26" x14ac:dyDescent="0.25">
      <c r="Z34844">
        <v>400000</v>
      </c>
    </row>
    <row r="34845" spans="26:26" x14ac:dyDescent="0.25">
      <c r="Z34845">
        <v>400000</v>
      </c>
    </row>
    <row r="34846" spans="26:26" x14ac:dyDescent="0.25">
      <c r="Z34846">
        <v>400000</v>
      </c>
    </row>
    <row r="34847" spans="26:26" x14ac:dyDescent="0.25">
      <c r="Z34847">
        <v>400000</v>
      </c>
    </row>
    <row r="34848" spans="26:26" x14ac:dyDescent="0.25">
      <c r="Z34848">
        <v>400000</v>
      </c>
    </row>
    <row r="34849" spans="26:26" x14ac:dyDescent="0.25">
      <c r="Z34849">
        <v>400000</v>
      </c>
    </row>
    <row r="34850" spans="26:26" x14ac:dyDescent="0.25">
      <c r="Z34850">
        <v>400000</v>
      </c>
    </row>
    <row r="34851" spans="26:26" x14ac:dyDescent="0.25">
      <c r="Z34851">
        <v>400000</v>
      </c>
    </row>
    <row r="34852" spans="26:26" x14ac:dyDescent="0.25">
      <c r="Z34852">
        <v>400000</v>
      </c>
    </row>
    <row r="34853" spans="26:26" x14ac:dyDescent="0.25">
      <c r="Z34853">
        <v>400000</v>
      </c>
    </row>
    <row r="34854" spans="26:26" x14ac:dyDescent="0.25">
      <c r="Z34854">
        <v>400000</v>
      </c>
    </row>
    <row r="34855" spans="26:26" x14ac:dyDescent="0.25">
      <c r="Z34855">
        <v>400000</v>
      </c>
    </row>
    <row r="34856" spans="26:26" x14ac:dyDescent="0.25">
      <c r="Z34856">
        <v>400000</v>
      </c>
    </row>
    <row r="34857" spans="26:26" x14ac:dyDescent="0.25">
      <c r="Z34857">
        <v>400000</v>
      </c>
    </row>
    <row r="34858" spans="26:26" x14ac:dyDescent="0.25">
      <c r="Z34858">
        <v>400000</v>
      </c>
    </row>
    <row r="34859" spans="26:26" x14ac:dyDescent="0.25">
      <c r="Z34859">
        <v>400000</v>
      </c>
    </row>
    <row r="34860" spans="26:26" x14ac:dyDescent="0.25">
      <c r="Z34860">
        <v>400000</v>
      </c>
    </row>
    <row r="34861" spans="26:26" x14ac:dyDescent="0.25">
      <c r="Z34861">
        <v>400000</v>
      </c>
    </row>
    <row r="34862" spans="26:26" x14ac:dyDescent="0.25">
      <c r="Z34862">
        <v>400000</v>
      </c>
    </row>
    <row r="34863" spans="26:26" x14ac:dyDescent="0.25">
      <c r="Z34863">
        <v>400000</v>
      </c>
    </row>
    <row r="34864" spans="26:26" x14ac:dyDescent="0.25">
      <c r="Z34864">
        <v>400000</v>
      </c>
    </row>
    <row r="34865" spans="26:26" x14ac:dyDescent="0.25">
      <c r="Z34865">
        <v>400000</v>
      </c>
    </row>
    <row r="34866" spans="26:26" x14ac:dyDescent="0.25">
      <c r="Z34866">
        <v>400000</v>
      </c>
    </row>
    <row r="34867" spans="26:26" x14ac:dyDescent="0.25">
      <c r="Z34867">
        <v>400000</v>
      </c>
    </row>
    <row r="34868" spans="26:26" x14ac:dyDescent="0.25">
      <c r="Z34868">
        <v>400000</v>
      </c>
    </row>
    <row r="34869" spans="26:26" x14ac:dyDescent="0.25">
      <c r="Z34869">
        <v>400000</v>
      </c>
    </row>
    <row r="34870" spans="26:26" x14ac:dyDescent="0.25">
      <c r="Z34870">
        <v>400000</v>
      </c>
    </row>
    <row r="34871" spans="26:26" x14ac:dyDescent="0.25">
      <c r="Z34871">
        <v>400000</v>
      </c>
    </row>
    <row r="34872" spans="26:26" x14ac:dyDescent="0.25">
      <c r="Z34872">
        <v>400000</v>
      </c>
    </row>
    <row r="34873" spans="26:26" x14ac:dyDescent="0.25">
      <c r="Z34873">
        <v>400000</v>
      </c>
    </row>
    <row r="34874" spans="26:26" x14ac:dyDescent="0.25">
      <c r="Z34874">
        <v>400000</v>
      </c>
    </row>
    <row r="34875" spans="26:26" x14ac:dyDescent="0.25">
      <c r="Z34875">
        <v>400000</v>
      </c>
    </row>
    <row r="34876" spans="26:26" x14ac:dyDescent="0.25">
      <c r="Z34876">
        <v>400000</v>
      </c>
    </row>
    <row r="34877" spans="26:26" x14ac:dyDescent="0.25">
      <c r="Z34877">
        <v>400000</v>
      </c>
    </row>
    <row r="34878" spans="26:26" x14ac:dyDescent="0.25">
      <c r="Z34878">
        <v>400000</v>
      </c>
    </row>
    <row r="34879" spans="26:26" x14ac:dyDescent="0.25">
      <c r="Z34879">
        <v>400000</v>
      </c>
    </row>
    <row r="34880" spans="26:26" x14ac:dyDescent="0.25">
      <c r="Z34880">
        <v>400000</v>
      </c>
    </row>
    <row r="34881" spans="26:26" x14ac:dyDescent="0.25">
      <c r="Z34881">
        <v>400000</v>
      </c>
    </row>
    <row r="34882" spans="26:26" x14ac:dyDescent="0.25">
      <c r="Z34882">
        <v>400000</v>
      </c>
    </row>
    <row r="34883" spans="26:26" x14ac:dyDescent="0.25">
      <c r="Z34883">
        <v>400000</v>
      </c>
    </row>
    <row r="34884" spans="26:26" x14ac:dyDescent="0.25">
      <c r="Z34884">
        <v>400000</v>
      </c>
    </row>
    <row r="34885" spans="26:26" x14ac:dyDescent="0.25">
      <c r="Z34885">
        <v>400000</v>
      </c>
    </row>
    <row r="34886" spans="26:26" x14ac:dyDescent="0.25">
      <c r="Z34886">
        <v>400000</v>
      </c>
    </row>
    <row r="34887" spans="26:26" x14ac:dyDescent="0.25">
      <c r="Z34887">
        <v>400000</v>
      </c>
    </row>
    <row r="34888" spans="26:26" x14ac:dyDescent="0.25">
      <c r="Z34888">
        <v>400000</v>
      </c>
    </row>
    <row r="34889" spans="26:26" x14ac:dyDescent="0.25">
      <c r="Z34889">
        <v>400000</v>
      </c>
    </row>
    <row r="34890" spans="26:26" x14ac:dyDescent="0.25">
      <c r="Z34890">
        <v>400000</v>
      </c>
    </row>
    <row r="34891" spans="26:26" x14ac:dyDescent="0.25">
      <c r="Z34891">
        <v>400000</v>
      </c>
    </row>
    <row r="34892" spans="26:26" x14ac:dyDescent="0.25">
      <c r="Z34892">
        <v>400000</v>
      </c>
    </row>
    <row r="34893" spans="26:26" x14ac:dyDescent="0.25">
      <c r="Z34893">
        <v>400000</v>
      </c>
    </row>
    <row r="34894" spans="26:26" x14ac:dyDescent="0.25">
      <c r="Z34894">
        <v>400000</v>
      </c>
    </row>
    <row r="34895" spans="26:26" x14ac:dyDescent="0.25">
      <c r="Z34895">
        <v>400000</v>
      </c>
    </row>
    <row r="34896" spans="26:26" x14ac:dyDescent="0.25">
      <c r="Z34896">
        <v>400000</v>
      </c>
    </row>
    <row r="34897" spans="26:26" x14ac:dyDescent="0.25">
      <c r="Z34897">
        <v>400000</v>
      </c>
    </row>
    <row r="34898" spans="26:26" x14ac:dyDescent="0.25">
      <c r="Z34898">
        <v>400000</v>
      </c>
    </row>
    <row r="34899" spans="26:26" x14ac:dyDescent="0.25">
      <c r="Z34899">
        <v>400000</v>
      </c>
    </row>
    <row r="34900" spans="26:26" x14ac:dyDescent="0.25">
      <c r="Z34900">
        <v>400000</v>
      </c>
    </row>
    <row r="34901" spans="26:26" x14ac:dyDescent="0.25">
      <c r="Z34901">
        <v>400000</v>
      </c>
    </row>
    <row r="34902" spans="26:26" x14ac:dyDescent="0.25">
      <c r="Z34902">
        <v>400000</v>
      </c>
    </row>
    <row r="34903" spans="26:26" x14ac:dyDescent="0.25">
      <c r="Z34903">
        <v>400000</v>
      </c>
    </row>
    <row r="34904" spans="26:26" x14ac:dyDescent="0.25">
      <c r="Z34904">
        <v>400000</v>
      </c>
    </row>
    <row r="34905" spans="26:26" x14ac:dyDescent="0.25">
      <c r="Z34905">
        <v>400000</v>
      </c>
    </row>
    <row r="34906" spans="26:26" x14ac:dyDescent="0.25">
      <c r="Z34906">
        <v>400000</v>
      </c>
    </row>
    <row r="34907" spans="26:26" x14ac:dyDescent="0.25">
      <c r="Z34907">
        <v>400000</v>
      </c>
    </row>
    <row r="34908" spans="26:26" x14ac:dyDescent="0.25">
      <c r="Z34908">
        <v>400000</v>
      </c>
    </row>
    <row r="34909" spans="26:26" x14ac:dyDescent="0.25">
      <c r="Z34909">
        <v>400000</v>
      </c>
    </row>
    <row r="34910" spans="26:26" x14ac:dyDescent="0.25">
      <c r="Z34910">
        <v>400000</v>
      </c>
    </row>
    <row r="34911" spans="26:26" x14ac:dyDescent="0.25">
      <c r="Z34911">
        <v>400000</v>
      </c>
    </row>
    <row r="34912" spans="26:26" x14ac:dyDescent="0.25">
      <c r="Z34912">
        <v>400000</v>
      </c>
    </row>
    <row r="34913" spans="26:26" x14ac:dyDescent="0.25">
      <c r="Z34913">
        <v>400000</v>
      </c>
    </row>
    <row r="34914" spans="26:26" x14ac:dyDescent="0.25">
      <c r="Z34914">
        <v>400000</v>
      </c>
    </row>
    <row r="34915" spans="26:26" x14ac:dyDescent="0.25">
      <c r="Z34915">
        <v>400000</v>
      </c>
    </row>
    <row r="34916" spans="26:26" x14ac:dyDescent="0.25">
      <c r="Z34916">
        <v>400000</v>
      </c>
    </row>
    <row r="34917" spans="26:26" x14ac:dyDescent="0.25">
      <c r="Z34917">
        <v>400000</v>
      </c>
    </row>
    <row r="34918" spans="26:26" x14ac:dyDescent="0.25">
      <c r="Z34918">
        <v>400000</v>
      </c>
    </row>
    <row r="34919" spans="26:26" x14ac:dyDescent="0.25">
      <c r="Z34919">
        <v>400000</v>
      </c>
    </row>
    <row r="34920" spans="26:26" x14ac:dyDescent="0.25">
      <c r="Z34920">
        <v>400000</v>
      </c>
    </row>
    <row r="34921" spans="26:26" x14ac:dyDescent="0.25">
      <c r="Z34921">
        <v>400000</v>
      </c>
    </row>
    <row r="34922" spans="26:26" x14ac:dyDescent="0.25">
      <c r="Z34922">
        <v>400000</v>
      </c>
    </row>
    <row r="34923" spans="26:26" x14ac:dyDescent="0.25">
      <c r="Z34923">
        <v>400000</v>
      </c>
    </row>
    <row r="34924" spans="26:26" x14ac:dyDescent="0.25">
      <c r="Z34924">
        <v>400000</v>
      </c>
    </row>
    <row r="34925" spans="26:26" x14ac:dyDescent="0.25">
      <c r="Z34925">
        <v>400000</v>
      </c>
    </row>
    <row r="34926" spans="26:26" x14ac:dyDescent="0.25">
      <c r="Z34926">
        <v>400000</v>
      </c>
    </row>
    <row r="34927" spans="26:26" x14ac:dyDescent="0.25">
      <c r="Z34927">
        <v>400000</v>
      </c>
    </row>
    <row r="34928" spans="26:26" x14ac:dyDescent="0.25">
      <c r="Z34928">
        <v>400000</v>
      </c>
    </row>
    <row r="34929" spans="26:26" x14ac:dyDescent="0.25">
      <c r="Z34929">
        <v>400000</v>
      </c>
    </row>
    <row r="34930" spans="26:26" x14ac:dyDescent="0.25">
      <c r="Z34930">
        <v>400000</v>
      </c>
    </row>
    <row r="34931" spans="26:26" x14ac:dyDescent="0.25">
      <c r="Z34931">
        <v>400000</v>
      </c>
    </row>
    <row r="34932" spans="26:26" x14ac:dyDescent="0.25">
      <c r="Z34932">
        <v>400000</v>
      </c>
    </row>
    <row r="34933" spans="26:26" x14ac:dyDescent="0.25">
      <c r="Z34933">
        <v>400000</v>
      </c>
    </row>
    <row r="34934" spans="26:26" x14ac:dyDescent="0.25">
      <c r="Z34934">
        <v>400000</v>
      </c>
    </row>
    <row r="34935" spans="26:26" x14ac:dyDescent="0.25">
      <c r="Z34935">
        <v>400000</v>
      </c>
    </row>
    <row r="34936" spans="26:26" x14ac:dyDescent="0.25">
      <c r="Z34936">
        <v>400000</v>
      </c>
    </row>
    <row r="34937" spans="26:26" x14ac:dyDescent="0.25">
      <c r="Z34937">
        <v>400000</v>
      </c>
    </row>
    <row r="34938" spans="26:26" x14ac:dyDescent="0.25">
      <c r="Z34938">
        <v>400000</v>
      </c>
    </row>
    <row r="34939" spans="26:26" x14ac:dyDescent="0.25">
      <c r="Z34939">
        <v>400000</v>
      </c>
    </row>
    <row r="34940" spans="26:26" x14ac:dyDescent="0.25">
      <c r="Z34940">
        <v>400000</v>
      </c>
    </row>
    <row r="34941" spans="26:26" x14ac:dyDescent="0.25">
      <c r="Z34941">
        <v>400000</v>
      </c>
    </row>
    <row r="34942" spans="26:26" x14ac:dyDescent="0.25">
      <c r="Z34942">
        <v>400000</v>
      </c>
    </row>
    <row r="34943" spans="26:26" x14ac:dyDescent="0.25">
      <c r="Z34943">
        <v>400000</v>
      </c>
    </row>
    <row r="34944" spans="26:26" x14ac:dyDescent="0.25">
      <c r="Z34944">
        <v>400000</v>
      </c>
    </row>
    <row r="34945" spans="26:26" x14ac:dyDescent="0.25">
      <c r="Z34945">
        <v>400000</v>
      </c>
    </row>
    <row r="34946" spans="26:26" x14ac:dyDescent="0.25">
      <c r="Z34946">
        <v>400000</v>
      </c>
    </row>
    <row r="34947" spans="26:26" x14ac:dyDescent="0.25">
      <c r="Z34947">
        <v>400000</v>
      </c>
    </row>
    <row r="34948" spans="26:26" x14ac:dyDescent="0.25">
      <c r="Z34948">
        <v>400000</v>
      </c>
    </row>
    <row r="34949" spans="26:26" x14ac:dyDescent="0.25">
      <c r="Z34949">
        <v>400000</v>
      </c>
    </row>
    <row r="34950" spans="26:26" x14ac:dyDescent="0.25">
      <c r="Z34950">
        <v>400000</v>
      </c>
    </row>
    <row r="34951" spans="26:26" x14ac:dyDescent="0.25">
      <c r="Z34951">
        <v>400000</v>
      </c>
    </row>
    <row r="34952" spans="26:26" x14ac:dyDescent="0.25">
      <c r="Z34952">
        <v>400000</v>
      </c>
    </row>
    <row r="34953" spans="26:26" x14ac:dyDescent="0.25">
      <c r="Z34953">
        <v>400000</v>
      </c>
    </row>
    <row r="34954" spans="26:26" x14ac:dyDescent="0.25">
      <c r="Z34954">
        <v>400000</v>
      </c>
    </row>
    <row r="34955" spans="26:26" x14ac:dyDescent="0.25">
      <c r="Z34955">
        <v>400000</v>
      </c>
    </row>
    <row r="34956" spans="26:26" x14ac:dyDescent="0.25">
      <c r="Z34956">
        <v>400000</v>
      </c>
    </row>
    <row r="34957" spans="26:26" x14ac:dyDescent="0.25">
      <c r="Z34957">
        <v>400000</v>
      </c>
    </row>
    <row r="34958" spans="26:26" x14ac:dyDescent="0.25">
      <c r="Z34958">
        <v>400000</v>
      </c>
    </row>
    <row r="34959" spans="26:26" x14ac:dyDescent="0.25">
      <c r="Z34959">
        <v>400000</v>
      </c>
    </row>
    <row r="34960" spans="26:26" x14ac:dyDescent="0.25">
      <c r="Z34960">
        <v>400000</v>
      </c>
    </row>
    <row r="34961" spans="26:26" x14ac:dyDescent="0.25">
      <c r="Z34961">
        <v>400000</v>
      </c>
    </row>
    <row r="34962" spans="26:26" x14ac:dyDescent="0.25">
      <c r="Z34962">
        <v>400000</v>
      </c>
    </row>
    <row r="34963" spans="26:26" x14ac:dyDescent="0.25">
      <c r="Z34963">
        <v>400000</v>
      </c>
    </row>
    <row r="34964" spans="26:26" x14ac:dyDescent="0.25">
      <c r="Z34964">
        <v>400000</v>
      </c>
    </row>
    <row r="34965" spans="26:26" x14ac:dyDescent="0.25">
      <c r="Z34965">
        <v>400000</v>
      </c>
    </row>
    <row r="34966" spans="26:26" x14ac:dyDescent="0.25">
      <c r="Z34966">
        <v>400000</v>
      </c>
    </row>
    <row r="34967" spans="26:26" x14ac:dyDescent="0.25">
      <c r="Z34967">
        <v>400000</v>
      </c>
    </row>
    <row r="34968" spans="26:26" x14ac:dyDescent="0.25">
      <c r="Z34968">
        <v>400000</v>
      </c>
    </row>
    <row r="34969" spans="26:26" x14ac:dyDescent="0.25">
      <c r="Z34969">
        <v>400000</v>
      </c>
    </row>
    <row r="34970" spans="26:26" x14ac:dyDescent="0.25">
      <c r="Z34970">
        <v>400000</v>
      </c>
    </row>
    <row r="34971" spans="26:26" x14ac:dyDescent="0.25">
      <c r="Z34971">
        <v>400000</v>
      </c>
    </row>
    <row r="34972" spans="26:26" x14ac:dyDescent="0.25">
      <c r="Z34972">
        <v>400000</v>
      </c>
    </row>
    <row r="34973" spans="26:26" x14ac:dyDescent="0.25">
      <c r="Z34973">
        <v>400000</v>
      </c>
    </row>
    <row r="34974" spans="26:26" x14ac:dyDescent="0.25">
      <c r="Z34974">
        <v>400000</v>
      </c>
    </row>
    <row r="34975" spans="26:26" x14ac:dyDescent="0.25">
      <c r="Z34975">
        <v>400000</v>
      </c>
    </row>
    <row r="34976" spans="26:26" x14ac:dyDescent="0.25">
      <c r="Z34976">
        <v>400000</v>
      </c>
    </row>
    <row r="34977" spans="26:26" x14ac:dyDescent="0.25">
      <c r="Z34977">
        <v>400000</v>
      </c>
    </row>
    <row r="34978" spans="26:26" x14ac:dyDescent="0.25">
      <c r="Z34978">
        <v>400000</v>
      </c>
    </row>
    <row r="34979" spans="26:26" x14ac:dyDescent="0.25">
      <c r="Z34979">
        <v>400000</v>
      </c>
    </row>
    <row r="34980" spans="26:26" x14ac:dyDescent="0.25">
      <c r="Z34980">
        <v>400000</v>
      </c>
    </row>
    <row r="34981" spans="26:26" x14ac:dyDescent="0.25">
      <c r="Z34981">
        <v>400000</v>
      </c>
    </row>
    <row r="34982" spans="26:26" x14ac:dyDescent="0.25">
      <c r="Z34982">
        <v>400000</v>
      </c>
    </row>
    <row r="34983" spans="26:26" x14ac:dyDescent="0.25">
      <c r="Z34983">
        <v>400000</v>
      </c>
    </row>
    <row r="34984" spans="26:26" x14ac:dyDescent="0.25">
      <c r="Z34984">
        <v>400000</v>
      </c>
    </row>
    <row r="34985" spans="26:26" x14ac:dyDescent="0.25">
      <c r="Z34985">
        <v>400000</v>
      </c>
    </row>
    <row r="34986" spans="26:26" x14ac:dyDescent="0.25">
      <c r="Z34986">
        <v>400000</v>
      </c>
    </row>
    <row r="34987" spans="26:26" x14ac:dyDescent="0.25">
      <c r="Z34987">
        <v>400000</v>
      </c>
    </row>
    <row r="34988" spans="26:26" x14ac:dyDescent="0.25">
      <c r="Z34988">
        <v>400000</v>
      </c>
    </row>
    <row r="34989" spans="26:26" x14ac:dyDescent="0.25">
      <c r="Z34989">
        <v>400000</v>
      </c>
    </row>
    <row r="34990" spans="26:26" x14ac:dyDescent="0.25">
      <c r="Z34990">
        <v>400000</v>
      </c>
    </row>
    <row r="34991" spans="26:26" x14ac:dyDescent="0.25">
      <c r="Z34991">
        <v>400000</v>
      </c>
    </row>
    <row r="34992" spans="26:26" x14ac:dyDescent="0.25">
      <c r="Z34992">
        <v>400000</v>
      </c>
    </row>
    <row r="34993" spans="26:26" x14ac:dyDescent="0.25">
      <c r="Z34993">
        <v>400000</v>
      </c>
    </row>
    <row r="34994" spans="26:26" x14ac:dyDescent="0.25">
      <c r="Z34994">
        <v>400000</v>
      </c>
    </row>
    <row r="34995" spans="26:26" x14ac:dyDescent="0.25">
      <c r="Z34995">
        <v>400000</v>
      </c>
    </row>
    <row r="34996" spans="26:26" x14ac:dyDescent="0.25">
      <c r="Z34996">
        <v>400000</v>
      </c>
    </row>
    <row r="34997" spans="26:26" x14ac:dyDescent="0.25">
      <c r="Z34997">
        <v>400000</v>
      </c>
    </row>
    <row r="34998" spans="26:26" x14ac:dyDescent="0.25">
      <c r="Z34998">
        <v>400000</v>
      </c>
    </row>
    <row r="34999" spans="26:26" x14ac:dyDescent="0.25">
      <c r="Z34999">
        <v>400000</v>
      </c>
    </row>
    <row r="35000" spans="26:26" x14ac:dyDescent="0.25">
      <c r="Z35000">
        <v>400000</v>
      </c>
    </row>
    <row r="35001" spans="26:26" x14ac:dyDescent="0.25">
      <c r="Z35001">
        <v>400000</v>
      </c>
    </row>
    <row r="35002" spans="26:26" x14ac:dyDescent="0.25">
      <c r="Z35002">
        <v>400000</v>
      </c>
    </row>
    <row r="35003" spans="26:26" x14ac:dyDescent="0.25">
      <c r="Z35003">
        <v>400000</v>
      </c>
    </row>
    <row r="35004" spans="26:26" x14ac:dyDescent="0.25">
      <c r="Z35004">
        <v>400000</v>
      </c>
    </row>
    <row r="35005" spans="26:26" x14ac:dyDescent="0.25">
      <c r="Z35005">
        <v>400000</v>
      </c>
    </row>
    <row r="35006" spans="26:26" x14ac:dyDescent="0.25">
      <c r="Z35006">
        <v>400000</v>
      </c>
    </row>
    <row r="35007" spans="26:26" x14ac:dyDescent="0.25">
      <c r="Z35007">
        <v>400000</v>
      </c>
    </row>
    <row r="35008" spans="26:26" x14ac:dyDescent="0.25">
      <c r="Z35008">
        <v>400000</v>
      </c>
    </row>
    <row r="35009" spans="26:26" x14ac:dyDescent="0.25">
      <c r="Z35009">
        <v>400000</v>
      </c>
    </row>
    <row r="35010" spans="26:26" x14ac:dyDescent="0.25">
      <c r="Z35010">
        <v>400000</v>
      </c>
    </row>
    <row r="35011" spans="26:26" x14ac:dyDescent="0.25">
      <c r="Z35011">
        <v>400000</v>
      </c>
    </row>
    <row r="35012" spans="26:26" x14ac:dyDescent="0.25">
      <c r="Z35012">
        <v>400000</v>
      </c>
    </row>
    <row r="35013" spans="26:26" x14ac:dyDescent="0.25">
      <c r="Z35013">
        <v>400000</v>
      </c>
    </row>
    <row r="35014" spans="26:26" x14ac:dyDescent="0.25">
      <c r="Z35014">
        <v>400000</v>
      </c>
    </row>
    <row r="35015" spans="26:26" x14ac:dyDescent="0.25">
      <c r="Z35015">
        <v>400000</v>
      </c>
    </row>
    <row r="35016" spans="26:26" x14ac:dyDescent="0.25">
      <c r="Z35016">
        <v>400000</v>
      </c>
    </row>
    <row r="35017" spans="26:26" x14ac:dyDescent="0.25">
      <c r="Z35017">
        <v>400000</v>
      </c>
    </row>
    <row r="35018" spans="26:26" x14ac:dyDescent="0.25">
      <c r="Z35018">
        <v>400000</v>
      </c>
    </row>
    <row r="35019" spans="26:26" x14ac:dyDescent="0.25">
      <c r="Z35019">
        <v>400000</v>
      </c>
    </row>
    <row r="35020" spans="26:26" x14ac:dyDescent="0.25">
      <c r="Z35020">
        <v>400000</v>
      </c>
    </row>
    <row r="35021" spans="26:26" x14ac:dyDescent="0.25">
      <c r="Z35021">
        <v>400000</v>
      </c>
    </row>
    <row r="35022" spans="26:26" x14ac:dyDescent="0.25">
      <c r="Z35022">
        <v>400000</v>
      </c>
    </row>
    <row r="35023" spans="26:26" x14ac:dyDescent="0.25">
      <c r="Z35023">
        <v>400000</v>
      </c>
    </row>
    <row r="35024" spans="26:26" x14ac:dyDescent="0.25">
      <c r="Z35024">
        <v>400000</v>
      </c>
    </row>
    <row r="35025" spans="26:26" x14ac:dyDescent="0.25">
      <c r="Z35025">
        <v>400000</v>
      </c>
    </row>
    <row r="35026" spans="26:26" x14ac:dyDescent="0.25">
      <c r="Z35026">
        <v>400000</v>
      </c>
    </row>
    <row r="35027" spans="26:26" x14ac:dyDescent="0.25">
      <c r="Z35027">
        <v>400000</v>
      </c>
    </row>
    <row r="35028" spans="26:26" x14ac:dyDescent="0.25">
      <c r="Z35028">
        <v>400000</v>
      </c>
    </row>
    <row r="35029" spans="26:26" x14ac:dyDescent="0.25">
      <c r="Z35029">
        <v>400000</v>
      </c>
    </row>
    <row r="35030" spans="26:26" x14ac:dyDescent="0.25">
      <c r="Z35030">
        <v>400000</v>
      </c>
    </row>
    <row r="35031" spans="26:26" x14ac:dyDescent="0.25">
      <c r="Z35031">
        <v>400000</v>
      </c>
    </row>
    <row r="35032" spans="26:26" x14ac:dyDescent="0.25">
      <c r="Z35032">
        <v>400000</v>
      </c>
    </row>
    <row r="35033" spans="26:26" x14ac:dyDescent="0.25">
      <c r="Z35033">
        <v>400000</v>
      </c>
    </row>
    <row r="35034" spans="26:26" x14ac:dyDescent="0.25">
      <c r="Z35034">
        <v>400000</v>
      </c>
    </row>
    <row r="35035" spans="26:26" x14ac:dyDescent="0.25">
      <c r="Z35035">
        <v>400000</v>
      </c>
    </row>
    <row r="35036" spans="26:26" x14ac:dyDescent="0.25">
      <c r="Z35036">
        <v>400000</v>
      </c>
    </row>
    <row r="35037" spans="26:26" x14ac:dyDescent="0.25">
      <c r="Z35037">
        <v>400000</v>
      </c>
    </row>
    <row r="35038" spans="26:26" x14ac:dyDescent="0.25">
      <c r="Z35038">
        <v>400000</v>
      </c>
    </row>
    <row r="35039" spans="26:26" x14ac:dyDescent="0.25">
      <c r="Z35039">
        <v>400000</v>
      </c>
    </row>
    <row r="35040" spans="26:26" x14ac:dyDescent="0.25">
      <c r="Z35040">
        <v>400000</v>
      </c>
    </row>
    <row r="35041" spans="26:26" x14ac:dyDescent="0.25">
      <c r="Z35041">
        <v>400000</v>
      </c>
    </row>
    <row r="35042" spans="26:26" x14ac:dyDescent="0.25">
      <c r="Z35042">
        <v>400000</v>
      </c>
    </row>
    <row r="35043" spans="26:26" x14ac:dyDescent="0.25">
      <c r="Z35043">
        <v>400000</v>
      </c>
    </row>
    <row r="35044" spans="26:26" x14ac:dyDescent="0.25">
      <c r="Z35044">
        <v>400000</v>
      </c>
    </row>
    <row r="35045" spans="26:26" x14ac:dyDescent="0.25">
      <c r="Z35045">
        <v>400000</v>
      </c>
    </row>
    <row r="35046" spans="26:26" x14ac:dyDescent="0.25">
      <c r="Z35046">
        <v>400000</v>
      </c>
    </row>
    <row r="35047" spans="26:26" x14ac:dyDescent="0.25">
      <c r="Z35047">
        <v>400000</v>
      </c>
    </row>
    <row r="35048" spans="26:26" x14ac:dyDescent="0.25">
      <c r="Z35048">
        <v>400000</v>
      </c>
    </row>
    <row r="35049" spans="26:26" x14ac:dyDescent="0.25">
      <c r="Z35049">
        <v>400000</v>
      </c>
    </row>
    <row r="35050" spans="26:26" x14ac:dyDescent="0.25">
      <c r="Z35050">
        <v>400000</v>
      </c>
    </row>
    <row r="35051" spans="26:26" x14ac:dyDescent="0.25">
      <c r="Z35051">
        <v>400000</v>
      </c>
    </row>
    <row r="35052" spans="26:26" x14ac:dyDescent="0.25">
      <c r="Z35052">
        <v>400000</v>
      </c>
    </row>
    <row r="35053" spans="26:26" x14ac:dyDescent="0.25">
      <c r="Z35053">
        <v>400000</v>
      </c>
    </row>
    <row r="35054" spans="26:26" x14ac:dyDescent="0.25">
      <c r="Z35054">
        <v>400000</v>
      </c>
    </row>
    <row r="35055" spans="26:26" x14ac:dyDescent="0.25">
      <c r="Z35055">
        <v>400000</v>
      </c>
    </row>
    <row r="35056" spans="26:26" x14ac:dyDescent="0.25">
      <c r="Z35056">
        <v>400000</v>
      </c>
    </row>
    <row r="35057" spans="26:26" x14ac:dyDescent="0.25">
      <c r="Z35057">
        <v>400000</v>
      </c>
    </row>
    <row r="35058" spans="26:26" x14ac:dyDescent="0.25">
      <c r="Z35058">
        <v>400000</v>
      </c>
    </row>
    <row r="35059" spans="26:26" x14ac:dyDescent="0.25">
      <c r="Z35059">
        <v>400000</v>
      </c>
    </row>
    <row r="35060" spans="26:26" x14ac:dyDescent="0.25">
      <c r="Z35060">
        <v>400000</v>
      </c>
    </row>
    <row r="35061" spans="26:26" x14ac:dyDescent="0.25">
      <c r="Z35061">
        <v>400000</v>
      </c>
    </row>
    <row r="35062" spans="26:26" x14ac:dyDescent="0.25">
      <c r="Z35062">
        <v>400000</v>
      </c>
    </row>
    <row r="35063" spans="26:26" x14ac:dyDescent="0.25">
      <c r="Z35063">
        <v>400000</v>
      </c>
    </row>
    <row r="35064" spans="26:26" x14ac:dyDescent="0.25">
      <c r="Z35064">
        <v>400000</v>
      </c>
    </row>
    <row r="35065" spans="26:26" x14ac:dyDescent="0.25">
      <c r="Z35065">
        <v>400000</v>
      </c>
    </row>
    <row r="35066" spans="26:26" x14ac:dyDescent="0.25">
      <c r="Z35066">
        <v>400000</v>
      </c>
    </row>
    <row r="35067" spans="26:26" x14ac:dyDescent="0.25">
      <c r="Z35067">
        <v>400000</v>
      </c>
    </row>
    <row r="35068" spans="26:26" x14ac:dyDescent="0.25">
      <c r="Z35068">
        <v>400000</v>
      </c>
    </row>
    <row r="35069" spans="26:26" x14ac:dyDescent="0.25">
      <c r="Z35069">
        <v>400000</v>
      </c>
    </row>
    <row r="35070" spans="26:26" x14ac:dyDescent="0.25">
      <c r="Z35070">
        <v>400000</v>
      </c>
    </row>
    <row r="35071" spans="26:26" x14ac:dyDescent="0.25">
      <c r="Z35071">
        <v>400000</v>
      </c>
    </row>
    <row r="35072" spans="26:26" x14ac:dyDescent="0.25">
      <c r="Z35072">
        <v>400000</v>
      </c>
    </row>
    <row r="35073" spans="26:26" x14ac:dyDescent="0.25">
      <c r="Z35073">
        <v>400000</v>
      </c>
    </row>
    <row r="35074" spans="26:26" x14ac:dyDescent="0.25">
      <c r="Z35074">
        <v>400000</v>
      </c>
    </row>
    <row r="35075" spans="26:26" x14ac:dyDescent="0.25">
      <c r="Z35075">
        <v>400000</v>
      </c>
    </row>
    <row r="35076" spans="26:26" x14ac:dyDescent="0.25">
      <c r="Z35076">
        <v>400000</v>
      </c>
    </row>
    <row r="35077" spans="26:26" x14ac:dyDescent="0.25">
      <c r="Z35077">
        <v>400000</v>
      </c>
    </row>
    <row r="35078" spans="26:26" x14ac:dyDescent="0.25">
      <c r="Z35078">
        <v>400000</v>
      </c>
    </row>
    <row r="35079" spans="26:26" x14ac:dyDescent="0.25">
      <c r="Z35079">
        <v>400000</v>
      </c>
    </row>
    <row r="35080" spans="26:26" x14ac:dyDescent="0.25">
      <c r="Z35080">
        <v>400000</v>
      </c>
    </row>
    <row r="35081" spans="26:26" x14ac:dyDescent="0.25">
      <c r="Z35081">
        <v>400000</v>
      </c>
    </row>
    <row r="35082" spans="26:26" x14ac:dyDescent="0.25">
      <c r="Z35082">
        <v>400000</v>
      </c>
    </row>
    <row r="35083" spans="26:26" x14ac:dyDescent="0.25">
      <c r="Z35083">
        <v>400000</v>
      </c>
    </row>
    <row r="35084" spans="26:26" x14ac:dyDescent="0.25">
      <c r="Z35084">
        <v>400000</v>
      </c>
    </row>
    <row r="35085" spans="26:26" x14ac:dyDescent="0.25">
      <c r="Z35085">
        <v>400000</v>
      </c>
    </row>
    <row r="35086" spans="26:26" x14ac:dyDescent="0.25">
      <c r="Z35086">
        <v>400000</v>
      </c>
    </row>
    <row r="35087" spans="26:26" x14ac:dyDescent="0.25">
      <c r="Z35087">
        <v>400000</v>
      </c>
    </row>
    <row r="35088" spans="26:26" x14ac:dyDescent="0.25">
      <c r="Z35088">
        <v>400000</v>
      </c>
    </row>
    <row r="35089" spans="26:26" x14ac:dyDescent="0.25">
      <c r="Z35089">
        <v>400000</v>
      </c>
    </row>
    <row r="35090" spans="26:26" x14ac:dyDescent="0.25">
      <c r="Z35090">
        <v>400000</v>
      </c>
    </row>
    <row r="35091" spans="26:26" x14ac:dyDescent="0.25">
      <c r="Z35091">
        <v>400000</v>
      </c>
    </row>
    <row r="35092" spans="26:26" x14ac:dyDescent="0.25">
      <c r="Z35092">
        <v>400000</v>
      </c>
    </row>
    <row r="35093" spans="26:26" x14ac:dyDescent="0.25">
      <c r="Z35093">
        <v>400000</v>
      </c>
    </row>
    <row r="35094" spans="26:26" x14ac:dyDescent="0.25">
      <c r="Z35094">
        <v>400000</v>
      </c>
    </row>
    <row r="35095" spans="26:26" x14ac:dyDescent="0.25">
      <c r="Z35095">
        <v>400000</v>
      </c>
    </row>
    <row r="35096" spans="26:26" x14ac:dyDescent="0.25">
      <c r="Z35096">
        <v>400000</v>
      </c>
    </row>
    <row r="35097" spans="26:26" x14ac:dyDescent="0.25">
      <c r="Z35097">
        <v>400000</v>
      </c>
    </row>
    <row r="35098" spans="26:26" x14ac:dyDescent="0.25">
      <c r="Z35098">
        <v>400000</v>
      </c>
    </row>
    <row r="35099" spans="26:26" x14ac:dyDescent="0.25">
      <c r="Z35099">
        <v>400000</v>
      </c>
    </row>
    <row r="35100" spans="26:26" x14ac:dyDescent="0.25">
      <c r="Z35100">
        <v>400000</v>
      </c>
    </row>
    <row r="35101" spans="26:26" x14ac:dyDescent="0.25">
      <c r="Z35101">
        <v>400000</v>
      </c>
    </row>
    <row r="35102" spans="26:26" x14ac:dyDescent="0.25">
      <c r="Z35102">
        <v>400000</v>
      </c>
    </row>
    <row r="35103" spans="26:26" x14ac:dyDescent="0.25">
      <c r="Z35103">
        <v>400000</v>
      </c>
    </row>
    <row r="35104" spans="26:26" x14ac:dyDescent="0.25">
      <c r="Z35104">
        <v>400000</v>
      </c>
    </row>
    <row r="35105" spans="26:26" x14ac:dyDescent="0.25">
      <c r="Z35105">
        <v>400000</v>
      </c>
    </row>
    <row r="35106" spans="26:26" x14ac:dyDescent="0.25">
      <c r="Z35106">
        <v>400000</v>
      </c>
    </row>
    <row r="35107" spans="26:26" x14ac:dyDescent="0.25">
      <c r="Z35107">
        <v>400000</v>
      </c>
    </row>
    <row r="35108" spans="26:26" x14ac:dyDescent="0.25">
      <c r="Z35108">
        <v>400000</v>
      </c>
    </row>
    <row r="35109" spans="26:26" x14ac:dyDescent="0.25">
      <c r="Z35109">
        <v>400000</v>
      </c>
    </row>
    <row r="35110" spans="26:26" x14ac:dyDescent="0.25">
      <c r="Z35110">
        <v>400000</v>
      </c>
    </row>
    <row r="35111" spans="26:26" x14ac:dyDescent="0.25">
      <c r="Z35111">
        <v>400000</v>
      </c>
    </row>
    <row r="35112" spans="26:26" x14ac:dyDescent="0.25">
      <c r="Z35112">
        <v>400000</v>
      </c>
    </row>
    <row r="35113" spans="26:26" x14ac:dyDescent="0.25">
      <c r="Z35113">
        <v>400000</v>
      </c>
    </row>
    <row r="35114" spans="26:26" x14ac:dyDescent="0.25">
      <c r="Z35114">
        <v>400000</v>
      </c>
    </row>
    <row r="35115" spans="26:26" x14ac:dyDescent="0.25">
      <c r="Z35115">
        <v>400000</v>
      </c>
    </row>
    <row r="35116" spans="26:26" x14ac:dyDescent="0.25">
      <c r="Z35116">
        <v>400000</v>
      </c>
    </row>
    <row r="35117" spans="26:26" x14ac:dyDescent="0.25">
      <c r="Z35117">
        <v>400000</v>
      </c>
    </row>
    <row r="35118" spans="26:26" x14ac:dyDescent="0.25">
      <c r="Z35118">
        <v>400000</v>
      </c>
    </row>
    <row r="35119" spans="26:26" x14ac:dyDescent="0.25">
      <c r="Z35119">
        <v>400000</v>
      </c>
    </row>
    <row r="35120" spans="26:26" x14ac:dyDescent="0.25">
      <c r="Z35120">
        <v>400000</v>
      </c>
    </row>
    <row r="35121" spans="26:26" x14ac:dyDescent="0.25">
      <c r="Z35121">
        <v>400000</v>
      </c>
    </row>
    <row r="35122" spans="26:26" x14ac:dyDescent="0.25">
      <c r="Z35122">
        <v>400000</v>
      </c>
    </row>
    <row r="35123" spans="26:26" x14ac:dyDescent="0.25">
      <c r="Z35123">
        <v>400000</v>
      </c>
    </row>
    <row r="35124" spans="26:26" x14ac:dyDescent="0.25">
      <c r="Z35124">
        <v>400000</v>
      </c>
    </row>
    <row r="35125" spans="26:26" x14ac:dyDescent="0.25">
      <c r="Z35125">
        <v>400000</v>
      </c>
    </row>
    <row r="35126" spans="26:26" x14ac:dyDescent="0.25">
      <c r="Z35126">
        <v>400000</v>
      </c>
    </row>
    <row r="35127" spans="26:26" x14ac:dyDescent="0.25">
      <c r="Z35127">
        <v>400000</v>
      </c>
    </row>
    <row r="35128" spans="26:26" x14ac:dyDescent="0.25">
      <c r="Z35128">
        <v>400000</v>
      </c>
    </row>
    <row r="35129" spans="26:26" x14ac:dyDescent="0.25">
      <c r="Z35129">
        <v>400000</v>
      </c>
    </row>
    <row r="35130" spans="26:26" x14ac:dyDescent="0.25">
      <c r="Z35130">
        <v>400000</v>
      </c>
    </row>
    <row r="35131" spans="26:26" x14ac:dyDescent="0.25">
      <c r="Z35131">
        <v>400000</v>
      </c>
    </row>
    <row r="35132" spans="26:26" x14ac:dyDescent="0.25">
      <c r="Z35132">
        <v>400000</v>
      </c>
    </row>
    <row r="35133" spans="26:26" x14ac:dyDescent="0.25">
      <c r="Z35133">
        <v>400000</v>
      </c>
    </row>
    <row r="35134" spans="26:26" x14ac:dyDescent="0.25">
      <c r="Z35134">
        <v>400000</v>
      </c>
    </row>
    <row r="35135" spans="26:26" x14ac:dyDescent="0.25">
      <c r="Z35135">
        <v>400000</v>
      </c>
    </row>
    <row r="35136" spans="26:26" x14ac:dyDescent="0.25">
      <c r="Z35136">
        <v>400000</v>
      </c>
    </row>
    <row r="35137" spans="26:26" x14ac:dyDescent="0.25">
      <c r="Z35137">
        <v>400000</v>
      </c>
    </row>
    <row r="35138" spans="26:26" x14ac:dyDescent="0.25">
      <c r="Z35138">
        <v>400000</v>
      </c>
    </row>
    <row r="35139" spans="26:26" x14ac:dyDescent="0.25">
      <c r="Z35139">
        <v>400000</v>
      </c>
    </row>
    <row r="35140" spans="26:26" x14ac:dyDescent="0.25">
      <c r="Z35140">
        <v>400000</v>
      </c>
    </row>
    <row r="35141" spans="26:26" x14ac:dyDescent="0.25">
      <c r="Z35141">
        <v>400000</v>
      </c>
    </row>
    <row r="35142" spans="26:26" x14ac:dyDescent="0.25">
      <c r="Z35142">
        <v>400000</v>
      </c>
    </row>
    <row r="35143" spans="26:26" x14ac:dyDescent="0.25">
      <c r="Z35143">
        <v>400000</v>
      </c>
    </row>
    <row r="35144" spans="26:26" x14ac:dyDescent="0.25">
      <c r="Z35144">
        <v>400000</v>
      </c>
    </row>
    <row r="35145" spans="26:26" x14ac:dyDescent="0.25">
      <c r="Z35145">
        <v>400000</v>
      </c>
    </row>
    <row r="35146" spans="26:26" x14ac:dyDescent="0.25">
      <c r="Z35146">
        <v>400000</v>
      </c>
    </row>
    <row r="35147" spans="26:26" x14ac:dyDescent="0.25">
      <c r="Z35147">
        <v>400000</v>
      </c>
    </row>
    <row r="35148" spans="26:26" x14ac:dyDescent="0.25">
      <c r="Z35148">
        <v>400000</v>
      </c>
    </row>
    <row r="35149" spans="26:26" x14ac:dyDescent="0.25">
      <c r="Z35149">
        <v>400000</v>
      </c>
    </row>
    <row r="35150" spans="26:26" x14ac:dyDescent="0.25">
      <c r="Z35150">
        <v>400000</v>
      </c>
    </row>
    <row r="35151" spans="26:26" x14ac:dyDescent="0.25">
      <c r="Z35151">
        <v>400000</v>
      </c>
    </row>
    <row r="35152" spans="26:26" x14ac:dyDescent="0.25">
      <c r="Z35152">
        <v>400000</v>
      </c>
    </row>
    <row r="35153" spans="26:26" x14ac:dyDescent="0.25">
      <c r="Z35153">
        <v>400000</v>
      </c>
    </row>
    <row r="35154" spans="26:26" x14ac:dyDescent="0.25">
      <c r="Z35154">
        <v>400000</v>
      </c>
    </row>
    <row r="35155" spans="26:26" x14ac:dyDescent="0.25">
      <c r="Z35155">
        <v>400000</v>
      </c>
    </row>
    <row r="35156" spans="26:26" x14ac:dyDescent="0.25">
      <c r="Z35156">
        <v>400000</v>
      </c>
    </row>
    <row r="35157" spans="26:26" x14ac:dyDescent="0.25">
      <c r="Z35157">
        <v>400000</v>
      </c>
    </row>
    <row r="35158" spans="26:26" x14ac:dyDescent="0.25">
      <c r="Z35158">
        <v>400000</v>
      </c>
    </row>
    <row r="35159" spans="26:26" x14ac:dyDescent="0.25">
      <c r="Z35159">
        <v>400000</v>
      </c>
    </row>
    <row r="35160" spans="26:26" x14ac:dyDescent="0.25">
      <c r="Z35160">
        <v>400000</v>
      </c>
    </row>
    <row r="35161" spans="26:26" x14ac:dyDescent="0.25">
      <c r="Z35161">
        <v>400000</v>
      </c>
    </row>
    <row r="35162" spans="26:26" x14ac:dyDescent="0.25">
      <c r="Z35162">
        <v>400000</v>
      </c>
    </row>
    <row r="35163" spans="26:26" x14ac:dyDescent="0.25">
      <c r="Z35163">
        <v>400000</v>
      </c>
    </row>
    <row r="35164" spans="26:26" x14ac:dyDescent="0.25">
      <c r="Z35164">
        <v>400000</v>
      </c>
    </row>
    <row r="35165" spans="26:26" x14ac:dyDescent="0.25">
      <c r="Z35165">
        <v>400000</v>
      </c>
    </row>
    <row r="35166" spans="26:26" x14ac:dyDescent="0.25">
      <c r="Z35166">
        <v>400000</v>
      </c>
    </row>
    <row r="35167" spans="26:26" x14ac:dyDescent="0.25">
      <c r="Z35167">
        <v>400000</v>
      </c>
    </row>
    <row r="35168" spans="26:26" x14ac:dyDescent="0.25">
      <c r="Z35168">
        <v>400000</v>
      </c>
    </row>
    <row r="35169" spans="26:26" x14ac:dyDescent="0.25">
      <c r="Z35169">
        <v>400000</v>
      </c>
    </row>
    <row r="35170" spans="26:26" x14ac:dyDescent="0.25">
      <c r="Z35170">
        <v>400000</v>
      </c>
    </row>
    <row r="35171" spans="26:26" x14ac:dyDescent="0.25">
      <c r="Z35171">
        <v>400000</v>
      </c>
    </row>
    <row r="35172" spans="26:26" x14ac:dyDescent="0.25">
      <c r="Z35172">
        <v>400000</v>
      </c>
    </row>
    <row r="35173" spans="26:26" x14ac:dyDescent="0.25">
      <c r="Z35173">
        <v>400000</v>
      </c>
    </row>
    <row r="35174" spans="26:26" x14ac:dyDescent="0.25">
      <c r="Z35174">
        <v>400000</v>
      </c>
    </row>
    <row r="35175" spans="26:26" x14ac:dyDescent="0.25">
      <c r="Z35175">
        <v>400000</v>
      </c>
    </row>
    <row r="35176" spans="26:26" x14ac:dyDescent="0.25">
      <c r="Z35176">
        <v>400000</v>
      </c>
    </row>
    <row r="35177" spans="26:26" x14ac:dyDescent="0.25">
      <c r="Z35177">
        <v>400000</v>
      </c>
    </row>
    <row r="35178" spans="26:26" x14ac:dyDescent="0.25">
      <c r="Z35178">
        <v>400000</v>
      </c>
    </row>
    <row r="35179" spans="26:26" x14ac:dyDescent="0.25">
      <c r="Z35179">
        <v>400000</v>
      </c>
    </row>
    <row r="35180" spans="26:26" x14ac:dyDescent="0.25">
      <c r="Z35180">
        <v>400000</v>
      </c>
    </row>
    <row r="35181" spans="26:26" x14ac:dyDescent="0.25">
      <c r="Z35181">
        <v>400000</v>
      </c>
    </row>
    <row r="35182" spans="26:26" x14ac:dyDescent="0.25">
      <c r="Z35182">
        <v>400000</v>
      </c>
    </row>
    <row r="35183" spans="26:26" x14ac:dyDescent="0.25">
      <c r="Z35183">
        <v>400000</v>
      </c>
    </row>
    <row r="35184" spans="26:26" x14ac:dyDescent="0.25">
      <c r="Z35184">
        <v>400000</v>
      </c>
    </row>
    <row r="35185" spans="26:26" x14ac:dyDescent="0.25">
      <c r="Z35185">
        <v>400000</v>
      </c>
    </row>
    <row r="35186" spans="26:26" x14ac:dyDescent="0.25">
      <c r="Z35186">
        <v>400000</v>
      </c>
    </row>
    <row r="35187" spans="26:26" x14ac:dyDescent="0.25">
      <c r="Z35187">
        <v>400000</v>
      </c>
    </row>
    <row r="35188" spans="26:26" x14ac:dyDescent="0.25">
      <c r="Z35188">
        <v>400000</v>
      </c>
    </row>
    <row r="35189" spans="26:26" x14ac:dyDescent="0.25">
      <c r="Z35189">
        <v>400000</v>
      </c>
    </row>
    <row r="35190" spans="26:26" x14ac:dyDescent="0.25">
      <c r="Z35190">
        <v>400000</v>
      </c>
    </row>
    <row r="35191" spans="26:26" x14ac:dyDescent="0.25">
      <c r="Z35191">
        <v>400000</v>
      </c>
    </row>
    <row r="35192" spans="26:26" x14ac:dyDescent="0.25">
      <c r="Z35192">
        <v>400000</v>
      </c>
    </row>
    <row r="35193" spans="26:26" x14ac:dyDescent="0.25">
      <c r="Z35193">
        <v>400000</v>
      </c>
    </row>
    <row r="35194" spans="26:26" x14ac:dyDescent="0.25">
      <c r="Z35194">
        <v>400000</v>
      </c>
    </row>
    <row r="35195" spans="26:26" x14ac:dyDescent="0.25">
      <c r="Z35195">
        <v>400000</v>
      </c>
    </row>
    <row r="35196" spans="26:26" x14ac:dyDescent="0.25">
      <c r="Z35196">
        <v>400000</v>
      </c>
    </row>
    <row r="35197" spans="26:26" x14ac:dyDescent="0.25">
      <c r="Z35197">
        <v>400000</v>
      </c>
    </row>
    <row r="35198" spans="26:26" x14ac:dyDescent="0.25">
      <c r="Z35198">
        <v>400000</v>
      </c>
    </row>
    <row r="35199" spans="26:26" x14ac:dyDescent="0.25">
      <c r="Z35199">
        <v>400000</v>
      </c>
    </row>
    <row r="35200" spans="26:26" x14ac:dyDescent="0.25">
      <c r="Z35200">
        <v>400000</v>
      </c>
    </row>
    <row r="35201" spans="26:26" x14ac:dyDescent="0.25">
      <c r="Z35201">
        <v>400000</v>
      </c>
    </row>
    <row r="35202" spans="26:26" x14ac:dyDescent="0.25">
      <c r="Z35202">
        <v>400000</v>
      </c>
    </row>
    <row r="35203" spans="26:26" x14ac:dyDescent="0.25">
      <c r="Z35203">
        <v>400000</v>
      </c>
    </row>
    <row r="35204" spans="26:26" x14ac:dyDescent="0.25">
      <c r="Z35204">
        <v>400000</v>
      </c>
    </row>
    <row r="35205" spans="26:26" x14ac:dyDescent="0.25">
      <c r="Z35205">
        <v>400000</v>
      </c>
    </row>
    <row r="35206" spans="26:26" x14ac:dyDescent="0.25">
      <c r="Z35206">
        <v>400000</v>
      </c>
    </row>
    <row r="35207" spans="26:26" x14ac:dyDescent="0.25">
      <c r="Z35207">
        <v>400000</v>
      </c>
    </row>
    <row r="35208" spans="26:26" x14ac:dyDescent="0.25">
      <c r="Z35208">
        <v>400000</v>
      </c>
    </row>
    <row r="35209" spans="26:26" x14ac:dyDescent="0.25">
      <c r="Z35209">
        <v>400000</v>
      </c>
    </row>
    <row r="35210" spans="26:26" x14ac:dyDescent="0.25">
      <c r="Z35210">
        <v>400000</v>
      </c>
    </row>
    <row r="35211" spans="26:26" x14ac:dyDescent="0.25">
      <c r="Z35211">
        <v>400000</v>
      </c>
    </row>
    <row r="35212" spans="26:26" x14ac:dyDescent="0.25">
      <c r="Z35212">
        <v>400000</v>
      </c>
    </row>
    <row r="35213" spans="26:26" x14ac:dyDescent="0.25">
      <c r="Z35213">
        <v>400000</v>
      </c>
    </row>
    <row r="35214" spans="26:26" x14ac:dyDescent="0.25">
      <c r="Z35214">
        <v>400000</v>
      </c>
    </row>
    <row r="35215" spans="26:26" x14ac:dyDescent="0.25">
      <c r="Z35215">
        <v>400000</v>
      </c>
    </row>
    <row r="35216" spans="26:26" x14ac:dyDescent="0.25">
      <c r="Z35216">
        <v>400000</v>
      </c>
    </row>
    <row r="35217" spans="26:26" x14ac:dyDescent="0.25">
      <c r="Z35217">
        <v>400000</v>
      </c>
    </row>
    <row r="35218" spans="26:26" x14ac:dyDescent="0.25">
      <c r="Z35218">
        <v>400000</v>
      </c>
    </row>
    <row r="35219" spans="26:26" x14ac:dyDescent="0.25">
      <c r="Z35219">
        <v>400000</v>
      </c>
    </row>
    <row r="35220" spans="26:26" x14ac:dyDescent="0.25">
      <c r="Z35220">
        <v>400000</v>
      </c>
    </row>
    <row r="35221" spans="26:26" x14ac:dyDescent="0.25">
      <c r="Z35221">
        <v>400000</v>
      </c>
    </row>
    <row r="35222" spans="26:26" x14ac:dyDescent="0.25">
      <c r="Z35222">
        <v>400000</v>
      </c>
    </row>
    <row r="35223" spans="26:26" x14ac:dyDescent="0.25">
      <c r="Z35223">
        <v>400000</v>
      </c>
    </row>
    <row r="35224" spans="26:26" x14ac:dyDescent="0.25">
      <c r="Z35224">
        <v>400000</v>
      </c>
    </row>
    <row r="35225" spans="26:26" x14ac:dyDescent="0.25">
      <c r="Z35225">
        <v>400000</v>
      </c>
    </row>
    <row r="35226" spans="26:26" x14ac:dyDescent="0.25">
      <c r="Z35226">
        <v>400000</v>
      </c>
    </row>
    <row r="35227" spans="26:26" x14ac:dyDescent="0.25">
      <c r="Z35227">
        <v>400000</v>
      </c>
    </row>
    <row r="35228" spans="26:26" x14ac:dyDescent="0.25">
      <c r="Z35228">
        <v>400000</v>
      </c>
    </row>
    <row r="35229" spans="26:26" x14ac:dyDescent="0.25">
      <c r="Z35229">
        <v>400000</v>
      </c>
    </row>
    <row r="35230" spans="26:26" x14ac:dyDescent="0.25">
      <c r="Z35230">
        <v>400000</v>
      </c>
    </row>
    <row r="35231" spans="26:26" x14ac:dyDescent="0.25">
      <c r="Z35231">
        <v>400000</v>
      </c>
    </row>
    <row r="35232" spans="26:26" x14ac:dyDescent="0.25">
      <c r="Z35232">
        <v>400000</v>
      </c>
    </row>
    <row r="35233" spans="26:26" x14ac:dyDescent="0.25">
      <c r="Z35233">
        <v>400000</v>
      </c>
    </row>
    <row r="35234" spans="26:26" x14ac:dyDescent="0.25">
      <c r="Z35234">
        <v>400000</v>
      </c>
    </row>
    <row r="35235" spans="26:26" x14ac:dyDescent="0.25">
      <c r="Z35235">
        <v>400000</v>
      </c>
    </row>
    <row r="35236" spans="26:26" x14ac:dyDescent="0.25">
      <c r="Z35236">
        <v>400000</v>
      </c>
    </row>
    <row r="35237" spans="26:26" x14ac:dyDescent="0.25">
      <c r="Z35237">
        <v>400000</v>
      </c>
    </row>
    <row r="35238" spans="26:26" x14ac:dyDescent="0.25">
      <c r="Z35238">
        <v>400000</v>
      </c>
    </row>
    <row r="35239" spans="26:26" x14ac:dyDescent="0.25">
      <c r="Z35239">
        <v>400000</v>
      </c>
    </row>
    <row r="35240" spans="26:26" x14ac:dyDescent="0.25">
      <c r="Z35240">
        <v>400000</v>
      </c>
    </row>
    <row r="35241" spans="26:26" x14ac:dyDescent="0.25">
      <c r="Z35241">
        <v>400000</v>
      </c>
    </row>
    <row r="35242" spans="26:26" x14ac:dyDescent="0.25">
      <c r="Z35242">
        <v>400000</v>
      </c>
    </row>
    <row r="35243" spans="26:26" x14ac:dyDescent="0.25">
      <c r="Z35243">
        <v>400000</v>
      </c>
    </row>
    <row r="35244" spans="26:26" x14ac:dyDescent="0.25">
      <c r="Z35244">
        <v>400000</v>
      </c>
    </row>
    <row r="35245" spans="26:26" x14ac:dyDescent="0.25">
      <c r="Z35245">
        <v>400000</v>
      </c>
    </row>
    <row r="35246" spans="26:26" x14ac:dyDescent="0.25">
      <c r="Z35246">
        <v>400000</v>
      </c>
    </row>
    <row r="35247" spans="26:26" x14ac:dyDescent="0.25">
      <c r="Z35247">
        <v>400000</v>
      </c>
    </row>
    <row r="35248" spans="26:26" x14ac:dyDescent="0.25">
      <c r="Z35248">
        <v>400000</v>
      </c>
    </row>
    <row r="35249" spans="26:26" x14ac:dyDescent="0.25">
      <c r="Z35249">
        <v>400000</v>
      </c>
    </row>
    <row r="35250" spans="26:26" x14ac:dyDescent="0.25">
      <c r="Z35250">
        <v>400000</v>
      </c>
    </row>
    <row r="35251" spans="26:26" x14ac:dyDescent="0.25">
      <c r="Z35251">
        <v>400000</v>
      </c>
    </row>
    <row r="35252" spans="26:26" x14ac:dyDescent="0.25">
      <c r="Z35252">
        <v>400000</v>
      </c>
    </row>
    <row r="35253" spans="26:26" x14ac:dyDescent="0.25">
      <c r="Z35253">
        <v>400000</v>
      </c>
    </row>
    <row r="35254" spans="26:26" x14ac:dyDescent="0.25">
      <c r="Z35254">
        <v>400000</v>
      </c>
    </row>
    <row r="35255" spans="26:26" x14ac:dyDescent="0.25">
      <c r="Z35255">
        <v>400000</v>
      </c>
    </row>
    <row r="35256" spans="26:26" x14ac:dyDescent="0.25">
      <c r="Z35256">
        <v>400000</v>
      </c>
    </row>
    <row r="35257" spans="26:26" x14ac:dyDescent="0.25">
      <c r="Z35257">
        <v>400000</v>
      </c>
    </row>
    <row r="35258" spans="26:26" x14ac:dyDescent="0.25">
      <c r="Z35258">
        <v>400000</v>
      </c>
    </row>
    <row r="35259" spans="26:26" x14ac:dyDescent="0.25">
      <c r="Z35259">
        <v>400000</v>
      </c>
    </row>
    <row r="35260" spans="26:26" x14ac:dyDescent="0.25">
      <c r="Z35260">
        <v>400000</v>
      </c>
    </row>
    <row r="35261" spans="26:26" x14ac:dyDescent="0.25">
      <c r="Z35261">
        <v>400000</v>
      </c>
    </row>
    <row r="35262" spans="26:26" x14ac:dyDescent="0.25">
      <c r="Z35262">
        <v>400000</v>
      </c>
    </row>
    <row r="35263" spans="26:26" x14ac:dyDescent="0.25">
      <c r="Z35263">
        <v>400000</v>
      </c>
    </row>
    <row r="35264" spans="26:26" x14ac:dyDescent="0.25">
      <c r="Z35264">
        <v>400000</v>
      </c>
    </row>
    <row r="35265" spans="26:26" x14ac:dyDescent="0.25">
      <c r="Z35265">
        <v>400000</v>
      </c>
    </row>
    <row r="35266" spans="26:26" x14ac:dyDescent="0.25">
      <c r="Z35266">
        <v>400000</v>
      </c>
    </row>
    <row r="35267" spans="26:26" x14ac:dyDescent="0.25">
      <c r="Z35267">
        <v>400000</v>
      </c>
    </row>
    <row r="35268" spans="26:26" x14ac:dyDescent="0.25">
      <c r="Z35268">
        <v>400000</v>
      </c>
    </row>
    <row r="35269" spans="26:26" x14ac:dyDescent="0.25">
      <c r="Z35269">
        <v>400000</v>
      </c>
    </row>
    <row r="35270" spans="26:26" x14ac:dyDescent="0.25">
      <c r="Z35270">
        <v>400000</v>
      </c>
    </row>
    <row r="35271" spans="26:26" x14ac:dyDescent="0.25">
      <c r="Z35271">
        <v>400000</v>
      </c>
    </row>
    <row r="35272" spans="26:26" x14ac:dyDescent="0.25">
      <c r="Z35272">
        <v>400000</v>
      </c>
    </row>
    <row r="35273" spans="26:26" x14ac:dyDescent="0.25">
      <c r="Z35273">
        <v>400000</v>
      </c>
    </row>
    <row r="35274" spans="26:26" x14ac:dyDescent="0.25">
      <c r="Z35274">
        <v>400000</v>
      </c>
    </row>
    <row r="35275" spans="26:26" x14ac:dyDescent="0.25">
      <c r="Z35275">
        <v>400000</v>
      </c>
    </row>
    <row r="35276" spans="26:26" x14ac:dyDescent="0.25">
      <c r="Z35276">
        <v>400000</v>
      </c>
    </row>
    <row r="35277" spans="26:26" x14ac:dyDescent="0.25">
      <c r="Z35277">
        <v>400000</v>
      </c>
    </row>
    <row r="35278" spans="26:26" x14ac:dyDescent="0.25">
      <c r="Z35278">
        <v>400000</v>
      </c>
    </row>
    <row r="35279" spans="26:26" x14ac:dyDescent="0.25">
      <c r="Z35279">
        <v>400000</v>
      </c>
    </row>
    <row r="35280" spans="26:26" x14ac:dyDescent="0.25">
      <c r="Z35280">
        <v>400000</v>
      </c>
    </row>
    <row r="35281" spans="26:26" x14ac:dyDescent="0.25">
      <c r="Z35281">
        <v>400000</v>
      </c>
    </row>
    <row r="35282" spans="26:26" x14ac:dyDescent="0.25">
      <c r="Z35282">
        <v>400000</v>
      </c>
    </row>
    <row r="35283" spans="26:26" x14ac:dyDescent="0.25">
      <c r="Z35283">
        <v>400000</v>
      </c>
    </row>
    <row r="35284" spans="26:26" x14ac:dyDescent="0.25">
      <c r="Z35284">
        <v>400000</v>
      </c>
    </row>
    <row r="35285" spans="26:26" x14ac:dyDescent="0.25">
      <c r="Z35285">
        <v>400000</v>
      </c>
    </row>
    <row r="35286" spans="26:26" x14ac:dyDescent="0.25">
      <c r="Z35286">
        <v>400000</v>
      </c>
    </row>
    <row r="35287" spans="26:26" x14ac:dyDescent="0.25">
      <c r="Z35287">
        <v>400000</v>
      </c>
    </row>
    <row r="35288" spans="26:26" x14ac:dyDescent="0.25">
      <c r="Z35288">
        <v>400000</v>
      </c>
    </row>
    <row r="35289" spans="26:26" x14ac:dyDescent="0.25">
      <c r="Z35289">
        <v>400000</v>
      </c>
    </row>
    <row r="35290" spans="26:26" x14ac:dyDescent="0.25">
      <c r="Z35290">
        <v>400000</v>
      </c>
    </row>
    <row r="35291" spans="26:26" x14ac:dyDescent="0.25">
      <c r="Z35291">
        <v>400000</v>
      </c>
    </row>
    <row r="35292" spans="26:26" x14ac:dyDescent="0.25">
      <c r="Z35292">
        <v>400000</v>
      </c>
    </row>
    <row r="35293" spans="26:26" x14ac:dyDescent="0.25">
      <c r="Z35293">
        <v>400000</v>
      </c>
    </row>
    <row r="35294" spans="26:26" x14ac:dyDescent="0.25">
      <c r="Z35294">
        <v>400000</v>
      </c>
    </row>
    <row r="35295" spans="26:26" x14ac:dyDescent="0.25">
      <c r="Z35295">
        <v>400000</v>
      </c>
    </row>
    <row r="35296" spans="26:26" x14ac:dyDescent="0.25">
      <c r="Z35296">
        <v>400000</v>
      </c>
    </row>
    <row r="35297" spans="26:26" x14ac:dyDescent="0.25">
      <c r="Z35297">
        <v>400000</v>
      </c>
    </row>
    <row r="35298" spans="26:26" x14ac:dyDescent="0.25">
      <c r="Z35298">
        <v>400000</v>
      </c>
    </row>
    <row r="35299" spans="26:26" x14ac:dyDescent="0.25">
      <c r="Z35299">
        <v>400000</v>
      </c>
    </row>
    <row r="35300" spans="26:26" x14ac:dyDescent="0.25">
      <c r="Z35300">
        <v>400000</v>
      </c>
    </row>
    <row r="35301" spans="26:26" x14ac:dyDescent="0.25">
      <c r="Z35301">
        <v>400000</v>
      </c>
    </row>
    <row r="35302" spans="26:26" x14ac:dyDescent="0.25">
      <c r="Z35302">
        <v>400000</v>
      </c>
    </row>
    <row r="35303" spans="26:26" x14ac:dyDescent="0.25">
      <c r="Z35303">
        <v>400000</v>
      </c>
    </row>
    <row r="35304" spans="26:26" x14ac:dyDescent="0.25">
      <c r="Z35304">
        <v>400000</v>
      </c>
    </row>
    <row r="35305" spans="26:26" x14ac:dyDescent="0.25">
      <c r="Z35305">
        <v>400000</v>
      </c>
    </row>
    <row r="35306" spans="26:26" x14ac:dyDescent="0.25">
      <c r="Z35306">
        <v>400000</v>
      </c>
    </row>
    <row r="35307" spans="26:26" x14ac:dyDescent="0.25">
      <c r="Z35307">
        <v>400000</v>
      </c>
    </row>
    <row r="35308" spans="26:26" x14ac:dyDescent="0.25">
      <c r="Z35308">
        <v>400000</v>
      </c>
    </row>
    <row r="35309" spans="26:26" x14ac:dyDescent="0.25">
      <c r="Z35309">
        <v>400000</v>
      </c>
    </row>
    <row r="35310" spans="26:26" x14ac:dyDescent="0.25">
      <c r="Z35310">
        <v>400000</v>
      </c>
    </row>
    <row r="35311" spans="26:26" x14ac:dyDescent="0.25">
      <c r="Z35311">
        <v>400000</v>
      </c>
    </row>
    <row r="35312" spans="26:26" x14ac:dyDescent="0.25">
      <c r="Z35312">
        <v>400000</v>
      </c>
    </row>
    <row r="35313" spans="26:26" x14ac:dyDescent="0.25">
      <c r="Z35313">
        <v>400000</v>
      </c>
    </row>
    <row r="35314" spans="26:26" x14ac:dyDescent="0.25">
      <c r="Z35314">
        <v>400000</v>
      </c>
    </row>
    <row r="35315" spans="26:26" x14ac:dyDescent="0.25">
      <c r="Z35315">
        <v>400000</v>
      </c>
    </row>
    <row r="35316" spans="26:26" x14ac:dyDescent="0.25">
      <c r="Z35316">
        <v>400000</v>
      </c>
    </row>
    <row r="35317" spans="26:26" x14ac:dyDescent="0.25">
      <c r="Z35317">
        <v>400000</v>
      </c>
    </row>
    <row r="35318" spans="26:26" x14ac:dyDescent="0.25">
      <c r="Z35318">
        <v>400000</v>
      </c>
    </row>
    <row r="35319" spans="26:26" x14ac:dyDescent="0.25">
      <c r="Z35319">
        <v>400000</v>
      </c>
    </row>
    <row r="35320" spans="26:26" x14ac:dyDescent="0.25">
      <c r="Z35320">
        <v>400000</v>
      </c>
    </row>
    <row r="35321" spans="26:26" x14ac:dyDescent="0.25">
      <c r="Z35321">
        <v>400000</v>
      </c>
    </row>
    <row r="35322" spans="26:26" x14ac:dyDescent="0.25">
      <c r="Z35322">
        <v>400000</v>
      </c>
    </row>
    <row r="35323" spans="26:26" x14ac:dyDescent="0.25">
      <c r="Z35323">
        <v>400000</v>
      </c>
    </row>
    <row r="35324" spans="26:26" x14ac:dyDescent="0.25">
      <c r="Z35324">
        <v>400000</v>
      </c>
    </row>
    <row r="35325" spans="26:26" x14ac:dyDescent="0.25">
      <c r="Z35325">
        <v>400000</v>
      </c>
    </row>
    <row r="35326" spans="26:26" x14ac:dyDescent="0.25">
      <c r="Z35326">
        <v>400000</v>
      </c>
    </row>
    <row r="35327" spans="26:26" x14ac:dyDescent="0.25">
      <c r="Z35327">
        <v>400000</v>
      </c>
    </row>
    <row r="35328" spans="26:26" x14ac:dyDescent="0.25">
      <c r="Z35328">
        <v>400000</v>
      </c>
    </row>
    <row r="35329" spans="26:26" x14ac:dyDescent="0.25">
      <c r="Z35329">
        <v>400000</v>
      </c>
    </row>
    <row r="35330" spans="26:26" x14ac:dyDescent="0.25">
      <c r="Z35330">
        <v>400000</v>
      </c>
    </row>
    <row r="35331" spans="26:26" x14ac:dyDescent="0.25">
      <c r="Z35331">
        <v>400000</v>
      </c>
    </row>
    <row r="35332" spans="26:26" x14ac:dyDescent="0.25">
      <c r="Z35332">
        <v>400000</v>
      </c>
    </row>
    <row r="35333" spans="26:26" x14ac:dyDescent="0.25">
      <c r="Z35333">
        <v>400000</v>
      </c>
    </row>
    <row r="35334" spans="26:26" x14ac:dyDescent="0.25">
      <c r="Z35334">
        <v>400000</v>
      </c>
    </row>
    <row r="35335" spans="26:26" x14ac:dyDescent="0.25">
      <c r="Z35335">
        <v>400000</v>
      </c>
    </row>
    <row r="35336" spans="26:26" x14ac:dyDescent="0.25">
      <c r="Z35336">
        <v>400000</v>
      </c>
    </row>
    <row r="35337" spans="26:26" x14ac:dyDescent="0.25">
      <c r="Z35337">
        <v>400000</v>
      </c>
    </row>
    <row r="35338" spans="26:26" x14ac:dyDescent="0.25">
      <c r="Z35338">
        <v>400000</v>
      </c>
    </row>
    <row r="35339" spans="26:26" x14ac:dyDescent="0.25">
      <c r="Z35339">
        <v>400000</v>
      </c>
    </row>
    <row r="35340" spans="26:26" x14ac:dyDescent="0.25">
      <c r="Z35340">
        <v>400000</v>
      </c>
    </row>
    <row r="35341" spans="26:26" x14ac:dyDescent="0.25">
      <c r="Z35341">
        <v>400000</v>
      </c>
    </row>
    <row r="35342" spans="26:26" x14ac:dyDescent="0.25">
      <c r="Z35342">
        <v>400000</v>
      </c>
    </row>
    <row r="35343" spans="26:26" x14ac:dyDescent="0.25">
      <c r="Z35343">
        <v>400000</v>
      </c>
    </row>
    <row r="35344" spans="26:26" x14ac:dyDescent="0.25">
      <c r="Z35344">
        <v>400000</v>
      </c>
    </row>
    <row r="35345" spans="26:26" x14ac:dyDescent="0.25">
      <c r="Z35345">
        <v>400000</v>
      </c>
    </row>
    <row r="35346" spans="26:26" x14ac:dyDescent="0.25">
      <c r="Z35346">
        <v>400000</v>
      </c>
    </row>
    <row r="35347" spans="26:26" x14ac:dyDescent="0.25">
      <c r="Z35347">
        <v>400000</v>
      </c>
    </row>
    <row r="35348" spans="26:26" x14ac:dyDescent="0.25">
      <c r="Z35348">
        <v>400000</v>
      </c>
    </row>
    <row r="35349" spans="26:26" x14ac:dyDescent="0.25">
      <c r="Z35349">
        <v>400000</v>
      </c>
    </row>
    <row r="35350" spans="26:26" x14ac:dyDescent="0.25">
      <c r="Z35350">
        <v>400000</v>
      </c>
    </row>
    <row r="35351" spans="26:26" x14ac:dyDescent="0.25">
      <c r="Z35351">
        <v>400000</v>
      </c>
    </row>
    <row r="35352" spans="26:26" x14ac:dyDescent="0.25">
      <c r="Z35352">
        <v>400000</v>
      </c>
    </row>
    <row r="35353" spans="26:26" x14ac:dyDescent="0.25">
      <c r="Z35353">
        <v>400000</v>
      </c>
    </row>
    <row r="35354" spans="26:26" x14ac:dyDescent="0.25">
      <c r="Z35354">
        <v>400000</v>
      </c>
    </row>
    <row r="35355" spans="26:26" x14ac:dyDescent="0.25">
      <c r="Z35355">
        <v>400000</v>
      </c>
    </row>
    <row r="35356" spans="26:26" x14ac:dyDescent="0.25">
      <c r="Z35356">
        <v>400000</v>
      </c>
    </row>
    <row r="35357" spans="26:26" x14ac:dyDescent="0.25">
      <c r="Z35357">
        <v>400000</v>
      </c>
    </row>
    <row r="35358" spans="26:26" x14ac:dyDescent="0.25">
      <c r="Z35358">
        <v>400000</v>
      </c>
    </row>
    <row r="35359" spans="26:26" x14ac:dyDescent="0.25">
      <c r="Z35359">
        <v>400000</v>
      </c>
    </row>
    <row r="35360" spans="26:26" x14ac:dyDescent="0.25">
      <c r="Z35360">
        <v>400000</v>
      </c>
    </row>
    <row r="35361" spans="26:26" x14ac:dyDescent="0.25">
      <c r="Z35361">
        <v>400000</v>
      </c>
    </row>
    <row r="35362" spans="26:26" x14ac:dyDescent="0.25">
      <c r="Z35362">
        <v>400000</v>
      </c>
    </row>
    <row r="35363" spans="26:26" x14ac:dyDescent="0.25">
      <c r="Z35363">
        <v>400000</v>
      </c>
    </row>
    <row r="35364" spans="26:26" x14ac:dyDescent="0.25">
      <c r="Z35364">
        <v>400000</v>
      </c>
    </row>
    <row r="35365" spans="26:26" x14ac:dyDescent="0.25">
      <c r="Z35365">
        <v>400000</v>
      </c>
    </row>
    <row r="35366" spans="26:26" x14ac:dyDescent="0.25">
      <c r="Z35366">
        <v>400000</v>
      </c>
    </row>
    <row r="35367" spans="26:26" x14ac:dyDescent="0.25">
      <c r="Z35367">
        <v>400000</v>
      </c>
    </row>
    <row r="35368" spans="26:26" x14ac:dyDescent="0.25">
      <c r="Z35368">
        <v>400000</v>
      </c>
    </row>
    <row r="35369" spans="26:26" x14ac:dyDescent="0.25">
      <c r="Z35369">
        <v>400000</v>
      </c>
    </row>
    <row r="35370" spans="26:26" x14ac:dyDescent="0.25">
      <c r="Z35370">
        <v>400000</v>
      </c>
    </row>
    <row r="35371" spans="26:26" x14ac:dyDescent="0.25">
      <c r="Z35371">
        <v>400000</v>
      </c>
    </row>
    <row r="35372" spans="26:26" x14ac:dyDescent="0.25">
      <c r="Z35372">
        <v>400000</v>
      </c>
    </row>
    <row r="35373" spans="26:26" x14ac:dyDescent="0.25">
      <c r="Z35373">
        <v>400000</v>
      </c>
    </row>
    <row r="35374" spans="26:26" x14ac:dyDescent="0.25">
      <c r="Z35374">
        <v>400000</v>
      </c>
    </row>
    <row r="35375" spans="26:26" x14ac:dyDescent="0.25">
      <c r="Z35375">
        <v>400000</v>
      </c>
    </row>
    <row r="35376" spans="26:26" x14ac:dyDescent="0.25">
      <c r="Z35376">
        <v>400000</v>
      </c>
    </row>
    <row r="35377" spans="26:26" x14ac:dyDescent="0.25">
      <c r="Z35377">
        <v>400000</v>
      </c>
    </row>
    <row r="35378" spans="26:26" x14ac:dyDescent="0.25">
      <c r="Z35378">
        <v>400000</v>
      </c>
    </row>
    <row r="35379" spans="26:26" x14ac:dyDescent="0.25">
      <c r="Z35379">
        <v>400000</v>
      </c>
    </row>
    <row r="35380" spans="26:26" x14ac:dyDescent="0.25">
      <c r="Z35380">
        <v>400000</v>
      </c>
    </row>
    <row r="35381" spans="26:26" x14ac:dyDescent="0.25">
      <c r="Z35381">
        <v>400000</v>
      </c>
    </row>
    <row r="35382" spans="26:26" x14ac:dyDescent="0.25">
      <c r="Z35382">
        <v>400000</v>
      </c>
    </row>
    <row r="35383" spans="26:26" x14ac:dyDescent="0.25">
      <c r="Z35383">
        <v>400000</v>
      </c>
    </row>
    <row r="35384" spans="26:26" x14ac:dyDescent="0.25">
      <c r="Z35384">
        <v>400000</v>
      </c>
    </row>
    <row r="35385" spans="26:26" x14ac:dyDescent="0.25">
      <c r="Z35385">
        <v>400000</v>
      </c>
    </row>
    <row r="35386" spans="26:26" x14ac:dyDescent="0.25">
      <c r="Z35386">
        <v>400000</v>
      </c>
    </row>
    <row r="35387" spans="26:26" x14ac:dyDescent="0.25">
      <c r="Z35387">
        <v>400000</v>
      </c>
    </row>
    <row r="35388" spans="26:26" x14ac:dyDescent="0.25">
      <c r="Z35388">
        <v>400000</v>
      </c>
    </row>
    <row r="35389" spans="26:26" x14ac:dyDescent="0.25">
      <c r="Z35389">
        <v>400000</v>
      </c>
    </row>
    <row r="35390" spans="26:26" x14ac:dyDescent="0.25">
      <c r="Z35390">
        <v>400000</v>
      </c>
    </row>
    <row r="35391" spans="26:26" x14ac:dyDescent="0.25">
      <c r="Z35391">
        <v>400000</v>
      </c>
    </row>
    <row r="35392" spans="26:26" x14ac:dyDescent="0.25">
      <c r="Z35392">
        <v>400000</v>
      </c>
    </row>
    <row r="35393" spans="26:26" x14ac:dyDescent="0.25">
      <c r="Z35393">
        <v>400000</v>
      </c>
    </row>
    <row r="35394" spans="26:26" x14ac:dyDescent="0.25">
      <c r="Z35394">
        <v>400000</v>
      </c>
    </row>
    <row r="35395" spans="26:26" x14ac:dyDescent="0.25">
      <c r="Z35395">
        <v>400000</v>
      </c>
    </row>
    <row r="35396" spans="26:26" x14ac:dyDescent="0.25">
      <c r="Z35396">
        <v>400000</v>
      </c>
    </row>
    <row r="35397" spans="26:26" x14ac:dyDescent="0.25">
      <c r="Z35397">
        <v>400000</v>
      </c>
    </row>
    <row r="35398" spans="26:26" x14ac:dyDescent="0.25">
      <c r="Z35398">
        <v>400000</v>
      </c>
    </row>
    <row r="35399" spans="26:26" x14ac:dyDescent="0.25">
      <c r="Z35399">
        <v>400000</v>
      </c>
    </row>
    <row r="35400" spans="26:26" x14ac:dyDescent="0.25">
      <c r="Z35400">
        <v>400000</v>
      </c>
    </row>
    <row r="35401" spans="26:26" x14ac:dyDescent="0.25">
      <c r="Z35401">
        <v>400000</v>
      </c>
    </row>
    <row r="35402" spans="26:26" x14ac:dyDescent="0.25">
      <c r="Z35402">
        <v>400000</v>
      </c>
    </row>
    <row r="35403" spans="26:26" x14ac:dyDescent="0.25">
      <c r="Z35403">
        <v>400000</v>
      </c>
    </row>
    <row r="35404" spans="26:26" x14ac:dyDescent="0.25">
      <c r="Z35404">
        <v>400000</v>
      </c>
    </row>
    <row r="35405" spans="26:26" x14ac:dyDescent="0.25">
      <c r="Z35405">
        <v>400000</v>
      </c>
    </row>
    <row r="35406" spans="26:26" x14ac:dyDescent="0.25">
      <c r="Z35406">
        <v>400000</v>
      </c>
    </row>
    <row r="35407" spans="26:26" x14ac:dyDescent="0.25">
      <c r="Z35407">
        <v>400000</v>
      </c>
    </row>
    <row r="35408" spans="26:26" x14ac:dyDescent="0.25">
      <c r="Z35408">
        <v>400000</v>
      </c>
    </row>
    <row r="35409" spans="26:26" x14ac:dyDescent="0.25">
      <c r="Z35409">
        <v>400000</v>
      </c>
    </row>
    <row r="35410" spans="26:26" x14ac:dyDescent="0.25">
      <c r="Z35410">
        <v>400000</v>
      </c>
    </row>
    <row r="35411" spans="26:26" x14ac:dyDescent="0.25">
      <c r="Z35411">
        <v>400000</v>
      </c>
    </row>
    <row r="35412" spans="26:26" x14ac:dyDescent="0.25">
      <c r="Z35412">
        <v>400000</v>
      </c>
    </row>
    <row r="35413" spans="26:26" x14ac:dyDescent="0.25">
      <c r="Z35413">
        <v>400000</v>
      </c>
    </row>
    <row r="35414" spans="26:26" x14ac:dyDescent="0.25">
      <c r="Z35414">
        <v>400000</v>
      </c>
    </row>
    <row r="35415" spans="26:26" x14ac:dyDescent="0.25">
      <c r="Z35415">
        <v>400000</v>
      </c>
    </row>
    <row r="35416" spans="26:26" x14ac:dyDescent="0.25">
      <c r="Z35416">
        <v>400000</v>
      </c>
    </row>
    <row r="35417" spans="26:26" x14ac:dyDescent="0.25">
      <c r="Z35417">
        <v>400000</v>
      </c>
    </row>
    <row r="35418" spans="26:26" x14ac:dyDescent="0.25">
      <c r="Z35418">
        <v>400000</v>
      </c>
    </row>
    <row r="35419" spans="26:26" x14ac:dyDescent="0.25">
      <c r="Z35419">
        <v>400000</v>
      </c>
    </row>
    <row r="35420" spans="26:26" x14ac:dyDescent="0.25">
      <c r="Z35420">
        <v>400000</v>
      </c>
    </row>
    <row r="35421" spans="26:26" x14ac:dyDescent="0.25">
      <c r="Z35421">
        <v>400000</v>
      </c>
    </row>
    <row r="35422" spans="26:26" x14ac:dyDescent="0.25">
      <c r="Z35422">
        <v>400000</v>
      </c>
    </row>
    <row r="35423" spans="26:26" x14ac:dyDescent="0.25">
      <c r="Z35423">
        <v>400000</v>
      </c>
    </row>
    <row r="35424" spans="26:26" x14ac:dyDescent="0.25">
      <c r="Z35424">
        <v>400000</v>
      </c>
    </row>
    <row r="35425" spans="26:26" x14ac:dyDescent="0.25">
      <c r="Z35425">
        <v>400000</v>
      </c>
    </row>
    <row r="35426" spans="26:26" x14ac:dyDescent="0.25">
      <c r="Z35426">
        <v>400000</v>
      </c>
    </row>
    <row r="35427" spans="26:26" x14ac:dyDescent="0.25">
      <c r="Z35427">
        <v>400000</v>
      </c>
    </row>
    <row r="35428" spans="26:26" x14ac:dyDescent="0.25">
      <c r="Z35428">
        <v>400000</v>
      </c>
    </row>
    <row r="35429" spans="26:26" x14ac:dyDescent="0.25">
      <c r="Z35429">
        <v>400000</v>
      </c>
    </row>
    <row r="35430" spans="26:26" x14ac:dyDescent="0.25">
      <c r="Z35430">
        <v>400000</v>
      </c>
    </row>
    <row r="35431" spans="26:26" x14ac:dyDescent="0.25">
      <c r="Z35431">
        <v>400000</v>
      </c>
    </row>
    <row r="35432" spans="26:26" x14ac:dyDescent="0.25">
      <c r="Z35432">
        <v>400000</v>
      </c>
    </row>
    <row r="35433" spans="26:26" x14ac:dyDescent="0.25">
      <c r="Z35433">
        <v>400000</v>
      </c>
    </row>
    <row r="35434" spans="26:26" x14ac:dyDescent="0.25">
      <c r="Z35434">
        <v>400000</v>
      </c>
    </row>
    <row r="35435" spans="26:26" x14ac:dyDescent="0.25">
      <c r="Z35435">
        <v>400000</v>
      </c>
    </row>
    <row r="35436" spans="26:26" x14ac:dyDescent="0.25">
      <c r="Z35436">
        <v>400000</v>
      </c>
    </row>
    <row r="35437" spans="26:26" x14ac:dyDescent="0.25">
      <c r="Z35437">
        <v>400000</v>
      </c>
    </row>
    <row r="35438" spans="26:26" x14ac:dyDescent="0.25">
      <c r="Z35438">
        <v>400000</v>
      </c>
    </row>
    <row r="35439" spans="26:26" x14ac:dyDescent="0.25">
      <c r="Z35439">
        <v>400000</v>
      </c>
    </row>
    <row r="35440" spans="26:26" x14ac:dyDescent="0.25">
      <c r="Z35440">
        <v>400000</v>
      </c>
    </row>
    <row r="35441" spans="26:26" x14ac:dyDescent="0.25">
      <c r="Z35441">
        <v>400000</v>
      </c>
    </row>
    <row r="35442" spans="26:26" x14ac:dyDescent="0.25">
      <c r="Z35442">
        <v>400000</v>
      </c>
    </row>
    <row r="35443" spans="26:26" x14ac:dyDescent="0.25">
      <c r="Z35443">
        <v>400000</v>
      </c>
    </row>
    <row r="35444" spans="26:26" x14ac:dyDescent="0.25">
      <c r="Z35444">
        <v>400000</v>
      </c>
    </row>
    <row r="35445" spans="26:26" x14ac:dyDescent="0.25">
      <c r="Z35445">
        <v>400000</v>
      </c>
    </row>
    <row r="35446" spans="26:26" x14ac:dyDescent="0.25">
      <c r="Z35446">
        <v>400000</v>
      </c>
    </row>
    <row r="35447" spans="26:26" x14ac:dyDescent="0.25">
      <c r="Z35447">
        <v>400000</v>
      </c>
    </row>
    <row r="35448" spans="26:26" x14ac:dyDescent="0.25">
      <c r="Z35448">
        <v>400000</v>
      </c>
    </row>
    <row r="35449" spans="26:26" x14ac:dyDescent="0.25">
      <c r="Z35449">
        <v>400000</v>
      </c>
    </row>
    <row r="35450" spans="26:26" x14ac:dyDescent="0.25">
      <c r="Z35450">
        <v>400000</v>
      </c>
    </row>
    <row r="35451" spans="26:26" x14ac:dyDescent="0.25">
      <c r="Z35451">
        <v>400000</v>
      </c>
    </row>
    <row r="35452" spans="26:26" x14ac:dyDescent="0.25">
      <c r="Z35452">
        <v>400000</v>
      </c>
    </row>
    <row r="35453" spans="26:26" x14ac:dyDescent="0.25">
      <c r="Z35453">
        <v>400000</v>
      </c>
    </row>
    <row r="35454" spans="26:26" x14ac:dyDescent="0.25">
      <c r="Z35454">
        <v>400000</v>
      </c>
    </row>
    <row r="35455" spans="26:26" x14ac:dyDescent="0.25">
      <c r="Z35455">
        <v>400000</v>
      </c>
    </row>
    <row r="35456" spans="26:26" x14ac:dyDescent="0.25">
      <c r="Z35456">
        <v>400000</v>
      </c>
    </row>
    <row r="35457" spans="26:26" x14ac:dyDescent="0.25">
      <c r="Z35457">
        <v>400000</v>
      </c>
    </row>
    <row r="35458" spans="26:26" x14ac:dyDescent="0.25">
      <c r="Z35458">
        <v>400000</v>
      </c>
    </row>
    <row r="35459" spans="26:26" x14ac:dyDescent="0.25">
      <c r="Z35459">
        <v>400000</v>
      </c>
    </row>
    <row r="35460" spans="26:26" x14ac:dyDescent="0.25">
      <c r="Z35460">
        <v>400000</v>
      </c>
    </row>
    <row r="35461" spans="26:26" x14ac:dyDescent="0.25">
      <c r="Z35461">
        <v>400000</v>
      </c>
    </row>
    <row r="35462" spans="26:26" x14ac:dyDescent="0.25">
      <c r="Z35462">
        <v>400000</v>
      </c>
    </row>
    <row r="35463" spans="26:26" x14ac:dyDescent="0.25">
      <c r="Z35463">
        <v>400000</v>
      </c>
    </row>
    <row r="35464" spans="26:26" x14ac:dyDescent="0.25">
      <c r="Z35464">
        <v>400000</v>
      </c>
    </row>
    <row r="35465" spans="26:26" x14ac:dyDescent="0.25">
      <c r="Z35465">
        <v>400000</v>
      </c>
    </row>
    <row r="35466" spans="26:26" x14ac:dyDescent="0.25">
      <c r="Z35466">
        <v>400000</v>
      </c>
    </row>
    <row r="35467" spans="26:26" x14ac:dyDescent="0.25">
      <c r="Z35467">
        <v>400000</v>
      </c>
    </row>
    <row r="35468" spans="26:26" x14ac:dyDescent="0.25">
      <c r="Z35468">
        <v>400000</v>
      </c>
    </row>
    <row r="35469" spans="26:26" x14ac:dyDescent="0.25">
      <c r="Z35469">
        <v>400000</v>
      </c>
    </row>
    <row r="35470" spans="26:26" x14ac:dyDescent="0.25">
      <c r="Z35470">
        <v>400000</v>
      </c>
    </row>
    <row r="35471" spans="26:26" x14ac:dyDescent="0.25">
      <c r="Z35471">
        <v>400000</v>
      </c>
    </row>
    <row r="35472" spans="26:26" x14ac:dyDescent="0.25">
      <c r="Z35472">
        <v>400000</v>
      </c>
    </row>
    <row r="35473" spans="26:26" x14ac:dyDescent="0.25">
      <c r="Z35473">
        <v>400000</v>
      </c>
    </row>
    <row r="35474" spans="26:26" x14ac:dyDescent="0.25">
      <c r="Z35474">
        <v>400000</v>
      </c>
    </row>
    <row r="35475" spans="26:26" x14ac:dyDescent="0.25">
      <c r="Z35475">
        <v>400000</v>
      </c>
    </row>
    <row r="35476" spans="26:26" x14ac:dyDescent="0.25">
      <c r="Z35476">
        <v>400000</v>
      </c>
    </row>
    <row r="35477" spans="26:26" x14ac:dyDescent="0.25">
      <c r="Z35477">
        <v>400000</v>
      </c>
    </row>
    <row r="35478" spans="26:26" x14ac:dyDescent="0.25">
      <c r="Z35478">
        <v>400000</v>
      </c>
    </row>
    <row r="35479" spans="26:26" x14ac:dyDescent="0.25">
      <c r="Z35479">
        <v>400000</v>
      </c>
    </row>
    <row r="35480" spans="26:26" x14ac:dyDescent="0.25">
      <c r="Z35480">
        <v>400000</v>
      </c>
    </row>
    <row r="35481" spans="26:26" x14ac:dyDescent="0.25">
      <c r="Z35481">
        <v>400000</v>
      </c>
    </row>
    <row r="35482" spans="26:26" x14ac:dyDescent="0.25">
      <c r="Z35482">
        <v>400000</v>
      </c>
    </row>
    <row r="35483" spans="26:26" x14ac:dyDescent="0.25">
      <c r="Z35483">
        <v>400000</v>
      </c>
    </row>
    <row r="35484" spans="26:26" x14ac:dyDescent="0.25">
      <c r="Z35484">
        <v>400000</v>
      </c>
    </row>
    <row r="35485" spans="26:26" x14ac:dyDescent="0.25">
      <c r="Z35485">
        <v>400000</v>
      </c>
    </row>
    <row r="35486" spans="26:26" x14ac:dyDescent="0.25">
      <c r="Z35486">
        <v>400000</v>
      </c>
    </row>
    <row r="35487" spans="26:26" x14ac:dyDescent="0.25">
      <c r="Z35487">
        <v>400000</v>
      </c>
    </row>
    <row r="35488" spans="26:26" x14ac:dyDescent="0.25">
      <c r="Z35488">
        <v>400000</v>
      </c>
    </row>
    <row r="35489" spans="26:26" x14ac:dyDescent="0.25">
      <c r="Z35489">
        <v>400000</v>
      </c>
    </row>
    <row r="35490" spans="26:26" x14ac:dyDescent="0.25">
      <c r="Z35490">
        <v>400000</v>
      </c>
    </row>
    <row r="35491" spans="26:26" x14ac:dyDescent="0.25">
      <c r="Z35491">
        <v>400000</v>
      </c>
    </row>
    <row r="35492" spans="26:26" x14ac:dyDescent="0.25">
      <c r="Z35492">
        <v>400000</v>
      </c>
    </row>
    <row r="35493" spans="26:26" x14ac:dyDescent="0.25">
      <c r="Z35493">
        <v>400000</v>
      </c>
    </row>
    <row r="35494" spans="26:26" x14ac:dyDescent="0.25">
      <c r="Z35494">
        <v>400000</v>
      </c>
    </row>
    <row r="35495" spans="26:26" x14ac:dyDescent="0.25">
      <c r="Z35495">
        <v>400000</v>
      </c>
    </row>
    <row r="35496" spans="26:26" x14ac:dyDescent="0.25">
      <c r="Z35496">
        <v>400000</v>
      </c>
    </row>
    <row r="35497" spans="26:26" x14ac:dyDescent="0.25">
      <c r="Z35497">
        <v>400000</v>
      </c>
    </row>
    <row r="35498" spans="26:26" x14ac:dyDescent="0.25">
      <c r="Z35498">
        <v>400000</v>
      </c>
    </row>
    <row r="35499" spans="26:26" x14ac:dyDescent="0.25">
      <c r="Z35499">
        <v>400000</v>
      </c>
    </row>
    <row r="35500" spans="26:26" x14ac:dyDescent="0.25">
      <c r="Z35500">
        <v>400000</v>
      </c>
    </row>
    <row r="35501" spans="26:26" x14ac:dyDescent="0.25">
      <c r="Z35501">
        <v>400000</v>
      </c>
    </row>
    <row r="35502" spans="26:26" x14ac:dyDescent="0.25">
      <c r="Z35502">
        <v>400000</v>
      </c>
    </row>
    <row r="35503" spans="26:26" x14ac:dyDescent="0.25">
      <c r="Z35503">
        <v>400000</v>
      </c>
    </row>
    <row r="35504" spans="26:26" x14ac:dyDescent="0.25">
      <c r="Z35504">
        <v>400000</v>
      </c>
    </row>
    <row r="35505" spans="26:26" x14ac:dyDescent="0.25">
      <c r="Z35505">
        <v>400000</v>
      </c>
    </row>
    <row r="35506" spans="26:26" x14ac:dyDescent="0.25">
      <c r="Z35506">
        <v>400000</v>
      </c>
    </row>
    <row r="35507" spans="26:26" x14ac:dyDescent="0.25">
      <c r="Z35507">
        <v>400000</v>
      </c>
    </row>
    <row r="35508" spans="26:26" x14ac:dyDescent="0.25">
      <c r="Z35508">
        <v>400000</v>
      </c>
    </row>
    <row r="35509" spans="26:26" x14ac:dyDescent="0.25">
      <c r="Z35509">
        <v>400000</v>
      </c>
    </row>
    <row r="35510" spans="26:26" x14ac:dyDescent="0.25">
      <c r="Z35510">
        <v>400000</v>
      </c>
    </row>
    <row r="35511" spans="26:26" x14ac:dyDescent="0.25">
      <c r="Z35511">
        <v>400000</v>
      </c>
    </row>
    <row r="35512" spans="26:26" x14ac:dyDescent="0.25">
      <c r="Z35512">
        <v>400000</v>
      </c>
    </row>
    <row r="35513" spans="26:26" x14ac:dyDescent="0.25">
      <c r="Z35513">
        <v>400000</v>
      </c>
    </row>
    <row r="35514" spans="26:26" x14ac:dyDescent="0.25">
      <c r="Z35514">
        <v>400000</v>
      </c>
    </row>
    <row r="35515" spans="26:26" x14ac:dyDescent="0.25">
      <c r="Z35515">
        <v>400000</v>
      </c>
    </row>
    <row r="35516" spans="26:26" x14ac:dyDescent="0.25">
      <c r="Z35516">
        <v>400000</v>
      </c>
    </row>
    <row r="35517" spans="26:26" x14ac:dyDescent="0.25">
      <c r="Z35517">
        <v>400000</v>
      </c>
    </row>
    <row r="35518" spans="26:26" x14ac:dyDescent="0.25">
      <c r="Z35518">
        <v>400000</v>
      </c>
    </row>
    <row r="35519" spans="26:26" x14ac:dyDescent="0.25">
      <c r="Z35519">
        <v>400000</v>
      </c>
    </row>
    <row r="35520" spans="26:26" x14ac:dyDescent="0.25">
      <c r="Z35520">
        <v>400000</v>
      </c>
    </row>
    <row r="35521" spans="26:26" x14ac:dyDescent="0.25">
      <c r="Z35521">
        <v>400000</v>
      </c>
    </row>
    <row r="35522" spans="26:26" x14ac:dyDescent="0.25">
      <c r="Z35522">
        <v>400000</v>
      </c>
    </row>
    <row r="35523" spans="26:26" x14ac:dyDescent="0.25">
      <c r="Z35523">
        <v>400000</v>
      </c>
    </row>
    <row r="35524" spans="26:26" x14ac:dyDescent="0.25">
      <c r="Z35524">
        <v>400000</v>
      </c>
    </row>
    <row r="35525" spans="26:26" x14ac:dyDescent="0.25">
      <c r="Z35525">
        <v>400000</v>
      </c>
    </row>
    <row r="35526" spans="26:26" x14ac:dyDescent="0.25">
      <c r="Z35526">
        <v>400000</v>
      </c>
    </row>
    <row r="35527" spans="26:26" x14ac:dyDescent="0.25">
      <c r="Z35527">
        <v>400000</v>
      </c>
    </row>
    <row r="35528" spans="26:26" x14ac:dyDescent="0.25">
      <c r="Z35528">
        <v>400000</v>
      </c>
    </row>
    <row r="35529" spans="26:26" x14ac:dyDescent="0.25">
      <c r="Z35529">
        <v>400000</v>
      </c>
    </row>
    <row r="35530" spans="26:26" x14ac:dyDescent="0.25">
      <c r="Z35530">
        <v>400000</v>
      </c>
    </row>
    <row r="35531" spans="26:26" x14ac:dyDescent="0.25">
      <c r="Z35531">
        <v>400000</v>
      </c>
    </row>
    <row r="35532" spans="26:26" x14ac:dyDescent="0.25">
      <c r="Z35532">
        <v>400000</v>
      </c>
    </row>
    <row r="35533" spans="26:26" x14ac:dyDescent="0.25">
      <c r="Z35533">
        <v>400000</v>
      </c>
    </row>
    <row r="35534" spans="26:26" x14ac:dyDescent="0.25">
      <c r="Z35534">
        <v>400000</v>
      </c>
    </row>
    <row r="35535" spans="26:26" x14ac:dyDescent="0.25">
      <c r="Z35535">
        <v>400000</v>
      </c>
    </row>
    <row r="35536" spans="26:26" x14ac:dyDescent="0.25">
      <c r="Z35536">
        <v>400000</v>
      </c>
    </row>
    <row r="35537" spans="26:26" x14ac:dyDescent="0.25">
      <c r="Z35537">
        <v>400000</v>
      </c>
    </row>
    <row r="35538" spans="26:26" x14ac:dyDescent="0.25">
      <c r="Z35538">
        <v>400000</v>
      </c>
    </row>
    <row r="35539" spans="26:26" x14ac:dyDescent="0.25">
      <c r="Z35539">
        <v>400000</v>
      </c>
    </row>
    <row r="35540" spans="26:26" x14ac:dyDescent="0.25">
      <c r="Z35540">
        <v>400000</v>
      </c>
    </row>
    <row r="35541" spans="26:26" x14ac:dyDescent="0.25">
      <c r="Z35541">
        <v>400000</v>
      </c>
    </row>
    <row r="35542" spans="26:26" x14ac:dyDescent="0.25">
      <c r="Z35542">
        <v>400000</v>
      </c>
    </row>
    <row r="35543" spans="26:26" x14ac:dyDescent="0.25">
      <c r="Z35543">
        <v>400000</v>
      </c>
    </row>
    <row r="35544" spans="26:26" x14ac:dyDescent="0.25">
      <c r="Z35544">
        <v>400000</v>
      </c>
    </row>
    <row r="35545" spans="26:26" x14ac:dyDescent="0.25">
      <c r="Z35545">
        <v>400000</v>
      </c>
    </row>
    <row r="35546" spans="26:26" x14ac:dyDescent="0.25">
      <c r="Z35546">
        <v>400000</v>
      </c>
    </row>
    <row r="35547" spans="26:26" x14ac:dyDescent="0.25">
      <c r="Z35547">
        <v>400000</v>
      </c>
    </row>
    <row r="35548" spans="26:26" x14ac:dyDescent="0.25">
      <c r="Z35548">
        <v>400000</v>
      </c>
    </row>
    <row r="35549" spans="26:26" x14ac:dyDescent="0.25">
      <c r="Z35549">
        <v>400000</v>
      </c>
    </row>
    <row r="35550" spans="26:26" x14ac:dyDescent="0.25">
      <c r="Z35550">
        <v>400000</v>
      </c>
    </row>
    <row r="35551" spans="26:26" x14ac:dyDescent="0.25">
      <c r="Z35551">
        <v>400000</v>
      </c>
    </row>
    <row r="35552" spans="26:26" x14ac:dyDescent="0.25">
      <c r="Z35552">
        <v>400000</v>
      </c>
    </row>
    <row r="35553" spans="26:26" x14ac:dyDescent="0.25">
      <c r="Z35553">
        <v>400000</v>
      </c>
    </row>
    <row r="35554" spans="26:26" x14ac:dyDescent="0.25">
      <c r="Z35554">
        <v>400000</v>
      </c>
    </row>
    <row r="35555" spans="26:26" x14ac:dyDescent="0.25">
      <c r="Z35555">
        <v>400000</v>
      </c>
    </row>
    <row r="35556" spans="26:26" x14ac:dyDescent="0.25">
      <c r="Z35556">
        <v>400000</v>
      </c>
    </row>
    <row r="35557" spans="26:26" x14ac:dyDescent="0.25">
      <c r="Z35557">
        <v>400000</v>
      </c>
    </row>
    <row r="35558" spans="26:26" x14ac:dyDescent="0.25">
      <c r="Z35558">
        <v>400000</v>
      </c>
    </row>
    <row r="35559" spans="26:26" x14ac:dyDescent="0.25">
      <c r="Z35559">
        <v>400000</v>
      </c>
    </row>
    <row r="35560" spans="26:26" x14ac:dyDescent="0.25">
      <c r="Z35560">
        <v>400000</v>
      </c>
    </row>
    <row r="35561" spans="26:26" x14ac:dyDescent="0.25">
      <c r="Z35561">
        <v>400000</v>
      </c>
    </row>
    <row r="35562" spans="26:26" x14ac:dyDescent="0.25">
      <c r="Z35562">
        <v>400000</v>
      </c>
    </row>
    <row r="35563" spans="26:26" x14ac:dyDescent="0.25">
      <c r="Z35563">
        <v>400000</v>
      </c>
    </row>
    <row r="35564" spans="26:26" x14ac:dyDescent="0.25">
      <c r="Z35564">
        <v>400000</v>
      </c>
    </row>
    <row r="35565" spans="26:26" x14ac:dyDescent="0.25">
      <c r="Z35565">
        <v>400000</v>
      </c>
    </row>
    <row r="35566" spans="26:26" x14ac:dyDescent="0.25">
      <c r="Z35566">
        <v>400000</v>
      </c>
    </row>
    <row r="35567" spans="26:26" x14ac:dyDescent="0.25">
      <c r="Z35567">
        <v>400000</v>
      </c>
    </row>
    <row r="35568" spans="26:26" x14ac:dyDescent="0.25">
      <c r="Z35568">
        <v>400000</v>
      </c>
    </row>
    <row r="35569" spans="26:26" x14ac:dyDescent="0.25">
      <c r="Z35569">
        <v>400000</v>
      </c>
    </row>
    <row r="35570" spans="26:26" x14ac:dyDescent="0.25">
      <c r="Z35570">
        <v>400000</v>
      </c>
    </row>
    <row r="35571" spans="26:26" x14ac:dyDescent="0.25">
      <c r="Z35571">
        <v>400000</v>
      </c>
    </row>
    <row r="35572" spans="26:26" x14ac:dyDescent="0.25">
      <c r="Z35572">
        <v>400000</v>
      </c>
    </row>
    <row r="35573" spans="26:26" x14ac:dyDescent="0.25">
      <c r="Z35573">
        <v>400000</v>
      </c>
    </row>
    <row r="35574" spans="26:26" x14ac:dyDescent="0.25">
      <c r="Z35574">
        <v>400000</v>
      </c>
    </row>
    <row r="35575" spans="26:26" x14ac:dyDescent="0.25">
      <c r="Z35575">
        <v>400000</v>
      </c>
    </row>
    <row r="35576" spans="26:26" x14ac:dyDescent="0.25">
      <c r="Z35576">
        <v>400000</v>
      </c>
    </row>
    <row r="35577" spans="26:26" x14ac:dyDescent="0.25">
      <c r="Z35577">
        <v>400000</v>
      </c>
    </row>
    <row r="35578" spans="26:26" x14ac:dyDescent="0.25">
      <c r="Z35578">
        <v>400000</v>
      </c>
    </row>
    <row r="35579" spans="26:26" x14ac:dyDescent="0.25">
      <c r="Z35579">
        <v>400000</v>
      </c>
    </row>
    <row r="35580" spans="26:26" x14ac:dyDescent="0.25">
      <c r="Z35580">
        <v>400000</v>
      </c>
    </row>
    <row r="35581" spans="26:26" x14ac:dyDescent="0.25">
      <c r="Z35581">
        <v>400000</v>
      </c>
    </row>
    <row r="35582" spans="26:26" x14ac:dyDescent="0.25">
      <c r="Z35582">
        <v>400000</v>
      </c>
    </row>
    <row r="35583" spans="26:26" x14ac:dyDescent="0.25">
      <c r="Z35583">
        <v>400000</v>
      </c>
    </row>
    <row r="35584" spans="26:26" x14ac:dyDescent="0.25">
      <c r="Z35584">
        <v>400000</v>
      </c>
    </row>
    <row r="35585" spans="26:26" x14ac:dyDescent="0.25">
      <c r="Z35585">
        <v>400000</v>
      </c>
    </row>
    <row r="35586" spans="26:26" x14ac:dyDescent="0.25">
      <c r="Z35586">
        <v>400000</v>
      </c>
    </row>
    <row r="35587" spans="26:26" x14ac:dyDescent="0.25">
      <c r="Z35587">
        <v>400000</v>
      </c>
    </row>
    <row r="35588" spans="26:26" x14ac:dyDescent="0.25">
      <c r="Z35588">
        <v>400000</v>
      </c>
    </row>
    <row r="35589" spans="26:26" x14ac:dyDescent="0.25">
      <c r="Z35589">
        <v>400000</v>
      </c>
    </row>
    <row r="35590" spans="26:26" x14ac:dyDescent="0.25">
      <c r="Z35590">
        <v>400000</v>
      </c>
    </row>
    <row r="35591" spans="26:26" x14ac:dyDescent="0.25">
      <c r="Z35591">
        <v>400000</v>
      </c>
    </row>
    <row r="35592" spans="26:26" x14ac:dyDescent="0.25">
      <c r="Z35592">
        <v>400000</v>
      </c>
    </row>
    <row r="35593" spans="26:26" x14ac:dyDescent="0.25">
      <c r="Z35593">
        <v>400000</v>
      </c>
    </row>
    <row r="35594" spans="26:26" x14ac:dyDescent="0.25">
      <c r="Z35594">
        <v>400000</v>
      </c>
    </row>
    <row r="35595" spans="26:26" x14ac:dyDescent="0.25">
      <c r="Z35595">
        <v>400000</v>
      </c>
    </row>
    <row r="35596" spans="26:26" x14ac:dyDescent="0.25">
      <c r="Z35596">
        <v>400000</v>
      </c>
    </row>
    <row r="35597" spans="26:26" x14ac:dyDescent="0.25">
      <c r="Z35597">
        <v>400000</v>
      </c>
    </row>
    <row r="35598" spans="26:26" x14ac:dyDescent="0.25">
      <c r="Z35598">
        <v>400000</v>
      </c>
    </row>
    <row r="35599" spans="26:26" x14ac:dyDescent="0.25">
      <c r="Z35599">
        <v>400000</v>
      </c>
    </row>
    <row r="35600" spans="26:26" x14ac:dyDescent="0.25">
      <c r="Z35600">
        <v>400000</v>
      </c>
    </row>
    <row r="35601" spans="26:26" x14ac:dyDescent="0.25">
      <c r="Z35601">
        <v>400000</v>
      </c>
    </row>
    <row r="35602" spans="26:26" x14ac:dyDescent="0.25">
      <c r="Z35602">
        <v>400000</v>
      </c>
    </row>
    <row r="35603" spans="26:26" x14ac:dyDescent="0.25">
      <c r="Z35603">
        <v>400000</v>
      </c>
    </row>
    <row r="35604" spans="26:26" x14ac:dyDescent="0.25">
      <c r="Z35604">
        <v>400000</v>
      </c>
    </row>
    <row r="35605" spans="26:26" x14ac:dyDescent="0.25">
      <c r="Z35605">
        <v>400000</v>
      </c>
    </row>
    <row r="35606" spans="26:26" x14ac:dyDescent="0.25">
      <c r="Z35606">
        <v>400000</v>
      </c>
    </row>
    <row r="35607" spans="26:26" x14ac:dyDescent="0.25">
      <c r="Z35607">
        <v>400000</v>
      </c>
    </row>
    <row r="35608" spans="26:26" x14ac:dyDescent="0.25">
      <c r="Z35608">
        <v>400000</v>
      </c>
    </row>
    <row r="35609" spans="26:26" x14ac:dyDescent="0.25">
      <c r="Z35609">
        <v>400000</v>
      </c>
    </row>
    <row r="35610" spans="26:26" x14ac:dyDescent="0.25">
      <c r="Z35610">
        <v>400000</v>
      </c>
    </row>
    <row r="35611" spans="26:26" x14ac:dyDescent="0.25">
      <c r="Z35611">
        <v>400000</v>
      </c>
    </row>
    <row r="35612" spans="26:26" x14ac:dyDescent="0.25">
      <c r="Z35612">
        <v>400000</v>
      </c>
    </row>
    <row r="35613" spans="26:26" x14ac:dyDescent="0.25">
      <c r="Z35613">
        <v>400000</v>
      </c>
    </row>
    <row r="35614" spans="26:26" x14ac:dyDescent="0.25">
      <c r="Z35614">
        <v>400000</v>
      </c>
    </row>
    <row r="35615" spans="26:26" x14ac:dyDescent="0.25">
      <c r="Z35615">
        <v>400000</v>
      </c>
    </row>
    <row r="35616" spans="26:26" x14ac:dyDescent="0.25">
      <c r="Z35616">
        <v>400000</v>
      </c>
    </row>
    <row r="35617" spans="26:26" x14ac:dyDescent="0.25">
      <c r="Z35617">
        <v>400000</v>
      </c>
    </row>
    <row r="35618" spans="26:26" x14ac:dyDescent="0.25">
      <c r="Z35618">
        <v>400000</v>
      </c>
    </row>
    <row r="35619" spans="26:26" x14ac:dyDescent="0.25">
      <c r="Z35619">
        <v>400000</v>
      </c>
    </row>
    <row r="35620" spans="26:26" x14ac:dyDescent="0.25">
      <c r="Z35620">
        <v>400000</v>
      </c>
    </row>
    <row r="35621" spans="26:26" x14ac:dyDescent="0.25">
      <c r="Z35621">
        <v>400000</v>
      </c>
    </row>
    <row r="35622" spans="26:26" x14ac:dyDescent="0.25">
      <c r="Z35622">
        <v>400000</v>
      </c>
    </row>
    <row r="35623" spans="26:26" x14ac:dyDescent="0.25">
      <c r="Z35623">
        <v>400000</v>
      </c>
    </row>
    <row r="35624" spans="26:26" x14ac:dyDescent="0.25">
      <c r="Z35624">
        <v>400000</v>
      </c>
    </row>
    <row r="35625" spans="26:26" x14ac:dyDescent="0.25">
      <c r="Z35625">
        <v>400000</v>
      </c>
    </row>
    <row r="35626" spans="26:26" x14ac:dyDescent="0.25">
      <c r="Z35626">
        <v>400000</v>
      </c>
    </row>
    <row r="35627" spans="26:26" x14ac:dyDescent="0.25">
      <c r="Z35627">
        <v>400000</v>
      </c>
    </row>
    <row r="35628" spans="26:26" x14ac:dyDescent="0.25">
      <c r="Z35628">
        <v>400000</v>
      </c>
    </row>
    <row r="35629" spans="26:26" x14ac:dyDescent="0.25">
      <c r="Z35629">
        <v>400000</v>
      </c>
    </row>
    <row r="35630" spans="26:26" x14ac:dyDescent="0.25">
      <c r="Z35630">
        <v>400000</v>
      </c>
    </row>
    <row r="35631" spans="26:26" x14ac:dyDescent="0.25">
      <c r="Z35631">
        <v>400000</v>
      </c>
    </row>
    <row r="35632" spans="26:26" x14ac:dyDescent="0.25">
      <c r="Z35632">
        <v>400000</v>
      </c>
    </row>
    <row r="35633" spans="26:26" x14ac:dyDescent="0.25">
      <c r="Z35633">
        <v>400000</v>
      </c>
    </row>
    <row r="35634" spans="26:26" x14ac:dyDescent="0.25">
      <c r="Z35634">
        <v>400000</v>
      </c>
    </row>
    <row r="35635" spans="26:26" x14ac:dyDescent="0.25">
      <c r="Z35635">
        <v>400000</v>
      </c>
    </row>
    <row r="35636" spans="26:26" x14ac:dyDescent="0.25">
      <c r="Z35636">
        <v>400000</v>
      </c>
    </row>
    <row r="35637" spans="26:26" x14ac:dyDescent="0.25">
      <c r="Z35637">
        <v>400000</v>
      </c>
    </row>
    <row r="35638" spans="26:26" x14ac:dyDescent="0.25">
      <c r="Z35638">
        <v>400000</v>
      </c>
    </row>
    <row r="35639" spans="26:26" x14ac:dyDescent="0.25">
      <c r="Z35639">
        <v>400000</v>
      </c>
    </row>
    <row r="35640" spans="26:26" x14ac:dyDescent="0.25">
      <c r="Z35640">
        <v>400000</v>
      </c>
    </row>
    <row r="35641" spans="26:26" x14ac:dyDescent="0.25">
      <c r="Z35641">
        <v>400000</v>
      </c>
    </row>
    <row r="35642" spans="26:26" x14ac:dyDescent="0.25">
      <c r="Z35642">
        <v>400000</v>
      </c>
    </row>
    <row r="35643" spans="26:26" x14ac:dyDescent="0.25">
      <c r="Z35643">
        <v>400000</v>
      </c>
    </row>
    <row r="35644" spans="26:26" x14ac:dyDescent="0.25">
      <c r="Z35644">
        <v>400000</v>
      </c>
    </row>
    <row r="35645" spans="26:26" x14ac:dyDescent="0.25">
      <c r="Z35645">
        <v>400000</v>
      </c>
    </row>
    <row r="35646" spans="26:26" x14ac:dyDescent="0.25">
      <c r="Z35646">
        <v>400000</v>
      </c>
    </row>
    <row r="35647" spans="26:26" x14ac:dyDescent="0.25">
      <c r="Z35647">
        <v>400000</v>
      </c>
    </row>
    <row r="35648" spans="26:26" x14ac:dyDescent="0.25">
      <c r="Z35648">
        <v>400000</v>
      </c>
    </row>
    <row r="35649" spans="26:26" x14ac:dyDescent="0.25">
      <c r="Z35649">
        <v>400000</v>
      </c>
    </row>
    <row r="35650" spans="26:26" x14ac:dyDescent="0.25">
      <c r="Z35650">
        <v>400000</v>
      </c>
    </row>
    <row r="35651" spans="26:26" x14ac:dyDescent="0.25">
      <c r="Z35651">
        <v>400000</v>
      </c>
    </row>
    <row r="35652" spans="26:26" x14ac:dyDescent="0.25">
      <c r="Z35652">
        <v>400000</v>
      </c>
    </row>
    <row r="35653" spans="26:26" x14ac:dyDescent="0.25">
      <c r="Z35653">
        <v>400000</v>
      </c>
    </row>
    <row r="35654" spans="26:26" x14ac:dyDescent="0.25">
      <c r="Z35654">
        <v>400000</v>
      </c>
    </row>
    <row r="35655" spans="26:26" x14ac:dyDescent="0.25">
      <c r="Z35655">
        <v>400000</v>
      </c>
    </row>
    <row r="35656" spans="26:26" x14ac:dyDescent="0.25">
      <c r="Z35656">
        <v>400000</v>
      </c>
    </row>
    <row r="35657" spans="26:26" x14ac:dyDescent="0.25">
      <c r="Z35657">
        <v>400000</v>
      </c>
    </row>
    <row r="35658" spans="26:26" x14ac:dyDescent="0.25">
      <c r="Z35658">
        <v>400000</v>
      </c>
    </row>
    <row r="35659" spans="26:26" x14ac:dyDescent="0.25">
      <c r="Z35659">
        <v>400000</v>
      </c>
    </row>
    <row r="35660" spans="26:26" x14ac:dyDescent="0.25">
      <c r="Z35660">
        <v>400000</v>
      </c>
    </row>
    <row r="35661" spans="26:26" x14ac:dyDescent="0.25">
      <c r="Z35661">
        <v>400000</v>
      </c>
    </row>
    <row r="35662" spans="26:26" x14ac:dyDescent="0.25">
      <c r="Z35662">
        <v>400000</v>
      </c>
    </row>
    <row r="35663" spans="26:26" x14ac:dyDescent="0.25">
      <c r="Z35663">
        <v>400000</v>
      </c>
    </row>
    <row r="35664" spans="26:26" x14ac:dyDescent="0.25">
      <c r="Z35664">
        <v>400000</v>
      </c>
    </row>
    <row r="35665" spans="26:26" x14ac:dyDescent="0.25">
      <c r="Z35665">
        <v>400000</v>
      </c>
    </row>
    <row r="35666" spans="26:26" x14ac:dyDescent="0.25">
      <c r="Z35666">
        <v>400000</v>
      </c>
    </row>
    <row r="35667" spans="26:26" x14ac:dyDescent="0.25">
      <c r="Z35667">
        <v>400000</v>
      </c>
    </row>
    <row r="35668" spans="26:26" x14ac:dyDescent="0.25">
      <c r="Z35668">
        <v>400000</v>
      </c>
    </row>
    <row r="35669" spans="26:26" x14ac:dyDescent="0.25">
      <c r="Z35669">
        <v>400000</v>
      </c>
    </row>
    <row r="35670" spans="26:26" x14ac:dyDescent="0.25">
      <c r="Z35670">
        <v>400000</v>
      </c>
    </row>
    <row r="35671" spans="26:26" x14ac:dyDescent="0.25">
      <c r="Z35671">
        <v>400000</v>
      </c>
    </row>
    <row r="35672" spans="26:26" x14ac:dyDescent="0.25">
      <c r="Z35672">
        <v>400000</v>
      </c>
    </row>
    <row r="35673" spans="26:26" x14ac:dyDescent="0.25">
      <c r="Z35673">
        <v>400000</v>
      </c>
    </row>
    <row r="35674" spans="26:26" x14ac:dyDescent="0.25">
      <c r="Z35674">
        <v>400000</v>
      </c>
    </row>
    <row r="35675" spans="26:26" x14ac:dyDescent="0.25">
      <c r="Z35675">
        <v>400000</v>
      </c>
    </row>
    <row r="35676" spans="26:26" x14ac:dyDescent="0.25">
      <c r="Z35676">
        <v>400000</v>
      </c>
    </row>
    <row r="35677" spans="26:26" x14ac:dyDescent="0.25">
      <c r="Z35677">
        <v>400000</v>
      </c>
    </row>
    <row r="35678" spans="26:26" x14ac:dyDescent="0.25">
      <c r="Z35678">
        <v>400000</v>
      </c>
    </row>
    <row r="35679" spans="26:26" x14ac:dyDescent="0.25">
      <c r="Z35679">
        <v>400000</v>
      </c>
    </row>
    <row r="35680" spans="26:26" x14ac:dyDescent="0.25">
      <c r="Z35680">
        <v>400000</v>
      </c>
    </row>
    <row r="35681" spans="26:26" x14ac:dyDescent="0.25">
      <c r="Z35681">
        <v>400000</v>
      </c>
    </row>
    <row r="35682" spans="26:26" x14ac:dyDescent="0.25">
      <c r="Z35682">
        <v>400000</v>
      </c>
    </row>
    <row r="35683" spans="26:26" x14ac:dyDescent="0.25">
      <c r="Z35683">
        <v>400000</v>
      </c>
    </row>
    <row r="35684" spans="26:26" x14ac:dyDescent="0.25">
      <c r="Z35684">
        <v>400000</v>
      </c>
    </row>
    <row r="35685" spans="26:26" x14ac:dyDescent="0.25">
      <c r="Z35685">
        <v>400000</v>
      </c>
    </row>
    <row r="35686" spans="26:26" x14ac:dyDescent="0.25">
      <c r="Z35686">
        <v>400000</v>
      </c>
    </row>
    <row r="35687" spans="26:26" x14ac:dyDescent="0.25">
      <c r="Z35687">
        <v>400000</v>
      </c>
    </row>
    <row r="35688" spans="26:26" x14ac:dyDescent="0.25">
      <c r="Z35688">
        <v>400000</v>
      </c>
    </row>
    <row r="35689" spans="26:26" x14ac:dyDescent="0.25">
      <c r="Z35689">
        <v>400000</v>
      </c>
    </row>
    <row r="35690" spans="26:26" x14ac:dyDescent="0.25">
      <c r="Z35690">
        <v>400000</v>
      </c>
    </row>
    <row r="35691" spans="26:26" x14ac:dyDescent="0.25">
      <c r="Z35691">
        <v>400000</v>
      </c>
    </row>
    <row r="35692" spans="26:26" x14ac:dyDescent="0.25">
      <c r="Z35692">
        <v>400000</v>
      </c>
    </row>
    <row r="35693" spans="26:26" x14ac:dyDescent="0.25">
      <c r="Z35693">
        <v>400000</v>
      </c>
    </row>
    <row r="35694" spans="26:26" x14ac:dyDescent="0.25">
      <c r="Z35694">
        <v>400000</v>
      </c>
    </row>
    <row r="35695" spans="26:26" x14ac:dyDescent="0.25">
      <c r="Z35695">
        <v>400000</v>
      </c>
    </row>
    <row r="35696" spans="26:26" x14ac:dyDescent="0.25">
      <c r="Z35696">
        <v>400000</v>
      </c>
    </row>
    <row r="35697" spans="26:26" x14ac:dyDescent="0.25">
      <c r="Z35697">
        <v>400000</v>
      </c>
    </row>
    <row r="35698" spans="26:26" x14ac:dyDescent="0.25">
      <c r="Z35698">
        <v>400000</v>
      </c>
    </row>
    <row r="35699" spans="26:26" x14ac:dyDescent="0.25">
      <c r="Z35699">
        <v>400000</v>
      </c>
    </row>
    <row r="35700" spans="26:26" x14ac:dyDescent="0.25">
      <c r="Z35700">
        <v>400000</v>
      </c>
    </row>
    <row r="35701" spans="26:26" x14ac:dyDescent="0.25">
      <c r="Z35701">
        <v>400000</v>
      </c>
    </row>
    <row r="35702" spans="26:26" x14ac:dyDescent="0.25">
      <c r="Z35702">
        <v>400000</v>
      </c>
    </row>
    <row r="35703" spans="26:26" x14ac:dyDescent="0.25">
      <c r="Z35703">
        <v>400000</v>
      </c>
    </row>
    <row r="35704" spans="26:26" x14ac:dyDescent="0.25">
      <c r="Z35704">
        <v>400000</v>
      </c>
    </row>
    <row r="35705" spans="26:26" x14ac:dyDescent="0.25">
      <c r="Z35705">
        <v>400000</v>
      </c>
    </row>
    <row r="35706" spans="26:26" x14ac:dyDescent="0.25">
      <c r="Z35706">
        <v>400000</v>
      </c>
    </row>
    <row r="35707" spans="26:26" x14ac:dyDescent="0.25">
      <c r="Z35707">
        <v>400000</v>
      </c>
    </row>
    <row r="35708" spans="26:26" x14ac:dyDescent="0.25">
      <c r="Z35708">
        <v>400000</v>
      </c>
    </row>
    <row r="35709" spans="26:26" x14ac:dyDescent="0.25">
      <c r="Z35709">
        <v>400000</v>
      </c>
    </row>
    <row r="35710" spans="26:26" x14ac:dyDescent="0.25">
      <c r="Z35710">
        <v>400000</v>
      </c>
    </row>
    <row r="35711" spans="26:26" x14ac:dyDescent="0.25">
      <c r="Z35711">
        <v>400000</v>
      </c>
    </row>
    <row r="35712" spans="26:26" x14ac:dyDescent="0.25">
      <c r="Z35712">
        <v>400000</v>
      </c>
    </row>
    <row r="35713" spans="26:26" x14ac:dyDescent="0.25">
      <c r="Z35713">
        <v>400000</v>
      </c>
    </row>
    <row r="35714" spans="26:26" x14ac:dyDescent="0.25">
      <c r="Z35714">
        <v>400000</v>
      </c>
    </row>
    <row r="35715" spans="26:26" x14ac:dyDescent="0.25">
      <c r="Z35715">
        <v>400000</v>
      </c>
    </row>
    <row r="35716" spans="26:26" x14ac:dyDescent="0.25">
      <c r="Z35716">
        <v>400000</v>
      </c>
    </row>
    <row r="35717" spans="26:26" x14ac:dyDescent="0.25">
      <c r="Z35717">
        <v>400000</v>
      </c>
    </row>
    <row r="35718" spans="26:26" x14ac:dyDescent="0.25">
      <c r="Z35718">
        <v>400000</v>
      </c>
    </row>
    <row r="35719" spans="26:26" x14ac:dyDescent="0.25">
      <c r="Z35719">
        <v>400000</v>
      </c>
    </row>
    <row r="35720" spans="26:26" x14ac:dyDescent="0.25">
      <c r="Z35720">
        <v>400000</v>
      </c>
    </row>
    <row r="35721" spans="26:26" x14ac:dyDescent="0.25">
      <c r="Z35721">
        <v>400000</v>
      </c>
    </row>
    <row r="35722" spans="26:26" x14ac:dyDescent="0.25">
      <c r="Z35722">
        <v>400000</v>
      </c>
    </row>
    <row r="35723" spans="26:26" x14ac:dyDescent="0.25">
      <c r="Z35723">
        <v>400000</v>
      </c>
    </row>
    <row r="35724" spans="26:26" x14ac:dyDescent="0.25">
      <c r="Z35724">
        <v>400000</v>
      </c>
    </row>
    <row r="35725" spans="26:26" x14ac:dyDescent="0.25">
      <c r="Z35725">
        <v>400000</v>
      </c>
    </row>
    <row r="35726" spans="26:26" x14ac:dyDescent="0.25">
      <c r="Z35726">
        <v>400000</v>
      </c>
    </row>
    <row r="35727" spans="26:26" x14ac:dyDescent="0.25">
      <c r="Z35727">
        <v>400000</v>
      </c>
    </row>
    <row r="35728" spans="26:26" x14ac:dyDescent="0.25">
      <c r="Z35728">
        <v>400000</v>
      </c>
    </row>
    <row r="35729" spans="26:26" x14ac:dyDescent="0.25">
      <c r="Z35729">
        <v>400000</v>
      </c>
    </row>
    <row r="35730" spans="26:26" x14ac:dyDescent="0.25">
      <c r="Z35730">
        <v>400000</v>
      </c>
    </row>
    <row r="35731" spans="26:26" x14ac:dyDescent="0.25">
      <c r="Z35731">
        <v>400000</v>
      </c>
    </row>
    <row r="35732" spans="26:26" x14ac:dyDescent="0.25">
      <c r="Z35732">
        <v>400000</v>
      </c>
    </row>
    <row r="35733" spans="26:26" x14ac:dyDescent="0.25">
      <c r="Z35733">
        <v>400000</v>
      </c>
    </row>
    <row r="35734" spans="26:26" x14ac:dyDescent="0.25">
      <c r="Z35734">
        <v>400000</v>
      </c>
    </row>
    <row r="35735" spans="26:26" x14ac:dyDescent="0.25">
      <c r="Z35735">
        <v>400000</v>
      </c>
    </row>
    <row r="35736" spans="26:26" x14ac:dyDescent="0.25">
      <c r="Z35736">
        <v>400000</v>
      </c>
    </row>
    <row r="35737" spans="26:26" x14ac:dyDescent="0.25">
      <c r="Z35737">
        <v>400000</v>
      </c>
    </row>
    <row r="35738" spans="26:26" x14ac:dyDescent="0.25">
      <c r="Z35738">
        <v>400000</v>
      </c>
    </row>
    <row r="35739" spans="26:26" x14ac:dyDescent="0.25">
      <c r="Z35739">
        <v>400000</v>
      </c>
    </row>
    <row r="35740" spans="26:26" x14ac:dyDescent="0.25">
      <c r="Z35740">
        <v>400000</v>
      </c>
    </row>
    <row r="35741" spans="26:26" x14ac:dyDescent="0.25">
      <c r="Z35741">
        <v>400000</v>
      </c>
    </row>
    <row r="35742" spans="26:26" x14ac:dyDescent="0.25">
      <c r="Z35742">
        <v>400000</v>
      </c>
    </row>
    <row r="35743" spans="26:26" x14ac:dyDescent="0.25">
      <c r="Z35743">
        <v>400000</v>
      </c>
    </row>
    <row r="35744" spans="26:26" x14ac:dyDescent="0.25">
      <c r="Z35744">
        <v>400000</v>
      </c>
    </row>
    <row r="35745" spans="26:26" x14ac:dyDescent="0.25">
      <c r="Z35745">
        <v>400000</v>
      </c>
    </row>
    <row r="35746" spans="26:26" x14ac:dyDescent="0.25">
      <c r="Z35746">
        <v>400000</v>
      </c>
    </row>
    <row r="35747" spans="26:26" x14ac:dyDescent="0.25">
      <c r="Z35747">
        <v>400000</v>
      </c>
    </row>
    <row r="35748" spans="26:26" x14ac:dyDescent="0.25">
      <c r="Z35748">
        <v>400000</v>
      </c>
    </row>
    <row r="35749" spans="26:26" x14ac:dyDescent="0.25">
      <c r="Z35749">
        <v>400000</v>
      </c>
    </row>
    <row r="35750" spans="26:26" x14ac:dyDescent="0.25">
      <c r="Z35750">
        <v>400000</v>
      </c>
    </row>
    <row r="35751" spans="26:26" x14ac:dyDescent="0.25">
      <c r="Z35751">
        <v>400000</v>
      </c>
    </row>
    <row r="35752" spans="26:26" x14ac:dyDescent="0.25">
      <c r="Z35752">
        <v>400000</v>
      </c>
    </row>
    <row r="35753" spans="26:26" x14ac:dyDescent="0.25">
      <c r="Z35753">
        <v>400000</v>
      </c>
    </row>
    <row r="35754" spans="26:26" x14ac:dyDescent="0.25">
      <c r="Z35754">
        <v>400000</v>
      </c>
    </row>
    <row r="35755" spans="26:26" x14ac:dyDescent="0.25">
      <c r="Z35755">
        <v>400000</v>
      </c>
    </row>
    <row r="35756" spans="26:26" x14ac:dyDescent="0.25">
      <c r="Z35756">
        <v>400000</v>
      </c>
    </row>
    <row r="35757" spans="26:26" x14ac:dyDescent="0.25">
      <c r="Z35757">
        <v>400000</v>
      </c>
    </row>
    <row r="35758" spans="26:26" x14ac:dyDescent="0.25">
      <c r="Z35758">
        <v>400000</v>
      </c>
    </row>
    <row r="35759" spans="26:26" x14ac:dyDescent="0.25">
      <c r="Z35759">
        <v>400000</v>
      </c>
    </row>
    <row r="35760" spans="26:26" x14ac:dyDescent="0.25">
      <c r="Z35760">
        <v>400000</v>
      </c>
    </row>
    <row r="35761" spans="26:26" x14ac:dyDescent="0.25">
      <c r="Z35761">
        <v>400000</v>
      </c>
    </row>
    <row r="35762" spans="26:26" x14ac:dyDescent="0.25">
      <c r="Z35762">
        <v>400000</v>
      </c>
    </row>
    <row r="35763" spans="26:26" x14ac:dyDescent="0.25">
      <c r="Z35763">
        <v>400000</v>
      </c>
    </row>
    <row r="35764" spans="26:26" x14ac:dyDescent="0.25">
      <c r="Z35764">
        <v>400000</v>
      </c>
    </row>
    <row r="35765" spans="26:26" x14ac:dyDescent="0.25">
      <c r="Z35765">
        <v>400000</v>
      </c>
    </row>
    <row r="35766" spans="26:26" x14ac:dyDescent="0.25">
      <c r="Z35766">
        <v>400000</v>
      </c>
    </row>
    <row r="35767" spans="26:26" x14ac:dyDescent="0.25">
      <c r="Z35767">
        <v>400000</v>
      </c>
    </row>
    <row r="35768" spans="26:26" x14ac:dyDescent="0.25">
      <c r="Z35768">
        <v>400000</v>
      </c>
    </row>
    <row r="35769" spans="26:26" x14ac:dyDescent="0.25">
      <c r="Z35769">
        <v>400000</v>
      </c>
    </row>
    <row r="35770" spans="26:26" x14ac:dyDescent="0.25">
      <c r="Z35770">
        <v>400000</v>
      </c>
    </row>
    <row r="35771" spans="26:26" x14ac:dyDescent="0.25">
      <c r="Z35771">
        <v>400000</v>
      </c>
    </row>
    <row r="35772" spans="26:26" x14ac:dyDescent="0.25">
      <c r="Z35772">
        <v>400000</v>
      </c>
    </row>
    <row r="35773" spans="26:26" x14ac:dyDescent="0.25">
      <c r="Z35773">
        <v>400000</v>
      </c>
    </row>
    <row r="35774" spans="26:26" x14ac:dyDescent="0.25">
      <c r="Z35774">
        <v>400000</v>
      </c>
    </row>
    <row r="35775" spans="26:26" x14ac:dyDescent="0.25">
      <c r="Z35775">
        <v>400000</v>
      </c>
    </row>
    <row r="35776" spans="26:26" x14ac:dyDescent="0.25">
      <c r="Z35776">
        <v>400000</v>
      </c>
    </row>
    <row r="35777" spans="26:26" x14ac:dyDescent="0.25">
      <c r="Z35777">
        <v>400000</v>
      </c>
    </row>
    <row r="35778" spans="26:26" x14ac:dyDescent="0.25">
      <c r="Z35778">
        <v>400000</v>
      </c>
    </row>
    <row r="35779" spans="26:26" x14ac:dyDescent="0.25">
      <c r="Z35779">
        <v>400000</v>
      </c>
    </row>
    <row r="35780" spans="26:26" x14ac:dyDescent="0.25">
      <c r="Z35780">
        <v>400000</v>
      </c>
    </row>
    <row r="35781" spans="26:26" x14ac:dyDescent="0.25">
      <c r="Z35781">
        <v>400000</v>
      </c>
    </row>
    <row r="35782" spans="26:26" x14ac:dyDescent="0.25">
      <c r="Z35782">
        <v>400000</v>
      </c>
    </row>
    <row r="35783" spans="26:26" x14ac:dyDescent="0.25">
      <c r="Z35783">
        <v>400000</v>
      </c>
    </row>
    <row r="35784" spans="26:26" x14ac:dyDescent="0.25">
      <c r="Z35784">
        <v>400000</v>
      </c>
    </row>
    <row r="35785" spans="26:26" x14ac:dyDescent="0.25">
      <c r="Z35785">
        <v>400000</v>
      </c>
    </row>
    <row r="35786" spans="26:26" x14ac:dyDescent="0.25">
      <c r="Z35786">
        <v>400000</v>
      </c>
    </row>
    <row r="35787" spans="26:26" x14ac:dyDescent="0.25">
      <c r="Z35787">
        <v>400000</v>
      </c>
    </row>
    <row r="35788" spans="26:26" x14ac:dyDescent="0.25">
      <c r="Z35788">
        <v>400000</v>
      </c>
    </row>
    <row r="35789" spans="26:26" x14ac:dyDescent="0.25">
      <c r="Z35789">
        <v>400000</v>
      </c>
    </row>
    <row r="35790" spans="26:26" x14ac:dyDescent="0.25">
      <c r="Z35790">
        <v>400000</v>
      </c>
    </row>
    <row r="35791" spans="26:26" x14ac:dyDescent="0.25">
      <c r="Z35791">
        <v>400000</v>
      </c>
    </row>
    <row r="35792" spans="26:26" x14ac:dyDescent="0.25">
      <c r="Z35792">
        <v>400000</v>
      </c>
    </row>
    <row r="35793" spans="26:26" x14ac:dyDescent="0.25">
      <c r="Z35793">
        <v>400000</v>
      </c>
    </row>
    <row r="35794" spans="26:26" x14ac:dyDescent="0.25">
      <c r="Z35794">
        <v>400000</v>
      </c>
    </row>
    <row r="35795" spans="26:26" x14ac:dyDescent="0.25">
      <c r="Z35795">
        <v>400000</v>
      </c>
    </row>
    <row r="35796" spans="26:26" x14ac:dyDescent="0.25">
      <c r="Z35796">
        <v>400000</v>
      </c>
    </row>
    <row r="35797" spans="26:26" x14ac:dyDescent="0.25">
      <c r="Z35797">
        <v>400000</v>
      </c>
    </row>
    <row r="35798" spans="26:26" x14ac:dyDescent="0.25">
      <c r="Z35798">
        <v>400000</v>
      </c>
    </row>
    <row r="35799" spans="26:26" x14ac:dyDescent="0.25">
      <c r="Z35799">
        <v>400000</v>
      </c>
    </row>
    <row r="35800" spans="26:26" x14ac:dyDescent="0.25">
      <c r="Z35800">
        <v>400000</v>
      </c>
    </row>
    <row r="35801" spans="26:26" x14ac:dyDescent="0.25">
      <c r="Z35801">
        <v>400000</v>
      </c>
    </row>
    <row r="35802" spans="26:26" x14ac:dyDescent="0.25">
      <c r="Z35802">
        <v>400000</v>
      </c>
    </row>
    <row r="35803" spans="26:26" x14ac:dyDescent="0.25">
      <c r="Z35803">
        <v>400000</v>
      </c>
    </row>
    <row r="35804" spans="26:26" x14ac:dyDescent="0.25">
      <c r="Z35804">
        <v>400000</v>
      </c>
    </row>
    <row r="35805" spans="26:26" x14ac:dyDescent="0.25">
      <c r="Z35805">
        <v>400000</v>
      </c>
    </row>
    <row r="35806" spans="26:26" x14ac:dyDescent="0.25">
      <c r="Z35806">
        <v>400000</v>
      </c>
    </row>
    <row r="35807" spans="26:26" x14ac:dyDescent="0.25">
      <c r="Z35807">
        <v>400000</v>
      </c>
    </row>
    <row r="35808" spans="26:26" x14ac:dyDescent="0.25">
      <c r="Z35808">
        <v>400000</v>
      </c>
    </row>
    <row r="35809" spans="26:26" x14ac:dyDescent="0.25">
      <c r="Z35809">
        <v>400000</v>
      </c>
    </row>
    <row r="35810" spans="26:26" x14ac:dyDescent="0.25">
      <c r="Z35810">
        <v>400000</v>
      </c>
    </row>
    <row r="35811" spans="26:26" x14ac:dyDescent="0.25">
      <c r="Z35811">
        <v>400000</v>
      </c>
    </row>
    <row r="35812" spans="26:26" x14ac:dyDescent="0.25">
      <c r="Z35812">
        <v>400000</v>
      </c>
    </row>
    <row r="35813" spans="26:26" x14ac:dyDescent="0.25">
      <c r="Z35813">
        <v>400000</v>
      </c>
    </row>
    <row r="35814" spans="26:26" x14ac:dyDescent="0.25">
      <c r="Z35814">
        <v>400000</v>
      </c>
    </row>
    <row r="35815" spans="26:26" x14ac:dyDescent="0.25">
      <c r="Z35815">
        <v>400000</v>
      </c>
    </row>
    <row r="35816" spans="26:26" x14ac:dyDescent="0.25">
      <c r="Z35816">
        <v>400000</v>
      </c>
    </row>
    <row r="35817" spans="26:26" x14ac:dyDescent="0.25">
      <c r="Z35817">
        <v>400000</v>
      </c>
    </row>
    <row r="35818" spans="26:26" x14ac:dyDescent="0.25">
      <c r="Z35818">
        <v>400000</v>
      </c>
    </row>
    <row r="35819" spans="26:26" x14ac:dyDescent="0.25">
      <c r="Z35819">
        <v>400000</v>
      </c>
    </row>
    <row r="35820" spans="26:26" x14ac:dyDescent="0.25">
      <c r="Z35820">
        <v>400000</v>
      </c>
    </row>
    <row r="35821" spans="26:26" x14ac:dyDescent="0.25">
      <c r="Z35821">
        <v>400000</v>
      </c>
    </row>
    <row r="35822" spans="26:26" x14ac:dyDescent="0.25">
      <c r="Z35822">
        <v>400000</v>
      </c>
    </row>
    <row r="35823" spans="26:26" x14ac:dyDescent="0.25">
      <c r="Z35823">
        <v>400000</v>
      </c>
    </row>
    <row r="35824" spans="26:26" x14ac:dyDescent="0.25">
      <c r="Z35824">
        <v>400000</v>
      </c>
    </row>
    <row r="35825" spans="26:26" x14ac:dyDescent="0.25">
      <c r="Z35825">
        <v>400000</v>
      </c>
    </row>
    <row r="35826" spans="26:26" x14ac:dyDescent="0.25">
      <c r="Z35826">
        <v>400000</v>
      </c>
    </row>
    <row r="35827" spans="26:26" x14ac:dyDescent="0.25">
      <c r="Z35827">
        <v>400000</v>
      </c>
    </row>
    <row r="35828" spans="26:26" x14ac:dyDescent="0.25">
      <c r="Z35828">
        <v>400000</v>
      </c>
    </row>
    <row r="35829" spans="26:26" x14ac:dyDescent="0.25">
      <c r="Z35829">
        <v>400000</v>
      </c>
    </row>
    <row r="35830" spans="26:26" x14ac:dyDescent="0.25">
      <c r="Z35830">
        <v>400000</v>
      </c>
    </row>
    <row r="35831" spans="26:26" x14ac:dyDescent="0.25">
      <c r="Z35831">
        <v>400000</v>
      </c>
    </row>
    <row r="35832" spans="26:26" x14ac:dyDescent="0.25">
      <c r="Z35832">
        <v>400000</v>
      </c>
    </row>
    <row r="35833" spans="26:26" x14ac:dyDescent="0.25">
      <c r="Z35833">
        <v>400000</v>
      </c>
    </row>
    <row r="35834" spans="26:26" x14ac:dyDescent="0.25">
      <c r="Z35834">
        <v>400000</v>
      </c>
    </row>
    <row r="35835" spans="26:26" x14ac:dyDescent="0.25">
      <c r="Z35835">
        <v>400000</v>
      </c>
    </row>
    <row r="35836" spans="26:26" x14ac:dyDescent="0.25">
      <c r="Z35836">
        <v>400000</v>
      </c>
    </row>
    <row r="35837" spans="26:26" x14ac:dyDescent="0.25">
      <c r="Z35837">
        <v>400000</v>
      </c>
    </row>
    <row r="35838" spans="26:26" x14ac:dyDescent="0.25">
      <c r="Z35838">
        <v>400000</v>
      </c>
    </row>
    <row r="35839" spans="26:26" x14ac:dyDescent="0.25">
      <c r="Z35839">
        <v>400000</v>
      </c>
    </row>
    <row r="35840" spans="26:26" x14ac:dyDescent="0.25">
      <c r="Z35840">
        <v>400000</v>
      </c>
    </row>
    <row r="35841" spans="26:26" x14ac:dyDescent="0.25">
      <c r="Z35841">
        <v>400000</v>
      </c>
    </row>
    <row r="35842" spans="26:26" x14ac:dyDescent="0.25">
      <c r="Z35842">
        <v>400000</v>
      </c>
    </row>
    <row r="35843" spans="26:26" x14ac:dyDescent="0.25">
      <c r="Z35843">
        <v>400000</v>
      </c>
    </row>
    <row r="35844" spans="26:26" x14ac:dyDescent="0.25">
      <c r="Z35844">
        <v>400000</v>
      </c>
    </row>
    <row r="35845" spans="26:26" x14ac:dyDescent="0.25">
      <c r="Z35845">
        <v>400000</v>
      </c>
    </row>
    <row r="35846" spans="26:26" x14ac:dyDescent="0.25">
      <c r="Z35846">
        <v>400000</v>
      </c>
    </row>
    <row r="35847" spans="26:26" x14ac:dyDescent="0.25">
      <c r="Z35847">
        <v>400000</v>
      </c>
    </row>
    <row r="35848" spans="26:26" x14ac:dyDescent="0.25">
      <c r="Z35848">
        <v>400000</v>
      </c>
    </row>
    <row r="35849" spans="26:26" x14ac:dyDescent="0.25">
      <c r="Z35849">
        <v>400000</v>
      </c>
    </row>
    <row r="35850" spans="26:26" x14ac:dyDescent="0.25">
      <c r="Z35850">
        <v>400000</v>
      </c>
    </row>
    <row r="35851" spans="26:26" x14ac:dyDescent="0.25">
      <c r="Z35851">
        <v>400000</v>
      </c>
    </row>
    <row r="35852" spans="26:26" x14ac:dyDescent="0.25">
      <c r="Z35852">
        <v>400000</v>
      </c>
    </row>
    <row r="35853" spans="26:26" x14ac:dyDescent="0.25">
      <c r="Z35853">
        <v>400000</v>
      </c>
    </row>
    <row r="35854" spans="26:26" x14ac:dyDescent="0.25">
      <c r="Z35854">
        <v>400000</v>
      </c>
    </row>
    <row r="35855" spans="26:26" x14ac:dyDescent="0.25">
      <c r="Z35855">
        <v>400000</v>
      </c>
    </row>
    <row r="35856" spans="26:26" x14ac:dyDescent="0.25">
      <c r="Z35856">
        <v>400000</v>
      </c>
    </row>
    <row r="35857" spans="26:26" x14ac:dyDescent="0.25">
      <c r="Z35857">
        <v>400000</v>
      </c>
    </row>
    <row r="35858" spans="26:26" x14ac:dyDescent="0.25">
      <c r="Z35858">
        <v>400000</v>
      </c>
    </row>
    <row r="35859" spans="26:26" x14ac:dyDescent="0.25">
      <c r="Z35859">
        <v>400000</v>
      </c>
    </row>
    <row r="35860" spans="26:26" x14ac:dyDescent="0.25">
      <c r="Z35860">
        <v>400000</v>
      </c>
    </row>
    <row r="35861" spans="26:26" x14ac:dyDescent="0.25">
      <c r="Z35861">
        <v>400000</v>
      </c>
    </row>
    <row r="35862" spans="26:26" x14ac:dyDescent="0.25">
      <c r="Z35862">
        <v>400000</v>
      </c>
    </row>
    <row r="35863" spans="26:26" x14ac:dyDescent="0.25">
      <c r="Z35863">
        <v>400000</v>
      </c>
    </row>
    <row r="35864" spans="26:26" x14ac:dyDescent="0.25">
      <c r="Z35864">
        <v>400000</v>
      </c>
    </row>
    <row r="35865" spans="26:26" x14ac:dyDescent="0.25">
      <c r="Z35865">
        <v>400000</v>
      </c>
    </row>
    <row r="35866" spans="26:26" x14ac:dyDescent="0.25">
      <c r="Z35866">
        <v>400000</v>
      </c>
    </row>
    <row r="35867" spans="26:26" x14ac:dyDescent="0.25">
      <c r="Z35867">
        <v>400000</v>
      </c>
    </row>
    <row r="35868" spans="26:26" x14ac:dyDescent="0.25">
      <c r="Z35868">
        <v>400000</v>
      </c>
    </row>
    <row r="35869" spans="26:26" x14ac:dyDescent="0.25">
      <c r="Z35869">
        <v>400000</v>
      </c>
    </row>
    <row r="35870" spans="26:26" x14ac:dyDescent="0.25">
      <c r="Z35870">
        <v>400000</v>
      </c>
    </row>
    <row r="35871" spans="26:26" x14ac:dyDescent="0.25">
      <c r="Z35871">
        <v>400000</v>
      </c>
    </row>
    <row r="35872" spans="26:26" x14ac:dyDescent="0.25">
      <c r="Z35872">
        <v>400000</v>
      </c>
    </row>
    <row r="35873" spans="26:26" x14ac:dyDescent="0.25">
      <c r="Z35873">
        <v>400000</v>
      </c>
    </row>
    <row r="35874" spans="26:26" x14ac:dyDescent="0.25">
      <c r="Z35874">
        <v>400000</v>
      </c>
    </row>
    <row r="35875" spans="26:26" x14ac:dyDescent="0.25">
      <c r="Z35875">
        <v>400000</v>
      </c>
    </row>
    <row r="35876" spans="26:26" x14ac:dyDescent="0.25">
      <c r="Z35876">
        <v>400000</v>
      </c>
    </row>
    <row r="35877" spans="26:26" x14ac:dyDescent="0.25">
      <c r="Z35877">
        <v>400000</v>
      </c>
    </row>
    <row r="35878" spans="26:26" x14ac:dyDescent="0.25">
      <c r="Z35878">
        <v>400000</v>
      </c>
    </row>
    <row r="35879" spans="26:26" x14ac:dyDescent="0.25">
      <c r="Z35879">
        <v>400000</v>
      </c>
    </row>
    <row r="35880" spans="26:26" x14ac:dyDescent="0.25">
      <c r="Z35880">
        <v>400000</v>
      </c>
    </row>
    <row r="35881" spans="26:26" x14ac:dyDescent="0.25">
      <c r="Z35881">
        <v>400000</v>
      </c>
    </row>
    <row r="35882" spans="26:26" x14ac:dyDescent="0.25">
      <c r="Z35882">
        <v>400000</v>
      </c>
    </row>
    <row r="35883" spans="26:26" x14ac:dyDescent="0.25">
      <c r="Z35883">
        <v>400000</v>
      </c>
    </row>
    <row r="35884" spans="26:26" x14ac:dyDescent="0.25">
      <c r="Z35884">
        <v>400000</v>
      </c>
    </row>
    <row r="35885" spans="26:26" x14ac:dyDescent="0.25">
      <c r="Z35885">
        <v>400000</v>
      </c>
    </row>
    <row r="35886" spans="26:26" x14ac:dyDescent="0.25">
      <c r="Z35886">
        <v>400000</v>
      </c>
    </row>
    <row r="35887" spans="26:26" x14ac:dyDescent="0.25">
      <c r="Z35887">
        <v>400000</v>
      </c>
    </row>
    <row r="35888" spans="26:26" x14ac:dyDescent="0.25">
      <c r="Z35888">
        <v>400000</v>
      </c>
    </row>
    <row r="35889" spans="26:26" x14ac:dyDescent="0.25">
      <c r="Z35889">
        <v>400000</v>
      </c>
    </row>
    <row r="35890" spans="26:26" x14ac:dyDescent="0.25">
      <c r="Z35890">
        <v>400000</v>
      </c>
    </row>
    <row r="35891" spans="26:26" x14ac:dyDescent="0.25">
      <c r="Z35891">
        <v>400000</v>
      </c>
    </row>
    <row r="35892" spans="26:26" x14ac:dyDescent="0.25">
      <c r="Z35892">
        <v>400000</v>
      </c>
    </row>
    <row r="35893" spans="26:26" x14ac:dyDescent="0.25">
      <c r="Z35893">
        <v>400000</v>
      </c>
    </row>
    <row r="35894" spans="26:26" x14ac:dyDescent="0.25">
      <c r="Z35894">
        <v>400000</v>
      </c>
    </row>
    <row r="35895" spans="26:26" x14ac:dyDescent="0.25">
      <c r="Z35895">
        <v>400000</v>
      </c>
    </row>
    <row r="35896" spans="26:26" x14ac:dyDescent="0.25">
      <c r="Z35896">
        <v>400000</v>
      </c>
    </row>
    <row r="35897" spans="26:26" x14ac:dyDescent="0.25">
      <c r="Z35897">
        <v>400000</v>
      </c>
    </row>
    <row r="35898" spans="26:26" x14ac:dyDescent="0.25">
      <c r="Z35898">
        <v>400000</v>
      </c>
    </row>
    <row r="35899" spans="26:26" x14ac:dyDescent="0.25">
      <c r="Z35899">
        <v>400000</v>
      </c>
    </row>
    <row r="35900" spans="26:26" x14ac:dyDescent="0.25">
      <c r="Z35900">
        <v>400000</v>
      </c>
    </row>
    <row r="35901" spans="26:26" x14ac:dyDescent="0.25">
      <c r="Z35901">
        <v>400000</v>
      </c>
    </row>
    <row r="35902" spans="26:26" x14ac:dyDescent="0.25">
      <c r="Z35902">
        <v>400000</v>
      </c>
    </row>
    <row r="35903" spans="26:26" x14ac:dyDescent="0.25">
      <c r="Z35903">
        <v>400000</v>
      </c>
    </row>
    <row r="35904" spans="26:26" x14ac:dyDescent="0.25">
      <c r="Z35904">
        <v>400000</v>
      </c>
    </row>
    <row r="35905" spans="26:26" x14ac:dyDescent="0.25">
      <c r="Z35905">
        <v>400000</v>
      </c>
    </row>
    <row r="35906" spans="26:26" x14ac:dyDescent="0.25">
      <c r="Z35906">
        <v>400000</v>
      </c>
    </row>
    <row r="35907" spans="26:26" x14ac:dyDescent="0.25">
      <c r="Z35907">
        <v>400000</v>
      </c>
    </row>
    <row r="35908" spans="26:26" x14ac:dyDescent="0.25">
      <c r="Z35908">
        <v>400000</v>
      </c>
    </row>
    <row r="35909" spans="26:26" x14ac:dyDescent="0.25">
      <c r="Z35909">
        <v>400000</v>
      </c>
    </row>
    <row r="35910" spans="26:26" x14ac:dyDescent="0.25">
      <c r="Z35910">
        <v>400000</v>
      </c>
    </row>
    <row r="35911" spans="26:26" x14ac:dyDescent="0.25">
      <c r="Z35911">
        <v>400000</v>
      </c>
    </row>
    <row r="35912" spans="26:26" x14ac:dyDescent="0.25">
      <c r="Z35912">
        <v>400000</v>
      </c>
    </row>
    <row r="35913" spans="26:26" x14ac:dyDescent="0.25">
      <c r="Z35913">
        <v>400000</v>
      </c>
    </row>
    <row r="35914" spans="26:26" x14ac:dyDescent="0.25">
      <c r="Z35914">
        <v>400000</v>
      </c>
    </row>
    <row r="35915" spans="26:26" x14ac:dyDescent="0.25">
      <c r="Z35915">
        <v>400000</v>
      </c>
    </row>
    <row r="35916" spans="26:26" x14ac:dyDescent="0.25">
      <c r="Z35916">
        <v>400000</v>
      </c>
    </row>
    <row r="35917" spans="26:26" x14ac:dyDescent="0.25">
      <c r="Z35917">
        <v>400000</v>
      </c>
    </row>
    <row r="35918" spans="26:26" x14ac:dyDescent="0.25">
      <c r="Z35918">
        <v>400000</v>
      </c>
    </row>
    <row r="35919" spans="26:26" x14ac:dyDescent="0.25">
      <c r="Z35919">
        <v>400000</v>
      </c>
    </row>
    <row r="35920" spans="26:26" x14ac:dyDescent="0.25">
      <c r="Z35920">
        <v>400000</v>
      </c>
    </row>
    <row r="35921" spans="26:26" x14ac:dyDescent="0.25">
      <c r="Z35921">
        <v>400000</v>
      </c>
    </row>
    <row r="35922" spans="26:26" x14ac:dyDescent="0.25">
      <c r="Z35922">
        <v>400000</v>
      </c>
    </row>
    <row r="35923" spans="26:26" x14ac:dyDescent="0.25">
      <c r="Z35923">
        <v>400000</v>
      </c>
    </row>
    <row r="35924" spans="26:26" x14ac:dyDescent="0.25">
      <c r="Z35924">
        <v>400000</v>
      </c>
    </row>
    <row r="35925" spans="26:26" x14ac:dyDescent="0.25">
      <c r="Z35925">
        <v>400000</v>
      </c>
    </row>
    <row r="35926" spans="26:26" x14ac:dyDescent="0.25">
      <c r="Z35926">
        <v>400000</v>
      </c>
    </row>
    <row r="35927" spans="26:26" x14ac:dyDescent="0.25">
      <c r="Z35927">
        <v>400000</v>
      </c>
    </row>
    <row r="35928" spans="26:26" x14ac:dyDescent="0.25">
      <c r="Z35928">
        <v>400000</v>
      </c>
    </row>
    <row r="35929" spans="26:26" x14ac:dyDescent="0.25">
      <c r="Z35929">
        <v>400000</v>
      </c>
    </row>
    <row r="35930" spans="26:26" x14ac:dyDescent="0.25">
      <c r="Z35930">
        <v>400000</v>
      </c>
    </row>
    <row r="35931" spans="26:26" x14ac:dyDescent="0.25">
      <c r="Z35931">
        <v>400000</v>
      </c>
    </row>
    <row r="35932" spans="26:26" x14ac:dyDescent="0.25">
      <c r="Z35932">
        <v>400000</v>
      </c>
    </row>
    <row r="35933" spans="26:26" x14ac:dyDescent="0.25">
      <c r="Z35933">
        <v>400000</v>
      </c>
    </row>
    <row r="35934" spans="26:26" x14ac:dyDescent="0.25">
      <c r="Z35934">
        <v>400000</v>
      </c>
    </row>
    <row r="35935" spans="26:26" x14ac:dyDescent="0.25">
      <c r="Z35935">
        <v>400000</v>
      </c>
    </row>
    <row r="35936" spans="26:26" x14ac:dyDescent="0.25">
      <c r="Z35936">
        <v>400000</v>
      </c>
    </row>
    <row r="35937" spans="26:26" x14ac:dyDescent="0.25">
      <c r="Z35937">
        <v>400000</v>
      </c>
    </row>
    <row r="35938" spans="26:26" x14ac:dyDescent="0.25">
      <c r="Z35938">
        <v>400000</v>
      </c>
    </row>
    <row r="35939" spans="26:26" x14ac:dyDescent="0.25">
      <c r="Z35939">
        <v>400000</v>
      </c>
    </row>
    <row r="35940" spans="26:26" x14ac:dyDescent="0.25">
      <c r="Z35940">
        <v>400000</v>
      </c>
    </row>
    <row r="35941" spans="26:26" x14ac:dyDescent="0.25">
      <c r="Z35941">
        <v>400000</v>
      </c>
    </row>
    <row r="35942" spans="26:26" x14ac:dyDescent="0.25">
      <c r="Z35942">
        <v>400000</v>
      </c>
    </row>
    <row r="35943" spans="26:26" x14ac:dyDescent="0.25">
      <c r="Z35943">
        <v>400000</v>
      </c>
    </row>
    <row r="35944" spans="26:26" x14ac:dyDescent="0.25">
      <c r="Z35944">
        <v>400000</v>
      </c>
    </row>
    <row r="35945" spans="26:26" x14ac:dyDescent="0.25">
      <c r="Z35945">
        <v>400000</v>
      </c>
    </row>
    <row r="35946" spans="26:26" x14ac:dyDescent="0.25">
      <c r="Z35946">
        <v>400000</v>
      </c>
    </row>
    <row r="35947" spans="26:26" x14ac:dyDescent="0.25">
      <c r="Z35947">
        <v>400000</v>
      </c>
    </row>
    <row r="35948" spans="26:26" x14ac:dyDescent="0.25">
      <c r="Z35948">
        <v>400000</v>
      </c>
    </row>
    <row r="35949" spans="26:26" x14ac:dyDescent="0.25">
      <c r="Z35949">
        <v>400000</v>
      </c>
    </row>
    <row r="35950" spans="26:26" x14ac:dyDescent="0.25">
      <c r="Z35950">
        <v>400000</v>
      </c>
    </row>
    <row r="35951" spans="26:26" x14ac:dyDescent="0.25">
      <c r="Z35951">
        <v>400000</v>
      </c>
    </row>
    <row r="35952" spans="26:26" x14ac:dyDescent="0.25">
      <c r="Z35952">
        <v>400000</v>
      </c>
    </row>
    <row r="35953" spans="26:26" x14ac:dyDescent="0.25">
      <c r="Z35953">
        <v>400000</v>
      </c>
    </row>
    <row r="35954" spans="26:26" x14ac:dyDescent="0.25">
      <c r="Z35954">
        <v>400000</v>
      </c>
    </row>
    <row r="35955" spans="26:26" x14ac:dyDescent="0.25">
      <c r="Z35955">
        <v>400000</v>
      </c>
    </row>
    <row r="35956" spans="26:26" x14ac:dyDescent="0.25">
      <c r="Z35956">
        <v>400000</v>
      </c>
    </row>
    <row r="35957" spans="26:26" x14ac:dyDescent="0.25">
      <c r="Z35957">
        <v>400000</v>
      </c>
    </row>
    <row r="35958" spans="26:26" x14ac:dyDescent="0.25">
      <c r="Z35958">
        <v>400000</v>
      </c>
    </row>
    <row r="35959" spans="26:26" x14ac:dyDescent="0.25">
      <c r="Z35959">
        <v>400000</v>
      </c>
    </row>
    <row r="35960" spans="26:26" x14ac:dyDescent="0.25">
      <c r="Z35960">
        <v>400000</v>
      </c>
    </row>
    <row r="35961" spans="26:26" x14ac:dyDescent="0.25">
      <c r="Z35961">
        <v>400000</v>
      </c>
    </row>
    <row r="35962" spans="26:26" x14ac:dyDescent="0.25">
      <c r="Z35962">
        <v>400000</v>
      </c>
    </row>
    <row r="35963" spans="26:26" x14ac:dyDescent="0.25">
      <c r="Z35963">
        <v>400000</v>
      </c>
    </row>
    <row r="35964" spans="26:26" x14ac:dyDescent="0.25">
      <c r="Z35964">
        <v>400000</v>
      </c>
    </row>
    <row r="35965" spans="26:26" x14ac:dyDescent="0.25">
      <c r="Z35965">
        <v>400000</v>
      </c>
    </row>
    <row r="35966" spans="26:26" x14ac:dyDescent="0.25">
      <c r="Z35966">
        <v>400000</v>
      </c>
    </row>
    <row r="35967" spans="26:26" x14ac:dyDescent="0.25">
      <c r="Z35967">
        <v>400000</v>
      </c>
    </row>
    <row r="35968" spans="26:26" x14ac:dyDescent="0.25">
      <c r="Z35968">
        <v>400000</v>
      </c>
    </row>
    <row r="35969" spans="26:26" x14ac:dyDescent="0.25">
      <c r="Z35969">
        <v>400000</v>
      </c>
    </row>
    <row r="35970" spans="26:26" x14ac:dyDescent="0.25">
      <c r="Z35970">
        <v>400000</v>
      </c>
    </row>
    <row r="35971" spans="26:26" x14ac:dyDescent="0.25">
      <c r="Z35971">
        <v>400000</v>
      </c>
    </row>
    <row r="35972" spans="26:26" x14ac:dyDescent="0.25">
      <c r="Z35972">
        <v>400000</v>
      </c>
    </row>
    <row r="35973" spans="26:26" x14ac:dyDescent="0.25">
      <c r="Z35973">
        <v>400000</v>
      </c>
    </row>
    <row r="35974" spans="26:26" x14ac:dyDescent="0.25">
      <c r="Z35974">
        <v>400000</v>
      </c>
    </row>
    <row r="35975" spans="26:26" x14ac:dyDescent="0.25">
      <c r="Z35975">
        <v>400000</v>
      </c>
    </row>
    <row r="35976" spans="26:26" x14ac:dyDescent="0.25">
      <c r="Z35976">
        <v>400000</v>
      </c>
    </row>
    <row r="35977" spans="26:26" x14ac:dyDescent="0.25">
      <c r="Z35977">
        <v>400000</v>
      </c>
    </row>
    <row r="35978" spans="26:26" x14ac:dyDescent="0.25">
      <c r="Z35978">
        <v>400000</v>
      </c>
    </row>
    <row r="35979" spans="26:26" x14ac:dyDescent="0.25">
      <c r="Z35979">
        <v>400000</v>
      </c>
    </row>
    <row r="35980" spans="26:26" x14ac:dyDescent="0.25">
      <c r="Z35980">
        <v>400000</v>
      </c>
    </row>
    <row r="35981" spans="26:26" x14ac:dyDescent="0.25">
      <c r="Z35981">
        <v>400000</v>
      </c>
    </row>
    <row r="35982" spans="26:26" x14ac:dyDescent="0.25">
      <c r="Z35982">
        <v>400000</v>
      </c>
    </row>
    <row r="35983" spans="26:26" x14ac:dyDescent="0.25">
      <c r="Z35983">
        <v>400000</v>
      </c>
    </row>
    <row r="35984" spans="26:26" x14ac:dyDescent="0.25">
      <c r="Z35984">
        <v>400000</v>
      </c>
    </row>
    <row r="35985" spans="26:26" x14ac:dyDescent="0.25">
      <c r="Z35985">
        <v>400000</v>
      </c>
    </row>
    <row r="35986" spans="26:26" x14ac:dyDescent="0.25">
      <c r="Z35986">
        <v>400000</v>
      </c>
    </row>
    <row r="35987" spans="26:26" x14ac:dyDescent="0.25">
      <c r="Z35987">
        <v>400000</v>
      </c>
    </row>
    <row r="35988" spans="26:26" x14ac:dyDescent="0.25">
      <c r="Z35988">
        <v>400000</v>
      </c>
    </row>
    <row r="35989" spans="26:26" x14ac:dyDescent="0.25">
      <c r="Z35989">
        <v>400000</v>
      </c>
    </row>
    <row r="35990" spans="26:26" x14ac:dyDescent="0.25">
      <c r="Z35990">
        <v>400000</v>
      </c>
    </row>
    <row r="35991" spans="26:26" x14ac:dyDescent="0.25">
      <c r="Z35991">
        <v>400000</v>
      </c>
    </row>
    <row r="35992" spans="26:26" x14ac:dyDescent="0.25">
      <c r="Z35992">
        <v>400000</v>
      </c>
    </row>
    <row r="35993" spans="26:26" x14ac:dyDescent="0.25">
      <c r="Z35993">
        <v>400000</v>
      </c>
    </row>
    <row r="35994" spans="26:26" x14ac:dyDescent="0.25">
      <c r="Z35994">
        <v>400000</v>
      </c>
    </row>
    <row r="35995" spans="26:26" x14ac:dyDescent="0.25">
      <c r="Z35995">
        <v>400000</v>
      </c>
    </row>
    <row r="35996" spans="26:26" x14ac:dyDescent="0.25">
      <c r="Z35996">
        <v>400000</v>
      </c>
    </row>
    <row r="35997" spans="26:26" x14ac:dyDescent="0.25">
      <c r="Z35997">
        <v>400000</v>
      </c>
    </row>
    <row r="35998" spans="26:26" x14ac:dyDescent="0.25">
      <c r="Z35998">
        <v>400000</v>
      </c>
    </row>
    <row r="35999" spans="26:26" x14ac:dyDescent="0.25">
      <c r="Z35999">
        <v>400000</v>
      </c>
    </row>
    <row r="36000" spans="26:26" x14ac:dyDescent="0.25">
      <c r="Z36000">
        <v>400000</v>
      </c>
    </row>
    <row r="36001" spans="26:26" x14ac:dyDescent="0.25">
      <c r="Z36001">
        <v>400000</v>
      </c>
    </row>
    <row r="36002" spans="26:26" x14ac:dyDescent="0.25">
      <c r="Z36002">
        <v>400000</v>
      </c>
    </row>
    <row r="36003" spans="26:26" x14ac:dyDescent="0.25">
      <c r="Z36003">
        <v>400000</v>
      </c>
    </row>
    <row r="36004" spans="26:26" x14ac:dyDescent="0.25">
      <c r="Z36004">
        <v>400000</v>
      </c>
    </row>
    <row r="36005" spans="26:26" x14ac:dyDescent="0.25">
      <c r="Z36005">
        <v>400000</v>
      </c>
    </row>
    <row r="36006" spans="26:26" x14ac:dyDescent="0.25">
      <c r="Z36006">
        <v>400000</v>
      </c>
    </row>
    <row r="36007" spans="26:26" x14ac:dyDescent="0.25">
      <c r="Z36007">
        <v>400000</v>
      </c>
    </row>
    <row r="36008" spans="26:26" x14ac:dyDescent="0.25">
      <c r="Z36008">
        <v>400000</v>
      </c>
    </row>
    <row r="36009" spans="26:26" x14ac:dyDescent="0.25">
      <c r="Z36009">
        <v>400000</v>
      </c>
    </row>
    <row r="36010" spans="26:26" x14ac:dyDescent="0.25">
      <c r="Z36010">
        <v>400000</v>
      </c>
    </row>
    <row r="36011" spans="26:26" x14ac:dyDescent="0.25">
      <c r="Z36011">
        <v>400000</v>
      </c>
    </row>
    <row r="36012" spans="26:26" x14ac:dyDescent="0.25">
      <c r="Z36012">
        <v>400000</v>
      </c>
    </row>
    <row r="36013" spans="26:26" x14ac:dyDescent="0.25">
      <c r="Z36013">
        <v>400000</v>
      </c>
    </row>
    <row r="36014" spans="26:26" x14ac:dyDescent="0.25">
      <c r="Z36014">
        <v>400000</v>
      </c>
    </row>
    <row r="36015" spans="26:26" x14ac:dyDescent="0.25">
      <c r="Z36015">
        <v>400000</v>
      </c>
    </row>
    <row r="36016" spans="26:26" x14ac:dyDescent="0.25">
      <c r="Z36016">
        <v>400000</v>
      </c>
    </row>
    <row r="36017" spans="26:26" x14ac:dyDescent="0.25">
      <c r="Z36017">
        <v>400000</v>
      </c>
    </row>
    <row r="36018" spans="26:26" x14ac:dyDescent="0.25">
      <c r="Z36018">
        <v>400000</v>
      </c>
    </row>
    <row r="36019" spans="26:26" x14ac:dyDescent="0.25">
      <c r="Z36019">
        <v>400000</v>
      </c>
    </row>
    <row r="36020" spans="26:26" x14ac:dyDescent="0.25">
      <c r="Z36020">
        <v>400000</v>
      </c>
    </row>
    <row r="36021" spans="26:26" x14ac:dyDescent="0.25">
      <c r="Z36021">
        <v>400000</v>
      </c>
    </row>
    <row r="36022" spans="26:26" x14ac:dyDescent="0.25">
      <c r="Z36022">
        <v>400000</v>
      </c>
    </row>
    <row r="36023" spans="26:26" x14ac:dyDescent="0.25">
      <c r="Z36023">
        <v>400000</v>
      </c>
    </row>
    <row r="36024" spans="26:26" x14ac:dyDescent="0.25">
      <c r="Z36024">
        <v>400000</v>
      </c>
    </row>
    <row r="36025" spans="26:26" x14ac:dyDescent="0.25">
      <c r="Z36025">
        <v>400000</v>
      </c>
    </row>
    <row r="36026" spans="26:26" x14ac:dyDescent="0.25">
      <c r="Z36026">
        <v>400000</v>
      </c>
    </row>
    <row r="36027" spans="26:26" x14ac:dyDescent="0.25">
      <c r="Z36027">
        <v>400000</v>
      </c>
    </row>
    <row r="36028" spans="26:26" x14ac:dyDescent="0.25">
      <c r="Z36028">
        <v>400000</v>
      </c>
    </row>
    <row r="36029" spans="26:26" x14ac:dyDescent="0.25">
      <c r="Z36029">
        <v>400000</v>
      </c>
    </row>
    <row r="36030" spans="26:26" x14ac:dyDescent="0.25">
      <c r="Z36030">
        <v>400000</v>
      </c>
    </row>
    <row r="36031" spans="26:26" x14ac:dyDescent="0.25">
      <c r="Z36031">
        <v>400000</v>
      </c>
    </row>
    <row r="36032" spans="26:26" x14ac:dyDescent="0.25">
      <c r="Z36032">
        <v>400000</v>
      </c>
    </row>
    <row r="36033" spans="26:26" x14ac:dyDescent="0.25">
      <c r="Z36033">
        <v>400000</v>
      </c>
    </row>
    <row r="36034" spans="26:26" x14ac:dyDescent="0.25">
      <c r="Z36034">
        <v>400000</v>
      </c>
    </row>
    <row r="36035" spans="26:26" x14ac:dyDescent="0.25">
      <c r="Z36035">
        <v>400000</v>
      </c>
    </row>
    <row r="36036" spans="26:26" x14ac:dyDescent="0.25">
      <c r="Z36036">
        <v>400000</v>
      </c>
    </row>
    <row r="36037" spans="26:26" x14ac:dyDescent="0.25">
      <c r="Z36037">
        <v>400000</v>
      </c>
    </row>
    <row r="36038" spans="26:26" x14ac:dyDescent="0.25">
      <c r="Z36038">
        <v>400000</v>
      </c>
    </row>
    <row r="36039" spans="26:26" x14ac:dyDescent="0.25">
      <c r="Z36039">
        <v>400000</v>
      </c>
    </row>
    <row r="36040" spans="26:26" x14ac:dyDescent="0.25">
      <c r="Z36040">
        <v>400000</v>
      </c>
    </row>
    <row r="36041" spans="26:26" x14ac:dyDescent="0.25">
      <c r="Z36041">
        <v>400000</v>
      </c>
    </row>
    <row r="36042" spans="26:26" x14ac:dyDescent="0.25">
      <c r="Z36042">
        <v>400000</v>
      </c>
    </row>
    <row r="36043" spans="26:26" x14ac:dyDescent="0.25">
      <c r="Z36043">
        <v>400000</v>
      </c>
    </row>
    <row r="36044" spans="26:26" x14ac:dyDescent="0.25">
      <c r="Z36044">
        <v>400000</v>
      </c>
    </row>
    <row r="36045" spans="26:26" x14ac:dyDescent="0.25">
      <c r="Z36045">
        <v>400000</v>
      </c>
    </row>
    <row r="36046" spans="26:26" x14ac:dyDescent="0.25">
      <c r="Z36046">
        <v>400000</v>
      </c>
    </row>
    <row r="36047" spans="26:26" x14ac:dyDescent="0.25">
      <c r="Z36047">
        <v>400000</v>
      </c>
    </row>
    <row r="36048" spans="26:26" x14ac:dyDescent="0.25">
      <c r="Z36048">
        <v>400000</v>
      </c>
    </row>
    <row r="36049" spans="26:26" x14ac:dyDescent="0.25">
      <c r="Z36049">
        <v>400000</v>
      </c>
    </row>
    <row r="36050" spans="26:26" x14ac:dyDescent="0.25">
      <c r="Z36050">
        <v>400000</v>
      </c>
    </row>
    <row r="36051" spans="26:26" x14ac:dyDescent="0.25">
      <c r="Z36051">
        <v>400000</v>
      </c>
    </row>
    <row r="36052" spans="26:26" x14ac:dyDescent="0.25">
      <c r="Z36052">
        <v>400000</v>
      </c>
    </row>
    <row r="36053" spans="26:26" x14ac:dyDescent="0.25">
      <c r="Z36053">
        <v>400000</v>
      </c>
    </row>
    <row r="36054" spans="26:26" x14ac:dyDescent="0.25">
      <c r="Z36054">
        <v>400000</v>
      </c>
    </row>
    <row r="36055" spans="26:26" x14ac:dyDescent="0.25">
      <c r="Z36055">
        <v>400000</v>
      </c>
    </row>
    <row r="36056" spans="26:26" x14ac:dyDescent="0.25">
      <c r="Z36056">
        <v>400000</v>
      </c>
    </row>
    <row r="36057" spans="26:26" x14ac:dyDescent="0.25">
      <c r="Z36057">
        <v>400000</v>
      </c>
    </row>
    <row r="36058" spans="26:26" x14ac:dyDescent="0.25">
      <c r="Z36058">
        <v>400000</v>
      </c>
    </row>
    <row r="36059" spans="26:26" x14ac:dyDescent="0.25">
      <c r="Z36059">
        <v>400000</v>
      </c>
    </row>
    <row r="36060" spans="26:26" x14ac:dyDescent="0.25">
      <c r="Z36060">
        <v>400000</v>
      </c>
    </row>
    <row r="36061" spans="26:26" x14ac:dyDescent="0.25">
      <c r="Z36061">
        <v>400000</v>
      </c>
    </row>
    <row r="36062" spans="26:26" x14ac:dyDescent="0.25">
      <c r="Z36062">
        <v>400000</v>
      </c>
    </row>
    <row r="36063" spans="26:26" x14ac:dyDescent="0.25">
      <c r="Z36063">
        <v>400000</v>
      </c>
    </row>
    <row r="36064" spans="26:26" x14ac:dyDescent="0.25">
      <c r="Z36064">
        <v>400000</v>
      </c>
    </row>
    <row r="36065" spans="26:26" x14ac:dyDescent="0.25">
      <c r="Z36065">
        <v>400000</v>
      </c>
    </row>
    <row r="36066" spans="26:26" x14ac:dyDescent="0.25">
      <c r="Z36066">
        <v>400000</v>
      </c>
    </row>
    <row r="36067" spans="26:26" x14ac:dyDescent="0.25">
      <c r="Z36067">
        <v>400000</v>
      </c>
    </row>
    <row r="36068" spans="26:26" x14ac:dyDescent="0.25">
      <c r="Z36068">
        <v>400000</v>
      </c>
    </row>
    <row r="36069" spans="26:26" x14ac:dyDescent="0.25">
      <c r="Z36069">
        <v>400000</v>
      </c>
    </row>
    <row r="36070" spans="26:26" x14ac:dyDescent="0.25">
      <c r="Z36070">
        <v>400000</v>
      </c>
    </row>
    <row r="36071" spans="26:26" x14ac:dyDescent="0.25">
      <c r="Z36071">
        <v>400000</v>
      </c>
    </row>
    <row r="36072" spans="26:26" x14ac:dyDescent="0.25">
      <c r="Z36072">
        <v>400000</v>
      </c>
    </row>
    <row r="36073" spans="26:26" x14ac:dyDescent="0.25">
      <c r="Z36073">
        <v>400000</v>
      </c>
    </row>
    <row r="36074" spans="26:26" x14ac:dyDescent="0.25">
      <c r="Z36074">
        <v>400000</v>
      </c>
    </row>
    <row r="36075" spans="26:26" x14ac:dyDescent="0.25">
      <c r="Z36075">
        <v>400000</v>
      </c>
    </row>
    <row r="36076" spans="26:26" x14ac:dyDescent="0.25">
      <c r="Z36076">
        <v>400000</v>
      </c>
    </row>
    <row r="36077" spans="26:26" x14ac:dyDescent="0.25">
      <c r="Z36077">
        <v>400000</v>
      </c>
    </row>
    <row r="36078" spans="26:26" x14ac:dyDescent="0.25">
      <c r="Z36078">
        <v>400000</v>
      </c>
    </row>
    <row r="36079" spans="26:26" x14ac:dyDescent="0.25">
      <c r="Z36079">
        <v>400000</v>
      </c>
    </row>
    <row r="36080" spans="26:26" x14ac:dyDescent="0.25">
      <c r="Z36080">
        <v>400000</v>
      </c>
    </row>
    <row r="36081" spans="26:26" x14ac:dyDescent="0.25">
      <c r="Z36081">
        <v>400000</v>
      </c>
    </row>
    <row r="36082" spans="26:26" x14ac:dyDescent="0.25">
      <c r="Z36082">
        <v>400000</v>
      </c>
    </row>
    <row r="36083" spans="26:26" x14ac:dyDescent="0.25">
      <c r="Z36083">
        <v>400000</v>
      </c>
    </row>
    <row r="36084" spans="26:26" x14ac:dyDescent="0.25">
      <c r="Z36084">
        <v>400000</v>
      </c>
    </row>
    <row r="36085" spans="26:26" x14ac:dyDescent="0.25">
      <c r="Z36085">
        <v>400000</v>
      </c>
    </row>
    <row r="36086" spans="26:26" x14ac:dyDescent="0.25">
      <c r="Z36086">
        <v>400000</v>
      </c>
    </row>
    <row r="36087" spans="26:26" x14ac:dyDescent="0.25">
      <c r="Z36087">
        <v>400000</v>
      </c>
    </row>
    <row r="36088" spans="26:26" x14ac:dyDescent="0.25">
      <c r="Z36088">
        <v>400000</v>
      </c>
    </row>
    <row r="36089" spans="26:26" x14ac:dyDescent="0.25">
      <c r="Z36089">
        <v>400000</v>
      </c>
    </row>
    <row r="36090" spans="26:26" x14ac:dyDescent="0.25">
      <c r="Z36090">
        <v>400000</v>
      </c>
    </row>
    <row r="36091" spans="26:26" x14ac:dyDescent="0.25">
      <c r="Z36091">
        <v>400000</v>
      </c>
    </row>
    <row r="36092" spans="26:26" x14ac:dyDescent="0.25">
      <c r="Z36092">
        <v>400000</v>
      </c>
    </row>
    <row r="36093" spans="26:26" x14ac:dyDescent="0.25">
      <c r="Z36093">
        <v>400000</v>
      </c>
    </row>
    <row r="36094" spans="26:26" x14ac:dyDescent="0.25">
      <c r="Z36094">
        <v>400000</v>
      </c>
    </row>
    <row r="36095" spans="26:26" x14ac:dyDescent="0.25">
      <c r="Z36095">
        <v>400000</v>
      </c>
    </row>
    <row r="36096" spans="26:26" x14ac:dyDescent="0.25">
      <c r="Z36096">
        <v>400000</v>
      </c>
    </row>
    <row r="36097" spans="26:26" x14ac:dyDescent="0.25">
      <c r="Z36097">
        <v>400000</v>
      </c>
    </row>
    <row r="36098" spans="26:26" x14ac:dyDescent="0.25">
      <c r="Z36098">
        <v>400000</v>
      </c>
    </row>
    <row r="36099" spans="26:26" x14ac:dyDescent="0.25">
      <c r="Z36099">
        <v>400000</v>
      </c>
    </row>
    <row r="36100" spans="26:26" x14ac:dyDescent="0.25">
      <c r="Z36100">
        <v>400000</v>
      </c>
    </row>
    <row r="36101" spans="26:26" x14ac:dyDescent="0.25">
      <c r="Z36101">
        <v>400000</v>
      </c>
    </row>
    <row r="36102" spans="26:26" x14ac:dyDescent="0.25">
      <c r="Z36102">
        <v>400000</v>
      </c>
    </row>
    <row r="36103" spans="26:26" x14ac:dyDescent="0.25">
      <c r="Z36103">
        <v>400000</v>
      </c>
    </row>
    <row r="36104" spans="26:26" x14ac:dyDescent="0.25">
      <c r="Z36104">
        <v>400000</v>
      </c>
    </row>
    <row r="36105" spans="26:26" x14ac:dyDescent="0.25">
      <c r="Z36105">
        <v>400000</v>
      </c>
    </row>
    <row r="36106" spans="26:26" x14ac:dyDescent="0.25">
      <c r="Z36106">
        <v>400000</v>
      </c>
    </row>
    <row r="36107" spans="26:26" x14ac:dyDescent="0.25">
      <c r="Z36107">
        <v>400000</v>
      </c>
    </row>
    <row r="36108" spans="26:26" x14ac:dyDescent="0.25">
      <c r="Z36108">
        <v>400000</v>
      </c>
    </row>
    <row r="36109" spans="26:26" x14ac:dyDescent="0.25">
      <c r="Z36109">
        <v>400000</v>
      </c>
    </row>
    <row r="36110" spans="26:26" x14ac:dyDescent="0.25">
      <c r="Z36110">
        <v>400000</v>
      </c>
    </row>
    <row r="36111" spans="26:26" x14ac:dyDescent="0.25">
      <c r="Z36111">
        <v>400000</v>
      </c>
    </row>
    <row r="36112" spans="26:26" x14ac:dyDescent="0.25">
      <c r="Z36112">
        <v>400000</v>
      </c>
    </row>
    <row r="36113" spans="26:26" x14ac:dyDescent="0.25">
      <c r="Z36113">
        <v>400000</v>
      </c>
    </row>
    <row r="36114" spans="26:26" x14ac:dyDescent="0.25">
      <c r="Z36114">
        <v>400000</v>
      </c>
    </row>
    <row r="36115" spans="26:26" x14ac:dyDescent="0.25">
      <c r="Z36115">
        <v>400000</v>
      </c>
    </row>
    <row r="36116" spans="26:26" x14ac:dyDescent="0.25">
      <c r="Z36116">
        <v>400000</v>
      </c>
    </row>
    <row r="36117" spans="26:26" x14ac:dyDescent="0.25">
      <c r="Z36117">
        <v>400000</v>
      </c>
    </row>
    <row r="36118" spans="26:26" x14ac:dyDescent="0.25">
      <c r="Z36118">
        <v>400000</v>
      </c>
    </row>
    <row r="36119" spans="26:26" x14ac:dyDescent="0.25">
      <c r="Z36119">
        <v>400000</v>
      </c>
    </row>
    <row r="36120" spans="26:26" x14ac:dyDescent="0.25">
      <c r="Z36120">
        <v>400000</v>
      </c>
    </row>
    <row r="36121" spans="26:26" x14ac:dyDescent="0.25">
      <c r="Z36121">
        <v>400000</v>
      </c>
    </row>
    <row r="36122" spans="26:26" x14ac:dyDescent="0.25">
      <c r="Z36122">
        <v>400000</v>
      </c>
    </row>
    <row r="36123" spans="26:26" x14ac:dyDescent="0.25">
      <c r="Z36123">
        <v>400000</v>
      </c>
    </row>
    <row r="36124" spans="26:26" x14ac:dyDescent="0.25">
      <c r="Z36124">
        <v>400000</v>
      </c>
    </row>
    <row r="36125" spans="26:26" x14ac:dyDescent="0.25">
      <c r="Z36125">
        <v>400000</v>
      </c>
    </row>
    <row r="36126" spans="26:26" x14ac:dyDescent="0.25">
      <c r="Z36126">
        <v>400000</v>
      </c>
    </row>
    <row r="36127" spans="26:26" x14ac:dyDescent="0.25">
      <c r="Z36127">
        <v>400000</v>
      </c>
    </row>
    <row r="36128" spans="26:26" x14ac:dyDescent="0.25">
      <c r="Z36128">
        <v>400000</v>
      </c>
    </row>
    <row r="36129" spans="26:26" x14ac:dyDescent="0.25">
      <c r="Z36129">
        <v>400000</v>
      </c>
    </row>
    <row r="36130" spans="26:26" x14ac:dyDescent="0.25">
      <c r="Z36130">
        <v>400000</v>
      </c>
    </row>
    <row r="36131" spans="26:26" x14ac:dyDescent="0.25">
      <c r="Z36131">
        <v>400000</v>
      </c>
    </row>
    <row r="36132" spans="26:26" x14ac:dyDescent="0.25">
      <c r="Z36132">
        <v>400000</v>
      </c>
    </row>
    <row r="36133" spans="26:26" x14ac:dyDescent="0.25">
      <c r="Z36133">
        <v>400000</v>
      </c>
    </row>
    <row r="36134" spans="26:26" x14ac:dyDescent="0.25">
      <c r="Z36134">
        <v>400000</v>
      </c>
    </row>
    <row r="36135" spans="26:26" x14ac:dyDescent="0.25">
      <c r="Z36135">
        <v>400000</v>
      </c>
    </row>
    <row r="36136" spans="26:26" x14ac:dyDescent="0.25">
      <c r="Z36136">
        <v>400000</v>
      </c>
    </row>
    <row r="36137" spans="26:26" x14ac:dyDescent="0.25">
      <c r="Z36137">
        <v>400000</v>
      </c>
    </row>
    <row r="36138" spans="26:26" x14ac:dyDescent="0.25">
      <c r="Z36138">
        <v>400000</v>
      </c>
    </row>
    <row r="36139" spans="26:26" x14ac:dyDescent="0.25">
      <c r="Z36139">
        <v>400000</v>
      </c>
    </row>
    <row r="36140" spans="26:26" x14ac:dyDescent="0.25">
      <c r="Z36140">
        <v>400000</v>
      </c>
    </row>
    <row r="36141" spans="26:26" x14ac:dyDescent="0.25">
      <c r="Z36141">
        <v>400000</v>
      </c>
    </row>
    <row r="36142" spans="26:26" x14ac:dyDescent="0.25">
      <c r="Z36142">
        <v>400000</v>
      </c>
    </row>
    <row r="36143" spans="26:26" x14ac:dyDescent="0.25">
      <c r="Z36143">
        <v>400000</v>
      </c>
    </row>
    <row r="36144" spans="26:26" x14ac:dyDescent="0.25">
      <c r="Z36144">
        <v>400000</v>
      </c>
    </row>
    <row r="36145" spans="26:26" x14ac:dyDescent="0.25">
      <c r="Z36145">
        <v>400000</v>
      </c>
    </row>
    <row r="36146" spans="26:26" x14ac:dyDescent="0.25">
      <c r="Z36146">
        <v>400000</v>
      </c>
    </row>
    <row r="36147" spans="26:26" x14ac:dyDescent="0.25">
      <c r="Z36147">
        <v>400000</v>
      </c>
    </row>
    <row r="36148" spans="26:26" x14ac:dyDescent="0.25">
      <c r="Z36148">
        <v>400000</v>
      </c>
    </row>
    <row r="36149" spans="26:26" x14ac:dyDescent="0.25">
      <c r="Z36149">
        <v>400000</v>
      </c>
    </row>
    <row r="36150" spans="26:26" x14ac:dyDescent="0.25">
      <c r="Z36150">
        <v>400000</v>
      </c>
    </row>
    <row r="36151" spans="26:26" x14ac:dyDescent="0.25">
      <c r="Z36151">
        <v>400000</v>
      </c>
    </row>
    <row r="36152" spans="26:26" x14ac:dyDescent="0.25">
      <c r="Z36152">
        <v>400000</v>
      </c>
    </row>
    <row r="36153" spans="26:26" x14ac:dyDescent="0.25">
      <c r="Z36153">
        <v>400000</v>
      </c>
    </row>
    <row r="36154" spans="26:26" x14ac:dyDescent="0.25">
      <c r="Z36154">
        <v>400000</v>
      </c>
    </row>
    <row r="36155" spans="26:26" x14ac:dyDescent="0.25">
      <c r="Z36155">
        <v>400000</v>
      </c>
    </row>
    <row r="36156" spans="26:26" x14ac:dyDescent="0.25">
      <c r="Z36156">
        <v>400000</v>
      </c>
    </row>
    <row r="36157" spans="26:26" x14ac:dyDescent="0.25">
      <c r="Z36157">
        <v>400000</v>
      </c>
    </row>
    <row r="36158" spans="26:26" x14ac:dyDescent="0.25">
      <c r="Z36158">
        <v>400000</v>
      </c>
    </row>
    <row r="36159" spans="26:26" x14ac:dyDescent="0.25">
      <c r="Z36159">
        <v>400000</v>
      </c>
    </row>
    <row r="36160" spans="26:26" x14ac:dyDescent="0.25">
      <c r="Z36160">
        <v>400000</v>
      </c>
    </row>
    <row r="36161" spans="26:26" x14ac:dyDescent="0.25">
      <c r="Z36161">
        <v>400000</v>
      </c>
    </row>
    <row r="36162" spans="26:26" x14ac:dyDescent="0.25">
      <c r="Z36162">
        <v>400000</v>
      </c>
    </row>
    <row r="36163" spans="26:26" x14ac:dyDescent="0.25">
      <c r="Z36163">
        <v>400000</v>
      </c>
    </row>
    <row r="36164" spans="26:26" x14ac:dyDescent="0.25">
      <c r="Z36164">
        <v>400000</v>
      </c>
    </row>
    <row r="36165" spans="26:26" x14ac:dyDescent="0.25">
      <c r="Z36165">
        <v>400000</v>
      </c>
    </row>
    <row r="36166" spans="26:26" x14ac:dyDescent="0.25">
      <c r="Z36166">
        <v>400000</v>
      </c>
    </row>
    <row r="36167" spans="26:26" x14ac:dyDescent="0.25">
      <c r="Z36167">
        <v>400000</v>
      </c>
    </row>
    <row r="36168" spans="26:26" x14ac:dyDescent="0.25">
      <c r="Z36168">
        <v>400000</v>
      </c>
    </row>
    <row r="36169" spans="26:26" x14ac:dyDescent="0.25">
      <c r="Z36169">
        <v>400000</v>
      </c>
    </row>
    <row r="36170" spans="26:26" x14ac:dyDescent="0.25">
      <c r="Z36170">
        <v>400000</v>
      </c>
    </row>
    <row r="36171" spans="26:26" x14ac:dyDescent="0.25">
      <c r="Z36171">
        <v>400000</v>
      </c>
    </row>
    <row r="36172" spans="26:26" x14ac:dyDescent="0.25">
      <c r="Z36172">
        <v>400000</v>
      </c>
    </row>
    <row r="36173" spans="26:26" x14ac:dyDescent="0.25">
      <c r="Z36173">
        <v>400000</v>
      </c>
    </row>
    <row r="36174" spans="26:26" x14ac:dyDescent="0.25">
      <c r="Z36174">
        <v>400000</v>
      </c>
    </row>
    <row r="36175" spans="26:26" x14ac:dyDescent="0.25">
      <c r="Z36175">
        <v>400000</v>
      </c>
    </row>
    <row r="36176" spans="26:26" x14ac:dyDescent="0.25">
      <c r="Z36176">
        <v>400000</v>
      </c>
    </row>
    <row r="36177" spans="26:26" x14ac:dyDescent="0.25">
      <c r="Z36177">
        <v>400000</v>
      </c>
    </row>
    <row r="36178" spans="26:26" x14ac:dyDescent="0.25">
      <c r="Z36178">
        <v>400000</v>
      </c>
    </row>
    <row r="36179" spans="26:26" x14ac:dyDescent="0.25">
      <c r="Z36179">
        <v>400000</v>
      </c>
    </row>
    <row r="36180" spans="26:26" x14ac:dyDescent="0.25">
      <c r="Z36180">
        <v>400000</v>
      </c>
    </row>
    <row r="36181" spans="26:26" x14ac:dyDescent="0.25">
      <c r="Z36181">
        <v>400000</v>
      </c>
    </row>
    <row r="36182" spans="26:26" x14ac:dyDescent="0.25">
      <c r="Z36182">
        <v>400000</v>
      </c>
    </row>
    <row r="36183" spans="26:26" x14ac:dyDescent="0.25">
      <c r="Z36183">
        <v>400000</v>
      </c>
    </row>
    <row r="36184" spans="26:26" x14ac:dyDescent="0.25">
      <c r="Z36184">
        <v>400000</v>
      </c>
    </row>
    <row r="36185" spans="26:26" x14ac:dyDescent="0.25">
      <c r="Z36185">
        <v>400000</v>
      </c>
    </row>
    <row r="36186" spans="26:26" x14ac:dyDescent="0.25">
      <c r="Z36186">
        <v>400000</v>
      </c>
    </row>
    <row r="36187" spans="26:26" x14ac:dyDescent="0.25">
      <c r="Z36187">
        <v>400000</v>
      </c>
    </row>
    <row r="36188" spans="26:26" x14ac:dyDescent="0.25">
      <c r="Z36188">
        <v>400000</v>
      </c>
    </row>
    <row r="36189" spans="26:26" x14ac:dyDescent="0.25">
      <c r="Z36189">
        <v>400000</v>
      </c>
    </row>
    <row r="36190" spans="26:26" x14ac:dyDescent="0.25">
      <c r="Z36190">
        <v>400000</v>
      </c>
    </row>
    <row r="36191" spans="26:26" x14ac:dyDescent="0.25">
      <c r="Z36191">
        <v>400000</v>
      </c>
    </row>
    <row r="36192" spans="26:26" x14ac:dyDescent="0.25">
      <c r="Z36192">
        <v>400000</v>
      </c>
    </row>
    <row r="36193" spans="26:26" x14ac:dyDescent="0.25">
      <c r="Z36193">
        <v>400000</v>
      </c>
    </row>
    <row r="36194" spans="26:26" x14ac:dyDescent="0.25">
      <c r="Z36194">
        <v>400000</v>
      </c>
    </row>
    <row r="36195" spans="26:26" x14ac:dyDescent="0.25">
      <c r="Z36195">
        <v>400000</v>
      </c>
    </row>
    <row r="36196" spans="26:26" x14ac:dyDescent="0.25">
      <c r="Z36196">
        <v>400000</v>
      </c>
    </row>
    <row r="36197" spans="26:26" x14ac:dyDescent="0.25">
      <c r="Z36197">
        <v>400000</v>
      </c>
    </row>
    <row r="36198" spans="26:26" x14ac:dyDescent="0.25">
      <c r="Z36198">
        <v>400000</v>
      </c>
    </row>
    <row r="36199" spans="26:26" x14ac:dyDescent="0.25">
      <c r="Z36199">
        <v>400000</v>
      </c>
    </row>
    <row r="36200" spans="26:26" x14ac:dyDescent="0.25">
      <c r="Z36200">
        <v>400000</v>
      </c>
    </row>
    <row r="36201" spans="26:26" x14ac:dyDescent="0.25">
      <c r="Z36201">
        <v>400000</v>
      </c>
    </row>
    <row r="36202" spans="26:26" x14ac:dyDescent="0.25">
      <c r="Z36202">
        <v>400000</v>
      </c>
    </row>
    <row r="36203" spans="26:26" x14ac:dyDescent="0.25">
      <c r="Z36203">
        <v>400000</v>
      </c>
    </row>
    <row r="36204" spans="26:26" x14ac:dyDescent="0.25">
      <c r="Z36204">
        <v>400000</v>
      </c>
    </row>
    <row r="36205" spans="26:26" x14ac:dyDescent="0.25">
      <c r="Z36205">
        <v>400000</v>
      </c>
    </row>
    <row r="36206" spans="26:26" x14ac:dyDescent="0.25">
      <c r="Z36206">
        <v>400000</v>
      </c>
    </row>
    <row r="36207" spans="26:26" x14ac:dyDescent="0.25">
      <c r="Z36207">
        <v>400000</v>
      </c>
    </row>
    <row r="36208" spans="26:26" x14ac:dyDescent="0.25">
      <c r="Z36208">
        <v>400000</v>
      </c>
    </row>
    <row r="36209" spans="26:26" x14ac:dyDescent="0.25">
      <c r="Z36209">
        <v>400000</v>
      </c>
    </row>
    <row r="36210" spans="26:26" x14ac:dyDescent="0.25">
      <c r="Z36210">
        <v>400000</v>
      </c>
    </row>
    <row r="36211" spans="26:26" x14ac:dyDescent="0.25">
      <c r="Z36211">
        <v>400000</v>
      </c>
    </row>
    <row r="36212" spans="26:26" x14ac:dyDescent="0.25">
      <c r="Z36212">
        <v>400000</v>
      </c>
    </row>
    <row r="36213" spans="26:26" x14ac:dyDescent="0.25">
      <c r="Z36213">
        <v>400000</v>
      </c>
    </row>
    <row r="36214" spans="26:26" x14ac:dyDescent="0.25">
      <c r="Z36214">
        <v>400000</v>
      </c>
    </row>
    <row r="36215" spans="26:26" x14ac:dyDescent="0.25">
      <c r="Z36215">
        <v>400000</v>
      </c>
    </row>
    <row r="36216" spans="26:26" x14ac:dyDescent="0.25">
      <c r="Z36216">
        <v>400000</v>
      </c>
    </row>
    <row r="36217" spans="26:26" x14ac:dyDescent="0.25">
      <c r="Z36217">
        <v>400000</v>
      </c>
    </row>
    <row r="36218" spans="26:26" x14ac:dyDescent="0.25">
      <c r="Z36218">
        <v>400000</v>
      </c>
    </row>
    <row r="36219" spans="26:26" x14ac:dyDescent="0.25">
      <c r="Z36219">
        <v>400000</v>
      </c>
    </row>
    <row r="36220" spans="26:26" x14ac:dyDescent="0.25">
      <c r="Z36220">
        <v>400000</v>
      </c>
    </row>
    <row r="36221" spans="26:26" x14ac:dyDescent="0.25">
      <c r="Z36221">
        <v>400000</v>
      </c>
    </row>
    <row r="36222" spans="26:26" x14ac:dyDescent="0.25">
      <c r="Z36222">
        <v>400000</v>
      </c>
    </row>
    <row r="36223" spans="26:26" x14ac:dyDescent="0.25">
      <c r="Z36223">
        <v>400000</v>
      </c>
    </row>
    <row r="36224" spans="26:26" x14ac:dyDescent="0.25">
      <c r="Z36224">
        <v>400000</v>
      </c>
    </row>
    <row r="36225" spans="26:26" x14ac:dyDescent="0.25">
      <c r="Z36225">
        <v>400000</v>
      </c>
    </row>
    <row r="36226" spans="26:26" x14ac:dyDescent="0.25">
      <c r="Z36226">
        <v>400000</v>
      </c>
    </row>
    <row r="36227" spans="26:26" x14ac:dyDescent="0.25">
      <c r="Z36227">
        <v>400000</v>
      </c>
    </row>
    <row r="36228" spans="26:26" x14ac:dyDescent="0.25">
      <c r="Z36228">
        <v>400000</v>
      </c>
    </row>
    <row r="36229" spans="26:26" x14ac:dyDescent="0.25">
      <c r="Z36229">
        <v>400000</v>
      </c>
    </row>
    <row r="36230" spans="26:26" x14ac:dyDescent="0.25">
      <c r="Z36230">
        <v>400000</v>
      </c>
    </row>
    <row r="36231" spans="26:26" x14ac:dyDescent="0.25">
      <c r="Z36231">
        <v>400000</v>
      </c>
    </row>
    <row r="36232" spans="26:26" x14ac:dyDescent="0.25">
      <c r="Z36232">
        <v>400000</v>
      </c>
    </row>
    <row r="36233" spans="26:26" x14ac:dyDescent="0.25">
      <c r="Z36233">
        <v>400000</v>
      </c>
    </row>
    <row r="36234" spans="26:26" x14ac:dyDescent="0.25">
      <c r="Z36234">
        <v>400000</v>
      </c>
    </row>
    <row r="36235" spans="26:26" x14ac:dyDescent="0.25">
      <c r="Z36235">
        <v>400000</v>
      </c>
    </row>
    <row r="36236" spans="26:26" x14ac:dyDescent="0.25">
      <c r="Z36236">
        <v>400000</v>
      </c>
    </row>
    <row r="36237" spans="26:26" x14ac:dyDescent="0.25">
      <c r="Z36237">
        <v>400000</v>
      </c>
    </row>
    <row r="36238" spans="26:26" x14ac:dyDescent="0.25">
      <c r="Z36238">
        <v>400000</v>
      </c>
    </row>
    <row r="36239" spans="26:26" x14ac:dyDescent="0.25">
      <c r="Z36239">
        <v>400000</v>
      </c>
    </row>
    <row r="36240" spans="26:26" x14ac:dyDescent="0.25">
      <c r="Z36240">
        <v>400000</v>
      </c>
    </row>
    <row r="36241" spans="26:26" x14ac:dyDescent="0.25">
      <c r="Z36241">
        <v>400000</v>
      </c>
    </row>
    <row r="36242" spans="26:26" x14ac:dyDescent="0.25">
      <c r="Z36242">
        <v>400000</v>
      </c>
    </row>
    <row r="36243" spans="26:26" x14ac:dyDescent="0.25">
      <c r="Z36243">
        <v>400000</v>
      </c>
    </row>
    <row r="36244" spans="26:26" x14ac:dyDescent="0.25">
      <c r="Z36244">
        <v>400000</v>
      </c>
    </row>
    <row r="36245" spans="26:26" x14ac:dyDescent="0.25">
      <c r="Z36245">
        <v>400000</v>
      </c>
    </row>
    <row r="36246" spans="26:26" x14ac:dyDescent="0.25">
      <c r="Z36246">
        <v>400000</v>
      </c>
    </row>
    <row r="36247" spans="26:26" x14ac:dyDescent="0.25">
      <c r="Z36247">
        <v>400000</v>
      </c>
    </row>
    <row r="36248" spans="26:26" x14ac:dyDescent="0.25">
      <c r="Z36248">
        <v>400000</v>
      </c>
    </row>
    <row r="36249" spans="26:26" x14ac:dyDescent="0.25">
      <c r="Z36249">
        <v>400000</v>
      </c>
    </row>
    <row r="36250" spans="26:26" x14ac:dyDescent="0.25">
      <c r="Z36250">
        <v>400000</v>
      </c>
    </row>
    <row r="36251" spans="26:26" x14ac:dyDescent="0.25">
      <c r="Z36251">
        <v>400000</v>
      </c>
    </row>
    <row r="36252" spans="26:26" x14ac:dyDescent="0.25">
      <c r="Z36252">
        <v>400000</v>
      </c>
    </row>
    <row r="36253" spans="26:26" x14ac:dyDescent="0.25">
      <c r="Z36253">
        <v>400000</v>
      </c>
    </row>
    <row r="36254" spans="26:26" x14ac:dyDescent="0.25">
      <c r="Z36254">
        <v>400000</v>
      </c>
    </row>
    <row r="36255" spans="26:26" x14ac:dyDescent="0.25">
      <c r="Z36255">
        <v>400000</v>
      </c>
    </row>
    <row r="36256" spans="26:26" x14ac:dyDescent="0.25">
      <c r="Z36256">
        <v>400000</v>
      </c>
    </row>
    <row r="36257" spans="26:26" x14ac:dyDescent="0.25">
      <c r="Z36257">
        <v>400000</v>
      </c>
    </row>
    <row r="36258" spans="26:26" x14ac:dyDescent="0.25">
      <c r="Z36258">
        <v>400000</v>
      </c>
    </row>
    <row r="36259" spans="26:26" x14ac:dyDescent="0.25">
      <c r="Z36259">
        <v>400000</v>
      </c>
    </row>
    <row r="36260" spans="26:26" x14ac:dyDescent="0.25">
      <c r="Z36260">
        <v>400000</v>
      </c>
    </row>
    <row r="36261" spans="26:26" x14ac:dyDescent="0.25">
      <c r="Z36261">
        <v>400000</v>
      </c>
    </row>
    <row r="36262" spans="26:26" x14ac:dyDescent="0.25">
      <c r="Z36262">
        <v>400000</v>
      </c>
    </row>
    <row r="36263" spans="26:26" x14ac:dyDescent="0.25">
      <c r="Z36263">
        <v>400000</v>
      </c>
    </row>
    <row r="36264" spans="26:26" x14ac:dyDescent="0.25">
      <c r="Z36264">
        <v>400000</v>
      </c>
    </row>
    <row r="36265" spans="26:26" x14ac:dyDescent="0.25">
      <c r="Z36265">
        <v>400000</v>
      </c>
    </row>
    <row r="36266" spans="26:26" x14ac:dyDescent="0.25">
      <c r="Z36266">
        <v>400000</v>
      </c>
    </row>
    <row r="36267" spans="26:26" x14ac:dyDescent="0.25">
      <c r="Z36267">
        <v>400000</v>
      </c>
    </row>
    <row r="36268" spans="26:26" x14ac:dyDescent="0.25">
      <c r="Z36268">
        <v>400000</v>
      </c>
    </row>
    <row r="36269" spans="26:26" x14ac:dyDescent="0.25">
      <c r="Z36269">
        <v>400000</v>
      </c>
    </row>
    <row r="36270" spans="26:26" x14ac:dyDescent="0.25">
      <c r="Z36270">
        <v>400000</v>
      </c>
    </row>
    <row r="36271" spans="26:26" x14ac:dyDescent="0.25">
      <c r="Z36271">
        <v>400000</v>
      </c>
    </row>
    <row r="36272" spans="26:26" x14ac:dyDescent="0.25">
      <c r="Z36272">
        <v>400000</v>
      </c>
    </row>
    <row r="36273" spans="26:26" x14ac:dyDescent="0.25">
      <c r="Z36273">
        <v>400000</v>
      </c>
    </row>
    <row r="36274" spans="26:26" x14ac:dyDescent="0.25">
      <c r="Z36274">
        <v>400000</v>
      </c>
    </row>
    <row r="36275" spans="26:26" x14ac:dyDescent="0.25">
      <c r="Z36275">
        <v>400000</v>
      </c>
    </row>
    <row r="36276" spans="26:26" x14ac:dyDescent="0.25">
      <c r="Z36276">
        <v>400000</v>
      </c>
    </row>
    <row r="36277" spans="26:26" x14ac:dyDescent="0.25">
      <c r="Z36277">
        <v>400000</v>
      </c>
    </row>
    <row r="36278" spans="26:26" x14ac:dyDescent="0.25">
      <c r="Z36278">
        <v>400000</v>
      </c>
    </row>
    <row r="36279" spans="26:26" x14ac:dyDescent="0.25">
      <c r="Z36279">
        <v>400000</v>
      </c>
    </row>
    <row r="36280" spans="26:26" x14ac:dyDescent="0.25">
      <c r="Z36280">
        <v>400000</v>
      </c>
    </row>
    <row r="36281" spans="26:26" x14ac:dyDescent="0.25">
      <c r="Z36281">
        <v>400000</v>
      </c>
    </row>
    <row r="36282" spans="26:26" x14ac:dyDescent="0.25">
      <c r="Z36282">
        <v>400000</v>
      </c>
    </row>
    <row r="36283" spans="26:26" x14ac:dyDescent="0.25">
      <c r="Z36283">
        <v>400000</v>
      </c>
    </row>
    <row r="36284" spans="26:26" x14ac:dyDescent="0.25">
      <c r="Z36284">
        <v>400000</v>
      </c>
    </row>
    <row r="36285" spans="26:26" x14ac:dyDescent="0.25">
      <c r="Z36285">
        <v>400000</v>
      </c>
    </row>
    <row r="36286" spans="26:26" x14ac:dyDescent="0.25">
      <c r="Z36286">
        <v>400000</v>
      </c>
    </row>
    <row r="36287" spans="26:26" x14ac:dyDescent="0.25">
      <c r="Z36287">
        <v>400000</v>
      </c>
    </row>
    <row r="36288" spans="26:26" x14ac:dyDescent="0.25">
      <c r="Z36288">
        <v>400000</v>
      </c>
    </row>
    <row r="36289" spans="26:26" x14ac:dyDescent="0.25">
      <c r="Z36289">
        <v>400000</v>
      </c>
    </row>
    <row r="36290" spans="26:26" x14ac:dyDescent="0.25">
      <c r="Z36290">
        <v>400000</v>
      </c>
    </row>
    <row r="36291" spans="26:26" x14ac:dyDescent="0.25">
      <c r="Z36291">
        <v>400000</v>
      </c>
    </row>
    <row r="36292" spans="26:26" x14ac:dyDescent="0.25">
      <c r="Z36292">
        <v>400000</v>
      </c>
    </row>
    <row r="36293" spans="26:26" x14ac:dyDescent="0.25">
      <c r="Z36293">
        <v>400000</v>
      </c>
    </row>
    <row r="36294" spans="26:26" x14ac:dyDescent="0.25">
      <c r="Z36294">
        <v>400000</v>
      </c>
    </row>
    <row r="36295" spans="26:26" x14ac:dyDescent="0.25">
      <c r="Z36295">
        <v>400000</v>
      </c>
    </row>
    <row r="36296" spans="26:26" x14ac:dyDescent="0.25">
      <c r="Z36296">
        <v>400000</v>
      </c>
    </row>
    <row r="36297" spans="26:26" x14ac:dyDescent="0.25">
      <c r="Z36297">
        <v>400000</v>
      </c>
    </row>
    <row r="36298" spans="26:26" x14ac:dyDescent="0.25">
      <c r="Z36298">
        <v>400000</v>
      </c>
    </row>
    <row r="36299" spans="26:26" x14ac:dyDescent="0.25">
      <c r="Z36299">
        <v>400000</v>
      </c>
    </row>
    <row r="36300" spans="26:26" x14ac:dyDescent="0.25">
      <c r="Z36300">
        <v>400000</v>
      </c>
    </row>
    <row r="36301" spans="26:26" x14ac:dyDescent="0.25">
      <c r="Z36301">
        <v>400000</v>
      </c>
    </row>
    <row r="36302" spans="26:26" x14ac:dyDescent="0.25">
      <c r="Z36302">
        <v>400000</v>
      </c>
    </row>
    <row r="36303" spans="26:26" x14ac:dyDescent="0.25">
      <c r="Z36303">
        <v>400000</v>
      </c>
    </row>
    <row r="36304" spans="26:26" x14ac:dyDescent="0.25">
      <c r="Z36304">
        <v>400000</v>
      </c>
    </row>
    <row r="36305" spans="26:26" x14ac:dyDescent="0.25">
      <c r="Z36305">
        <v>400000</v>
      </c>
    </row>
    <row r="36306" spans="26:26" x14ac:dyDescent="0.25">
      <c r="Z36306">
        <v>400000</v>
      </c>
    </row>
    <row r="36307" spans="26:26" x14ac:dyDescent="0.25">
      <c r="Z36307">
        <v>400000</v>
      </c>
    </row>
    <row r="36308" spans="26:26" x14ac:dyDescent="0.25">
      <c r="Z36308">
        <v>400000</v>
      </c>
    </row>
    <row r="36309" spans="26:26" x14ac:dyDescent="0.25">
      <c r="Z36309">
        <v>400000</v>
      </c>
    </row>
    <row r="36310" spans="26:26" x14ac:dyDescent="0.25">
      <c r="Z36310">
        <v>400000</v>
      </c>
    </row>
    <row r="36311" spans="26:26" x14ac:dyDescent="0.25">
      <c r="Z36311">
        <v>400000</v>
      </c>
    </row>
    <row r="36312" spans="26:26" x14ac:dyDescent="0.25">
      <c r="Z36312">
        <v>400000</v>
      </c>
    </row>
    <row r="36313" spans="26:26" x14ac:dyDescent="0.25">
      <c r="Z36313">
        <v>400000</v>
      </c>
    </row>
    <row r="36314" spans="26:26" x14ac:dyDescent="0.25">
      <c r="Z36314">
        <v>400000</v>
      </c>
    </row>
    <row r="36315" spans="26:26" x14ac:dyDescent="0.25">
      <c r="Z36315">
        <v>400000</v>
      </c>
    </row>
    <row r="36316" spans="26:26" x14ac:dyDescent="0.25">
      <c r="Z36316">
        <v>400000</v>
      </c>
    </row>
    <row r="36317" spans="26:26" x14ac:dyDescent="0.25">
      <c r="Z36317">
        <v>400000</v>
      </c>
    </row>
    <row r="36318" spans="26:26" x14ac:dyDescent="0.25">
      <c r="Z36318">
        <v>400000</v>
      </c>
    </row>
    <row r="36319" spans="26:26" x14ac:dyDescent="0.25">
      <c r="Z36319">
        <v>400000</v>
      </c>
    </row>
    <row r="36320" spans="26:26" x14ac:dyDescent="0.25">
      <c r="Z36320">
        <v>400000</v>
      </c>
    </row>
    <row r="36321" spans="26:26" x14ac:dyDescent="0.25">
      <c r="Z36321">
        <v>400000</v>
      </c>
    </row>
    <row r="36322" spans="26:26" x14ac:dyDescent="0.25">
      <c r="Z36322">
        <v>400000</v>
      </c>
    </row>
    <row r="36323" spans="26:26" x14ac:dyDescent="0.25">
      <c r="Z36323">
        <v>400000</v>
      </c>
    </row>
    <row r="36324" spans="26:26" x14ac:dyDescent="0.25">
      <c r="Z36324">
        <v>400000</v>
      </c>
    </row>
    <row r="36325" spans="26:26" x14ac:dyDescent="0.25">
      <c r="Z36325">
        <v>400000</v>
      </c>
    </row>
    <row r="36326" spans="26:26" x14ac:dyDescent="0.25">
      <c r="Z36326">
        <v>400000</v>
      </c>
    </row>
    <row r="36327" spans="26:26" x14ac:dyDescent="0.25">
      <c r="Z36327">
        <v>400000</v>
      </c>
    </row>
    <row r="36328" spans="26:26" x14ac:dyDescent="0.25">
      <c r="Z36328">
        <v>400000</v>
      </c>
    </row>
    <row r="36329" spans="26:26" x14ac:dyDescent="0.25">
      <c r="Z36329">
        <v>400000</v>
      </c>
    </row>
    <row r="36330" spans="26:26" x14ac:dyDescent="0.25">
      <c r="Z36330">
        <v>400000</v>
      </c>
    </row>
    <row r="36331" spans="26:26" x14ac:dyDescent="0.25">
      <c r="Z36331">
        <v>400000</v>
      </c>
    </row>
    <row r="36332" spans="26:26" x14ac:dyDescent="0.25">
      <c r="Z36332">
        <v>400000</v>
      </c>
    </row>
    <row r="36333" spans="26:26" x14ac:dyDescent="0.25">
      <c r="Z36333">
        <v>400000</v>
      </c>
    </row>
    <row r="36334" spans="26:26" x14ac:dyDescent="0.25">
      <c r="Z36334">
        <v>400000</v>
      </c>
    </row>
    <row r="36335" spans="26:26" x14ac:dyDescent="0.25">
      <c r="Z36335">
        <v>400000</v>
      </c>
    </row>
    <row r="36336" spans="26:26" x14ac:dyDescent="0.25">
      <c r="Z36336">
        <v>400000</v>
      </c>
    </row>
    <row r="36337" spans="26:26" x14ac:dyDescent="0.25">
      <c r="Z36337">
        <v>400000</v>
      </c>
    </row>
    <row r="36338" spans="26:26" x14ac:dyDescent="0.25">
      <c r="Z36338">
        <v>400000</v>
      </c>
    </row>
    <row r="36339" spans="26:26" x14ac:dyDescent="0.25">
      <c r="Z36339">
        <v>400000</v>
      </c>
    </row>
    <row r="36340" spans="26:26" x14ac:dyDescent="0.25">
      <c r="Z36340">
        <v>400000</v>
      </c>
    </row>
    <row r="36341" spans="26:26" x14ac:dyDescent="0.25">
      <c r="Z36341">
        <v>400000</v>
      </c>
    </row>
    <row r="36342" spans="26:26" x14ac:dyDescent="0.25">
      <c r="Z36342">
        <v>400000</v>
      </c>
    </row>
    <row r="36343" spans="26:26" x14ac:dyDescent="0.25">
      <c r="Z36343">
        <v>400000</v>
      </c>
    </row>
    <row r="36344" spans="26:26" x14ac:dyDescent="0.25">
      <c r="Z36344">
        <v>400000</v>
      </c>
    </row>
    <row r="36345" spans="26:26" x14ac:dyDescent="0.25">
      <c r="Z36345">
        <v>400000</v>
      </c>
    </row>
    <row r="36346" spans="26:26" x14ac:dyDescent="0.25">
      <c r="Z36346">
        <v>400000</v>
      </c>
    </row>
    <row r="36347" spans="26:26" x14ac:dyDescent="0.25">
      <c r="Z36347">
        <v>400000</v>
      </c>
    </row>
    <row r="36348" spans="26:26" x14ac:dyDescent="0.25">
      <c r="Z36348">
        <v>400000</v>
      </c>
    </row>
    <row r="36349" spans="26:26" x14ac:dyDescent="0.25">
      <c r="Z36349">
        <v>400000</v>
      </c>
    </row>
    <row r="36350" spans="26:26" x14ac:dyDescent="0.25">
      <c r="Z36350">
        <v>400000</v>
      </c>
    </row>
    <row r="36351" spans="26:26" x14ac:dyDescent="0.25">
      <c r="Z36351">
        <v>400000</v>
      </c>
    </row>
    <row r="36352" spans="26:26" x14ac:dyDescent="0.25">
      <c r="Z36352">
        <v>400000</v>
      </c>
    </row>
    <row r="36353" spans="26:26" x14ac:dyDescent="0.25">
      <c r="Z36353">
        <v>400000</v>
      </c>
    </row>
    <row r="36354" spans="26:26" x14ac:dyDescent="0.25">
      <c r="Z36354">
        <v>400000</v>
      </c>
    </row>
    <row r="36355" spans="26:26" x14ac:dyDescent="0.25">
      <c r="Z36355">
        <v>400000</v>
      </c>
    </row>
    <row r="36356" spans="26:26" x14ac:dyDescent="0.25">
      <c r="Z36356">
        <v>400000</v>
      </c>
    </row>
    <row r="36357" spans="26:26" x14ac:dyDescent="0.25">
      <c r="Z36357">
        <v>400000</v>
      </c>
    </row>
    <row r="36358" spans="26:26" x14ac:dyDescent="0.25">
      <c r="Z36358">
        <v>400000</v>
      </c>
    </row>
    <row r="36359" spans="26:26" x14ac:dyDescent="0.25">
      <c r="Z36359">
        <v>400000</v>
      </c>
    </row>
    <row r="36360" spans="26:26" x14ac:dyDescent="0.25">
      <c r="Z36360">
        <v>400000</v>
      </c>
    </row>
    <row r="36361" spans="26:26" x14ac:dyDescent="0.25">
      <c r="Z36361">
        <v>400000</v>
      </c>
    </row>
    <row r="36362" spans="26:26" x14ac:dyDescent="0.25">
      <c r="Z36362">
        <v>400000</v>
      </c>
    </row>
    <row r="36363" spans="26:26" x14ac:dyDescent="0.25">
      <c r="Z36363">
        <v>400000</v>
      </c>
    </row>
    <row r="36364" spans="26:26" x14ac:dyDescent="0.25">
      <c r="Z36364">
        <v>400000</v>
      </c>
    </row>
    <row r="36365" spans="26:26" x14ac:dyDescent="0.25">
      <c r="Z36365">
        <v>400000</v>
      </c>
    </row>
    <row r="36366" spans="26:26" x14ac:dyDescent="0.25">
      <c r="Z36366">
        <v>400000</v>
      </c>
    </row>
    <row r="36367" spans="26:26" x14ac:dyDescent="0.25">
      <c r="Z36367">
        <v>400000</v>
      </c>
    </row>
    <row r="36368" spans="26:26" x14ac:dyDescent="0.25">
      <c r="Z36368">
        <v>400000</v>
      </c>
    </row>
    <row r="36369" spans="26:26" x14ac:dyDescent="0.25">
      <c r="Z36369">
        <v>400000</v>
      </c>
    </row>
    <row r="36370" spans="26:26" x14ac:dyDescent="0.25">
      <c r="Z36370">
        <v>400000</v>
      </c>
    </row>
    <row r="36371" spans="26:26" x14ac:dyDescent="0.25">
      <c r="Z36371">
        <v>400000</v>
      </c>
    </row>
    <row r="36372" spans="26:26" x14ac:dyDescent="0.25">
      <c r="Z36372">
        <v>400000</v>
      </c>
    </row>
    <row r="36373" spans="26:26" x14ac:dyDescent="0.25">
      <c r="Z36373">
        <v>400000</v>
      </c>
    </row>
    <row r="36374" spans="26:26" x14ac:dyDescent="0.25">
      <c r="Z36374">
        <v>400000</v>
      </c>
    </row>
    <row r="36375" spans="26:26" x14ac:dyDescent="0.25">
      <c r="Z36375">
        <v>400000</v>
      </c>
    </row>
    <row r="36376" spans="26:26" x14ac:dyDescent="0.25">
      <c r="Z36376">
        <v>400000</v>
      </c>
    </row>
    <row r="36377" spans="26:26" x14ac:dyDescent="0.25">
      <c r="Z36377">
        <v>400000</v>
      </c>
    </row>
    <row r="36378" spans="26:26" x14ac:dyDescent="0.25">
      <c r="Z36378">
        <v>400000</v>
      </c>
    </row>
    <row r="36379" spans="26:26" x14ac:dyDescent="0.25">
      <c r="Z36379">
        <v>400000</v>
      </c>
    </row>
    <row r="36380" spans="26:26" x14ac:dyDescent="0.25">
      <c r="Z36380">
        <v>400000</v>
      </c>
    </row>
    <row r="36381" spans="26:26" x14ac:dyDescent="0.25">
      <c r="Z36381">
        <v>400000</v>
      </c>
    </row>
    <row r="36382" spans="26:26" x14ac:dyDescent="0.25">
      <c r="Z36382">
        <v>400000</v>
      </c>
    </row>
    <row r="36383" spans="26:26" x14ac:dyDescent="0.25">
      <c r="Z36383">
        <v>400000</v>
      </c>
    </row>
    <row r="36384" spans="26:26" x14ac:dyDescent="0.25">
      <c r="Z36384">
        <v>400000</v>
      </c>
    </row>
    <row r="36385" spans="26:26" x14ac:dyDescent="0.25">
      <c r="Z36385">
        <v>400000</v>
      </c>
    </row>
    <row r="36386" spans="26:26" x14ac:dyDescent="0.25">
      <c r="Z36386">
        <v>400000</v>
      </c>
    </row>
    <row r="36387" spans="26:26" x14ac:dyDescent="0.25">
      <c r="Z36387">
        <v>400000</v>
      </c>
    </row>
    <row r="36388" spans="26:26" x14ac:dyDescent="0.25">
      <c r="Z36388">
        <v>400000</v>
      </c>
    </row>
    <row r="36389" spans="26:26" x14ac:dyDescent="0.25">
      <c r="Z36389">
        <v>400000</v>
      </c>
    </row>
    <row r="36390" spans="26:26" x14ac:dyDescent="0.25">
      <c r="Z36390">
        <v>400000</v>
      </c>
    </row>
    <row r="36391" spans="26:26" x14ac:dyDescent="0.25">
      <c r="Z36391">
        <v>400000</v>
      </c>
    </row>
    <row r="36392" spans="26:26" x14ac:dyDescent="0.25">
      <c r="Z36392">
        <v>400000</v>
      </c>
    </row>
    <row r="36393" spans="26:26" x14ac:dyDescent="0.25">
      <c r="Z36393">
        <v>400000</v>
      </c>
    </row>
    <row r="36394" spans="26:26" x14ac:dyDescent="0.25">
      <c r="Z36394">
        <v>400000</v>
      </c>
    </row>
    <row r="36395" spans="26:26" x14ac:dyDescent="0.25">
      <c r="Z36395">
        <v>400000</v>
      </c>
    </row>
    <row r="36396" spans="26:26" x14ac:dyDescent="0.25">
      <c r="Z36396">
        <v>400000</v>
      </c>
    </row>
    <row r="36397" spans="26:26" x14ac:dyDescent="0.25">
      <c r="Z36397">
        <v>400000</v>
      </c>
    </row>
    <row r="36398" spans="26:26" x14ac:dyDescent="0.25">
      <c r="Z36398">
        <v>400000</v>
      </c>
    </row>
    <row r="36399" spans="26:26" x14ac:dyDescent="0.25">
      <c r="Z36399">
        <v>400000</v>
      </c>
    </row>
    <row r="36400" spans="26:26" x14ac:dyDescent="0.25">
      <c r="Z36400">
        <v>400000</v>
      </c>
    </row>
    <row r="36401" spans="26:26" x14ac:dyDescent="0.25">
      <c r="Z36401">
        <v>400000</v>
      </c>
    </row>
    <row r="36402" spans="26:26" x14ac:dyDescent="0.25">
      <c r="Z36402">
        <v>400000</v>
      </c>
    </row>
    <row r="36403" spans="26:26" x14ac:dyDescent="0.25">
      <c r="Z36403">
        <v>400000</v>
      </c>
    </row>
    <row r="36404" spans="26:26" x14ac:dyDescent="0.25">
      <c r="Z36404">
        <v>400000</v>
      </c>
    </row>
    <row r="36405" spans="26:26" x14ac:dyDescent="0.25">
      <c r="Z36405">
        <v>400000</v>
      </c>
    </row>
    <row r="36406" spans="26:26" x14ac:dyDescent="0.25">
      <c r="Z36406">
        <v>400000</v>
      </c>
    </row>
    <row r="36407" spans="26:26" x14ac:dyDescent="0.25">
      <c r="Z36407">
        <v>400000</v>
      </c>
    </row>
    <row r="36408" spans="26:26" x14ac:dyDescent="0.25">
      <c r="Z36408">
        <v>400000</v>
      </c>
    </row>
    <row r="36409" spans="26:26" x14ac:dyDescent="0.25">
      <c r="Z36409">
        <v>400000</v>
      </c>
    </row>
    <row r="36410" spans="26:26" x14ac:dyDescent="0.25">
      <c r="Z36410">
        <v>400000</v>
      </c>
    </row>
    <row r="36411" spans="26:26" x14ac:dyDescent="0.25">
      <c r="Z36411">
        <v>400000</v>
      </c>
    </row>
    <row r="36412" spans="26:26" x14ac:dyDescent="0.25">
      <c r="Z36412">
        <v>400000</v>
      </c>
    </row>
    <row r="36413" spans="26:26" x14ac:dyDescent="0.25">
      <c r="Z36413">
        <v>400000</v>
      </c>
    </row>
    <row r="36414" spans="26:26" x14ac:dyDescent="0.25">
      <c r="Z36414">
        <v>400000</v>
      </c>
    </row>
    <row r="36415" spans="26:26" x14ac:dyDescent="0.25">
      <c r="Z36415">
        <v>400000</v>
      </c>
    </row>
    <row r="36416" spans="26:26" x14ac:dyDescent="0.25">
      <c r="Z36416">
        <v>400000</v>
      </c>
    </row>
    <row r="36417" spans="26:26" x14ac:dyDescent="0.25">
      <c r="Z36417">
        <v>400000</v>
      </c>
    </row>
    <row r="36418" spans="26:26" x14ac:dyDescent="0.25">
      <c r="Z36418">
        <v>400000</v>
      </c>
    </row>
    <row r="36419" spans="26:26" x14ac:dyDescent="0.25">
      <c r="Z36419">
        <v>400000</v>
      </c>
    </row>
    <row r="36420" spans="26:26" x14ac:dyDescent="0.25">
      <c r="Z36420">
        <v>400000</v>
      </c>
    </row>
    <row r="36421" spans="26:26" x14ac:dyDescent="0.25">
      <c r="Z36421">
        <v>400000</v>
      </c>
    </row>
    <row r="36422" spans="26:26" x14ac:dyDescent="0.25">
      <c r="Z36422">
        <v>400000</v>
      </c>
    </row>
    <row r="36423" spans="26:26" x14ac:dyDescent="0.25">
      <c r="Z36423">
        <v>400000</v>
      </c>
    </row>
    <row r="36424" spans="26:26" x14ac:dyDescent="0.25">
      <c r="Z36424">
        <v>400000</v>
      </c>
    </row>
    <row r="36425" spans="26:26" x14ac:dyDescent="0.25">
      <c r="Z36425">
        <v>400000</v>
      </c>
    </row>
    <row r="36426" spans="26:26" x14ac:dyDescent="0.25">
      <c r="Z36426">
        <v>400000</v>
      </c>
    </row>
    <row r="36427" spans="26:26" x14ac:dyDescent="0.25">
      <c r="Z36427">
        <v>400000</v>
      </c>
    </row>
    <row r="36428" spans="26:26" x14ac:dyDescent="0.25">
      <c r="Z36428">
        <v>400000</v>
      </c>
    </row>
    <row r="36429" spans="26:26" x14ac:dyDescent="0.25">
      <c r="Z36429">
        <v>400000</v>
      </c>
    </row>
    <row r="36430" spans="26:26" x14ac:dyDescent="0.25">
      <c r="Z36430">
        <v>400000</v>
      </c>
    </row>
    <row r="36431" spans="26:26" x14ac:dyDescent="0.25">
      <c r="Z36431">
        <v>400000</v>
      </c>
    </row>
    <row r="36432" spans="26:26" x14ac:dyDescent="0.25">
      <c r="Z36432">
        <v>400000</v>
      </c>
    </row>
    <row r="36433" spans="26:26" x14ac:dyDescent="0.25">
      <c r="Z36433">
        <v>400000</v>
      </c>
    </row>
    <row r="36434" spans="26:26" x14ac:dyDescent="0.25">
      <c r="Z36434">
        <v>400000</v>
      </c>
    </row>
    <row r="36435" spans="26:26" x14ac:dyDescent="0.25">
      <c r="Z36435">
        <v>400000</v>
      </c>
    </row>
    <row r="36436" spans="26:26" x14ac:dyDescent="0.25">
      <c r="Z36436">
        <v>400000</v>
      </c>
    </row>
    <row r="36437" spans="26:26" x14ac:dyDescent="0.25">
      <c r="Z36437">
        <v>400000</v>
      </c>
    </row>
    <row r="36438" spans="26:26" x14ac:dyDescent="0.25">
      <c r="Z36438">
        <v>400000</v>
      </c>
    </row>
    <row r="36439" spans="26:26" x14ac:dyDescent="0.25">
      <c r="Z36439">
        <v>400000</v>
      </c>
    </row>
    <row r="36440" spans="26:26" x14ac:dyDescent="0.25">
      <c r="Z36440">
        <v>400000</v>
      </c>
    </row>
    <row r="36441" spans="26:26" x14ac:dyDescent="0.25">
      <c r="Z36441">
        <v>400000</v>
      </c>
    </row>
    <row r="36442" spans="26:26" x14ac:dyDescent="0.25">
      <c r="Z36442">
        <v>400000</v>
      </c>
    </row>
    <row r="36443" spans="26:26" x14ac:dyDescent="0.25">
      <c r="Z36443">
        <v>400000</v>
      </c>
    </row>
    <row r="36444" spans="26:26" x14ac:dyDescent="0.25">
      <c r="Z36444">
        <v>400000</v>
      </c>
    </row>
    <row r="36445" spans="26:26" x14ac:dyDescent="0.25">
      <c r="Z36445">
        <v>400000</v>
      </c>
    </row>
    <row r="36446" spans="26:26" x14ac:dyDescent="0.25">
      <c r="Z36446">
        <v>400000</v>
      </c>
    </row>
    <row r="36447" spans="26:26" x14ac:dyDescent="0.25">
      <c r="Z36447">
        <v>400000</v>
      </c>
    </row>
    <row r="36448" spans="26:26" x14ac:dyDescent="0.25">
      <c r="Z36448">
        <v>400000</v>
      </c>
    </row>
    <row r="36449" spans="26:26" x14ac:dyDescent="0.25">
      <c r="Z36449">
        <v>400000</v>
      </c>
    </row>
    <row r="36450" spans="26:26" x14ac:dyDescent="0.25">
      <c r="Z36450">
        <v>400000</v>
      </c>
    </row>
    <row r="36451" spans="26:26" x14ac:dyDescent="0.25">
      <c r="Z36451">
        <v>400000</v>
      </c>
    </row>
    <row r="36452" spans="26:26" x14ac:dyDescent="0.25">
      <c r="Z36452">
        <v>400000</v>
      </c>
    </row>
    <row r="36453" spans="26:26" x14ac:dyDescent="0.25">
      <c r="Z36453">
        <v>400000</v>
      </c>
    </row>
    <row r="36454" spans="26:26" x14ac:dyDescent="0.25">
      <c r="Z36454">
        <v>400000</v>
      </c>
    </row>
    <row r="36455" spans="26:26" x14ac:dyDescent="0.25">
      <c r="Z36455">
        <v>400000</v>
      </c>
    </row>
    <row r="36456" spans="26:26" x14ac:dyDescent="0.25">
      <c r="Z36456">
        <v>400000</v>
      </c>
    </row>
    <row r="36457" spans="26:26" x14ac:dyDescent="0.25">
      <c r="Z36457">
        <v>400000</v>
      </c>
    </row>
    <row r="36458" spans="26:26" x14ac:dyDescent="0.25">
      <c r="Z36458">
        <v>400000</v>
      </c>
    </row>
    <row r="36459" spans="26:26" x14ac:dyDescent="0.25">
      <c r="Z36459">
        <v>400000</v>
      </c>
    </row>
    <row r="36460" spans="26:26" x14ac:dyDescent="0.25">
      <c r="Z36460">
        <v>400000</v>
      </c>
    </row>
    <row r="36461" spans="26:26" x14ac:dyDescent="0.25">
      <c r="Z36461">
        <v>400000</v>
      </c>
    </row>
    <row r="36462" spans="26:26" x14ac:dyDescent="0.25">
      <c r="Z36462">
        <v>400000</v>
      </c>
    </row>
    <row r="36463" spans="26:26" x14ac:dyDescent="0.25">
      <c r="Z36463">
        <v>400000</v>
      </c>
    </row>
    <row r="36464" spans="26:26" x14ac:dyDescent="0.25">
      <c r="Z36464">
        <v>400000</v>
      </c>
    </row>
    <row r="36465" spans="26:26" x14ac:dyDescent="0.25">
      <c r="Z36465">
        <v>400000</v>
      </c>
    </row>
    <row r="36466" spans="26:26" x14ac:dyDescent="0.25">
      <c r="Z36466">
        <v>400000</v>
      </c>
    </row>
    <row r="36467" spans="26:26" x14ac:dyDescent="0.25">
      <c r="Z36467">
        <v>400000</v>
      </c>
    </row>
    <row r="36468" spans="26:26" x14ac:dyDescent="0.25">
      <c r="Z36468">
        <v>400000</v>
      </c>
    </row>
    <row r="36469" spans="26:26" x14ac:dyDescent="0.25">
      <c r="Z36469">
        <v>400000</v>
      </c>
    </row>
    <row r="36470" spans="26:26" x14ac:dyDescent="0.25">
      <c r="Z36470">
        <v>400000</v>
      </c>
    </row>
    <row r="36471" spans="26:26" x14ac:dyDescent="0.25">
      <c r="Z36471">
        <v>400000</v>
      </c>
    </row>
    <row r="36472" spans="26:26" x14ac:dyDescent="0.25">
      <c r="Z36472">
        <v>400000</v>
      </c>
    </row>
    <row r="36473" spans="26:26" x14ac:dyDescent="0.25">
      <c r="Z36473">
        <v>400000</v>
      </c>
    </row>
    <row r="36474" spans="26:26" x14ac:dyDescent="0.25">
      <c r="Z36474">
        <v>400000</v>
      </c>
    </row>
    <row r="36475" spans="26:26" x14ac:dyDescent="0.25">
      <c r="Z36475">
        <v>400000</v>
      </c>
    </row>
    <row r="36476" spans="26:26" x14ac:dyDescent="0.25">
      <c r="Z36476">
        <v>400000</v>
      </c>
    </row>
    <row r="36477" spans="26:26" x14ac:dyDescent="0.25">
      <c r="Z36477">
        <v>400000</v>
      </c>
    </row>
    <row r="36478" spans="26:26" x14ac:dyDescent="0.25">
      <c r="Z36478">
        <v>400000</v>
      </c>
    </row>
    <row r="36479" spans="26:26" x14ac:dyDescent="0.25">
      <c r="Z36479">
        <v>400000</v>
      </c>
    </row>
    <row r="36480" spans="26:26" x14ac:dyDescent="0.25">
      <c r="Z36480">
        <v>400000</v>
      </c>
    </row>
    <row r="36481" spans="26:26" x14ac:dyDescent="0.25">
      <c r="Z36481">
        <v>400000</v>
      </c>
    </row>
    <row r="36482" spans="26:26" x14ac:dyDescent="0.25">
      <c r="Z36482">
        <v>400000</v>
      </c>
    </row>
    <row r="36483" spans="26:26" x14ac:dyDescent="0.25">
      <c r="Z36483">
        <v>400000</v>
      </c>
    </row>
    <row r="36484" spans="26:26" x14ac:dyDescent="0.25">
      <c r="Z36484">
        <v>400000</v>
      </c>
    </row>
    <row r="36485" spans="26:26" x14ac:dyDescent="0.25">
      <c r="Z36485">
        <v>400000</v>
      </c>
    </row>
    <row r="36486" spans="26:26" x14ac:dyDescent="0.25">
      <c r="Z36486">
        <v>400000</v>
      </c>
    </row>
    <row r="36487" spans="26:26" x14ac:dyDescent="0.25">
      <c r="Z36487">
        <v>400000</v>
      </c>
    </row>
    <row r="36488" spans="26:26" x14ac:dyDescent="0.25">
      <c r="Z36488">
        <v>400000</v>
      </c>
    </row>
    <row r="36489" spans="26:26" x14ac:dyDescent="0.25">
      <c r="Z36489">
        <v>400000</v>
      </c>
    </row>
    <row r="36490" spans="26:26" x14ac:dyDescent="0.25">
      <c r="Z36490">
        <v>400000</v>
      </c>
    </row>
    <row r="36491" spans="26:26" x14ac:dyDescent="0.25">
      <c r="Z36491">
        <v>400000</v>
      </c>
    </row>
    <row r="36492" spans="26:26" x14ac:dyDescent="0.25">
      <c r="Z36492">
        <v>400000</v>
      </c>
    </row>
    <row r="36493" spans="26:26" x14ac:dyDescent="0.25">
      <c r="Z36493">
        <v>400000</v>
      </c>
    </row>
    <row r="36494" spans="26:26" x14ac:dyDescent="0.25">
      <c r="Z36494">
        <v>400000</v>
      </c>
    </row>
    <row r="36495" spans="26:26" x14ac:dyDescent="0.25">
      <c r="Z36495">
        <v>400000</v>
      </c>
    </row>
    <row r="36496" spans="26:26" x14ac:dyDescent="0.25">
      <c r="Z36496">
        <v>400000</v>
      </c>
    </row>
    <row r="36497" spans="26:26" x14ac:dyDescent="0.25">
      <c r="Z36497">
        <v>400000</v>
      </c>
    </row>
    <row r="36498" spans="26:26" x14ac:dyDescent="0.25">
      <c r="Z36498">
        <v>400000</v>
      </c>
    </row>
    <row r="36499" spans="26:26" x14ac:dyDescent="0.25">
      <c r="Z36499">
        <v>400000</v>
      </c>
    </row>
    <row r="36500" spans="26:26" x14ac:dyDescent="0.25">
      <c r="Z36500">
        <v>400000</v>
      </c>
    </row>
    <row r="36501" spans="26:26" x14ac:dyDescent="0.25">
      <c r="Z36501">
        <v>400000</v>
      </c>
    </row>
    <row r="36502" spans="26:26" x14ac:dyDescent="0.25">
      <c r="Z36502">
        <v>400000</v>
      </c>
    </row>
    <row r="36503" spans="26:26" x14ac:dyDescent="0.25">
      <c r="Z36503">
        <v>400000</v>
      </c>
    </row>
    <row r="36504" spans="26:26" x14ac:dyDescent="0.25">
      <c r="Z36504">
        <v>400000</v>
      </c>
    </row>
    <row r="36505" spans="26:26" x14ac:dyDescent="0.25">
      <c r="Z36505">
        <v>400000</v>
      </c>
    </row>
    <row r="36506" spans="26:26" x14ac:dyDescent="0.25">
      <c r="Z36506">
        <v>400000</v>
      </c>
    </row>
    <row r="36507" spans="26:26" x14ac:dyDescent="0.25">
      <c r="Z36507">
        <v>400000</v>
      </c>
    </row>
    <row r="36508" spans="26:26" x14ac:dyDescent="0.25">
      <c r="Z36508">
        <v>400000</v>
      </c>
    </row>
    <row r="36509" spans="26:26" x14ac:dyDescent="0.25">
      <c r="Z36509">
        <v>400000</v>
      </c>
    </row>
    <row r="36510" spans="26:26" x14ac:dyDescent="0.25">
      <c r="Z36510">
        <v>400000</v>
      </c>
    </row>
    <row r="36511" spans="26:26" x14ac:dyDescent="0.25">
      <c r="Z36511">
        <v>400000</v>
      </c>
    </row>
    <row r="36512" spans="26:26" x14ac:dyDescent="0.25">
      <c r="Z36512">
        <v>400000</v>
      </c>
    </row>
    <row r="36513" spans="26:26" x14ac:dyDescent="0.25">
      <c r="Z36513">
        <v>400000</v>
      </c>
    </row>
    <row r="36514" spans="26:26" x14ac:dyDescent="0.25">
      <c r="Z36514">
        <v>400000</v>
      </c>
    </row>
    <row r="36515" spans="26:26" x14ac:dyDescent="0.25">
      <c r="Z36515">
        <v>400000</v>
      </c>
    </row>
    <row r="36516" spans="26:26" x14ac:dyDescent="0.25">
      <c r="Z36516">
        <v>400000</v>
      </c>
    </row>
    <row r="36517" spans="26:26" x14ac:dyDescent="0.25">
      <c r="Z36517">
        <v>400000</v>
      </c>
    </row>
    <row r="36518" spans="26:26" x14ac:dyDescent="0.25">
      <c r="Z36518">
        <v>400000</v>
      </c>
    </row>
    <row r="36519" spans="26:26" x14ac:dyDescent="0.25">
      <c r="Z36519">
        <v>400000</v>
      </c>
    </row>
    <row r="36520" spans="26:26" x14ac:dyDescent="0.25">
      <c r="Z36520">
        <v>400000</v>
      </c>
    </row>
    <row r="36521" spans="26:26" x14ac:dyDescent="0.25">
      <c r="Z36521">
        <v>400000</v>
      </c>
    </row>
    <row r="36522" spans="26:26" x14ac:dyDescent="0.25">
      <c r="Z36522">
        <v>400000</v>
      </c>
    </row>
    <row r="36523" spans="26:26" x14ac:dyDescent="0.25">
      <c r="Z36523">
        <v>400000</v>
      </c>
    </row>
    <row r="36524" spans="26:26" x14ac:dyDescent="0.25">
      <c r="Z36524">
        <v>400000</v>
      </c>
    </row>
    <row r="36525" spans="26:26" x14ac:dyDescent="0.25">
      <c r="Z36525">
        <v>400000</v>
      </c>
    </row>
    <row r="36526" spans="26:26" x14ac:dyDescent="0.25">
      <c r="Z36526">
        <v>400000</v>
      </c>
    </row>
    <row r="36527" spans="26:26" x14ac:dyDescent="0.25">
      <c r="Z36527">
        <v>400000</v>
      </c>
    </row>
    <row r="36528" spans="26:26" x14ac:dyDescent="0.25">
      <c r="Z36528">
        <v>400000</v>
      </c>
    </row>
    <row r="36529" spans="26:26" x14ac:dyDescent="0.25">
      <c r="Z36529">
        <v>400000</v>
      </c>
    </row>
    <row r="36530" spans="26:26" x14ac:dyDescent="0.25">
      <c r="Z36530">
        <v>400000</v>
      </c>
    </row>
    <row r="36531" spans="26:26" x14ac:dyDescent="0.25">
      <c r="Z36531">
        <v>400000</v>
      </c>
    </row>
    <row r="36532" spans="26:26" x14ac:dyDescent="0.25">
      <c r="Z36532">
        <v>400000</v>
      </c>
    </row>
    <row r="36533" spans="26:26" x14ac:dyDescent="0.25">
      <c r="Z36533">
        <v>400000</v>
      </c>
    </row>
    <row r="36534" spans="26:26" x14ac:dyDescent="0.25">
      <c r="Z36534">
        <v>400000</v>
      </c>
    </row>
    <row r="36535" spans="26:26" x14ac:dyDescent="0.25">
      <c r="Z36535">
        <v>400000</v>
      </c>
    </row>
    <row r="36536" spans="26:26" x14ac:dyDescent="0.25">
      <c r="Z36536">
        <v>400000</v>
      </c>
    </row>
    <row r="36537" spans="26:26" x14ac:dyDescent="0.25">
      <c r="Z36537">
        <v>400000</v>
      </c>
    </row>
    <row r="36538" spans="26:26" x14ac:dyDescent="0.25">
      <c r="Z36538">
        <v>400000</v>
      </c>
    </row>
    <row r="36539" spans="26:26" x14ac:dyDescent="0.25">
      <c r="Z36539">
        <v>400000</v>
      </c>
    </row>
    <row r="36540" spans="26:26" x14ac:dyDescent="0.25">
      <c r="Z36540">
        <v>400000</v>
      </c>
    </row>
    <row r="36541" spans="26:26" x14ac:dyDescent="0.25">
      <c r="Z36541">
        <v>400000</v>
      </c>
    </row>
    <row r="36542" spans="26:26" x14ac:dyDescent="0.25">
      <c r="Z36542">
        <v>400000</v>
      </c>
    </row>
    <row r="36543" spans="26:26" x14ac:dyDescent="0.25">
      <c r="Z36543">
        <v>400000</v>
      </c>
    </row>
    <row r="36544" spans="26:26" x14ac:dyDescent="0.25">
      <c r="Z36544">
        <v>400000</v>
      </c>
    </row>
    <row r="36545" spans="26:26" x14ac:dyDescent="0.25">
      <c r="Z36545">
        <v>400000</v>
      </c>
    </row>
    <row r="36546" spans="26:26" x14ac:dyDescent="0.25">
      <c r="Z36546">
        <v>400000</v>
      </c>
    </row>
    <row r="36547" spans="26:26" x14ac:dyDescent="0.25">
      <c r="Z36547">
        <v>400000</v>
      </c>
    </row>
    <row r="36548" spans="26:26" x14ac:dyDescent="0.25">
      <c r="Z36548">
        <v>400000</v>
      </c>
    </row>
    <row r="36549" spans="26:26" x14ac:dyDescent="0.25">
      <c r="Z36549">
        <v>400000</v>
      </c>
    </row>
    <row r="36550" spans="26:26" x14ac:dyDescent="0.25">
      <c r="Z36550">
        <v>400000</v>
      </c>
    </row>
    <row r="36551" spans="26:26" x14ac:dyDescent="0.25">
      <c r="Z36551">
        <v>400000</v>
      </c>
    </row>
    <row r="36552" spans="26:26" x14ac:dyDescent="0.25">
      <c r="Z36552">
        <v>400000</v>
      </c>
    </row>
    <row r="36553" spans="26:26" x14ac:dyDescent="0.25">
      <c r="Z36553">
        <v>400000</v>
      </c>
    </row>
    <row r="36554" spans="26:26" x14ac:dyDescent="0.25">
      <c r="Z36554">
        <v>400000</v>
      </c>
    </row>
    <row r="36555" spans="26:26" x14ac:dyDescent="0.25">
      <c r="Z36555">
        <v>400000</v>
      </c>
    </row>
    <row r="36556" spans="26:26" x14ac:dyDescent="0.25">
      <c r="Z36556">
        <v>400000</v>
      </c>
    </row>
    <row r="36557" spans="26:26" x14ac:dyDescent="0.25">
      <c r="Z36557">
        <v>400000</v>
      </c>
    </row>
    <row r="36558" spans="26:26" x14ac:dyDescent="0.25">
      <c r="Z36558">
        <v>400000</v>
      </c>
    </row>
    <row r="36559" spans="26:26" x14ac:dyDescent="0.25">
      <c r="Z36559">
        <v>400000</v>
      </c>
    </row>
    <row r="36560" spans="26:26" x14ac:dyDescent="0.25">
      <c r="Z36560">
        <v>400000</v>
      </c>
    </row>
    <row r="36561" spans="26:26" x14ac:dyDescent="0.25">
      <c r="Z36561">
        <v>400000</v>
      </c>
    </row>
    <row r="36562" spans="26:26" x14ac:dyDescent="0.25">
      <c r="Z36562">
        <v>400000</v>
      </c>
    </row>
    <row r="36563" spans="26:26" x14ac:dyDescent="0.25">
      <c r="Z36563">
        <v>400000</v>
      </c>
    </row>
    <row r="36564" spans="26:26" x14ac:dyDescent="0.25">
      <c r="Z36564">
        <v>400000</v>
      </c>
    </row>
    <row r="36565" spans="26:26" x14ac:dyDescent="0.25">
      <c r="Z36565">
        <v>400000</v>
      </c>
    </row>
    <row r="36566" spans="26:26" x14ac:dyDescent="0.25">
      <c r="Z36566">
        <v>400000</v>
      </c>
    </row>
    <row r="36567" spans="26:26" x14ac:dyDescent="0.25">
      <c r="Z36567">
        <v>400000</v>
      </c>
    </row>
    <row r="36568" spans="26:26" x14ac:dyDescent="0.25">
      <c r="Z36568">
        <v>400000</v>
      </c>
    </row>
    <row r="36569" spans="26:26" x14ac:dyDescent="0.25">
      <c r="Z36569">
        <v>400000</v>
      </c>
    </row>
    <row r="36570" spans="26:26" x14ac:dyDescent="0.25">
      <c r="Z36570">
        <v>400000</v>
      </c>
    </row>
    <row r="36571" spans="26:26" x14ac:dyDescent="0.25">
      <c r="Z36571">
        <v>400000</v>
      </c>
    </row>
    <row r="36572" spans="26:26" x14ac:dyDescent="0.25">
      <c r="Z36572">
        <v>400000</v>
      </c>
    </row>
    <row r="36573" spans="26:26" x14ac:dyDescent="0.25">
      <c r="Z36573">
        <v>400000</v>
      </c>
    </row>
    <row r="36574" spans="26:26" x14ac:dyDescent="0.25">
      <c r="Z36574">
        <v>400000</v>
      </c>
    </row>
    <row r="36575" spans="26:26" x14ac:dyDescent="0.25">
      <c r="Z36575">
        <v>400000</v>
      </c>
    </row>
    <row r="36576" spans="26:26" x14ac:dyDescent="0.25">
      <c r="Z36576">
        <v>400000</v>
      </c>
    </row>
    <row r="36577" spans="26:26" x14ac:dyDescent="0.25">
      <c r="Z36577">
        <v>400000</v>
      </c>
    </row>
    <row r="36578" spans="26:26" x14ac:dyDescent="0.25">
      <c r="Z36578">
        <v>400000</v>
      </c>
    </row>
    <row r="36579" spans="26:26" x14ac:dyDescent="0.25">
      <c r="Z36579">
        <v>400000</v>
      </c>
    </row>
    <row r="36580" spans="26:26" x14ac:dyDescent="0.25">
      <c r="Z36580">
        <v>400000</v>
      </c>
    </row>
    <row r="36581" spans="26:26" x14ac:dyDescent="0.25">
      <c r="Z36581">
        <v>400000</v>
      </c>
    </row>
    <row r="36582" spans="26:26" x14ac:dyDescent="0.25">
      <c r="Z36582">
        <v>400000</v>
      </c>
    </row>
    <row r="36583" spans="26:26" x14ac:dyDescent="0.25">
      <c r="Z36583">
        <v>400000</v>
      </c>
    </row>
    <row r="36584" spans="26:26" x14ac:dyDescent="0.25">
      <c r="Z36584">
        <v>400000</v>
      </c>
    </row>
    <row r="36585" spans="26:26" x14ac:dyDescent="0.25">
      <c r="Z36585">
        <v>400000</v>
      </c>
    </row>
    <row r="36586" spans="26:26" x14ac:dyDescent="0.25">
      <c r="Z36586">
        <v>400000</v>
      </c>
    </row>
    <row r="36587" spans="26:26" x14ac:dyDescent="0.25">
      <c r="Z36587">
        <v>400000</v>
      </c>
    </row>
    <row r="36588" spans="26:26" x14ac:dyDescent="0.25">
      <c r="Z36588">
        <v>400000</v>
      </c>
    </row>
    <row r="36589" spans="26:26" x14ac:dyDescent="0.25">
      <c r="Z36589">
        <v>400000</v>
      </c>
    </row>
    <row r="36590" spans="26:26" x14ac:dyDescent="0.25">
      <c r="Z36590">
        <v>400000</v>
      </c>
    </row>
    <row r="36591" spans="26:26" x14ac:dyDescent="0.25">
      <c r="Z36591">
        <v>400000</v>
      </c>
    </row>
    <row r="36592" spans="26:26" x14ac:dyDescent="0.25">
      <c r="Z36592">
        <v>400000</v>
      </c>
    </row>
    <row r="36593" spans="26:26" x14ac:dyDescent="0.25">
      <c r="Z36593">
        <v>400000</v>
      </c>
    </row>
    <row r="36594" spans="26:26" x14ac:dyDescent="0.25">
      <c r="Z36594">
        <v>400000</v>
      </c>
    </row>
    <row r="36595" spans="26:26" x14ac:dyDescent="0.25">
      <c r="Z36595">
        <v>400000</v>
      </c>
    </row>
    <row r="36596" spans="26:26" x14ac:dyDescent="0.25">
      <c r="Z36596">
        <v>400000</v>
      </c>
    </row>
    <row r="36597" spans="26:26" x14ac:dyDescent="0.25">
      <c r="Z36597">
        <v>400000</v>
      </c>
    </row>
    <row r="36598" spans="26:26" x14ac:dyDescent="0.25">
      <c r="Z36598">
        <v>400000</v>
      </c>
    </row>
    <row r="36599" spans="26:26" x14ac:dyDescent="0.25">
      <c r="Z36599">
        <v>400000</v>
      </c>
    </row>
    <row r="36600" spans="26:26" x14ac:dyDescent="0.25">
      <c r="Z36600">
        <v>400000</v>
      </c>
    </row>
    <row r="36601" spans="26:26" x14ac:dyDescent="0.25">
      <c r="Z36601">
        <v>400000</v>
      </c>
    </row>
    <row r="36602" spans="26:26" x14ac:dyDescent="0.25">
      <c r="Z36602">
        <v>400000</v>
      </c>
    </row>
    <row r="36603" spans="26:26" x14ac:dyDescent="0.25">
      <c r="Z36603">
        <v>400000</v>
      </c>
    </row>
    <row r="36604" spans="26:26" x14ac:dyDescent="0.25">
      <c r="Z36604">
        <v>400000</v>
      </c>
    </row>
    <row r="36605" spans="26:26" x14ac:dyDescent="0.25">
      <c r="Z36605">
        <v>400000</v>
      </c>
    </row>
    <row r="36606" spans="26:26" x14ac:dyDescent="0.25">
      <c r="Z36606">
        <v>400000</v>
      </c>
    </row>
    <row r="36607" spans="26:26" x14ac:dyDescent="0.25">
      <c r="Z36607">
        <v>400000</v>
      </c>
    </row>
    <row r="36608" spans="26:26" x14ac:dyDescent="0.25">
      <c r="Z36608">
        <v>400000</v>
      </c>
    </row>
    <row r="36609" spans="26:26" x14ac:dyDescent="0.25">
      <c r="Z36609">
        <v>400000</v>
      </c>
    </row>
    <row r="36610" spans="26:26" x14ac:dyDescent="0.25">
      <c r="Z36610">
        <v>400000</v>
      </c>
    </row>
    <row r="36611" spans="26:26" x14ac:dyDescent="0.25">
      <c r="Z36611">
        <v>400000</v>
      </c>
    </row>
    <row r="36612" spans="26:26" x14ac:dyDescent="0.25">
      <c r="Z36612">
        <v>400000</v>
      </c>
    </row>
    <row r="36613" spans="26:26" x14ac:dyDescent="0.25">
      <c r="Z36613">
        <v>400000</v>
      </c>
    </row>
    <row r="36614" spans="26:26" x14ac:dyDescent="0.25">
      <c r="Z36614">
        <v>400000</v>
      </c>
    </row>
    <row r="36615" spans="26:26" x14ac:dyDescent="0.25">
      <c r="Z36615">
        <v>400000</v>
      </c>
    </row>
    <row r="36616" spans="26:26" x14ac:dyDescent="0.25">
      <c r="Z36616">
        <v>400000</v>
      </c>
    </row>
    <row r="36617" spans="26:26" x14ac:dyDescent="0.25">
      <c r="Z36617">
        <v>400000</v>
      </c>
    </row>
    <row r="36618" spans="26:26" x14ac:dyDescent="0.25">
      <c r="Z36618">
        <v>400000</v>
      </c>
    </row>
    <row r="36619" spans="26:26" x14ac:dyDescent="0.25">
      <c r="Z36619">
        <v>400000</v>
      </c>
    </row>
    <row r="36620" spans="26:26" x14ac:dyDescent="0.25">
      <c r="Z36620">
        <v>400000</v>
      </c>
    </row>
    <row r="36621" spans="26:26" x14ac:dyDescent="0.25">
      <c r="Z36621">
        <v>400000</v>
      </c>
    </row>
    <row r="36622" spans="26:26" x14ac:dyDescent="0.25">
      <c r="Z36622">
        <v>400000</v>
      </c>
    </row>
    <row r="36623" spans="26:26" x14ac:dyDescent="0.25">
      <c r="Z36623">
        <v>400000</v>
      </c>
    </row>
    <row r="36624" spans="26:26" x14ac:dyDescent="0.25">
      <c r="Z36624">
        <v>400000</v>
      </c>
    </row>
    <row r="36625" spans="26:26" x14ac:dyDescent="0.25">
      <c r="Z36625">
        <v>400000</v>
      </c>
    </row>
    <row r="36626" spans="26:26" x14ac:dyDescent="0.25">
      <c r="Z36626">
        <v>400000</v>
      </c>
    </row>
    <row r="36627" spans="26:26" x14ac:dyDescent="0.25">
      <c r="Z36627">
        <v>400000</v>
      </c>
    </row>
    <row r="36628" spans="26:26" x14ac:dyDescent="0.25">
      <c r="Z36628">
        <v>400000</v>
      </c>
    </row>
    <row r="36629" spans="26:26" x14ac:dyDescent="0.25">
      <c r="Z36629">
        <v>400000</v>
      </c>
    </row>
    <row r="36630" spans="26:26" x14ac:dyDescent="0.25">
      <c r="Z36630">
        <v>400000</v>
      </c>
    </row>
    <row r="36631" spans="26:26" x14ac:dyDescent="0.25">
      <c r="Z36631">
        <v>400000</v>
      </c>
    </row>
    <row r="36632" spans="26:26" x14ac:dyDescent="0.25">
      <c r="Z36632">
        <v>400000</v>
      </c>
    </row>
    <row r="36633" spans="26:26" x14ac:dyDescent="0.25">
      <c r="Z36633">
        <v>400000</v>
      </c>
    </row>
    <row r="36634" spans="26:26" x14ac:dyDescent="0.25">
      <c r="Z36634">
        <v>400000</v>
      </c>
    </row>
    <row r="36635" spans="26:26" x14ac:dyDescent="0.25">
      <c r="Z36635">
        <v>400000</v>
      </c>
    </row>
    <row r="36636" spans="26:26" x14ac:dyDescent="0.25">
      <c r="Z36636">
        <v>400000</v>
      </c>
    </row>
    <row r="36637" spans="26:26" x14ac:dyDescent="0.25">
      <c r="Z36637">
        <v>400000</v>
      </c>
    </row>
    <row r="36638" spans="26:26" x14ac:dyDescent="0.25">
      <c r="Z36638">
        <v>400000</v>
      </c>
    </row>
    <row r="36639" spans="26:26" x14ac:dyDescent="0.25">
      <c r="Z36639">
        <v>400000</v>
      </c>
    </row>
    <row r="36640" spans="26:26" x14ac:dyDescent="0.25">
      <c r="Z36640">
        <v>400000</v>
      </c>
    </row>
    <row r="36641" spans="26:26" x14ac:dyDescent="0.25">
      <c r="Z36641">
        <v>400000</v>
      </c>
    </row>
    <row r="36642" spans="26:26" x14ac:dyDescent="0.25">
      <c r="Z36642">
        <v>400000</v>
      </c>
    </row>
    <row r="36643" spans="26:26" x14ac:dyDescent="0.25">
      <c r="Z36643">
        <v>400000</v>
      </c>
    </row>
    <row r="36644" spans="26:26" x14ac:dyDescent="0.25">
      <c r="Z36644">
        <v>400000</v>
      </c>
    </row>
    <row r="36645" spans="26:26" x14ac:dyDescent="0.25">
      <c r="Z36645">
        <v>400000</v>
      </c>
    </row>
    <row r="36646" spans="26:26" x14ac:dyDescent="0.25">
      <c r="Z36646">
        <v>400000</v>
      </c>
    </row>
    <row r="36647" spans="26:26" x14ac:dyDescent="0.25">
      <c r="Z36647">
        <v>400000</v>
      </c>
    </row>
    <row r="36648" spans="26:26" x14ac:dyDescent="0.25">
      <c r="Z36648">
        <v>400000</v>
      </c>
    </row>
    <row r="36649" spans="26:26" x14ac:dyDescent="0.25">
      <c r="Z36649">
        <v>400000</v>
      </c>
    </row>
    <row r="36650" spans="26:26" x14ac:dyDescent="0.25">
      <c r="Z36650">
        <v>400000</v>
      </c>
    </row>
    <row r="36651" spans="26:26" x14ac:dyDescent="0.25">
      <c r="Z36651">
        <v>400000</v>
      </c>
    </row>
    <row r="36652" spans="26:26" x14ac:dyDescent="0.25">
      <c r="Z36652">
        <v>400000</v>
      </c>
    </row>
    <row r="36653" spans="26:26" x14ac:dyDescent="0.25">
      <c r="Z36653">
        <v>400000</v>
      </c>
    </row>
    <row r="36654" spans="26:26" x14ac:dyDescent="0.25">
      <c r="Z36654">
        <v>400000</v>
      </c>
    </row>
    <row r="36655" spans="26:26" x14ac:dyDescent="0.25">
      <c r="Z36655">
        <v>400000</v>
      </c>
    </row>
    <row r="36656" spans="26:26" x14ac:dyDescent="0.25">
      <c r="Z36656">
        <v>400000</v>
      </c>
    </row>
    <row r="36657" spans="26:26" x14ac:dyDescent="0.25">
      <c r="Z36657">
        <v>400000</v>
      </c>
    </row>
    <row r="36658" spans="26:26" x14ac:dyDescent="0.25">
      <c r="Z36658">
        <v>400000</v>
      </c>
    </row>
    <row r="36659" spans="26:26" x14ac:dyDescent="0.25">
      <c r="Z36659">
        <v>400000</v>
      </c>
    </row>
    <row r="36660" spans="26:26" x14ac:dyDescent="0.25">
      <c r="Z36660">
        <v>400000</v>
      </c>
    </row>
    <row r="36661" spans="26:26" x14ac:dyDescent="0.25">
      <c r="Z36661">
        <v>400000</v>
      </c>
    </row>
    <row r="36662" spans="26:26" x14ac:dyDescent="0.25">
      <c r="Z36662">
        <v>400000</v>
      </c>
    </row>
    <row r="36663" spans="26:26" x14ac:dyDescent="0.25">
      <c r="Z36663">
        <v>400000</v>
      </c>
    </row>
    <row r="36664" spans="26:26" x14ac:dyDescent="0.25">
      <c r="Z36664">
        <v>400000</v>
      </c>
    </row>
    <row r="36665" spans="26:26" x14ac:dyDescent="0.25">
      <c r="Z36665">
        <v>400000</v>
      </c>
    </row>
    <row r="36666" spans="26:26" x14ac:dyDescent="0.25">
      <c r="Z36666">
        <v>400000</v>
      </c>
    </row>
    <row r="36667" spans="26:26" x14ac:dyDescent="0.25">
      <c r="Z36667">
        <v>400000</v>
      </c>
    </row>
    <row r="36668" spans="26:26" x14ac:dyDescent="0.25">
      <c r="Z36668">
        <v>400000</v>
      </c>
    </row>
    <row r="36669" spans="26:26" x14ac:dyDescent="0.25">
      <c r="Z36669">
        <v>400000</v>
      </c>
    </row>
    <row r="36670" spans="26:26" x14ac:dyDescent="0.25">
      <c r="Z36670">
        <v>400000</v>
      </c>
    </row>
    <row r="36671" spans="26:26" x14ac:dyDescent="0.25">
      <c r="Z36671">
        <v>400000</v>
      </c>
    </row>
    <row r="36672" spans="26:26" x14ac:dyDescent="0.25">
      <c r="Z36672">
        <v>400000</v>
      </c>
    </row>
    <row r="36673" spans="26:26" x14ac:dyDescent="0.25">
      <c r="Z36673">
        <v>400000</v>
      </c>
    </row>
    <row r="36674" spans="26:26" x14ac:dyDescent="0.25">
      <c r="Z36674">
        <v>400000</v>
      </c>
    </row>
    <row r="36675" spans="26:26" x14ac:dyDescent="0.25">
      <c r="Z36675">
        <v>400000</v>
      </c>
    </row>
    <row r="36676" spans="26:26" x14ac:dyDescent="0.25">
      <c r="Z36676">
        <v>400000</v>
      </c>
    </row>
    <row r="36677" spans="26:26" x14ac:dyDescent="0.25">
      <c r="Z36677">
        <v>400000</v>
      </c>
    </row>
    <row r="36678" spans="26:26" x14ac:dyDescent="0.25">
      <c r="Z36678">
        <v>400000</v>
      </c>
    </row>
    <row r="36679" spans="26:26" x14ac:dyDescent="0.25">
      <c r="Z36679">
        <v>400000</v>
      </c>
    </row>
    <row r="36680" spans="26:26" x14ac:dyDescent="0.25">
      <c r="Z36680">
        <v>400000</v>
      </c>
    </row>
    <row r="36681" spans="26:26" x14ac:dyDescent="0.25">
      <c r="Z36681">
        <v>400000</v>
      </c>
    </row>
    <row r="36682" spans="26:26" x14ac:dyDescent="0.25">
      <c r="Z36682">
        <v>400000</v>
      </c>
    </row>
    <row r="36683" spans="26:26" x14ac:dyDescent="0.25">
      <c r="Z36683">
        <v>400000</v>
      </c>
    </row>
    <row r="36684" spans="26:26" x14ac:dyDescent="0.25">
      <c r="Z36684">
        <v>400000</v>
      </c>
    </row>
    <row r="36685" spans="26:26" x14ac:dyDescent="0.25">
      <c r="Z36685">
        <v>400000</v>
      </c>
    </row>
    <row r="36686" spans="26:26" x14ac:dyDescent="0.25">
      <c r="Z36686">
        <v>400000</v>
      </c>
    </row>
    <row r="36687" spans="26:26" x14ac:dyDescent="0.25">
      <c r="Z36687">
        <v>400000</v>
      </c>
    </row>
    <row r="36688" spans="26:26" x14ac:dyDescent="0.25">
      <c r="Z36688">
        <v>400000</v>
      </c>
    </row>
    <row r="36689" spans="26:26" x14ac:dyDescent="0.25">
      <c r="Z36689">
        <v>400000</v>
      </c>
    </row>
    <row r="36690" spans="26:26" x14ac:dyDescent="0.25">
      <c r="Z36690">
        <v>400000</v>
      </c>
    </row>
    <row r="36691" spans="26:26" x14ac:dyDescent="0.25">
      <c r="Z36691">
        <v>400000</v>
      </c>
    </row>
    <row r="36692" spans="26:26" x14ac:dyDescent="0.25">
      <c r="Z36692">
        <v>400000</v>
      </c>
    </row>
    <row r="36693" spans="26:26" x14ac:dyDescent="0.25">
      <c r="Z36693">
        <v>400000</v>
      </c>
    </row>
    <row r="36694" spans="26:26" x14ac:dyDescent="0.25">
      <c r="Z36694">
        <v>400000</v>
      </c>
    </row>
    <row r="36695" spans="26:26" x14ac:dyDescent="0.25">
      <c r="Z36695">
        <v>400000</v>
      </c>
    </row>
    <row r="36696" spans="26:26" x14ac:dyDescent="0.25">
      <c r="Z36696">
        <v>400000</v>
      </c>
    </row>
    <row r="36697" spans="26:26" x14ac:dyDescent="0.25">
      <c r="Z36697">
        <v>400000</v>
      </c>
    </row>
    <row r="36698" spans="26:26" x14ac:dyDescent="0.25">
      <c r="Z36698">
        <v>400000</v>
      </c>
    </row>
    <row r="36699" spans="26:26" x14ac:dyDescent="0.25">
      <c r="Z36699">
        <v>400000</v>
      </c>
    </row>
    <row r="36700" spans="26:26" x14ac:dyDescent="0.25">
      <c r="Z36700">
        <v>400000</v>
      </c>
    </row>
    <row r="36701" spans="26:26" x14ac:dyDescent="0.25">
      <c r="Z36701">
        <v>400000</v>
      </c>
    </row>
    <row r="36702" spans="26:26" x14ac:dyDescent="0.25">
      <c r="Z36702">
        <v>400000</v>
      </c>
    </row>
    <row r="36703" spans="26:26" x14ac:dyDescent="0.25">
      <c r="Z36703">
        <v>400000</v>
      </c>
    </row>
    <row r="36704" spans="26:26" x14ac:dyDescent="0.25">
      <c r="Z36704">
        <v>400000</v>
      </c>
    </row>
    <row r="36705" spans="26:26" x14ac:dyDescent="0.25">
      <c r="Z36705">
        <v>400000</v>
      </c>
    </row>
    <row r="36706" spans="26:26" x14ac:dyDescent="0.25">
      <c r="Z36706">
        <v>400000</v>
      </c>
    </row>
    <row r="36707" spans="26:26" x14ac:dyDescent="0.25">
      <c r="Z36707">
        <v>400000</v>
      </c>
    </row>
    <row r="36708" spans="26:26" x14ac:dyDescent="0.25">
      <c r="Z36708">
        <v>400000</v>
      </c>
    </row>
    <row r="36709" spans="26:26" x14ac:dyDescent="0.25">
      <c r="Z36709">
        <v>400000</v>
      </c>
    </row>
    <row r="36710" spans="26:26" x14ac:dyDescent="0.25">
      <c r="Z36710">
        <v>400000</v>
      </c>
    </row>
    <row r="36711" spans="26:26" x14ac:dyDescent="0.25">
      <c r="Z36711">
        <v>400000</v>
      </c>
    </row>
    <row r="36712" spans="26:26" x14ac:dyDescent="0.25">
      <c r="Z36712">
        <v>400000</v>
      </c>
    </row>
    <row r="36713" spans="26:26" x14ac:dyDescent="0.25">
      <c r="Z36713">
        <v>400000</v>
      </c>
    </row>
    <row r="36714" spans="26:26" x14ac:dyDescent="0.25">
      <c r="Z36714">
        <v>400000</v>
      </c>
    </row>
    <row r="36715" spans="26:26" x14ac:dyDescent="0.25">
      <c r="Z36715">
        <v>400000</v>
      </c>
    </row>
    <row r="36716" spans="26:26" x14ac:dyDescent="0.25">
      <c r="Z36716">
        <v>400000</v>
      </c>
    </row>
    <row r="36717" spans="26:26" x14ac:dyDescent="0.25">
      <c r="Z36717">
        <v>400000</v>
      </c>
    </row>
    <row r="36718" spans="26:26" x14ac:dyDescent="0.25">
      <c r="Z36718">
        <v>400000</v>
      </c>
    </row>
    <row r="36719" spans="26:26" x14ac:dyDescent="0.25">
      <c r="Z36719">
        <v>400000</v>
      </c>
    </row>
    <row r="36720" spans="26:26" x14ac:dyDescent="0.25">
      <c r="Z36720">
        <v>400000</v>
      </c>
    </row>
    <row r="36721" spans="26:26" x14ac:dyDescent="0.25">
      <c r="Z36721">
        <v>400000</v>
      </c>
    </row>
    <row r="36722" spans="26:26" x14ac:dyDescent="0.25">
      <c r="Z36722">
        <v>400000</v>
      </c>
    </row>
    <row r="36723" spans="26:26" x14ac:dyDescent="0.25">
      <c r="Z36723">
        <v>400000</v>
      </c>
    </row>
    <row r="36724" spans="26:26" x14ac:dyDescent="0.25">
      <c r="Z36724">
        <v>400000</v>
      </c>
    </row>
    <row r="36725" spans="26:26" x14ac:dyDescent="0.25">
      <c r="Z36725">
        <v>400000</v>
      </c>
    </row>
    <row r="36726" spans="26:26" x14ac:dyDescent="0.25">
      <c r="Z36726">
        <v>400000</v>
      </c>
    </row>
    <row r="36727" spans="26:26" x14ac:dyDescent="0.25">
      <c r="Z36727">
        <v>400000</v>
      </c>
    </row>
    <row r="36728" spans="26:26" x14ac:dyDescent="0.25">
      <c r="Z36728">
        <v>400000</v>
      </c>
    </row>
    <row r="36729" spans="26:26" x14ac:dyDescent="0.25">
      <c r="Z36729">
        <v>400000</v>
      </c>
    </row>
    <row r="36730" spans="26:26" x14ac:dyDescent="0.25">
      <c r="Z36730">
        <v>400000</v>
      </c>
    </row>
    <row r="36731" spans="26:26" x14ac:dyDescent="0.25">
      <c r="Z36731">
        <v>400000</v>
      </c>
    </row>
    <row r="36732" spans="26:26" x14ac:dyDescent="0.25">
      <c r="Z36732">
        <v>400000</v>
      </c>
    </row>
    <row r="36733" spans="26:26" x14ac:dyDescent="0.25">
      <c r="Z36733">
        <v>400000</v>
      </c>
    </row>
    <row r="36734" spans="26:26" x14ac:dyDescent="0.25">
      <c r="Z36734">
        <v>400000</v>
      </c>
    </row>
    <row r="36735" spans="26:26" x14ac:dyDescent="0.25">
      <c r="Z36735">
        <v>400000</v>
      </c>
    </row>
    <row r="36736" spans="26:26" x14ac:dyDescent="0.25">
      <c r="Z36736">
        <v>400000</v>
      </c>
    </row>
    <row r="36737" spans="26:26" x14ac:dyDescent="0.25">
      <c r="Z36737">
        <v>400000</v>
      </c>
    </row>
    <row r="36738" spans="26:26" x14ac:dyDescent="0.25">
      <c r="Z36738">
        <v>400000</v>
      </c>
    </row>
    <row r="36739" spans="26:26" x14ac:dyDescent="0.25">
      <c r="Z36739">
        <v>400000</v>
      </c>
    </row>
    <row r="36740" spans="26:26" x14ac:dyDescent="0.25">
      <c r="Z36740">
        <v>400000</v>
      </c>
    </row>
    <row r="36741" spans="26:26" x14ac:dyDescent="0.25">
      <c r="Z36741">
        <v>400000</v>
      </c>
    </row>
    <row r="36742" spans="26:26" x14ac:dyDescent="0.25">
      <c r="Z36742">
        <v>400000</v>
      </c>
    </row>
    <row r="36743" spans="26:26" x14ac:dyDescent="0.25">
      <c r="Z36743">
        <v>400000</v>
      </c>
    </row>
    <row r="36744" spans="26:26" x14ac:dyDescent="0.25">
      <c r="Z36744">
        <v>400000</v>
      </c>
    </row>
    <row r="36745" spans="26:26" x14ac:dyDescent="0.25">
      <c r="Z36745">
        <v>400000</v>
      </c>
    </row>
    <row r="36746" spans="26:26" x14ac:dyDescent="0.25">
      <c r="Z36746">
        <v>400000</v>
      </c>
    </row>
    <row r="36747" spans="26:26" x14ac:dyDescent="0.25">
      <c r="Z36747">
        <v>400000</v>
      </c>
    </row>
    <row r="36748" spans="26:26" x14ac:dyDescent="0.25">
      <c r="Z36748">
        <v>400000</v>
      </c>
    </row>
    <row r="36749" spans="26:26" x14ac:dyDescent="0.25">
      <c r="Z36749">
        <v>400000</v>
      </c>
    </row>
    <row r="36750" spans="26:26" x14ac:dyDescent="0.25">
      <c r="Z36750">
        <v>400000</v>
      </c>
    </row>
    <row r="36751" spans="26:26" x14ac:dyDescent="0.25">
      <c r="Z36751">
        <v>400000</v>
      </c>
    </row>
    <row r="36752" spans="26:26" x14ac:dyDescent="0.25">
      <c r="Z36752">
        <v>400000</v>
      </c>
    </row>
    <row r="36753" spans="26:26" x14ac:dyDescent="0.25">
      <c r="Z36753">
        <v>400000</v>
      </c>
    </row>
    <row r="36754" spans="26:26" x14ac:dyDescent="0.25">
      <c r="Z36754">
        <v>400000</v>
      </c>
    </row>
    <row r="36755" spans="26:26" x14ac:dyDescent="0.25">
      <c r="Z36755">
        <v>400000</v>
      </c>
    </row>
    <row r="36756" spans="26:26" x14ac:dyDescent="0.25">
      <c r="Z36756">
        <v>400000</v>
      </c>
    </row>
    <row r="36757" spans="26:26" x14ac:dyDescent="0.25">
      <c r="Z36757">
        <v>400000</v>
      </c>
    </row>
    <row r="36758" spans="26:26" x14ac:dyDescent="0.25">
      <c r="Z36758">
        <v>400000</v>
      </c>
    </row>
    <row r="36759" spans="26:26" x14ac:dyDescent="0.25">
      <c r="Z36759">
        <v>400000</v>
      </c>
    </row>
    <row r="36760" spans="26:26" x14ac:dyDescent="0.25">
      <c r="Z36760">
        <v>400000</v>
      </c>
    </row>
    <row r="36761" spans="26:26" x14ac:dyDescent="0.25">
      <c r="Z36761">
        <v>400000</v>
      </c>
    </row>
    <row r="36762" spans="26:26" x14ac:dyDescent="0.25">
      <c r="Z36762">
        <v>400000</v>
      </c>
    </row>
    <row r="36763" spans="26:26" x14ac:dyDescent="0.25">
      <c r="Z36763">
        <v>400000</v>
      </c>
    </row>
    <row r="36764" spans="26:26" x14ac:dyDescent="0.25">
      <c r="Z36764">
        <v>400000</v>
      </c>
    </row>
    <row r="36765" spans="26:26" x14ac:dyDescent="0.25">
      <c r="Z36765">
        <v>400000</v>
      </c>
    </row>
    <row r="36766" spans="26:26" x14ac:dyDescent="0.25">
      <c r="Z36766">
        <v>400000</v>
      </c>
    </row>
    <row r="36767" spans="26:26" x14ac:dyDescent="0.25">
      <c r="Z36767">
        <v>400000</v>
      </c>
    </row>
    <row r="36768" spans="26:26" x14ac:dyDescent="0.25">
      <c r="Z36768">
        <v>400000</v>
      </c>
    </row>
    <row r="36769" spans="26:26" x14ac:dyDescent="0.25">
      <c r="Z36769">
        <v>400000</v>
      </c>
    </row>
    <row r="36770" spans="26:26" x14ac:dyDescent="0.25">
      <c r="Z36770">
        <v>400000</v>
      </c>
    </row>
    <row r="36771" spans="26:26" x14ac:dyDescent="0.25">
      <c r="Z36771">
        <v>400000</v>
      </c>
    </row>
    <row r="36772" spans="26:26" x14ac:dyDescent="0.25">
      <c r="Z36772">
        <v>400000</v>
      </c>
    </row>
    <row r="36773" spans="26:26" x14ac:dyDescent="0.25">
      <c r="Z36773">
        <v>400000</v>
      </c>
    </row>
    <row r="36774" spans="26:26" x14ac:dyDescent="0.25">
      <c r="Z36774">
        <v>400000</v>
      </c>
    </row>
    <row r="36775" spans="26:26" x14ac:dyDescent="0.25">
      <c r="Z36775">
        <v>400000</v>
      </c>
    </row>
    <row r="36776" spans="26:26" x14ac:dyDescent="0.25">
      <c r="Z36776">
        <v>400000</v>
      </c>
    </row>
    <row r="36777" spans="26:26" x14ac:dyDescent="0.25">
      <c r="Z36777">
        <v>400000</v>
      </c>
    </row>
    <row r="36778" spans="26:26" x14ac:dyDescent="0.25">
      <c r="Z36778">
        <v>400000</v>
      </c>
    </row>
    <row r="36779" spans="26:26" x14ac:dyDescent="0.25">
      <c r="Z36779">
        <v>400000</v>
      </c>
    </row>
    <row r="36780" spans="26:26" x14ac:dyDescent="0.25">
      <c r="Z36780">
        <v>400000</v>
      </c>
    </row>
    <row r="36781" spans="26:26" x14ac:dyDescent="0.25">
      <c r="Z36781">
        <v>400000</v>
      </c>
    </row>
    <row r="36782" spans="26:26" x14ac:dyDescent="0.25">
      <c r="Z36782">
        <v>400000</v>
      </c>
    </row>
    <row r="36783" spans="26:26" x14ac:dyDescent="0.25">
      <c r="Z36783">
        <v>400000</v>
      </c>
    </row>
    <row r="36784" spans="26:26" x14ac:dyDescent="0.25">
      <c r="Z36784">
        <v>400000</v>
      </c>
    </row>
    <row r="36785" spans="26:26" x14ac:dyDescent="0.25">
      <c r="Z36785">
        <v>400000</v>
      </c>
    </row>
    <row r="36786" spans="26:26" x14ac:dyDescent="0.25">
      <c r="Z36786">
        <v>400000</v>
      </c>
    </row>
    <row r="36787" spans="26:26" x14ac:dyDescent="0.25">
      <c r="Z36787">
        <v>400000</v>
      </c>
    </row>
    <row r="36788" spans="26:26" x14ac:dyDescent="0.25">
      <c r="Z36788">
        <v>400000</v>
      </c>
    </row>
    <row r="36789" spans="26:26" x14ac:dyDescent="0.25">
      <c r="Z36789">
        <v>400000</v>
      </c>
    </row>
    <row r="36790" spans="26:26" x14ac:dyDescent="0.25">
      <c r="Z36790">
        <v>400000</v>
      </c>
    </row>
    <row r="36791" spans="26:26" x14ac:dyDescent="0.25">
      <c r="Z36791">
        <v>400000</v>
      </c>
    </row>
    <row r="36792" spans="26:26" x14ac:dyDescent="0.25">
      <c r="Z36792">
        <v>400000</v>
      </c>
    </row>
    <row r="36793" spans="26:26" x14ac:dyDescent="0.25">
      <c r="Z36793">
        <v>400000</v>
      </c>
    </row>
    <row r="36794" spans="26:26" x14ac:dyDescent="0.25">
      <c r="Z36794">
        <v>400000</v>
      </c>
    </row>
    <row r="36795" spans="26:26" x14ac:dyDescent="0.25">
      <c r="Z36795">
        <v>400000</v>
      </c>
    </row>
    <row r="36796" spans="26:26" x14ac:dyDescent="0.25">
      <c r="Z36796">
        <v>400000</v>
      </c>
    </row>
    <row r="36797" spans="26:26" x14ac:dyDescent="0.25">
      <c r="Z36797">
        <v>400000</v>
      </c>
    </row>
    <row r="36798" spans="26:26" x14ac:dyDescent="0.25">
      <c r="Z36798">
        <v>400000</v>
      </c>
    </row>
    <row r="36799" spans="26:26" x14ac:dyDescent="0.25">
      <c r="Z36799">
        <v>400000</v>
      </c>
    </row>
    <row r="36800" spans="26:26" x14ac:dyDescent="0.25">
      <c r="Z36800">
        <v>400000</v>
      </c>
    </row>
    <row r="36801" spans="26:26" x14ac:dyDescent="0.25">
      <c r="Z36801">
        <v>400000</v>
      </c>
    </row>
    <row r="36802" spans="26:26" x14ac:dyDescent="0.25">
      <c r="Z36802">
        <v>400000</v>
      </c>
    </row>
    <row r="36803" spans="26:26" x14ac:dyDescent="0.25">
      <c r="Z36803">
        <v>400000</v>
      </c>
    </row>
    <row r="36804" spans="26:26" x14ac:dyDescent="0.25">
      <c r="Z36804">
        <v>400000</v>
      </c>
    </row>
    <row r="36805" spans="26:26" x14ac:dyDescent="0.25">
      <c r="Z36805">
        <v>400000</v>
      </c>
    </row>
    <row r="36806" spans="26:26" x14ac:dyDescent="0.25">
      <c r="Z36806">
        <v>400000</v>
      </c>
    </row>
    <row r="36807" spans="26:26" x14ac:dyDescent="0.25">
      <c r="Z36807">
        <v>400000</v>
      </c>
    </row>
    <row r="36808" spans="26:26" x14ac:dyDescent="0.25">
      <c r="Z36808">
        <v>400000</v>
      </c>
    </row>
    <row r="36809" spans="26:26" x14ac:dyDescent="0.25">
      <c r="Z36809">
        <v>400000</v>
      </c>
    </row>
    <row r="36810" spans="26:26" x14ac:dyDescent="0.25">
      <c r="Z36810">
        <v>400000</v>
      </c>
    </row>
    <row r="36811" spans="26:26" x14ac:dyDescent="0.25">
      <c r="Z36811">
        <v>400000</v>
      </c>
    </row>
    <row r="36812" spans="26:26" x14ac:dyDescent="0.25">
      <c r="Z36812">
        <v>400000</v>
      </c>
    </row>
    <row r="36813" spans="26:26" x14ac:dyDescent="0.25">
      <c r="Z36813">
        <v>400000</v>
      </c>
    </row>
    <row r="36814" spans="26:26" x14ac:dyDescent="0.25">
      <c r="Z36814">
        <v>400000</v>
      </c>
    </row>
    <row r="36815" spans="26:26" x14ac:dyDescent="0.25">
      <c r="Z36815">
        <v>400000</v>
      </c>
    </row>
    <row r="36816" spans="26:26" x14ac:dyDescent="0.25">
      <c r="Z36816">
        <v>400000</v>
      </c>
    </row>
    <row r="36817" spans="26:26" x14ac:dyDescent="0.25">
      <c r="Z36817">
        <v>400000</v>
      </c>
    </row>
    <row r="36818" spans="26:26" x14ac:dyDescent="0.25">
      <c r="Z36818">
        <v>400000</v>
      </c>
    </row>
    <row r="36819" spans="26:26" x14ac:dyDescent="0.25">
      <c r="Z36819">
        <v>400000</v>
      </c>
    </row>
    <row r="36820" spans="26:26" x14ac:dyDescent="0.25">
      <c r="Z36820">
        <v>400000</v>
      </c>
    </row>
    <row r="36821" spans="26:26" x14ac:dyDescent="0.25">
      <c r="Z36821">
        <v>400000</v>
      </c>
    </row>
    <row r="36822" spans="26:26" x14ac:dyDescent="0.25">
      <c r="Z36822">
        <v>400000</v>
      </c>
    </row>
    <row r="36823" spans="26:26" x14ac:dyDescent="0.25">
      <c r="Z36823">
        <v>400000</v>
      </c>
    </row>
    <row r="36824" spans="26:26" x14ac:dyDescent="0.25">
      <c r="Z36824">
        <v>400000</v>
      </c>
    </row>
    <row r="36825" spans="26:26" x14ac:dyDescent="0.25">
      <c r="Z36825">
        <v>400000</v>
      </c>
    </row>
    <row r="36826" spans="26:26" x14ac:dyDescent="0.25">
      <c r="Z36826">
        <v>400000</v>
      </c>
    </row>
    <row r="36827" spans="26:26" x14ac:dyDescent="0.25">
      <c r="Z36827">
        <v>400000</v>
      </c>
    </row>
    <row r="36828" spans="26:26" x14ac:dyDescent="0.25">
      <c r="Z36828">
        <v>400000</v>
      </c>
    </row>
    <row r="36829" spans="26:26" x14ac:dyDescent="0.25">
      <c r="Z36829">
        <v>400000</v>
      </c>
    </row>
    <row r="36830" spans="26:26" x14ac:dyDescent="0.25">
      <c r="Z36830">
        <v>400000</v>
      </c>
    </row>
    <row r="36831" spans="26:26" x14ac:dyDescent="0.25">
      <c r="Z36831">
        <v>400000</v>
      </c>
    </row>
    <row r="36832" spans="26:26" x14ac:dyDescent="0.25">
      <c r="Z36832">
        <v>400000</v>
      </c>
    </row>
    <row r="36833" spans="26:26" x14ac:dyDescent="0.25">
      <c r="Z36833">
        <v>400000</v>
      </c>
    </row>
    <row r="36834" spans="26:26" x14ac:dyDescent="0.25">
      <c r="Z36834">
        <v>400000</v>
      </c>
    </row>
    <row r="36835" spans="26:26" x14ac:dyDescent="0.25">
      <c r="Z36835">
        <v>400000</v>
      </c>
    </row>
    <row r="36836" spans="26:26" x14ac:dyDescent="0.25">
      <c r="Z36836">
        <v>400000</v>
      </c>
    </row>
    <row r="36837" spans="26:26" x14ac:dyDescent="0.25">
      <c r="Z36837">
        <v>400000</v>
      </c>
    </row>
    <row r="36838" spans="26:26" x14ac:dyDescent="0.25">
      <c r="Z36838">
        <v>400000</v>
      </c>
    </row>
    <row r="36839" spans="26:26" x14ac:dyDescent="0.25">
      <c r="Z36839">
        <v>400000</v>
      </c>
    </row>
    <row r="36840" spans="26:26" x14ac:dyDescent="0.25">
      <c r="Z36840">
        <v>400000</v>
      </c>
    </row>
    <row r="36841" spans="26:26" x14ac:dyDescent="0.25">
      <c r="Z36841">
        <v>400000</v>
      </c>
    </row>
    <row r="36842" spans="26:26" x14ac:dyDescent="0.25">
      <c r="Z36842">
        <v>400000</v>
      </c>
    </row>
    <row r="36843" spans="26:26" x14ac:dyDescent="0.25">
      <c r="Z36843">
        <v>400000</v>
      </c>
    </row>
    <row r="36844" spans="26:26" x14ac:dyDescent="0.25">
      <c r="Z36844">
        <v>400000</v>
      </c>
    </row>
    <row r="36845" spans="26:26" x14ac:dyDescent="0.25">
      <c r="Z36845">
        <v>400000</v>
      </c>
    </row>
    <row r="36846" spans="26:26" x14ac:dyDescent="0.25">
      <c r="Z36846">
        <v>400000</v>
      </c>
    </row>
    <row r="36847" spans="26:26" x14ac:dyDescent="0.25">
      <c r="Z36847">
        <v>400000</v>
      </c>
    </row>
    <row r="36848" spans="26:26" x14ac:dyDescent="0.25">
      <c r="Z36848">
        <v>400000</v>
      </c>
    </row>
    <row r="36849" spans="26:26" x14ac:dyDescent="0.25">
      <c r="Z36849">
        <v>400000</v>
      </c>
    </row>
    <row r="36850" spans="26:26" x14ac:dyDescent="0.25">
      <c r="Z36850">
        <v>400000</v>
      </c>
    </row>
    <row r="36851" spans="26:26" x14ac:dyDescent="0.25">
      <c r="Z36851">
        <v>400000</v>
      </c>
    </row>
    <row r="36852" spans="26:26" x14ac:dyDescent="0.25">
      <c r="Z36852">
        <v>400000</v>
      </c>
    </row>
    <row r="36853" spans="26:26" x14ac:dyDescent="0.25">
      <c r="Z36853">
        <v>400000</v>
      </c>
    </row>
    <row r="36854" spans="26:26" x14ac:dyDescent="0.25">
      <c r="Z36854">
        <v>400000</v>
      </c>
    </row>
    <row r="36855" spans="26:26" x14ac:dyDescent="0.25">
      <c r="Z36855">
        <v>400000</v>
      </c>
    </row>
    <row r="36856" spans="26:26" x14ac:dyDescent="0.25">
      <c r="Z36856">
        <v>400000</v>
      </c>
    </row>
    <row r="36857" spans="26:26" x14ac:dyDescent="0.25">
      <c r="Z36857">
        <v>400000</v>
      </c>
    </row>
    <row r="36858" spans="26:26" x14ac:dyDescent="0.25">
      <c r="Z36858">
        <v>400000</v>
      </c>
    </row>
    <row r="36859" spans="26:26" x14ac:dyDescent="0.25">
      <c r="Z36859">
        <v>400000</v>
      </c>
    </row>
    <row r="36860" spans="26:26" x14ac:dyDescent="0.25">
      <c r="Z36860">
        <v>400000</v>
      </c>
    </row>
    <row r="36861" spans="26:26" x14ac:dyDescent="0.25">
      <c r="Z36861">
        <v>400000</v>
      </c>
    </row>
    <row r="36862" spans="26:26" x14ac:dyDescent="0.25">
      <c r="Z36862">
        <v>400000</v>
      </c>
    </row>
    <row r="36863" spans="26:26" x14ac:dyDescent="0.25">
      <c r="Z36863">
        <v>400000</v>
      </c>
    </row>
    <row r="36864" spans="26:26" x14ac:dyDescent="0.25">
      <c r="Z36864">
        <v>400000</v>
      </c>
    </row>
    <row r="36865" spans="26:26" x14ac:dyDescent="0.25">
      <c r="Z36865">
        <v>400000</v>
      </c>
    </row>
    <row r="36866" spans="26:26" x14ac:dyDescent="0.25">
      <c r="Z36866">
        <v>400000</v>
      </c>
    </row>
    <row r="36867" spans="26:26" x14ac:dyDescent="0.25">
      <c r="Z36867">
        <v>400000</v>
      </c>
    </row>
    <row r="36868" spans="26:26" x14ac:dyDescent="0.25">
      <c r="Z36868">
        <v>400000</v>
      </c>
    </row>
    <row r="36869" spans="26:26" x14ac:dyDescent="0.25">
      <c r="Z36869">
        <v>400000</v>
      </c>
    </row>
    <row r="36870" spans="26:26" x14ac:dyDescent="0.25">
      <c r="Z36870">
        <v>400000</v>
      </c>
    </row>
    <row r="36871" spans="26:26" x14ac:dyDescent="0.25">
      <c r="Z36871">
        <v>400000</v>
      </c>
    </row>
    <row r="36872" spans="26:26" x14ac:dyDescent="0.25">
      <c r="Z36872">
        <v>400000</v>
      </c>
    </row>
    <row r="36873" spans="26:26" x14ac:dyDescent="0.25">
      <c r="Z36873">
        <v>400000</v>
      </c>
    </row>
    <row r="36874" spans="26:26" x14ac:dyDescent="0.25">
      <c r="Z36874">
        <v>400000</v>
      </c>
    </row>
    <row r="36875" spans="26:26" x14ac:dyDescent="0.25">
      <c r="Z36875">
        <v>400000</v>
      </c>
    </row>
    <row r="36876" spans="26:26" x14ac:dyDescent="0.25">
      <c r="Z36876">
        <v>400000</v>
      </c>
    </row>
    <row r="36877" spans="26:26" x14ac:dyDescent="0.25">
      <c r="Z36877">
        <v>400000</v>
      </c>
    </row>
    <row r="36878" spans="26:26" x14ac:dyDescent="0.25">
      <c r="Z36878">
        <v>400000</v>
      </c>
    </row>
    <row r="36879" spans="26:26" x14ac:dyDescent="0.25">
      <c r="Z36879">
        <v>400000</v>
      </c>
    </row>
    <row r="36880" spans="26:26" x14ac:dyDescent="0.25">
      <c r="Z36880">
        <v>400000</v>
      </c>
    </row>
    <row r="36881" spans="26:26" x14ac:dyDescent="0.25">
      <c r="Z36881">
        <v>400000</v>
      </c>
    </row>
    <row r="36882" spans="26:26" x14ac:dyDescent="0.25">
      <c r="Z36882">
        <v>400000</v>
      </c>
    </row>
    <row r="36883" spans="26:26" x14ac:dyDescent="0.25">
      <c r="Z36883">
        <v>400000</v>
      </c>
    </row>
    <row r="36884" spans="26:26" x14ac:dyDescent="0.25">
      <c r="Z36884">
        <v>400000</v>
      </c>
    </row>
    <row r="36885" spans="26:26" x14ac:dyDescent="0.25">
      <c r="Z36885">
        <v>400000</v>
      </c>
    </row>
    <row r="36886" spans="26:26" x14ac:dyDescent="0.25">
      <c r="Z36886">
        <v>400000</v>
      </c>
    </row>
    <row r="36887" spans="26:26" x14ac:dyDescent="0.25">
      <c r="Z36887">
        <v>400000</v>
      </c>
    </row>
    <row r="36888" spans="26:26" x14ac:dyDescent="0.25">
      <c r="Z36888">
        <v>400000</v>
      </c>
    </row>
    <row r="36889" spans="26:26" x14ac:dyDescent="0.25">
      <c r="Z36889">
        <v>400000</v>
      </c>
    </row>
    <row r="36890" spans="26:26" x14ac:dyDescent="0.25">
      <c r="Z36890">
        <v>400000</v>
      </c>
    </row>
    <row r="36891" spans="26:26" x14ac:dyDescent="0.25">
      <c r="Z36891">
        <v>400000</v>
      </c>
    </row>
    <row r="36892" spans="26:26" x14ac:dyDescent="0.25">
      <c r="Z36892">
        <v>400000</v>
      </c>
    </row>
    <row r="36893" spans="26:26" x14ac:dyDescent="0.25">
      <c r="Z36893">
        <v>400000</v>
      </c>
    </row>
    <row r="36894" spans="26:26" x14ac:dyDescent="0.25">
      <c r="Z36894">
        <v>400000</v>
      </c>
    </row>
    <row r="36895" spans="26:26" x14ac:dyDescent="0.25">
      <c r="Z36895">
        <v>400000</v>
      </c>
    </row>
    <row r="36896" spans="26:26" x14ac:dyDescent="0.25">
      <c r="Z36896">
        <v>400000</v>
      </c>
    </row>
    <row r="36897" spans="26:26" x14ac:dyDescent="0.25">
      <c r="Z36897">
        <v>400000</v>
      </c>
    </row>
    <row r="36898" spans="26:26" x14ac:dyDescent="0.25">
      <c r="Z36898">
        <v>400000</v>
      </c>
    </row>
    <row r="36899" spans="26:26" x14ac:dyDescent="0.25">
      <c r="Z36899">
        <v>400000</v>
      </c>
    </row>
    <row r="36900" spans="26:26" x14ac:dyDescent="0.25">
      <c r="Z36900">
        <v>400000</v>
      </c>
    </row>
    <row r="36901" spans="26:26" x14ac:dyDescent="0.25">
      <c r="Z36901">
        <v>400000</v>
      </c>
    </row>
    <row r="36902" spans="26:26" x14ac:dyDescent="0.25">
      <c r="Z36902">
        <v>400000</v>
      </c>
    </row>
    <row r="36903" spans="26:26" x14ac:dyDescent="0.25">
      <c r="Z36903">
        <v>400000</v>
      </c>
    </row>
    <row r="36904" spans="26:26" x14ac:dyDescent="0.25">
      <c r="Z36904">
        <v>400000</v>
      </c>
    </row>
    <row r="36905" spans="26:26" x14ac:dyDescent="0.25">
      <c r="Z36905">
        <v>400000</v>
      </c>
    </row>
    <row r="36906" spans="26:26" x14ac:dyDescent="0.25">
      <c r="Z36906">
        <v>400000</v>
      </c>
    </row>
    <row r="36907" spans="26:26" x14ac:dyDescent="0.25">
      <c r="Z36907">
        <v>400000</v>
      </c>
    </row>
    <row r="36908" spans="26:26" x14ac:dyDescent="0.25">
      <c r="Z36908">
        <v>400000</v>
      </c>
    </row>
    <row r="36909" spans="26:26" x14ac:dyDescent="0.25">
      <c r="Z36909">
        <v>400000</v>
      </c>
    </row>
    <row r="36910" spans="26:26" x14ac:dyDescent="0.25">
      <c r="Z36910">
        <v>400000</v>
      </c>
    </row>
    <row r="36911" spans="26:26" x14ac:dyDescent="0.25">
      <c r="Z36911">
        <v>400000</v>
      </c>
    </row>
    <row r="36912" spans="26:26" x14ac:dyDescent="0.25">
      <c r="Z36912">
        <v>400000</v>
      </c>
    </row>
    <row r="36913" spans="26:26" x14ac:dyDescent="0.25">
      <c r="Z36913">
        <v>400000</v>
      </c>
    </row>
    <row r="36914" spans="26:26" x14ac:dyDescent="0.25">
      <c r="Z36914">
        <v>400000</v>
      </c>
    </row>
    <row r="36915" spans="26:26" x14ac:dyDescent="0.25">
      <c r="Z36915">
        <v>400000</v>
      </c>
    </row>
    <row r="36916" spans="26:26" x14ac:dyDescent="0.25">
      <c r="Z36916">
        <v>400000</v>
      </c>
    </row>
    <row r="36917" spans="26:26" x14ac:dyDescent="0.25">
      <c r="Z36917">
        <v>400000</v>
      </c>
    </row>
    <row r="36918" spans="26:26" x14ac:dyDescent="0.25">
      <c r="Z36918">
        <v>400000</v>
      </c>
    </row>
    <row r="36919" spans="26:26" x14ac:dyDescent="0.25">
      <c r="Z36919">
        <v>400000</v>
      </c>
    </row>
    <row r="36920" spans="26:26" x14ac:dyDescent="0.25">
      <c r="Z36920">
        <v>400000</v>
      </c>
    </row>
    <row r="36921" spans="26:26" x14ac:dyDescent="0.25">
      <c r="Z36921">
        <v>400000</v>
      </c>
    </row>
    <row r="36922" spans="26:26" x14ac:dyDescent="0.25">
      <c r="Z36922">
        <v>400000</v>
      </c>
    </row>
    <row r="36923" spans="26:26" x14ac:dyDescent="0.25">
      <c r="Z36923">
        <v>400000</v>
      </c>
    </row>
    <row r="36924" spans="26:26" x14ac:dyDescent="0.25">
      <c r="Z36924">
        <v>400000</v>
      </c>
    </row>
    <row r="36925" spans="26:26" x14ac:dyDescent="0.25">
      <c r="Z36925">
        <v>400000</v>
      </c>
    </row>
    <row r="36926" spans="26:26" x14ac:dyDescent="0.25">
      <c r="Z36926">
        <v>400000</v>
      </c>
    </row>
    <row r="36927" spans="26:26" x14ac:dyDescent="0.25">
      <c r="Z36927">
        <v>400000</v>
      </c>
    </row>
    <row r="36928" spans="26:26" x14ac:dyDescent="0.25">
      <c r="Z36928">
        <v>400000</v>
      </c>
    </row>
    <row r="36929" spans="26:26" x14ac:dyDescent="0.25">
      <c r="Z36929">
        <v>400000</v>
      </c>
    </row>
    <row r="36930" spans="26:26" x14ac:dyDescent="0.25">
      <c r="Z36930">
        <v>400000</v>
      </c>
    </row>
    <row r="36931" spans="26:26" x14ac:dyDescent="0.25">
      <c r="Z36931">
        <v>400000</v>
      </c>
    </row>
    <row r="36932" spans="26:26" x14ac:dyDescent="0.25">
      <c r="Z36932">
        <v>400000</v>
      </c>
    </row>
    <row r="36933" spans="26:26" x14ac:dyDescent="0.25">
      <c r="Z36933">
        <v>400000</v>
      </c>
    </row>
    <row r="36934" spans="26:26" x14ac:dyDescent="0.25">
      <c r="Z36934">
        <v>400000</v>
      </c>
    </row>
    <row r="36935" spans="26:26" x14ac:dyDescent="0.25">
      <c r="Z36935">
        <v>400000</v>
      </c>
    </row>
    <row r="36936" spans="26:26" x14ac:dyDescent="0.25">
      <c r="Z36936">
        <v>400000</v>
      </c>
    </row>
    <row r="36937" spans="26:26" x14ac:dyDescent="0.25">
      <c r="Z36937">
        <v>400000</v>
      </c>
    </row>
    <row r="36938" spans="26:26" x14ac:dyDescent="0.25">
      <c r="Z36938">
        <v>400000</v>
      </c>
    </row>
    <row r="36939" spans="26:26" x14ac:dyDescent="0.25">
      <c r="Z36939">
        <v>400000</v>
      </c>
    </row>
    <row r="36940" spans="26:26" x14ac:dyDescent="0.25">
      <c r="Z36940">
        <v>400000</v>
      </c>
    </row>
    <row r="36941" spans="26:26" x14ac:dyDescent="0.25">
      <c r="Z36941">
        <v>400000</v>
      </c>
    </row>
    <row r="36942" spans="26:26" x14ac:dyDescent="0.25">
      <c r="Z36942">
        <v>400000</v>
      </c>
    </row>
    <row r="36943" spans="26:26" x14ac:dyDescent="0.25">
      <c r="Z36943">
        <v>400000</v>
      </c>
    </row>
    <row r="36944" spans="26:26" x14ac:dyDescent="0.25">
      <c r="Z36944">
        <v>400000</v>
      </c>
    </row>
    <row r="36945" spans="26:26" x14ac:dyDescent="0.25">
      <c r="Z36945">
        <v>400000</v>
      </c>
    </row>
    <row r="36946" spans="26:26" x14ac:dyDescent="0.25">
      <c r="Z36946">
        <v>400000</v>
      </c>
    </row>
    <row r="36947" spans="26:26" x14ac:dyDescent="0.25">
      <c r="Z36947">
        <v>400000</v>
      </c>
    </row>
    <row r="36948" spans="26:26" x14ac:dyDescent="0.25">
      <c r="Z36948">
        <v>400000</v>
      </c>
    </row>
    <row r="36949" spans="26:26" x14ac:dyDescent="0.25">
      <c r="Z36949">
        <v>400000</v>
      </c>
    </row>
    <row r="36950" spans="26:26" x14ac:dyDescent="0.25">
      <c r="Z36950">
        <v>400000</v>
      </c>
    </row>
    <row r="36951" spans="26:26" x14ac:dyDescent="0.25">
      <c r="Z36951">
        <v>400000</v>
      </c>
    </row>
    <row r="36952" spans="26:26" x14ac:dyDescent="0.25">
      <c r="Z36952">
        <v>400000</v>
      </c>
    </row>
    <row r="36953" spans="26:26" x14ac:dyDescent="0.25">
      <c r="Z36953">
        <v>400000</v>
      </c>
    </row>
    <row r="36954" spans="26:26" x14ac:dyDescent="0.25">
      <c r="Z36954">
        <v>400000</v>
      </c>
    </row>
    <row r="36955" spans="26:26" x14ac:dyDescent="0.25">
      <c r="Z36955">
        <v>400000</v>
      </c>
    </row>
    <row r="36956" spans="26:26" x14ac:dyDescent="0.25">
      <c r="Z36956">
        <v>400000</v>
      </c>
    </row>
    <row r="36957" spans="26:26" x14ac:dyDescent="0.25">
      <c r="Z36957">
        <v>400000</v>
      </c>
    </row>
    <row r="36958" spans="26:26" x14ac:dyDescent="0.25">
      <c r="Z36958">
        <v>400000</v>
      </c>
    </row>
    <row r="36959" spans="26:26" x14ac:dyDescent="0.25">
      <c r="Z36959">
        <v>400000</v>
      </c>
    </row>
    <row r="36960" spans="26:26" x14ac:dyDescent="0.25">
      <c r="Z36960">
        <v>400000</v>
      </c>
    </row>
    <row r="36961" spans="26:26" x14ac:dyDescent="0.25">
      <c r="Z36961">
        <v>400000</v>
      </c>
    </row>
    <row r="36962" spans="26:26" x14ac:dyDescent="0.25">
      <c r="Z36962">
        <v>400000</v>
      </c>
    </row>
    <row r="36963" spans="26:26" x14ac:dyDescent="0.25">
      <c r="Z36963">
        <v>400000</v>
      </c>
    </row>
    <row r="36964" spans="26:26" x14ac:dyDescent="0.25">
      <c r="Z36964">
        <v>400000</v>
      </c>
    </row>
    <row r="36965" spans="26:26" x14ac:dyDescent="0.25">
      <c r="Z36965">
        <v>400000</v>
      </c>
    </row>
    <row r="36966" spans="26:26" x14ac:dyDescent="0.25">
      <c r="Z36966">
        <v>400000</v>
      </c>
    </row>
    <row r="36967" spans="26:26" x14ac:dyDescent="0.25">
      <c r="Z36967">
        <v>400000</v>
      </c>
    </row>
    <row r="36968" spans="26:26" x14ac:dyDescent="0.25">
      <c r="Z36968">
        <v>400000</v>
      </c>
    </row>
    <row r="36969" spans="26:26" x14ac:dyDescent="0.25">
      <c r="Z36969">
        <v>400000</v>
      </c>
    </row>
    <row r="36970" spans="26:26" x14ac:dyDescent="0.25">
      <c r="Z36970">
        <v>400000</v>
      </c>
    </row>
    <row r="36971" spans="26:26" x14ac:dyDescent="0.25">
      <c r="Z36971">
        <v>400000</v>
      </c>
    </row>
    <row r="36972" spans="26:26" x14ac:dyDescent="0.25">
      <c r="Z36972">
        <v>400000</v>
      </c>
    </row>
    <row r="36973" spans="26:26" x14ac:dyDescent="0.25">
      <c r="Z36973">
        <v>400000</v>
      </c>
    </row>
    <row r="36974" spans="26:26" x14ac:dyDescent="0.25">
      <c r="Z36974">
        <v>400000</v>
      </c>
    </row>
    <row r="36975" spans="26:26" x14ac:dyDescent="0.25">
      <c r="Z36975">
        <v>400000</v>
      </c>
    </row>
    <row r="36976" spans="26:26" x14ac:dyDescent="0.25">
      <c r="Z36976">
        <v>400000</v>
      </c>
    </row>
    <row r="36977" spans="26:26" x14ac:dyDescent="0.25">
      <c r="Z36977">
        <v>400000</v>
      </c>
    </row>
    <row r="36978" spans="26:26" x14ac:dyDescent="0.25">
      <c r="Z36978">
        <v>400000</v>
      </c>
    </row>
    <row r="36979" spans="26:26" x14ac:dyDescent="0.25">
      <c r="Z36979">
        <v>400000</v>
      </c>
    </row>
    <row r="36980" spans="26:26" x14ac:dyDescent="0.25">
      <c r="Z36980">
        <v>400000</v>
      </c>
    </row>
    <row r="36981" spans="26:26" x14ac:dyDescent="0.25">
      <c r="Z36981">
        <v>400000</v>
      </c>
    </row>
    <row r="36982" spans="26:26" x14ac:dyDescent="0.25">
      <c r="Z36982">
        <v>400000</v>
      </c>
    </row>
    <row r="36983" spans="26:26" x14ac:dyDescent="0.25">
      <c r="Z36983">
        <v>400000</v>
      </c>
    </row>
    <row r="36984" spans="26:26" x14ac:dyDescent="0.25">
      <c r="Z36984">
        <v>400000</v>
      </c>
    </row>
    <row r="36985" spans="26:26" x14ac:dyDescent="0.25">
      <c r="Z36985">
        <v>400000</v>
      </c>
    </row>
    <row r="36986" spans="26:26" x14ac:dyDescent="0.25">
      <c r="Z36986">
        <v>400000</v>
      </c>
    </row>
    <row r="36987" spans="26:26" x14ac:dyDescent="0.25">
      <c r="Z36987">
        <v>400000</v>
      </c>
    </row>
    <row r="36988" spans="26:26" x14ac:dyDescent="0.25">
      <c r="Z36988">
        <v>400000</v>
      </c>
    </row>
    <row r="36989" spans="26:26" x14ac:dyDescent="0.25">
      <c r="Z36989">
        <v>400000</v>
      </c>
    </row>
    <row r="36990" spans="26:26" x14ac:dyDescent="0.25">
      <c r="Z36990">
        <v>400000</v>
      </c>
    </row>
    <row r="36991" spans="26:26" x14ac:dyDescent="0.25">
      <c r="Z36991">
        <v>400000</v>
      </c>
    </row>
    <row r="36992" spans="26:26" x14ac:dyDescent="0.25">
      <c r="Z36992">
        <v>400000</v>
      </c>
    </row>
    <row r="36993" spans="26:26" x14ac:dyDescent="0.25">
      <c r="Z36993">
        <v>400000</v>
      </c>
    </row>
    <row r="36994" spans="26:26" x14ac:dyDescent="0.25">
      <c r="Z36994">
        <v>400000</v>
      </c>
    </row>
    <row r="36995" spans="26:26" x14ac:dyDescent="0.25">
      <c r="Z36995">
        <v>400000</v>
      </c>
    </row>
    <row r="36996" spans="26:26" x14ac:dyDescent="0.25">
      <c r="Z36996">
        <v>400000</v>
      </c>
    </row>
    <row r="36997" spans="26:26" x14ac:dyDescent="0.25">
      <c r="Z36997">
        <v>400000</v>
      </c>
    </row>
    <row r="36998" spans="26:26" x14ac:dyDescent="0.25">
      <c r="Z36998">
        <v>400000</v>
      </c>
    </row>
    <row r="36999" spans="26:26" x14ac:dyDescent="0.25">
      <c r="Z36999">
        <v>400000</v>
      </c>
    </row>
    <row r="37000" spans="26:26" x14ac:dyDescent="0.25">
      <c r="Z37000">
        <v>400000</v>
      </c>
    </row>
    <row r="37001" spans="26:26" x14ac:dyDescent="0.25">
      <c r="Z37001">
        <v>400000</v>
      </c>
    </row>
    <row r="37002" spans="26:26" x14ac:dyDescent="0.25">
      <c r="Z37002">
        <v>400000</v>
      </c>
    </row>
    <row r="37003" spans="26:26" x14ac:dyDescent="0.25">
      <c r="Z37003">
        <v>400000</v>
      </c>
    </row>
    <row r="37004" spans="26:26" x14ac:dyDescent="0.25">
      <c r="Z37004">
        <v>400000</v>
      </c>
    </row>
    <row r="37005" spans="26:26" x14ac:dyDescent="0.25">
      <c r="Z37005">
        <v>400000</v>
      </c>
    </row>
    <row r="37006" spans="26:26" x14ac:dyDescent="0.25">
      <c r="Z37006">
        <v>400000</v>
      </c>
    </row>
    <row r="37007" spans="26:26" x14ac:dyDescent="0.25">
      <c r="Z37007">
        <v>400000</v>
      </c>
    </row>
    <row r="37008" spans="26:26" x14ac:dyDescent="0.25">
      <c r="Z37008">
        <v>400000</v>
      </c>
    </row>
    <row r="37009" spans="26:26" x14ac:dyDescent="0.25">
      <c r="Z37009">
        <v>400000</v>
      </c>
    </row>
    <row r="37010" spans="26:26" x14ac:dyDescent="0.25">
      <c r="Z37010">
        <v>400000</v>
      </c>
    </row>
    <row r="37011" spans="26:26" x14ac:dyDescent="0.25">
      <c r="Z37011">
        <v>400000</v>
      </c>
    </row>
    <row r="37012" spans="26:26" x14ac:dyDescent="0.25">
      <c r="Z37012">
        <v>400000</v>
      </c>
    </row>
    <row r="37013" spans="26:26" x14ac:dyDescent="0.25">
      <c r="Z37013">
        <v>400000</v>
      </c>
    </row>
    <row r="37014" spans="26:26" x14ac:dyDescent="0.25">
      <c r="Z37014">
        <v>400000</v>
      </c>
    </row>
    <row r="37015" spans="26:26" x14ac:dyDescent="0.25">
      <c r="Z37015">
        <v>400000</v>
      </c>
    </row>
    <row r="37016" spans="26:26" x14ac:dyDescent="0.25">
      <c r="Z37016">
        <v>400000</v>
      </c>
    </row>
    <row r="37017" spans="26:26" x14ac:dyDescent="0.25">
      <c r="Z37017">
        <v>400000</v>
      </c>
    </row>
    <row r="37018" spans="26:26" x14ac:dyDescent="0.25">
      <c r="Z37018">
        <v>400000</v>
      </c>
    </row>
    <row r="37019" spans="26:26" x14ac:dyDescent="0.25">
      <c r="Z37019">
        <v>400000</v>
      </c>
    </row>
    <row r="37020" spans="26:26" x14ac:dyDescent="0.25">
      <c r="Z37020">
        <v>400000</v>
      </c>
    </row>
    <row r="37021" spans="26:26" x14ac:dyDescent="0.25">
      <c r="Z37021">
        <v>400000</v>
      </c>
    </row>
    <row r="37022" spans="26:26" x14ac:dyDescent="0.25">
      <c r="Z37022">
        <v>400000</v>
      </c>
    </row>
    <row r="37023" spans="26:26" x14ac:dyDescent="0.25">
      <c r="Z37023">
        <v>400000</v>
      </c>
    </row>
    <row r="37024" spans="26:26" x14ac:dyDescent="0.25">
      <c r="Z37024">
        <v>400000</v>
      </c>
    </row>
    <row r="37025" spans="26:26" x14ac:dyDescent="0.25">
      <c r="Z37025">
        <v>400000</v>
      </c>
    </row>
    <row r="37026" spans="26:26" x14ac:dyDescent="0.25">
      <c r="Z37026">
        <v>400000</v>
      </c>
    </row>
    <row r="37027" spans="26:26" x14ac:dyDescent="0.25">
      <c r="Z37027">
        <v>400000</v>
      </c>
    </row>
    <row r="37028" spans="26:26" x14ac:dyDescent="0.25">
      <c r="Z37028">
        <v>400000</v>
      </c>
    </row>
    <row r="37029" spans="26:26" x14ac:dyDescent="0.25">
      <c r="Z37029">
        <v>400000</v>
      </c>
    </row>
    <row r="37030" spans="26:26" x14ac:dyDescent="0.25">
      <c r="Z37030">
        <v>400000</v>
      </c>
    </row>
    <row r="37031" spans="26:26" x14ac:dyDescent="0.25">
      <c r="Z37031">
        <v>400000</v>
      </c>
    </row>
    <row r="37032" spans="26:26" x14ac:dyDescent="0.25">
      <c r="Z37032">
        <v>400000</v>
      </c>
    </row>
    <row r="37033" spans="26:26" x14ac:dyDescent="0.25">
      <c r="Z37033">
        <v>400000</v>
      </c>
    </row>
    <row r="37034" spans="26:26" x14ac:dyDescent="0.25">
      <c r="Z37034">
        <v>400000</v>
      </c>
    </row>
    <row r="37035" spans="26:26" x14ac:dyDescent="0.25">
      <c r="Z37035">
        <v>400000</v>
      </c>
    </row>
    <row r="37036" spans="26:26" x14ac:dyDescent="0.25">
      <c r="Z37036">
        <v>400000</v>
      </c>
    </row>
    <row r="37037" spans="26:26" x14ac:dyDescent="0.25">
      <c r="Z37037">
        <v>400000</v>
      </c>
    </row>
    <row r="37038" spans="26:26" x14ac:dyDescent="0.25">
      <c r="Z37038">
        <v>400000</v>
      </c>
    </row>
    <row r="37039" spans="26:26" x14ac:dyDescent="0.25">
      <c r="Z37039">
        <v>400000</v>
      </c>
    </row>
    <row r="37040" spans="26:26" x14ac:dyDescent="0.25">
      <c r="Z37040">
        <v>400000</v>
      </c>
    </row>
    <row r="37041" spans="26:26" x14ac:dyDescent="0.25">
      <c r="Z37041">
        <v>400000</v>
      </c>
    </row>
    <row r="37042" spans="26:26" x14ac:dyDescent="0.25">
      <c r="Z37042">
        <v>400000</v>
      </c>
    </row>
    <row r="37043" spans="26:26" x14ac:dyDescent="0.25">
      <c r="Z37043">
        <v>400000</v>
      </c>
    </row>
    <row r="37044" spans="26:26" x14ac:dyDescent="0.25">
      <c r="Z37044">
        <v>400000</v>
      </c>
    </row>
    <row r="37045" spans="26:26" x14ac:dyDescent="0.25">
      <c r="Z37045">
        <v>400000</v>
      </c>
    </row>
    <row r="37046" spans="26:26" x14ac:dyDescent="0.25">
      <c r="Z37046">
        <v>400000</v>
      </c>
    </row>
    <row r="37047" spans="26:26" x14ac:dyDescent="0.25">
      <c r="Z37047">
        <v>400000</v>
      </c>
    </row>
    <row r="37048" spans="26:26" x14ac:dyDescent="0.25">
      <c r="Z37048">
        <v>400000</v>
      </c>
    </row>
    <row r="37049" spans="26:26" x14ac:dyDescent="0.25">
      <c r="Z37049">
        <v>400000</v>
      </c>
    </row>
    <row r="37050" spans="26:26" x14ac:dyDescent="0.25">
      <c r="Z37050">
        <v>400000</v>
      </c>
    </row>
    <row r="37051" spans="26:26" x14ac:dyDescent="0.25">
      <c r="Z37051">
        <v>400000</v>
      </c>
    </row>
    <row r="37052" spans="26:26" x14ac:dyDescent="0.25">
      <c r="Z37052">
        <v>400000</v>
      </c>
    </row>
    <row r="37053" spans="26:26" x14ac:dyDescent="0.25">
      <c r="Z37053">
        <v>400000</v>
      </c>
    </row>
    <row r="37054" spans="26:26" x14ac:dyDescent="0.25">
      <c r="Z37054">
        <v>400000</v>
      </c>
    </row>
    <row r="37055" spans="26:26" x14ac:dyDescent="0.25">
      <c r="Z37055">
        <v>400000</v>
      </c>
    </row>
    <row r="37056" spans="26:26" x14ac:dyDescent="0.25">
      <c r="Z37056">
        <v>400000</v>
      </c>
    </row>
    <row r="37057" spans="26:26" x14ac:dyDescent="0.25">
      <c r="Z37057">
        <v>400000</v>
      </c>
    </row>
    <row r="37058" spans="26:26" x14ac:dyDescent="0.25">
      <c r="Z37058">
        <v>400000</v>
      </c>
    </row>
    <row r="37059" spans="26:26" x14ac:dyDescent="0.25">
      <c r="Z37059">
        <v>400000</v>
      </c>
    </row>
    <row r="37060" spans="26:26" x14ac:dyDescent="0.25">
      <c r="Z37060">
        <v>400000</v>
      </c>
    </row>
    <row r="37061" spans="26:26" x14ac:dyDescent="0.25">
      <c r="Z37061">
        <v>400000</v>
      </c>
    </row>
    <row r="37062" spans="26:26" x14ac:dyDescent="0.25">
      <c r="Z37062">
        <v>400000</v>
      </c>
    </row>
    <row r="37063" spans="26:26" x14ac:dyDescent="0.25">
      <c r="Z37063">
        <v>400000</v>
      </c>
    </row>
    <row r="37064" spans="26:26" x14ac:dyDescent="0.25">
      <c r="Z37064">
        <v>400000</v>
      </c>
    </row>
    <row r="37065" spans="26:26" x14ac:dyDescent="0.25">
      <c r="Z37065">
        <v>400000</v>
      </c>
    </row>
    <row r="37066" spans="26:26" x14ac:dyDescent="0.25">
      <c r="Z37066">
        <v>400000</v>
      </c>
    </row>
    <row r="37067" spans="26:26" x14ac:dyDescent="0.25">
      <c r="Z37067">
        <v>400000</v>
      </c>
    </row>
    <row r="37068" spans="26:26" x14ac:dyDescent="0.25">
      <c r="Z37068">
        <v>400000</v>
      </c>
    </row>
    <row r="37069" spans="26:26" x14ac:dyDescent="0.25">
      <c r="Z37069">
        <v>400000</v>
      </c>
    </row>
    <row r="37070" spans="26:26" x14ac:dyDescent="0.25">
      <c r="Z37070">
        <v>400000</v>
      </c>
    </row>
    <row r="37071" spans="26:26" x14ac:dyDescent="0.25">
      <c r="Z37071">
        <v>400000</v>
      </c>
    </row>
    <row r="37072" spans="26:26" x14ac:dyDescent="0.25">
      <c r="Z37072">
        <v>400000</v>
      </c>
    </row>
    <row r="37073" spans="26:26" x14ac:dyDescent="0.25">
      <c r="Z37073">
        <v>400000</v>
      </c>
    </row>
    <row r="37074" spans="26:26" x14ac:dyDescent="0.25">
      <c r="Z37074">
        <v>400000</v>
      </c>
    </row>
    <row r="37075" spans="26:26" x14ac:dyDescent="0.25">
      <c r="Z37075">
        <v>400000</v>
      </c>
    </row>
    <row r="37076" spans="26:26" x14ac:dyDescent="0.25">
      <c r="Z37076">
        <v>400000</v>
      </c>
    </row>
    <row r="37077" spans="26:26" x14ac:dyDescent="0.25">
      <c r="Z37077">
        <v>400000</v>
      </c>
    </row>
    <row r="37078" spans="26:26" x14ac:dyDescent="0.25">
      <c r="Z37078">
        <v>400000</v>
      </c>
    </row>
    <row r="37079" spans="26:26" x14ac:dyDescent="0.25">
      <c r="Z37079">
        <v>400000</v>
      </c>
    </row>
    <row r="37080" spans="26:26" x14ac:dyDescent="0.25">
      <c r="Z37080">
        <v>400000</v>
      </c>
    </row>
    <row r="37081" spans="26:26" x14ac:dyDescent="0.25">
      <c r="Z37081">
        <v>400000</v>
      </c>
    </row>
    <row r="37082" spans="26:26" x14ac:dyDescent="0.25">
      <c r="Z37082">
        <v>400000</v>
      </c>
    </row>
    <row r="37083" spans="26:26" x14ac:dyDescent="0.25">
      <c r="Z37083">
        <v>400000</v>
      </c>
    </row>
    <row r="37084" spans="26:26" x14ac:dyDescent="0.25">
      <c r="Z37084">
        <v>400000</v>
      </c>
    </row>
    <row r="37085" spans="26:26" x14ac:dyDescent="0.25">
      <c r="Z37085">
        <v>400000</v>
      </c>
    </row>
    <row r="37086" spans="26:26" x14ac:dyDescent="0.25">
      <c r="Z37086">
        <v>400000</v>
      </c>
    </row>
    <row r="37087" spans="26:26" x14ac:dyDescent="0.25">
      <c r="Z37087">
        <v>400000</v>
      </c>
    </row>
    <row r="37088" spans="26:26" x14ac:dyDescent="0.25">
      <c r="Z37088">
        <v>400000</v>
      </c>
    </row>
    <row r="37089" spans="26:26" x14ac:dyDescent="0.25">
      <c r="Z37089">
        <v>400000</v>
      </c>
    </row>
    <row r="37090" spans="26:26" x14ac:dyDescent="0.25">
      <c r="Z37090">
        <v>400000</v>
      </c>
    </row>
    <row r="37091" spans="26:26" x14ac:dyDescent="0.25">
      <c r="Z37091">
        <v>400000</v>
      </c>
    </row>
    <row r="37092" spans="26:26" x14ac:dyDescent="0.25">
      <c r="Z37092">
        <v>400000</v>
      </c>
    </row>
    <row r="37093" spans="26:26" x14ac:dyDescent="0.25">
      <c r="Z37093">
        <v>400000</v>
      </c>
    </row>
    <row r="37094" spans="26:26" x14ac:dyDescent="0.25">
      <c r="Z37094">
        <v>400000</v>
      </c>
    </row>
    <row r="37095" spans="26:26" x14ac:dyDescent="0.25">
      <c r="Z37095">
        <v>400000</v>
      </c>
    </row>
    <row r="37096" spans="26:26" x14ac:dyDescent="0.25">
      <c r="Z37096">
        <v>400000</v>
      </c>
    </row>
    <row r="37097" spans="26:26" x14ac:dyDescent="0.25">
      <c r="Z37097">
        <v>400000</v>
      </c>
    </row>
    <row r="37098" spans="26:26" x14ac:dyDescent="0.25">
      <c r="Z37098">
        <v>400000</v>
      </c>
    </row>
    <row r="37099" spans="26:26" x14ac:dyDescent="0.25">
      <c r="Z37099">
        <v>400000</v>
      </c>
    </row>
    <row r="37100" spans="26:26" x14ac:dyDescent="0.25">
      <c r="Z37100">
        <v>400000</v>
      </c>
    </row>
    <row r="37101" spans="26:26" x14ac:dyDescent="0.25">
      <c r="Z37101">
        <v>400000</v>
      </c>
    </row>
    <row r="37102" spans="26:26" x14ac:dyDescent="0.25">
      <c r="Z37102">
        <v>400000</v>
      </c>
    </row>
    <row r="37103" spans="26:26" x14ac:dyDescent="0.25">
      <c r="Z37103">
        <v>400000</v>
      </c>
    </row>
    <row r="37104" spans="26:26" x14ac:dyDescent="0.25">
      <c r="Z37104">
        <v>400000</v>
      </c>
    </row>
    <row r="37105" spans="26:26" x14ac:dyDescent="0.25">
      <c r="Z37105">
        <v>400000</v>
      </c>
    </row>
    <row r="37106" spans="26:26" x14ac:dyDescent="0.25">
      <c r="Z37106">
        <v>400000</v>
      </c>
    </row>
    <row r="37107" spans="26:26" x14ac:dyDescent="0.25">
      <c r="Z37107">
        <v>400000</v>
      </c>
    </row>
    <row r="37108" spans="26:26" x14ac:dyDescent="0.25">
      <c r="Z37108">
        <v>400000</v>
      </c>
    </row>
    <row r="37109" spans="26:26" x14ac:dyDescent="0.25">
      <c r="Z37109">
        <v>400000</v>
      </c>
    </row>
    <row r="37110" spans="26:26" x14ac:dyDescent="0.25">
      <c r="Z37110">
        <v>400000</v>
      </c>
    </row>
    <row r="37111" spans="26:26" x14ac:dyDescent="0.25">
      <c r="Z37111">
        <v>400000</v>
      </c>
    </row>
    <row r="37112" spans="26:26" x14ac:dyDescent="0.25">
      <c r="Z37112">
        <v>400000</v>
      </c>
    </row>
    <row r="37113" spans="26:26" x14ac:dyDescent="0.25">
      <c r="Z37113">
        <v>400000</v>
      </c>
    </row>
    <row r="37114" spans="26:26" x14ac:dyDescent="0.25">
      <c r="Z37114">
        <v>400000</v>
      </c>
    </row>
    <row r="37115" spans="26:26" x14ac:dyDescent="0.25">
      <c r="Z37115">
        <v>400000</v>
      </c>
    </row>
    <row r="37116" spans="26:26" x14ac:dyDescent="0.25">
      <c r="Z37116">
        <v>400000</v>
      </c>
    </row>
    <row r="37117" spans="26:26" x14ac:dyDescent="0.25">
      <c r="Z37117">
        <v>400000</v>
      </c>
    </row>
    <row r="37118" spans="26:26" x14ac:dyDescent="0.25">
      <c r="Z37118">
        <v>400000</v>
      </c>
    </row>
    <row r="37119" spans="26:26" x14ac:dyDescent="0.25">
      <c r="Z37119">
        <v>400000</v>
      </c>
    </row>
    <row r="37120" spans="26:26" x14ac:dyDescent="0.25">
      <c r="Z37120">
        <v>400000</v>
      </c>
    </row>
    <row r="37121" spans="26:26" x14ac:dyDescent="0.25">
      <c r="Z37121">
        <v>400000</v>
      </c>
    </row>
    <row r="37122" spans="26:26" x14ac:dyDescent="0.25">
      <c r="Z37122">
        <v>400000</v>
      </c>
    </row>
    <row r="37123" spans="26:26" x14ac:dyDescent="0.25">
      <c r="Z37123">
        <v>400000</v>
      </c>
    </row>
    <row r="37124" spans="26:26" x14ac:dyDescent="0.25">
      <c r="Z37124">
        <v>400000</v>
      </c>
    </row>
    <row r="37125" spans="26:26" x14ac:dyDescent="0.25">
      <c r="Z37125">
        <v>400000</v>
      </c>
    </row>
    <row r="37126" spans="26:26" x14ac:dyDescent="0.25">
      <c r="Z37126">
        <v>400000</v>
      </c>
    </row>
    <row r="37127" spans="26:26" x14ac:dyDescent="0.25">
      <c r="Z37127">
        <v>400000</v>
      </c>
    </row>
    <row r="37128" spans="26:26" x14ac:dyDescent="0.25">
      <c r="Z37128">
        <v>400000</v>
      </c>
    </row>
    <row r="37129" spans="26:26" x14ac:dyDescent="0.25">
      <c r="Z37129">
        <v>400000</v>
      </c>
    </row>
    <row r="37130" spans="26:26" x14ac:dyDescent="0.25">
      <c r="Z37130">
        <v>400000</v>
      </c>
    </row>
    <row r="37131" spans="26:26" x14ac:dyDescent="0.25">
      <c r="Z37131">
        <v>400000</v>
      </c>
    </row>
    <row r="37132" spans="26:26" x14ac:dyDescent="0.25">
      <c r="Z37132">
        <v>400000</v>
      </c>
    </row>
    <row r="37133" spans="26:26" x14ac:dyDescent="0.25">
      <c r="Z37133">
        <v>400000</v>
      </c>
    </row>
    <row r="37134" spans="26:26" x14ac:dyDescent="0.25">
      <c r="Z37134">
        <v>400000</v>
      </c>
    </row>
    <row r="37135" spans="26:26" x14ac:dyDescent="0.25">
      <c r="Z37135">
        <v>400000</v>
      </c>
    </row>
    <row r="37136" spans="26:26" x14ac:dyDescent="0.25">
      <c r="Z37136">
        <v>400000</v>
      </c>
    </row>
    <row r="37137" spans="26:26" x14ac:dyDescent="0.25">
      <c r="Z37137">
        <v>400000</v>
      </c>
    </row>
    <row r="37138" spans="26:26" x14ac:dyDescent="0.25">
      <c r="Z37138">
        <v>400000</v>
      </c>
    </row>
    <row r="37139" spans="26:26" x14ac:dyDescent="0.25">
      <c r="Z37139">
        <v>400000</v>
      </c>
    </row>
    <row r="37140" spans="26:26" x14ac:dyDescent="0.25">
      <c r="Z37140">
        <v>400000</v>
      </c>
    </row>
    <row r="37141" spans="26:26" x14ac:dyDescent="0.25">
      <c r="Z37141">
        <v>400000</v>
      </c>
    </row>
    <row r="37142" spans="26:26" x14ac:dyDescent="0.25">
      <c r="Z37142">
        <v>400000</v>
      </c>
    </row>
    <row r="37143" spans="26:26" x14ac:dyDescent="0.25">
      <c r="Z37143">
        <v>400000</v>
      </c>
    </row>
    <row r="37144" spans="26:26" x14ac:dyDescent="0.25">
      <c r="Z37144">
        <v>400000</v>
      </c>
    </row>
    <row r="37145" spans="26:26" x14ac:dyDescent="0.25">
      <c r="Z37145">
        <v>400000</v>
      </c>
    </row>
    <row r="37146" spans="26:26" x14ac:dyDescent="0.25">
      <c r="Z37146">
        <v>400000</v>
      </c>
    </row>
    <row r="37147" spans="26:26" x14ac:dyDescent="0.25">
      <c r="Z37147">
        <v>400000</v>
      </c>
    </row>
    <row r="37148" spans="26:26" x14ac:dyDescent="0.25">
      <c r="Z37148">
        <v>400000</v>
      </c>
    </row>
    <row r="37149" spans="26:26" x14ac:dyDescent="0.25">
      <c r="Z37149">
        <v>400000</v>
      </c>
    </row>
    <row r="37150" spans="26:26" x14ac:dyDescent="0.25">
      <c r="Z37150">
        <v>400000</v>
      </c>
    </row>
    <row r="37151" spans="26:26" x14ac:dyDescent="0.25">
      <c r="Z37151">
        <v>400000</v>
      </c>
    </row>
    <row r="37152" spans="26:26" x14ac:dyDescent="0.25">
      <c r="Z37152">
        <v>400000</v>
      </c>
    </row>
    <row r="37153" spans="26:26" x14ac:dyDescent="0.25">
      <c r="Z37153">
        <v>400000</v>
      </c>
    </row>
    <row r="37154" spans="26:26" x14ac:dyDescent="0.25">
      <c r="Z37154">
        <v>400000</v>
      </c>
    </row>
    <row r="37155" spans="26:26" x14ac:dyDescent="0.25">
      <c r="Z37155">
        <v>400000</v>
      </c>
    </row>
    <row r="37156" spans="26:26" x14ac:dyDescent="0.25">
      <c r="Z37156">
        <v>400000</v>
      </c>
    </row>
    <row r="37157" spans="26:26" x14ac:dyDescent="0.25">
      <c r="Z37157">
        <v>400000</v>
      </c>
    </row>
    <row r="37158" spans="26:26" x14ac:dyDescent="0.25">
      <c r="Z37158">
        <v>400000</v>
      </c>
    </row>
    <row r="37159" spans="26:26" x14ac:dyDescent="0.25">
      <c r="Z37159">
        <v>400000</v>
      </c>
    </row>
    <row r="37160" spans="26:26" x14ac:dyDescent="0.25">
      <c r="Z37160">
        <v>400000</v>
      </c>
    </row>
    <row r="37161" spans="26:26" x14ac:dyDescent="0.25">
      <c r="Z37161">
        <v>400000</v>
      </c>
    </row>
    <row r="37162" spans="26:26" x14ac:dyDescent="0.25">
      <c r="Z37162">
        <v>400000</v>
      </c>
    </row>
    <row r="37163" spans="26:26" x14ac:dyDescent="0.25">
      <c r="Z37163">
        <v>400000</v>
      </c>
    </row>
    <row r="37164" spans="26:26" x14ac:dyDescent="0.25">
      <c r="Z37164">
        <v>400000</v>
      </c>
    </row>
    <row r="37165" spans="26:26" x14ac:dyDescent="0.25">
      <c r="Z37165">
        <v>400000</v>
      </c>
    </row>
    <row r="37166" spans="26:26" x14ac:dyDescent="0.25">
      <c r="Z37166">
        <v>400000</v>
      </c>
    </row>
    <row r="37167" spans="26:26" x14ac:dyDescent="0.25">
      <c r="Z37167">
        <v>400000</v>
      </c>
    </row>
    <row r="37168" spans="26:26" x14ac:dyDescent="0.25">
      <c r="Z37168">
        <v>400000</v>
      </c>
    </row>
    <row r="37169" spans="26:26" x14ac:dyDescent="0.25">
      <c r="Z37169">
        <v>400000</v>
      </c>
    </row>
    <row r="37170" spans="26:26" x14ac:dyDescent="0.25">
      <c r="Z37170">
        <v>400000</v>
      </c>
    </row>
    <row r="37171" spans="26:26" x14ac:dyDescent="0.25">
      <c r="Z37171">
        <v>400000</v>
      </c>
    </row>
    <row r="37172" spans="26:26" x14ac:dyDescent="0.25">
      <c r="Z37172">
        <v>400000</v>
      </c>
    </row>
    <row r="37173" spans="26:26" x14ac:dyDescent="0.25">
      <c r="Z37173">
        <v>400000</v>
      </c>
    </row>
    <row r="37174" spans="26:26" x14ac:dyDescent="0.25">
      <c r="Z37174">
        <v>400000</v>
      </c>
    </row>
    <row r="37175" spans="26:26" x14ac:dyDescent="0.25">
      <c r="Z37175">
        <v>400000</v>
      </c>
    </row>
    <row r="37176" spans="26:26" x14ac:dyDescent="0.25">
      <c r="Z37176">
        <v>400000</v>
      </c>
    </row>
    <row r="37177" spans="26:26" x14ac:dyDescent="0.25">
      <c r="Z37177">
        <v>400000</v>
      </c>
    </row>
    <row r="37178" spans="26:26" x14ac:dyDescent="0.25">
      <c r="Z37178">
        <v>400000</v>
      </c>
    </row>
    <row r="37179" spans="26:26" x14ac:dyDescent="0.25">
      <c r="Z37179">
        <v>400000</v>
      </c>
    </row>
    <row r="37180" spans="26:26" x14ac:dyDescent="0.25">
      <c r="Z37180">
        <v>400000</v>
      </c>
    </row>
    <row r="37181" spans="26:26" x14ac:dyDescent="0.25">
      <c r="Z37181">
        <v>400000</v>
      </c>
    </row>
    <row r="37182" spans="26:26" x14ac:dyDescent="0.25">
      <c r="Z37182">
        <v>400000</v>
      </c>
    </row>
    <row r="37183" spans="26:26" x14ac:dyDescent="0.25">
      <c r="Z37183">
        <v>400000</v>
      </c>
    </row>
    <row r="37184" spans="26:26" x14ac:dyDescent="0.25">
      <c r="Z37184">
        <v>400000</v>
      </c>
    </row>
    <row r="37185" spans="26:26" x14ac:dyDescent="0.25">
      <c r="Z37185">
        <v>400000</v>
      </c>
    </row>
    <row r="37186" spans="26:26" x14ac:dyDescent="0.25">
      <c r="Z37186">
        <v>400000</v>
      </c>
    </row>
    <row r="37187" spans="26:26" x14ac:dyDescent="0.25">
      <c r="Z37187">
        <v>400000</v>
      </c>
    </row>
    <row r="37188" spans="26:26" x14ac:dyDescent="0.25">
      <c r="Z37188">
        <v>400000</v>
      </c>
    </row>
    <row r="37189" spans="26:26" x14ac:dyDescent="0.25">
      <c r="Z37189">
        <v>400000</v>
      </c>
    </row>
    <row r="37190" spans="26:26" x14ac:dyDescent="0.25">
      <c r="Z37190">
        <v>400000</v>
      </c>
    </row>
    <row r="37191" spans="26:26" x14ac:dyDescent="0.25">
      <c r="Z37191">
        <v>400000</v>
      </c>
    </row>
    <row r="37192" spans="26:26" x14ac:dyDescent="0.25">
      <c r="Z37192">
        <v>400000</v>
      </c>
    </row>
    <row r="37193" spans="26:26" x14ac:dyDescent="0.25">
      <c r="Z37193">
        <v>400000</v>
      </c>
    </row>
    <row r="37194" spans="26:26" x14ac:dyDescent="0.25">
      <c r="Z37194">
        <v>400000</v>
      </c>
    </row>
    <row r="37195" spans="26:26" x14ac:dyDescent="0.25">
      <c r="Z37195">
        <v>400000</v>
      </c>
    </row>
    <row r="37196" spans="26:26" x14ac:dyDescent="0.25">
      <c r="Z37196">
        <v>400000</v>
      </c>
    </row>
    <row r="37197" spans="26:26" x14ac:dyDescent="0.25">
      <c r="Z37197">
        <v>400000</v>
      </c>
    </row>
    <row r="37198" spans="26:26" x14ac:dyDescent="0.25">
      <c r="Z37198">
        <v>400000</v>
      </c>
    </row>
    <row r="37199" spans="26:26" x14ac:dyDescent="0.25">
      <c r="Z37199">
        <v>400000</v>
      </c>
    </row>
    <row r="37200" spans="26:26" x14ac:dyDescent="0.25">
      <c r="Z37200">
        <v>400000</v>
      </c>
    </row>
    <row r="37201" spans="26:26" x14ac:dyDescent="0.25">
      <c r="Z37201">
        <v>400000</v>
      </c>
    </row>
    <row r="37202" spans="26:26" x14ac:dyDescent="0.25">
      <c r="Z37202">
        <v>400000</v>
      </c>
    </row>
    <row r="37203" spans="26:26" x14ac:dyDescent="0.25">
      <c r="Z37203">
        <v>400000</v>
      </c>
    </row>
    <row r="37204" spans="26:26" x14ac:dyDescent="0.25">
      <c r="Z37204">
        <v>400000</v>
      </c>
    </row>
    <row r="37205" spans="26:26" x14ac:dyDescent="0.25">
      <c r="Z37205">
        <v>400000</v>
      </c>
    </row>
    <row r="37206" spans="26:26" x14ac:dyDescent="0.25">
      <c r="Z37206">
        <v>400000</v>
      </c>
    </row>
    <row r="37207" spans="26:26" x14ac:dyDescent="0.25">
      <c r="Z37207">
        <v>400000</v>
      </c>
    </row>
    <row r="37208" spans="26:26" x14ac:dyDescent="0.25">
      <c r="Z37208">
        <v>400000</v>
      </c>
    </row>
    <row r="37209" spans="26:26" x14ac:dyDescent="0.25">
      <c r="Z37209">
        <v>400000</v>
      </c>
    </row>
    <row r="37210" spans="26:26" x14ac:dyDescent="0.25">
      <c r="Z37210">
        <v>400000</v>
      </c>
    </row>
    <row r="37211" spans="26:26" x14ac:dyDescent="0.25">
      <c r="Z37211">
        <v>400000</v>
      </c>
    </row>
    <row r="37212" spans="26:26" x14ac:dyDescent="0.25">
      <c r="Z37212">
        <v>400000</v>
      </c>
    </row>
    <row r="37213" spans="26:26" x14ac:dyDescent="0.25">
      <c r="Z37213">
        <v>400000</v>
      </c>
    </row>
    <row r="37214" spans="26:26" x14ac:dyDescent="0.25">
      <c r="Z37214">
        <v>400000</v>
      </c>
    </row>
    <row r="37215" spans="26:26" x14ac:dyDescent="0.25">
      <c r="Z37215">
        <v>400000</v>
      </c>
    </row>
    <row r="37216" spans="26:26" x14ac:dyDescent="0.25">
      <c r="Z37216">
        <v>400000</v>
      </c>
    </row>
    <row r="37217" spans="26:26" x14ac:dyDescent="0.25">
      <c r="Z37217">
        <v>400000</v>
      </c>
    </row>
    <row r="37218" spans="26:26" x14ac:dyDescent="0.25">
      <c r="Z37218">
        <v>400000</v>
      </c>
    </row>
    <row r="37219" spans="26:26" x14ac:dyDescent="0.25">
      <c r="Z37219">
        <v>400000</v>
      </c>
    </row>
    <row r="37220" spans="26:26" x14ac:dyDescent="0.25">
      <c r="Z37220">
        <v>400000</v>
      </c>
    </row>
    <row r="37221" spans="26:26" x14ac:dyDescent="0.25">
      <c r="Z37221">
        <v>400000</v>
      </c>
    </row>
    <row r="37222" spans="26:26" x14ac:dyDescent="0.25">
      <c r="Z37222">
        <v>400000</v>
      </c>
    </row>
    <row r="37223" spans="26:26" x14ac:dyDescent="0.25">
      <c r="Z37223">
        <v>400000</v>
      </c>
    </row>
    <row r="37224" spans="26:26" x14ac:dyDescent="0.25">
      <c r="Z37224">
        <v>400000</v>
      </c>
    </row>
    <row r="37225" spans="26:26" x14ac:dyDescent="0.25">
      <c r="Z37225">
        <v>400000</v>
      </c>
    </row>
    <row r="37226" spans="26:26" x14ac:dyDescent="0.25">
      <c r="Z37226">
        <v>400000</v>
      </c>
    </row>
    <row r="37227" spans="26:26" x14ac:dyDescent="0.25">
      <c r="Z37227">
        <v>400000</v>
      </c>
    </row>
    <row r="37228" spans="26:26" x14ac:dyDescent="0.25">
      <c r="Z37228">
        <v>400000</v>
      </c>
    </row>
    <row r="37229" spans="26:26" x14ac:dyDescent="0.25">
      <c r="Z37229">
        <v>400000</v>
      </c>
    </row>
    <row r="37230" spans="26:26" x14ac:dyDescent="0.25">
      <c r="Z37230">
        <v>400000</v>
      </c>
    </row>
    <row r="37231" spans="26:26" x14ac:dyDescent="0.25">
      <c r="Z37231">
        <v>400000</v>
      </c>
    </row>
    <row r="37232" spans="26:26" x14ac:dyDescent="0.25">
      <c r="Z37232">
        <v>400000</v>
      </c>
    </row>
    <row r="37233" spans="26:26" x14ac:dyDescent="0.25">
      <c r="Z37233">
        <v>400000</v>
      </c>
    </row>
    <row r="37234" spans="26:26" x14ac:dyDescent="0.25">
      <c r="Z37234">
        <v>400000</v>
      </c>
    </row>
    <row r="37235" spans="26:26" x14ac:dyDescent="0.25">
      <c r="Z37235">
        <v>400000</v>
      </c>
    </row>
    <row r="37236" spans="26:26" x14ac:dyDescent="0.25">
      <c r="Z37236">
        <v>400000</v>
      </c>
    </row>
    <row r="37237" spans="26:26" x14ac:dyDescent="0.25">
      <c r="Z37237">
        <v>400000</v>
      </c>
    </row>
    <row r="37238" spans="26:26" x14ac:dyDescent="0.25">
      <c r="Z37238">
        <v>400000</v>
      </c>
    </row>
    <row r="37239" spans="26:26" x14ac:dyDescent="0.25">
      <c r="Z37239">
        <v>400000</v>
      </c>
    </row>
    <row r="37240" spans="26:26" x14ac:dyDescent="0.25">
      <c r="Z37240">
        <v>400000</v>
      </c>
    </row>
    <row r="37241" spans="26:26" x14ac:dyDescent="0.25">
      <c r="Z37241">
        <v>400000</v>
      </c>
    </row>
    <row r="37242" spans="26:26" x14ac:dyDescent="0.25">
      <c r="Z37242">
        <v>400000</v>
      </c>
    </row>
    <row r="37243" spans="26:26" x14ac:dyDescent="0.25">
      <c r="Z37243">
        <v>400000</v>
      </c>
    </row>
    <row r="37244" spans="26:26" x14ac:dyDescent="0.25">
      <c r="Z37244">
        <v>400000</v>
      </c>
    </row>
    <row r="37245" spans="26:26" x14ac:dyDescent="0.25">
      <c r="Z37245">
        <v>400000</v>
      </c>
    </row>
    <row r="37246" spans="26:26" x14ac:dyDescent="0.25">
      <c r="Z37246">
        <v>400000</v>
      </c>
    </row>
    <row r="37247" spans="26:26" x14ac:dyDescent="0.25">
      <c r="Z37247">
        <v>400000</v>
      </c>
    </row>
    <row r="37248" spans="26:26" x14ac:dyDescent="0.25">
      <c r="Z37248">
        <v>400000</v>
      </c>
    </row>
    <row r="37249" spans="26:26" x14ac:dyDescent="0.25">
      <c r="Z37249">
        <v>400000</v>
      </c>
    </row>
    <row r="37250" spans="26:26" x14ac:dyDescent="0.25">
      <c r="Z37250">
        <v>400000</v>
      </c>
    </row>
    <row r="37251" spans="26:26" x14ac:dyDescent="0.25">
      <c r="Z37251">
        <v>400000</v>
      </c>
    </row>
    <row r="37252" spans="26:26" x14ac:dyDescent="0.25">
      <c r="Z37252">
        <v>400000</v>
      </c>
    </row>
    <row r="37253" spans="26:26" x14ac:dyDescent="0.25">
      <c r="Z37253">
        <v>400000</v>
      </c>
    </row>
    <row r="37254" spans="26:26" x14ac:dyDescent="0.25">
      <c r="Z37254">
        <v>400000</v>
      </c>
    </row>
    <row r="37255" spans="26:26" x14ac:dyDescent="0.25">
      <c r="Z37255">
        <v>400000</v>
      </c>
    </row>
    <row r="37256" spans="26:26" x14ac:dyDescent="0.25">
      <c r="Z37256">
        <v>400000</v>
      </c>
    </row>
    <row r="37257" spans="26:26" x14ac:dyDescent="0.25">
      <c r="Z37257">
        <v>400000</v>
      </c>
    </row>
    <row r="37258" spans="26:26" x14ac:dyDescent="0.25">
      <c r="Z37258">
        <v>400000</v>
      </c>
    </row>
    <row r="37259" spans="26:26" x14ac:dyDescent="0.25">
      <c r="Z37259">
        <v>400000</v>
      </c>
    </row>
    <row r="37260" spans="26:26" x14ac:dyDescent="0.25">
      <c r="Z37260">
        <v>400000</v>
      </c>
    </row>
    <row r="37261" spans="26:26" x14ac:dyDescent="0.25">
      <c r="Z37261">
        <v>400000</v>
      </c>
    </row>
    <row r="37262" spans="26:26" x14ac:dyDescent="0.25">
      <c r="Z37262">
        <v>400000</v>
      </c>
    </row>
    <row r="37263" spans="26:26" x14ac:dyDescent="0.25">
      <c r="Z37263">
        <v>400000</v>
      </c>
    </row>
    <row r="37264" spans="26:26" x14ac:dyDescent="0.25">
      <c r="Z37264">
        <v>400000</v>
      </c>
    </row>
    <row r="37265" spans="26:26" x14ac:dyDescent="0.25">
      <c r="Z37265">
        <v>400000</v>
      </c>
    </row>
    <row r="37266" spans="26:26" x14ac:dyDescent="0.25">
      <c r="Z37266">
        <v>400000</v>
      </c>
    </row>
    <row r="37267" spans="26:26" x14ac:dyDescent="0.25">
      <c r="Z37267">
        <v>400000</v>
      </c>
    </row>
    <row r="37268" spans="26:26" x14ac:dyDescent="0.25">
      <c r="Z37268">
        <v>400000</v>
      </c>
    </row>
    <row r="37269" spans="26:26" x14ac:dyDescent="0.25">
      <c r="Z37269">
        <v>400000</v>
      </c>
    </row>
    <row r="37270" spans="26:26" x14ac:dyDescent="0.25">
      <c r="Z37270">
        <v>400000</v>
      </c>
    </row>
    <row r="37271" spans="26:26" x14ac:dyDescent="0.25">
      <c r="Z37271">
        <v>400000</v>
      </c>
    </row>
    <row r="37272" spans="26:26" x14ac:dyDescent="0.25">
      <c r="Z37272">
        <v>400000</v>
      </c>
    </row>
    <row r="37273" spans="26:26" x14ac:dyDescent="0.25">
      <c r="Z37273">
        <v>400000</v>
      </c>
    </row>
    <row r="37274" spans="26:26" x14ac:dyDescent="0.25">
      <c r="Z37274">
        <v>400000</v>
      </c>
    </row>
    <row r="37275" spans="26:26" x14ac:dyDescent="0.25">
      <c r="Z37275">
        <v>400000</v>
      </c>
    </row>
    <row r="37276" spans="26:26" x14ac:dyDescent="0.25">
      <c r="Z37276">
        <v>400000</v>
      </c>
    </row>
    <row r="37277" spans="26:26" x14ac:dyDescent="0.25">
      <c r="Z37277">
        <v>400000</v>
      </c>
    </row>
    <row r="37278" spans="26:26" x14ac:dyDescent="0.25">
      <c r="Z37278">
        <v>400000</v>
      </c>
    </row>
    <row r="37279" spans="26:26" x14ac:dyDescent="0.25">
      <c r="Z37279">
        <v>400000</v>
      </c>
    </row>
    <row r="37280" spans="26:26" x14ac:dyDescent="0.25">
      <c r="Z37280">
        <v>400000</v>
      </c>
    </row>
    <row r="37281" spans="26:26" x14ac:dyDescent="0.25">
      <c r="Z37281">
        <v>400000</v>
      </c>
    </row>
    <row r="37282" spans="26:26" x14ac:dyDescent="0.25">
      <c r="Z37282">
        <v>400000</v>
      </c>
    </row>
    <row r="37283" spans="26:26" x14ac:dyDescent="0.25">
      <c r="Z37283">
        <v>400000</v>
      </c>
    </row>
    <row r="37284" spans="26:26" x14ac:dyDescent="0.25">
      <c r="Z37284">
        <v>400000</v>
      </c>
    </row>
    <row r="37285" spans="26:26" x14ac:dyDescent="0.25">
      <c r="Z37285">
        <v>400000</v>
      </c>
    </row>
    <row r="37286" spans="26:26" x14ac:dyDescent="0.25">
      <c r="Z37286">
        <v>400000</v>
      </c>
    </row>
    <row r="37287" spans="26:26" x14ac:dyDescent="0.25">
      <c r="Z37287">
        <v>400000</v>
      </c>
    </row>
    <row r="37288" spans="26:26" x14ac:dyDescent="0.25">
      <c r="Z37288">
        <v>400000</v>
      </c>
    </row>
    <row r="37289" spans="26:26" x14ac:dyDescent="0.25">
      <c r="Z37289">
        <v>400000</v>
      </c>
    </row>
    <row r="37290" spans="26:26" x14ac:dyDescent="0.25">
      <c r="Z37290">
        <v>400000</v>
      </c>
    </row>
    <row r="37291" spans="26:26" x14ac:dyDescent="0.25">
      <c r="Z37291">
        <v>400000</v>
      </c>
    </row>
    <row r="37292" spans="26:26" x14ac:dyDescent="0.25">
      <c r="Z37292">
        <v>400000</v>
      </c>
    </row>
    <row r="37293" spans="26:26" x14ac:dyDescent="0.25">
      <c r="Z37293">
        <v>400000</v>
      </c>
    </row>
    <row r="37294" spans="26:26" x14ac:dyDescent="0.25">
      <c r="Z37294">
        <v>400000</v>
      </c>
    </row>
    <row r="37295" spans="26:26" x14ac:dyDescent="0.25">
      <c r="Z37295">
        <v>400000</v>
      </c>
    </row>
    <row r="37296" spans="26:26" x14ac:dyDescent="0.25">
      <c r="Z37296">
        <v>400000</v>
      </c>
    </row>
    <row r="37297" spans="26:26" x14ac:dyDescent="0.25">
      <c r="Z37297">
        <v>400000</v>
      </c>
    </row>
    <row r="37298" spans="26:26" x14ac:dyDescent="0.25">
      <c r="Z37298">
        <v>400000</v>
      </c>
    </row>
    <row r="37299" spans="26:26" x14ac:dyDescent="0.25">
      <c r="Z37299">
        <v>400000</v>
      </c>
    </row>
    <row r="37300" spans="26:26" x14ac:dyDescent="0.25">
      <c r="Z37300">
        <v>400000</v>
      </c>
    </row>
    <row r="37301" spans="26:26" x14ac:dyDescent="0.25">
      <c r="Z37301">
        <v>400000</v>
      </c>
    </row>
    <row r="37302" spans="26:26" x14ac:dyDescent="0.25">
      <c r="Z37302">
        <v>400000</v>
      </c>
    </row>
    <row r="37303" spans="26:26" x14ac:dyDescent="0.25">
      <c r="Z37303">
        <v>400000</v>
      </c>
    </row>
    <row r="37304" spans="26:26" x14ac:dyDescent="0.25">
      <c r="Z37304">
        <v>400000</v>
      </c>
    </row>
    <row r="37305" spans="26:26" x14ac:dyDescent="0.25">
      <c r="Z37305">
        <v>400000</v>
      </c>
    </row>
    <row r="37306" spans="26:26" x14ac:dyDescent="0.25">
      <c r="Z37306">
        <v>400000</v>
      </c>
    </row>
    <row r="37307" spans="26:26" x14ac:dyDescent="0.25">
      <c r="Z37307">
        <v>400000</v>
      </c>
    </row>
    <row r="37308" spans="26:26" x14ac:dyDescent="0.25">
      <c r="Z37308">
        <v>400000</v>
      </c>
    </row>
    <row r="37309" spans="26:26" x14ac:dyDescent="0.25">
      <c r="Z37309">
        <v>400000</v>
      </c>
    </row>
    <row r="37310" spans="26:26" x14ac:dyDescent="0.25">
      <c r="Z37310">
        <v>400000</v>
      </c>
    </row>
    <row r="37311" spans="26:26" x14ac:dyDescent="0.25">
      <c r="Z37311">
        <v>400000</v>
      </c>
    </row>
    <row r="37312" spans="26:26" x14ac:dyDescent="0.25">
      <c r="Z37312">
        <v>400000</v>
      </c>
    </row>
    <row r="37313" spans="26:26" x14ac:dyDescent="0.25">
      <c r="Z37313">
        <v>400000</v>
      </c>
    </row>
    <row r="37314" spans="26:26" x14ac:dyDescent="0.25">
      <c r="Z37314">
        <v>400000</v>
      </c>
    </row>
    <row r="37315" spans="26:26" x14ac:dyDescent="0.25">
      <c r="Z37315">
        <v>400000</v>
      </c>
    </row>
    <row r="37316" spans="26:26" x14ac:dyDescent="0.25">
      <c r="Z37316">
        <v>400000</v>
      </c>
    </row>
    <row r="37317" spans="26:26" x14ac:dyDescent="0.25">
      <c r="Z37317">
        <v>400000</v>
      </c>
    </row>
    <row r="37318" spans="26:26" x14ac:dyDescent="0.25">
      <c r="Z37318">
        <v>400000</v>
      </c>
    </row>
    <row r="37319" spans="26:26" x14ac:dyDescent="0.25">
      <c r="Z37319">
        <v>400000</v>
      </c>
    </row>
    <row r="37320" spans="26:26" x14ac:dyDescent="0.25">
      <c r="Z37320">
        <v>400000</v>
      </c>
    </row>
    <row r="37321" spans="26:26" x14ac:dyDescent="0.25">
      <c r="Z37321">
        <v>400000</v>
      </c>
    </row>
    <row r="37322" spans="26:26" x14ac:dyDescent="0.25">
      <c r="Z37322">
        <v>400000</v>
      </c>
    </row>
    <row r="37323" spans="26:26" x14ac:dyDescent="0.25">
      <c r="Z37323">
        <v>400000</v>
      </c>
    </row>
    <row r="37324" spans="26:26" x14ac:dyDescent="0.25">
      <c r="Z37324">
        <v>400000</v>
      </c>
    </row>
    <row r="37325" spans="26:26" x14ac:dyDescent="0.25">
      <c r="Z37325">
        <v>400000</v>
      </c>
    </row>
    <row r="37326" spans="26:26" x14ac:dyDescent="0.25">
      <c r="Z37326">
        <v>400000</v>
      </c>
    </row>
    <row r="37327" spans="26:26" x14ac:dyDescent="0.25">
      <c r="Z37327">
        <v>400000</v>
      </c>
    </row>
    <row r="37328" spans="26:26" x14ac:dyDescent="0.25">
      <c r="Z37328">
        <v>400000</v>
      </c>
    </row>
    <row r="37329" spans="26:26" x14ac:dyDescent="0.25">
      <c r="Z37329">
        <v>400000</v>
      </c>
    </row>
    <row r="37330" spans="26:26" x14ac:dyDescent="0.25">
      <c r="Z37330">
        <v>400000</v>
      </c>
    </row>
    <row r="37331" spans="26:26" x14ac:dyDescent="0.25">
      <c r="Z37331">
        <v>400000</v>
      </c>
    </row>
    <row r="37332" spans="26:26" x14ac:dyDescent="0.25">
      <c r="Z37332">
        <v>400000</v>
      </c>
    </row>
    <row r="37333" spans="26:26" x14ac:dyDescent="0.25">
      <c r="Z37333">
        <v>400000</v>
      </c>
    </row>
    <row r="37334" spans="26:26" x14ac:dyDescent="0.25">
      <c r="Z37334">
        <v>400000</v>
      </c>
    </row>
    <row r="37335" spans="26:26" x14ac:dyDescent="0.25">
      <c r="Z37335">
        <v>400000</v>
      </c>
    </row>
    <row r="37336" spans="26:26" x14ac:dyDescent="0.25">
      <c r="Z37336">
        <v>400000</v>
      </c>
    </row>
    <row r="37337" spans="26:26" x14ac:dyDescent="0.25">
      <c r="Z37337">
        <v>400000</v>
      </c>
    </row>
    <row r="37338" spans="26:26" x14ac:dyDescent="0.25">
      <c r="Z37338">
        <v>400000</v>
      </c>
    </row>
    <row r="37339" spans="26:26" x14ac:dyDescent="0.25">
      <c r="Z37339">
        <v>400000</v>
      </c>
    </row>
    <row r="37340" spans="26:26" x14ac:dyDescent="0.25">
      <c r="Z37340">
        <v>400000</v>
      </c>
    </row>
    <row r="37341" spans="26:26" x14ac:dyDescent="0.25">
      <c r="Z37341">
        <v>400000</v>
      </c>
    </row>
    <row r="37342" spans="26:26" x14ac:dyDescent="0.25">
      <c r="Z37342">
        <v>400000</v>
      </c>
    </row>
    <row r="37343" spans="26:26" x14ac:dyDescent="0.25">
      <c r="Z37343">
        <v>400000</v>
      </c>
    </row>
    <row r="37344" spans="26:26" x14ac:dyDescent="0.25">
      <c r="Z37344">
        <v>400000</v>
      </c>
    </row>
    <row r="37345" spans="26:26" x14ac:dyDescent="0.25">
      <c r="Z37345">
        <v>400000</v>
      </c>
    </row>
    <row r="37346" spans="26:26" x14ac:dyDescent="0.25">
      <c r="Z37346">
        <v>400000</v>
      </c>
    </row>
    <row r="37347" spans="26:26" x14ac:dyDescent="0.25">
      <c r="Z37347">
        <v>400000</v>
      </c>
    </row>
    <row r="37348" spans="26:26" x14ac:dyDescent="0.25">
      <c r="Z37348">
        <v>400000</v>
      </c>
    </row>
    <row r="37349" spans="26:26" x14ac:dyDescent="0.25">
      <c r="Z37349">
        <v>400000</v>
      </c>
    </row>
    <row r="37350" spans="26:26" x14ac:dyDescent="0.25">
      <c r="Z37350">
        <v>400000</v>
      </c>
    </row>
    <row r="37351" spans="26:26" x14ac:dyDescent="0.25">
      <c r="Z37351">
        <v>400000</v>
      </c>
    </row>
    <row r="37352" spans="26:26" x14ac:dyDescent="0.25">
      <c r="Z37352">
        <v>400000</v>
      </c>
    </row>
    <row r="37353" spans="26:26" x14ac:dyDescent="0.25">
      <c r="Z37353">
        <v>400000</v>
      </c>
    </row>
    <row r="37354" spans="26:26" x14ac:dyDescent="0.25">
      <c r="Z37354">
        <v>400000</v>
      </c>
    </row>
    <row r="37355" spans="26:26" x14ac:dyDescent="0.25">
      <c r="Z37355">
        <v>400000</v>
      </c>
    </row>
    <row r="37356" spans="26:26" x14ac:dyDescent="0.25">
      <c r="Z37356">
        <v>400000</v>
      </c>
    </row>
    <row r="37357" spans="26:26" x14ac:dyDescent="0.25">
      <c r="Z37357">
        <v>400000</v>
      </c>
    </row>
    <row r="37358" spans="26:26" x14ac:dyDescent="0.25">
      <c r="Z37358">
        <v>400000</v>
      </c>
    </row>
    <row r="37359" spans="26:26" x14ac:dyDescent="0.25">
      <c r="Z37359">
        <v>400000</v>
      </c>
    </row>
    <row r="37360" spans="26:26" x14ac:dyDescent="0.25">
      <c r="Z37360">
        <v>400000</v>
      </c>
    </row>
    <row r="37361" spans="26:26" x14ac:dyDescent="0.25">
      <c r="Z37361">
        <v>400000</v>
      </c>
    </row>
    <row r="37362" spans="26:26" x14ac:dyDescent="0.25">
      <c r="Z37362">
        <v>400000</v>
      </c>
    </row>
    <row r="37363" spans="26:26" x14ac:dyDescent="0.25">
      <c r="Z37363">
        <v>400000</v>
      </c>
    </row>
    <row r="37364" spans="26:26" x14ac:dyDescent="0.25">
      <c r="Z37364">
        <v>400000</v>
      </c>
    </row>
    <row r="37365" spans="26:26" x14ac:dyDescent="0.25">
      <c r="Z37365">
        <v>400000</v>
      </c>
    </row>
    <row r="37366" spans="26:26" x14ac:dyDescent="0.25">
      <c r="Z37366">
        <v>400000</v>
      </c>
    </row>
    <row r="37367" spans="26:26" x14ac:dyDescent="0.25">
      <c r="Z37367">
        <v>400000</v>
      </c>
    </row>
    <row r="37368" spans="26:26" x14ac:dyDescent="0.25">
      <c r="Z37368">
        <v>400000</v>
      </c>
    </row>
    <row r="37369" spans="26:26" x14ac:dyDescent="0.25">
      <c r="Z37369">
        <v>400000</v>
      </c>
    </row>
    <row r="37370" spans="26:26" x14ac:dyDescent="0.25">
      <c r="Z37370">
        <v>400000</v>
      </c>
    </row>
    <row r="37371" spans="26:26" x14ac:dyDescent="0.25">
      <c r="Z37371">
        <v>400000</v>
      </c>
    </row>
    <row r="37372" spans="26:26" x14ac:dyDescent="0.25">
      <c r="Z37372">
        <v>400000</v>
      </c>
    </row>
    <row r="37373" spans="26:26" x14ac:dyDescent="0.25">
      <c r="Z37373">
        <v>400000</v>
      </c>
    </row>
    <row r="37374" spans="26:26" x14ac:dyDescent="0.25">
      <c r="Z37374">
        <v>400000</v>
      </c>
    </row>
    <row r="37375" spans="26:26" x14ac:dyDescent="0.25">
      <c r="Z37375">
        <v>400000</v>
      </c>
    </row>
    <row r="37376" spans="26:26" x14ac:dyDescent="0.25">
      <c r="Z37376">
        <v>400000</v>
      </c>
    </row>
    <row r="37377" spans="26:26" x14ac:dyDescent="0.25">
      <c r="Z37377">
        <v>400000</v>
      </c>
    </row>
    <row r="37378" spans="26:26" x14ac:dyDescent="0.25">
      <c r="Z37378">
        <v>400000</v>
      </c>
    </row>
    <row r="37379" spans="26:26" x14ac:dyDescent="0.25">
      <c r="Z37379">
        <v>400000</v>
      </c>
    </row>
    <row r="37380" spans="26:26" x14ac:dyDescent="0.25">
      <c r="Z37380">
        <v>400000</v>
      </c>
    </row>
    <row r="37381" spans="26:26" x14ac:dyDescent="0.25">
      <c r="Z37381">
        <v>400000</v>
      </c>
    </row>
    <row r="37382" spans="26:26" x14ac:dyDescent="0.25">
      <c r="Z37382">
        <v>400000</v>
      </c>
    </row>
    <row r="37383" spans="26:26" x14ac:dyDescent="0.25">
      <c r="Z37383">
        <v>400000</v>
      </c>
    </row>
    <row r="37384" spans="26:26" x14ac:dyDescent="0.25">
      <c r="Z37384">
        <v>400000</v>
      </c>
    </row>
    <row r="37385" spans="26:26" x14ac:dyDescent="0.25">
      <c r="Z37385">
        <v>400000</v>
      </c>
    </row>
    <row r="37386" spans="26:26" x14ac:dyDescent="0.25">
      <c r="Z37386">
        <v>400000</v>
      </c>
    </row>
    <row r="37387" spans="26:26" x14ac:dyDescent="0.25">
      <c r="Z37387">
        <v>400000</v>
      </c>
    </row>
    <row r="37388" spans="26:26" x14ac:dyDescent="0.25">
      <c r="Z37388">
        <v>400000</v>
      </c>
    </row>
    <row r="37389" spans="26:26" x14ac:dyDescent="0.25">
      <c r="Z37389">
        <v>400000</v>
      </c>
    </row>
    <row r="37390" spans="26:26" x14ac:dyDescent="0.25">
      <c r="Z37390">
        <v>400000</v>
      </c>
    </row>
    <row r="37391" spans="26:26" x14ac:dyDescent="0.25">
      <c r="Z37391">
        <v>400000</v>
      </c>
    </row>
    <row r="37392" spans="26:26" x14ac:dyDescent="0.25">
      <c r="Z37392">
        <v>400000</v>
      </c>
    </row>
    <row r="37393" spans="26:26" x14ac:dyDescent="0.25">
      <c r="Z37393">
        <v>400000</v>
      </c>
    </row>
    <row r="37394" spans="26:26" x14ac:dyDescent="0.25">
      <c r="Z37394">
        <v>400000</v>
      </c>
    </row>
    <row r="37395" spans="26:26" x14ac:dyDescent="0.25">
      <c r="Z37395">
        <v>400000</v>
      </c>
    </row>
    <row r="37396" spans="26:26" x14ac:dyDescent="0.25">
      <c r="Z37396">
        <v>400000</v>
      </c>
    </row>
    <row r="37397" spans="26:26" x14ac:dyDescent="0.25">
      <c r="Z37397">
        <v>400000</v>
      </c>
    </row>
    <row r="37398" spans="26:26" x14ac:dyDescent="0.25">
      <c r="Z37398">
        <v>400000</v>
      </c>
    </row>
    <row r="37399" spans="26:26" x14ac:dyDescent="0.25">
      <c r="Z37399">
        <v>400000</v>
      </c>
    </row>
    <row r="37400" spans="26:26" x14ac:dyDescent="0.25">
      <c r="Z37400">
        <v>400000</v>
      </c>
    </row>
    <row r="37401" spans="26:26" x14ac:dyDescent="0.25">
      <c r="Z37401">
        <v>400000</v>
      </c>
    </row>
    <row r="37402" spans="26:26" x14ac:dyDescent="0.25">
      <c r="Z37402">
        <v>400000</v>
      </c>
    </row>
    <row r="37403" spans="26:26" x14ac:dyDescent="0.25">
      <c r="Z37403">
        <v>400000</v>
      </c>
    </row>
    <row r="37404" spans="26:26" x14ac:dyDescent="0.25">
      <c r="Z37404">
        <v>400000</v>
      </c>
    </row>
    <row r="37405" spans="26:26" x14ac:dyDescent="0.25">
      <c r="Z37405">
        <v>400000</v>
      </c>
    </row>
    <row r="37406" spans="26:26" x14ac:dyDescent="0.25">
      <c r="Z37406">
        <v>400000</v>
      </c>
    </row>
    <row r="37407" spans="26:26" x14ac:dyDescent="0.25">
      <c r="Z37407">
        <v>400000</v>
      </c>
    </row>
    <row r="37408" spans="26:26" x14ac:dyDescent="0.25">
      <c r="Z37408">
        <v>400000</v>
      </c>
    </row>
    <row r="37409" spans="26:26" x14ac:dyDescent="0.25">
      <c r="Z37409">
        <v>400000</v>
      </c>
    </row>
    <row r="37410" spans="26:26" x14ac:dyDescent="0.25">
      <c r="Z37410">
        <v>400000</v>
      </c>
    </row>
    <row r="37411" spans="26:26" x14ac:dyDescent="0.25">
      <c r="Z37411">
        <v>400000</v>
      </c>
    </row>
    <row r="37412" spans="26:26" x14ac:dyDescent="0.25">
      <c r="Z37412">
        <v>400000</v>
      </c>
    </row>
    <row r="37413" spans="26:26" x14ac:dyDescent="0.25">
      <c r="Z37413">
        <v>400000</v>
      </c>
    </row>
    <row r="37414" spans="26:26" x14ac:dyDescent="0.25">
      <c r="Z37414">
        <v>400000</v>
      </c>
    </row>
    <row r="37415" spans="26:26" x14ac:dyDescent="0.25">
      <c r="Z37415">
        <v>400000</v>
      </c>
    </row>
    <row r="37416" spans="26:26" x14ac:dyDescent="0.25">
      <c r="Z37416">
        <v>400000</v>
      </c>
    </row>
    <row r="37417" spans="26:26" x14ac:dyDescent="0.25">
      <c r="Z37417">
        <v>400000</v>
      </c>
    </row>
    <row r="37418" spans="26:26" x14ac:dyDescent="0.25">
      <c r="Z37418">
        <v>400000</v>
      </c>
    </row>
    <row r="37419" spans="26:26" x14ac:dyDescent="0.25">
      <c r="Z37419">
        <v>400000</v>
      </c>
    </row>
    <row r="37420" spans="26:26" x14ac:dyDescent="0.25">
      <c r="Z37420">
        <v>400000</v>
      </c>
    </row>
    <row r="37421" spans="26:26" x14ac:dyDescent="0.25">
      <c r="Z37421">
        <v>400000</v>
      </c>
    </row>
    <row r="37422" spans="26:26" x14ac:dyDescent="0.25">
      <c r="Z37422">
        <v>400000</v>
      </c>
    </row>
    <row r="37423" spans="26:26" x14ac:dyDescent="0.25">
      <c r="Z37423">
        <v>400000</v>
      </c>
    </row>
    <row r="37424" spans="26:26" x14ac:dyDescent="0.25">
      <c r="Z37424">
        <v>400000</v>
      </c>
    </row>
    <row r="37425" spans="26:26" x14ac:dyDescent="0.25">
      <c r="Z37425">
        <v>400000</v>
      </c>
    </row>
    <row r="37426" spans="26:26" x14ac:dyDescent="0.25">
      <c r="Z37426">
        <v>400000</v>
      </c>
    </row>
    <row r="37427" spans="26:26" x14ac:dyDescent="0.25">
      <c r="Z37427">
        <v>400000</v>
      </c>
    </row>
    <row r="37428" spans="26:26" x14ac:dyDescent="0.25">
      <c r="Z37428">
        <v>400000</v>
      </c>
    </row>
    <row r="37429" spans="26:26" x14ac:dyDescent="0.25">
      <c r="Z37429">
        <v>400000</v>
      </c>
    </row>
    <row r="37430" spans="26:26" x14ac:dyDescent="0.25">
      <c r="Z37430">
        <v>400000</v>
      </c>
    </row>
    <row r="37431" spans="26:26" x14ac:dyDescent="0.25">
      <c r="Z37431">
        <v>400000</v>
      </c>
    </row>
    <row r="37432" spans="26:26" x14ac:dyDescent="0.25">
      <c r="Z37432">
        <v>400000</v>
      </c>
    </row>
    <row r="37433" spans="26:26" x14ac:dyDescent="0.25">
      <c r="Z37433">
        <v>400000</v>
      </c>
    </row>
    <row r="37434" spans="26:26" x14ac:dyDescent="0.25">
      <c r="Z37434">
        <v>400000</v>
      </c>
    </row>
    <row r="37435" spans="26:26" x14ac:dyDescent="0.25">
      <c r="Z37435">
        <v>400000</v>
      </c>
    </row>
    <row r="37436" spans="26:26" x14ac:dyDescent="0.25">
      <c r="Z37436">
        <v>400000</v>
      </c>
    </row>
    <row r="37437" spans="26:26" x14ac:dyDescent="0.25">
      <c r="Z37437">
        <v>400000</v>
      </c>
    </row>
    <row r="37438" spans="26:26" x14ac:dyDescent="0.25">
      <c r="Z37438">
        <v>400000</v>
      </c>
    </row>
    <row r="37439" spans="26:26" x14ac:dyDescent="0.25">
      <c r="Z37439">
        <v>400000</v>
      </c>
    </row>
    <row r="37440" spans="26:26" x14ac:dyDescent="0.25">
      <c r="Z37440">
        <v>400000</v>
      </c>
    </row>
    <row r="37441" spans="26:26" x14ac:dyDescent="0.25">
      <c r="Z37441">
        <v>400000</v>
      </c>
    </row>
    <row r="37442" spans="26:26" x14ac:dyDescent="0.25">
      <c r="Z37442">
        <v>400000</v>
      </c>
    </row>
    <row r="37443" spans="26:26" x14ac:dyDescent="0.25">
      <c r="Z37443">
        <v>400000</v>
      </c>
    </row>
    <row r="37444" spans="26:26" x14ac:dyDescent="0.25">
      <c r="Z37444">
        <v>400000</v>
      </c>
    </row>
    <row r="37445" spans="26:26" x14ac:dyDescent="0.25">
      <c r="Z37445">
        <v>400000</v>
      </c>
    </row>
    <row r="37446" spans="26:26" x14ac:dyDescent="0.25">
      <c r="Z37446">
        <v>400000</v>
      </c>
    </row>
    <row r="37447" spans="26:26" x14ac:dyDescent="0.25">
      <c r="Z37447">
        <v>400000</v>
      </c>
    </row>
    <row r="37448" spans="26:26" x14ac:dyDescent="0.25">
      <c r="Z37448">
        <v>400000</v>
      </c>
    </row>
    <row r="37449" spans="26:26" x14ac:dyDescent="0.25">
      <c r="Z37449">
        <v>400000</v>
      </c>
    </row>
    <row r="37450" spans="26:26" x14ac:dyDescent="0.25">
      <c r="Z37450">
        <v>400000</v>
      </c>
    </row>
    <row r="37451" spans="26:26" x14ac:dyDescent="0.25">
      <c r="Z37451">
        <v>400000</v>
      </c>
    </row>
    <row r="37452" spans="26:26" x14ac:dyDescent="0.25">
      <c r="Z37452">
        <v>400000</v>
      </c>
    </row>
    <row r="37453" spans="26:26" x14ac:dyDescent="0.25">
      <c r="Z37453">
        <v>400000</v>
      </c>
    </row>
    <row r="37454" spans="26:26" x14ac:dyDescent="0.25">
      <c r="Z37454">
        <v>400000</v>
      </c>
    </row>
    <row r="37455" spans="26:26" x14ac:dyDescent="0.25">
      <c r="Z37455">
        <v>400000</v>
      </c>
    </row>
    <row r="37456" spans="26:26" x14ac:dyDescent="0.25">
      <c r="Z37456">
        <v>400000</v>
      </c>
    </row>
    <row r="37457" spans="26:26" x14ac:dyDescent="0.25">
      <c r="Z37457">
        <v>400000</v>
      </c>
    </row>
    <row r="37458" spans="26:26" x14ac:dyDescent="0.25">
      <c r="Z37458">
        <v>400000</v>
      </c>
    </row>
    <row r="37459" spans="26:26" x14ac:dyDescent="0.25">
      <c r="Z37459">
        <v>400000</v>
      </c>
    </row>
    <row r="37460" spans="26:26" x14ac:dyDescent="0.25">
      <c r="Z37460">
        <v>400000</v>
      </c>
    </row>
    <row r="37461" spans="26:26" x14ac:dyDescent="0.25">
      <c r="Z37461">
        <v>400000</v>
      </c>
    </row>
    <row r="37462" spans="26:26" x14ac:dyDescent="0.25">
      <c r="Z37462">
        <v>400000</v>
      </c>
    </row>
    <row r="37463" spans="26:26" x14ac:dyDescent="0.25">
      <c r="Z37463">
        <v>400000</v>
      </c>
    </row>
    <row r="37464" spans="26:26" x14ac:dyDescent="0.25">
      <c r="Z37464">
        <v>400000</v>
      </c>
    </row>
    <row r="37465" spans="26:26" x14ac:dyDescent="0.25">
      <c r="Z37465">
        <v>400000</v>
      </c>
    </row>
    <row r="37466" spans="26:26" x14ac:dyDescent="0.25">
      <c r="Z37466">
        <v>400000</v>
      </c>
    </row>
    <row r="37467" spans="26:26" x14ac:dyDescent="0.25">
      <c r="Z37467">
        <v>400000</v>
      </c>
    </row>
    <row r="37468" spans="26:26" x14ac:dyDescent="0.25">
      <c r="Z37468">
        <v>400000</v>
      </c>
    </row>
    <row r="37469" spans="26:26" x14ac:dyDescent="0.25">
      <c r="Z37469">
        <v>400000</v>
      </c>
    </row>
    <row r="37470" spans="26:26" x14ac:dyDescent="0.25">
      <c r="Z37470">
        <v>400000</v>
      </c>
    </row>
    <row r="37471" spans="26:26" x14ac:dyDescent="0.25">
      <c r="Z37471">
        <v>400000</v>
      </c>
    </row>
    <row r="37472" spans="26:26" x14ac:dyDescent="0.25">
      <c r="Z37472">
        <v>400000</v>
      </c>
    </row>
    <row r="37473" spans="26:26" x14ac:dyDescent="0.25">
      <c r="Z37473">
        <v>400000</v>
      </c>
    </row>
    <row r="37474" spans="26:26" x14ac:dyDescent="0.25">
      <c r="Z37474">
        <v>400000</v>
      </c>
    </row>
    <row r="37475" spans="26:26" x14ac:dyDescent="0.25">
      <c r="Z37475">
        <v>400000</v>
      </c>
    </row>
    <row r="37476" spans="26:26" x14ac:dyDescent="0.25">
      <c r="Z37476">
        <v>400000</v>
      </c>
    </row>
    <row r="37477" spans="26:26" x14ac:dyDescent="0.25">
      <c r="Z37477">
        <v>400000</v>
      </c>
    </row>
    <row r="37478" spans="26:26" x14ac:dyDescent="0.25">
      <c r="Z37478">
        <v>400000</v>
      </c>
    </row>
    <row r="37479" spans="26:26" x14ac:dyDescent="0.25">
      <c r="Z37479">
        <v>400000</v>
      </c>
    </row>
    <row r="37480" spans="26:26" x14ac:dyDescent="0.25">
      <c r="Z37480">
        <v>400000</v>
      </c>
    </row>
    <row r="37481" spans="26:26" x14ac:dyDescent="0.25">
      <c r="Z37481">
        <v>400000</v>
      </c>
    </row>
    <row r="37482" spans="26:26" x14ac:dyDescent="0.25">
      <c r="Z37482">
        <v>400000</v>
      </c>
    </row>
    <row r="37483" spans="26:26" x14ac:dyDescent="0.25">
      <c r="Z37483">
        <v>400000</v>
      </c>
    </row>
    <row r="37484" spans="26:26" x14ac:dyDescent="0.25">
      <c r="Z37484">
        <v>400000</v>
      </c>
    </row>
    <row r="37485" spans="26:26" x14ac:dyDescent="0.25">
      <c r="Z37485">
        <v>400000</v>
      </c>
    </row>
    <row r="37486" spans="26:26" x14ac:dyDescent="0.25">
      <c r="Z37486">
        <v>400000</v>
      </c>
    </row>
    <row r="37487" spans="26:26" x14ac:dyDescent="0.25">
      <c r="Z37487">
        <v>400000</v>
      </c>
    </row>
    <row r="37488" spans="26:26" x14ac:dyDescent="0.25">
      <c r="Z37488">
        <v>400000</v>
      </c>
    </row>
    <row r="37489" spans="26:26" x14ac:dyDescent="0.25">
      <c r="Z37489">
        <v>400000</v>
      </c>
    </row>
    <row r="37490" spans="26:26" x14ac:dyDescent="0.25">
      <c r="Z37490">
        <v>400000</v>
      </c>
    </row>
    <row r="37491" spans="26:26" x14ac:dyDescent="0.25">
      <c r="Z37491">
        <v>400000</v>
      </c>
    </row>
    <row r="37492" spans="26:26" x14ac:dyDescent="0.25">
      <c r="Z37492">
        <v>400000</v>
      </c>
    </row>
    <row r="37493" spans="26:26" x14ac:dyDescent="0.25">
      <c r="Z37493">
        <v>400000</v>
      </c>
    </row>
    <row r="37494" spans="26:26" x14ac:dyDescent="0.25">
      <c r="Z37494">
        <v>400000</v>
      </c>
    </row>
    <row r="37495" spans="26:26" x14ac:dyDescent="0.25">
      <c r="Z37495">
        <v>400000</v>
      </c>
    </row>
    <row r="37496" spans="26:26" x14ac:dyDescent="0.25">
      <c r="Z37496">
        <v>400000</v>
      </c>
    </row>
    <row r="37497" spans="26:26" x14ac:dyDescent="0.25">
      <c r="Z37497">
        <v>400000</v>
      </c>
    </row>
    <row r="37498" spans="26:26" x14ac:dyDescent="0.25">
      <c r="Z37498">
        <v>400000</v>
      </c>
    </row>
    <row r="37499" spans="26:26" x14ac:dyDescent="0.25">
      <c r="Z37499">
        <v>400000</v>
      </c>
    </row>
    <row r="37500" spans="26:26" x14ac:dyDescent="0.25">
      <c r="Z37500">
        <v>400000</v>
      </c>
    </row>
    <row r="37501" spans="26:26" x14ac:dyDescent="0.25">
      <c r="Z37501">
        <v>400000</v>
      </c>
    </row>
    <row r="37502" spans="26:26" x14ac:dyDescent="0.25">
      <c r="Z37502">
        <v>400000</v>
      </c>
    </row>
    <row r="37503" spans="26:26" x14ac:dyDescent="0.25">
      <c r="Z37503">
        <v>400000</v>
      </c>
    </row>
    <row r="37504" spans="26:26" x14ac:dyDescent="0.25">
      <c r="Z37504">
        <v>400000</v>
      </c>
    </row>
    <row r="37505" spans="26:26" x14ac:dyDescent="0.25">
      <c r="Z37505">
        <v>400000</v>
      </c>
    </row>
    <row r="37506" spans="26:26" x14ac:dyDescent="0.25">
      <c r="Z37506">
        <v>400000</v>
      </c>
    </row>
    <row r="37507" spans="26:26" x14ac:dyDescent="0.25">
      <c r="Z37507">
        <v>400000</v>
      </c>
    </row>
    <row r="37508" spans="26:26" x14ac:dyDescent="0.25">
      <c r="Z37508">
        <v>400000</v>
      </c>
    </row>
    <row r="37509" spans="26:26" x14ac:dyDescent="0.25">
      <c r="Z37509">
        <v>400000</v>
      </c>
    </row>
    <row r="37510" spans="26:26" x14ac:dyDescent="0.25">
      <c r="Z37510">
        <v>400000</v>
      </c>
    </row>
    <row r="37511" spans="26:26" x14ac:dyDescent="0.25">
      <c r="Z37511">
        <v>400000</v>
      </c>
    </row>
    <row r="37512" spans="26:26" x14ac:dyDescent="0.25">
      <c r="Z37512">
        <v>400000</v>
      </c>
    </row>
    <row r="37513" spans="26:26" x14ac:dyDescent="0.25">
      <c r="Z37513">
        <v>400000</v>
      </c>
    </row>
    <row r="37514" spans="26:26" x14ac:dyDescent="0.25">
      <c r="Z37514">
        <v>400000</v>
      </c>
    </row>
    <row r="37515" spans="26:26" x14ac:dyDescent="0.25">
      <c r="Z37515">
        <v>400000</v>
      </c>
    </row>
    <row r="37516" spans="26:26" x14ac:dyDescent="0.25">
      <c r="Z37516">
        <v>400000</v>
      </c>
    </row>
    <row r="37517" spans="26:26" x14ac:dyDescent="0.25">
      <c r="Z37517">
        <v>400000</v>
      </c>
    </row>
    <row r="37518" spans="26:26" x14ac:dyDescent="0.25">
      <c r="Z37518">
        <v>400000</v>
      </c>
    </row>
    <row r="37519" spans="26:26" x14ac:dyDescent="0.25">
      <c r="Z37519">
        <v>400000</v>
      </c>
    </row>
    <row r="37520" spans="26:26" x14ac:dyDescent="0.25">
      <c r="Z37520">
        <v>400000</v>
      </c>
    </row>
    <row r="37521" spans="26:26" x14ac:dyDescent="0.25">
      <c r="Z37521">
        <v>400000</v>
      </c>
    </row>
    <row r="37522" spans="26:26" x14ac:dyDescent="0.25">
      <c r="Z37522">
        <v>400000</v>
      </c>
    </row>
    <row r="37523" spans="26:26" x14ac:dyDescent="0.25">
      <c r="Z37523">
        <v>400000</v>
      </c>
    </row>
    <row r="37524" spans="26:26" x14ac:dyDescent="0.25">
      <c r="Z37524">
        <v>400000</v>
      </c>
    </row>
    <row r="37525" spans="26:26" x14ac:dyDescent="0.25">
      <c r="Z37525">
        <v>400000</v>
      </c>
    </row>
    <row r="37526" spans="26:26" x14ac:dyDescent="0.25">
      <c r="Z37526">
        <v>400000</v>
      </c>
    </row>
    <row r="37527" spans="26:26" x14ac:dyDescent="0.25">
      <c r="Z37527">
        <v>400000</v>
      </c>
    </row>
    <row r="37528" spans="26:26" x14ac:dyDescent="0.25">
      <c r="Z37528">
        <v>400000</v>
      </c>
    </row>
    <row r="37529" spans="26:26" x14ac:dyDescent="0.25">
      <c r="Z37529">
        <v>400000</v>
      </c>
    </row>
    <row r="37530" spans="26:26" x14ac:dyDescent="0.25">
      <c r="Z37530">
        <v>400000</v>
      </c>
    </row>
    <row r="37531" spans="26:26" x14ac:dyDescent="0.25">
      <c r="Z37531">
        <v>400000</v>
      </c>
    </row>
    <row r="37532" spans="26:26" x14ac:dyDescent="0.25">
      <c r="Z37532">
        <v>400000</v>
      </c>
    </row>
    <row r="37533" spans="26:26" x14ac:dyDescent="0.25">
      <c r="Z37533">
        <v>400000</v>
      </c>
    </row>
    <row r="37534" spans="26:26" x14ac:dyDescent="0.25">
      <c r="Z37534">
        <v>400000</v>
      </c>
    </row>
    <row r="37535" spans="26:26" x14ac:dyDescent="0.25">
      <c r="Z37535">
        <v>400000</v>
      </c>
    </row>
    <row r="37536" spans="26:26" x14ac:dyDescent="0.25">
      <c r="Z37536">
        <v>400000</v>
      </c>
    </row>
    <row r="37537" spans="26:26" x14ac:dyDescent="0.25">
      <c r="Z37537">
        <v>400000</v>
      </c>
    </row>
    <row r="37538" spans="26:26" x14ac:dyDescent="0.25">
      <c r="Z37538">
        <v>400000</v>
      </c>
    </row>
    <row r="37539" spans="26:26" x14ac:dyDescent="0.25">
      <c r="Z37539">
        <v>400000</v>
      </c>
    </row>
    <row r="37540" spans="26:26" x14ac:dyDescent="0.25">
      <c r="Z37540">
        <v>400000</v>
      </c>
    </row>
    <row r="37541" spans="26:26" x14ac:dyDescent="0.25">
      <c r="Z37541">
        <v>400000</v>
      </c>
    </row>
    <row r="37542" spans="26:26" x14ac:dyDescent="0.25">
      <c r="Z37542">
        <v>400000</v>
      </c>
    </row>
    <row r="37543" spans="26:26" x14ac:dyDescent="0.25">
      <c r="Z37543">
        <v>400000</v>
      </c>
    </row>
    <row r="37544" spans="26:26" x14ac:dyDescent="0.25">
      <c r="Z37544">
        <v>400000</v>
      </c>
    </row>
    <row r="37545" spans="26:26" x14ac:dyDescent="0.25">
      <c r="Z37545">
        <v>400000</v>
      </c>
    </row>
    <row r="37546" spans="26:26" x14ac:dyDescent="0.25">
      <c r="Z37546">
        <v>400000</v>
      </c>
    </row>
    <row r="37547" spans="26:26" x14ac:dyDescent="0.25">
      <c r="Z37547">
        <v>400000</v>
      </c>
    </row>
    <row r="37548" spans="26:26" x14ac:dyDescent="0.25">
      <c r="Z37548">
        <v>400000</v>
      </c>
    </row>
    <row r="37549" spans="26:26" x14ac:dyDescent="0.25">
      <c r="Z37549">
        <v>400000</v>
      </c>
    </row>
    <row r="37550" spans="26:26" x14ac:dyDescent="0.25">
      <c r="Z37550">
        <v>400000</v>
      </c>
    </row>
    <row r="37551" spans="26:26" x14ac:dyDescent="0.25">
      <c r="Z37551">
        <v>400000</v>
      </c>
    </row>
    <row r="37552" spans="26:26" x14ac:dyDescent="0.25">
      <c r="Z37552">
        <v>400000</v>
      </c>
    </row>
    <row r="37553" spans="26:26" x14ac:dyDescent="0.25">
      <c r="Z37553">
        <v>400000</v>
      </c>
    </row>
    <row r="37554" spans="26:26" x14ac:dyDescent="0.25">
      <c r="Z37554">
        <v>400000</v>
      </c>
    </row>
    <row r="37555" spans="26:26" x14ac:dyDescent="0.25">
      <c r="Z37555">
        <v>400000</v>
      </c>
    </row>
    <row r="37556" spans="26:26" x14ac:dyDescent="0.25">
      <c r="Z37556">
        <v>400000</v>
      </c>
    </row>
    <row r="37557" spans="26:26" x14ac:dyDescent="0.25">
      <c r="Z37557">
        <v>400000</v>
      </c>
    </row>
    <row r="37558" spans="26:26" x14ac:dyDescent="0.25">
      <c r="Z37558">
        <v>400000</v>
      </c>
    </row>
    <row r="37559" spans="26:26" x14ac:dyDescent="0.25">
      <c r="Z37559">
        <v>400000</v>
      </c>
    </row>
    <row r="37560" spans="26:26" x14ac:dyDescent="0.25">
      <c r="Z37560">
        <v>400000</v>
      </c>
    </row>
    <row r="37561" spans="26:26" x14ac:dyDescent="0.25">
      <c r="Z37561">
        <v>400000</v>
      </c>
    </row>
    <row r="37562" spans="26:26" x14ac:dyDescent="0.25">
      <c r="Z37562">
        <v>400000</v>
      </c>
    </row>
    <row r="37563" spans="26:26" x14ac:dyDescent="0.25">
      <c r="Z37563">
        <v>400000</v>
      </c>
    </row>
    <row r="37564" spans="26:26" x14ac:dyDescent="0.25">
      <c r="Z37564">
        <v>400000</v>
      </c>
    </row>
    <row r="37565" spans="26:26" x14ac:dyDescent="0.25">
      <c r="Z37565">
        <v>400000</v>
      </c>
    </row>
    <row r="37566" spans="26:26" x14ac:dyDescent="0.25">
      <c r="Z37566">
        <v>400000</v>
      </c>
    </row>
    <row r="37567" spans="26:26" x14ac:dyDescent="0.25">
      <c r="Z37567">
        <v>400000</v>
      </c>
    </row>
    <row r="37568" spans="26:26" x14ac:dyDescent="0.25">
      <c r="Z37568">
        <v>400000</v>
      </c>
    </row>
    <row r="37569" spans="26:26" x14ac:dyDescent="0.25">
      <c r="Z37569">
        <v>400000</v>
      </c>
    </row>
    <row r="37570" spans="26:26" x14ac:dyDescent="0.25">
      <c r="Z37570">
        <v>400000</v>
      </c>
    </row>
    <row r="37571" spans="26:26" x14ac:dyDescent="0.25">
      <c r="Z37571">
        <v>400000</v>
      </c>
    </row>
    <row r="37572" spans="26:26" x14ac:dyDescent="0.25">
      <c r="Z37572">
        <v>400000</v>
      </c>
    </row>
    <row r="37573" spans="26:26" x14ac:dyDescent="0.25">
      <c r="Z37573">
        <v>400000</v>
      </c>
    </row>
    <row r="37574" spans="26:26" x14ac:dyDescent="0.25">
      <c r="Z37574">
        <v>400000</v>
      </c>
    </row>
    <row r="37575" spans="26:26" x14ac:dyDescent="0.25">
      <c r="Z37575">
        <v>400000</v>
      </c>
    </row>
    <row r="37576" spans="26:26" x14ac:dyDescent="0.25">
      <c r="Z37576">
        <v>400000</v>
      </c>
    </row>
    <row r="37577" spans="26:26" x14ac:dyDescent="0.25">
      <c r="Z37577">
        <v>400000</v>
      </c>
    </row>
    <row r="37578" spans="26:26" x14ac:dyDescent="0.25">
      <c r="Z37578">
        <v>400000</v>
      </c>
    </row>
    <row r="37579" spans="26:26" x14ac:dyDescent="0.25">
      <c r="Z37579">
        <v>400000</v>
      </c>
    </row>
    <row r="37580" spans="26:26" x14ac:dyDescent="0.25">
      <c r="Z37580">
        <v>400000</v>
      </c>
    </row>
    <row r="37581" spans="26:26" x14ac:dyDescent="0.25">
      <c r="Z37581">
        <v>400000</v>
      </c>
    </row>
    <row r="37582" spans="26:26" x14ac:dyDescent="0.25">
      <c r="Z37582">
        <v>400000</v>
      </c>
    </row>
    <row r="37583" spans="26:26" x14ac:dyDescent="0.25">
      <c r="Z37583">
        <v>400000</v>
      </c>
    </row>
    <row r="37584" spans="26:26" x14ac:dyDescent="0.25">
      <c r="Z37584">
        <v>400000</v>
      </c>
    </row>
    <row r="37585" spans="26:26" x14ac:dyDescent="0.25">
      <c r="Z37585">
        <v>400000</v>
      </c>
    </row>
    <row r="37586" spans="26:26" x14ac:dyDescent="0.25">
      <c r="Z37586">
        <v>400000</v>
      </c>
    </row>
    <row r="37587" spans="26:26" x14ac:dyDescent="0.25">
      <c r="Z37587">
        <v>400000</v>
      </c>
    </row>
    <row r="37588" spans="26:26" x14ac:dyDescent="0.25">
      <c r="Z37588">
        <v>400000</v>
      </c>
    </row>
    <row r="37589" spans="26:26" x14ac:dyDescent="0.25">
      <c r="Z37589">
        <v>400000</v>
      </c>
    </row>
    <row r="37590" spans="26:26" x14ac:dyDescent="0.25">
      <c r="Z37590">
        <v>400000</v>
      </c>
    </row>
    <row r="37591" spans="26:26" x14ac:dyDescent="0.25">
      <c r="Z37591">
        <v>400000</v>
      </c>
    </row>
    <row r="37592" spans="26:26" x14ac:dyDescent="0.25">
      <c r="Z37592">
        <v>400000</v>
      </c>
    </row>
    <row r="37593" spans="26:26" x14ac:dyDescent="0.25">
      <c r="Z37593">
        <v>400000</v>
      </c>
    </row>
    <row r="37594" spans="26:26" x14ac:dyDescent="0.25">
      <c r="Z37594">
        <v>400000</v>
      </c>
    </row>
    <row r="37595" spans="26:26" x14ac:dyDescent="0.25">
      <c r="Z37595">
        <v>400000</v>
      </c>
    </row>
    <row r="37596" spans="26:26" x14ac:dyDescent="0.25">
      <c r="Z37596">
        <v>400000</v>
      </c>
    </row>
    <row r="37597" spans="26:26" x14ac:dyDescent="0.25">
      <c r="Z37597">
        <v>400000</v>
      </c>
    </row>
    <row r="37598" spans="26:26" x14ac:dyDescent="0.25">
      <c r="Z37598">
        <v>400000</v>
      </c>
    </row>
    <row r="37599" spans="26:26" x14ac:dyDescent="0.25">
      <c r="Z37599">
        <v>400000</v>
      </c>
    </row>
    <row r="37600" spans="26:26" x14ac:dyDescent="0.25">
      <c r="Z37600">
        <v>400000</v>
      </c>
    </row>
    <row r="37601" spans="26:26" x14ac:dyDescent="0.25">
      <c r="Z37601">
        <v>400000</v>
      </c>
    </row>
    <row r="37602" spans="26:26" x14ac:dyDescent="0.25">
      <c r="Z37602">
        <v>400000</v>
      </c>
    </row>
    <row r="37603" spans="26:26" x14ac:dyDescent="0.25">
      <c r="Z37603">
        <v>400000</v>
      </c>
    </row>
    <row r="37604" spans="26:26" x14ac:dyDescent="0.25">
      <c r="Z37604">
        <v>400000</v>
      </c>
    </row>
    <row r="37605" spans="26:26" x14ac:dyDescent="0.25">
      <c r="Z37605">
        <v>400000</v>
      </c>
    </row>
    <row r="37606" spans="26:26" x14ac:dyDescent="0.25">
      <c r="Z37606">
        <v>400000</v>
      </c>
    </row>
    <row r="37607" spans="26:26" x14ac:dyDescent="0.25">
      <c r="Z37607">
        <v>400000</v>
      </c>
    </row>
    <row r="37608" spans="26:26" x14ac:dyDescent="0.25">
      <c r="Z37608">
        <v>400000</v>
      </c>
    </row>
    <row r="37609" spans="26:26" x14ac:dyDescent="0.25">
      <c r="Z37609">
        <v>400000</v>
      </c>
    </row>
    <row r="37610" spans="26:26" x14ac:dyDescent="0.25">
      <c r="Z37610">
        <v>400000</v>
      </c>
    </row>
    <row r="37611" spans="26:26" x14ac:dyDescent="0.25">
      <c r="Z37611">
        <v>400000</v>
      </c>
    </row>
    <row r="37612" spans="26:26" x14ac:dyDescent="0.25">
      <c r="Z37612">
        <v>400000</v>
      </c>
    </row>
    <row r="37613" spans="26:26" x14ac:dyDescent="0.25">
      <c r="Z37613">
        <v>400000</v>
      </c>
    </row>
    <row r="37614" spans="26:26" x14ac:dyDescent="0.25">
      <c r="Z37614">
        <v>400000</v>
      </c>
    </row>
    <row r="37615" spans="26:26" x14ac:dyDescent="0.25">
      <c r="Z37615">
        <v>400000</v>
      </c>
    </row>
    <row r="37616" spans="26:26" x14ac:dyDescent="0.25">
      <c r="Z37616">
        <v>400000</v>
      </c>
    </row>
    <row r="37617" spans="26:26" x14ac:dyDescent="0.25">
      <c r="Z37617">
        <v>400000</v>
      </c>
    </row>
    <row r="37618" spans="26:26" x14ac:dyDescent="0.25">
      <c r="Z37618">
        <v>400000</v>
      </c>
    </row>
    <row r="37619" spans="26:26" x14ac:dyDescent="0.25">
      <c r="Z37619">
        <v>400000</v>
      </c>
    </row>
    <row r="37620" spans="26:26" x14ac:dyDescent="0.25">
      <c r="Z37620">
        <v>400000</v>
      </c>
    </row>
    <row r="37621" spans="26:26" x14ac:dyDescent="0.25">
      <c r="Z37621">
        <v>400000</v>
      </c>
    </row>
    <row r="37622" spans="26:26" x14ac:dyDescent="0.25">
      <c r="Z37622">
        <v>400000</v>
      </c>
    </row>
    <row r="37623" spans="26:26" x14ac:dyDescent="0.25">
      <c r="Z37623">
        <v>400000</v>
      </c>
    </row>
    <row r="37624" spans="26:26" x14ac:dyDescent="0.25">
      <c r="Z37624">
        <v>400000</v>
      </c>
    </row>
    <row r="37625" spans="26:26" x14ac:dyDescent="0.25">
      <c r="Z37625">
        <v>400000</v>
      </c>
    </row>
    <row r="37626" spans="26:26" x14ac:dyDescent="0.25">
      <c r="Z37626">
        <v>400000</v>
      </c>
    </row>
    <row r="37627" spans="26:26" x14ac:dyDescent="0.25">
      <c r="Z37627">
        <v>400000</v>
      </c>
    </row>
    <row r="37628" spans="26:26" x14ac:dyDescent="0.25">
      <c r="Z37628">
        <v>400000</v>
      </c>
    </row>
    <row r="37629" spans="26:26" x14ac:dyDescent="0.25">
      <c r="Z37629">
        <v>400000</v>
      </c>
    </row>
    <row r="37630" spans="26:26" x14ac:dyDescent="0.25">
      <c r="Z37630">
        <v>400000</v>
      </c>
    </row>
    <row r="37631" spans="26:26" x14ac:dyDescent="0.25">
      <c r="Z37631">
        <v>400000</v>
      </c>
    </row>
    <row r="37632" spans="26:26" x14ac:dyDescent="0.25">
      <c r="Z37632">
        <v>400000</v>
      </c>
    </row>
    <row r="37633" spans="26:26" x14ac:dyDescent="0.25">
      <c r="Z37633">
        <v>400000</v>
      </c>
    </row>
    <row r="37634" spans="26:26" x14ac:dyDescent="0.25">
      <c r="Z37634">
        <v>400000</v>
      </c>
    </row>
    <row r="37635" spans="26:26" x14ac:dyDescent="0.25">
      <c r="Z37635">
        <v>400000</v>
      </c>
    </row>
    <row r="37636" spans="26:26" x14ac:dyDescent="0.25">
      <c r="Z37636">
        <v>400000</v>
      </c>
    </row>
    <row r="37637" spans="26:26" x14ac:dyDescent="0.25">
      <c r="Z37637">
        <v>400000</v>
      </c>
    </row>
    <row r="37638" spans="26:26" x14ac:dyDescent="0.25">
      <c r="Z37638">
        <v>400000</v>
      </c>
    </row>
    <row r="37639" spans="26:26" x14ac:dyDescent="0.25">
      <c r="Z37639">
        <v>400000</v>
      </c>
    </row>
    <row r="37640" spans="26:26" x14ac:dyDescent="0.25">
      <c r="Z37640">
        <v>400000</v>
      </c>
    </row>
    <row r="37641" spans="26:26" x14ac:dyDescent="0.25">
      <c r="Z37641">
        <v>400000</v>
      </c>
    </row>
    <row r="37642" spans="26:26" x14ac:dyDescent="0.25">
      <c r="Z37642">
        <v>400000</v>
      </c>
    </row>
    <row r="37643" spans="26:26" x14ac:dyDescent="0.25">
      <c r="Z37643">
        <v>400000</v>
      </c>
    </row>
    <row r="37644" spans="26:26" x14ac:dyDescent="0.25">
      <c r="Z37644">
        <v>400000</v>
      </c>
    </row>
    <row r="37645" spans="26:26" x14ac:dyDescent="0.25">
      <c r="Z37645">
        <v>400000</v>
      </c>
    </row>
    <row r="37646" spans="26:26" x14ac:dyDescent="0.25">
      <c r="Z37646">
        <v>400000</v>
      </c>
    </row>
    <row r="37647" spans="26:26" x14ac:dyDescent="0.25">
      <c r="Z37647">
        <v>400000</v>
      </c>
    </row>
    <row r="37648" spans="26:26" x14ac:dyDescent="0.25">
      <c r="Z37648">
        <v>400000</v>
      </c>
    </row>
    <row r="37649" spans="26:26" x14ac:dyDescent="0.25">
      <c r="Z37649">
        <v>400000</v>
      </c>
    </row>
    <row r="37650" spans="26:26" x14ac:dyDescent="0.25">
      <c r="Z37650">
        <v>400000</v>
      </c>
    </row>
    <row r="37651" spans="26:26" x14ac:dyDescent="0.25">
      <c r="Z37651">
        <v>400000</v>
      </c>
    </row>
    <row r="37652" spans="26:26" x14ac:dyDescent="0.25">
      <c r="Z37652">
        <v>400000</v>
      </c>
    </row>
    <row r="37653" spans="26:26" x14ac:dyDescent="0.25">
      <c r="Z37653">
        <v>400000</v>
      </c>
    </row>
    <row r="37654" spans="26:26" x14ac:dyDescent="0.25">
      <c r="Z37654">
        <v>400000</v>
      </c>
    </row>
    <row r="37655" spans="26:26" x14ac:dyDescent="0.25">
      <c r="Z37655">
        <v>400000</v>
      </c>
    </row>
    <row r="37656" spans="26:26" x14ac:dyDescent="0.25">
      <c r="Z37656">
        <v>400000</v>
      </c>
    </row>
    <row r="37657" spans="26:26" x14ac:dyDescent="0.25">
      <c r="Z37657">
        <v>400000</v>
      </c>
    </row>
    <row r="37658" spans="26:26" x14ac:dyDescent="0.25">
      <c r="Z37658">
        <v>400000</v>
      </c>
    </row>
    <row r="37659" spans="26:26" x14ac:dyDescent="0.25">
      <c r="Z37659">
        <v>400000</v>
      </c>
    </row>
    <row r="37660" spans="26:26" x14ac:dyDescent="0.25">
      <c r="Z37660">
        <v>400000</v>
      </c>
    </row>
    <row r="37661" spans="26:26" x14ac:dyDescent="0.25">
      <c r="Z37661">
        <v>400000</v>
      </c>
    </row>
    <row r="37662" spans="26:26" x14ac:dyDescent="0.25">
      <c r="Z37662">
        <v>400000</v>
      </c>
    </row>
    <row r="37663" spans="26:26" x14ac:dyDescent="0.25">
      <c r="Z37663">
        <v>400000</v>
      </c>
    </row>
    <row r="37664" spans="26:26" x14ac:dyDescent="0.25">
      <c r="Z37664">
        <v>400000</v>
      </c>
    </row>
    <row r="37665" spans="26:26" x14ac:dyDescent="0.25">
      <c r="Z37665">
        <v>400000</v>
      </c>
    </row>
    <row r="37666" spans="26:26" x14ac:dyDescent="0.25">
      <c r="Z37666">
        <v>400000</v>
      </c>
    </row>
    <row r="37667" spans="26:26" x14ac:dyDescent="0.25">
      <c r="Z37667">
        <v>400000</v>
      </c>
    </row>
    <row r="37668" spans="26:26" x14ac:dyDescent="0.25">
      <c r="Z37668">
        <v>400000</v>
      </c>
    </row>
    <row r="37669" spans="26:26" x14ac:dyDescent="0.25">
      <c r="Z37669">
        <v>400000</v>
      </c>
    </row>
    <row r="37670" spans="26:26" x14ac:dyDescent="0.25">
      <c r="Z37670">
        <v>400000</v>
      </c>
    </row>
    <row r="37671" spans="26:26" x14ac:dyDescent="0.25">
      <c r="Z37671">
        <v>400000</v>
      </c>
    </row>
    <row r="37672" spans="26:26" x14ac:dyDescent="0.25">
      <c r="Z37672">
        <v>400000</v>
      </c>
    </row>
    <row r="37673" spans="26:26" x14ac:dyDescent="0.25">
      <c r="Z37673">
        <v>400000</v>
      </c>
    </row>
    <row r="37674" spans="26:26" x14ac:dyDescent="0.25">
      <c r="Z37674">
        <v>400000</v>
      </c>
    </row>
    <row r="37675" spans="26:26" x14ac:dyDescent="0.25">
      <c r="Z37675">
        <v>400000</v>
      </c>
    </row>
    <row r="37676" spans="26:26" x14ac:dyDescent="0.25">
      <c r="Z37676">
        <v>400000</v>
      </c>
    </row>
    <row r="37677" spans="26:26" x14ac:dyDescent="0.25">
      <c r="Z37677">
        <v>400000</v>
      </c>
    </row>
    <row r="37678" spans="26:26" x14ac:dyDescent="0.25">
      <c r="Z37678">
        <v>400000</v>
      </c>
    </row>
    <row r="37679" spans="26:26" x14ac:dyDescent="0.25">
      <c r="Z37679">
        <v>400000</v>
      </c>
    </row>
    <row r="37680" spans="26:26" x14ac:dyDescent="0.25">
      <c r="Z37680">
        <v>400000</v>
      </c>
    </row>
    <row r="37681" spans="26:26" x14ac:dyDescent="0.25">
      <c r="Z37681">
        <v>400000</v>
      </c>
    </row>
    <row r="37682" spans="26:26" x14ac:dyDescent="0.25">
      <c r="Z37682">
        <v>400000</v>
      </c>
    </row>
    <row r="37683" spans="26:26" x14ac:dyDescent="0.25">
      <c r="Z37683">
        <v>400000</v>
      </c>
    </row>
    <row r="37684" spans="26:26" x14ac:dyDescent="0.25">
      <c r="Z37684">
        <v>400000</v>
      </c>
    </row>
    <row r="37685" spans="26:26" x14ac:dyDescent="0.25">
      <c r="Z37685">
        <v>400000</v>
      </c>
    </row>
    <row r="37686" spans="26:26" x14ac:dyDescent="0.25">
      <c r="Z37686">
        <v>400000</v>
      </c>
    </row>
    <row r="37687" spans="26:26" x14ac:dyDescent="0.25">
      <c r="Z37687">
        <v>400000</v>
      </c>
    </row>
    <row r="37688" spans="26:26" x14ac:dyDescent="0.25">
      <c r="Z37688">
        <v>400000</v>
      </c>
    </row>
    <row r="37689" spans="26:26" x14ac:dyDescent="0.25">
      <c r="Z37689">
        <v>400000</v>
      </c>
    </row>
    <row r="37690" spans="26:26" x14ac:dyDescent="0.25">
      <c r="Z37690">
        <v>400000</v>
      </c>
    </row>
    <row r="37691" spans="26:26" x14ac:dyDescent="0.25">
      <c r="Z37691">
        <v>400000</v>
      </c>
    </row>
    <row r="37692" spans="26:26" x14ac:dyDescent="0.25">
      <c r="Z37692">
        <v>400000</v>
      </c>
    </row>
    <row r="37693" spans="26:26" x14ac:dyDescent="0.25">
      <c r="Z37693">
        <v>400000</v>
      </c>
    </row>
    <row r="37694" spans="26:26" x14ac:dyDescent="0.25">
      <c r="Z37694">
        <v>400000</v>
      </c>
    </row>
    <row r="37695" spans="26:26" x14ac:dyDescent="0.25">
      <c r="Z37695">
        <v>400000</v>
      </c>
    </row>
    <row r="37696" spans="26:26" x14ac:dyDescent="0.25">
      <c r="Z37696">
        <v>400000</v>
      </c>
    </row>
    <row r="37697" spans="26:26" x14ac:dyDescent="0.25">
      <c r="Z37697">
        <v>400000</v>
      </c>
    </row>
    <row r="37698" spans="26:26" x14ac:dyDescent="0.25">
      <c r="Z37698">
        <v>400000</v>
      </c>
    </row>
    <row r="37699" spans="26:26" x14ac:dyDescent="0.25">
      <c r="Z37699">
        <v>400000</v>
      </c>
    </row>
    <row r="37700" spans="26:26" x14ac:dyDescent="0.25">
      <c r="Z37700">
        <v>400000</v>
      </c>
    </row>
    <row r="37701" spans="26:26" x14ac:dyDescent="0.25">
      <c r="Z37701">
        <v>400000</v>
      </c>
    </row>
    <row r="37702" spans="26:26" x14ac:dyDescent="0.25">
      <c r="Z37702">
        <v>400000</v>
      </c>
    </row>
    <row r="37703" spans="26:26" x14ac:dyDescent="0.25">
      <c r="Z37703">
        <v>400000</v>
      </c>
    </row>
    <row r="37704" spans="26:26" x14ac:dyDescent="0.25">
      <c r="Z37704">
        <v>400000</v>
      </c>
    </row>
    <row r="37705" spans="26:26" x14ac:dyDescent="0.25">
      <c r="Z37705">
        <v>400000</v>
      </c>
    </row>
    <row r="37706" spans="26:26" x14ac:dyDescent="0.25">
      <c r="Z37706">
        <v>400000</v>
      </c>
    </row>
    <row r="37707" spans="26:26" x14ac:dyDescent="0.25">
      <c r="Z37707">
        <v>400000</v>
      </c>
    </row>
    <row r="37708" spans="26:26" x14ac:dyDescent="0.25">
      <c r="Z37708">
        <v>400000</v>
      </c>
    </row>
    <row r="37709" spans="26:26" x14ac:dyDescent="0.25">
      <c r="Z37709">
        <v>400000</v>
      </c>
    </row>
    <row r="37710" spans="26:26" x14ac:dyDescent="0.25">
      <c r="Z37710">
        <v>400000</v>
      </c>
    </row>
    <row r="37711" spans="26:26" x14ac:dyDescent="0.25">
      <c r="Z37711">
        <v>400000</v>
      </c>
    </row>
    <row r="37712" spans="26:26" x14ac:dyDescent="0.25">
      <c r="Z37712">
        <v>400000</v>
      </c>
    </row>
    <row r="37713" spans="26:26" x14ac:dyDescent="0.25">
      <c r="Z37713">
        <v>400000</v>
      </c>
    </row>
    <row r="37714" spans="26:26" x14ac:dyDescent="0.25">
      <c r="Z37714">
        <v>400000</v>
      </c>
    </row>
    <row r="37715" spans="26:26" x14ac:dyDescent="0.25">
      <c r="Z37715">
        <v>400000</v>
      </c>
    </row>
    <row r="37716" spans="26:26" x14ac:dyDescent="0.25">
      <c r="Z37716">
        <v>400000</v>
      </c>
    </row>
    <row r="37717" spans="26:26" x14ac:dyDescent="0.25">
      <c r="Z37717">
        <v>400000</v>
      </c>
    </row>
    <row r="37718" spans="26:26" x14ac:dyDescent="0.25">
      <c r="Z37718">
        <v>400000</v>
      </c>
    </row>
    <row r="37719" spans="26:26" x14ac:dyDescent="0.25">
      <c r="Z37719">
        <v>400000</v>
      </c>
    </row>
    <row r="37720" spans="26:26" x14ac:dyDescent="0.25">
      <c r="Z37720">
        <v>400000</v>
      </c>
    </row>
    <row r="37721" spans="26:26" x14ac:dyDescent="0.25">
      <c r="Z37721">
        <v>400000</v>
      </c>
    </row>
    <row r="37722" spans="26:26" x14ac:dyDescent="0.25">
      <c r="Z37722">
        <v>400000</v>
      </c>
    </row>
    <row r="37723" spans="26:26" x14ac:dyDescent="0.25">
      <c r="Z37723">
        <v>400000</v>
      </c>
    </row>
    <row r="37724" spans="26:26" x14ac:dyDescent="0.25">
      <c r="Z37724">
        <v>400000</v>
      </c>
    </row>
    <row r="37725" spans="26:26" x14ac:dyDescent="0.25">
      <c r="Z37725">
        <v>400000</v>
      </c>
    </row>
    <row r="37726" spans="26:26" x14ac:dyDescent="0.25">
      <c r="Z37726">
        <v>400000</v>
      </c>
    </row>
    <row r="37727" spans="26:26" x14ac:dyDescent="0.25">
      <c r="Z37727">
        <v>400000</v>
      </c>
    </row>
    <row r="37728" spans="26:26" x14ac:dyDescent="0.25">
      <c r="Z37728">
        <v>400000</v>
      </c>
    </row>
    <row r="37729" spans="26:26" x14ac:dyDescent="0.25">
      <c r="Z37729">
        <v>400000</v>
      </c>
    </row>
    <row r="37730" spans="26:26" x14ac:dyDescent="0.25">
      <c r="Z37730">
        <v>400000</v>
      </c>
    </row>
    <row r="37731" spans="26:26" x14ac:dyDescent="0.25">
      <c r="Z37731">
        <v>400000</v>
      </c>
    </row>
    <row r="37732" spans="26:26" x14ac:dyDescent="0.25">
      <c r="Z37732">
        <v>400000</v>
      </c>
    </row>
    <row r="37733" spans="26:26" x14ac:dyDescent="0.25">
      <c r="Z37733">
        <v>400000</v>
      </c>
    </row>
    <row r="37734" spans="26:26" x14ac:dyDescent="0.25">
      <c r="Z37734">
        <v>400000</v>
      </c>
    </row>
    <row r="37735" spans="26:26" x14ac:dyDescent="0.25">
      <c r="Z37735">
        <v>400000</v>
      </c>
    </row>
    <row r="37736" spans="26:26" x14ac:dyDescent="0.25">
      <c r="Z37736">
        <v>400000</v>
      </c>
    </row>
    <row r="37737" spans="26:26" x14ac:dyDescent="0.25">
      <c r="Z37737">
        <v>400000</v>
      </c>
    </row>
    <row r="37738" spans="26:26" x14ac:dyDescent="0.25">
      <c r="Z37738">
        <v>400000</v>
      </c>
    </row>
    <row r="37739" spans="26:26" x14ac:dyDescent="0.25">
      <c r="Z37739">
        <v>400000</v>
      </c>
    </row>
    <row r="37740" spans="26:26" x14ac:dyDescent="0.25">
      <c r="Z37740">
        <v>400000</v>
      </c>
    </row>
    <row r="37741" spans="26:26" x14ac:dyDescent="0.25">
      <c r="Z37741">
        <v>400000</v>
      </c>
    </row>
    <row r="37742" spans="26:26" x14ac:dyDescent="0.25">
      <c r="Z37742">
        <v>400000</v>
      </c>
    </row>
    <row r="37743" spans="26:26" x14ac:dyDescent="0.25">
      <c r="Z37743">
        <v>400000</v>
      </c>
    </row>
    <row r="37744" spans="26:26" x14ac:dyDescent="0.25">
      <c r="Z37744">
        <v>400000</v>
      </c>
    </row>
    <row r="37745" spans="26:26" x14ac:dyDescent="0.25">
      <c r="Z37745">
        <v>400000</v>
      </c>
    </row>
    <row r="37746" spans="26:26" x14ac:dyDescent="0.25">
      <c r="Z37746">
        <v>400000</v>
      </c>
    </row>
    <row r="37747" spans="26:26" x14ac:dyDescent="0.25">
      <c r="Z37747">
        <v>400000</v>
      </c>
    </row>
    <row r="37748" spans="26:26" x14ac:dyDescent="0.25">
      <c r="Z37748">
        <v>400000</v>
      </c>
    </row>
    <row r="37749" spans="26:26" x14ac:dyDescent="0.25">
      <c r="Z37749">
        <v>400000</v>
      </c>
    </row>
    <row r="37750" spans="26:26" x14ac:dyDescent="0.25">
      <c r="Z37750">
        <v>400000</v>
      </c>
    </row>
    <row r="37751" spans="26:26" x14ac:dyDescent="0.25">
      <c r="Z37751">
        <v>400000</v>
      </c>
    </row>
    <row r="37752" spans="26:26" x14ac:dyDescent="0.25">
      <c r="Z37752">
        <v>400000</v>
      </c>
    </row>
    <row r="37753" spans="26:26" x14ac:dyDescent="0.25">
      <c r="Z37753">
        <v>400000</v>
      </c>
    </row>
    <row r="37754" spans="26:26" x14ac:dyDescent="0.25">
      <c r="Z37754">
        <v>400000</v>
      </c>
    </row>
    <row r="37755" spans="26:26" x14ac:dyDescent="0.25">
      <c r="Z37755">
        <v>400000</v>
      </c>
    </row>
    <row r="37756" spans="26:26" x14ac:dyDescent="0.25">
      <c r="Z37756">
        <v>400000</v>
      </c>
    </row>
    <row r="37757" spans="26:26" x14ac:dyDescent="0.25">
      <c r="Z37757">
        <v>400000</v>
      </c>
    </row>
    <row r="37758" spans="26:26" x14ac:dyDescent="0.25">
      <c r="Z37758">
        <v>400000</v>
      </c>
    </row>
    <row r="37759" spans="26:26" x14ac:dyDescent="0.25">
      <c r="Z37759">
        <v>400000</v>
      </c>
    </row>
    <row r="37760" spans="26:26" x14ac:dyDescent="0.25">
      <c r="Z37760">
        <v>400000</v>
      </c>
    </row>
    <row r="37761" spans="26:26" x14ac:dyDescent="0.25">
      <c r="Z37761">
        <v>400000</v>
      </c>
    </row>
    <row r="37762" spans="26:26" x14ac:dyDescent="0.25">
      <c r="Z37762">
        <v>400000</v>
      </c>
    </row>
    <row r="37763" spans="26:26" x14ac:dyDescent="0.25">
      <c r="Z37763">
        <v>400000</v>
      </c>
    </row>
    <row r="37764" spans="26:26" x14ac:dyDescent="0.25">
      <c r="Z37764">
        <v>400000</v>
      </c>
    </row>
    <row r="37765" spans="26:26" x14ac:dyDescent="0.25">
      <c r="Z37765">
        <v>400000</v>
      </c>
    </row>
    <row r="37766" spans="26:26" x14ac:dyDescent="0.25">
      <c r="Z37766">
        <v>400000</v>
      </c>
    </row>
    <row r="37767" spans="26:26" x14ac:dyDescent="0.25">
      <c r="Z37767">
        <v>400000</v>
      </c>
    </row>
    <row r="37768" spans="26:26" x14ac:dyDescent="0.25">
      <c r="Z37768">
        <v>400000</v>
      </c>
    </row>
    <row r="37769" spans="26:26" x14ac:dyDescent="0.25">
      <c r="Z37769">
        <v>400000</v>
      </c>
    </row>
    <row r="37770" spans="26:26" x14ac:dyDescent="0.25">
      <c r="Z37770">
        <v>400000</v>
      </c>
    </row>
    <row r="37771" spans="26:26" x14ac:dyDescent="0.25">
      <c r="Z37771">
        <v>400000</v>
      </c>
    </row>
    <row r="37772" spans="26:26" x14ac:dyDescent="0.25">
      <c r="Z37772">
        <v>400000</v>
      </c>
    </row>
    <row r="37773" spans="26:26" x14ac:dyDescent="0.25">
      <c r="Z37773">
        <v>400000</v>
      </c>
    </row>
    <row r="37774" spans="26:26" x14ac:dyDescent="0.25">
      <c r="Z37774">
        <v>400000</v>
      </c>
    </row>
    <row r="37775" spans="26:26" x14ac:dyDescent="0.25">
      <c r="Z37775">
        <v>400000</v>
      </c>
    </row>
    <row r="37776" spans="26:26" x14ac:dyDescent="0.25">
      <c r="Z37776">
        <v>400000</v>
      </c>
    </row>
    <row r="37777" spans="26:26" x14ac:dyDescent="0.25">
      <c r="Z37777">
        <v>400000</v>
      </c>
    </row>
    <row r="37778" spans="26:26" x14ac:dyDescent="0.25">
      <c r="Z37778">
        <v>400000</v>
      </c>
    </row>
    <row r="37779" spans="26:26" x14ac:dyDescent="0.25">
      <c r="Z37779">
        <v>400000</v>
      </c>
    </row>
    <row r="37780" spans="26:26" x14ac:dyDescent="0.25">
      <c r="Z37780">
        <v>400000</v>
      </c>
    </row>
    <row r="37781" spans="26:26" x14ac:dyDescent="0.25">
      <c r="Z37781">
        <v>400000</v>
      </c>
    </row>
    <row r="37782" spans="26:26" x14ac:dyDescent="0.25">
      <c r="Z37782">
        <v>400000</v>
      </c>
    </row>
    <row r="37783" spans="26:26" x14ac:dyDescent="0.25">
      <c r="Z37783">
        <v>400000</v>
      </c>
    </row>
    <row r="37784" spans="26:26" x14ac:dyDescent="0.25">
      <c r="Z37784">
        <v>400000</v>
      </c>
    </row>
    <row r="37785" spans="26:26" x14ac:dyDescent="0.25">
      <c r="Z37785">
        <v>400000</v>
      </c>
    </row>
    <row r="37786" spans="26:26" x14ac:dyDescent="0.25">
      <c r="Z37786">
        <v>400000</v>
      </c>
    </row>
    <row r="37787" spans="26:26" x14ac:dyDescent="0.25">
      <c r="Z37787">
        <v>400000</v>
      </c>
    </row>
    <row r="37788" spans="26:26" x14ac:dyDescent="0.25">
      <c r="Z37788">
        <v>400000</v>
      </c>
    </row>
    <row r="37789" spans="26:26" x14ac:dyDescent="0.25">
      <c r="Z37789">
        <v>400000</v>
      </c>
    </row>
    <row r="37790" spans="26:26" x14ac:dyDescent="0.25">
      <c r="Z37790">
        <v>400000</v>
      </c>
    </row>
    <row r="37791" spans="26:26" x14ac:dyDescent="0.25">
      <c r="Z37791">
        <v>400000</v>
      </c>
    </row>
    <row r="37792" spans="26:26" x14ac:dyDescent="0.25">
      <c r="Z37792">
        <v>400000</v>
      </c>
    </row>
    <row r="37793" spans="26:26" x14ac:dyDescent="0.25">
      <c r="Z37793">
        <v>400000</v>
      </c>
    </row>
    <row r="37794" spans="26:26" x14ac:dyDescent="0.25">
      <c r="Z37794">
        <v>400000</v>
      </c>
    </row>
    <row r="37795" spans="26:26" x14ac:dyDescent="0.25">
      <c r="Z37795">
        <v>400000</v>
      </c>
    </row>
    <row r="37796" spans="26:26" x14ac:dyDescent="0.25">
      <c r="Z37796">
        <v>400000</v>
      </c>
    </row>
    <row r="37797" spans="26:26" x14ac:dyDescent="0.25">
      <c r="Z37797">
        <v>400000</v>
      </c>
    </row>
    <row r="37798" spans="26:26" x14ac:dyDescent="0.25">
      <c r="Z37798">
        <v>400000</v>
      </c>
    </row>
    <row r="37799" spans="26:26" x14ac:dyDescent="0.25">
      <c r="Z37799">
        <v>400000</v>
      </c>
    </row>
    <row r="37800" spans="26:26" x14ac:dyDescent="0.25">
      <c r="Z37800">
        <v>400000</v>
      </c>
    </row>
    <row r="37801" spans="26:26" x14ac:dyDescent="0.25">
      <c r="Z37801">
        <v>400000</v>
      </c>
    </row>
    <row r="37802" spans="26:26" x14ac:dyDescent="0.25">
      <c r="Z37802">
        <v>400000</v>
      </c>
    </row>
    <row r="37803" spans="26:26" x14ac:dyDescent="0.25">
      <c r="Z37803">
        <v>400000</v>
      </c>
    </row>
    <row r="37804" spans="26:26" x14ac:dyDescent="0.25">
      <c r="Z37804">
        <v>400000</v>
      </c>
    </row>
    <row r="37805" spans="26:26" x14ac:dyDescent="0.25">
      <c r="Z37805">
        <v>400000</v>
      </c>
    </row>
    <row r="37806" spans="26:26" x14ac:dyDescent="0.25">
      <c r="Z37806">
        <v>400000</v>
      </c>
    </row>
    <row r="37807" spans="26:26" x14ac:dyDescent="0.25">
      <c r="Z37807">
        <v>400000</v>
      </c>
    </row>
    <row r="37808" spans="26:26" x14ac:dyDescent="0.25">
      <c r="Z37808">
        <v>400000</v>
      </c>
    </row>
    <row r="37809" spans="26:26" x14ac:dyDescent="0.25">
      <c r="Z37809">
        <v>400000</v>
      </c>
    </row>
    <row r="37810" spans="26:26" x14ac:dyDescent="0.25">
      <c r="Z37810">
        <v>400000</v>
      </c>
    </row>
    <row r="37811" spans="26:26" x14ac:dyDescent="0.25">
      <c r="Z37811">
        <v>400000</v>
      </c>
    </row>
    <row r="37812" spans="26:26" x14ac:dyDescent="0.25">
      <c r="Z37812">
        <v>400000</v>
      </c>
    </row>
    <row r="37813" spans="26:26" x14ac:dyDescent="0.25">
      <c r="Z37813">
        <v>400000</v>
      </c>
    </row>
    <row r="37814" spans="26:26" x14ac:dyDescent="0.25">
      <c r="Z37814">
        <v>400000</v>
      </c>
    </row>
    <row r="37815" spans="26:26" x14ac:dyDescent="0.25">
      <c r="Z37815">
        <v>400000</v>
      </c>
    </row>
    <row r="37816" spans="26:26" x14ac:dyDescent="0.25">
      <c r="Z37816">
        <v>400000</v>
      </c>
    </row>
    <row r="37817" spans="26:26" x14ac:dyDescent="0.25">
      <c r="Z37817">
        <v>400000</v>
      </c>
    </row>
    <row r="37818" spans="26:26" x14ac:dyDescent="0.25">
      <c r="Z37818">
        <v>400000</v>
      </c>
    </row>
    <row r="37819" spans="26:26" x14ac:dyDescent="0.25">
      <c r="Z37819">
        <v>400000</v>
      </c>
    </row>
    <row r="37820" spans="26:26" x14ac:dyDescent="0.25">
      <c r="Z37820">
        <v>400000</v>
      </c>
    </row>
    <row r="37821" spans="26:26" x14ac:dyDescent="0.25">
      <c r="Z37821">
        <v>400000</v>
      </c>
    </row>
    <row r="37822" spans="26:26" x14ac:dyDescent="0.25">
      <c r="Z37822">
        <v>400000</v>
      </c>
    </row>
    <row r="37823" spans="26:26" x14ac:dyDescent="0.25">
      <c r="Z37823">
        <v>400000</v>
      </c>
    </row>
    <row r="37824" spans="26:26" x14ac:dyDescent="0.25">
      <c r="Z37824">
        <v>400000</v>
      </c>
    </row>
    <row r="37825" spans="26:26" x14ac:dyDescent="0.25">
      <c r="Z37825">
        <v>400000</v>
      </c>
    </row>
    <row r="37826" spans="26:26" x14ac:dyDescent="0.25">
      <c r="Z37826">
        <v>400000</v>
      </c>
    </row>
    <row r="37827" spans="26:26" x14ac:dyDescent="0.25">
      <c r="Z37827">
        <v>400000</v>
      </c>
    </row>
    <row r="37828" spans="26:26" x14ac:dyDescent="0.25">
      <c r="Z37828">
        <v>400000</v>
      </c>
    </row>
    <row r="37829" spans="26:26" x14ac:dyDescent="0.25">
      <c r="Z37829">
        <v>400000</v>
      </c>
    </row>
    <row r="37830" spans="26:26" x14ac:dyDescent="0.25">
      <c r="Z37830">
        <v>400000</v>
      </c>
    </row>
    <row r="37831" spans="26:26" x14ac:dyDescent="0.25">
      <c r="Z37831">
        <v>400000</v>
      </c>
    </row>
    <row r="37832" spans="26:26" x14ac:dyDescent="0.25">
      <c r="Z37832">
        <v>400000</v>
      </c>
    </row>
    <row r="37833" spans="26:26" x14ac:dyDescent="0.25">
      <c r="Z37833">
        <v>400000</v>
      </c>
    </row>
    <row r="37834" spans="26:26" x14ac:dyDescent="0.25">
      <c r="Z37834">
        <v>400000</v>
      </c>
    </row>
    <row r="37835" spans="26:26" x14ac:dyDescent="0.25">
      <c r="Z37835">
        <v>400000</v>
      </c>
    </row>
    <row r="37836" spans="26:26" x14ac:dyDescent="0.25">
      <c r="Z37836">
        <v>400000</v>
      </c>
    </row>
    <row r="37837" spans="26:26" x14ac:dyDescent="0.25">
      <c r="Z37837">
        <v>400000</v>
      </c>
    </row>
    <row r="37838" spans="26:26" x14ac:dyDescent="0.25">
      <c r="Z37838">
        <v>400000</v>
      </c>
    </row>
    <row r="37839" spans="26:26" x14ac:dyDescent="0.25">
      <c r="Z37839">
        <v>400000</v>
      </c>
    </row>
    <row r="37840" spans="26:26" x14ac:dyDescent="0.25">
      <c r="Z37840">
        <v>400000</v>
      </c>
    </row>
    <row r="37841" spans="26:26" x14ac:dyDescent="0.25">
      <c r="Z37841">
        <v>400000</v>
      </c>
    </row>
    <row r="37842" spans="26:26" x14ac:dyDescent="0.25">
      <c r="Z37842">
        <v>400000</v>
      </c>
    </row>
    <row r="37843" spans="26:26" x14ac:dyDescent="0.25">
      <c r="Z37843">
        <v>400000</v>
      </c>
    </row>
    <row r="37844" spans="26:26" x14ac:dyDescent="0.25">
      <c r="Z37844">
        <v>400000</v>
      </c>
    </row>
    <row r="37845" spans="26:26" x14ac:dyDescent="0.25">
      <c r="Z37845">
        <v>400000</v>
      </c>
    </row>
    <row r="37846" spans="26:26" x14ac:dyDescent="0.25">
      <c r="Z37846">
        <v>400000</v>
      </c>
    </row>
    <row r="37847" spans="26:26" x14ac:dyDescent="0.25">
      <c r="Z37847">
        <v>400000</v>
      </c>
    </row>
    <row r="37848" spans="26:26" x14ac:dyDescent="0.25">
      <c r="Z37848">
        <v>400000</v>
      </c>
    </row>
    <row r="37849" spans="26:26" x14ac:dyDescent="0.25">
      <c r="Z37849">
        <v>400000</v>
      </c>
    </row>
    <row r="37850" spans="26:26" x14ac:dyDescent="0.25">
      <c r="Z37850">
        <v>400000</v>
      </c>
    </row>
    <row r="37851" spans="26:26" x14ac:dyDescent="0.25">
      <c r="Z37851">
        <v>400000</v>
      </c>
    </row>
    <row r="37852" spans="26:26" x14ac:dyDescent="0.25">
      <c r="Z37852">
        <v>400000</v>
      </c>
    </row>
    <row r="37853" spans="26:26" x14ac:dyDescent="0.25">
      <c r="Z37853">
        <v>400000</v>
      </c>
    </row>
    <row r="37854" spans="26:26" x14ac:dyDescent="0.25">
      <c r="Z37854">
        <v>400000</v>
      </c>
    </row>
    <row r="37855" spans="26:26" x14ac:dyDescent="0.25">
      <c r="Z37855">
        <v>400000</v>
      </c>
    </row>
    <row r="37856" spans="26:26" x14ac:dyDescent="0.25">
      <c r="Z37856">
        <v>400000</v>
      </c>
    </row>
    <row r="37857" spans="26:26" x14ac:dyDescent="0.25">
      <c r="Z37857">
        <v>400000</v>
      </c>
    </row>
    <row r="37858" spans="26:26" x14ac:dyDescent="0.25">
      <c r="Z37858">
        <v>400000</v>
      </c>
    </row>
    <row r="37859" spans="26:26" x14ac:dyDescent="0.25">
      <c r="Z37859">
        <v>400000</v>
      </c>
    </row>
    <row r="37860" spans="26:26" x14ac:dyDescent="0.25">
      <c r="Z37860">
        <v>400000</v>
      </c>
    </row>
    <row r="37861" spans="26:26" x14ac:dyDescent="0.25">
      <c r="Z37861">
        <v>400000</v>
      </c>
    </row>
    <row r="37862" spans="26:26" x14ac:dyDescent="0.25">
      <c r="Z37862">
        <v>400000</v>
      </c>
    </row>
    <row r="37863" spans="26:26" x14ac:dyDescent="0.25">
      <c r="Z37863">
        <v>400000</v>
      </c>
    </row>
    <row r="37864" spans="26:26" x14ac:dyDescent="0.25">
      <c r="Z37864">
        <v>400000</v>
      </c>
    </row>
    <row r="37865" spans="26:26" x14ac:dyDescent="0.25">
      <c r="Z37865">
        <v>400000</v>
      </c>
    </row>
    <row r="37866" spans="26:26" x14ac:dyDescent="0.25">
      <c r="Z37866">
        <v>400000</v>
      </c>
    </row>
    <row r="37867" spans="26:26" x14ac:dyDescent="0.25">
      <c r="Z37867">
        <v>400000</v>
      </c>
    </row>
    <row r="37868" spans="26:26" x14ac:dyDescent="0.25">
      <c r="Z37868">
        <v>400000</v>
      </c>
    </row>
    <row r="37869" spans="26:26" x14ac:dyDescent="0.25">
      <c r="Z37869">
        <v>400000</v>
      </c>
    </row>
    <row r="37870" spans="26:26" x14ac:dyDescent="0.25">
      <c r="Z37870">
        <v>400000</v>
      </c>
    </row>
    <row r="37871" spans="26:26" x14ac:dyDescent="0.25">
      <c r="Z37871">
        <v>400000</v>
      </c>
    </row>
    <row r="37872" spans="26:26" x14ac:dyDescent="0.25">
      <c r="Z37872">
        <v>400000</v>
      </c>
    </row>
    <row r="37873" spans="26:26" x14ac:dyDescent="0.25">
      <c r="Z37873">
        <v>400000</v>
      </c>
    </row>
    <row r="37874" spans="26:26" x14ac:dyDescent="0.25">
      <c r="Z37874">
        <v>400000</v>
      </c>
    </row>
    <row r="37875" spans="26:26" x14ac:dyDescent="0.25">
      <c r="Z37875">
        <v>400000</v>
      </c>
    </row>
    <row r="37876" spans="26:26" x14ac:dyDescent="0.25">
      <c r="Z37876">
        <v>400000</v>
      </c>
    </row>
    <row r="37877" spans="26:26" x14ac:dyDescent="0.25">
      <c r="Z37877">
        <v>400000</v>
      </c>
    </row>
    <row r="37878" spans="26:26" x14ac:dyDescent="0.25">
      <c r="Z37878">
        <v>400000</v>
      </c>
    </row>
    <row r="37879" spans="26:26" x14ac:dyDescent="0.25">
      <c r="Z37879">
        <v>400000</v>
      </c>
    </row>
    <row r="37880" spans="26:26" x14ac:dyDescent="0.25">
      <c r="Z37880">
        <v>400000</v>
      </c>
    </row>
    <row r="37881" spans="26:26" x14ac:dyDescent="0.25">
      <c r="Z37881">
        <v>400000</v>
      </c>
    </row>
    <row r="37882" spans="26:26" x14ac:dyDescent="0.25">
      <c r="Z37882">
        <v>400000</v>
      </c>
    </row>
    <row r="37883" spans="26:26" x14ac:dyDescent="0.25">
      <c r="Z37883">
        <v>400000</v>
      </c>
    </row>
    <row r="37884" spans="26:26" x14ac:dyDescent="0.25">
      <c r="Z37884">
        <v>400000</v>
      </c>
    </row>
    <row r="37885" spans="26:26" x14ac:dyDescent="0.25">
      <c r="Z37885">
        <v>400000</v>
      </c>
    </row>
    <row r="37886" spans="26:26" x14ac:dyDescent="0.25">
      <c r="Z37886">
        <v>400000</v>
      </c>
    </row>
    <row r="37887" spans="26:26" x14ac:dyDescent="0.25">
      <c r="Z37887">
        <v>400000</v>
      </c>
    </row>
    <row r="37888" spans="26:26" x14ac:dyDescent="0.25">
      <c r="Z37888">
        <v>400000</v>
      </c>
    </row>
    <row r="37889" spans="26:26" x14ac:dyDescent="0.25">
      <c r="Z37889">
        <v>400000</v>
      </c>
    </row>
    <row r="37890" spans="26:26" x14ac:dyDescent="0.25">
      <c r="Z37890">
        <v>400000</v>
      </c>
    </row>
    <row r="37891" spans="26:26" x14ac:dyDescent="0.25">
      <c r="Z37891">
        <v>400000</v>
      </c>
    </row>
    <row r="37892" spans="26:26" x14ac:dyDescent="0.25">
      <c r="Z37892">
        <v>400000</v>
      </c>
    </row>
    <row r="37893" spans="26:26" x14ac:dyDescent="0.25">
      <c r="Z37893">
        <v>400000</v>
      </c>
    </row>
    <row r="37894" spans="26:26" x14ac:dyDescent="0.25">
      <c r="Z37894">
        <v>400000</v>
      </c>
    </row>
    <row r="37895" spans="26:26" x14ac:dyDescent="0.25">
      <c r="Z37895">
        <v>400000</v>
      </c>
    </row>
    <row r="37896" spans="26:26" x14ac:dyDescent="0.25">
      <c r="Z37896">
        <v>400000</v>
      </c>
    </row>
    <row r="37897" spans="26:26" x14ac:dyDescent="0.25">
      <c r="Z37897">
        <v>400000</v>
      </c>
    </row>
    <row r="37898" spans="26:26" x14ac:dyDescent="0.25">
      <c r="Z37898">
        <v>400000</v>
      </c>
    </row>
    <row r="37899" spans="26:26" x14ac:dyDescent="0.25">
      <c r="Z37899">
        <v>400000</v>
      </c>
    </row>
    <row r="37900" spans="26:26" x14ac:dyDescent="0.25">
      <c r="Z37900">
        <v>400000</v>
      </c>
    </row>
    <row r="37901" spans="26:26" x14ac:dyDescent="0.25">
      <c r="Z37901">
        <v>400000</v>
      </c>
    </row>
    <row r="37902" spans="26:26" x14ac:dyDescent="0.25">
      <c r="Z37902">
        <v>400000</v>
      </c>
    </row>
    <row r="37903" spans="26:26" x14ac:dyDescent="0.25">
      <c r="Z37903">
        <v>400000</v>
      </c>
    </row>
    <row r="37904" spans="26:26" x14ac:dyDescent="0.25">
      <c r="Z37904">
        <v>400000</v>
      </c>
    </row>
    <row r="37905" spans="26:26" x14ac:dyDescent="0.25">
      <c r="Z37905">
        <v>400000</v>
      </c>
    </row>
    <row r="37906" spans="26:26" x14ac:dyDescent="0.25">
      <c r="Z37906">
        <v>400000</v>
      </c>
    </row>
    <row r="37907" spans="26:26" x14ac:dyDescent="0.25">
      <c r="Z37907">
        <v>400000</v>
      </c>
    </row>
    <row r="37908" spans="26:26" x14ac:dyDescent="0.25">
      <c r="Z37908">
        <v>400000</v>
      </c>
    </row>
    <row r="37909" spans="26:26" x14ac:dyDescent="0.25">
      <c r="Z37909">
        <v>400000</v>
      </c>
    </row>
    <row r="37910" spans="26:26" x14ac:dyDescent="0.25">
      <c r="Z37910">
        <v>400000</v>
      </c>
    </row>
    <row r="37911" spans="26:26" x14ac:dyDescent="0.25">
      <c r="Z37911">
        <v>400000</v>
      </c>
    </row>
    <row r="37912" spans="26:26" x14ac:dyDescent="0.25">
      <c r="Z37912">
        <v>400000</v>
      </c>
    </row>
    <row r="37913" spans="26:26" x14ac:dyDescent="0.25">
      <c r="Z37913">
        <v>400000</v>
      </c>
    </row>
    <row r="37914" spans="26:26" x14ac:dyDescent="0.25">
      <c r="Z37914">
        <v>400000</v>
      </c>
    </row>
    <row r="37915" spans="26:26" x14ac:dyDescent="0.25">
      <c r="Z37915">
        <v>400000</v>
      </c>
    </row>
    <row r="37916" spans="26:26" x14ac:dyDescent="0.25">
      <c r="Z37916">
        <v>400000</v>
      </c>
    </row>
    <row r="37917" spans="26:26" x14ac:dyDescent="0.25">
      <c r="Z37917">
        <v>400000</v>
      </c>
    </row>
    <row r="37918" spans="26:26" x14ac:dyDescent="0.25">
      <c r="Z37918">
        <v>400000</v>
      </c>
    </row>
    <row r="37919" spans="26:26" x14ac:dyDescent="0.25">
      <c r="Z37919">
        <v>400000</v>
      </c>
    </row>
    <row r="37920" spans="26:26" x14ac:dyDescent="0.25">
      <c r="Z37920">
        <v>400000</v>
      </c>
    </row>
    <row r="37921" spans="26:26" x14ac:dyDescent="0.25">
      <c r="Z37921">
        <v>400000</v>
      </c>
    </row>
    <row r="37922" spans="26:26" x14ac:dyDescent="0.25">
      <c r="Z37922">
        <v>400000</v>
      </c>
    </row>
    <row r="37923" spans="26:26" x14ac:dyDescent="0.25">
      <c r="Z37923">
        <v>400000</v>
      </c>
    </row>
    <row r="37924" spans="26:26" x14ac:dyDescent="0.25">
      <c r="Z37924">
        <v>400000</v>
      </c>
    </row>
    <row r="37925" spans="26:26" x14ac:dyDescent="0.25">
      <c r="Z37925">
        <v>400000</v>
      </c>
    </row>
    <row r="37926" spans="26:26" x14ac:dyDescent="0.25">
      <c r="Z37926">
        <v>400000</v>
      </c>
    </row>
    <row r="37927" spans="26:26" x14ac:dyDescent="0.25">
      <c r="Z37927">
        <v>400000</v>
      </c>
    </row>
    <row r="37928" spans="26:26" x14ac:dyDescent="0.25">
      <c r="Z37928">
        <v>400000</v>
      </c>
    </row>
    <row r="37929" spans="26:26" x14ac:dyDescent="0.25">
      <c r="Z37929">
        <v>400000</v>
      </c>
    </row>
    <row r="37930" spans="26:26" x14ac:dyDescent="0.25">
      <c r="Z37930">
        <v>400000</v>
      </c>
    </row>
    <row r="37931" spans="26:26" x14ac:dyDescent="0.25">
      <c r="Z37931">
        <v>400000</v>
      </c>
    </row>
    <row r="37932" spans="26:26" x14ac:dyDescent="0.25">
      <c r="Z37932">
        <v>400000</v>
      </c>
    </row>
    <row r="37933" spans="26:26" x14ac:dyDescent="0.25">
      <c r="Z37933">
        <v>400000</v>
      </c>
    </row>
    <row r="37934" spans="26:26" x14ac:dyDescent="0.25">
      <c r="Z37934">
        <v>400000</v>
      </c>
    </row>
    <row r="37935" spans="26:26" x14ac:dyDescent="0.25">
      <c r="Z37935">
        <v>400000</v>
      </c>
    </row>
    <row r="37936" spans="26:26" x14ac:dyDescent="0.25">
      <c r="Z37936">
        <v>400000</v>
      </c>
    </row>
    <row r="37937" spans="26:26" x14ac:dyDescent="0.25">
      <c r="Z37937">
        <v>400000</v>
      </c>
    </row>
    <row r="37938" spans="26:26" x14ac:dyDescent="0.25">
      <c r="Z37938">
        <v>400000</v>
      </c>
    </row>
    <row r="37939" spans="26:26" x14ac:dyDescent="0.25">
      <c r="Z37939">
        <v>400000</v>
      </c>
    </row>
    <row r="37940" spans="26:26" x14ac:dyDescent="0.25">
      <c r="Z37940">
        <v>400000</v>
      </c>
    </row>
    <row r="37941" spans="26:26" x14ac:dyDescent="0.25">
      <c r="Z37941">
        <v>400000</v>
      </c>
    </row>
    <row r="37942" spans="26:26" x14ac:dyDescent="0.25">
      <c r="Z37942">
        <v>400000</v>
      </c>
    </row>
    <row r="37943" spans="26:26" x14ac:dyDescent="0.25">
      <c r="Z37943">
        <v>400000</v>
      </c>
    </row>
    <row r="37944" spans="26:26" x14ac:dyDescent="0.25">
      <c r="Z37944">
        <v>400000</v>
      </c>
    </row>
    <row r="37945" spans="26:26" x14ac:dyDescent="0.25">
      <c r="Z37945">
        <v>400000</v>
      </c>
    </row>
    <row r="37946" spans="26:26" x14ac:dyDescent="0.25">
      <c r="Z37946">
        <v>400000</v>
      </c>
    </row>
    <row r="37947" spans="26:26" x14ac:dyDescent="0.25">
      <c r="Z37947">
        <v>400000</v>
      </c>
    </row>
    <row r="37948" spans="26:26" x14ac:dyDescent="0.25">
      <c r="Z37948">
        <v>400000</v>
      </c>
    </row>
    <row r="37949" spans="26:26" x14ac:dyDescent="0.25">
      <c r="Z37949">
        <v>400000</v>
      </c>
    </row>
    <row r="37950" spans="26:26" x14ac:dyDescent="0.25">
      <c r="Z37950">
        <v>400000</v>
      </c>
    </row>
    <row r="37951" spans="26:26" x14ac:dyDescent="0.25">
      <c r="Z37951">
        <v>400000</v>
      </c>
    </row>
    <row r="37952" spans="26:26" x14ac:dyDescent="0.25">
      <c r="Z37952">
        <v>400000</v>
      </c>
    </row>
    <row r="37953" spans="26:26" x14ac:dyDescent="0.25">
      <c r="Z37953">
        <v>400000</v>
      </c>
    </row>
    <row r="37954" spans="26:26" x14ac:dyDescent="0.25">
      <c r="Z37954">
        <v>400000</v>
      </c>
    </row>
    <row r="37955" spans="26:26" x14ac:dyDescent="0.25">
      <c r="Z37955">
        <v>400000</v>
      </c>
    </row>
    <row r="37956" spans="26:26" x14ac:dyDescent="0.25">
      <c r="Z37956">
        <v>400000</v>
      </c>
    </row>
    <row r="37957" spans="26:26" x14ac:dyDescent="0.25">
      <c r="Z37957">
        <v>400000</v>
      </c>
    </row>
    <row r="37958" spans="26:26" x14ac:dyDescent="0.25">
      <c r="Z37958">
        <v>400000</v>
      </c>
    </row>
    <row r="37959" spans="26:26" x14ac:dyDescent="0.25">
      <c r="Z37959">
        <v>400000</v>
      </c>
    </row>
    <row r="37960" spans="26:26" x14ac:dyDescent="0.25">
      <c r="Z37960">
        <v>400000</v>
      </c>
    </row>
    <row r="37961" spans="26:26" x14ac:dyDescent="0.25">
      <c r="Z37961">
        <v>400000</v>
      </c>
    </row>
    <row r="37962" spans="26:26" x14ac:dyDescent="0.25">
      <c r="Z37962">
        <v>400000</v>
      </c>
    </row>
    <row r="37963" spans="26:26" x14ac:dyDescent="0.25">
      <c r="Z37963">
        <v>400000</v>
      </c>
    </row>
    <row r="37964" spans="26:26" x14ac:dyDescent="0.25">
      <c r="Z37964">
        <v>400000</v>
      </c>
    </row>
    <row r="37965" spans="26:26" x14ac:dyDescent="0.25">
      <c r="Z37965">
        <v>400000</v>
      </c>
    </row>
    <row r="37966" spans="26:26" x14ac:dyDescent="0.25">
      <c r="Z37966">
        <v>400000</v>
      </c>
    </row>
    <row r="37967" spans="26:26" x14ac:dyDescent="0.25">
      <c r="Z37967">
        <v>400000</v>
      </c>
    </row>
    <row r="37968" spans="26:26" x14ac:dyDescent="0.25">
      <c r="Z37968">
        <v>400000</v>
      </c>
    </row>
    <row r="37969" spans="26:26" x14ac:dyDescent="0.25">
      <c r="Z37969">
        <v>400000</v>
      </c>
    </row>
    <row r="37970" spans="26:26" x14ac:dyDescent="0.25">
      <c r="Z37970">
        <v>400000</v>
      </c>
    </row>
    <row r="37971" spans="26:26" x14ac:dyDescent="0.25">
      <c r="Z37971">
        <v>400000</v>
      </c>
    </row>
    <row r="37972" spans="26:26" x14ac:dyDescent="0.25">
      <c r="Z37972">
        <v>400000</v>
      </c>
    </row>
    <row r="37973" spans="26:26" x14ac:dyDescent="0.25">
      <c r="Z37973">
        <v>400000</v>
      </c>
    </row>
    <row r="37974" spans="26:26" x14ac:dyDescent="0.25">
      <c r="Z37974">
        <v>400000</v>
      </c>
    </row>
    <row r="37975" spans="26:26" x14ac:dyDescent="0.25">
      <c r="Z37975">
        <v>400000</v>
      </c>
    </row>
    <row r="37976" spans="26:26" x14ac:dyDescent="0.25">
      <c r="Z37976">
        <v>400000</v>
      </c>
    </row>
    <row r="37977" spans="26:26" x14ac:dyDescent="0.25">
      <c r="Z37977">
        <v>400000</v>
      </c>
    </row>
    <row r="37978" spans="26:26" x14ac:dyDescent="0.25">
      <c r="Z37978">
        <v>400000</v>
      </c>
    </row>
    <row r="37979" spans="26:26" x14ac:dyDescent="0.25">
      <c r="Z37979">
        <v>400000</v>
      </c>
    </row>
    <row r="37980" spans="26:26" x14ac:dyDescent="0.25">
      <c r="Z37980">
        <v>400000</v>
      </c>
    </row>
    <row r="37981" spans="26:26" x14ac:dyDescent="0.25">
      <c r="Z37981">
        <v>400000</v>
      </c>
    </row>
    <row r="37982" spans="26:26" x14ac:dyDescent="0.25">
      <c r="Z37982">
        <v>400000</v>
      </c>
    </row>
    <row r="37983" spans="26:26" x14ac:dyDescent="0.25">
      <c r="Z37983">
        <v>400000</v>
      </c>
    </row>
    <row r="37984" spans="26:26" x14ac:dyDescent="0.25">
      <c r="Z37984">
        <v>400000</v>
      </c>
    </row>
    <row r="37985" spans="26:26" x14ac:dyDescent="0.25">
      <c r="Z37985">
        <v>400000</v>
      </c>
    </row>
    <row r="37986" spans="26:26" x14ac:dyDescent="0.25">
      <c r="Z37986">
        <v>400000</v>
      </c>
    </row>
    <row r="37987" spans="26:26" x14ac:dyDescent="0.25">
      <c r="Z37987">
        <v>400000</v>
      </c>
    </row>
    <row r="37988" spans="26:26" x14ac:dyDescent="0.25">
      <c r="Z37988">
        <v>400000</v>
      </c>
    </row>
    <row r="37989" spans="26:26" x14ac:dyDescent="0.25">
      <c r="Z37989">
        <v>400000</v>
      </c>
    </row>
    <row r="37990" spans="26:26" x14ac:dyDescent="0.25">
      <c r="Z37990">
        <v>400000</v>
      </c>
    </row>
    <row r="37991" spans="26:26" x14ac:dyDescent="0.25">
      <c r="Z37991">
        <v>400000</v>
      </c>
    </row>
    <row r="37992" spans="26:26" x14ac:dyDescent="0.25">
      <c r="Z37992">
        <v>400000</v>
      </c>
    </row>
    <row r="37993" spans="26:26" x14ac:dyDescent="0.25">
      <c r="Z37993">
        <v>400000</v>
      </c>
    </row>
    <row r="37994" spans="26:26" x14ac:dyDescent="0.25">
      <c r="Z37994">
        <v>400000</v>
      </c>
    </row>
    <row r="37995" spans="26:26" x14ac:dyDescent="0.25">
      <c r="Z37995">
        <v>400000</v>
      </c>
    </row>
    <row r="37996" spans="26:26" x14ac:dyDescent="0.25">
      <c r="Z37996">
        <v>400000</v>
      </c>
    </row>
    <row r="37997" spans="26:26" x14ac:dyDescent="0.25">
      <c r="Z37997">
        <v>400000</v>
      </c>
    </row>
    <row r="37998" spans="26:26" x14ac:dyDescent="0.25">
      <c r="Z37998">
        <v>400000</v>
      </c>
    </row>
    <row r="37999" spans="26:26" x14ac:dyDescent="0.25">
      <c r="Z37999">
        <v>400000</v>
      </c>
    </row>
    <row r="38000" spans="26:26" x14ac:dyDescent="0.25">
      <c r="Z38000">
        <v>400000</v>
      </c>
    </row>
    <row r="38001" spans="26:26" x14ac:dyDescent="0.25">
      <c r="Z38001">
        <v>400000</v>
      </c>
    </row>
    <row r="38002" spans="26:26" x14ac:dyDescent="0.25">
      <c r="Z38002">
        <v>400000</v>
      </c>
    </row>
    <row r="38003" spans="26:26" x14ac:dyDescent="0.25">
      <c r="Z38003">
        <v>400000</v>
      </c>
    </row>
    <row r="38004" spans="26:26" x14ac:dyDescent="0.25">
      <c r="Z38004">
        <v>400000</v>
      </c>
    </row>
    <row r="38005" spans="26:26" x14ac:dyDescent="0.25">
      <c r="Z38005">
        <v>400000</v>
      </c>
    </row>
    <row r="38006" spans="26:26" x14ac:dyDescent="0.25">
      <c r="Z38006">
        <v>400000</v>
      </c>
    </row>
    <row r="38007" spans="26:26" x14ac:dyDescent="0.25">
      <c r="Z38007">
        <v>400000</v>
      </c>
    </row>
    <row r="38008" spans="26:26" x14ac:dyDescent="0.25">
      <c r="Z38008">
        <v>400000</v>
      </c>
    </row>
    <row r="38009" spans="26:26" x14ac:dyDescent="0.25">
      <c r="Z38009">
        <v>400000</v>
      </c>
    </row>
    <row r="38010" spans="26:26" x14ac:dyDescent="0.25">
      <c r="Z38010">
        <v>400000</v>
      </c>
    </row>
    <row r="38011" spans="26:26" x14ac:dyDescent="0.25">
      <c r="Z38011">
        <v>400000</v>
      </c>
    </row>
    <row r="38012" spans="26:26" x14ac:dyDescent="0.25">
      <c r="Z38012">
        <v>400000</v>
      </c>
    </row>
    <row r="38013" spans="26:26" x14ac:dyDescent="0.25">
      <c r="Z38013">
        <v>400000</v>
      </c>
    </row>
    <row r="38014" spans="26:26" x14ac:dyDescent="0.25">
      <c r="Z38014">
        <v>400000</v>
      </c>
    </row>
    <row r="38015" spans="26:26" x14ac:dyDescent="0.25">
      <c r="Z38015">
        <v>400000</v>
      </c>
    </row>
    <row r="38016" spans="26:26" x14ac:dyDescent="0.25">
      <c r="Z38016">
        <v>400000</v>
      </c>
    </row>
    <row r="38017" spans="26:26" x14ac:dyDescent="0.25">
      <c r="Z38017">
        <v>400000</v>
      </c>
    </row>
    <row r="38018" spans="26:26" x14ac:dyDescent="0.25">
      <c r="Z38018">
        <v>400000</v>
      </c>
    </row>
    <row r="38019" spans="26:26" x14ac:dyDescent="0.25">
      <c r="Z38019">
        <v>400000</v>
      </c>
    </row>
    <row r="38020" spans="26:26" x14ac:dyDescent="0.25">
      <c r="Z38020">
        <v>400000</v>
      </c>
    </row>
    <row r="38021" spans="26:26" x14ac:dyDescent="0.25">
      <c r="Z38021">
        <v>400000</v>
      </c>
    </row>
    <row r="38022" spans="26:26" x14ac:dyDescent="0.25">
      <c r="Z38022">
        <v>400000</v>
      </c>
    </row>
    <row r="38023" spans="26:26" x14ac:dyDescent="0.25">
      <c r="Z38023">
        <v>400000</v>
      </c>
    </row>
    <row r="38024" spans="26:26" x14ac:dyDescent="0.25">
      <c r="Z38024">
        <v>400000</v>
      </c>
    </row>
    <row r="38025" spans="26:26" x14ac:dyDescent="0.25">
      <c r="Z38025">
        <v>400000</v>
      </c>
    </row>
    <row r="38026" spans="26:26" x14ac:dyDescent="0.25">
      <c r="Z38026">
        <v>400000</v>
      </c>
    </row>
    <row r="38027" spans="26:26" x14ac:dyDescent="0.25">
      <c r="Z38027">
        <v>400000</v>
      </c>
    </row>
    <row r="38028" spans="26:26" x14ac:dyDescent="0.25">
      <c r="Z38028">
        <v>400000</v>
      </c>
    </row>
    <row r="38029" spans="26:26" x14ac:dyDescent="0.25">
      <c r="Z38029">
        <v>400000</v>
      </c>
    </row>
    <row r="38030" spans="26:26" x14ac:dyDescent="0.25">
      <c r="Z38030">
        <v>400000</v>
      </c>
    </row>
    <row r="38031" spans="26:26" x14ac:dyDescent="0.25">
      <c r="Z38031">
        <v>400000</v>
      </c>
    </row>
    <row r="38032" spans="26:26" x14ac:dyDescent="0.25">
      <c r="Z38032">
        <v>400000</v>
      </c>
    </row>
    <row r="38033" spans="26:26" x14ac:dyDescent="0.25">
      <c r="Z38033">
        <v>400000</v>
      </c>
    </row>
    <row r="38034" spans="26:26" x14ac:dyDescent="0.25">
      <c r="Z38034">
        <v>400000</v>
      </c>
    </row>
    <row r="38035" spans="26:26" x14ac:dyDescent="0.25">
      <c r="Z38035">
        <v>400000</v>
      </c>
    </row>
    <row r="38036" spans="26:26" x14ac:dyDescent="0.25">
      <c r="Z38036">
        <v>400000</v>
      </c>
    </row>
    <row r="38037" spans="26:26" x14ac:dyDescent="0.25">
      <c r="Z38037">
        <v>400000</v>
      </c>
    </row>
    <row r="38038" spans="26:26" x14ac:dyDescent="0.25">
      <c r="Z38038">
        <v>400000</v>
      </c>
    </row>
    <row r="38039" spans="26:26" x14ac:dyDescent="0.25">
      <c r="Z38039">
        <v>400000</v>
      </c>
    </row>
    <row r="38040" spans="26:26" x14ac:dyDescent="0.25">
      <c r="Z38040">
        <v>400000</v>
      </c>
    </row>
    <row r="38041" spans="26:26" x14ac:dyDescent="0.25">
      <c r="Z38041">
        <v>400000</v>
      </c>
    </row>
    <row r="38042" spans="26:26" x14ac:dyDescent="0.25">
      <c r="Z38042">
        <v>400000</v>
      </c>
    </row>
    <row r="38043" spans="26:26" x14ac:dyDescent="0.25">
      <c r="Z38043">
        <v>400000</v>
      </c>
    </row>
    <row r="38044" spans="26:26" x14ac:dyDescent="0.25">
      <c r="Z38044">
        <v>400000</v>
      </c>
    </row>
    <row r="38045" spans="26:26" x14ac:dyDescent="0.25">
      <c r="Z38045">
        <v>400000</v>
      </c>
    </row>
    <row r="38046" spans="26:26" x14ac:dyDescent="0.25">
      <c r="Z38046">
        <v>400000</v>
      </c>
    </row>
    <row r="38047" spans="26:26" x14ac:dyDescent="0.25">
      <c r="Z38047">
        <v>400000</v>
      </c>
    </row>
    <row r="38048" spans="26:26" x14ac:dyDescent="0.25">
      <c r="Z38048">
        <v>400000</v>
      </c>
    </row>
    <row r="38049" spans="26:26" x14ac:dyDescent="0.25">
      <c r="Z38049">
        <v>400000</v>
      </c>
    </row>
    <row r="38050" spans="26:26" x14ac:dyDescent="0.25">
      <c r="Z38050">
        <v>400000</v>
      </c>
    </row>
    <row r="38051" spans="26:26" x14ac:dyDescent="0.25">
      <c r="Z38051">
        <v>400000</v>
      </c>
    </row>
    <row r="38052" spans="26:26" x14ac:dyDescent="0.25">
      <c r="Z38052">
        <v>400000</v>
      </c>
    </row>
    <row r="38053" spans="26:26" x14ac:dyDescent="0.25">
      <c r="Z38053">
        <v>400000</v>
      </c>
    </row>
    <row r="38054" spans="26:26" x14ac:dyDescent="0.25">
      <c r="Z38054">
        <v>400000</v>
      </c>
    </row>
    <row r="38055" spans="26:26" x14ac:dyDescent="0.25">
      <c r="Z38055">
        <v>400000</v>
      </c>
    </row>
    <row r="38056" spans="26:26" x14ac:dyDescent="0.25">
      <c r="Z38056">
        <v>400000</v>
      </c>
    </row>
    <row r="38057" spans="26:26" x14ac:dyDescent="0.25">
      <c r="Z38057">
        <v>400000</v>
      </c>
    </row>
    <row r="38058" spans="26:26" x14ac:dyDescent="0.25">
      <c r="Z38058">
        <v>400000</v>
      </c>
    </row>
    <row r="38059" spans="26:26" x14ac:dyDescent="0.25">
      <c r="Z38059">
        <v>400000</v>
      </c>
    </row>
    <row r="38060" spans="26:26" x14ac:dyDescent="0.25">
      <c r="Z38060">
        <v>400000</v>
      </c>
    </row>
    <row r="38061" spans="26:26" x14ac:dyDescent="0.25">
      <c r="Z38061">
        <v>400000</v>
      </c>
    </row>
    <row r="38062" spans="26:26" x14ac:dyDescent="0.25">
      <c r="Z38062">
        <v>400000</v>
      </c>
    </row>
    <row r="38063" spans="26:26" x14ac:dyDescent="0.25">
      <c r="Z38063">
        <v>400000</v>
      </c>
    </row>
    <row r="38064" spans="26:26" x14ac:dyDescent="0.25">
      <c r="Z38064">
        <v>400000</v>
      </c>
    </row>
    <row r="38065" spans="26:26" x14ac:dyDescent="0.25">
      <c r="Z38065">
        <v>400000</v>
      </c>
    </row>
    <row r="38066" spans="26:26" x14ac:dyDescent="0.25">
      <c r="Z38066">
        <v>400000</v>
      </c>
    </row>
    <row r="38067" spans="26:26" x14ac:dyDescent="0.25">
      <c r="Z38067">
        <v>400000</v>
      </c>
    </row>
    <row r="38068" spans="26:26" x14ac:dyDescent="0.25">
      <c r="Z38068">
        <v>400000</v>
      </c>
    </row>
    <row r="38069" spans="26:26" x14ac:dyDescent="0.25">
      <c r="Z38069">
        <v>400000</v>
      </c>
    </row>
    <row r="38070" spans="26:26" x14ac:dyDescent="0.25">
      <c r="Z38070">
        <v>400000</v>
      </c>
    </row>
    <row r="38071" spans="26:26" x14ac:dyDescent="0.25">
      <c r="Z38071">
        <v>400000</v>
      </c>
    </row>
    <row r="38072" spans="26:26" x14ac:dyDescent="0.25">
      <c r="Z38072">
        <v>400000</v>
      </c>
    </row>
    <row r="38073" spans="26:26" x14ac:dyDescent="0.25">
      <c r="Z38073">
        <v>400000</v>
      </c>
    </row>
    <row r="38074" spans="26:26" x14ac:dyDescent="0.25">
      <c r="Z38074">
        <v>400000</v>
      </c>
    </row>
    <row r="38075" spans="26:26" x14ac:dyDescent="0.25">
      <c r="Z38075">
        <v>400000</v>
      </c>
    </row>
    <row r="38076" spans="26:26" x14ac:dyDescent="0.25">
      <c r="Z38076">
        <v>400000</v>
      </c>
    </row>
    <row r="38077" spans="26:26" x14ac:dyDescent="0.25">
      <c r="Z38077">
        <v>400000</v>
      </c>
    </row>
    <row r="38078" spans="26:26" x14ac:dyDescent="0.25">
      <c r="Z38078">
        <v>400000</v>
      </c>
    </row>
    <row r="38079" spans="26:26" x14ac:dyDescent="0.25">
      <c r="Z38079">
        <v>400000</v>
      </c>
    </row>
    <row r="38080" spans="26:26" x14ac:dyDescent="0.25">
      <c r="Z38080">
        <v>400000</v>
      </c>
    </row>
    <row r="38081" spans="26:26" x14ac:dyDescent="0.25">
      <c r="Z38081">
        <v>400000</v>
      </c>
    </row>
    <row r="38082" spans="26:26" x14ac:dyDescent="0.25">
      <c r="Z38082">
        <v>400000</v>
      </c>
    </row>
    <row r="38083" spans="26:26" x14ac:dyDescent="0.25">
      <c r="Z38083">
        <v>400000</v>
      </c>
    </row>
    <row r="38084" spans="26:26" x14ac:dyDescent="0.25">
      <c r="Z38084">
        <v>400000</v>
      </c>
    </row>
    <row r="38085" spans="26:26" x14ac:dyDescent="0.25">
      <c r="Z38085">
        <v>400000</v>
      </c>
    </row>
    <row r="38086" spans="26:26" x14ac:dyDescent="0.25">
      <c r="Z38086">
        <v>400000</v>
      </c>
    </row>
    <row r="38087" spans="26:26" x14ac:dyDescent="0.25">
      <c r="Z38087">
        <v>400000</v>
      </c>
    </row>
    <row r="38088" spans="26:26" x14ac:dyDescent="0.25">
      <c r="Z38088">
        <v>400000</v>
      </c>
    </row>
    <row r="38089" spans="26:26" x14ac:dyDescent="0.25">
      <c r="Z38089">
        <v>400000</v>
      </c>
    </row>
    <row r="38090" spans="26:26" x14ac:dyDescent="0.25">
      <c r="Z38090">
        <v>400000</v>
      </c>
    </row>
    <row r="38091" spans="26:26" x14ac:dyDescent="0.25">
      <c r="Z38091">
        <v>400000</v>
      </c>
    </row>
    <row r="38092" spans="26:26" x14ac:dyDescent="0.25">
      <c r="Z38092">
        <v>400000</v>
      </c>
    </row>
    <row r="38093" spans="26:26" x14ac:dyDescent="0.25">
      <c r="Z38093">
        <v>400000</v>
      </c>
    </row>
    <row r="38094" spans="26:26" x14ac:dyDescent="0.25">
      <c r="Z38094">
        <v>400000</v>
      </c>
    </row>
    <row r="38095" spans="26:26" x14ac:dyDescent="0.25">
      <c r="Z38095">
        <v>400000</v>
      </c>
    </row>
    <row r="38096" spans="26:26" x14ac:dyDescent="0.25">
      <c r="Z38096">
        <v>400000</v>
      </c>
    </row>
    <row r="38097" spans="26:26" x14ac:dyDescent="0.25">
      <c r="Z38097">
        <v>400000</v>
      </c>
    </row>
    <row r="38098" spans="26:26" x14ac:dyDescent="0.25">
      <c r="Z38098">
        <v>400000</v>
      </c>
    </row>
    <row r="38099" spans="26:26" x14ac:dyDescent="0.25">
      <c r="Z38099">
        <v>400000</v>
      </c>
    </row>
    <row r="38100" spans="26:26" x14ac:dyDescent="0.25">
      <c r="Z38100">
        <v>400000</v>
      </c>
    </row>
    <row r="38101" spans="26:26" x14ac:dyDescent="0.25">
      <c r="Z38101">
        <v>400000</v>
      </c>
    </row>
    <row r="38102" spans="26:26" x14ac:dyDescent="0.25">
      <c r="Z38102">
        <v>400000</v>
      </c>
    </row>
    <row r="38103" spans="26:26" x14ac:dyDescent="0.25">
      <c r="Z38103">
        <v>400000</v>
      </c>
    </row>
    <row r="38104" spans="26:26" x14ac:dyDescent="0.25">
      <c r="Z38104">
        <v>400000</v>
      </c>
    </row>
    <row r="38105" spans="26:26" x14ac:dyDescent="0.25">
      <c r="Z38105">
        <v>400000</v>
      </c>
    </row>
    <row r="38106" spans="26:26" x14ac:dyDescent="0.25">
      <c r="Z38106">
        <v>400000</v>
      </c>
    </row>
    <row r="38107" spans="26:26" x14ac:dyDescent="0.25">
      <c r="Z38107">
        <v>400000</v>
      </c>
    </row>
    <row r="38108" spans="26:26" x14ac:dyDescent="0.25">
      <c r="Z38108">
        <v>400000</v>
      </c>
    </row>
    <row r="38109" spans="26:26" x14ac:dyDescent="0.25">
      <c r="Z38109">
        <v>400000</v>
      </c>
    </row>
    <row r="38110" spans="26:26" x14ac:dyDescent="0.25">
      <c r="Z38110">
        <v>400000</v>
      </c>
    </row>
    <row r="38111" spans="26:26" x14ac:dyDescent="0.25">
      <c r="Z38111">
        <v>400000</v>
      </c>
    </row>
    <row r="38112" spans="26:26" x14ac:dyDescent="0.25">
      <c r="Z38112">
        <v>400000</v>
      </c>
    </row>
    <row r="38113" spans="26:26" x14ac:dyDescent="0.25">
      <c r="Z38113">
        <v>400000</v>
      </c>
    </row>
    <row r="38114" spans="26:26" x14ac:dyDescent="0.25">
      <c r="Z38114">
        <v>400000</v>
      </c>
    </row>
    <row r="38115" spans="26:26" x14ac:dyDescent="0.25">
      <c r="Z38115">
        <v>400000</v>
      </c>
    </row>
    <row r="38116" spans="26:26" x14ac:dyDescent="0.25">
      <c r="Z38116">
        <v>400000</v>
      </c>
    </row>
    <row r="38117" spans="26:26" x14ac:dyDescent="0.25">
      <c r="Z38117">
        <v>400000</v>
      </c>
    </row>
    <row r="38118" spans="26:26" x14ac:dyDescent="0.25">
      <c r="Z38118">
        <v>400000</v>
      </c>
    </row>
    <row r="38119" spans="26:26" x14ac:dyDescent="0.25">
      <c r="Z38119">
        <v>400000</v>
      </c>
    </row>
    <row r="38120" spans="26:26" x14ac:dyDescent="0.25">
      <c r="Z38120">
        <v>400000</v>
      </c>
    </row>
    <row r="38121" spans="26:26" x14ac:dyDescent="0.25">
      <c r="Z38121">
        <v>400000</v>
      </c>
    </row>
    <row r="38122" spans="26:26" x14ac:dyDescent="0.25">
      <c r="Z38122">
        <v>400000</v>
      </c>
    </row>
    <row r="38123" spans="26:26" x14ac:dyDescent="0.25">
      <c r="Z38123">
        <v>400000</v>
      </c>
    </row>
    <row r="38124" spans="26:26" x14ac:dyDescent="0.25">
      <c r="Z38124">
        <v>400000</v>
      </c>
    </row>
    <row r="38125" spans="26:26" x14ac:dyDescent="0.25">
      <c r="Z38125">
        <v>400000</v>
      </c>
    </row>
    <row r="38126" spans="26:26" x14ac:dyDescent="0.25">
      <c r="Z38126">
        <v>400000</v>
      </c>
    </row>
    <row r="38127" spans="26:26" x14ac:dyDescent="0.25">
      <c r="Z38127">
        <v>400000</v>
      </c>
    </row>
    <row r="38128" spans="26:26" x14ac:dyDescent="0.25">
      <c r="Z38128">
        <v>400000</v>
      </c>
    </row>
    <row r="38129" spans="26:26" x14ac:dyDescent="0.25">
      <c r="Z38129">
        <v>400000</v>
      </c>
    </row>
    <row r="38130" spans="26:26" x14ac:dyDescent="0.25">
      <c r="Z38130">
        <v>400000</v>
      </c>
    </row>
    <row r="38131" spans="26:26" x14ac:dyDescent="0.25">
      <c r="Z38131">
        <v>400000</v>
      </c>
    </row>
    <row r="38132" spans="26:26" x14ac:dyDescent="0.25">
      <c r="Z38132">
        <v>400000</v>
      </c>
    </row>
    <row r="38133" spans="26:26" x14ac:dyDescent="0.25">
      <c r="Z38133">
        <v>400000</v>
      </c>
    </row>
    <row r="38134" spans="26:26" x14ac:dyDescent="0.25">
      <c r="Z38134">
        <v>400000</v>
      </c>
    </row>
    <row r="38135" spans="26:26" x14ac:dyDescent="0.25">
      <c r="Z38135">
        <v>400000</v>
      </c>
    </row>
    <row r="38136" spans="26:26" x14ac:dyDescent="0.25">
      <c r="Z38136">
        <v>400000</v>
      </c>
    </row>
    <row r="38137" spans="26:26" x14ac:dyDescent="0.25">
      <c r="Z38137">
        <v>400000</v>
      </c>
    </row>
    <row r="38138" spans="26:26" x14ac:dyDescent="0.25">
      <c r="Z38138">
        <v>400000</v>
      </c>
    </row>
    <row r="38139" spans="26:26" x14ac:dyDescent="0.25">
      <c r="Z38139">
        <v>400000</v>
      </c>
    </row>
    <row r="38140" spans="26:26" x14ac:dyDescent="0.25">
      <c r="Z38140">
        <v>400000</v>
      </c>
    </row>
    <row r="38141" spans="26:26" x14ac:dyDescent="0.25">
      <c r="Z38141">
        <v>400000</v>
      </c>
    </row>
    <row r="38142" spans="26:26" x14ac:dyDescent="0.25">
      <c r="Z38142">
        <v>400000</v>
      </c>
    </row>
    <row r="38143" spans="26:26" x14ac:dyDescent="0.25">
      <c r="Z38143">
        <v>400000</v>
      </c>
    </row>
    <row r="38144" spans="26:26" x14ac:dyDescent="0.25">
      <c r="Z38144">
        <v>400000</v>
      </c>
    </row>
    <row r="38145" spans="26:26" x14ac:dyDescent="0.25">
      <c r="Z38145">
        <v>400000</v>
      </c>
    </row>
    <row r="38146" spans="26:26" x14ac:dyDescent="0.25">
      <c r="Z38146">
        <v>400000</v>
      </c>
    </row>
    <row r="38147" spans="26:26" x14ac:dyDescent="0.25">
      <c r="Z38147">
        <v>400000</v>
      </c>
    </row>
    <row r="38148" spans="26:26" x14ac:dyDescent="0.25">
      <c r="Z38148">
        <v>400000</v>
      </c>
    </row>
    <row r="38149" spans="26:26" x14ac:dyDescent="0.25">
      <c r="Z38149">
        <v>400000</v>
      </c>
    </row>
    <row r="38150" spans="26:26" x14ac:dyDescent="0.25">
      <c r="Z38150">
        <v>400000</v>
      </c>
    </row>
    <row r="38151" spans="26:26" x14ac:dyDescent="0.25">
      <c r="Z38151">
        <v>400000</v>
      </c>
    </row>
    <row r="38152" spans="26:26" x14ac:dyDescent="0.25">
      <c r="Z38152">
        <v>400000</v>
      </c>
    </row>
    <row r="38153" spans="26:26" x14ac:dyDescent="0.25">
      <c r="Z38153">
        <v>400000</v>
      </c>
    </row>
    <row r="38154" spans="26:26" x14ac:dyDescent="0.25">
      <c r="Z38154">
        <v>400000</v>
      </c>
    </row>
    <row r="38155" spans="26:26" x14ac:dyDescent="0.25">
      <c r="Z38155">
        <v>400000</v>
      </c>
    </row>
    <row r="38156" spans="26:26" x14ac:dyDescent="0.25">
      <c r="Z38156">
        <v>400000</v>
      </c>
    </row>
    <row r="38157" spans="26:26" x14ac:dyDescent="0.25">
      <c r="Z38157">
        <v>400000</v>
      </c>
    </row>
    <row r="38158" spans="26:26" x14ac:dyDescent="0.25">
      <c r="Z38158">
        <v>400000</v>
      </c>
    </row>
    <row r="38159" spans="26:26" x14ac:dyDescent="0.25">
      <c r="Z38159">
        <v>400000</v>
      </c>
    </row>
    <row r="38160" spans="26:26" x14ac:dyDescent="0.25">
      <c r="Z38160">
        <v>400000</v>
      </c>
    </row>
    <row r="38161" spans="26:26" x14ac:dyDescent="0.25">
      <c r="Z38161">
        <v>400000</v>
      </c>
    </row>
    <row r="38162" spans="26:26" x14ac:dyDescent="0.25">
      <c r="Z38162">
        <v>400000</v>
      </c>
    </row>
    <row r="38163" spans="26:26" x14ac:dyDescent="0.25">
      <c r="Z38163">
        <v>400000</v>
      </c>
    </row>
    <row r="38164" spans="26:26" x14ac:dyDescent="0.25">
      <c r="Z38164">
        <v>400000</v>
      </c>
    </row>
    <row r="38165" spans="26:26" x14ac:dyDescent="0.25">
      <c r="Z38165">
        <v>400000</v>
      </c>
    </row>
    <row r="38166" spans="26:26" x14ac:dyDescent="0.25">
      <c r="Z38166">
        <v>400000</v>
      </c>
    </row>
    <row r="38167" spans="26:26" x14ac:dyDescent="0.25">
      <c r="Z38167">
        <v>400000</v>
      </c>
    </row>
    <row r="38168" spans="26:26" x14ac:dyDescent="0.25">
      <c r="Z38168">
        <v>400000</v>
      </c>
    </row>
    <row r="38169" spans="26:26" x14ac:dyDescent="0.25">
      <c r="Z38169">
        <v>400000</v>
      </c>
    </row>
    <row r="38170" spans="26:26" x14ac:dyDescent="0.25">
      <c r="Z38170">
        <v>400000</v>
      </c>
    </row>
    <row r="38171" spans="26:26" x14ac:dyDescent="0.25">
      <c r="Z38171">
        <v>400000</v>
      </c>
    </row>
    <row r="38172" spans="26:26" x14ac:dyDescent="0.25">
      <c r="Z38172">
        <v>400000</v>
      </c>
    </row>
    <row r="38173" spans="26:26" x14ac:dyDescent="0.25">
      <c r="Z38173">
        <v>400000</v>
      </c>
    </row>
    <row r="38174" spans="26:26" x14ac:dyDescent="0.25">
      <c r="Z38174">
        <v>400000</v>
      </c>
    </row>
    <row r="38175" spans="26:26" x14ac:dyDescent="0.25">
      <c r="Z38175">
        <v>400000</v>
      </c>
    </row>
    <row r="38176" spans="26:26" x14ac:dyDescent="0.25">
      <c r="Z38176">
        <v>400000</v>
      </c>
    </row>
    <row r="38177" spans="26:26" x14ac:dyDescent="0.25">
      <c r="Z38177">
        <v>400000</v>
      </c>
    </row>
    <row r="38178" spans="26:26" x14ac:dyDescent="0.25">
      <c r="Z38178">
        <v>400000</v>
      </c>
    </row>
    <row r="38179" spans="26:26" x14ac:dyDescent="0.25">
      <c r="Z38179">
        <v>400000</v>
      </c>
    </row>
    <row r="38180" spans="26:26" x14ac:dyDescent="0.25">
      <c r="Z38180">
        <v>400000</v>
      </c>
    </row>
    <row r="38181" spans="26:26" x14ac:dyDescent="0.25">
      <c r="Z38181">
        <v>400000</v>
      </c>
    </row>
    <row r="38182" spans="26:26" x14ac:dyDescent="0.25">
      <c r="Z38182">
        <v>400000</v>
      </c>
    </row>
    <row r="38183" spans="26:26" x14ac:dyDescent="0.25">
      <c r="Z38183">
        <v>400000</v>
      </c>
    </row>
    <row r="38184" spans="26:26" x14ac:dyDescent="0.25">
      <c r="Z38184">
        <v>400000</v>
      </c>
    </row>
    <row r="38185" spans="26:26" x14ac:dyDescent="0.25">
      <c r="Z38185">
        <v>400000</v>
      </c>
    </row>
    <row r="38186" spans="26:26" x14ac:dyDescent="0.25">
      <c r="Z38186">
        <v>400000</v>
      </c>
    </row>
    <row r="38187" spans="26:26" x14ac:dyDescent="0.25">
      <c r="Z38187">
        <v>400000</v>
      </c>
    </row>
    <row r="38188" spans="26:26" x14ac:dyDescent="0.25">
      <c r="Z38188">
        <v>400000</v>
      </c>
    </row>
    <row r="38189" spans="26:26" x14ac:dyDescent="0.25">
      <c r="Z38189">
        <v>400000</v>
      </c>
    </row>
    <row r="38190" spans="26:26" x14ac:dyDescent="0.25">
      <c r="Z38190">
        <v>400000</v>
      </c>
    </row>
    <row r="38191" spans="26:26" x14ac:dyDescent="0.25">
      <c r="Z38191">
        <v>400000</v>
      </c>
    </row>
    <row r="38192" spans="26:26" x14ac:dyDescent="0.25">
      <c r="Z38192">
        <v>400000</v>
      </c>
    </row>
    <row r="38193" spans="26:26" x14ac:dyDescent="0.25">
      <c r="Z38193">
        <v>400000</v>
      </c>
    </row>
    <row r="38194" spans="26:26" x14ac:dyDescent="0.25">
      <c r="Z38194">
        <v>400000</v>
      </c>
    </row>
    <row r="38195" spans="26:26" x14ac:dyDescent="0.25">
      <c r="Z38195">
        <v>400000</v>
      </c>
    </row>
    <row r="38196" spans="26:26" x14ac:dyDescent="0.25">
      <c r="Z38196">
        <v>400000</v>
      </c>
    </row>
    <row r="38197" spans="26:26" x14ac:dyDescent="0.25">
      <c r="Z38197">
        <v>400000</v>
      </c>
    </row>
    <row r="38198" spans="26:26" x14ac:dyDescent="0.25">
      <c r="Z38198">
        <v>400000</v>
      </c>
    </row>
    <row r="38199" spans="26:26" x14ac:dyDescent="0.25">
      <c r="Z38199">
        <v>400000</v>
      </c>
    </row>
    <row r="38200" spans="26:26" x14ac:dyDescent="0.25">
      <c r="Z38200">
        <v>400000</v>
      </c>
    </row>
    <row r="38201" spans="26:26" x14ac:dyDescent="0.25">
      <c r="Z38201">
        <v>400000</v>
      </c>
    </row>
    <row r="38202" spans="26:26" x14ac:dyDescent="0.25">
      <c r="Z38202">
        <v>400000</v>
      </c>
    </row>
    <row r="38203" spans="26:26" x14ac:dyDescent="0.25">
      <c r="Z38203">
        <v>400000</v>
      </c>
    </row>
    <row r="38204" spans="26:26" x14ac:dyDescent="0.25">
      <c r="Z38204">
        <v>400000</v>
      </c>
    </row>
    <row r="38205" spans="26:26" x14ac:dyDescent="0.25">
      <c r="Z38205">
        <v>400000</v>
      </c>
    </row>
    <row r="38206" spans="26:26" x14ac:dyDescent="0.25">
      <c r="Z38206">
        <v>400000</v>
      </c>
    </row>
    <row r="38207" spans="26:26" x14ac:dyDescent="0.25">
      <c r="Z38207">
        <v>400000</v>
      </c>
    </row>
    <row r="38208" spans="26:26" x14ac:dyDescent="0.25">
      <c r="Z38208">
        <v>400000</v>
      </c>
    </row>
    <row r="38209" spans="26:26" x14ac:dyDescent="0.25">
      <c r="Z38209">
        <v>400000</v>
      </c>
    </row>
    <row r="38210" spans="26:26" x14ac:dyDescent="0.25">
      <c r="Z38210">
        <v>400000</v>
      </c>
    </row>
    <row r="38211" spans="26:26" x14ac:dyDescent="0.25">
      <c r="Z38211">
        <v>400000</v>
      </c>
    </row>
    <row r="38212" spans="26:26" x14ac:dyDescent="0.25">
      <c r="Z38212">
        <v>400000</v>
      </c>
    </row>
    <row r="38213" spans="26:26" x14ac:dyDescent="0.25">
      <c r="Z38213">
        <v>400000</v>
      </c>
    </row>
    <row r="38214" spans="26:26" x14ac:dyDescent="0.25">
      <c r="Z38214">
        <v>400000</v>
      </c>
    </row>
    <row r="38215" spans="26:26" x14ac:dyDescent="0.25">
      <c r="Z38215">
        <v>400000</v>
      </c>
    </row>
    <row r="38216" spans="26:26" x14ac:dyDescent="0.25">
      <c r="Z38216">
        <v>400000</v>
      </c>
    </row>
    <row r="38217" spans="26:26" x14ac:dyDescent="0.25">
      <c r="Z38217">
        <v>400000</v>
      </c>
    </row>
    <row r="38218" spans="26:26" x14ac:dyDescent="0.25">
      <c r="Z38218">
        <v>400000</v>
      </c>
    </row>
    <row r="38219" spans="26:26" x14ac:dyDescent="0.25">
      <c r="Z38219">
        <v>400000</v>
      </c>
    </row>
    <row r="38220" spans="26:26" x14ac:dyDescent="0.25">
      <c r="Z38220">
        <v>400000</v>
      </c>
    </row>
    <row r="38221" spans="26:26" x14ac:dyDescent="0.25">
      <c r="Z38221">
        <v>400000</v>
      </c>
    </row>
    <row r="38222" spans="26:26" x14ac:dyDescent="0.25">
      <c r="Z38222">
        <v>400000</v>
      </c>
    </row>
    <row r="38223" spans="26:26" x14ac:dyDescent="0.25">
      <c r="Z38223">
        <v>400000</v>
      </c>
    </row>
    <row r="38224" spans="26:26" x14ac:dyDescent="0.25">
      <c r="Z38224">
        <v>400000</v>
      </c>
    </row>
    <row r="38225" spans="26:26" x14ac:dyDescent="0.25">
      <c r="Z38225">
        <v>400000</v>
      </c>
    </row>
    <row r="38226" spans="26:26" x14ac:dyDescent="0.25">
      <c r="Z38226">
        <v>400000</v>
      </c>
    </row>
    <row r="38227" spans="26:26" x14ac:dyDescent="0.25">
      <c r="Z38227">
        <v>400000</v>
      </c>
    </row>
    <row r="38228" spans="26:26" x14ac:dyDescent="0.25">
      <c r="Z38228">
        <v>400000</v>
      </c>
    </row>
    <row r="38229" spans="26:26" x14ac:dyDescent="0.25">
      <c r="Z38229">
        <v>400000</v>
      </c>
    </row>
    <row r="38230" spans="26:26" x14ac:dyDescent="0.25">
      <c r="Z38230">
        <v>400000</v>
      </c>
    </row>
    <row r="38231" spans="26:26" x14ac:dyDescent="0.25">
      <c r="Z38231">
        <v>400000</v>
      </c>
    </row>
    <row r="38232" spans="26:26" x14ac:dyDescent="0.25">
      <c r="Z38232">
        <v>400000</v>
      </c>
    </row>
    <row r="38233" spans="26:26" x14ac:dyDescent="0.25">
      <c r="Z38233">
        <v>400000</v>
      </c>
    </row>
    <row r="38234" spans="26:26" x14ac:dyDescent="0.25">
      <c r="Z38234">
        <v>400000</v>
      </c>
    </row>
    <row r="38235" spans="26:26" x14ac:dyDescent="0.25">
      <c r="Z38235">
        <v>400000</v>
      </c>
    </row>
    <row r="38236" spans="26:26" x14ac:dyDescent="0.25">
      <c r="Z38236">
        <v>400000</v>
      </c>
    </row>
    <row r="38237" spans="26:26" x14ac:dyDescent="0.25">
      <c r="Z38237">
        <v>400000</v>
      </c>
    </row>
    <row r="38238" spans="26:26" x14ac:dyDescent="0.25">
      <c r="Z38238">
        <v>400000</v>
      </c>
    </row>
    <row r="38239" spans="26:26" x14ac:dyDescent="0.25">
      <c r="Z38239">
        <v>400000</v>
      </c>
    </row>
    <row r="38240" spans="26:26" x14ac:dyDescent="0.25">
      <c r="Z38240">
        <v>400000</v>
      </c>
    </row>
    <row r="38241" spans="26:26" x14ac:dyDescent="0.25">
      <c r="Z38241">
        <v>400000</v>
      </c>
    </row>
    <row r="38242" spans="26:26" x14ac:dyDescent="0.25">
      <c r="Z38242">
        <v>400000</v>
      </c>
    </row>
    <row r="38243" spans="26:26" x14ac:dyDescent="0.25">
      <c r="Z38243">
        <v>400000</v>
      </c>
    </row>
    <row r="38244" spans="26:26" x14ac:dyDescent="0.25">
      <c r="Z38244">
        <v>400000</v>
      </c>
    </row>
    <row r="38245" spans="26:26" x14ac:dyDescent="0.25">
      <c r="Z38245">
        <v>400000</v>
      </c>
    </row>
    <row r="38246" spans="26:26" x14ac:dyDescent="0.25">
      <c r="Z38246">
        <v>400000</v>
      </c>
    </row>
    <row r="38247" spans="26:26" x14ac:dyDescent="0.25">
      <c r="Z38247">
        <v>400000</v>
      </c>
    </row>
    <row r="38248" spans="26:26" x14ac:dyDescent="0.25">
      <c r="Z38248">
        <v>400000</v>
      </c>
    </row>
    <row r="38249" spans="26:26" x14ac:dyDescent="0.25">
      <c r="Z38249">
        <v>400000</v>
      </c>
    </row>
    <row r="38250" spans="26:26" x14ac:dyDescent="0.25">
      <c r="Z38250">
        <v>400000</v>
      </c>
    </row>
    <row r="38251" spans="26:26" x14ac:dyDescent="0.25">
      <c r="Z38251">
        <v>400000</v>
      </c>
    </row>
    <row r="38252" spans="26:26" x14ac:dyDescent="0.25">
      <c r="Z38252">
        <v>400000</v>
      </c>
    </row>
    <row r="38253" spans="26:26" x14ac:dyDescent="0.25">
      <c r="Z38253">
        <v>400000</v>
      </c>
    </row>
    <row r="38254" spans="26:26" x14ac:dyDescent="0.25">
      <c r="Z38254">
        <v>400000</v>
      </c>
    </row>
    <row r="38255" spans="26:26" x14ac:dyDescent="0.25">
      <c r="Z38255">
        <v>400000</v>
      </c>
    </row>
    <row r="38256" spans="26:26" x14ac:dyDescent="0.25">
      <c r="Z38256">
        <v>400000</v>
      </c>
    </row>
    <row r="38257" spans="26:26" x14ac:dyDescent="0.25">
      <c r="Z38257">
        <v>400000</v>
      </c>
    </row>
    <row r="38258" spans="26:26" x14ac:dyDescent="0.25">
      <c r="Z38258">
        <v>400000</v>
      </c>
    </row>
    <row r="38259" spans="26:26" x14ac:dyDescent="0.25">
      <c r="Z38259">
        <v>400000</v>
      </c>
    </row>
    <row r="38260" spans="26:26" x14ac:dyDescent="0.25">
      <c r="Z38260">
        <v>400000</v>
      </c>
    </row>
    <row r="38261" spans="26:26" x14ac:dyDescent="0.25">
      <c r="Z38261">
        <v>400000</v>
      </c>
    </row>
    <row r="38262" spans="26:26" x14ac:dyDescent="0.25">
      <c r="Z38262">
        <v>400000</v>
      </c>
    </row>
    <row r="38263" spans="26:26" x14ac:dyDescent="0.25">
      <c r="Z38263">
        <v>400000</v>
      </c>
    </row>
    <row r="38264" spans="26:26" x14ac:dyDescent="0.25">
      <c r="Z38264">
        <v>400000</v>
      </c>
    </row>
    <row r="38265" spans="26:26" x14ac:dyDescent="0.25">
      <c r="Z38265">
        <v>400000</v>
      </c>
    </row>
    <row r="38266" spans="26:26" x14ac:dyDescent="0.25">
      <c r="Z38266">
        <v>400000</v>
      </c>
    </row>
    <row r="38267" spans="26:26" x14ac:dyDescent="0.25">
      <c r="Z38267">
        <v>400000</v>
      </c>
    </row>
    <row r="38268" spans="26:26" x14ac:dyDescent="0.25">
      <c r="Z38268">
        <v>400000</v>
      </c>
    </row>
    <row r="38269" spans="26:26" x14ac:dyDescent="0.25">
      <c r="Z38269">
        <v>400000</v>
      </c>
    </row>
    <row r="38270" spans="26:26" x14ac:dyDescent="0.25">
      <c r="Z38270">
        <v>400000</v>
      </c>
    </row>
    <row r="38271" spans="26:26" x14ac:dyDescent="0.25">
      <c r="Z38271">
        <v>400000</v>
      </c>
    </row>
    <row r="38272" spans="26:26" x14ac:dyDescent="0.25">
      <c r="Z38272">
        <v>400000</v>
      </c>
    </row>
    <row r="38273" spans="26:26" x14ac:dyDescent="0.25">
      <c r="Z38273">
        <v>400000</v>
      </c>
    </row>
    <row r="38274" spans="26:26" x14ac:dyDescent="0.25">
      <c r="Z38274">
        <v>400000</v>
      </c>
    </row>
    <row r="38275" spans="26:26" x14ac:dyDescent="0.25">
      <c r="Z38275">
        <v>400000</v>
      </c>
    </row>
    <row r="38276" spans="26:26" x14ac:dyDescent="0.25">
      <c r="Z38276">
        <v>400000</v>
      </c>
    </row>
    <row r="38277" spans="26:26" x14ac:dyDescent="0.25">
      <c r="Z38277">
        <v>400000</v>
      </c>
    </row>
    <row r="38278" spans="26:26" x14ac:dyDescent="0.25">
      <c r="Z38278">
        <v>400000</v>
      </c>
    </row>
    <row r="38279" spans="26:26" x14ac:dyDescent="0.25">
      <c r="Z38279">
        <v>400000</v>
      </c>
    </row>
    <row r="38280" spans="26:26" x14ac:dyDescent="0.25">
      <c r="Z38280">
        <v>400000</v>
      </c>
    </row>
    <row r="38281" spans="26:26" x14ac:dyDescent="0.25">
      <c r="Z38281">
        <v>400000</v>
      </c>
    </row>
    <row r="38282" spans="26:26" x14ac:dyDescent="0.25">
      <c r="Z38282">
        <v>400000</v>
      </c>
    </row>
    <row r="38283" spans="26:26" x14ac:dyDescent="0.25">
      <c r="Z38283">
        <v>400000</v>
      </c>
    </row>
    <row r="38284" spans="26:26" x14ac:dyDescent="0.25">
      <c r="Z38284">
        <v>400000</v>
      </c>
    </row>
    <row r="38285" spans="26:26" x14ac:dyDescent="0.25">
      <c r="Z38285">
        <v>400000</v>
      </c>
    </row>
    <row r="38286" spans="26:26" x14ac:dyDescent="0.25">
      <c r="Z38286">
        <v>400000</v>
      </c>
    </row>
    <row r="38287" spans="26:26" x14ac:dyDescent="0.25">
      <c r="Z38287">
        <v>400000</v>
      </c>
    </row>
    <row r="38288" spans="26:26" x14ac:dyDescent="0.25">
      <c r="Z38288">
        <v>400000</v>
      </c>
    </row>
    <row r="38289" spans="26:26" x14ac:dyDescent="0.25">
      <c r="Z38289">
        <v>400000</v>
      </c>
    </row>
    <row r="38290" spans="26:26" x14ac:dyDescent="0.25">
      <c r="Z38290">
        <v>400000</v>
      </c>
    </row>
    <row r="38291" spans="26:26" x14ac:dyDescent="0.25">
      <c r="Z38291">
        <v>400000</v>
      </c>
    </row>
    <row r="38292" spans="26:26" x14ac:dyDescent="0.25">
      <c r="Z38292">
        <v>400000</v>
      </c>
    </row>
    <row r="38293" spans="26:26" x14ac:dyDescent="0.25">
      <c r="Z38293">
        <v>400000</v>
      </c>
    </row>
    <row r="38294" spans="26:26" x14ac:dyDescent="0.25">
      <c r="Z38294">
        <v>400000</v>
      </c>
    </row>
    <row r="38295" spans="26:26" x14ac:dyDescent="0.25">
      <c r="Z38295">
        <v>400000</v>
      </c>
    </row>
    <row r="38296" spans="26:26" x14ac:dyDescent="0.25">
      <c r="Z38296">
        <v>400000</v>
      </c>
    </row>
    <row r="38297" spans="26:26" x14ac:dyDescent="0.25">
      <c r="Z38297">
        <v>400000</v>
      </c>
    </row>
    <row r="38298" spans="26:26" x14ac:dyDescent="0.25">
      <c r="Z38298">
        <v>400000</v>
      </c>
    </row>
    <row r="38299" spans="26:26" x14ac:dyDescent="0.25">
      <c r="Z38299">
        <v>400000</v>
      </c>
    </row>
    <row r="38300" spans="26:26" x14ac:dyDescent="0.25">
      <c r="Z38300">
        <v>400000</v>
      </c>
    </row>
    <row r="38301" spans="26:26" x14ac:dyDescent="0.25">
      <c r="Z38301">
        <v>400000</v>
      </c>
    </row>
    <row r="38302" spans="26:26" x14ac:dyDescent="0.25">
      <c r="Z38302">
        <v>400000</v>
      </c>
    </row>
    <row r="38303" spans="26:26" x14ac:dyDescent="0.25">
      <c r="Z38303">
        <v>400000</v>
      </c>
    </row>
    <row r="38304" spans="26:26" x14ac:dyDescent="0.25">
      <c r="Z38304">
        <v>400000</v>
      </c>
    </row>
    <row r="38305" spans="26:26" x14ac:dyDescent="0.25">
      <c r="Z38305">
        <v>400000</v>
      </c>
    </row>
    <row r="38306" spans="26:26" x14ac:dyDescent="0.25">
      <c r="Z38306">
        <v>400000</v>
      </c>
    </row>
    <row r="38307" spans="26:26" x14ac:dyDescent="0.25">
      <c r="Z38307">
        <v>400000</v>
      </c>
    </row>
    <row r="38308" spans="26:26" x14ac:dyDescent="0.25">
      <c r="Z38308">
        <v>400000</v>
      </c>
    </row>
    <row r="38309" spans="26:26" x14ac:dyDescent="0.25">
      <c r="Z38309">
        <v>400000</v>
      </c>
    </row>
    <row r="38310" spans="26:26" x14ac:dyDescent="0.25">
      <c r="Z38310">
        <v>400000</v>
      </c>
    </row>
    <row r="38311" spans="26:26" x14ac:dyDescent="0.25">
      <c r="Z38311">
        <v>400000</v>
      </c>
    </row>
    <row r="38312" spans="26:26" x14ac:dyDescent="0.25">
      <c r="Z38312">
        <v>400000</v>
      </c>
    </row>
    <row r="38313" spans="26:26" x14ac:dyDescent="0.25">
      <c r="Z38313">
        <v>400000</v>
      </c>
    </row>
    <row r="38314" spans="26:26" x14ac:dyDescent="0.25">
      <c r="Z38314">
        <v>400000</v>
      </c>
    </row>
    <row r="38315" spans="26:26" x14ac:dyDescent="0.25">
      <c r="Z38315">
        <v>400000</v>
      </c>
    </row>
    <row r="38316" spans="26:26" x14ac:dyDescent="0.25">
      <c r="Z38316">
        <v>400000</v>
      </c>
    </row>
    <row r="38317" spans="26:26" x14ac:dyDescent="0.25">
      <c r="Z38317">
        <v>400000</v>
      </c>
    </row>
    <row r="38318" spans="26:26" x14ac:dyDescent="0.25">
      <c r="Z38318">
        <v>400000</v>
      </c>
    </row>
    <row r="38319" spans="26:26" x14ac:dyDescent="0.25">
      <c r="Z38319">
        <v>400000</v>
      </c>
    </row>
    <row r="38320" spans="26:26" x14ac:dyDescent="0.25">
      <c r="Z38320">
        <v>400000</v>
      </c>
    </row>
    <row r="38321" spans="26:26" x14ac:dyDescent="0.25">
      <c r="Z38321">
        <v>400000</v>
      </c>
    </row>
    <row r="38322" spans="26:26" x14ac:dyDescent="0.25">
      <c r="Z38322">
        <v>400000</v>
      </c>
    </row>
    <row r="38323" spans="26:26" x14ac:dyDescent="0.25">
      <c r="Z38323">
        <v>400000</v>
      </c>
    </row>
    <row r="38324" spans="26:26" x14ac:dyDescent="0.25">
      <c r="Z38324">
        <v>400000</v>
      </c>
    </row>
    <row r="38325" spans="26:26" x14ac:dyDescent="0.25">
      <c r="Z38325">
        <v>400000</v>
      </c>
    </row>
    <row r="38326" spans="26:26" x14ac:dyDescent="0.25">
      <c r="Z38326">
        <v>400000</v>
      </c>
    </row>
    <row r="38327" spans="26:26" x14ac:dyDescent="0.25">
      <c r="Z38327">
        <v>400000</v>
      </c>
    </row>
    <row r="38328" spans="26:26" x14ac:dyDescent="0.25">
      <c r="Z38328">
        <v>400000</v>
      </c>
    </row>
    <row r="38329" spans="26:26" x14ac:dyDescent="0.25">
      <c r="Z38329">
        <v>400000</v>
      </c>
    </row>
    <row r="38330" spans="26:26" x14ac:dyDescent="0.25">
      <c r="Z38330">
        <v>400000</v>
      </c>
    </row>
    <row r="38331" spans="26:26" x14ac:dyDescent="0.25">
      <c r="Z38331">
        <v>400000</v>
      </c>
    </row>
    <row r="38332" spans="26:26" x14ac:dyDescent="0.25">
      <c r="Z38332">
        <v>400000</v>
      </c>
    </row>
    <row r="38333" spans="26:26" x14ac:dyDescent="0.25">
      <c r="Z38333">
        <v>400000</v>
      </c>
    </row>
    <row r="38334" spans="26:26" x14ac:dyDescent="0.25">
      <c r="Z38334">
        <v>400000</v>
      </c>
    </row>
    <row r="38335" spans="26:26" x14ac:dyDescent="0.25">
      <c r="Z38335">
        <v>400000</v>
      </c>
    </row>
    <row r="38336" spans="26:26" x14ac:dyDescent="0.25">
      <c r="Z38336">
        <v>400000</v>
      </c>
    </row>
    <row r="38337" spans="26:26" x14ac:dyDescent="0.25">
      <c r="Z38337">
        <v>400000</v>
      </c>
    </row>
    <row r="38338" spans="26:26" x14ac:dyDescent="0.25">
      <c r="Z38338">
        <v>400000</v>
      </c>
    </row>
    <row r="38339" spans="26:26" x14ac:dyDescent="0.25">
      <c r="Z38339">
        <v>400000</v>
      </c>
    </row>
    <row r="38340" spans="26:26" x14ac:dyDescent="0.25">
      <c r="Z38340">
        <v>400000</v>
      </c>
    </row>
    <row r="38341" spans="26:26" x14ac:dyDescent="0.25">
      <c r="Z38341">
        <v>400000</v>
      </c>
    </row>
    <row r="38342" spans="26:26" x14ac:dyDescent="0.25">
      <c r="Z38342">
        <v>400000</v>
      </c>
    </row>
    <row r="38343" spans="26:26" x14ac:dyDescent="0.25">
      <c r="Z38343">
        <v>400000</v>
      </c>
    </row>
    <row r="38344" spans="26:26" x14ac:dyDescent="0.25">
      <c r="Z38344">
        <v>400000</v>
      </c>
    </row>
    <row r="38345" spans="26:26" x14ac:dyDescent="0.25">
      <c r="Z38345">
        <v>400000</v>
      </c>
    </row>
    <row r="38346" spans="26:26" x14ac:dyDescent="0.25">
      <c r="Z38346">
        <v>400000</v>
      </c>
    </row>
    <row r="38347" spans="26:26" x14ac:dyDescent="0.25">
      <c r="Z38347">
        <v>400000</v>
      </c>
    </row>
    <row r="38348" spans="26:26" x14ac:dyDescent="0.25">
      <c r="Z38348">
        <v>400000</v>
      </c>
    </row>
    <row r="38349" spans="26:26" x14ac:dyDescent="0.25">
      <c r="Z38349">
        <v>400000</v>
      </c>
    </row>
    <row r="38350" spans="26:26" x14ac:dyDescent="0.25">
      <c r="Z38350">
        <v>400000</v>
      </c>
    </row>
    <row r="38351" spans="26:26" x14ac:dyDescent="0.25">
      <c r="Z38351">
        <v>400000</v>
      </c>
    </row>
    <row r="38352" spans="26:26" x14ac:dyDescent="0.25">
      <c r="Z38352">
        <v>400000</v>
      </c>
    </row>
    <row r="38353" spans="26:26" x14ac:dyDescent="0.25">
      <c r="Z38353">
        <v>400000</v>
      </c>
    </row>
    <row r="38354" spans="26:26" x14ac:dyDescent="0.25">
      <c r="Z38354">
        <v>400000</v>
      </c>
    </row>
    <row r="38355" spans="26:26" x14ac:dyDescent="0.25">
      <c r="Z38355">
        <v>400000</v>
      </c>
    </row>
    <row r="38356" spans="26:26" x14ac:dyDescent="0.25">
      <c r="Z38356">
        <v>400000</v>
      </c>
    </row>
    <row r="38357" spans="26:26" x14ac:dyDescent="0.25">
      <c r="Z38357">
        <v>400000</v>
      </c>
    </row>
    <row r="38358" spans="26:26" x14ac:dyDescent="0.25">
      <c r="Z38358">
        <v>400000</v>
      </c>
    </row>
    <row r="38359" spans="26:26" x14ac:dyDescent="0.25">
      <c r="Z38359">
        <v>400000</v>
      </c>
    </row>
    <row r="38360" spans="26:26" x14ac:dyDescent="0.25">
      <c r="Z38360">
        <v>400000</v>
      </c>
    </row>
    <row r="38361" spans="26:26" x14ac:dyDescent="0.25">
      <c r="Z38361">
        <v>400000</v>
      </c>
    </row>
    <row r="38362" spans="26:26" x14ac:dyDescent="0.25">
      <c r="Z38362">
        <v>400000</v>
      </c>
    </row>
    <row r="38363" spans="26:26" x14ac:dyDescent="0.25">
      <c r="Z38363">
        <v>400000</v>
      </c>
    </row>
    <row r="38364" spans="26:26" x14ac:dyDescent="0.25">
      <c r="Z38364">
        <v>400000</v>
      </c>
    </row>
    <row r="38365" spans="26:26" x14ac:dyDescent="0.25">
      <c r="Z38365">
        <v>400000</v>
      </c>
    </row>
    <row r="38366" spans="26:26" x14ac:dyDescent="0.25">
      <c r="Z38366">
        <v>400000</v>
      </c>
    </row>
    <row r="38367" spans="26:26" x14ac:dyDescent="0.25">
      <c r="Z38367">
        <v>400000</v>
      </c>
    </row>
    <row r="38368" spans="26:26" x14ac:dyDescent="0.25">
      <c r="Z38368">
        <v>400000</v>
      </c>
    </row>
    <row r="38369" spans="26:26" x14ac:dyDescent="0.25">
      <c r="Z38369">
        <v>400000</v>
      </c>
    </row>
    <row r="38370" spans="26:26" x14ac:dyDescent="0.25">
      <c r="Z38370">
        <v>400000</v>
      </c>
    </row>
    <row r="38371" spans="26:26" x14ac:dyDescent="0.25">
      <c r="Z38371">
        <v>400000</v>
      </c>
    </row>
    <row r="38372" spans="26:26" x14ac:dyDescent="0.25">
      <c r="Z38372">
        <v>400000</v>
      </c>
    </row>
    <row r="38373" spans="26:26" x14ac:dyDescent="0.25">
      <c r="Z38373">
        <v>400000</v>
      </c>
    </row>
    <row r="38374" spans="26:26" x14ac:dyDescent="0.25">
      <c r="Z38374">
        <v>400000</v>
      </c>
    </row>
    <row r="38375" spans="26:26" x14ac:dyDescent="0.25">
      <c r="Z38375">
        <v>400000</v>
      </c>
    </row>
    <row r="38376" spans="26:26" x14ac:dyDescent="0.25">
      <c r="Z38376">
        <v>400000</v>
      </c>
    </row>
    <row r="38377" spans="26:26" x14ac:dyDescent="0.25">
      <c r="Z38377">
        <v>400000</v>
      </c>
    </row>
    <row r="38378" spans="26:26" x14ac:dyDescent="0.25">
      <c r="Z38378">
        <v>400000</v>
      </c>
    </row>
    <row r="38379" spans="26:26" x14ac:dyDescent="0.25">
      <c r="Z38379">
        <v>400000</v>
      </c>
    </row>
    <row r="38380" spans="26:26" x14ac:dyDescent="0.25">
      <c r="Z38380">
        <v>400000</v>
      </c>
    </row>
    <row r="38381" spans="26:26" x14ac:dyDescent="0.25">
      <c r="Z38381">
        <v>400000</v>
      </c>
    </row>
    <row r="38382" spans="26:26" x14ac:dyDescent="0.25">
      <c r="Z38382">
        <v>400000</v>
      </c>
    </row>
    <row r="38383" spans="26:26" x14ac:dyDescent="0.25">
      <c r="Z38383">
        <v>400000</v>
      </c>
    </row>
    <row r="38384" spans="26:26" x14ac:dyDescent="0.25">
      <c r="Z38384">
        <v>400000</v>
      </c>
    </row>
    <row r="38385" spans="26:26" x14ac:dyDescent="0.25">
      <c r="Z38385">
        <v>400000</v>
      </c>
    </row>
    <row r="38386" spans="26:26" x14ac:dyDescent="0.25">
      <c r="Z38386">
        <v>400000</v>
      </c>
    </row>
    <row r="38387" spans="26:26" x14ac:dyDescent="0.25">
      <c r="Z38387">
        <v>400000</v>
      </c>
    </row>
    <row r="38388" spans="26:26" x14ac:dyDescent="0.25">
      <c r="Z38388">
        <v>400000</v>
      </c>
    </row>
    <row r="38389" spans="26:26" x14ac:dyDescent="0.25">
      <c r="Z38389">
        <v>400000</v>
      </c>
    </row>
    <row r="38390" spans="26:26" x14ac:dyDescent="0.25">
      <c r="Z38390">
        <v>400000</v>
      </c>
    </row>
    <row r="38391" spans="26:26" x14ac:dyDescent="0.25">
      <c r="Z38391">
        <v>400000</v>
      </c>
    </row>
    <row r="38392" spans="26:26" x14ac:dyDescent="0.25">
      <c r="Z38392">
        <v>400000</v>
      </c>
    </row>
    <row r="38393" spans="26:26" x14ac:dyDescent="0.25">
      <c r="Z38393">
        <v>400000</v>
      </c>
    </row>
    <row r="38394" spans="26:26" x14ac:dyDescent="0.25">
      <c r="Z38394">
        <v>400000</v>
      </c>
    </row>
    <row r="38395" spans="26:26" x14ac:dyDescent="0.25">
      <c r="Z38395">
        <v>400000</v>
      </c>
    </row>
    <row r="38396" spans="26:26" x14ac:dyDescent="0.25">
      <c r="Z38396">
        <v>400000</v>
      </c>
    </row>
    <row r="38397" spans="26:26" x14ac:dyDescent="0.25">
      <c r="Z38397">
        <v>400000</v>
      </c>
    </row>
    <row r="38398" spans="26:26" x14ac:dyDescent="0.25">
      <c r="Z38398">
        <v>400000</v>
      </c>
    </row>
    <row r="38399" spans="26:26" x14ac:dyDescent="0.25">
      <c r="Z38399">
        <v>400000</v>
      </c>
    </row>
    <row r="38400" spans="26:26" x14ac:dyDescent="0.25">
      <c r="Z38400">
        <v>400000</v>
      </c>
    </row>
    <row r="38401" spans="26:26" x14ac:dyDescent="0.25">
      <c r="Z38401">
        <v>400000</v>
      </c>
    </row>
    <row r="38402" spans="26:26" x14ac:dyDescent="0.25">
      <c r="Z38402">
        <v>400000</v>
      </c>
    </row>
    <row r="38403" spans="26:26" x14ac:dyDescent="0.25">
      <c r="Z38403">
        <v>400000</v>
      </c>
    </row>
    <row r="38404" spans="26:26" x14ac:dyDescent="0.25">
      <c r="Z38404">
        <v>400000</v>
      </c>
    </row>
    <row r="38405" spans="26:26" x14ac:dyDescent="0.25">
      <c r="Z38405">
        <v>400000</v>
      </c>
    </row>
    <row r="38406" spans="26:26" x14ac:dyDescent="0.25">
      <c r="Z38406">
        <v>400000</v>
      </c>
    </row>
    <row r="38407" spans="26:26" x14ac:dyDescent="0.25">
      <c r="Z38407">
        <v>400000</v>
      </c>
    </row>
    <row r="38408" spans="26:26" x14ac:dyDescent="0.25">
      <c r="Z38408">
        <v>400000</v>
      </c>
    </row>
    <row r="38409" spans="26:26" x14ac:dyDescent="0.25">
      <c r="Z38409">
        <v>400000</v>
      </c>
    </row>
    <row r="38410" spans="26:26" x14ac:dyDescent="0.25">
      <c r="Z38410">
        <v>400000</v>
      </c>
    </row>
    <row r="38411" spans="26:26" x14ac:dyDescent="0.25">
      <c r="Z38411">
        <v>400000</v>
      </c>
    </row>
    <row r="38412" spans="26:26" x14ac:dyDescent="0.25">
      <c r="Z38412">
        <v>400000</v>
      </c>
    </row>
    <row r="38413" spans="26:26" x14ac:dyDescent="0.25">
      <c r="Z38413">
        <v>400000</v>
      </c>
    </row>
    <row r="38414" spans="26:26" x14ac:dyDescent="0.25">
      <c r="Z38414">
        <v>400000</v>
      </c>
    </row>
    <row r="38415" spans="26:26" x14ac:dyDescent="0.25">
      <c r="Z38415">
        <v>400000</v>
      </c>
    </row>
    <row r="38416" spans="26:26" x14ac:dyDescent="0.25">
      <c r="Z38416">
        <v>400000</v>
      </c>
    </row>
    <row r="38417" spans="26:26" x14ac:dyDescent="0.25">
      <c r="Z38417">
        <v>400000</v>
      </c>
    </row>
    <row r="38418" spans="26:26" x14ac:dyDescent="0.25">
      <c r="Z38418">
        <v>400000</v>
      </c>
    </row>
    <row r="38419" spans="26:26" x14ac:dyDescent="0.25">
      <c r="Z38419">
        <v>400000</v>
      </c>
    </row>
    <row r="38420" spans="26:26" x14ac:dyDescent="0.25">
      <c r="Z38420">
        <v>400000</v>
      </c>
    </row>
    <row r="38421" spans="26:26" x14ac:dyDescent="0.25">
      <c r="Z38421">
        <v>400000</v>
      </c>
    </row>
    <row r="38422" spans="26:26" x14ac:dyDescent="0.25">
      <c r="Z38422">
        <v>400000</v>
      </c>
    </row>
    <row r="38423" spans="26:26" x14ac:dyDescent="0.25">
      <c r="Z38423">
        <v>400000</v>
      </c>
    </row>
    <row r="38424" spans="26:26" x14ac:dyDescent="0.25">
      <c r="Z38424">
        <v>400000</v>
      </c>
    </row>
    <row r="38425" spans="26:26" x14ac:dyDescent="0.25">
      <c r="Z38425">
        <v>400000</v>
      </c>
    </row>
    <row r="38426" spans="26:26" x14ac:dyDescent="0.25">
      <c r="Z38426">
        <v>400000</v>
      </c>
    </row>
    <row r="38427" spans="26:26" x14ac:dyDescent="0.25">
      <c r="Z38427">
        <v>400000</v>
      </c>
    </row>
    <row r="38428" spans="26:26" x14ac:dyDescent="0.25">
      <c r="Z38428">
        <v>400000</v>
      </c>
    </row>
    <row r="38429" spans="26:26" x14ac:dyDescent="0.25">
      <c r="Z38429">
        <v>400000</v>
      </c>
    </row>
    <row r="38430" spans="26:26" x14ac:dyDescent="0.25">
      <c r="Z38430">
        <v>400000</v>
      </c>
    </row>
    <row r="38431" spans="26:26" x14ac:dyDescent="0.25">
      <c r="Z38431">
        <v>400000</v>
      </c>
    </row>
    <row r="38432" spans="26:26" x14ac:dyDescent="0.25">
      <c r="Z38432">
        <v>400000</v>
      </c>
    </row>
    <row r="38433" spans="26:26" x14ac:dyDescent="0.25">
      <c r="Z38433">
        <v>400000</v>
      </c>
    </row>
    <row r="38434" spans="26:26" x14ac:dyDescent="0.25">
      <c r="Z38434">
        <v>400000</v>
      </c>
    </row>
    <row r="38435" spans="26:26" x14ac:dyDescent="0.25">
      <c r="Z38435">
        <v>400000</v>
      </c>
    </row>
    <row r="38436" spans="26:26" x14ac:dyDescent="0.25">
      <c r="Z38436">
        <v>400000</v>
      </c>
    </row>
    <row r="38437" spans="26:26" x14ac:dyDescent="0.25">
      <c r="Z38437">
        <v>400000</v>
      </c>
    </row>
    <row r="38438" spans="26:26" x14ac:dyDescent="0.25">
      <c r="Z38438">
        <v>400000</v>
      </c>
    </row>
    <row r="38439" spans="26:26" x14ac:dyDescent="0.25">
      <c r="Z38439">
        <v>400000</v>
      </c>
    </row>
    <row r="38440" spans="26:26" x14ac:dyDescent="0.25">
      <c r="Z38440">
        <v>400000</v>
      </c>
    </row>
    <row r="38441" spans="26:26" x14ac:dyDescent="0.25">
      <c r="Z38441">
        <v>400000</v>
      </c>
    </row>
    <row r="38442" spans="26:26" x14ac:dyDescent="0.25">
      <c r="Z38442">
        <v>400000</v>
      </c>
    </row>
    <row r="38443" spans="26:26" x14ac:dyDescent="0.25">
      <c r="Z38443">
        <v>400000</v>
      </c>
    </row>
    <row r="38444" spans="26:26" x14ac:dyDescent="0.25">
      <c r="Z38444">
        <v>400000</v>
      </c>
    </row>
    <row r="38445" spans="26:26" x14ac:dyDescent="0.25">
      <c r="Z38445">
        <v>400000</v>
      </c>
    </row>
    <row r="38446" spans="26:26" x14ac:dyDescent="0.25">
      <c r="Z38446">
        <v>400000</v>
      </c>
    </row>
    <row r="38447" spans="26:26" x14ac:dyDescent="0.25">
      <c r="Z38447">
        <v>400000</v>
      </c>
    </row>
    <row r="38448" spans="26:26" x14ac:dyDescent="0.25">
      <c r="Z38448">
        <v>400000</v>
      </c>
    </row>
    <row r="38449" spans="26:26" x14ac:dyDescent="0.25">
      <c r="Z38449">
        <v>400000</v>
      </c>
    </row>
    <row r="38450" spans="26:26" x14ac:dyDescent="0.25">
      <c r="Z38450">
        <v>400000</v>
      </c>
    </row>
    <row r="38451" spans="26:26" x14ac:dyDescent="0.25">
      <c r="Z38451">
        <v>400000</v>
      </c>
    </row>
    <row r="38452" spans="26:26" x14ac:dyDescent="0.25">
      <c r="Z38452">
        <v>400000</v>
      </c>
    </row>
    <row r="38453" spans="26:26" x14ac:dyDescent="0.25">
      <c r="Z38453">
        <v>400000</v>
      </c>
    </row>
    <row r="38454" spans="26:26" x14ac:dyDescent="0.25">
      <c r="Z38454">
        <v>400000</v>
      </c>
    </row>
    <row r="38455" spans="26:26" x14ac:dyDescent="0.25">
      <c r="Z38455">
        <v>400000</v>
      </c>
    </row>
    <row r="38456" spans="26:26" x14ac:dyDescent="0.25">
      <c r="Z38456">
        <v>400000</v>
      </c>
    </row>
    <row r="38457" spans="26:26" x14ac:dyDescent="0.25">
      <c r="Z38457">
        <v>400000</v>
      </c>
    </row>
    <row r="38458" spans="26:26" x14ac:dyDescent="0.25">
      <c r="Z38458">
        <v>400000</v>
      </c>
    </row>
    <row r="38459" spans="26:26" x14ac:dyDescent="0.25">
      <c r="Z38459">
        <v>400000</v>
      </c>
    </row>
    <row r="38460" spans="26:26" x14ac:dyDescent="0.25">
      <c r="Z38460">
        <v>400000</v>
      </c>
    </row>
    <row r="38461" spans="26:26" x14ac:dyDescent="0.25">
      <c r="Z38461">
        <v>400000</v>
      </c>
    </row>
    <row r="38462" spans="26:26" x14ac:dyDescent="0.25">
      <c r="Z38462">
        <v>400000</v>
      </c>
    </row>
    <row r="38463" spans="26:26" x14ac:dyDescent="0.25">
      <c r="Z38463">
        <v>400000</v>
      </c>
    </row>
    <row r="38464" spans="26:26" x14ac:dyDescent="0.25">
      <c r="Z38464">
        <v>400000</v>
      </c>
    </row>
    <row r="38465" spans="26:26" x14ac:dyDescent="0.25">
      <c r="Z38465">
        <v>400000</v>
      </c>
    </row>
    <row r="38466" spans="26:26" x14ac:dyDescent="0.25">
      <c r="Z38466">
        <v>400000</v>
      </c>
    </row>
    <row r="38467" spans="26:26" x14ac:dyDescent="0.25">
      <c r="Z38467">
        <v>400000</v>
      </c>
    </row>
    <row r="38468" spans="26:26" x14ac:dyDescent="0.25">
      <c r="Z38468">
        <v>400000</v>
      </c>
    </row>
    <row r="38469" spans="26:26" x14ac:dyDescent="0.25">
      <c r="Z38469">
        <v>400000</v>
      </c>
    </row>
    <row r="38470" spans="26:26" x14ac:dyDescent="0.25">
      <c r="Z38470">
        <v>400000</v>
      </c>
    </row>
    <row r="38471" spans="26:26" x14ac:dyDescent="0.25">
      <c r="Z38471">
        <v>400000</v>
      </c>
    </row>
    <row r="38472" spans="26:26" x14ac:dyDescent="0.25">
      <c r="Z38472">
        <v>400000</v>
      </c>
    </row>
    <row r="38473" spans="26:26" x14ac:dyDescent="0.25">
      <c r="Z38473">
        <v>400000</v>
      </c>
    </row>
    <row r="38474" spans="26:26" x14ac:dyDescent="0.25">
      <c r="Z38474">
        <v>400000</v>
      </c>
    </row>
    <row r="38475" spans="26:26" x14ac:dyDescent="0.25">
      <c r="Z38475">
        <v>400000</v>
      </c>
    </row>
    <row r="38476" spans="26:26" x14ac:dyDescent="0.25">
      <c r="Z38476">
        <v>400000</v>
      </c>
    </row>
    <row r="38477" spans="26:26" x14ac:dyDescent="0.25">
      <c r="Z38477">
        <v>400000</v>
      </c>
    </row>
    <row r="38478" spans="26:26" x14ac:dyDescent="0.25">
      <c r="Z38478">
        <v>400000</v>
      </c>
    </row>
    <row r="38479" spans="26:26" x14ac:dyDescent="0.25">
      <c r="Z38479">
        <v>400000</v>
      </c>
    </row>
    <row r="38480" spans="26:26" x14ac:dyDescent="0.25">
      <c r="Z38480">
        <v>400000</v>
      </c>
    </row>
    <row r="38481" spans="26:26" x14ac:dyDescent="0.25">
      <c r="Z38481">
        <v>400000</v>
      </c>
    </row>
    <row r="38482" spans="26:26" x14ac:dyDescent="0.25">
      <c r="Z38482">
        <v>400000</v>
      </c>
    </row>
    <row r="38483" spans="26:26" x14ac:dyDescent="0.25">
      <c r="Z38483">
        <v>400000</v>
      </c>
    </row>
    <row r="38484" spans="26:26" x14ac:dyDescent="0.25">
      <c r="Z38484">
        <v>400000</v>
      </c>
    </row>
    <row r="38485" spans="26:26" x14ac:dyDescent="0.25">
      <c r="Z38485">
        <v>400000</v>
      </c>
    </row>
    <row r="38486" spans="26:26" x14ac:dyDescent="0.25">
      <c r="Z38486">
        <v>400000</v>
      </c>
    </row>
    <row r="38487" spans="26:26" x14ac:dyDescent="0.25">
      <c r="Z38487">
        <v>400000</v>
      </c>
    </row>
    <row r="38488" spans="26:26" x14ac:dyDescent="0.25">
      <c r="Z38488">
        <v>400000</v>
      </c>
    </row>
    <row r="38489" spans="26:26" x14ac:dyDescent="0.25">
      <c r="Z38489">
        <v>400000</v>
      </c>
    </row>
    <row r="38490" spans="26:26" x14ac:dyDescent="0.25">
      <c r="Z38490">
        <v>400000</v>
      </c>
    </row>
    <row r="38491" spans="26:26" x14ac:dyDescent="0.25">
      <c r="Z38491">
        <v>400000</v>
      </c>
    </row>
    <row r="38492" spans="26:26" x14ac:dyDescent="0.25">
      <c r="Z38492">
        <v>400000</v>
      </c>
    </row>
    <row r="38493" spans="26:26" x14ac:dyDescent="0.25">
      <c r="Z38493">
        <v>400000</v>
      </c>
    </row>
    <row r="38494" spans="26:26" x14ac:dyDescent="0.25">
      <c r="Z38494">
        <v>400000</v>
      </c>
    </row>
    <row r="38495" spans="26:26" x14ac:dyDescent="0.25">
      <c r="Z38495">
        <v>400000</v>
      </c>
    </row>
    <row r="38496" spans="26:26" x14ac:dyDescent="0.25">
      <c r="Z38496">
        <v>400000</v>
      </c>
    </row>
    <row r="38497" spans="26:26" x14ac:dyDescent="0.25">
      <c r="Z38497">
        <v>400000</v>
      </c>
    </row>
    <row r="38498" spans="26:26" x14ac:dyDescent="0.25">
      <c r="Z38498">
        <v>400000</v>
      </c>
    </row>
    <row r="38499" spans="26:26" x14ac:dyDescent="0.25">
      <c r="Z38499">
        <v>400000</v>
      </c>
    </row>
    <row r="38500" spans="26:26" x14ac:dyDescent="0.25">
      <c r="Z38500">
        <v>400000</v>
      </c>
    </row>
    <row r="38501" spans="26:26" x14ac:dyDescent="0.25">
      <c r="Z38501">
        <v>400000</v>
      </c>
    </row>
    <row r="38502" spans="26:26" x14ac:dyDescent="0.25">
      <c r="Z38502">
        <v>400000</v>
      </c>
    </row>
    <row r="38503" spans="26:26" x14ac:dyDescent="0.25">
      <c r="Z38503">
        <v>400000</v>
      </c>
    </row>
    <row r="38504" spans="26:26" x14ac:dyDescent="0.25">
      <c r="Z38504">
        <v>400000</v>
      </c>
    </row>
    <row r="38505" spans="26:26" x14ac:dyDescent="0.25">
      <c r="Z38505">
        <v>400000</v>
      </c>
    </row>
    <row r="38506" spans="26:26" x14ac:dyDescent="0.25">
      <c r="Z38506">
        <v>400000</v>
      </c>
    </row>
    <row r="38507" spans="26:26" x14ac:dyDescent="0.25">
      <c r="Z38507">
        <v>400000</v>
      </c>
    </row>
    <row r="38508" spans="26:26" x14ac:dyDescent="0.25">
      <c r="Z38508">
        <v>400000</v>
      </c>
    </row>
    <row r="38509" spans="26:26" x14ac:dyDescent="0.25">
      <c r="Z38509">
        <v>400000</v>
      </c>
    </row>
    <row r="38510" spans="26:26" x14ac:dyDescent="0.25">
      <c r="Z38510">
        <v>400000</v>
      </c>
    </row>
    <row r="38511" spans="26:26" x14ac:dyDescent="0.25">
      <c r="Z38511">
        <v>400000</v>
      </c>
    </row>
    <row r="38512" spans="26:26" x14ac:dyDescent="0.25">
      <c r="Z38512">
        <v>400000</v>
      </c>
    </row>
    <row r="38513" spans="26:26" x14ac:dyDescent="0.25">
      <c r="Z38513">
        <v>400000</v>
      </c>
    </row>
    <row r="38514" spans="26:26" x14ac:dyDescent="0.25">
      <c r="Z38514">
        <v>400000</v>
      </c>
    </row>
    <row r="38515" spans="26:26" x14ac:dyDescent="0.25">
      <c r="Z38515">
        <v>400000</v>
      </c>
    </row>
    <row r="38516" spans="26:26" x14ac:dyDescent="0.25">
      <c r="Z38516">
        <v>400000</v>
      </c>
    </row>
    <row r="38517" spans="26:26" x14ac:dyDescent="0.25">
      <c r="Z38517">
        <v>400000</v>
      </c>
    </row>
    <row r="38518" spans="26:26" x14ac:dyDescent="0.25">
      <c r="Z38518">
        <v>400000</v>
      </c>
    </row>
    <row r="38519" spans="26:26" x14ac:dyDescent="0.25">
      <c r="Z38519">
        <v>400000</v>
      </c>
    </row>
    <row r="38520" spans="26:26" x14ac:dyDescent="0.25">
      <c r="Z38520">
        <v>400000</v>
      </c>
    </row>
    <row r="38521" spans="26:26" x14ac:dyDescent="0.25">
      <c r="Z38521">
        <v>400000</v>
      </c>
    </row>
    <row r="38522" spans="26:26" x14ac:dyDescent="0.25">
      <c r="Z38522">
        <v>400000</v>
      </c>
    </row>
    <row r="38523" spans="26:26" x14ac:dyDescent="0.25">
      <c r="Z38523">
        <v>400000</v>
      </c>
    </row>
    <row r="38524" spans="26:26" x14ac:dyDescent="0.25">
      <c r="Z38524">
        <v>400000</v>
      </c>
    </row>
    <row r="38525" spans="26:26" x14ac:dyDescent="0.25">
      <c r="Z38525">
        <v>400000</v>
      </c>
    </row>
    <row r="38526" spans="26:26" x14ac:dyDescent="0.25">
      <c r="Z38526">
        <v>400000</v>
      </c>
    </row>
    <row r="38527" spans="26:26" x14ac:dyDescent="0.25">
      <c r="Z38527">
        <v>400000</v>
      </c>
    </row>
    <row r="38528" spans="26:26" x14ac:dyDescent="0.25">
      <c r="Z38528">
        <v>400000</v>
      </c>
    </row>
    <row r="38529" spans="26:26" x14ac:dyDescent="0.25">
      <c r="Z38529">
        <v>400000</v>
      </c>
    </row>
    <row r="38530" spans="26:26" x14ac:dyDescent="0.25">
      <c r="Z38530">
        <v>400000</v>
      </c>
    </row>
    <row r="38531" spans="26:26" x14ac:dyDescent="0.25">
      <c r="Z38531">
        <v>400000</v>
      </c>
    </row>
    <row r="38532" spans="26:26" x14ac:dyDescent="0.25">
      <c r="Z38532">
        <v>400000</v>
      </c>
    </row>
    <row r="38533" spans="26:26" x14ac:dyDescent="0.25">
      <c r="Z38533">
        <v>400000</v>
      </c>
    </row>
    <row r="38534" spans="26:26" x14ac:dyDescent="0.25">
      <c r="Z38534">
        <v>400000</v>
      </c>
    </row>
    <row r="38535" spans="26:26" x14ac:dyDescent="0.25">
      <c r="Z38535">
        <v>400000</v>
      </c>
    </row>
    <row r="38536" spans="26:26" x14ac:dyDescent="0.25">
      <c r="Z38536">
        <v>400000</v>
      </c>
    </row>
    <row r="38537" spans="26:26" x14ac:dyDescent="0.25">
      <c r="Z38537">
        <v>400000</v>
      </c>
    </row>
    <row r="38538" spans="26:26" x14ac:dyDescent="0.25">
      <c r="Z38538">
        <v>400000</v>
      </c>
    </row>
    <row r="38539" spans="26:26" x14ac:dyDescent="0.25">
      <c r="Z38539">
        <v>400000</v>
      </c>
    </row>
    <row r="38540" spans="26:26" x14ac:dyDescent="0.25">
      <c r="Z38540">
        <v>400000</v>
      </c>
    </row>
    <row r="38541" spans="26:26" x14ac:dyDescent="0.25">
      <c r="Z38541">
        <v>400000</v>
      </c>
    </row>
    <row r="38542" spans="26:26" x14ac:dyDescent="0.25">
      <c r="Z38542">
        <v>400000</v>
      </c>
    </row>
    <row r="38543" spans="26:26" x14ac:dyDescent="0.25">
      <c r="Z38543">
        <v>400000</v>
      </c>
    </row>
    <row r="38544" spans="26:26" x14ac:dyDescent="0.25">
      <c r="Z38544">
        <v>400000</v>
      </c>
    </row>
    <row r="38545" spans="26:26" x14ac:dyDescent="0.25">
      <c r="Z38545">
        <v>400000</v>
      </c>
    </row>
    <row r="38546" spans="26:26" x14ac:dyDescent="0.25">
      <c r="Z38546">
        <v>400000</v>
      </c>
    </row>
    <row r="38547" spans="26:26" x14ac:dyDescent="0.25">
      <c r="Z38547">
        <v>400000</v>
      </c>
    </row>
    <row r="38548" spans="26:26" x14ac:dyDescent="0.25">
      <c r="Z38548">
        <v>400000</v>
      </c>
    </row>
    <row r="38549" spans="26:26" x14ac:dyDescent="0.25">
      <c r="Z38549">
        <v>400000</v>
      </c>
    </row>
    <row r="38550" spans="26:26" x14ac:dyDescent="0.25">
      <c r="Z38550">
        <v>400000</v>
      </c>
    </row>
    <row r="38551" spans="26:26" x14ac:dyDescent="0.25">
      <c r="Z38551">
        <v>400000</v>
      </c>
    </row>
    <row r="38552" spans="26:26" x14ac:dyDescent="0.25">
      <c r="Z38552">
        <v>400000</v>
      </c>
    </row>
    <row r="38553" spans="26:26" x14ac:dyDescent="0.25">
      <c r="Z38553">
        <v>400000</v>
      </c>
    </row>
    <row r="38554" spans="26:26" x14ac:dyDescent="0.25">
      <c r="Z38554">
        <v>400000</v>
      </c>
    </row>
    <row r="38555" spans="26:26" x14ac:dyDescent="0.25">
      <c r="Z38555">
        <v>400000</v>
      </c>
    </row>
    <row r="38556" spans="26:26" x14ac:dyDescent="0.25">
      <c r="Z38556">
        <v>400000</v>
      </c>
    </row>
    <row r="38557" spans="26:26" x14ac:dyDescent="0.25">
      <c r="Z38557">
        <v>400000</v>
      </c>
    </row>
    <row r="38558" spans="26:26" x14ac:dyDescent="0.25">
      <c r="Z38558">
        <v>400000</v>
      </c>
    </row>
    <row r="38559" spans="26:26" x14ac:dyDescent="0.25">
      <c r="Z38559">
        <v>400000</v>
      </c>
    </row>
    <row r="38560" spans="26:26" x14ac:dyDescent="0.25">
      <c r="Z38560">
        <v>400000</v>
      </c>
    </row>
    <row r="38561" spans="26:26" x14ac:dyDescent="0.25">
      <c r="Z38561">
        <v>400000</v>
      </c>
    </row>
    <row r="38562" spans="26:26" x14ac:dyDescent="0.25">
      <c r="Z38562">
        <v>400000</v>
      </c>
    </row>
    <row r="38563" spans="26:26" x14ac:dyDescent="0.25">
      <c r="Z38563">
        <v>400000</v>
      </c>
    </row>
    <row r="38564" spans="26:26" x14ac:dyDescent="0.25">
      <c r="Z38564">
        <v>400000</v>
      </c>
    </row>
    <row r="38565" spans="26:26" x14ac:dyDescent="0.25">
      <c r="Z38565">
        <v>400000</v>
      </c>
    </row>
    <row r="38566" spans="26:26" x14ac:dyDescent="0.25">
      <c r="Z38566">
        <v>400000</v>
      </c>
    </row>
    <row r="38567" spans="26:26" x14ac:dyDescent="0.25">
      <c r="Z38567">
        <v>400000</v>
      </c>
    </row>
    <row r="38568" spans="26:26" x14ac:dyDescent="0.25">
      <c r="Z38568">
        <v>400000</v>
      </c>
    </row>
    <row r="38569" spans="26:26" x14ac:dyDescent="0.25">
      <c r="Z38569">
        <v>400000</v>
      </c>
    </row>
    <row r="38570" spans="26:26" x14ac:dyDescent="0.25">
      <c r="Z38570">
        <v>400000</v>
      </c>
    </row>
    <row r="38571" spans="26:26" x14ac:dyDescent="0.25">
      <c r="Z38571">
        <v>400000</v>
      </c>
    </row>
    <row r="38572" spans="26:26" x14ac:dyDescent="0.25">
      <c r="Z38572">
        <v>400000</v>
      </c>
    </row>
    <row r="38573" spans="26:26" x14ac:dyDescent="0.25">
      <c r="Z38573">
        <v>400000</v>
      </c>
    </row>
    <row r="38574" spans="26:26" x14ac:dyDescent="0.25">
      <c r="Z38574">
        <v>400000</v>
      </c>
    </row>
    <row r="38575" spans="26:26" x14ac:dyDescent="0.25">
      <c r="Z38575">
        <v>400000</v>
      </c>
    </row>
    <row r="38576" spans="26:26" x14ac:dyDescent="0.25">
      <c r="Z38576">
        <v>400000</v>
      </c>
    </row>
    <row r="38577" spans="26:26" x14ac:dyDescent="0.25">
      <c r="Z38577">
        <v>400000</v>
      </c>
    </row>
    <row r="38578" spans="26:26" x14ac:dyDescent="0.25">
      <c r="Z38578">
        <v>400000</v>
      </c>
    </row>
    <row r="38579" spans="26:26" x14ac:dyDescent="0.25">
      <c r="Z38579">
        <v>400000</v>
      </c>
    </row>
    <row r="38580" spans="26:26" x14ac:dyDescent="0.25">
      <c r="Z38580">
        <v>400000</v>
      </c>
    </row>
    <row r="38581" spans="26:26" x14ac:dyDescent="0.25">
      <c r="Z38581">
        <v>400000</v>
      </c>
    </row>
    <row r="38582" spans="26:26" x14ac:dyDescent="0.25">
      <c r="Z38582">
        <v>400000</v>
      </c>
    </row>
    <row r="38583" spans="26:26" x14ac:dyDescent="0.25">
      <c r="Z38583">
        <v>400000</v>
      </c>
    </row>
    <row r="38584" spans="26:26" x14ac:dyDescent="0.25">
      <c r="Z38584">
        <v>400000</v>
      </c>
    </row>
    <row r="38585" spans="26:26" x14ac:dyDescent="0.25">
      <c r="Z38585">
        <v>400000</v>
      </c>
    </row>
    <row r="38586" spans="26:26" x14ac:dyDescent="0.25">
      <c r="Z38586">
        <v>400000</v>
      </c>
    </row>
    <row r="38587" spans="26:26" x14ac:dyDescent="0.25">
      <c r="Z38587">
        <v>400000</v>
      </c>
    </row>
    <row r="38588" spans="26:26" x14ac:dyDescent="0.25">
      <c r="Z38588">
        <v>400000</v>
      </c>
    </row>
    <row r="38589" spans="26:26" x14ac:dyDescent="0.25">
      <c r="Z38589">
        <v>400000</v>
      </c>
    </row>
    <row r="38590" spans="26:26" x14ac:dyDescent="0.25">
      <c r="Z38590">
        <v>400000</v>
      </c>
    </row>
    <row r="38591" spans="26:26" x14ac:dyDescent="0.25">
      <c r="Z38591">
        <v>400000</v>
      </c>
    </row>
    <row r="38592" spans="26:26" x14ac:dyDescent="0.25">
      <c r="Z38592">
        <v>400000</v>
      </c>
    </row>
    <row r="38593" spans="26:26" x14ac:dyDescent="0.25">
      <c r="Z38593">
        <v>400000</v>
      </c>
    </row>
    <row r="38594" spans="26:26" x14ac:dyDescent="0.25">
      <c r="Z38594">
        <v>400000</v>
      </c>
    </row>
    <row r="38595" spans="26:26" x14ac:dyDescent="0.25">
      <c r="Z38595">
        <v>400000</v>
      </c>
    </row>
    <row r="38596" spans="26:26" x14ac:dyDescent="0.25">
      <c r="Z38596">
        <v>400000</v>
      </c>
    </row>
    <row r="38597" spans="26:26" x14ac:dyDescent="0.25">
      <c r="Z38597">
        <v>400000</v>
      </c>
    </row>
    <row r="38598" spans="26:26" x14ac:dyDescent="0.25">
      <c r="Z38598">
        <v>400000</v>
      </c>
    </row>
    <row r="38599" spans="26:26" x14ac:dyDescent="0.25">
      <c r="Z38599">
        <v>400000</v>
      </c>
    </row>
    <row r="38600" spans="26:26" x14ac:dyDescent="0.25">
      <c r="Z38600">
        <v>400000</v>
      </c>
    </row>
    <row r="38601" spans="26:26" x14ac:dyDescent="0.25">
      <c r="Z38601">
        <v>400000</v>
      </c>
    </row>
    <row r="38602" spans="26:26" x14ac:dyDescent="0.25">
      <c r="Z38602">
        <v>400000</v>
      </c>
    </row>
    <row r="38603" spans="26:26" x14ac:dyDescent="0.25">
      <c r="Z38603">
        <v>400000</v>
      </c>
    </row>
    <row r="38604" spans="26:26" x14ac:dyDescent="0.25">
      <c r="Z38604">
        <v>400000</v>
      </c>
    </row>
    <row r="38605" spans="26:26" x14ac:dyDescent="0.25">
      <c r="Z38605">
        <v>400000</v>
      </c>
    </row>
    <row r="38606" spans="26:26" x14ac:dyDescent="0.25">
      <c r="Z38606">
        <v>400000</v>
      </c>
    </row>
    <row r="38607" spans="26:26" x14ac:dyDescent="0.25">
      <c r="Z38607">
        <v>400000</v>
      </c>
    </row>
    <row r="38608" spans="26:26" x14ac:dyDescent="0.25">
      <c r="Z38608">
        <v>400000</v>
      </c>
    </row>
    <row r="38609" spans="26:26" x14ac:dyDescent="0.25">
      <c r="Z38609">
        <v>400000</v>
      </c>
    </row>
    <row r="38610" spans="26:26" x14ac:dyDescent="0.25">
      <c r="Z38610">
        <v>400000</v>
      </c>
    </row>
    <row r="38611" spans="26:26" x14ac:dyDescent="0.25">
      <c r="Z38611">
        <v>400000</v>
      </c>
    </row>
    <row r="38612" spans="26:26" x14ac:dyDescent="0.25">
      <c r="Z38612">
        <v>400000</v>
      </c>
    </row>
    <row r="38613" spans="26:26" x14ac:dyDescent="0.25">
      <c r="Z38613">
        <v>400000</v>
      </c>
    </row>
    <row r="38614" spans="26:26" x14ac:dyDescent="0.25">
      <c r="Z38614">
        <v>400000</v>
      </c>
    </row>
    <row r="38615" spans="26:26" x14ac:dyDescent="0.25">
      <c r="Z38615">
        <v>400000</v>
      </c>
    </row>
    <row r="38616" spans="26:26" x14ac:dyDescent="0.25">
      <c r="Z38616">
        <v>400000</v>
      </c>
    </row>
    <row r="38617" spans="26:26" x14ac:dyDescent="0.25">
      <c r="Z38617">
        <v>400000</v>
      </c>
    </row>
    <row r="38618" spans="26:26" x14ac:dyDescent="0.25">
      <c r="Z38618">
        <v>400000</v>
      </c>
    </row>
    <row r="38619" spans="26:26" x14ac:dyDescent="0.25">
      <c r="Z38619">
        <v>400000</v>
      </c>
    </row>
    <row r="38620" spans="26:26" x14ac:dyDescent="0.25">
      <c r="Z38620">
        <v>400000</v>
      </c>
    </row>
    <row r="38621" spans="26:26" x14ac:dyDescent="0.25">
      <c r="Z38621">
        <v>400000</v>
      </c>
    </row>
    <row r="38622" spans="26:26" x14ac:dyDescent="0.25">
      <c r="Z38622">
        <v>400000</v>
      </c>
    </row>
    <row r="38623" spans="26:26" x14ac:dyDescent="0.25">
      <c r="Z38623">
        <v>400000</v>
      </c>
    </row>
    <row r="38624" spans="26:26" x14ac:dyDescent="0.25">
      <c r="Z38624">
        <v>400000</v>
      </c>
    </row>
    <row r="38625" spans="26:26" x14ac:dyDescent="0.25">
      <c r="Z38625">
        <v>400000</v>
      </c>
    </row>
    <row r="38626" spans="26:26" x14ac:dyDescent="0.25">
      <c r="Z38626">
        <v>400000</v>
      </c>
    </row>
    <row r="38627" spans="26:26" x14ac:dyDescent="0.25">
      <c r="Z38627">
        <v>400000</v>
      </c>
    </row>
    <row r="38628" spans="26:26" x14ac:dyDescent="0.25">
      <c r="Z38628">
        <v>400000</v>
      </c>
    </row>
    <row r="38629" spans="26:26" x14ac:dyDescent="0.25">
      <c r="Z38629">
        <v>400000</v>
      </c>
    </row>
    <row r="38630" spans="26:26" x14ac:dyDescent="0.25">
      <c r="Z38630">
        <v>400000</v>
      </c>
    </row>
    <row r="38631" spans="26:26" x14ac:dyDescent="0.25">
      <c r="Z38631">
        <v>400000</v>
      </c>
    </row>
    <row r="38632" spans="26:26" x14ac:dyDescent="0.25">
      <c r="Z38632">
        <v>400000</v>
      </c>
    </row>
    <row r="38633" spans="26:26" x14ac:dyDescent="0.25">
      <c r="Z38633">
        <v>400000</v>
      </c>
    </row>
    <row r="38634" spans="26:26" x14ac:dyDescent="0.25">
      <c r="Z38634">
        <v>400000</v>
      </c>
    </row>
    <row r="38635" spans="26:26" x14ac:dyDescent="0.25">
      <c r="Z38635">
        <v>400000</v>
      </c>
    </row>
    <row r="38636" spans="26:26" x14ac:dyDescent="0.25">
      <c r="Z38636">
        <v>400000</v>
      </c>
    </row>
    <row r="38637" spans="26:26" x14ac:dyDescent="0.25">
      <c r="Z38637">
        <v>400000</v>
      </c>
    </row>
    <row r="38638" spans="26:26" x14ac:dyDescent="0.25">
      <c r="Z38638">
        <v>400000</v>
      </c>
    </row>
    <row r="38639" spans="26:26" x14ac:dyDescent="0.25">
      <c r="Z38639">
        <v>400000</v>
      </c>
    </row>
    <row r="38640" spans="26:26" x14ac:dyDescent="0.25">
      <c r="Z38640">
        <v>400000</v>
      </c>
    </row>
    <row r="38641" spans="26:26" x14ac:dyDescent="0.25">
      <c r="Z38641">
        <v>400000</v>
      </c>
    </row>
    <row r="38642" spans="26:26" x14ac:dyDescent="0.25">
      <c r="Z38642">
        <v>400000</v>
      </c>
    </row>
    <row r="38643" spans="26:26" x14ac:dyDescent="0.25">
      <c r="Z38643">
        <v>400000</v>
      </c>
    </row>
    <row r="38644" spans="26:26" x14ac:dyDescent="0.25">
      <c r="Z38644">
        <v>400000</v>
      </c>
    </row>
    <row r="38645" spans="26:26" x14ac:dyDescent="0.25">
      <c r="Z38645">
        <v>400000</v>
      </c>
    </row>
    <row r="38646" spans="26:26" x14ac:dyDescent="0.25">
      <c r="Z38646">
        <v>400000</v>
      </c>
    </row>
    <row r="38647" spans="26:26" x14ac:dyDescent="0.25">
      <c r="Z38647">
        <v>400000</v>
      </c>
    </row>
    <row r="38648" spans="26:26" x14ac:dyDescent="0.25">
      <c r="Z38648">
        <v>400000</v>
      </c>
    </row>
    <row r="38649" spans="26:26" x14ac:dyDescent="0.25">
      <c r="Z38649">
        <v>400000</v>
      </c>
    </row>
    <row r="38650" spans="26:26" x14ac:dyDescent="0.25">
      <c r="Z38650">
        <v>400000</v>
      </c>
    </row>
    <row r="38651" spans="26:26" x14ac:dyDescent="0.25">
      <c r="Z38651">
        <v>400000</v>
      </c>
    </row>
    <row r="38652" spans="26:26" x14ac:dyDescent="0.25">
      <c r="Z38652">
        <v>400000</v>
      </c>
    </row>
    <row r="38653" spans="26:26" x14ac:dyDescent="0.25">
      <c r="Z38653">
        <v>400000</v>
      </c>
    </row>
    <row r="38654" spans="26:26" x14ac:dyDescent="0.25">
      <c r="Z38654">
        <v>400000</v>
      </c>
    </row>
    <row r="38655" spans="26:26" x14ac:dyDescent="0.25">
      <c r="Z38655">
        <v>400000</v>
      </c>
    </row>
    <row r="38656" spans="26:26" x14ac:dyDescent="0.25">
      <c r="Z38656">
        <v>400000</v>
      </c>
    </row>
    <row r="38657" spans="26:26" x14ac:dyDescent="0.25">
      <c r="Z38657">
        <v>400000</v>
      </c>
    </row>
    <row r="38658" spans="26:26" x14ac:dyDescent="0.25">
      <c r="Z38658">
        <v>400000</v>
      </c>
    </row>
    <row r="38659" spans="26:26" x14ac:dyDescent="0.25">
      <c r="Z38659">
        <v>400000</v>
      </c>
    </row>
    <row r="38660" spans="26:26" x14ac:dyDescent="0.25">
      <c r="Z38660">
        <v>400000</v>
      </c>
    </row>
    <row r="38661" spans="26:26" x14ac:dyDescent="0.25">
      <c r="Z38661">
        <v>400000</v>
      </c>
    </row>
    <row r="38662" spans="26:26" x14ac:dyDescent="0.25">
      <c r="Z38662">
        <v>400000</v>
      </c>
    </row>
    <row r="38663" spans="26:26" x14ac:dyDescent="0.25">
      <c r="Z38663">
        <v>400000</v>
      </c>
    </row>
    <row r="38664" spans="26:26" x14ac:dyDescent="0.25">
      <c r="Z38664">
        <v>400000</v>
      </c>
    </row>
    <row r="38665" spans="26:26" x14ac:dyDescent="0.25">
      <c r="Z38665">
        <v>400000</v>
      </c>
    </row>
    <row r="38666" spans="26:26" x14ac:dyDescent="0.25">
      <c r="Z38666">
        <v>400000</v>
      </c>
    </row>
    <row r="38667" spans="26:26" x14ac:dyDescent="0.25">
      <c r="Z38667">
        <v>400000</v>
      </c>
    </row>
    <row r="38668" spans="26:26" x14ac:dyDescent="0.25">
      <c r="Z38668">
        <v>400000</v>
      </c>
    </row>
    <row r="38669" spans="26:26" x14ac:dyDescent="0.25">
      <c r="Z38669">
        <v>400000</v>
      </c>
    </row>
    <row r="38670" spans="26:26" x14ac:dyDescent="0.25">
      <c r="Z38670">
        <v>400000</v>
      </c>
    </row>
    <row r="38671" spans="26:26" x14ac:dyDescent="0.25">
      <c r="Z38671">
        <v>400000</v>
      </c>
    </row>
    <row r="38672" spans="26:26" x14ac:dyDescent="0.25">
      <c r="Z38672">
        <v>400000</v>
      </c>
    </row>
    <row r="38673" spans="26:26" x14ac:dyDescent="0.25">
      <c r="Z38673">
        <v>400000</v>
      </c>
    </row>
    <row r="38674" spans="26:26" x14ac:dyDescent="0.25">
      <c r="Z38674">
        <v>400000</v>
      </c>
    </row>
    <row r="38675" spans="26:26" x14ac:dyDescent="0.25">
      <c r="Z38675">
        <v>400000</v>
      </c>
    </row>
    <row r="38676" spans="26:26" x14ac:dyDescent="0.25">
      <c r="Z38676">
        <v>400000</v>
      </c>
    </row>
    <row r="38677" spans="26:26" x14ac:dyDescent="0.25">
      <c r="Z38677">
        <v>400000</v>
      </c>
    </row>
    <row r="38678" spans="26:26" x14ac:dyDescent="0.25">
      <c r="Z38678">
        <v>400000</v>
      </c>
    </row>
    <row r="38679" spans="26:26" x14ac:dyDescent="0.25">
      <c r="Z38679">
        <v>400000</v>
      </c>
    </row>
    <row r="38680" spans="26:26" x14ac:dyDescent="0.25">
      <c r="Z38680">
        <v>400000</v>
      </c>
    </row>
    <row r="38681" spans="26:26" x14ac:dyDescent="0.25">
      <c r="Z38681">
        <v>400000</v>
      </c>
    </row>
    <row r="38682" spans="26:26" x14ac:dyDescent="0.25">
      <c r="Z38682">
        <v>400000</v>
      </c>
    </row>
    <row r="38683" spans="26:26" x14ac:dyDescent="0.25">
      <c r="Z38683">
        <v>400000</v>
      </c>
    </row>
    <row r="38684" spans="26:26" x14ac:dyDescent="0.25">
      <c r="Z38684">
        <v>400000</v>
      </c>
    </row>
    <row r="38685" spans="26:26" x14ac:dyDescent="0.25">
      <c r="Z38685">
        <v>400000</v>
      </c>
    </row>
    <row r="38686" spans="26:26" x14ac:dyDescent="0.25">
      <c r="Z38686">
        <v>400000</v>
      </c>
    </row>
    <row r="38687" spans="26:26" x14ac:dyDescent="0.25">
      <c r="Z38687">
        <v>400000</v>
      </c>
    </row>
    <row r="38688" spans="26:26" x14ac:dyDescent="0.25">
      <c r="Z38688">
        <v>400000</v>
      </c>
    </row>
    <row r="38689" spans="26:26" x14ac:dyDescent="0.25">
      <c r="Z38689">
        <v>400000</v>
      </c>
    </row>
    <row r="38690" spans="26:26" x14ac:dyDescent="0.25">
      <c r="Z38690">
        <v>400000</v>
      </c>
    </row>
    <row r="38691" spans="26:26" x14ac:dyDescent="0.25">
      <c r="Z38691">
        <v>400000</v>
      </c>
    </row>
    <row r="38692" spans="26:26" x14ac:dyDescent="0.25">
      <c r="Z38692">
        <v>400000</v>
      </c>
    </row>
    <row r="38693" spans="26:26" x14ac:dyDescent="0.25">
      <c r="Z38693">
        <v>400000</v>
      </c>
    </row>
    <row r="38694" spans="26:26" x14ac:dyDescent="0.25">
      <c r="Z38694">
        <v>400000</v>
      </c>
    </row>
    <row r="38695" spans="26:26" x14ac:dyDescent="0.25">
      <c r="Z38695">
        <v>400000</v>
      </c>
    </row>
    <row r="38696" spans="26:26" x14ac:dyDescent="0.25">
      <c r="Z38696">
        <v>400000</v>
      </c>
    </row>
    <row r="38697" spans="26:26" x14ac:dyDescent="0.25">
      <c r="Z38697">
        <v>400000</v>
      </c>
    </row>
    <row r="38698" spans="26:26" x14ac:dyDescent="0.25">
      <c r="Z38698">
        <v>400000</v>
      </c>
    </row>
    <row r="38699" spans="26:26" x14ac:dyDescent="0.25">
      <c r="Z38699">
        <v>400000</v>
      </c>
    </row>
    <row r="38700" spans="26:26" x14ac:dyDescent="0.25">
      <c r="Z38700">
        <v>400000</v>
      </c>
    </row>
    <row r="38701" spans="26:26" x14ac:dyDescent="0.25">
      <c r="Z38701">
        <v>400000</v>
      </c>
    </row>
    <row r="38702" spans="26:26" x14ac:dyDescent="0.25">
      <c r="Z38702">
        <v>400000</v>
      </c>
    </row>
    <row r="38703" spans="26:26" x14ac:dyDescent="0.25">
      <c r="Z38703">
        <v>400000</v>
      </c>
    </row>
    <row r="38704" spans="26:26" x14ac:dyDescent="0.25">
      <c r="Z38704">
        <v>400000</v>
      </c>
    </row>
    <row r="38705" spans="26:26" x14ac:dyDescent="0.25">
      <c r="Z38705">
        <v>400000</v>
      </c>
    </row>
    <row r="38706" spans="26:26" x14ac:dyDescent="0.25">
      <c r="Z38706">
        <v>400000</v>
      </c>
    </row>
    <row r="38707" spans="26:26" x14ac:dyDescent="0.25">
      <c r="Z38707">
        <v>400000</v>
      </c>
    </row>
    <row r="38708" spans="26:26" x14ac:dyDescent="0.25">
      <c r="Z38708">
        <v>400000</v>
      </c>
    </row>
    <row r="38709" spans="26:26" x14ac:dyDescent="0.25">
      <c r="Z38709">
        <v>400000</v>
      </c>
    </row>
    <row r="38710" spans="26:26" x14ac:dyDescent="0.25">
      <c r="Z38710">
        <v>400000</v>
      </c>
    </row>
    <row r="38711" spans="26:26" x14ac:dyDescent="0.25">
      <c r="Z38711">
        <v>400000</v>
      </c>
    </row>
    <row r="38712" spans="26:26" x14ac:dyDescent="0.25">
      <c r="Z38712">
        <v>400000</v>
      </c>
    </row>
    <row r="38713" spans="26:26" x14ac:dyDescent="0.25">
      <c r="Z38713">
        <v>400000</v>
      </c>
    </row>
    <row r="38714" spans="26:26" x14ac:dyDescent="0.25">
      <c r="Z38714">
        <v>400000</v>
      </c>
    </row>
    <row r="38715" spans="26:26" x14ac:dyDescent="0.25">
      <c r="Z38715">
        <v>400000</v>
      </c>
    </row>
    <row r="38716" spans="26:26" x14ac:dyDescent="0.25">
      <c r="Z38716">
        <v>400000</v>
      </c>
    </row>
    <row r="38717" spans="26:26" x14ac:dyDescent="0.25">
      <c r="Z38717">
        <v>400000</v>
      </c>
    </row>
    <row r="38718" spans="26:26" x14ac:dyDescent="0.25">
      <c r="Z38718">
        <v>400000</v>
      </c>
    </row>
    <row r="38719" spans="26:26" x14ac:dyDescent="0.25">
      <c r="Z38719">
        <v>400000</v>
      </c>
    </row>
    <row r="38720" spans="26:26" x14ac:dyDescent="0.25">
      <c r="Z38720">
        <v>400000</v>
      </c>
    </row>
    <row r="38721" spans="26:26" x14ac:dyDescent="0.25">
      <c r="Z38721">
        <v>400000</v>
      </c>
    </row>
    <row r="38722" spans="26:26" x14ac:dyDescent="0.25">
      <c r="Z38722">
        <v>400000</v>
      </c>
    </row>
    <row r="38723" spans="26:26" x14ac:dyDescent="0.25">
      <c r="Z38723">
        <v>400000</v>
      </c>
    </row>
    <row r="38724" spans="26:26" x14ac:dyDescent="0.25">
      <c r="Z38724">
        <v>400000</v>
      </c>
    </row>
    <row r="38725" spans="26:26" x14ac:dyDescent="0.25">
      <c r="Z38725">
        <v>400000</v>
      </c>
    </row>
    <row r="38726" spans="26:26" x14ac:dyDescent="0.25">
      <c r="Z38726">
        <v>400000</v>
      </c>
    </row>
    <row r="38727" spans="26:26" x14ac:dyDescent="0.25">
      <c r="Z38727">
        <v>400000</v>
      </c>
    </row>
    <row r="38728" spans="26:26" x14ac:dyDescent="0.25">
      <c r="Z38728">
        <v>400000</v>
      </c>
    </row>
    <row r="38729" spans="26:26" x14ac:dyDescent="0.25">
      <c r="Z38729">
        <v>400000</v>
      </c>
    </row>
    <row r="38730" spans="26:26" x14ac:dyDescent="0.25">
      <c r="Z38730">
        <v>400000</v>
      </c>
    </row>
    <row r="38731" spans="26:26" x14ac:dyDescent="0.25">
      <c r="Z38731">
        <v>400000</v>
      </c>
    </row>
    <row r="38732" spans="26:26" x14ac:dyDescent="0.25">
      <c r="Z38732">
        <v>400000</v>
      </c>
    </row>
    <row r="38733" spans="26:26" x14ac:dyDescent="0.25">
      <c r="Z38733">
        <v>400000</v>
      </c>
    </row>
    <row r="38734" spans="26:26" x14ac:dyDescent="0.25">
      <c r="Z38734">
        <v>400000</v>
      </c>
    </row>
    <row r="38735" spans="26:26" x14ac:dyDescent="0.25">
      <c r="Z38735">
        <v>400000</v>
      </c>
    </row>
    <row r="38736" spans="26:26" x14ac:dyDescent="0.25">
      <c r="Z38736">
        <v>400000</v>
      </c>
    </row>
    <row r="38737" spans="26:26" x14ac:dyDescent="0.25">
      <c r="Z38737">
        <v>400000</v>
      </c>
    </row>
    <row r="38738" spans="26:26" x14ac:dyDescent="0.25">
      <c r="Z38738">
        <v>400000</v>
      </c>
    </row>
    <row r="38739" spans="26:26" x14ac:dyDescent="0.25">
      <c r="Z38739">
        <v>400000</v>
      </c>
    </row>
    <row r="38740" spans="26:26" x14ac:dyDescent="0.25">
      <c r="Z38740">
        <v>400000</v>
      </c>
    </row>
    <row r="38741" spans="26:26" x14ac:dyDescent="0.25">
      <c r="Z38741">
        <v>400000</v>
      </c>
    </row>
    <row r="38742" spans="26:26" x14ac:dyDescent="0.25">
      <c r="Z38742">
        <v>400000</v>
      </c>
    </row>
    <row r="38743" spans="26:26" x14ac:dyDescent="0.25">
      <c r="Z38743">
        <v>400000</v>
      </c>
    </row>
    <row r="38744" spans="26:26" x14ac:dyDescent="0.25">
      <c r="Z38744">
        <v>400000</v>
      </c>
    </row>
    <row r="38745" spans="26:26" x14ac:dyDescent="0.25">
      <c r="Z38745">
        <v>400000</v>
      </c>
    </row>
    <row r="38746" spans="26:26" x14ac:dyDescent="0.25">
      <c r="Z38746">
        <v>400000</v>
      </c>
    </row>
    <row r="38747" spans="26:26" x14ac:dyDescent="0.25">
      <c r="Z38747">
        <v>400000</v>
      </c>
    </row>
    <row r="38748" spans="26:26" x14ac:dyDescent="0.25">
      <c r="Z38748">
        <v>400000</v>
      </c>
    </row>
    <row r="38749" spans="26:26" x14ac:dyDescent="0.25">
      <c r="Z38749">
        <v>400000</v>
      </c>
    </row>
    <row r="38750" spans="26:26" x14ac:dyDescent="0.25">
      <c r="Z38750">
        <v>400000</v>
      </c>
    </row>
    <row r="38751" spans="26:26" x14ac:dyDescent="0.25">
      <c r="Z38751">
        <v>400000</v>
      </c>
    </row>
    <row r="38752" spans="26:26" x14ac:dyDescent="0.25">
      <c r="Z38752">
        <v>400000</v>
      </c>
    </row>
    <row r="38753" spans="26:26" x14ac:dyDescent="0.25">
      <c r="Z38753">
        <v>400000</v>
      </c>
    </row>
    <row r="38754" spans="26:26" x14ac:dyDescent="0.25">
      <c r="Z38754">
        <v>400000</v>
      </c>
    </row>
    <row r="38755" spans="26:26" x14ac:dyDescent="0.25">
      <c r="Z38755">
        <v>400000</v>
      </c>
    </row>
    <row r="38756" spans="26:26" x14ac:dyDescent="0.25">
      <c r="Z38756">
        <v>400000</v>
      </c>
    </row>
    <row r="38757" spans="26:26" x14ac:dyDescent="0.25">
      <c r="Z38757">
        <v>400000</v>
      </c>
    </row>
    <row r="38758" spans="26:26" x14ac:dyDescent="0.25">
      <c r="Z38758">
        <v>400000</v>
      </c>
    </row>
    <row r="38759" spans="26:26" x14ac:dyDescent="0.25">
      <c r="Z38759">
        <v>400000</v>
      </c>
    </row>
    <row r="38760" spans="26:26" x14ac:dyDescent="0.25">
      <c r="Z38760">
        <v>400000</v>
      </c>
    </row>
    <row r="38761" spans="26:26" x14ac:dyDescent="0.25">
      <c r="Z38761">
        <v>400000</v>
      </c>
    </row>
    <row r="38762" spans="26:26" x14ac:dyDescent="0.25">
      <c r="Z38762">
        <v>400000</v>
      </c>
    </row>
    <row r="38763" spans="26:26" x14ac:dyDescent="0.25">
      <c r="Z38763">
        <v>400000</v>
      </c>
    </row>
    <row r="38764" spans="26:26" x14ac:dyDescent="0.25">
      <c r="Z38764">
        <v>400000</v>
      </c>
    </row>
    <row r="38765" spans="26:26" x14ac:dyDescent="0.25">
      <c r="Z38765">
        <v>400000</v>
      </c>
    </row>
    <row r="38766" spans="26:26" x14ac:dyDescent="0.25">
      <c r="Z38766">
        <v>400000</v>
      </c>
    </row>
    <row r="38767" spans="26:26" x14ac:dyDescent="0.25">
      <c r="Z38767">
        <v>400000</v>
      </c>
    </row>
    <row r="38768" spans="26:26" x14ac:dyDescent="0.25">
      <c r="Z38768">
        <v>400000</v>
      </c>
    </row>
    <row r="38769" spans="26:26" x14ac:dyDescent="0.25">
      <c r="Z38769">
        <v>400000</v>
      </c>
    </row>
    <row r="38770" spans="26:26" x14ac:dyDescent="0.25">
      <c r="Z38770">
        <v>400000</v>
      </c>
    </row>
    <row r="38771" spans="26:26" x14ac:dyDescent="0.25">
      <c r="Z38771">
        <v>400000</v>
      </c>
    </row>
    <row r="38772" spans="26:26" x14ac:dyDescent="0.25">
      <c r="Z38772">
        <v>400000</v>
      </c>
    </row>
    <row r="38773" spans="26:26" x14ac:dyDescent="0.25">
      <c r="Z38773">
        <v>400000</v>
      </c>
    </row>
    <row r="38774" spans="26:26" x14ac:dyDescent="0.25">
      <c r="Z38774">
        <v>400000</v>
      </c>
    </row>
    <row r="38775" spans="26:26" x14ac:dyDescent="0.25">
      <c r="Z38775">
        <v>400000</v>
      </c>
    </row>
    <row r="38776" spans="26:26" x14ac:dyDescent="0.25">
      <c r="Z38776">
        <v>400000</v>
      </c>
    </row>
    <row r="38777" spans="26:26" x14ac:dyDescent="0.25">
      <c r="Z38777">
        <v>400000</v>
      </c>
    </row>
    <row r="38778" spans="26:26" x14ac:dyDescent="0.25">
      <c r="Z38778">
        <v>400000</v>
      </c>
    </row>
    <row r="38779" spans="26:26" x14ac:dyDescent="0.25">
      <c r="Z38779">
        <v>400000</v>
      </c>
    </row>
    <row r="38780" spans="26:26" x14ac:dyDescent="0.25">
      <c r="Z38780">
        <v>400000</v>
      </c>
    </row>
    <row r="38781" spans="26:26" x14ac:dyDescent="0.25">
      <c r="Z38781">
        <v>400000</v>
      </c>
    </row>
    <row r="38782" spans="26:26" x14ac:dyDescent="0.25">
      <c r="Z38782">
        <v>400000</v>
      </c>
    </row>
    <row r="38783" spans="26:26" x14ac:dyDescent="0.25">
      <c r="Z38783">
        <v>400000</v>
      </c>
    </row>
    <row r="38784" spans="26:26" x14ac:dyDescent="0.25">
      <c r="Z38784">
        <v>400000</v>
      </c>
    </row>
    <row r="38785" spans="26:26" x14ac:dyDescent="0.25">
      <c r="Z38785">
        <v>400000</v>
      </c>
    </row>
    <row r="38786" spans="26:26" x14ac:dyDescent="0.25">
      <c r="Z38786">
        <v>400000</v>
      </c>
    </row>
    <row r="38787" spans="26:26" x14ac:dyDescent="0.25">
      <c r="Z38787">
        <v>400000</v>
      </c>
    </row>
    <row r="38788" spans="26:26" x14ac:dyDescent="0.25">
      <c r="Z38788">
        <v>400000</v>
      </c>
    </row>
    <row r="38789" spans="26:26" x14ac:dyDescent="0.25">
      <c r="Z38789">
        <v>400000</v>
      </c>
    </row>
    <row r="38790" spans="26:26" x14ac:dyDescent="0.25">
      <c r="Z38790">
        <v>400000</v>
      </c>
    </row>
    <row r="38791" spans="26:26" x14ac:dyDescent="0.25">
      <c r="Z38791">
        <v>400000</v>
      </c>
    </row>
    <row r="38792" spans="26:26" x14ac:dyDescent="0.25">
      <c r="Z38792">
        <v>400000</v>
      </c>
    </row>
    <row r="38793" spans="26:26" x14ac:dyDescent="0.25">
      <c r="Z38793">
        <v>400000</v>
      </c>
    </row>
    <row r="38794" spans="26:26" x14ac:dyDescent="0.25">
      <c r="Z38794">
        <v>400000</v>
      </c>
    </row>
    <row r="38795" spans="26:26" x14ac:dyDescent="0.25">
      <c r="Z38795">
        <v>400000</v>
      </c>
    </row>
    <row r="38796" spans="26:26" x14ac:dyDescent="0.25">
      <c r="Z38796">
        <v>400000</v>
      </c>
    </row>
    <row r="38797" spans="26:26" x14ac:dyDescent="0.25">
      <c r="Z38797">
        <v>400000</v>
      </c>
    </row>
    <row r="38798" spans="26:26" x14ac:dyDescent="0.25">
      <c r="Z38798">
        <v>400000</v>
      </c>
    </row>
    <row r="38799" spans="26:26" x14ac:dyDescent="0.25">
      <c r="Z38799">
        <v>400000</v>
      </c>
    </row>
    <row r="38800" spans="26:26" x14ac:dyDescent="0.25">
      <c r="Z38800">
        <v>400000</v>
      </c>
    </row>
    <row r="38801" spans="26:26" x14ac:dyDescent="0.25">
      <c r="Z38801">
        <v>400000</v>
      </c>
    </row>
    <row r="38802" spans="26:26" x14ac:dyDescent="0.25">
      <c r="Z38802">
        <v>400000</v>
      </c>
    </row>
    <row r="38803" spans="26:26" x14ac:dyDescent="0.25">
      <c r="Z38803">
        <v>400000</v>
      </c>
    </row>
    <row r="38804" spans="26:26" x14ac:dyDescent="0.25">
      <c r="Z38804">
        <v>400000</v>
      </c>
    </row>
    <row r="38805" spans="26:26" x14ac:dyDescent="0.25">
      <c r="Z38805">
        <v>400000</v>
      </c>
    </row>
    <row r="38806" spans="26:26" x14ac:dyDescent="0.25">
      <c r="Z38806">
        <v>400000</v>
      </c>
    </row>
    <row r="38807" spans="26:26" x14ac:dyDescent="0.25">
      <c r="Z38807">
        <v>400000</v>
      </c>
    </row>
    <row r="38808" spans="26:26" x14ac:dyDescent="0.25">
      <c r="Z38808">
        <v>400000</v>
      </c>
    </row>
    <row r="38809" spans="26:26" x14ac:dyDescent="0.25">
      <c r="Z38809">
        <v>400000</v>
      </c>
    </row>
    <row r="38810" spans="26:26" x14ac:dyDescent="0.25">
      <c r="Z38810">
        <v>400000</v>
      </c>
    </row>
    <row r="38811" spans="26:26" x14ac:dyDescent="0.25">
      <c r="Z38811">
        <v>400000</v>
      </c>
    </row>
    <row r="38812" spans="26:26" x14ac:dyDescent="0.25">
      <c r="Z38812">
        <v>400000</v>
      </c>
    </row>
    <row r="38813" spans="26:26" x14ac:dyDescent="0.25">
      <c r="Z38813">
        <v>400000</v>
      </c>
    </row>
    <row r="38814" spans="26:26" x14ac:dyDescent="0.25">
      <c r="Z38814">
        <v>400000</v>
      </c>
    </row>
    <row r="38815" spans="26:26" x14ac:dyDescent="0.25">
      <c r="Z38815">
        <v>400000</v>
      </c>
    </row>
    <row r="38816" spans="26:26" x14ac:dyDescent="0.25">
      <c r="Z38816">
        <v>400000</v>
      </c>
    </row>
    <row r="38817" spans="26:26" x14ac:dyDescent="0.25">
      <c r="Z38817">
        <v>400000</v>
      </c>
    </row>
    <row r="38818" spans="26:26" x14ac:dyDescent="0.25">
      <c r="Z38818">
        <v>400000</v>
      </c>
    </row>
    <row r="38819" spans="26:26" x14ac:dyDescent="0.25">
      <c r="Z38819">
        <v>400000</v>
      </c>
    </row>
    <row r="38820" spans="26:26" x14ac:dyDescent="0.25">
      <c r="Z38820">
        <v>400000</v>
      </c>
    </row>
    <row r="38821" spans="26:26" x14ac:dyDescent="0.25">
      <c r="Z38821">
        <v>400000</v>
      </c>
    </row>
    <row r="38822" spans="26:26" x14ac:dyDescent="0.25">
      <c r="Z38822">
        <v>400000</v>
      </c>
    </row>
    <row r="38823" spans="26:26" x14ac:dyDescent="0.25">
      <c r="Z38823">
        <v>400000</v>
      </c>
    </row>
    <row r="38824" spans="26:26" x14ac:dyDescent="0.25">
      <c r="Z38824">
        <v>400000</v>
      </c>
    </row>
    <row r="38825" spans="26:26" x14ac:dyDescent="0.25">
      <c r="Z38825">
        <v>400000</v>
      </c>
    </row>
    <row r="38826" spans="26:26" x14ac:dyDescent="0.25">
      <c r="Z38826">
        <v>400000</v>
      </c>
    </row>
    <row r="38827" spans="26:26" x14ac:dyDescent="0.25">
      <c r="Z38827">
        <v>400000</v>
      </c>
    </row>
    <row r="38828" spans="26:26" x14ac:dyDescent="0.25">
      <c r="Z38828">
        <v>400000</v>
      </c>
    </row>
    <row r="38829" spans="26:26" x14ac:dyDescent="0.25">
      <c r="Z38829">
        <v>400000</v>
      </c>
    </row>
    <row r="38830" spans="26:26" x14ac:dyDescent="0.25">
      <c r="Z38830">
        <v>400000</v>
      </c>
    </row>
    <row r="38831" spans="26:26" x14ac:dyDescent="0.25">
      <c r="Z38831">
        <v>400000</v>
      </c>
    </row>
    <row r="38832" spans="26:26" x14ac:dyDescent="0.25">
      <c r="Z38832">
        <v>400000</v>
      </c>
    </row>
    <row r="38833" spans="26:26" x14ac:dyDescent="0.25">
      <c r="Z38833">
        <v>400000</v>
      </c>
    </row>
    <row r="38834" spans="26:26" x14ac:dyDescent="0.25">
      <c r="Z38834">
        <v>400000</v>
      </c>
    </row>
    <row r="38835" spans="26:26" x14ac:dyDescent="0.25">
      <c r="Z38835">
        <v>400000</v>
      </c>
    </row>
    <row r="38836" spans="26:26" x14ac:dyDescent="0.25">
      <c r="Z38836">
        <v>400000</v>
      </c>
    </row>
    <row r="38837" spans="26:26" x14ac:dyDescent="0.25">
      <c r="Z38837">
        <v>400000</v>
      </c>
    </row>
    <row r="38838" spans="26:26" x14ac:dyDescent="0.25">
      <c r="Z38838">
        <v>400000</v>
      </c>
    </row>
    <row r="38839" spans="26:26" x14ac:dyDescent="0.25">
      <c r="Z38839">
        <v>400000</v>
      </c>
    </row>
    <row r="38840" spans="26:26" x14ac:dyDescent="0.25">
      <c r="Z38840">
        <v>400000</v>
      </c>
    </row>
    <row r="38841" spans="26:26" x14ac:dyDescent="0.25">
      <c r="Z38841">
        <v>400000</v>
      </c>
    </row>
    <row r="38842" spans="26:26" x14ac:dyDescent="0.25">
      <c r="Z38842">
        <v>400000</v>
      </c>
    </row>
    <row r="38843" spans="26:26" x14ac:dyDescent="0.25">
      <c r="Z38843">
        <v>400000</v>
      </c>
    </row>
    <row r="38844" spans="26:26" x14ac:dyDescent="0.25">
      <c r="Z38844">
        <v>400000</v>
      </c>
    </row>
    <row r="38845" spans="26:26" x14ac:dyDescent="0.25">
      <c r="Z38845">
        <v>400000</v>
      </c>
    </row>
    <row r="38846" spans="26:26" x14ac:dyDescent="0.25">
      <c r="Z38846">
        <v>400000</v>
      </c>
    </row>
    <row r="38847" spans="26:26" x14ac:dyDescent="0.25">
      <c r="Z38847">
        <v>400000</v>
      </c>
    </row>
    <row r="38848" spans="26:26" x14ac:dyDescent="0.25">
      <c r="Z38848">
        <v>400000</v>
      </c>
    </row>
    <row r="38849" spans="26:26" x14ac:dyDescent="0.25">
      <c r="Z38849">
        <v>400000</v>
      </c>
    </row>
    <row r="38850" spans="26:26" x14ac:dyDescent="0.25">
      <c r="Z38850">
        <v>400000</v>
      </c>
    </row>
    <row r="38851" spans="26:26" x14ac:dyDescent="0.25">
      <c r="Z38851">
        <v>400000</v>
      </c>
    </row>
    <row r="38852" spans="26:26" x14ac:dyDescent="0.25">
      <c r="Z38852">
        <v>400000</v>
      </c>
    </row>
    <row r="38853" spans="26:26" x14ac:dyDescent="0.25">
      <c r="Z38853">
        <v>400000</v>
      </c>
    </row>
    <row r="38854" spans="26:26" x14ac:dyDescent="0.25">
      <c r="Z38854">
        <v>400000</v>
      </c>
    </row>
    <row r="38855" spans="26:26" x14ac:dyDescent="0.25">
      <c r="Z38855">
        <v>400000</v>
      </c>
    </row>
    <row r="38856" spans="26:26" x14ac:dyDescent="0.25">
      <c r="Z38856">
        <v>400000</v>
      </c>
    </row>
    <row r="38857" spans="26:26" x14ac:dyDescent="0.25">
      <c r="Z38857">
        <v>400000</v>
      </c>
    </row>
    <row r="38858" spans="26:26" x14ac:dyDescent="0.25">
      <c r="Z38858">
        <v>400000</v>
      </c>
    </row>
    <row r="38859" spans="26:26" x14ac:dyDescent="0.25">
      <c r="Z38859">
        <v>400000</v>
      </c>
    </row>
    <row r="38860" spans="26:26" x14ac:dyDescent="0.25">
      <c r="Z38860">
        <v>400000</v>
      </c>
    </row>
    <row r="38861" spans="26:26" x14ac:dyDescent="0.25">
      <c r="Z38861">
        <v>400000</v>
      </c>
    </row>
    <row r="38862" spans="26:26" x14ac:dyDescent="0.25">
      <c r="Z38862">
        <v>400000</v>
      </c>
    </row>
    <row r="38863" spans="26:26" x14ac:dyDescent="0.25">
      <c r="Z38863">
        <v>400000</v>
      </c>
    </row>
    <row r="38864" spans="26:26" x14ac:dyDescent="0.25">
      <c r="Z38864">
        <v>400000</v>
      </c>
    </row>
    <row r="38865" spans="26:26" x14ac:dyDescent="0.25">
      <c r="Z38865">
        <v>400000</v>
      </c>
    </row>
    <row r="38866" spans="26:26" x14ac:dyDescent="0.25">
      <c r="Z38866">
        <v>400000</v>
      </c>
    </row>
    <row r="38867" spans="26:26" x14ac:dyDescent="0.25">
      <c r="Z38867">
        <v>400000</v>
      </c>
    </row>
    <row r="38868" spans="26:26" x14ac:dyDescent="0.25">
      <c r="Z38868">
        <v>400000</v>
      </c>
    </row>
    <row r="38869" spans="26:26" x14ac:dyDescent="0.25">
      <c r="Z38869">
        <v>400000</v>
      </c>
    </row>
    <row r="38870" spans="26:26" x14ac:dyDescent="0.25">
      <c r="Z38870">
        <v>400000</v>
      </c>
    </row>
    <row r="38871" spans="26:26" x14ac:dyDescent="0.25">
      <c r="Z38871">
        <v>400000</v>
      </c>
    </row>
    <row r="38872" spans="26:26" x14ac:dyDescent="0.25">
      <c r="Z38872">
        <v>400000</v>
      </c>
    </row>
    <row r="38873" spans="26:26" x14ac:dyDescent="0.25">
      <c r="Z38873">
        <v>400000</v>
      </c>
    </row>
    <row r="38874" spans="26:26" x14ac:dyDescent="0.25">
      <c r="Z38874">
        <v>400000</v>
      </c>
    </row>
    <row r="38875" spans="26:26" x14ac:dyDescent="0.25">
      <c r="Z38875">
        <v>400000</v>
      </c>
    </row>
    <row r="38876" spans="26:26" x14ac:dyDescent="0.25">
      <c r="Z38876">
        <v>400000</v>
      </c>
    </row>
    <row r="38877" spans="26:26" x14ac:dyDescent="0.25">
      <c r="Z38877">
        <v>400000</v>
      </c>
    </row>
    <row r="38878" spans="26:26" x14ac:dyDescent="0.25">
      <c r="Z38878">
        <v>400000</v>
      </c>
    </row>
    <row r="38879" spans="26:26" x14ac:dyDescent="0.25">
      <c r="Z38879">
        <v>400000</v>
      </c>
    </row>
    <row r="38880" spans="26:26" x14ac:dyDescent="0.25">
      <c r="Z38880">
        <v>400000</v>
      </c>
    </row>
    <row r="38881" spans="26:26" x14ac:dyDescent="0.25">
      <c r="Z38881">
        <v>400000</v>
      </c>
    </row>
    <row r="38882" spans="26:26" x14ac:dyDescent="0.25">
      <c r="Z38882">
        <v>400000</v>
      </c>
    </row>
    <row r="38883" spans="26:26" x14ac:dyDescent="0.25">
      <c r="Z38883">
        <v>400000</v>
      </c>
    </row>
    <row r="38884" spans="26:26" x14ac:dyDescent="0.25">
      <c r="Z38884">
        <v>400000</v>
      </c>
    </row>
    <row r="38885" spans="26:26" x14ac:dyDescent="0.25">
      <c r="Z38885">
        <v>400000</v>
      </c>
    </row>
    <row r="38886" spans="26:26" x14ac:dyDescent="0.25">
      <c r="Z38886">
        <v>400000</v>
      </c>
    </row>
    <row r="38887" spans="26:26" x14ac:dyDescent="0.25">
      <c r="Z38887">
        <v>400000</v>
      </c>
    </row>
    <row r="38888" spans="26:26" x14ac:dyDescent="0.25">
      <c r="Z38888">
        <v>400000</v>
      </c>
    </row>
    <row r="38889" spans="26:26" x14ac:dyDescent="0.25">
      <c r="Z38889">
        <v>400000</v>
      </c>
    </row>
    <row r="38890" spans="26:26" x14ac:dyDescent="0.25">
      <c r="Z38890">
        <v>400000</v>
      </c>
    </row>
    <row r="38891" spans="26:26" x14ac:dyDescent="0.25">
      <c r="Z38891">
        <v>400000</v>
      </c>
    </row>
    <row r="38892" spans="26:26" x14ac:dyDescent="0.25">
      <c r="Z38892">
        <v>400000</v>
      </c>
    </row>
    <row r="38893" spans="26:26" x14ac:dyDescent="0.25">
      <c r="Z38893">
        <v>400000</v>
      </c>
    </row>
    <row r="38894" spans="26:26" x14ac:dyDescent="0.25">
      <c r="Z38894">
        <v>400000</v>
      </c>
    </row>
    <row r="38895" spans="26:26" x14ac:dyDescent="0.25">
      <c r="Z38895">
        <v>400000</v>
      </c>
    </row>
    <row r="38896" spans="26:26" x14ac:dyDescent="0.25">
      <c r="Z38896">
        <v>400000</v>
      </c>
    </row>
    <row r="38897" spans="26:26" x14ac:dyDescent="0.25">
      <c r="Z38897">
        <v>400000</v>
      </c>
    </row>
    <row r="38898" spans="26:26" x14ac:dyDescent="0.25">
      <c r="Z38898">
        <v>400000</v>
      </c>
    </row>
    <row r="38899" spans="26:26" x14ac:dyDescent="0.25">
      <c r="Z38899">
        <v>400000</v>
      </c>
    </row>
    <row r="38900" spans="26:26" x14ac:dyDescent="0.25">
      <c r="Z38900">
        <v>400000</v>
      </c>
    </row>
    <row r="38901" spans="26:26" x14ac:dyDescent="0.25">
      <c r="Z38901">
        <v>400000</v>
      </c>
    </row>
    <row r="38902" spans="26:26" x14ac:dyDescent="0.25">
      <c r="Z38902">
        <v>400000</v>
      </c>
    </row>
    <row r="38903" spans="26:26" x14ac:dyDescent="0.25">
      <c r="Z38903">
        <v>400000</v>
      </c>
    </row>
    <row r="38904" spans="26:26" x14ac:dyDescent="0.25">
      <c r="Z38904">
        <v>400000</v>
      </c>
    </row>
    <row r="38905" spans="26:26" x14ac:dyDescent="0.25">
      <c r="Z38905">
        <v>400000</v>
      </c>
    </row>
    <row r="38906" spans="26:26" x14ac:dyDescent="0.25">
      <c r="Z38906">
        <v>400000</v>
      </c>
    </row>
    <row r="38907" spans="26:26" x14ac:dyDescent="0.25">
      <c r="Z38907">
        <v>400000</v>
      </c>
    </row>
    <row r="38908" spans="26:26" x14ac:dyDescent="0.25">
      <c r="Z38908">
        <v>400000</v>
      </c>
    </row>
    <row r="38909" spans="26:26" x14ac:dyDescent="0.25">
      <c r="Z38909">
        <v>400000</v>
      </c>
    </row>
    <row r="38910" spans="26:26" x14ac:dyDescent="0.25">
      <c r="Z38910">
        <v>400000</v>
      </c>
    </row>
    <row r="38911" spans="26:26" x14ac:dyDescent="0.25">
      <c r="Z38911">
        <v>400000</v>
      </c>
    </row>
    <row r="38912" spans="26:26" x14ac:dyDescent="0.25">
      <c r="Z38912">
        <v>400000</v>
      </c>
    </row>
    <row r="38913" spans="26:26" x14ac:dyDescent="0.25">
      <c r="Z38913">
        <v>400000</v>
      </c>
    </row>
    <row r="38914" spans="26:26" x14ac:dyDescent="0.25">
      <c r="Z38914">
        <v>400000</v>
      </c>
    </row>
    <row r="38915" spans="26:26" x14ac:dyDescent="0.25">
      <c r="Z38915">
        <v>400000</v>
      </c>
    </row>
    <row r="38916" spans="26:26" x14ac:dyDescent="0.25">
      <c r="Z38916">
        <v>400000</v>
      </c>
    </row>
    <row r="38917" spans="26:26" x14ac:dyDescent="0.25">
      <c r="Z38917">
        <v>400000</v>
      </c>
    </row>
    <row r="38918" spans="26:26" x14ac:dyDescent="0.25">
      <c r="Z38918">
        <v>400000</v>
      </c>
    </row>
    <row r="38919" spans="26:26" x14ac:dyDescent="0.25">
      <c r="Z38919">
        <v>400000</v>
      </c>
    </row>
    <row r="38920" spans="26:26" x14ac:dyDescent="0.25">
      <c r="Z38920">
        <v>400000</v>
      </c>
    </row>
    <row r="38921" spans="26:26" x14ac:dyDescent="0.25">
      <c r="Z38921">
        <v>400000</v>
      </c>
    </row>
    <row r="38922" spans="26:26" x14ac:dyDescent="0.25">
      <c r="Z38922">
        <v>400000</v>
      </c>
    </row>
    <row r="38923" spans="26:26" x14ac:dyDescent="0.25">
      <c r="Z38923">
        <v>400000</v>
      </c>
    </row>
    <row r="38924" spans="26:26" x14ac:dyDescent="0.25">
      <c r="Z38924">
        <v>400000</v>
      </c>
    </row>
    <row r="38925" spans="26:26" x14ac:dyDescent="0.25">
      <c r="Z38925">
        <v>400000</v>
      </c>
    </row>
    <row r="38926" spans="26:26" x14ac:dyDescent="0.25">
      <c r="Z38926">
        <v>400000</v>
      </c>
    </row>
    <row r="38927" spans="26:26" x14ac:dyDescent="0.25">
      <c r="Z38927">
        <v>400000</v>
      </c>
    </row>
    <row r="38928" spans="26:26" x14ac:dyDescent="0.25">
      <c r="Z38928">
        <v>400000</v>
      </c>
    </row>
    <row r="38929" spans="26:26" x14ac:dyDescent="0.25">
      <c r="Z38929">
        <v>400000</v>
      </c>
    </row>
    <row r="38930" spans="26:26" x14ac:dyDescent="0.25">
      <c r="Z38930">
        <v>400000</v>
      </c>
    </row>
    <row r="38931" spans="26:26" x14ac:dyDescent="0.25">
      <c r="Z38931">
        <v>400000</v>
      </c>
    </row>
    <row r="38932" spans="26:26" x14ac:dyDescent="0.25">
      <c r="Z38932">
        <v>400000</v>
      </c>
    </row>
    <row r="38933" spans="26:26" x14ac:dyDescent="0.25">
      <c r="Z38933">
        <v>400000</v>
      </c>
    </row>
    <row r="38934" spans="26:26" x14ac:dyDescent="0.25">
      <c r="Z38934">
        <v>400000</v>
      </c>
    </row>
    <row r="38935" spans="26:26" x14ac:dyDescent="0.25">
      <c r="Z38935">
        <v>400000</v>
      </c>
    </row>
    <row r="38936" spans="26:26" x14ac:dyDescent="0.25">
      <c r="Z38936">
        <v>400000</v>
      </c>
    </row>
    <row r="38937" spans="26:26" x14ac:dyDescent="0.25">
      <c r="Z38937">
        <v>400000</v>
      </c>
    </row>
    <row r="38938" spans="26:26" x14ac:dyDescent="0.25">
      <c r="Z38938">
        <v>400000</v>
      </c>
    </row>
    <row r="38939" spans="26:26" x14ac:dyDescent="0.25">
      <c r="Z38939">
        <v>400000</v>
      </c>
    </row>
    <row r="38940" spans="26:26" x14ac:dyDescent="0.25">
      <c r="Z38940">
        <v>400000</v>
      </c>
    </row>
    <row r="38941" spans="26:26" x14ac:dyDescent="0.25">
      <c r="Z38941">
        <v>400000</v>
      </c>
    </row>
    <row r="38942" spans="26:26" x14ac:dyDescent="0.25">
      <c r="Z38942">
        <v>400000</v>
      </c>
    </row>
    <row r="38943" spans="26:26" x14ac:dyDescent="0.25">
      <c r="Z38943">
        <v>400000</v>
      </c>
    </row>
    <row r="38944" spans="26:26" x14ac:dyDescent="0.25">
      <c r="Z38944">
        <v>400000</v>
      </c>
    </row>
    <row r="38945" spans="26:26" x14ac:dyDescent="0.25">
      <c r="Z38945">
        <v>400000</v>
      </c>
    </row>
    <row r="38946" spans="26:26" x14ac:dyDescent="0.25">
      <c r="Z38946">
        <v>400000</v>
      </c>
    </row>
    <row r="38947" spans="26:26" x14ac:dyDescent="0.25">
      <c r="Z38947">
        <v>400000</v>
      </c>
    </row>
    <row r="38948" spans="26:26" x14ac:dyDescent="0.25">
      <c r="Z38948">
        <v>400000</v>
      </c>
    </row>
    <row r="38949" spans="26:26" x14ac:dyDescent="0.25">
      <c r="Z38949">
        <v>400000</v>
      </c>
    </row>
    <row r="38950" spans="26:26" x14ac:dyDescent="0.25">
      <c r="Z38950">
        <v>400000</v>
      </c>
    </row>
    <row r="38951" spans="26:26" x14ac:dyDescent="0.25">
      <c r="Z38951">
        <v>400000</v>
      </c>
    </row>
    <row r="38952" spans="26:26" x14ac:dyDescent="0.25">
      <c r="Z38952">
        <v>400000</v>
      </c>
    </row>
    <row r="38953" spans="26:26" x14ac:dyDescent="0.25">
      <c r="Z38953">
        <v>400000</v>
      </c>
    </row>
    <row r="38954" spans="26:26" x14ac:dyDescent="0.25">
      <c r="Z38954">
        <v>400000</v>
      </c>
    </row>
    <row r="38955" spans="26:26" x14ac:dyDescent="0.25">
      <c r="Z38955">
        <v>400000</v>
      </c>
    </row>
    <row r="38956" spans="26:26" x14ac:dyDescent="0.25">
      <c r="Z38956">
        <v>400000</v>
      </c>
    </row>
    <row r="38957" spans="26:26" x14ac:dyDescent="0.25">
      <c r="Z38957">
        <v>400000</v>
      </c>
    </row>
    <row r="38958" spans="26:26" x14ac:dyDescent="0.25">
      <c r="Z38958">
        <v>400000</v>
      </c>
    </row>
    <row r="38959" spans="26:26" x14ac:dyDescent="0.25">
      <c r="Z38959">
        <v>400000</v>
      </c>
    </row>
    <row r="38960" spans="26:26" x14ac:dyDescent="0.25">
      <c r="Z38960">
        <v>400000</v>
      </c>
    </row>
    <row r="38961" spans="26:26" x14ac:dyDescent="0.25">
      <c r="Z38961">
        <v>400000</v>
      </c>
    </row>
    <row r="38962" spans="26:26" x14ac:dyDescent="0.25">
      <c r="Z38962">
        <v>400000</v>
      </c>
    </row>
    <row r="38963" spans="26:26" x14ac:dyDescent="0.25">
      <c r="Z38963">
        <v>400000</v>
      </c>
    </row>
    <row r="38964" spans="26:26" x14ac:dyDescent="0.25">
      <c r="Z38964">
        <v>400000</v>
      </c>
    </row>
    <row r="38965" spans="26:26" x14ac:dyDescent="0.25">
      <c r="Z38965">
        <v>400000</v>
      </c>
    </row>
    <row r="38966" spans="26:26" x14ac:dyDescent="0.25">
      <c r="Z38966">
        <v>400000</v>
      </c>
    </row>
    <row r="38967" spans="26:26" x14ac:dyDescent="0.25">
      <c r="Z38967">
        <v>400000</v>
      </c>
    </row>
    <row r="38968" spans="26:26" x14ac:dyDescent="0.25">
      <c r="Z38968">
        <v>400000</v>
      </c>
    </row>
    <row r="38969" spans="26:26" x14ac:dyDescent="0.25">
      <c r="Z38969">
        <v>400000</v>
      </c>
    </row>
    <row r="38970" spans="26:26" x14ac:dyDescent="0.25">
      <c r="Z38970">
        <v>400000</v>
      </c>
    </row>
    <row r="38971" spans="26:26" x14ac:dyDescent="0.25">
      <c r="Z38971">
        <v>400000</v>
      </c>
    </row>
    <row r="38972" spans="26:26" x14ac:dyDescent="0.25">
      <c r="Z38972">
        <v>400000</v>
      </c>
    </row>
    <row r="38973" spans="26:26" x14ac:dyDescent="0.25">
      <c r="Z38973">
        <v>400000</v>
      </c>
    </row>
    <row r="38974" spans="26:26" x14ac:dyDescent="0.25">
      <c r="Z38974">
        <v>400000</v>
      </c>
    </row>
    <row r="38975" spans="26:26" x14ac:dyDescent="0.25">
      <c r="Z38975">
        <v>400000</v>
      </c>
    </row>
    <row r="38976" spans="26:26" x14ac:dyDescent="0.25">
      <c r="Z38976">
        <v>400000</v>
      </c>
    </row>
    <row r="38977" spans="26:26" x14ac:dyDescent="0.25">
      <c r="Z38977">
        <v>400000</v>
      </c>
    </row>
    <row r="38978" spans="26:26" x14ac:dyDescent="0.25">
      <c r="Z38978">
        <v>400000</v>
      </c>
    </row>
    <row r="38979" spans="26:26" x14ac:dyDescent="0.25">
      <c r="Z38979">
        <v>400000</v>
      </c>
    </row>
    <row r="38980" spans="26:26" x14ac:dyDescent="0.25">
      <c r="Z38980">
        <v>400000</v>
      </c>
    </row>
    <row r="38981" spans="26:26" x14ac:dyDescent="0.25">
      <c r="Z38981">
        <v>400000</v>
      </c>
    </row>
    <row r="38982" spans="26:26" x14ac:dyDescent="0.25">
      <c r="Z38982">
        <v>400000</v>
      </c>
    </row>
    <row r="38983" spans="26:26" x14ac:dyDescent="0.25">
      <c r="Z38983">
        <v>400000</v>
      </c>
    </row>
    <row r="38984" spans="26:26" x14ac:dyDescent="0.25">
      <c r="Z38984">
        <v>400000</v>
      </c>
    </row>
    <row r="38985" spans="26:26" x14ac:dyDescent="0.25">
      <c r="Z38985">
        <v>400000</v>
      </c>
    </row>
    <row r="38986" spans="26:26" x14ac:dyDescent="0.25">
      <c r="Z38986">
        <v>400000</v>
      </c>
    </row>
    <row r="38987" spans="26:26" x14ac:dyDescent="0.25">
      <c r="Z38987">
        <v>400000</v>
      </c>
    </row>
    <row r="38988" spans="26:26" x14ac:dyDescent="0.25">
      <c r="Z38988">
        <v>400000</v>
      </c>
    </row>
    <row r="38989" spans="26:26" x14ac:dyDescent="0.25">
      <c r="Z38989">
        <v>400000</v>
      </c>
    </row>
    <row r="38990" spans="26:26" x14ac:dyDescent="0.25">
      <c r="Z38990">
        <v>400000</v>
      </c>
    </row>
    <row r="38991" spans="26:26" x14ac:dyDescent="0.25">
      <c r="Z38991">
        <v>400000</v>
      </c>
    </row>
    <row r="38992" spans="26:26" x14ac:dyDescent="0.25">
      <c r="Z38992">
        <v>400000</v>
      </c>
    </row>
    <row r="38993" spans="26:26" x14ac:dyDescent="0.25">
      <c r="Z38993">
        <v>400000</v>
      </c>
    </row>
    <row r="38994" spans="26:26" x14ac:dyDescent="0.25">
      <c r="Z38994">
        <v>400000</v>
      </c>
    </row>
    <row r="38995" spans="26:26" x14ac:dyDescent="0.25">
      <c r="Z38995">
        <v>400000</v>
      </c>
    </row>
    <row r="38996" spans="26:26" x14ac:dyDescent="0.25">
      <c r="Z38996">
        <v>400000</v>
      </c>
    </row>
    <row r="38997" spans="26:26" x14ac:dyDescent="0.25">
      <c r="Z38997">
        <v>400000</v>
      </c>
    </row>
    <row r="38998" spans="26:26" x14ac:dyDescent="0.25">
      <c r="Z38998">
        <v>400000</v>
      </c>
    </row>
    <row r="38999" spans="26:26" x14ac:dyDescent="0.25">
      <c r="Z38999">
        <v>400000</v>
      </c>
    </row>
    <row r="39000" spans="26:26" x14ac:dyDescent="0.25">
      <c r="Z39000">
        <v>400000</v>
      </c>
    </row>
    <row r="39001" spans="26:26" x14ac:dyDescent="0.25">
      <c r="Z39001">
        <v>400000</v>
      </c>
    </row>
    <row r="39002" spans="26:26" x14ac:dyDescent="0.25">
      <c r="Z39002">
        <v>400000</v>
      </c>
    </row>
    <row r="39003" spans="26:26" x14ac:dyDescent="0.25">
      <c r="Z39003">
        <v>400000</v>
      </c>
    </row>
    <row r="39004" spans="26:26" x14ac:dyDescent="0.25">
      <c r="Z39004">
        <v>400000</v>
      </c>
    </row>
    <row r="39005" spans="26:26" x14ac:dyDescent="0.25">
      <c r="Z39005">
        <v>400000</v>
      </c>
    </row>
    <row r="39006" spans="26:26" x14ac:dyDescent="0.25">
      <c r="Z39006">
        <v>400000</v>
      </c>
    </row>
    <row r="39007" spans="26:26" x14ac:dyDescent="0.25">
      <c r="Z39007">
        <v>400000</v>
      </c>
    </row>
    <row r="39008" spans="26:26" x14ac:dyDescent="0.25">
      <c r="Z39008">
        <v>400000</v>
      </c>
    </row>
    <row r="39009" spans="26:26" x14ac:dyDescent="0.25">
      <c r="Z39009">
        <v>400000</v>
      </c>
    </row>
    <row r="39010" spans="26:26" x14ac:dyDescent="0.25">
      <c r="Z39010">
        <v>400000</v>
      </c>
    </row>
    <row r="39011" spans="26:26" x14ac:dyDescent="0.25">
      <c r="Z39011">
        <v>400000</v>
      </c>
    </row>
    <row r="39012" spans="26:26" x14ac:dyDescent="0.25">
      <c r="Z39012">
        <v>400000</v>
      </c>
    </row>
    <row r="39013" spans="26:26" x14ac:dyDescent="0.25">
      <c r="Z39013">
        <v>400000</v>
      </c>
    </row>
    <row r="39014" spans="26:26" x14ac:dyDescent="0.25">
      <c r="Z39014">
        <v>400000</v>
      </c>
    </row>
    <row r="39015" spans="26:26" x14ac:dyDescent="0.25">
      <c r="Z39015">
        <v>400000</v>
      </c>
    </row>
    <row r="39016" spans="26:26" x14ac:dyDescent="0.25">
      <c r="Z39016">
        <v>400000</v>
      </c>
    </row>
    <row r="39017" spans="26:26" x14ac:dyDescent="0.25">
      <c r="Z39017">
        <v>400000</v>
      </c>
    </row>
    <row r="39018" spans="26:26" x14ac:dyDescent="0.25">
      <c r="Z39018">
        <v>400000</v>
      </c>
    </row>
    <row r="39019" spans="26:26" x14ac:dyDescent="0.25">
      <c r="Z39019">
        <v>400000</v>
      </c>
    </row>
    <row r="39020" spans="26:26" x14ac:dyDescent="0.25">
      <c r="Z39020">
        <v>400000</v>
      </c>
    </row>
    <row r="39021" spans="26:26" x14ac:dyDescent="0.25">
      <c r="Z39021">
        <v>400000</v>
      </c>
    </row>
    <row r="39022" spans="26:26" x14ac:dyDescent="0.25">
      <c r="Z39022">
        <v>400000</v>
      </c>
    </row>
    <row r="39023" spans="26:26" x14ac:dyDescent="0.25">
      <c r="Z39023">
        <v>400000</v>
      </c>
    </row>
    <row r="39024" spans="26:26" x14ac:dyDescent="0.25">
      <c r="Z39024">
        <v>400000</v>
      </c>
    </row>
    <row r="39025" spans="26:26" x14ac:dyDescent="0.25">
      <c r="Z39025">
        <v>400000</v>
      </c>
    </row>
    <row r="39026" spans="26:26" x14ac:dyDescent="0.25">
      <c r="Z39026">
        <v>400000</v>
      </c>
    </row>
    <row r="39027" spans="26:26" x14ac:dyDescent="0.25">
      <c r="Z39027">
        <v>400000</v>
      </c>
    </row>
    <row r="39028" spans="26:26" x14ac:dyDescent="0.25">
      <c r="Z39028">
        <v>400000</v>
      </c>
    </row>
    <row r="39029" spans="26:26" x14ac:dyDescent="0.25">
      <c r="Z39029">
        <v>400000</v>
      </c>
    </row>
    <row r="39030" spans="26:26" x14ac:dyDescent="0.25">
      <c r="Z39030">
        <v>400000</v>
      </c>
    </row>
    <row r="39031" spans="26:26" x14ac:dyDescent="0.25">
      <c r="Z39031">
        <v>400000</v>
      </c>
    </row>
    <row r="39032" spans="26:26" x14ac:dyDescent="0.25">
      <c r="Z39032">
        <v>400000</v>
      </c>
    </row>
    <row r="39033" spans="26:26" x14ac:dyDescent="0.25">
      <c r="Z39033">
        <v>400000</v>
      </c>
    </row>
    <row r="39034" spans="26:26" x14ac:dyDescent="0.25">
      <c r="Z39034">
        <v>400000</v>
      </c>
    </row>
    <row r="39035" spans="26:26" x14ac:dyDescent="0.25">
      <c r="Z39035">
        <v>400000</v>
      </c>
    </row>
    <row r="39036" spans="26:26" x14ac:dyDescent="0.25">
      <c r="Z39036">
        <v>400000</v>
      </c>
    </row>
    <row r="39037" spans="26:26" x14ac:dyDescent="0.25">
      <c r="Z39037">
        <v>400000</v>
      </c>
    </row>
    <row r="39038" spans="26:26" x14ac:dyDescent="0.25">
      <c r="Z39038">
        <v>400000</v>
      </c>
    </row>
    <row r="39039" spans="26:26" x14ac:dyDescent="0.25">
      <c r="Z39039">
        <v>400000</v>
      </c>
    </row>
    <row r="39040" spans="26:26" x14ac:dyDescent="0.25">
      <c r="Z39040">
        <v>400000</v>
      </c>
    </row>
    <row r="39041" spans="26:26" x14ac:dyDescent="0.25">
      <c r="Z39041">
        <v>400000</v>
      </c>
    </row>
    <row r="39042" spans="26:26" x14ac:dyDescent="0.25">
      <c r="Z39042">
        <v>400000</v>
      </c>
    </row>
    <row r="39043" spans="26:26" x14ac:dyDescent="0.25">
      <c r="Z39043">
        <v>400000</v>
      </c>
    </row>
    <row r="39044" spans="26:26" x14ac:dyDescent="0.25">
      <c r="Z39044">
        <v>400000</v>
      </c>
    </row>
    <row r="39045" spans="26:26" x14ac:dyDescent="0.25">
      <c r="Z39045">
        <v>400000</v>
      </c>
    </row>
    <row r="39046" spans="26:26" x14ac:dyDescent="0.25">
      <c r="Z39046">
        <v>400000</v>
      </c>
    </row>
    <row r="39047" spans="26:26" x14ac:dyDescent="0.25">
      <c r="Z39047">
        <v>400000</v>
      </c>
    </row>
    <row r="39048" spans="26:26" x14ac:dyDescent="0.25">
      <c r="Z39048">
        <v>400000</v>
      </c>
    </row>
    <row r="39049" spans="26:26" x14ac:dyDescent="0.25">
      <c r="Z39049">
        <v>400000</v>
      </c>
    </row>
    <row r="39050" spans="26:26" x14ac:dyDescent="0.25">
      <c r="Z39050">
        <v>400000</v>
      </c>
    </row>
    <row r="39051" spans="26:26" x14ac:dyDescent="0.25">
      <c r="Z39051">
        <v>400000</v>
      </c>
    </row>
    <row r="39052" spans="26:26" x14ac:dyDescent="0.25">
      <c r="Z39052">
        <v>400000</v>
      </c>
    </row>
    <row r="39053" spans="26:26" x14ac:dyDescent="0.25">
      <c r="Z39053">
        <v>400000</v>
      </c>
    </row>
    <row r="39054" spans="26:26" x14ac:dyDescent="0.25">
      <c r="Z39054">
        <v>400000</v>
      </c>
    </row>
    <row r="39055" spans="26:26" x14ac:dyDescent="0.25">
      <c r="Z39055">
        <v>400000</v>
      </c>
    </row>
    <row r="39056" spans="26:26" x14ac:dyDescent="0.25">
      <c r="Z39056">
        <v>400000</v>
      </c>
    </row>
    <row r="39057" spans="26:26" x14ac:dyDescent="0.25">
      <c r="Z39057">
        <v>400000</v>
      </c>
    </row>
    <row r="39058" spans="26:26" x14ac:dyDescent="0.25">
      <c r="Z39058">
        <v>400000</v>
      </c>
    </row>
    <row r="39059" spans="26:26" x14ac:dyDescent="0.25">
      <c r="Z39059">
        <v>400000</v>
      </c>
    </row>
    <row r="39060" spans="26:26" x14ac:dyDescent="0.25">
      <c r="Z39060">
        <v>400000</v>
      </c>
    </row>
    <row r="39061" spans="26:26" x14ac:dyDescent="0.25">
      <c r="Z39061">
        <v>400000</v>
      </c>
    </row>
    <row r="39062" spans="26:26" x14ac:dyDescent="0.25">
      <c r="Z39062">
        <v>400000</v>
      </c>
    </row>
    <row r="39063" spans="26:26" x14ac:dyDescent="0.25">
      <c r="Z39063">
        <v>400000</v>
      </c>
    </row>
    <row r="39064" spans="26:26" x14ac:dyDescent="0.25">
      <c r="Z39064">
        <v>400000</v>
      </c>
    </row>
    <row r="39065" spans="26:26" x14ac:dyDescent="0.25">
      <c r="Z39065">
        <v>400000</v>
      </c>
    </row>
    <row r="39066" spans="26:26" x14ac:dyDescent="0.25">
      <c r="Z39066">
        <v>400000</v>
      </c>
    </row>
    <row r="39067" spans="26:26" x14ac:dyDescent="0.25">
      <c r="Z39067">
        <v>400000</v>
      </c>
    </row>
    <row r="39068" spans="26:26" x14ac:dyDescent="0.25">
      <c r="Z39068">
        <v>400000</v>
      </c>
    </row>
    <row r="39069" spans="26:26" x14ac:dyDescent="0.25">
      <c r="Z39069">
        <v>400000</v>
      </c>
    </row>
    <row r="39070" spans="26:26" x14ac:dyDescent="0.25">
      <c r="Z39070">
        <v>400000</v>
      </c>
    </row>
    <row r="39071" spans="26:26" x14ac:dyDescent="0.25">
      <c r="Z39071">
        <v>400000</v>
      </c>
    </row>
    <row r="39072" spans="26:26" x14ac:dyDescent="0.25">
      <c r="Z39072">
        <v>400000</v>
      </c>
    </row>
    <row r="39073" spans="26:26" x14ac:dyDescent="0.25">
      <c r="Z39073">
        <v>400000</v>
      </c>
    </row>
    <row r="39074" spans="26:26" x14ac:dyDescent="0.25">
      <c r="Z39074">
        <v>400000</v>
      </c>
    </row>
    <row r="39075" spans="26:26" x14ac:dyDescent="0.25">
      <c r="Z39075">
        <v>400000</v>
      </c>
    </row>
    <row r="39076" spans="26:26" x14ac:dyDescent="0.25">
      <c r="Z39076">
        <v>400000</v>
      </c>
    </row>
    <row r="39077" spans="26:26" x14ac:dyDescent="0.25">
      <c r="Z39077">
        <v>400000</v>
      </c>
    </row>
    <row r="39078" spans="26:26" x14ac:dyDescent="0.25">
      <c r="Z39078">
        <v>400000</v>
      </c>
    </row>
    <row r="39079" spans="26:26" x14ac:dyDescent="0.25">
      <c r="Z39079">
        <v>400000</v>
      </c>
    </row>
    <row r="39080" spans="26:26" x14ac:dyDescent="0.25">
      <c r="Z39080">
        <v>400000</v>
      </c>
    </row>
    <row r="39081" spans="26:26" x14ac:dyDescent="0.25">
      <c r="Z39081">
        <v>400000</v>
      </c>
    </row>
    <row r="39082" spans="26:26" x14ac:dyDescent="0.25">
      <c r="Z39082">
        <v>400000</v>
      </c>
    </row>
    <row r="39083" spans="26:26" x14ac:dyDescent="0.25">
      <c r="Z39083">
        <v>400000</v>
      </c>
    </row>
    <row r="39084" spans="26:26" x14ac:dyDescent="0.25">
      <c r="Z39084">
        <v>400000</v>
      </c>
    </row>
    <row r="39085" spans="26:26" x14ac:dyDescent="0.25">
      <c r="Z39085">
        <v>400000</v>
      </c>
    </row>
    <row r="39086" spans="26:26" x14ac:dyDescent="0.25">
      <c r="Z39086">
        <v>400000</v>
      </c>
    </row>
    <row r="39087" spans="26:26" x14ac:dyDescent="0.25">
      <c r="Z39087">
        <v>400000</v>
      </c>
    </row>
    <row r="39088" spans="26:26" x14ac:dyDescent="0.25">
      <c r="Z39088">
        <v>400000</v>
      </c>
    </row>
    <row r="39089" spans="26:26" x14ac:dyDescent="0.25">
      <c r="Z39089">
        <v>400000</v>
      </c>
    </row>
    <row r="39090" spans="26:26" x14ac:dyDescent="0.25">
      <c r="Z39090">
        <v>400000</v>
      </c>
    </row>
    <row r="39091" spans="26:26" x14ac:dyDescent="0.25">
      <c r="Z39091">
        <v>400000</v>
      </c>
    </row>
    <row r="39092" spans="26:26" x14ac:dyDescent="0.25">
      <c r="Z39092">
        <v>400000</v>
      </c>
    </row>
    <row r="39093" spans="26:26" x14ac:dyDescent="0.25">
      <c r="Z39093">
        <v>400000</v>
      </c>
    </row>
    <row r="39094" spans="26:26" x14ac:dyDescent="0.25">
      <c r="Z39094">
        <v>400000</v>
      </c>
    </row>
    <row r="39095" spans="26:26" x14ac:dyDescent="0.25">
      <c r="Z39095">
        <v>400000</v>
      </c>
    </row>
    <row r="39096" spans="26:26" x14ac:dyDescent="0.25">
      <c r="Z39096">
        <v>400000</v>
      </c>
    </row>
    <row r="39097" spans="26:26" x14ac:dyDescent="0.25">
      <c r="Z39097">
        <v>400000</v>
      </c>
    </row>
    <row r="39098" spans="26:26" x14ac:dyDescent="0.25">
      <c r="Z39098">
        <v>400000</v>
      </c>
    </row>
    <row r="39099" spans="26:26" x14ac:dyDescent="0.25">
      <c r="Z39099">
        <v>400000</v>
      </c>
    </row>
    <row r="39100" spans="26:26" x14ac:dyDescent="0.25">
      <c r="Z39100">
        <v>400000</v>
      </c>
    </row>
    <row r="39101" spans="26:26" x14ac:dyDescent="0.25">
      <c r="Z39101">
        <v>400000</v>
      </c>
    </row>
    <row r="39102" spans="26:26" x14ac:dyDescent="0.25">
      <c r="Z39102">
        <v>400000</v>
      </c>
    </row>
    <row r="39103" spans="26:26" x14ac:dyDescent="0.25">
      <c r="Z39103">
        <v>400000</v>
      </c>
    </row>
    <row r="39104" spans="26:26" x14ac:dyDescent="0.25">
      <c r="Z39104">
        <v>400000</v>
      </c>
    </row>
    <row r="39105" spans="26:26" x14ac:dyDescent="0.25">
      <c r="Z39105">
        <v>400000</v>
      </c>
    </row>
    <row r="39106" spans="26:26" x14ac:dyDescent="0.25">
      <c r="Z39106">
        <v>400000</v>
      </c>
    </row>
    <row r="39107" spans="26:26" x14ac:dyDescent="0.25">
      <c r="Z39107">
        <v>400000</v>
      </c>
    </row>
    <row r="39108" spans="26:26" x14ac:dyDescent="0.25">
      <c r="Z39108">
        <v>400000</v>
      </c>
    </row>
    <row r="39109" spans="26:26" x14ac:dyDescent="0.25">
      <c r="Z39109">
        <v>400000</v>
      </c>
    </row>
    <row r="39110" spans="26:26" x14ac:dyDescent="0.25">
      <c r="Z39110">
        <v>400000</v>
      </c>
    </row>
    <row r="39111" spans="26:26" x14ac:dyDescent="0.25">
      <c r="Z39111">
        <v>400000</v>
      </c>
    </row>
    <row r="39112" spans="26:26" x14ac:dyDescent="0.25">
      <c r="Z39112">
        <v>400000</v>
      </c>
    </row>
    <row r="39113" spans="26:26" x14ac:dyDescent="0.25">
      <c r="Z39113">
        <v>400000</v>
      </c>
    </row>
    <row r="39114" spans="26:26" x14ac:dyDescent="0.25">
      <c r="Z39114">
        <v>400000</v>
      </c>
    </row>
    <row r="39115" spans="26:26" x14ac:dyDescent="0.25">
      <c r="Z39115">
        <v>400000</v>
      </c>
    </row>
    <row r="39116" spans="26:26" x14ac:dyDescent="0.25">
      <c r="Z39116">
        <v>400000</v>
      </c>
    </row>
    <row r="39117" spans="26:26" x14ac:dyDescent="0.25">
      <c r="Z39117">
        <v>400000</v>
      </c>
    </row>
    <row r="39118" spans="26:26" x14ac:dyDescent="0.25">
      <c r="Z39118">
        <v>400000</v>
      </c>
    </row>
    <row r="39119" spans="26:26" x14ac:dyDescent="0.25">
      <c r="Z39119">
        <v>400000</v>
      </c>
    </row>
    <row r="39120" spans="26:26" x14ac:dyDescent="0.25">
      <c r="Z39120">
        <v>400000</v>
      </c>
    </row>
    <row r="39121" spans="26:26" x14ac:dyDescent="0.25">
      <c r="Z39121">
        <v>400000</v>
      </c>
    </row>
    <row r="39122" spans="26:26" x14ac:dyDescent="0.25">
      <c r="Z39122">
        <v>400000</v>
      </c>
    </row>
    <row r="39123" spans="26:26" x14ac:dyDescent="0.25">
      <c r="Z39123">
        <v>400000</v>
      </c>
    </row>
    <row r="39124" spans="26:26" x14ac:dyDescent="0.25">
      <c r="Z39124">
        <v>400000</v>
      </c>
    </row>
    <row r="39125" spans="26:26" x14ac:dyDescent="0.25">
      <c r="Z39125">
        <v>400000</v>
      </c>
    </row>
    <row r="39126" spans="26:26" x14ac:dyDescent="0.25">
      <c r="Z39126">
        <v>400000</v>
      </c>
    </row>
    <row r="39127" spans="26:26" x14ac:dyDescent="0.25">
      <c r="Z39127">
        <v>400000</v>
      </c>
    </row>
    <row r="39128" spans="26:26" x14ac:dyDescent="0.25">
      <c r="Z39128">
        <v>400000</v>
      </c>
    </row>
    <row r="39129" spans="26:26" x14ac:dyDescent="0.25">
      <c r="Z39129">
        <v>400000</v>
      </c>
    </row>
    <row r="39130" spans="26:26" x14ac:dyDescent="0.25">
      <c r="Z39130">
        <v>400000</v>
      </c>
    </row>
    <row r="39131" spans="26:26" x14ac:dyDescent="0.25">
      <c r="Z39131">
        <v>400000</v>
      </c>
    </row>
    <row r="39132" spans="26:26" x14ac:dyDescent="0.25">
      <c r="Z39132">
        <v>400000</v>
      </c>
    </row>
    <row r="39133" spans="26:26" x14ac:dyDescent="0.25">
      <c r="Z39133">
        <v>400000</v>
      </c>
    </row>
    <row r="39134" spans="26:26" x14ac:dyDescent="0.25">
      <c r="Z39134">
        <v>400000</v>
      </c>
    </row>
    <row r="39135" spans="26:26" x14ac:dyDescent="0.25">
      <c r="Z39135">
        <v>400000</v>
      </c>
    </row>
    <row r="39136" spans="26:26" x14ac:dyDescent="0.25">
      <c r="Z39136">
        <v>400000</v>
      </c>
    </row>
    <row r="39137" spans="26:26" x14ac:dyDescent="0.25">
      <c r="Z39137">
        <v>400000</v>
      </c>
    </row>
    <row r="39138" spans="26:26" x14ac:dyDescent="0.25">
      <c r="Z39138">
        <v>400000</v>
      </c>
    </row>
    <row r="39139" spans="26:26" x14ac:dyDescent="0.25">
      <c r="Z39139">
        <v>400000</v>
      </c>
    </row>
    <row r="39140" spans="26:26" x14ac:dyDescent="0.25">
      <c r="Z39140">
        <v>400000</v>
      </c>
    </row>
    <row r="39141" spans="26:26" x14ac:dyDescent="0.25">
      <c r="Z39141">
        <v>400000</v>
      </c>
    </row>
    <row r="39142" spans="26:26" x14ac:dyDescent="0.25">
      <c r="Z39142">
        <v>400000</v>
      </c>
    </row>
    <row r="39143" spans="26:26" x14ac:dyDescent="0.25">
      <c r="Z39143">
        <v>400000</v>
      </c>
    </row>
    <row r="39144" spans="26:26" x14ac:dyDescent="0.25">
      <c r="Z39144">
        <v>400000</v>
      </c>
    </row>
    <row r="39145" spans="26:26" x14ac:dyDescent="0.25">
      <c r="Z39145">
        <v>400000</v>
      </c>
    </row>
    <row r="39146" spans="26:26" x14ac:dyDescent="0.25">
      <c r="Z39146">
        <v>400000</v>
      </c>
    </row>
    <row r="39147" spans="26:26" x14ac:dyDescent="0.25">
      <c r="Z39147">
        <v>400000</v>
      </c>
    </row>
    <row r="39148" spans="26:26" x14ac:dyDescent="0.25">
      <c r="Z39148">
        <v>400000</v>
      </c>
    </row>
    <row r="39149" spans="26:26" x14ac:dyDescent="0.25">
      <c r="Z39149">
        <v>400000</v>
      </c>
    </row>
    <row r="39150" spans="26:26" x14ac:dyDescent="0.25">
      <c r="Z39150">
        <v>400000</v>
      </c>
    </row>
    <row r="39151" spans="26:26" x14ac:dyDescent="0.25">
      <c r="Z39151">
        <v>400000</v>
      </c>
    </row>
    <row r="39152" spans="26:26" x14ac:dyDescent="0.25">
      <c r="Z39152">
        <v>400000</v>
      </c>
    </row>
    <row r="39153" spans="26:26" x14ac:dyDescent="0.25">
      <c r="Z39153">
        <v>400000</v>
      </c>
    </row>
    <row r="39154" spans="26:26" x14ac:dyDescent="0.25">
      <c r="Z39154">
        <v>400000</v>
      </c>
    </row>
    <row r="39155" spans="26:26" x14ac:dyDescent="0.25">
      <c r="Z39155">
        <v>400000</v>
      </c>
    </row>
    <row r="39156" spans="26:26" x14ac:dyDescent="0.25">
      <c r="Z39156">
        <v>400000</v>
      </c>
    </row>
    <row r="39157" spans="26:26" x14ac:dyDescent="0.25">
      <c r="Z39157">
        <v>400000</v>
      </c>
    </row>
    <row r="39158" spans="26:26" x14ac:dyDescent="0.25">
      <c r="Z39158">
        <v>400000</v>
      </c>
    </row>
    <row r="39159" spans="26:26" x14ac:dyDescent="0.25">
      <c r="Z39159">
        <v>400000</v>
      </c>
    </row>
    <row r="39160" spans="26:26" x14ac:dyDescent="0.25">
      <c r="Z39160">
        <v>400000</v>
      </c>
    </row>
    <row r="39161" spans="26:26" x14ac:dyDescent="0.25">
      <c r="Z39161">
        <v>400000</v>
      </c>
    </row>
    <row r="39162" spans="26:26" x14ac:dyDescent="0.25">
      <c r="Z39162">
        <v>400000</v>
      </c>
    </row>
    <row r="39163" spans="26:26" x14ac:dyDescent="0.25">
      <c r="Z39163">
        <v>400000</v>
      </c>
    </row>
    <row r="39164" spans="26:26" x14ac:dyDescent="0.25">
      <c r="Z39164">
        <v>400000</v>
      </c>
    </row>
    <row r="39165" spans="26:26" x14ac:dyDescent="0.25">
      <c r="Z39165">
        <v>400000</v>
      </c>
    </row>
    <row r="39166" spans="26:26" x14ac:dyDescent="0.25">
      <c r="Z39166">
        <v>400000</v>
      </c>
    </row>
    <row r="39167" spans="26:26" x14ac:dyDescent="0.25">
      <c r="Z39167">
        <v>400000</v>
      </c>
    </row>
    <row r="39168" spans="26:26" x14ac:dyDescent="0.25">
      <c r="Z39168">
        <v>400000</v>
      </c>
    </row>
    <row r="39169" spans="26:26" x14ac:dyDescent="0.25">
      <c r="Z39169">
        <v>400000</v>
      </c>
    </row>
    <row r="39170" spans="26:26" x14ac:dyDescent="0.25">
      <c r="Z39170">
        <v>400000</v>
      </c>
    </row>
    <row r="39171" spans="26:26" x14ac:dyDescent="0.25">
      <c r="Z39171">
        <v>400000</v>
      </c>
    </row>
    <row r="39172" spans="26:26" x14ac:dyDescent="0.25">
      <c r="Z39172">
        <v>400000</v>
      </c>
    </row>
    <row r="39173" spans="26:26" x14ac:dyDescent="0.25">
      <c r="Z39173">
        <v>400000</v>
      </c>
    </row>
    <row r="39174" spans="26:26" x14ac:dyDescent="0.25">
      <c r="Z39174">
        <v>400000</v>
      </c>
    </row>
    <row r="39175" spans="26:26" x14ac:dyDescent="0.25">
      <c r="Z39175">
        <v>400000</v>
      </c>
    </row>
    <row r="39176" spans="26:26" x14ac:dyDescent="0.25">
      <c r="Z39176">
        <v>400000</v>
      </c>
    </row>
    <row r="39177" spans="26:26" x14ac:dyDescent="0.25">
      <c r="Z39177">
        <v>400000</v>
      </c>
    </row>
    <row r="39178" spans="26:26" x14ac:dyDescent="0.25">
      <c r="Z39178">
        <v>400000</v>
      </c>
    </row>
    <row r="39179" spans="26:26" x14ac:dyDescent="0.25">
      <c r="Z39179">
        <v>400000</v>
      </c>
    </row>
    <row r="39180" spans="26:26" x14ac:dyDescent="0.25">
      <c r="Z39180">
        <v>400000</v>
      </c>
    </row>
    <row r="39181" spans="26:26" x14ac:dyDescent="0.25">
      <c r="Z39181">
        <v>400000</v>
      </c>
    </row>
    <row r="39182" spans="26:26" x14ac:dyDescent="0.25">
      <c r="Z39182">
        <v>400000</v>
      </c>
    </row>
    <row r="39183" spans="26:26" x14ac:dyDescent="0.25">
      <c r="Z39183">
        <v>400000</v>
      </c>
    </row>
    <row r="39184" spans="26:26" x14ac:dyDescent="0.25">
      <c r="Z39184">
        <v>400000</v>
      </c>
    </row>
    <row r="39185" spans="26:26" x14ac:dyDescent="0.25">
      <c r="Z39185">
        <v>400000</v>
      </c>
    </row>
    <row r="39186" spans="26:26" x14ac:dyDescent="0.25">
      <c r="Z39186">
        <v>400000</v>
      </c>
    </row>
    <row r="39187" spans="26:26" x14ac:dyDescent="0.25">
      <c r="Z39187">
        <v>400000</v>
      </c>
    </row>
    <row r="39188" spans="26:26" x14ac:dyDescent="0.25">
      <c r="Z39188">
        <v>400000</v>
      </c>
    </row>
    <row r="39189" spans="26:26" x14ac:dyDescent="0.25">
      <c r="Z39189">
        <v>400000</v>
      </c>
    </row>
    <row r="39190" spans="26:26" x14ac:dyDescent="0.25">
      <c r="Z39190">
        <v>400000</v>
      </c>
    </row>
    <row r="39191" spans="26:26" x14ac:dyDescent="0.25">
      <c r="Z39191">
        <v>400000</v>
      </c>
    </row>
    <row r="39192" spans="26:26" x14ac:dyDescent="0.25">
      <c r="Z39192">
        <v>400000</v>
      </c>
    </row>
    <row r="39193" spans="26:26" x14ac:dyDescent="0.25">
      <c r="Z39193">
        <v>400000</v>
      </c>
    </row>
    <row r="39194" spans="26:26" x14ac:dyDescent="0.25">
      <c r="Z39194">
        <v>400000</v>
      </c>
    </row>
    <row r="39195" spans="26:26" x14ac:dyDescent="0.25">
      <c r="Z39195">
        <v>400000</v>
      </c>
    </row>
    <row r="39196" spans="26:26" x14ac:dyDescent="0.25">
      <c r="Z39196">
        <v>400000</v>
      </c>
    </row>
    <row r="39197" spans="26:26" x14ac:dyDescent="0.25">
      <c r="Z39197">
        <v>400000</v>
      </c>
    </row>
    <row r="39198" spans="26:26" x14ac:dyDescent="0.25">
      <c r="Z39198">
        <v>400000</v>
      </c>
    </row>
    <row r="39199" spans="26:26" x14ac:dyDescent="0.25">
      <c r="Z39199">
        <v>400000</v>
      </c>
    </row>
    <row r="39200" spans="26:26" x14ac:dyDescent="0.25">
      <c r="Z39200">
        <v>400000</v>
      </c>
    </row>
    <row r="39201" spans="26:26" x14ac:dyDescent="0.25">
      <c r="Z39201">
        <v>400000</v>
      </c>
    </row>
    <row r="39202" spans="26:26" x14ac:dyDescent="0.25">
      <c r="Z39202">
        <v>400000</v>
      </c>
    </row>
    <row r="39203" spans="26:26" x14ac:dyDescent="0.25">
      <c r="Z39203">
        <v>400000</v>
      </c>
    </row>
    <row r="39204" spans="26:26" x14ac:dyDescent="0.25">
      <c r="Z39204">
        <v>400000</v>
      </c>
    </row>
    <row r="39205" spans="26:26" x14ac:dyDescent="0.25">
      <c r="Z39205">
        <v>400000</v>
      </c>
    </row>
    <row r="39206" spans="26:26" x14ac:dyDescent="0.25">
      <c r="Z39206">
        <v>400000</v>
      </c>
    </row>
    <row r="39207" spans="26:26" x14ac:dyDescent="0.25">
      <c r="Z39207">
        <v>400000</v>
      </c>
    </row>
    <row r="39208" spans="26:26" x14ac:dyDescent="0.25">
      <c r="Z39208">
        <v>400000</v>
      </c>
    </row>
    <row r="39209" spans="26:26" x14ac:dyDescent="0.25">
      <c r="Z39209">
        <v>400000</v>
      </c>
    </row>
    <row r="39210" spans="26:26" x14ac:dyDescent="0.25">
      <c r="Z39210">
        <v>400000</v>
      </c>
    </row>
    <row r="39211" spans="26:26" x14ac:dyDescent="0.25">
      <c r="Z39211">
        <v>400000</v>
      </c>
    </row>
    <row r="39212" spans="26:26" x14ac:dyDescent="0.25">
      <c r="Z39212">
        <v>400000</v>
      </c>
    </row>
    <row r="39213" spans="26:26" x14ac:dyDescent="0.25">
      <c r="Z39213">
        <v>400000</v>
      </c>
    </row>
    <row r="39214" spans="26:26" x14ac:dyDescent="0.25">
      <c r="Z39214">
        <v>400000</v>
      </c>
    </row>
    <row r="39215" spans="26:26" x14ac:dyDescent="0.25">
      <c r="Z39215">
        <v>400000</v>
      </c>
    </row>
    <row r="39216" spans="26:26" x14ac:dyDescent="0.25">
      <c r="Z39216">
        <v>400000</v>
      </c>
    </row>
    <row r="39217" spans="26:26" x14ac:dyDescent="0.25">
      <c r="Z39217">
        <v>400000</v>
      </c>
    </row>
    <row r="39218" spans="26:26" x14ac:dyDescent="0.25">
      <c r="Z39218">
        <v>400000</v>
      </c>
    </row>
    <row r="39219" spans="26:26" x14ac:dyDescent="0.25">
      <c r="Z39219">
        <v>400000</v>
      </c>
    </row>
    <row r="39220" spans="26:26" x14ac:dyDescent="0.25">
      <c r="Z39220">
        <v>400000</v>
      </c>
    </row>
    <row r="39221" spans="26:26" x14ac:dyDescent="0.25">
      <c r="Z39221">
        <v>400000</v>
      </c>
    </row>
    <row r="39222" spans="26:26" x14ac:dyDescent="0.25">
      <c r="Z39222">
        <v>400000</v>
      </c>
    </row>
    <row r="39223" spans="26:26" x14ac:dyDescent="0.25">
      <c r="Z39223">
        <v>400000</v>
      </c>
    </row>
    <row r="39224" spans="26:26" x14ac:dyDescent="0.25">
      <c r="Z39224">
        <v>400000</v>
      </c>
    </row>
    <row r="39225" spans="26:26" x14ac:dyDescent="0.25">
      <c r="Z39225">
        <v>400000</v>
      </c>
    </row>
    <row r="39226" spans="26:26" x14ac:dyDescent="0.25">
      <c r="Z39226">
        <v>400000</v>
      </c>
    </row>
    <row r="39227" spans="26:26" x14ac:dyDescent="0.25">
      <c r="Z39227">
        <v>400000</v>
      </c>
    </row>
    <row r="39228" spans="26:26" x14ac:dyDescent="0.25">
      <c r="Z39228">
        <v>400000</v>
      </c>
    </row>
    <row r="39229" spans="26:26" x14ac:dyDescent="0.25">
      <c r="Z39229">
        <v>400000</v>
      </c>
    </row>
    <row r="39230" spans="26:26" x14ac:dyDescent="0.25">
      <c r="Z39230">
        <v>400000</v>
      </c>
    </row>
    <row r="39231" spans="26:26" x14ac:dyDescent="0.25">
      <c r="Z39231">
        <v>400000</v>
      </c>
    </row>
    <row r="39232" spans="26:26" x14ac:dyDescent="0.25">
      <c r="Z39232">
        <v>400000</v>
      </c>
    </row>
    <row r="39233" spans="26:26" x14ac:dyDescent="0.25">
      <c r="Z39233">
        <v>400000</v>
      </c>
    </row>
    <row r="39234" spans="26:26" x14ac:dyDescent="0.25">
      <c r="Z39234">
        <v>400000</v>
      </c>
    </row>
    <row r="39235" spans="26:26" x14ac:dyDescent="0.25">
      <c r="Z39235">
        <v>400000</v>
      </c>
    </row>
    <row r="39236" spans="26:26" x14ac:dyDescent="0.25">
      <c r="Z39236">
        <v>400000</v>
      </c>
    </row>
    <row r="39237" spans="26:26" x14ac:dyDescent="0.25">
      <c r="Z39237">
        <v>400000</v>
      </c>
    </row>
    <row r="39238" spans="26:26" x14ac:dyDescent="0.25">
      <c r="Z39238">
        <v>400000</v>
      </c>
    </row>
    <row r="39239" spans="26:26" x14ac:dyDescent="0.25">
      <c r="Z39239">
        <v>400000</v>
      </c>
    </row>
    <row r="39240" spans="26:26" x14ac:dyDescent="0.25">
      <c r="Z39240">
        <v>400000</v>
      </c>
    </row>
    <row r="39241" spans="26:26" x14ac:dyDescent="0.25">
      <c r="Z39241">
        <v>400000</v>
      </c>
    </row>
    <row r="39242" spans="26:26" x14ac:dyDescent="0.25">
      <c r="Z39242">
        <v>400000</v>
      </c>
    </row>
    <row r="39243" spans="26:26" x14ac:dyDescent="0.25">
      <c r="Z39243">
        <v>400000</v>
      </c>
    </row>
    <row r="39244" spans="26:26" x14ac:dyDescent="0.25">
      <c r="Z39244">
        <v>400000</v>
      </c>
    </row>
    <row r="39245" spans="26:26" x14ac:dyDescent="0.25">
      <c r="Z39245">
        <v>400000</v>
      </c>
    </row>
    <row r="39246" spans="26:26" x14ac:dyDescent="0.25">
      <c r="Z39246">
        <v>400000</v>
      </c>
    </row>
    <row r="39247" spans="26:26" x14ac:dyDescent="0.25">
      <c r="Z39247">
        <v>400000</v>
      </c>
    </row>
    <row r="39248" spans="26:26" x14ac:dyDescent="0.25">
      <c r="Z39248">
        <v>400000</v>
      </c>
    </row>
    <row r="39249" spans="26:26" x14ac:dyDescent="0.25">
      <c r="Z39249">
        <v>400000</v>
      </c>
    </row>
    <row r="39250" spans="26:26" x14ac:dyDescent="0.25">
      <c r="Z39250">
        <v>400000</v>
      </c>
    </row>
    <row r="39251" spans="26:26" x14ac:dyDescent="0.25">
      <c r="Z39251">
        <v>400000</v>
      </c>
    </row>
    <row r="39252" spans="26:26" x14ac:dyDescent="0.25">
      <c r="Z39252">
        <v>400000</v>
      </c>
    </row>
    <row r="39253" spans="26:26" x14ac:dyDescent="0.25">
      <c r="Z39253">
        <v>400000</v>
      </c>
    </row>
    <row r="39254" spans="26:26" x14ac:dyDescent="0.25">
      <c r="Z39254">
        <v>400000</v>
      </c>
    </row>
    <row r="39255" spans="26:26" x14ac:dyDescent="0.25">
      <c r="Z39255">
        <v>400000</v>
      </c>
    </row>
    <row r="39256" spans="26:26" x14ac:dyDescent="0.25">
      <c r="Z39256">
        <v>400000</v>
      </c>
    </row>
    <row r="39257" spans="26:26" x14ac:dyDescent="0.25">
      <c r="Z39257">
        <v>400000</v>
      </c>
    </row>
    <row r="39258" spans="26:26" x14ac:dyDescent="0.25">
      <c r="Z39258">
        <v>400000</v>
      </c>
    </row>
    <row r="39259" spans="26:26" x14ac:dyDescent="0.25">
      <c r="Z39259">
        <v>400000</v>
      </c>
    </row>
    <row r="39260" spans="26:26" x14ac:dyDescent="0.25">
      <c r="Z39260">
        <v>400000</v>
      </c>
    </row>
    <row r="39261" spans="26:26" x14ac:dyDescent="0.25">
      <c r="Z39261">
        <v>400000</v>
      </c>
    </row>
    <row r="39262" spans="26:26" x14ac:dyDescent="0.25">
      <c r="Z39262">
        <v>400000</v>
      </c>
    </row>
    <row r="39263" spans="26:26" x14ac:dyDescent="0.25">
      <c r="Z39263">
        <v>400000</v>
      </c>
    </row>
    <row r="39264" spans="26:26" x14ac:dyDescent="0.25">
      <c r="Z39264">
        <v>400000</v>
      </c>
    </row>
    <row r="39265" spans="26:26" x14ac:dyDescent="0.25">
      <c r="Z39265">
        <v>400000</v>
      </c>
    </row>
    <row r="39266" spans="26:26" x14ac:dyDescent="0.25">
      <c r="Z39266">
        <v>400000</v>
      </c>
    </row>
    <row r="39267" spans="26:26" x14ac:dyDescent="0.25">
      <c r="Z39267">
        <v>400000</v>
      </c>
    </row>
    <row r="39268" spans="26:26" x14ac:dyDescent="0.25">
      <c r="Z39268">
        <v>400000</v>
      </c>
    </row>
    <row r="39269" spans="26:26" x14ac:dyDescent="0.25">
      <c r="Z39269">
        <v>400000</v>
      </c>
    </row>
    <row r="39270" spans="26:26" x14ac:dyDescent="0.25">
      <c r="Z39270">
        <v>400000</v>
      </c>
    </row>
    <row r="39271" spans="26:26" x14ac:dyDescent="0.25">
      <c r="Z39271">
        <v>400000</v>
      </c>
    </row>
    <row r="39272" spans="26:26" x14ac:dyDescent="0.25">
      <c r="Z39272">
        <v>400000</v>
      </c>
    </row>
    <row r="39273" spans="26:26" x14ac:dyDescent="0.25">
      <c r="Z39273">
        <v>400000</v>
      </c>
    </row>
    <row r="39274" spans="26:26" x14ac:dyDescent="0.25">
      <c r="Z39274">
        <v>400000</v>
      </c>
    </row>
    <row r="39275" spans="26:26" x14ac:dyDescent="0.25">
      <c r="Z39275">
        <v>400000</v>
      </c>
    </row>
    <row r="39276" spans="26:26" x14ac:dyDescent="0.25">
      <c r="Z39276">
        <v>400000</v>
      </c>
    </row>
    <row r="39277" spans="26:26" x14ac:dyDescent="0.25">
      <c r="Z39277">
        <v>400000</v>
      </c>
    </row>
    <row r="39278" spans="26:26" x14ac:dyDescent="0.25">
      <c r="Z39278">
        <v>400000</v>
      </c>
    </row>
    <row r="39279" spans="26:26" x14ac:dyDescent="0.25">
      <c r="Z39279">
        <v>400000</v>
      </c>
    </row>
    <row r="39280" spans="26:26" x14ac:dyDescent="0.25">
      <c r="Z39280">
        <v>400000</v>
      </c>
    </row>
    <row r="39281" spans="26:26" x14ac:dyDescent="0.25">
      <c r="Z39281">
        <v>400000</v>
      </c>
    </row>
    <row r="39282" spans="26:26" x14ac:dyDescent="0.25">
      <c r="Z39282">
        <v>400000</v>
      </c>
    </row>
    <row r="39283" spans="26:26" x14ac:dyDescent="0.25">
      <c r="Z39283">
        <v>400000</v>
      </c>
    </row>
    <row r="39284" spans="26:26" x14ac:dyDescent="0.25">
      <c r="Z39284">
        <v>400000</v>
      </c>
    </row>
    <row r="39285" spans="26:26" x14ac:dyDescent="0.25">
      <c r="Z39285">
        <v>400000</v>
      </c>
    </row>
    <row r="39286" spans="26:26" x14ac:dyDescent="0.25">
      <c r="Z39286">
        <v>400000</v>
      </c>
    </row>
    <row r="39287" spans="26:26" x14ac:dyDescent="0.25">
      <c r="Z39287">
        <v>400000</v>
      </c>
    </row>
    <row r="39288" spans="26:26" x14ac:dyDescent="0.25">
      <c r="Z39288">
        <v>400000</v>
      </c>
    </row>
    <row r="39289" spans="26:26" x14ac:dyDescent="0.25">
      <c r="Z39289">
        <v>400000</v>
      </c>
    </row>
    <row r="39290" spans="26:26" x14ac:dyDescent="0.25">
      <c r="Z39290">
        <v>400000</v>
      </c>
    </row>
    <row r="39291" spans="26:26" x14ac:dyDescent="0.25">
      <c r="Z39291">
        <v>400000</v>
      </c>
    </row>
    <row r="39292" spans="26:26" x14ac:dyDescent="0.25">
      <c r="Z39292">
        <v>400000</v>
      </c>
    </row>
    <row r="39293" spans="26:26" x14ac:dyDescent="0.25">
      <c r="Z39293">
        <v>400000</v>
      </c>
    </row>
    <row r="39294" spans="26:26" x14ac:dyDescent="0.25">
      <c r="Z39294">
        <v>400000</v>
      </c>
    </row>
    <row r="39295" spans="26:26" x14ac:dyDescent="0.25">
      <c r="Z39295">
        <v>400000</v>
      </c>
    </row>
    <row r="39296" spans="26:26" x14ac:dyDescent="0.25">
      <c r="Z39296">
        <v>400000</v>
      </c>
    </row>
    <row r="39297" spans="26:26" x14ac:dyDescent="0.25">
      <c r="Z39297">
        <v>400000</v>
      </c>
    </row>
    <row r="39298" spans="26:26" x14ac:dyDescent="0.25">
      <c r="Z39298">
        <v>400000</v>
      </c>
    </row>
    <row r="39299" spans="26:26" x14ac:dyDescent="0.25">
      <c r="Z39299">
        <v>400000</v>
      </c>
    </row>
    <row r="39300" spans="26:26" x14ac:dyDescent="0.25">
      <c r="Z39300">
        <v>400000</v>
      </c>
    </row>
    <row r="39301" spans="26:26" x14ac:dyDescent="0.25">
      <c r="Z39301">
        <v>400000</v>
      </c>
    </row>
    <row r="39302" spans="26:26" x14ac:dyDescent="0.25">
      <c r="Z39302">
        <v>400000</v>
      </c>
    </row>
    <row r="39303" spans="26:26" x14ac:dyDescent="0.25">
      <c r="Z39303">
        <v>400000</v>
      </c>
    </row>
    <row r="39304" spans="26:26" x14ac:dyDescent="0.25">
      <c r="Z39304">
        <v>400000</v>
      </c>
    </row>
    <row r="39305" spans="26:26" x14ac:dyDescent="0.25">
      <c r="Z39305">
        <v>400000</v>
      </c>
    </row>
    <row r="39306" spans="26:26" x14ac:dyDescent="0.25">
      <c r="Z39306">
        <v>400000</v>
      </c>
    </row>
    <row r="39307" spans="26:26" x14ac:dyDescent="0.25">
      <c r="Z39307">
        <v>400000</v>
      </c>
    </row>
    <row r="39308" spans="26:26" x14ac:dyDescent="0.25">
      <c r="Z39308">
        <v>400000</v>
      </c>
    </row>
    <row r="39309" spans="26:26" x14ac:dyDescent="0.25">
      <c r="Z39309">
        <v>400000</v>
      </c>
    </row>
    <row r="39310" spans="26:26" x14ac:dyDescent="0.25">
      <c r="Z39310">
        <v>400000</v>
      </c>
    </row>
    <row r="39311" spans="26:26" x14ac:dyDescent="0.25">
      <c r="Z39311">
        <v>400000</v>
      </c>
    </row>
    <row r="39312" spans="26:26" x14ac:dyDescent="0.25">
      <c r="Z39312">
        <v>400000</v>
      </c>
    </row>
    <row r="39313" spans="26:26" x14ac:dyDescent="0.25">
      <c r="Z39313">
        <v>400000</v>
      </c>
    </row>
    <row r="39314" spans="26:26" x14ac:dyDescent="0.25">
      <c r="Z39314">
        <v>400000</v>
      </c>
    </row>
    <row r="39315" spans="26:26" x14ac:dyDescent="0.25">
      <c r="Z39315">
        <v>400000</v>
      </c>
    </row>
    <row r="39316" spans="26:26" x14ac:dyDescent="0.25">
      <c r="Z39316">
        <v>400000</v>
      </c>
    </row>
    <row r="39317" spans="26:26" x14ac:dyDescent="0.25">
      <c r="Z39317">
        <v>400000</v>
      </c>
    </row>
    <row r="39318" spans="26:26" x14ac:dyDescent="0.25">
      <c r="Z39318">
        <v>400000</v>
      </c>
    </row>
    <row r="39319" spans="26:26" x14ac:dyDescent="0.25">
      <c r="Z39319">
        <v>400000</v>
      </c>
    </row>
    <row r="39320" spans="26:26" x14ac:dyDescent="0.25">
      <c r="Z39320">
        <v>400000</v>
      </c>
    </row>
    <row r="39321" spans="26:26" x14ac:dyDescent="0.25">
      <c r="Z39321">
        <v>400000</v>
      </c>
    </row>
    <row r="39322" spans="26:26" x14ac:dyDescent="0.25">
      <c r="Z39322">
        <v>400000</v>
      </c>
    </row>
    <row r="39323" spans="26:26" x14ac:dyDescent="0.25">
      <c r="Z39323">
        <v>400000</v>
      </c>
    </row>
    <row r="39324" spans="26:26" x14ac:dyDescent="0.25">
      <c r="Z39324">
        <v>400000</v>
      </c>
    </row>
    <row r="39325" spans="26:26" x14ac:dyDescent="0.25">
      <c r="Z39325">
        <v>400000</v>
      </c>
    </row>
    <row r="39326" spans="26:26" x14ac:dyDescent="0.25">
      <c r="Z39326">
        <v>400000</v>
      </c>
    </row>
    <row r="39327" spans="26:26" x14ac:dyDescent="0.25">
      <c r="Z39327">
        <v>400000</v>
      </c>
    </row>
    <row r="39328" spans="26:26" x14ac:dyDescent="0.25">
      <c r="Z39328">
        <v>400000</v>
      </c>
    </row>
    <row r="39329" spans="26:26" x14ac:dyDescent="0.25">
      <c r="Z39329">
        <v>400000</v>
      </c>
    </row>
    <row r="39330" spans="26:26" x14ac:dyDescent="0.25">
      <c r="Z39330">
        <v>400000</v>
      </c>
    </row>
    <row r="39331" spans="26:26" x14ac:dyDescent="0.25">
      <c r="Z39331">
        <v>400000</v>
      </c>
    </row>
    <row r="39332" spans="26:26" x14ac:dyDescent="0.25">
      <c r="Z39332">
        <v>400000</v>
      </c>
    </row>
    <row r="39333" spans="26:26" x14ac:dyDescent="0.25">
      <c r="Z39333">
        <v>400000</v>
      </c>
    </row>
    <row r="39334" spans="26:26" x14ac:dyDescent="0.25">
      <c r="Z39334">
        <v>400000</v>
      </c>
    </row>
    <row r="39335" spans="26:26" x14ac:dyDescent="0.25">
      <c r="Z39335">
        <v>400000</v>
      </c>
    </row>
    <row r="39336" spans="26:26" x14ac:dyDescent="0.25">
      <c r="Z39336">
        <v>400000</v>
      </c>
    </row>
    <row r="39337" spans="26:26" x14ac:dyDescent="0.25">
      <c r="Z39337">
        <v>400000</v>
      </c>
    </row>
    <row r="39338" spans="26:26" x14ac:dyDescent="0.25">
      <c r="Z39338">
        <v>400000</v>
      </c>
    </row>
    <row r="39339" spans="26:26" x14ac:dyDescent="0.25">
      <c r="Z39339">
        <v>400000</v>
      </c>
    </row>
    <row r="39340" spans="26:26" x14ac:dyDescent="0.25">
      <c r="Z39340">
        <v>400000</v>
      </c>
    </row>
    <row r="39341" spans="26:26" x14ac:dyDescent="0.25">
      <c r="Z39341">
        <v>400000</v>
      </c>
    </row>
    <row r="39342" spans="26:26" x14ac:dyDescent="0.25">
      <c r="Z39342">
        <v>400000</v>
      </c>
    </row>
    <row r="39343" spans="26:26" x14ac:dyDescent="0.25">
      <c r="Z39343">
        <v>400000</v>
      </c>
    </row>
    <row r="39344" spans="26:26" x14ac:dyDescent="0.25">
      <c r="Z39344">
        <v>400000</v>
      </c>
    </row>
    <row r="39345" spans="26:26" x14ac:dyDescent="0.25">
      <c r="Z39345">
        <v>400000</v>
      </c>
    </row>
    <row r="39346" spans="26:26" x14ac:dyDescent="0.25">
      <c r="Z39346">
        <v>400000</v>
      </c>
    </row>
    <row r="39347" spans="26:26" x14ac:dyDescent="0.25">
      <c r="Z39347">
        <v>400000</v>
      </c>
    </row>
    <row r="39348" spans="26:26" x14ac:dyDescent="0.25">
      <c r="Z39348">
        <v>400000</v>
      </c>
    </row>
    <row r="39349" spans="26:26" x14ac:dyDescent="0.25">
      <c r="Z39349">
        <v>400000</v>
      </c>
    </row>
    <row r="39350" spans="26:26" x14ac:dyDescent="0.25">
      <c r="Z39350">
        <v>400000</v>
      </c>
    </row>
    <row r="39351" spans="26:26" x14ac:dyDescent="0.25">
      <c r="Z39351">
        <v>400000</v>
      </c>
    </row>
    <row r="39352" spans="26:26" x14ac:dyDescent="0.25">
      <c r="Z39352">
        <v>400000</v>
      </c>
    </row>
    <row r="39353" spans="26:26" x14ac:dyDescent="0.25">
      <c r="Z39353">
        <v>400000</v>
      </c>
    </row>
    <row r="39354" spans="26:26" x14ac:dyDescent="0.25">
      <c r="Z39354">
        <v>400000</v>
      </c>
    </row>
    <row r="39355" spans="26:26" x14ac:dyDescent="0.25">
      <c r="Z39355">
        <v>400000</v>
      </c>
    </row>
    <row r="39356" spans="26:26" x14ac:dyDescent="0.25">
      <c r="Z39356">
        <v>400000</v>
      </c>
    </row>
    <row r="39357" spans="26:26" x14ac:dyDescent="0.25">
      <c r="Z39357">
        <v>400000</v>
      </c>
    </row>
    <row r="39358" spans="26:26" x14ac:dyDescent="0.25">
      <c r="Z39358">
        <v>400000</v>
      </c>
    </row>
    <row r="39359" spans="26:26" x14ac:dyDescent="0.25">
      <c r="Z39359">
        <v>400000</v>
      </c>
    </row>
    <row r="39360" spans="26:26" x14ac:dyDescent="0.25">
      <c r="Z39360">
        <v>400000</v>
      </c>
    </row>
    <row r="39361" spans="26:26" x14ac:dyDescent="0.25">
      <c r="Z39361">
        <v>400000</v>
      </c>
    </row>
    <row r="39362" spans="26:26" x14ac:dyDescent="0.25">
      <c r="Z39362">
        <v>400000</v>
      </c>
    </row>
    <row r="39363" spans="26:26" x14ac:dyDescent="0.25">
      <c r="Z39363">
        <v>400000</v>
      </c>
    </row>
    <row r="39364" spans="26:26" x14ac:dyDescent="0.25">
      <c r="Z39364">
        <v>400000</v>
      </c>
    </row>
    <row r="39365" spans="26:26" x14ac:dyDescent="0.25">
      <c r="Z39365">
        <v>400000</v>
      </c>
    </row>
    <row r="39366" spans="26:26" x14ac:dyDescent="0.25">
      <c r="Z39366">
        <v>400000</v>
      </c>
    </row>
    <row r="39367" spans="26:26" x14ac:dyDescent="0.25">
      <c r="Z39367">
        <v>400000</v>
      </c>
    </row>
    <row r="39368" spans="26:26" x14ac:dyDescent="0.25">
      <c r="Z39368">
        <v>400000</v>
      </c>
    </row>
    <row r="39369" spans="26:26" x14ac:dyDescent="0.25">
      <c r="Z39369">
        <v>400000</v>
      </c>
    </row>
    <row r="39370" spans="26:26" x14ac:dyDescent="0.25">
      <c r="Z39370">
        <v>400000</v>
      </c>
    </row>
    <row r="39371" spans="26:26" x14ac:dyDescent="0.25">
      <c r="Z39371">
        <v>400000</v>
      </c>
    </row>
    <row r="39372" spans="26:26" x14ac:dyDescent="0.25">
      <c r="Z39372">
        <v>400000</v>
      </c>
    </row>
    <row r="39373" spans="26:26" x14ac:dyDescent="0.25">
      <c r="Z39373">
        <v>400000</v>
      </c>
    </row>
    <row r="39374" spans="26:26" x14ac:dyDescent="0.25">
      <c r="Z39374">
        <v>400000</v>
      </c>
    </row>
    <row r="39375" spans="26:26" x14ac:dyDescent="0.25">
      <c r="Z39375">
        <v>400000</v>
      </c>
    </row>
    <row r="39376" spans="26:26" x14ac:dyDescent="0.25">
      <c r="Z39376">
        <v>400000</v>
      </c>
    </row>
    <row r="39377" spans="26:26" x14ac:dyDescent="0.25">
      <c r="Z39377">
        <v>400000</v>
      </c>
    </row>
    <row r="39378" spans="26:26" x14ac:dyDescent="0.25">
      <c r="Z39378">
        <v>400000</v>
      </c>
    </row>
    <row r="39379" spans="26:26" x14ac:dyDescent="0.25">
      <c r="Z39379">
        <v>400000</v>
      </c>
    </row>
    <row r="39380" spans="26:26" x14ac:dyDescent="0.25">
      <c r="Z39380">
        <v>400000</v>
      </c>
    </row>
    <row r="39381" spans="26:26" x14ac:dyDescent="0.25">
      <c r="Z39381">
        <v>400000</v>
      </c>
    </row>
    <row r="39382" spans="26:26" x14ac:dyDescent="0.25">
      <c r="Z39382">
        <v>400000</v>
      </c>
    </row>
    <row r="39383" spans="26:26" x14ac:dyDescent="0.25">
      <c r="Z39383">
        <v>400000</v>
      </c>
    </row>
    <row r="39384" spans="26:26" x14ac:dyDescent="0.25">
      <c r="Z39384">
        <v>400000</v>
      </c>
    </row>
    <row r="39385" spans="26:26" x14ac:dyDescent="0.25">
      <c r="Z39385">
        <v>400000</v>
      </c>
    </row>
    <row r="39386" spans="26:26" x14ac:dyDescent="0.25">
      <c r="Z39386">
        <v>400000</v>
      </c>
    </row>
    <row r="39387" spans="26:26" x14ac:dyDescent="0.25">
      <c r="Z39387">
        <v>400000</v>
      </c>
    </row>
    <row r="39388" spans="26:26" x14ac:dyDescent="0.25">
      <c r="Z39388">
        <v>400000</v>
      </c>
    </row>
    <row r="39389" spans="26:26" x14ac:dyDescent="0.25">
      <c r="Z39389">
        <v>400000</v>
      </c>
    </row>
    <row r="39390" spans="26:26" x14ac:dyDescent="0.25">
      <c r="Z39390">
        <v>400000</v>
      </c>
    </row>
    <row r="39391" spans="26:26" x14ac:dyDescent="0.25">
      <c r="Z39391">
        <v>400000</v>
      </c>
    </row>
    <row r="39392" spans="26:26" x14ac:dyDescent="0.25">
      <c r="Z39392">
        <v>400000</v>
      </c>
    </row>
    <row r="39393" spans="26:26" x14ac:dyDescent="0.25">
      <c r="Z39393">
        <v>400000</v>
      </c>
    </row>
    <row r="39394" spans="26:26" x14ac:dyDescent="0.25">
      <c r="Z39394">
        <v>400000</v>
      </c>
    </row>
    <row r="39395" spans="26:26" x14ac:dyDescent="0.25">
      <c r="Z39395">
        <v>400000</v>
      </c>
    </row>
    <row r="39396" spans="26:26" x14ac:dyDescent="0.25">
      <c r="Z39396">
        <v>400000</v>
      </c>
    </row>
    <row r="39397" spans="26:26" x14ac:dyDescent="0.25">
      <c r="Z39397">
        <v>400000</v>
      </c>
    </row>
    <row r="39398" spans="26:26" x14ac:dyDescent="0.25">
      <c r="Z39398">
        <v>400000</v>
      </c>
    </row>
    <row r="39399" spans="26:26" x14ac:dyDescent="0.25">
      <c r="Z39399">
        <v>400000</v>
      </c>
    </row>
    <row r="39400" spans="26:26" x14ac:dyDescent="0.25">
      <c r="Z39400">
        <v>400000</v>
      </c>
    </row>
    <row r="39401" spans="26:26" x14ac:dyDescent="0.25">
      <c r="Z39401">
        <v>400000</v>
      </c>
    </row>
    <row r="39402" spans="26:26" x14ac:dyDescent="0.25">
      <c r="Z39402">
        <v>400000</v>
      </c>
    </row>
    <row r="39403" spans="26:26" x14ac:dyDescent="0.25">
      <c r="Z39403">
        <v>400000</v>
      </c>
    </row>
    <row r="39404" spans="26:26" x14ac:dyDescent="0.25">
      <c r="Z39404">
        <v>400000</v>
      </c>
    </row>
    <row r="39405" spans="26:26" x14ac:dyDescent="0.25">
      <c r="Z39405">
        <v>400000</v>
      </c>
    </row>
    <row r="39406" spans="26:26" x14ac:dyDescent="0.25">
      <c r="Z39406">
        <v>400000</v>
      </c>
    </row>
    <row r="39407" spans="26:26" x14ac:dyDescent="0.25">
      <c r="Z39407">
        <v>400000</v>
      </c>
    </row>
    <row r="39408" spans="26:26" x14ac:dyDescent="0.25">
      <c r="Z39408">
        <v>400000</v>
      </c>
    </row>
    <row r="39409" spans="26:26" x14ac:dyDescent="0.25">
      <c r="Z39409">
        <v>400000</v>
      </c>
    </row>
    <row r="39410" spans="26:26" x14ac:dyDescent="0.25">
      <c r="Z39410">
        <v>400000</v>
      </c>
    </row>
    <row r="39411" spans="26:26" x14ac:dyDescent="0.25">
      <c r="Z39411">
        <v>400000</v>
      </c>
    </row>
    <row r="39412" spans="26:26" x14ac:dyDescent="0.25">
      <c r="Z39412">
        <v>400000</v>
      </c>
    </row>
    <row r="39413" spans="26:26" x14ac:dyDescent="0.25">
      <c r="Z39413">
        <v>400000</v>
      </c>
    </row>
    <row r="39414" spans="26:26" x14ac:dyDescent="0.25">
      <c r="Z39414">
        <v>400000</v>
      </c>
    </row>
    <row r="39415" spans="26:26" x14ac:dyDescent="0.25">
      <c r="Z39415">
        <v>400000</v>
      </c>
    </row>
    <row r="39416" spans="26:26" x14ac:dyDescent="0.25">
      <c r="Z39416">
        <v>400000</v>
      </c>
    </row>
    <row r="39417" spans="26:26" x14ac:dyDescent="0.25">
      <c r="Z39417">
        <v>400000</v>
      </c>
    </row>
    <row r="39418" spans="26:26" x14ac:dyDescent="0.25">
      <c r="Z39418">
        <v>400000</v>
      </c>
    </row>
    <row r="39419" spans="26:26" x14ac:dyDescent="0.25">
      <c r="Z39419">
        <v>400000</v>
      </c>
    </row>
    <row r="39420" spans="26:26" x14ac:dyDescent="0.25">
      <c r="Z39420">
        <v>400000</v>
      </c>
    </row>
    <row r="39421" spans="26:26" x14ac:dyDescent="0.25">
      <c r="Z39421">
        <v>400000</v>
      </c>
    </row>
    <row r="39422" spans="26:26" x14ac:dyDescent="0.25">
      <c r="Z39422">
        <v>400000</v>
      </c>
    </row>
    <row r="39423" spans="26:26" x14ac:dyDescent="0.25">
      <c r="Z39423">
        <v>400000</v>
      </c>
    </row>
    <row r="39424" spans="26:26" x14ac:dyDescent="0.25">
      <c r="Z39424">
        <v>400000</v>
      </c>
    </row>
    <row r="39425" spans="26:26" x14ac:dyDescent="0.25">
      <c r="Z39425">
        <v>400000</v>
      </c>
    </row>
    <row r="39426" spans="26:26" x14ac:dyDescent="0.25">
      <c r="Z39426">
        <v>400000</v>
      </c>
    </row>
    <row r="39427" spans="26:26" x14ac:dyDescent="0.25">
      <c r="Z39427">
        <v>400000</v>
      </c>
    </row>
    <row r="39428" spans="26:26" x14ac:dyDescent="0.25">
      <c r="Z39428">
        <v>400000</v>
      </c>
    </row>
    <row r="39429" spans="26:26" x14ac:dyDescent="0.25">
      <c r="Z39429">
        <v>400000</v>
      </c>
    </row>
    <row r="39430" spans="26:26" x14ac:dyDescent="0.25">
      <c r="Z39430">
        <v>400000</v>
      </c>
    </row>
    <row r="39431" spans="26:26" x14ac:dyDescent="0.25">
      <c r="Z39431">
        <v>400000</v>
      </c>
    </row>
    <row r="39432" spans="26:26" x14ac:dyDescent="0.25">
      <c r="Z39432">
        <v>400000</v>
      </c>
    </row>
    <row r="39433" spans="26:26" x14ac:dyDescent="0.25">
      <c r="Z39433">
        <v>400000</v>
      </c>
    </row>
    <row r="39434" spans="26:26" x14ac:dyDescent="0.25">
      <c r="Z39434">
        <v>400000</v>
      </c>
    </row>
    <row r="39435" spans="26:26" x14ac:dyDescent="0.25">
      <c r="Z39435">
        <v>400000</v>
      </c>
    </row>
    <row r="39436" spans="26:26" x14ac:dyDescent="0.25">
      <c r="Z39436">
        <v>400000</v>
      </c>
    </row>
    <row r="39437" spans="26:26" x14ac:dyDescent="0.25">
      <c r="Z39437">
        <v>400000</v>
      </c>
    </row>
    <row r="39438" spans="26:26" x14ac:dyDescent="0.25">
      <c r="Z39438">
        <v>400000</v>
      </c>
    </row>
    <row r="39439" spans="26:26" x14ac:dyDescent="0.25">
      <c r="Z39439">
        <v>400000</v>
      </c>
    </row>
    <row r="39440" spans="26:26" x14ac:dyDescent="0.25">
      <c r="Z39440">
        <v>400000</v>
      </c>
    </row>
    <row r="39441" spans="26:26" x14ac:dyDescent="0.25">
      <c r="Z39441">
        <v>400000</v>
      </c>
    </row>
    <row r="39442" spans="26:26" x14ac:dyDescent="0.25">
      <c r="Z39442">
        <v>400000</v>
      </c>
    </row>
    <row r="39443" spans="26:26" x14ac:dyDescent="0.25">
      <c r="Z39443">
        <v>400000</v>
      </c>
    </row>
    <row r="39444" spans="26:26" x14ac:dyDescent="0.25">
      <c r="Z39444">
        <v>400000</v>
      </c>
    </row>
    <row r="39445" spans="26:26" x14ac:dyDescent="0.25">
      <c r="Z39445">
        <v>400000</v>
      </c>
    </row>
    <row r="39446" spans="26:26" x14ac:dyDescent="0.25">
      <c r="Z39446">
        <v>400000</v>
      </c>
    </row>
    <row r="39447" spans="26:26" x14ac:dyDescent="0.25">
      <c r="Z39447">
        <v>400000</v>
      </c>
    </row>
    <row r="39448" spans="26:26" x14ac:dyDescent="0.25">
      <c r="Z39448">
        <v>400000</v>
      </c>
    </row>
    <row r="39449" spans="26:26" x14ac:dyDescent="0.25">
      <c r="Z39449">
        <v>400000</v>
      </c>
    </row>
    <row r="39450" spans="26:26" x14ac:dyDescent="0.25">
      <c r="Z39450">
        <v>400000</v>
      </c>
    </row>
    <row r="39451" spans="26:26" x14ac:dyDescent="0.25">
      <c r="Z39451">
        <v>400000</v>
      </c>
    </row>
    <row r="39452" spans="26:26" x14ac:dyDescent="0.25">
      <c r="Z39452">
        <v>400000</v>
      </c>
    </row>
    <row r="39453" spans="26:26" x14ac:dyDescent="0.25">
      <c r="Z39453">
        <v>400000</v>
      </c>
    </row>
    <row r="39454" spans="26:26" x14ac:dyDescent="0.25">
      <c r="Z39454">
        <v>400000</v>
      </c>
    </row>
    <row r="39455" spans="26:26" x14ac:dyDescent="0.25">
      <c r="Z39455">
        <v>400000</v>
      </c>
    </row>
    <row r="39456" spans="26:26" x14ac:dyDescent="0.25">
      <c r="Z39456">
        <v>400000</v>
      </c>
    </row>
    <row r="39457" spans="26:26" x14ac:dyDescent="0.25">
      <c r="Z39457">
        <v>400000</v>
      </c>
    </row>
    <row r="39458" spans="26:26" x14ac:dyDescent="0.25">
      <c r="Z39458">
        <v>400000</v>
      </c>
    </row>
    <row r="39459" spans="26:26" x14ac:dyDescent="0.25">
      <c r="Z39459">
        <v>400000</v>
      </c>
    </row>
    <row r="39460" spans="26:26" x14ac:dyDescent="0.25">
      <c r="Z39460">
        <v>400000</v>
      </c>
    </row>
    <row r="39461" spans="26:26" x14ac:dyDescent="0.25">
      <c r="Z39461">
        <v>400000</v>
      </c>
    </row>
    <row r="39462" spans="26:26" x14ac:dyDescent="0.25">
      <c r="Z39462">
        <v>400000</v>
      </c>
    </row>
    <row r="39463" spans="26:26" x14ac:dyDescent="0.25">
      <c r="Z39463">
        <v>400000</v>
      </c>
    </row>
    <row r="39464" spans="26:26" x14ac:dyDescent="0.25">
      <c r="Z39464">
        <v>400000</v>
      </c>
    </row>
    <row r="39465" spans="26:26" x14ac:dyDescent="0.25">
      <c r="Z39465">
        <v>400000</v>
      </c>
    </row>
    <row r="39466" spans="26:26" x14ac:dyDescent="0.25">
      <c r="Z39466">
        <v>400000</v>
      </c>
    </row>
    <row r="39467" spans="26:26" x14ac:dyDescent="0.25">
      <c r="Z39467">
        <v>400000</v>
      </c>
    </row>
    <row r="39468" spans="26:26" x14ac:dyDescent="0.25">
      <c r="Z39468">
        <v>400000</v>
      </c>
    </row>
    <row r="39469" spans="26:26" x14ac:dyDescent="0.25">
      <c r="Z39469">
        <v>400000</v>
      </c>
    </row>
    <row r="39470" spans="26:26" x14ac:dyDescent="0.25">
      <c r="Z39470">
        <v>400000</v>
      </c>
    </row>
    <row r="39471" spans="26:26" x14ac:dyDescent="0.25">
      <c r="Z39471">
        <v>400000</v>
      </c>
    </row>
    <row r="39472" spans="26:26" x14ac:dyDescent="0.25">
      <c r="Z39472">
        <v>400000</v>
      </c>
    </row>
    <row r="39473" spans="26:26" x14ac:dyDescent="0.25">
      <c r="Z39473">
        <v>400000</v>
      </c>
    </row>
    <row r="39474" spans="26:26" x14ac:dyDescent="0.25">
      <c r="Z39474">
        <v>400000</v>
      </c>
    </row>
    <row r="39475" spans="26:26" x14ac:dyDescent="0.25">
      <c r="Z39475">
        <v>400000</v>
      </c>
    </row>
    <row r="39476" spans="26:26" x14ac:dyDescent="0.25">
      <c r="Z39476">
        <v>400000</v>
      </c>
    </row>
    <row r="39477" spans="26:26" x14ac:dyDescent="0.25">
      <c r="Z39477">
        <v>400000</v>
      </c>
    </row>
    <row r="39478" spans="26:26" x14ac:dyDescent="0.25">
      <c r="Z39478">
        <v>400000</v>
      </c>
    </row>
    <row r="39479" spans="26:26" x14ac:dyDescent="0.25">
      <c r="Z39479">
        <v>400000</v>
      </c>
    </row>
    <row r="39480" spans="26:26" x14ac:dyDescent="0.25">
      <c r="Z39480">
        <v>400000</v>
      </c>
    </row>
    <row r="39481" spans="26:26" x14ac:dyDescent="0.25">
      <c r="Z39481">
        <v>400000</v>
      </c>
    </row>
    <row r="39482" spans="26:26" x14ac:dyDescent="0.25">
      <c r="Z39482">
        <v>400000</v>
      </c>
    </row>
    <row r="39483" spans="26:26" x14ac:dyDescent="0.25">
      <c r="Z39483">
        <v>400000</v>
      </c>
    </row>
    <row r="39484" spans="26:26" x14ac:dyDescent="0.25">
      <c r="Z39484">
        <v>400000</v>
      </c>
    </row>
    <row r="39485" spans="26:26" x14ac:dyDescent="0.25">
      <c r="Z39485">
        <v>400000</v>
      </c>
    </row>
    <row r="39486" spans="26:26" x14ac:dyDescent="0.25">
      <c r="Z39486">
        <v>400000</v>
      </c>
    </row>
    <row r="39487" spans="26:26" x14ac:dyDescent="0.25">
      <c r="Z39487">
        <v>400000</v>
      </c>
    </row>
    <row r="39488" spans="26:26" x14ac:dyDescent="0.25">
      <c r="Z39488">
        <v>400000</v>
      </c>
    </row>
    <row r="39489" spans="26:26" x14ac:dyDescent="0.25">
      <c r="Z39489">
        <v>400000</v>
      </c>
    </row>
    <row r="39490" spans="26:26" x14ac:dyDescent="0.25">
      <c r="Z39490">
        <v>400000</v>
      </c>
    </row>
    <row r="39491" spans="26:26" x14ac:dyDescent="0.25">
      <c r="Z39491">
        <v>400000</v>
      </c>
    </row>
    <row r="39492" spans="26:26" x14ac:dyDescent="0.25">
      <c r="Z39492">
        <v>400000</v>
      </c>
    </row>
    <row r="39493" spans="26:26" x14ac:dyDescent="0.25">
      <c r="Z39493">
        <v>400000</v>
      </c>
    </row>
    <row r="39494" spans="26:26" x14ac:dyDescent="0.25">
      <c r="Z39494">
        <v>400000</v>
      </c>
    </row>
    <row r="39495" spans="26:26" x14ac:dyDescent="0.25">
      <c r="Z39495">
        <v>400000</v>
      </c>
    </row>
    <row r="39496" spans="26:26" x14ac:dyDescent="0.25">
      <c r="Z39496">
        <v>400000</v>
      </c>
    </row>
    <row r="39497" spans="26:26" x14ac:dyDescent="0.25">
      <c r="Z39497">
        <v>400000</v>
      </c>
    </row>
    <row r="39498" spans="26:26" x14ac:dyDescent="0.25">
      <c r="Z39498">
        <v>400000</v>
      </c>
    </row>
    <row r="39499" spans="26:26" x14ac:dyDescent="0.25">
      <c r="Z39499">
        <v>400000</v>
      </c>
    </row>
    <row r="39500" spans="26:26" x14ac:dyDescent="0.25">
      <c r="Z39500">
        <v>400000</v>
      </c>
    </row>
    <row r="39501" spans="26:26" x14ac:dyDescent="0.25">
      <c r="Z39501">
        <v>400000</v>
      </c>
    </row>
    <row r="39502" spans="26:26" x14ac:dyDescent="0.25">
      <c r="Z39502">
        <v>400000</v>
      </c>
    </row>
    <row r="39503" spans="26:26" x14ac:dyDescent="0.25">
      <c r="Z39503">
        <v>400000</v>
      </c>
    </row>
    <row r="39504" spans="26:26" x14ac:dyDescent="0.25">
      <c r="Z39504">
        <v>400000</v>
      </c>
    </row>
    <row r="39505" spans="26:26" x14ac:dyDescent="0.25">
      <c r="Z39505">
        <v>400000</v>
      </c>
    </row>
    <row r="39506" spans="26:26" x14ac:dyDescent="0.25">
      <c r="Z39506">
        <v>400000</v>
      </c>
    </row>
    <row r="39507" spans="26:26" x14ac:dyDescent="0.25">
      <c r="Z39507">
        <v>400000</v>
      </c>
    </row>
    <row r="39508" spans="26:26" x14ac:dyDescent="0.25">
      <c r="Z39508">
        <v>400000</v>
      </c>
    </row>
    <row r="39509" spans="26:26" x14ac:dyDescent="0.25">
      <c r="Z39509">
        <v>400000</v>
      </c>
    </row>
    <row r="39510" spans="26:26" x14ac:dyDescent="0.25">
      <c r="Z39510">
        <v>400000</v>
      </c>
    </row>
    <row r="39511" spans="26:26" x14ac:dyDescent="0.25">
      <c r="Z39511">
        <v>400000</v>
      </c>
    </row>
    <row r="39512" spans="26:26" x14ac:dyDescent="0.25">
      <c r="Z39512">
        <v>400000</v>
      </c>
    </row>
    <row r="39513" spans="26:26" x14ac:dyDescent="0.25">
      <c r="Z39513">
        <v>400000</v>
      </c>
    </row>
    <row r="39514" spans="26:26" x14ac:dyDescent="0.25">
      <c r="Z39514">
        <v>400000</v>
      </c>
    </row>
    <row r="39515" spans="26:26" x14ac:dyDescent="0.25">
      <c r="Z39515">
        <v>400000</v>
      </c>
    </row>
    <row r="39516" spans="26:26" x14ac:dyDescent="0.25">
      <c r="Z39516">
        <v>400000</v>
      </c>
    </row>
    <row r="39517" spans="26:26" x14ac:dyDescent="0.25">
      <c r="Z39517">
        <v>400000</v>
      </c>
    </row>
    <row r="39518" spans="26:26" x14ac:dyDescent="0.25">
      <c r="Z39518">
        <v>400000</v>
      </c>
    </row>
    <row r="39519" spans="26:26" x14ac:dyDescent="0.25">
      <c r="Z39519">
        <v>400000</v>
      </c>
    </row>
    <row r="39520" spans="26:26" x14ac:dyDescent="0.25">
      <c r="Z39520">
        <v>400000</v>
      </c>
    </row>
    <row r="39521" spans="26:26" x14ac:dyDescent="0.25">
      <c r="Z39521">
        <v>400000</v>
      </c>
    </row>
    <row r="39522" spans="26:26" x14ac:dyDescent="0.25">
      <c r="Z39522">
        <v>400000</v>
      </c>
    </row>
    <row r="39523" spans="26:26" x14ac:dyDescent="0.25">
      <c r="Z39523">
        <v>400000</v>
      </c>
    </row>
    <row r="39524" spans="26:26" x14ac:dyDescent="0.25">
      <c r="Z39524">
        <v>400000</v>
      </c>
    </row>
    <row r="39525" spans="26:26" x14ac:dyDescent="0.25">
      <c r="Z39525">
        <v>400000</v>
      </c>
    </row>
    <row r="39526" spans="26:26" x14ac:dyDescent="0.25">
      <c r="Z39526">
        <v>400000</v>
      </c>
    </row>
    <row r="39527" spans="26:26" x14ac:dyDescent="0.25">
      <c r="Z39527">
        <v>400000</v>
      </c>
    </row>
    <row r="39528" spans="26:26" x14ac:dyDescent="0.25">
      <c r="Z39528">
        <v>400000</v>
      </c>
    </row>
    <row r="39529" spans="26:26" x14ac:dyDescent="0.25">
      <c r="Z39529">
        <v>400000</v>
      </c>
    </row>
    <row r="39530" spans="26:26" x14ac:dyDescent="0.25">
      <c r="Z39530">
        <v>400000</v>
      </c>
    </row>
    <row r="39531" spans="26:26" x14ac:dyDescent="0.25">
      <c r="Z39531">
        <v>400000</v>
      </c>
    </row>
    <row r="39532" spans="26:26" x14ac:dyDescent="0.25">
      <c r="Z39532">
        <v>400000</v>
      </c>
    </row>
    <row r="39533" spans="26:26" x14ac:dyDescent="0.25">
      <c r="Z39533">
        <v>400000</v>
      </c>
    </row>
    <row r="39534" spans="26:26" x14ac:dyDescent="0.25">
      <c r="Z39534">
        <v>400000</v>
      </c>
    </row>
    <row r="39535" spans="26:26" x14ac:dyDescent="0.25">
      <c r="Z39535">
        <v>400000</v>
      </c>
    </row>
    <row r="39536" spans="26:26" x14ac:dyDescent="0.25">
      <c r="Z39536">
        <v>400000</v>
      </c>
    </row>
    <row r="39537" spans="26:26" x14ac:dyDescent="0.25">
      <c r="Z39537">
        <v>400000</v>
      </c>
    </row>
    <row r="39538" spans="26:26" x14ac:dyDescent="0.25">
      <c r="Z39538">
        <v>400000</v>
      </c>
    </row>
    <row r="39539" spans="26:26" x14ac:dyDescent="0.25">
      <c r="Z39539">
        <v>400000</v>
      </c>
    </row>
    <row r="39540" spans="26:26" x14ac:dyDescent="0.25">
      <c r="Z39540">
        <v>400000</v>
      </c>
    </row>
    <row r="39541" spans="26:26" x14ac:dyDescent="0.25">
      <c r="Z39541">
        <v>400000</v>
      </c>
    </row>
    <row r="39542" spans="26:26" x14ac:dyDescent="0.25">
      <c r="Z39542">
        <v>400000</v>
      </c>
    </row>
    <row r="39543" spans="26:26" x14ac:dyDescent="0.25">
      <c r="Z39543">
        <v>400000</v>
      </c>
    </row>
    <row r="39544" spans="26:26" x14ac:dyDescent="0.25">
      <c r="Z39544">
        <v>400000</v>
      </c>
    </row>
    <row r="39545" spans="26:26" x14ac:dyDescent="0.25">
      <c r="Z39545">
        <v>400000</v>
      </c>
    </row>
    <row r="39546" spans="26:26" x14ac:dyDescent="0.25">
      <c r="Z39546">
        <v>400000</v>
      </c>
    </row>
    <row r="39547" spans="26:26" x14ac:dyDescent="0.25">
      <c r="Z39547">
        <v>400000</v>
      </c>
    </row>
    <row r="39548" spans="26:26" x14ac:dyDescent="0.25">
      <c r="Z39548">
        <v>400000</v>
      </c>
    </row>
    <row r="39549" spans="26:26" x14ac:dyDescent="0.25">
      <c r="Z39549">
        <v>400000</v>
      </c>
    </row>
    <row r="39550" spans="26:26" x14ac:dyDescent="0.25">
      <c r="Z39550">
        <v>400000</v>
      </c>
    </row>
    <row r="39551" spans="26:26" x14ac:dyDescent="0.25">
      <c r="Z39551">
        <v>400000</v>
      </c>
    </row>
    <row r="39552" spans="26:26" x14ac:dyDescent="0.25">
      <c r="Z39552">
        <v>400000</v>
      </c>
    </row>
    <row r="39553" spans="26:26" x14ac:dyDescent="0.25">
      <c r="Z39553">
        <v>400000</v>
      </c>
    </row>
    <row r="39554" spans="26:26" x14ac:dyDescent="0.25">
      <c r="Z39554">
        <v>400000</v>
      </c>
    </row>
    <row r="39555" spans="26:26" x14ac:dyDescent="0.25">
      <c r="Z39555">
        <v>400000</v>
      </c>
    </row>
    <row r="39556" spans="26:26" x14ac:dyDescent="0.25">
      <c r="Z39556">
        <v>400000</v>
      </c>
    </row>
    <row r="39557" spans="26:26" x14ac:dyDescent="0.25">
      <c r="Z39557">
        <v>400000</v>
      </c>
    </row>
    <row r="39558" spans="26:26" x14ac:dyDescent="0.25">
      <c r="Z39558">
        <v>400000</v>
      </c>
    </row>
    <row r="39559" spans="26:26" x14ac:dyDescent="0.25">
      <c r="Z39559">
        <v>400000</v>
      </c>
    </row>
    <row r="39560" spans="26:26" x14ac:dyDescent="0.25">
      <c r="Z39560">
        <v>400000</v>
      </c>
    </row>
    <row r="39561" spans="26:26" x14ac:dyDescent="0.25">
      <c r="Z39561">
        <v>400000</v>
      </c>
    </row>
    <row r="39562" spans="26:26" x14ac:dyDescent="0.25">
      <c r="Z39562">
        <v>400000</v>
      </c>
    </row>
    <row r="39563" spans="26:26" x14ac:dyDescent="0.25">
      <c r="Z39563">
        <v>400000</v>
      </c>
    </row>
    <row r="39564" spans="26:26" x14ac:dyDescent="0.25">
      <c r="Z39564">
        <v>400000</v>
      </c>
    </row>
    <row r="39565" spans="26:26" x14ac:dyDescent="0.25">
      <c r="Z39565">
        <v>400000</v>
      </c>
    </row>
    <row r="39566" spans="26:26" x14ac:dyDescent="0.25">
      <c r="Z39566">
        <v>400000</v>
      </c>
    </row>
    <row r="39567" spans="26:26" x14ac:dyDescent="0.25">
      <c r="Z39567">
        <v>400000</v>
      </c>
    </row>
    <row r="39568" spans="26:26" x14ac:dyDescent="0.25">
      <c r="Z39568">
        <v>400000</v>
      </c>
    </row>
    <row r="39569" spans="26:26" x14ac:dyDescent="0.25">
      <c r="Z39569">
        <v>400000</v>
      </c>
    </row>
    <row r="39570" spans="26:26" x14ac:dyDescent="0.25">
      <c r="Z39570">
        <v>400000</v>
      </c>
    </row>
    <row r="39571" spans="26:26" x14ac:dyDescent="0.25">
      <c r="Z39571">
        <v>400000</v>
      </c>
    </row>
    <row r="39572" spans="26:26" x14ac:dyDescent="0.25">
      <c r="Z39572">
        <v>400000</v>
      </c>
    </row>
    <row r="39573" spans="26:26" x14ac:dyDescent="0.25">
      <c r="Z39573">
        <v>400000</v>
      </c>
    </row>
    <row r="39574" spans="26:26" x14ac:dyDescent="0.25">
      <c r="Z39574">
        <v>400000</v>
      </c>
    </row>
    <row r="39575" spans="26:26" x14ac:dyDescent="0.25">
      <c r="Z39575">
        <v>400000</v>
      </c>
    </row>
    <row r="39576" spans="26:26" x14ac:dyDescent="0.25">
      <c r="Z39576">
        <v>400000</v>
      </c>
    </row>
    <row r="39577" spans="26:26" x14ac:dyDescent="0.25">
      <c r="Z39577">
        <v>400000</v>
      </c>
    </row>
    <row r="39578" spans="26:26" x14ac:dyDescent="0.25">
      <c r="Z39578">
        <v>400000</v>
      </c>
    </row>
    <row r="39579" spans="26:26" x14ac:dyDescent="0.25">
      <c r="Z39579">
        <v>400000</v>
      </c>
    </row>
    <row r="39580" spans="26:26" x14ac:dyDescent="0.25">
      <c r="Z39580">
        <v>400000</v>
      </c>
    </row>
    <row r="39581" spans="26:26" x14ac:dyDescent="0.25">
      <c r="Z39581">
        <v>400000</v>
      </c>
    </row>
    <row r="39582" spans="26:26" x14ac:dyDescent="0.25">
      <c r="Z39582">
        <v>400000</v>
      </c>
    </row>
    <row r="39583" spans="26:26" x14ac:dyDescent="0.25">
      <c r="Z39583">
        <v>400000</v>
      </c>
    </row>
    <row r="39584" spans="26:26" x14ac:dyDescent="0.25">
      <c r="Z39584">
        <v>400000</v>
      </c>
    </row>
    <row r="39585" spans="26:26" x14ac:dyDescent="0.25">
      <c r="Z39585">
        <v>400000</v>
      </c>
    </row>
    <row r="39586" spans="26:26" x14ac:dyDescent="0.25">
      <c r="Z39586">
        <v>400000</v>
      </c>
    </row>
    <row r="39587" spans="26:26" x14ac:dyDescent="0.25">
      <c r="Z39587">
        <v>400000</v>
      </c>
    </row>
    <row r="39588" spans="26:26" x14ac:dyDescent="0.25">
      <c r="Z39588">
        <v>400000</v>
      </c>
    </row>
    <row r="39589" spans="26:26" x14ac:dyDescent="0.25">
      <c r="Z39589">
        <v>400000</v>
      </c>
    </row>
    <row r="39590" spans="26:26" x14ac:dyDescent="0.25">
      <c r="Z39590">
        <v>400000</v>
      </c>
    </row>
    <row r="39591" spans="26:26" x14ac:dyDescent="0.25">
      <c r="Z39591">
        <v>400000</v>
      </c>
    </row>
    <row r="39592" spans="26:26" x14ac:dyDescent="0.25">
      <c r="Z39592">
        <v>400000</v>
      </c>
    </row>
    <row r="39593" spans="26:26" x14ac:dyDescent="0.25">
      <c r="Z39593">
        <v>400000</v>
      </c>
    </row>
    <row r="39594" spans="26:26" x14ac:dyDescent="0.25">
      <c r="Z39594">
        <v>400000</v>
      </c>
    </row>
    <row r="39595" spans="26:26" x14ac:dyDescent="0.25">
      <c r="Z39595">
        <v>400000</v>
      </c>
    </row>
    <row r="39596" spans="26:26" x14ac:dyDescent="0.25">
      <c r="Z39596">
        <v>400000</v>
      </c>
    </row>
    <row r="39597" spans="26:26" x14ac:dyDescent="0.25">
      <c r="Z39597">
        <v>400000</v>
      </c>
    </row>
    <row r="39598" spans="26:26" x14ac:dyDescent="0.25">
      <c r="Z39598">
        <v>400000</v>
      </c>
    </row>
    <row r="39599" spans="26:26" x14ac:dyDescent="0.25">
      <c r="Z39599">
        <v>400000</v>
      </c>
    </row>
    <row r="39600" spans="26:26" x14ac:dyDescent="0.25">
      <c r="Z39600">
        <v>400000</v>
      </c>
    </row>
    <row r="39601" spans="26:26" x14ac:dyDescent="0.25">
      <c r="Z39601">
        <v>400000</v>
      </c>
    </row>
    <row r="39602" spans="26:26" x14ac:dyDescent="0.25">
      <c r="Z39602">
        <v>400000</v>
      </c>
    </row>
    <row r="39603" spans="26:26" x14ac:dyDescent="0.25">
      <c r="Z39603">
        <v>400000</v>
      </c>
    </row>
    <row r="39604" spans="26:26" x14ac:dyDescent="0.25">
      <c r="Z39604">
        <v>400000</v>
      </c>
    </row>
    <row r="39605" spans="26:26" x14ac:dyDescent="0.25">
      <c r="Z39605">
        <v>400000</v>
      </c>
    </row>
    <row r="39606" spans="26:26" x14ac:dyDescent="0.25">
      <c r="Z39606">
        <v>400000</v>
      </c>
    </row>
    <row r="39607" spans="26:26" x14ac:dyDescent="0.25">
      <c r="Z39607">
        <v>400000</v>
      </c>
    </row>
    <row r="39608" spans="26:26" x14ac:dyDescent="0.25">
      <c r="Z39608">
        <v>400000</v>
      </c>
    </row>
    <row r="39609" spans="26:26" x14ac:dyDescent="0.25">
      <c r="Z39609">
        <v>400000</v>
      </c>
    </row>
    <row r="39610" spans="26:26" x14ac:dyDescent="0.25">
      <c r="Z39610">
        <v>400000</v>
      </c>
    </row>
    <row r="39611" spans="26:26" x14ac:dyDescent="0.25">
      <c r="Z39611">
        <v>400000</v>
      </c>
    </row>
    <row r="39612" spans="26:26" x14ac:dyDescent="0.25">
      <c r="Z39612">
        <v>400000</v>
      </c>
    </row>
    <row r="39613" spans="26:26" x14ac:dyDescent="0.25">
      <c r="Z39613">
        <v>400000</v>
      </c>
    </row>
    <row r="39614" spans="26:26" x14ac:dyDescent="0.25">
      <c r="Z39614">
        <v>400000</v>
      </c>
    </row>
    <row r="39615" spans="26:26" x14ac:dyDescent="0.25">
      <c r="Z39615">
        <v>400000</v>
      </c>
    </row>
    <row r="39616" spans="26:26" x14ac:dyDescent="0.25">
      <c r="Z39616">
        <v>400000</v>
      </c>
    </row>
    <row r="39617" spans="26:26" x14ac:dyDescent="0.25">
      <c r="Z39617">
        <v>400000</v>
      </c>
    </row>
    <row r="39618" spans="26:26" x14ac:dyDescent="0.25">
      <c r="Z39618">
        <v>400000</v>
      </c>
    </row>
    <row r="39619" spans="26:26" x14ac:dyDescent="0.25">
      <c r="Z39619">
        <v>400000</v>
      </c>
    </row>
    <row r="39620" spans="26:26" x14ac:dyDescent="0.25">
      <c r="Z39620">
        <v>400000</v>
      </c>
    </row>
    <row r="39621" spans="26:26" x14ac:dyDescent="0.25">
      <c r="Z39621">
        <v>400000</v>
      </c>
    </row>
    <row r="39622" spans="26:26" x14ac:dyDescent="0.25">
      <c r="Z39622">
        <v>400000</v>
      </c>
    </row>
    <row r="39623" spans="26:26" x14ac:dyDescent="0.25">
      <c r="Z39623">
        <v>400000</v>
      </c>
    </row>
    <row r="39624" spans="26:26" x14ac:dyDescent="0.25">
      <c r="Z39624">
        <v>400000</v>
      </c>
    </row>
    <row r="39625" spans="26:26" x14ac:dyDescent="0.25">
      <c r="Z39625">
        <v>400000</v>
      </c>
    </row>
    <row r="39626" spans="26:26" x14ac:dyDescent="0.25">
      <c r="Z39626">
        <v>400000</v>
      </c>
    </row>
    <row r="39627" spans="26:26" x14ac:dyDescent="0.25">
      <c r="Z39627">
        <v>400000</v>
      </c>
    </row>
    <row r="39628" spans="26:26" x14ac:dyDescent="0.25">
      <c r="Z39628">
        <v>400000</v>
      </c>
    </row>
    <row r="39629" spans="26:26" x14ac:dyDescent="0.25">
      <c r="Z39629">
        <v>400000</v>
      </c>
    </row>
    <row r="39630" spans="26:26" x14ac:dyDescent="0.25">
      <c r="Z39630">
        <v>400000</v>
      </c>
    </row>
    <row r="39631" spans="26:26" x14ac:dyDescent="0.25">
      <c r="Z39631">
        <v>400000</v>
      </c>
    </row>
    <row r="39632" spans="26:26" x14ac:dyDescent="0.25">
      <c r="Z39632">
        <v>400000</v>
      </c>
    </row>
    <row r="39633" spans="26:26" x14ac:dyDescent="0.25">
      <c r="Z39633">
        <v>400000</v>
      </c>
    </row>
    <row r="39634" spans="26:26" x14ac:dyDescent="0.25">
      <c r="Z39634">
        <v>400000</v>
      </c>
    </row>
    <row r="39635" spans="26:26" x14ac:dyDescent="0.25">
      <c r="Z39635">
        <v>400000</v>
      </c>
    </row>
    <row r="39636" spans="26:26" x14ac:dyDescent="0.25">
      <c r="Z39636">
        <v>400000</v>
      </c>
    </row>
    <row r="39637" spans="26:26" x14ac:dyDescent="0.25">
      <c r="Z39637">
        <v>400000</v>
      </c>
    </row>
    <row r="39638" spans="26:26" x14ac:dyDescent="0.25">
      <c r="Z39638">
        <v>400000</v>
      </c>
    </row>
    <row r="39639" spans="26:26" x14ac:dyDescent="0.25">
      <c r="Z39639">
        <v>400000</v>
      </c>
    </row>
    <row r="39640" spans="26:26" x14ac:dyDescent="0.25">
      <c r="Z39640">
        <v>400000</v>
      </c>
    </row>
    <row r="39641" spans="26:26" x14ac:dyDescent="0.25">
      <c r="Z39641">
        <v>400000</v>
      </c>
    </row>
    <row r="39642" spans="26:26" x14ac:dyDescent="0.25">
      <c r="Z39642">
        <v>400000</v>
      </c>
    </row>
    <row r="39643" spans="26:26" x14ac:dyDescent="0.25">
      <c r="Z39643">
        <v>400000</v>
      </c>
    </row>
    <row r="39644" spans="26:26" x14ac:dyDescent="0.25">
      <c r="Z39644">
        <v>400000</v>
      </c>
    </row>
    <row r="39645" spans="26:26" x14ac:dyDescent="0.25">
      <c r="Z39645">
        <v>400000</v>
      </c>
    </row>
    <row r="39646" spans="26:26" x14ac:dyDescent="0.25">
      <c r="Z39646">
        <v>400000</v>
      </c>
    </row>
    <row r="39647" spans="26:26" x14ac:dyDescent="0.25">
      <c r="Z39647">
        <v>400000</v>
      </c>
    </row>
    <row r="39648" spans="26:26" x14ac:dyDescent="0.25">
      <c r="Z39648">
        <v>400000</v>
      </c>
    </row>
    <row r="39649" spans="26:26" x14ac:dyDescent="0.25">
      <c r="Z39649">
        <v>400000</v>
      </c>
    </row>
    <row r="39650" spans="26:26" x14ac:dyDescent="0.25">
      <c r="Z39650">
        <v>400000</v>
      </c>
    </row>
    <row r="39651" spans="26:26" x14ac:dyDescent="0.25">
      <c r="Z39651">
        <v>400000</v>
      </c>
    </row>
    <row r="39652" spans="26:26" x14ac:dyDescent="0.25">
      <c r="Z39652">
        <v>400000</v>
      </c>
    </row>
    <row r="39653" spans="26:26" x14ac:dyDescent="0.25">
      <c r="Z39653">
        <v>400000</v>
      </c>
    </row>
    <row r="39654" spans="26:26" x14ac:dyDescent="0.25">
      <c r="Z39654">
        <v>400000</v>
      </c>
    </row>
    <row r="39655" spans="26:26" x14ac:dyDescent="0.25">
      <c r="Z39655">
        <v>400000</v>
      </c>
    </row>
    <row r="39656" spans="26:26" x14ac:dyDescent="0.25">
      <c r="Z39656">
        <v>400000</v>
      </c>
    </row>
    <row r="39657" spans="26:26" x14ac:dyDescent="0.25">
      <c r="Z39657">
        <v>400000</v>
      </c>
    </row>
    <row r="39658" spans="26:26" x14ac:dyDescent="0.25">
      <c r="Z39658">
        <v>400000</v>
      </c>
    </row>
    <row r="39659" spans="26:26" x14ac:dyDescent="0.25">
      <c r="Z39659">
        <v>400000</v>
      </c>
    </row>
    <row r="39660" spans="26:26" x14ac:dyDescent="0.25">
      <c r="Z39660">
        <v>400000</v>
      </c>
    </row>
    <row r="39661" spans="26:26" x14ac:dyDescent="0.25">
      <c r="Z39661">
        <v>400000</v>
      </c>
    </row>
    <row r="39662" spans="26:26" x14ac:dyDescent="0.25">
      <c r="Z39662">
        <v>400000</v>
      </c>
    </row>
    <row r="39663" spans="26:26" x14ac:dyDescent="0.25">
      <c r="Z39663">
        <v>400000</v>
      </c>
    </row>
    <row r="39664" spans="26:26" x14ac:dyDescent="0.25">
      <c r="Z39664">
        <v>400000</v>
      </c>
    </row>
    <row r="39665" spans="26:26" x14ac:dyDescent="0.25">
      <c r="Z39665">
        <v>400000</v>
      </c>
    </row>
    <row r="39666" spans="26:26" x14ac:dyDescent="0.25">
      <c r="Z39666">
        <v>400000</v>
      </c>
    </row>
    <row r="39667" spans="26:26" x14ac:dyDescent="0.25">
      <c r="Z39667">
        <v>400000</v>
      </c>
    </row>
    <row r="39668" spans="26:26" x14ac:dyDescent="0.25">
      <c r="Z39668">
        <v>400000</v>
      </c>
    </row>
    <row r="39669" spans="26:26" x14ac:dyDescent="0.25">
      <c r="Z39669">
        <v>400000</v>
      </c>
    </row>
    <row r="39670" spans="26:26" x14ac:dyDescent="0.25">
      <c r="Z39670">
        <v>400000</v>
      </c>
    </row>
    <row r="39671" spans="26:26" x14ac:dyDescent="0.25">
      <c r="Z39671">
        <v>400000</v>
      </c>
    </row>
    <row r="39672" spans="26:26" x14ac:dyDescent="0.25">
      <c r="Z39672">
        <v>400000</v>
      </c>
    </row>
    <row r="39673" spans="26:26" x14ac:dyDescent="0.25">
      <c r="Z39673">
        <v>400000</v>
      </c>
    </row>
    <row r="39674" spans="26:26" x14ac:dyDescent="0.25">
      <c r="Z39674">
        <v>400000</v>
      </c>
    </row>
    <row r="39675" spans="26:26" x14ac:dyDescent="0.25">
      <c r="Z39675">
        <v>400000</v>
      </c>
    </row>
    <row r="39676" spans="26:26" x14ac:dyDescent="0.25">
      <c r="Z39676">
        <v>400000</v>
      </c>
    </row>
    <row r="39677" spans="26:26" x14ac:dyDescent="0.25">
      <c r="Z39677">
        <v>400000</v>
      </c>
    </row>
    <row r="39678" spans="26:26" x14ac:dyDescent="0.25">
      <c r="Z39678">
        <v>400000</v>
      </c>
    </row>
    <row r="39679" spans="26:26" x14ac:dyDescent="0.25">
      <c r="Z39679">
        <v>400000</v>
      </c>
    </row>
    <row r="39680" spans="26:26" x14ac:dyDescent="0.25">
      <c r="Z39680">
        <v>400000</v>
      </c>
    </row>
    <row r="39681" spans="26:26" x14ac:dyDescent="0.25">
      <c r="Z39681">
        <v>400000</v>
      </c>
    </row>
    <row r="39682" spans="26:26" x14ac:dyDescent="0.25">
      <c r="Z39682">
        <v>400000</v>
      </c>
    </row>
    <row r="39683" spans="26:26" x14ac:dyDescent="0.25">
      <c r="Z39683">
        <v>400000</v>
      </c>
    </row>
    <row r="39684" spans="26:26" x14ac:dyDescent="0.25">
      <c r="Z39684">
        <v>400000</v>
      </c>
    </row>
    <row r="39685" spans="26:26" x14ac:dyDescent="0.25">
      <c r="Z39685">
        <v>400000</v>
      </c>
    </row>
    <row r="39686" spans="26:26" x14ac:dyDescent="0.25">
      <c r="Z39686">
        <v>400000</v>
      </c>
    </row>
    <row r="39687" spans="26:26" x14ac:dyDescent="0.25">
      <c r="Z39687">
        <v>400000</v>
      </c>
    </row>
    <row r="39688" spans="26:26" x14ac:dyDescent="0.25">
      <c r="Z39688">
        <v>400000</v>
      </c>
    </row>
    <row r="39689" spans="26:26" x14ac:dyDescent="0.25">
      <c r="Z39689">
        <v>400000</v>
      </c>
    </row>
    <row r="39690" spans="26:26" x14ac:dyDescent="0.25">
      <c r="Z39690">
        <v>400000</v>
      </c>
    </row>
    <row r="39691" spans="26:26" x14ac:dyDescent="0.25">
      <c r="Z39691">
        <v>400000</v>
      </c>
    </row>
    <row r="39692" spans="26:26" x14ac:dyDescent="0.25">
      <c r="Z39692">
        <v>400000</v>
      </c>
    </row>
    <row r="39693" spans="26:26" x14ac:dyDescent="0.25">
      <c r="Z39693">
        <v>400000</v>
      </c>
    </row>
    <row r="39694" spans="26:26" x14ac:dyDescent="0.25">
      <c r="Z39694">
        <v>400000</v>
      </c>
    </row>
    <row r="39695" spans="26:26" x14ac:dyDescent="0.25">
      <c r="Z39695">
        <v>400000</v>
      </c>
    </row>
    <row r="39696" spans="26:26" x14ac:dyDescent="0.25">
      <c r="Z39696">
        <v>400000</v>
      </c>
    </row>
    <row r="39697" spans="26:26" x14ac:dyDescent="0.25">
      <c r="Z39697">
        <v>400000</v>
      </c>
    </row>
    <row r="39698" spans="26:26" x14ac:dyDescent="0.25">
      <c r="Z39698">
        <v>400000</v>
      </c>
    </row>
    <row r="39699" spans="26:26" x14ac:dyDescent="0.25">
      <c r="Z39699">
        <v>400000</v>
      </c>
    </row>
    <row r="39700" spans="26:26" x14ac:dyDescent="0.25">
      <c r="Z39700">
        <v>400000</v>
      </c>
    </row>
    <row r="39701" spans="26:26" x14ac:dyDescent="0.25">
      <c r="Z39701">
        <v>400000</v>
      </c>
    </row>
    <row r="39702" spans="26:26" x14ac:dyDescent="0.25">
      <c r="Z39702">
        <v>400000</v>
      </c>
    </row>
    <row r="39703" spans="26:26" x14ac:dyDescent="0.25">
      <c r="Z39703">
        <v>400000</v>
      </c>
    </row>
    <row r="39704" spans="26:26" x14ac:dyDescent="0.25">
      <c r="Z39704">
        <v>400000</v>
      </c>
    </row>
    <row r="39705" spans="26:26" x14ac:dyDescent="0.25">
      <c r="Z39705">
        <v>400000</v>
      </c>
    </row>
    <row r="39706" spans="26:26" x14ac:dyDescent="0.25">
      <c r="Z39706">
        <v>400000</v>
      </c>
    </row>
    <row r="39707" spans="26:26" x14ac:dyDescent="0.25">
      <c r="Z39707">
        <v>400000</v>
      </c>
    </row>
    <row r="39708" spans="26:26" x14ac:dyDescent="0.25">
      <c r="Z39708">
        <v>400000</v>
      </c>
    </row>
    <row r="39709" spans="26:26" x14ac:dyDescent="0.25">
      <c r="Z39709">
        <v>400000</v>
      </c>
    </row>
    <row r="39710" spans="26:26" x14ac:dyDescent="0.25">
      <c r="Z39710">
        <v>400000</v>
      </c>
    </row>
    <row r="39711" spans="26:26" x14ac:dyDescent="0.25">
      <c r="Z39711">
        <v>400000</v>
      </c>
    </row>
    <row r="39712" spans="26:26" x14ac:dyDescent="0.25">
      <c r="Z39712">
        <v>400000</v>
      </c>
    </row>
    <row r="39713" spans="26:26" x14ac:dyDescent="0.25">
      <c r="Z39713">
        <v>400000</v>
      </c>
    </row>
    <row r="39714" spans="26:26" x14ac:dyDescent="0.25">
      <c r="Z39714">
        <v>400000</v>
      </c>
    </row>
    <row r="39715" spans="26:26" x14ac:dyDescent="0.25">
      <c r="Z39715">
        <v>400000</v>
      </c>
    </row>
    <row r="39716" spans="26:26" x14ac:dyDescent="0.25">
      <c r="Z39716">
        <v>400000</v>
      </c>
    </row>
    <row r="39717" spans="26:26" x14ac:dyDescent="0.25">
      <c r="Z39717">
        <v>400000</v>
      </c>
    </row>
    <row r="39718" spans="26:26" x14ac:dyDescent="0.25">
      <c r="Z39718">
        <v>400000</v>
      </c>
    </row>
    <row r="39719" spans="26:26" x14ac:dyDescent="0.25">
      <c r="Z39719">
        <v>400000</v>
      </c>
    </row>
    <row r="39720" spans="26:26" x14ac:dyDescent="0.25">
      <c r="Z39720">
        <v>400000</v>
      </c>
    </row>
    <row r="39721" spans="26:26" x14ac:dyDescent="0.25">
      <c r="Z39721">
        <v>400000</v>
      </c>
    </row>
    <row r="39722" spans="26:26" x14ac:dyDescent="0.25">
      <c r="Z39722">
        <v>400000</v>
      </c>
    </row>
    <row r="39723" spans="26:26" x14ac:dyDescent="0.25">
      <c r="Z39723">
        <v>400000</v>
      </c>
    </row>
    <row r="39724" spans="26:26" x14ac:dyDescent="0.25">
      <c r="Z39724">
        <v>400000</v>
      </c>
    </row>
    <row r="39725" spans="26:26" x14ac:dyDescent="0.25">
      <c r="Z39725">
        <v>400000</v>
      </c>
    </row>
    <row r="39726" spans="26:26" x14ac:dyDescent="0.25">
      <c r="Z39726">
        <v>400000</v>
      </c>
    </row>
    <row r="39727" spans="26:26" x14ac:dyDescent="0.25">
      <c r="Z39727">
        <v>400000</v>
      </c>
    </row>
    <row r="39728" spans="26:26" x14ac:dyDescent="0.25">
      <c r="Z39728">
        <v>400000</v>
      </c>
    </row>
    <row r="39729" spans="26:26" x14ac:dyDescent="0.25">
      <c r="Z39729">
        <v>400000</v>
      </c>
    </row>
    <row r="39730" spans="26:26" x14ac:dyDescent="0.25">
      <c r="Z39730">
        <v>400000</v>
      </c>
    </row>
    <row r="39731" spans="26:26" x14ac:dyDescent="0.25">
      <c r="Z39731">
        <v>400000</v>
      </c>
    </row>
    <row r="39732" spans="26:26" x14ac:dyDescent="0.25">
      <c r="Z39732">
        <v>400000</v>
      </c>
    </row>
    <row r="39733" spans="26:26" x14ac:dyDescent="0.25">
      <c r="Z39733">
        <v>400000</v>
      </c>
    </row>
    <row r="39734" spans="26:26" x14ac:dyDescent="0.25">
      <c r="Z39734">
        <v>400000</v>
      </c>
    </row>
    <row r="39735" spans="26:26" x14ac:dyDescent="0.25">
      <c r="Z39735">
        <v>400000</v>
      </c>
    </row>
    <row r="39736" spans="26:26" x14ac:dyDescent="0.25">
      <c r="Z39736">
        <v>400000</v>
      </c>
    </row>
    <row r="39737" spans="26:26" x14ac:dyDescent="0.25">
      <c r="Z39737">
        <v>400000</v>
      </c>
    </row>
    <row r="39738" spans="26:26" x14ac:dyDescent="0.25">
      <c r="Z39738">
        <v>400000</v>
      </c>
    </row>
    <row r="39739" spans="26:26" x14ac:dyDescent="0.25">
      <c r="Z39739">
        <v>400000</v>
      </c>
    </row>
    <row r="39740" spans="26:26" x14ac:dyDescent="0.25">
      <c r="Z39740">
        <v>400000</v>
      </c>
    </row>
    <row r="39741" spans="26:26" x14ac:dyDescent="0.25">
      <c r="Z39741">
        <v>400000</v>
      </c>
    </row>
    <row r="39742" spans="26:26" x14ac:dyDescent="0.25">
      <c r="Z39742">
        <v>400000</v>
      </c>
    </row>
    <row r="39743" spans="26:26" x14ac:dyDescent="0.25">
      <c r="Z39743">
        <v>400000</v>
      </c>
    </row>
    <row r="39744" spans="26:26" x14ac:dyDescent="0.25">
      <c r="Z39744">
        <v>400000</v>
      </c>
    </row>
    <row r="39745" spans="26:26" x14ac:dyDescent="0.25">
      <c r="Z39745">
        <v>400000</v>
      </c>
    </row>
    <row r="39746" spans="26:26" x14ac:dyDescent="0.25">
      <c r="Z39746">
        <v>400000</v>
      </c>
    </row>
    <row r="39747" spans="26:26" x14ac:dyDescent="0.25">
      <c r="Z39747">
        <v>400000</v>
      </c>
    </row>
    <row r="39748" spans="26:26" x14ac:dyDescent="0.25">
      <c r="Z39748">
        <v>400000</v>
      </c>
    </row>
    <row r="39749" spans="26:26" x14ac:dyDescent="0.25">
      <c r="Z39749">
        <v>400000</v>
      </c>
    </row>
    <row r="39750" spans="26:26" x14ac:dyDescent="0.25">
      <c r="Z39750">
        <v>400000</v>
      </c>
    </row>
    <row r="39751" spans="26:26" x14ac:dyDescent="0.25">
      <c r="Z39751">
        <v>400000</v>
      </c>
    </row>
    <row r="39752" spans="26:26" x14ac:dyDescent="0.25">
      <c r="Z39752">
        <v>400000</v>
      </c>
    </row>
    <row r="39753" spans="26:26" x14ac:dyDescent="0.25">
      <c r="Z39753">
        <v>400000</v>
      </c>
    </row>
    <row r="39754" spans="26:26" x14ac:dyDescent="0.25">
      <c r="Z39754">
        <v>400000</v>
      </c>
    </row>
    <row r="39755" spans="26:26" x14ac:dyDescent="0.25">
      <c r="Z39755">
        <v>400000</v>
      </c>
    </row>
    <row r="39756" spans="26:26" x14ac:dyDescent="0.25">
      <c r="Z39756">
        <v>400000</v>
      </c>
    </row>
    <row r="39757" spans="26:26" x14ac:dyDescent="0.25">
      <c r="Z39757">
        <v>400000</v>
      </c>
    </row>
    <row r="39758" spans="26:26" x14ac:dyDescent="0.25">
      <c r="Z39758">
        <v>400000</v>
      </c>
    </row>
    <row r="39759" spans="26:26" x14ac:dyDescent="0.25">
      <c r="Z39759">
        <v>400000</v>
      </c>
    </row>
    <row r="39760" spans="26:26" x14ac:dyDescent="0.25">
      <c r="Z39760">
        <v>400000</v>
      </c>
    </row>
    <row r="39761" spans="26:26" x14ac:dyDescent="0.25">
      <c r="Z39761">
        <v>400000</v>
      </c>
    </row>
    <row r="39762" spans="26:26" x14ac:dyDescent="0.25">
      <c r="Z39762">
        <v>400000</v>
      </c>
    </row>
    <row r="39763" spans="26:26" x14ac:dyDescent="0.25">
      <c r="Z39763">
        <v>400000</v>
      </c>
    </row>
    <row r="39764" spans="26:26" x14ac:dyDescent="0.25">
      <c r="Z39764">
        <v>400000</v>
      </c>
    </row>
    <row r="39765" spans="26:26" x14ac:dyDescent="0.25">
      <c r="Z39765">
        <v>400000</v>
      </c>
    </row>
    <row r="39766" spans="26:26" x14ac:dyDescent="0.25">
      <c r="Z39766">
        <v>400000</v>
      </c>
    </row>
    <row r="39767" spans="26:26" x14ac:dyDescent="0.25">
      <c r="Z39767">
        <v>400000</v>
      </c>
    </row>
    <row r="39768" spans="26:26" x14ac:dyDescent="0.25">
      <c r="Z39768">
        <v>400000</v>
      </c>
    </row>
    <row r="39769" spans="26:26" x14ac:dyDescent="0.25">
      <c r="Z39769">
        <v>400000</v>
      </c>
    </row>
    <row r="39770" spans="26:26" x14ac:dyDescent="0.25">
      <c r="Z39770">
        <v>400000</v>
      </c>
    </row>
    <row r="39771" spans="26:26" x14ac:dyDescent="0.25">
      <c r="Z39771">
        <v>400000</v>
      </c>
    </row>
    <row r="39772" spans="26:26" x14ac:dyDescent="0.25">
      <c r="Z39772">
        <v>400000</v>
      </c>
    </row>
    <row r="39773" spans="26:26" x14ac:dyDescent="0.25">
      <c r="Z39773">
        <v>400000</v>
      </c>
    </row>
    <row r="39774" spans="26:26" x14ac:dyDescent="0.25">
      <c r="Z39774">
        <v>400000</v>
      </c>
    </row>
    <row r="39775" spans="26:26" x14ac:dyDescent="0.25">
      <c r="Z39775">
        <v>400000</v>
      </c>
    </row>
    <row r="39776" spans="26:26" x14ac:dyDescent="0.25">
      <c r="Z39776">
        <v>400000</v>
      </c>
    </row>
    <row r="39777" spans="26:26" x14ac:dyDescent="0.25">
      <c r="Z39777">
        <v>400000</v>
      </c>
    </row>
    <row r="39778" spans="26:26" x14ac:dyDescent="0.25">
      <c r="Z39778">
        <v>400000</v>
      </c>
    </row>
    <row r="39779" spans="26:26" x14ac:dyDescent="0.25">
      <c r="Z39779">
        <v>400000</v>
      </c>
    </row>
    <row r="39780" spans="26:26" x14ac:dyDescent="0.25">
      <c r="Z39780">
        <v>400000</v>
      </c>
    </row>
    <row r="39781" spans="26:26" x14ac:dyDescent="0.25">
      <c r="Z39781">
        <v>400000</v>
      </c>
    </row>
    <row r="39782" spans="26:26" x14ac:dyDescent="0.25">
      <c r="Z39782">
        <v>400000</v>
      </c>
    </row>
    <row r="39783" spans="26:26" x14ac:dyDescent="0.25">
      <c r="Z39783">
        <v>400000</v>
      </c>
    </row>
    <row r="39784" spans="26:26" x14ac:dyDescent="0.25">
      <c r="Z39784">
        <v>400000</v>
      </c>
    </row>
    <row r="39785" spans="26:26" x14ac:dyDescent="0.25">
      <c r="Z39785">
        <v>400000</v>
      </c>
    </row>
    <row r="39786" spans="26:26" x14ac:dyDescent="0.25">
      <c r="Z39786">
        <v>400000</v>
      </c>
    </row>
    <row r="39787" spans="26:26" x14ac:dyDescent="0.25">
      <c r="Z39787">
        <v>400000</v>
      </c>
    </row>
    <row r="39788" spans="26:26" x14ac:dyDescent="0.25">
      <c r="Z39788">
        <v>400000</v>
      </c>
    </row>
    <row r="39789" spans="26:26" x14ac:dyDescent="0.25">
      <c r="Z39789">
        <v>400000</v>
      </c>
    </row>
    <row r="39790" spans="26:26" x14ac:dyDescent="0.25">
      <c r="Z39790">
        <v>400000</v>
      </c>
    </row>
    <row r="39791" spans="26:26" x14ac:dyDescent="0.25">
      <c r="Z39791">
        <v>400000</v>
      </c>
    </row>
    <row r="39792" spans="26:26" x14ac:dyDescent="0.25">
      <c r="Z39792">
        <v>400000</v>
      </c>
    </row>
    <row r="39793" spans="26:26" x14ac:dyDescent="0.25">
      <c r="Z39793">
        <v>400000</v>
      </c>
    </row>
    <row r="39794" spans="26:26" x14ac:dyDescent="0.25">
      <c r="Z39794">
        <v>400000</v>
      </c>
    </row>
    <row r="39795" spans="26:26" x14ac:dyDescent="0.25">
      <c r="Z39795">
        <v>400000</v>
      </c>
    </row>
    <row r="39796" spans="26:26" x14ac:dyDescent="0.25">
      <c r="Z39796">
        <v>400000</v>
      </c>
    </row>
    <row r="39797" spans="26:26" x14ac:dyDescent="0.25">
      <c r="Z39797">
        <v>400000</v>
      </c>
    </row>
    <row r="39798" spans="26:26" x14ac:dyDescent="0.25">
      <c r="Z39798">
        <v>400000</v>
      </c>
    </row>
    <row r="39799" spans="26:26" x14ac:dyDescent="0.25">
      <c r="Z39799">
        <v>400000</v>
      </c>
    </row>
    <row r="39800" spans="26:26" x14ac:dyDescent="0.25">
      <c r="Z39800">
        <v>400000</v>
      </c>
    </row>
    <row r="39801" spans="26:26" x14ac:dyDescent="0.25">
      <c r="Z39801">
        <v>400000</v>
      </c>
    </row>
    <row r="39802" spans="26:26" x14ac:dyDescent="0.25">
      <c r="Z39802">
        <v>400000</v>
      </c>
    </row>
    <row r="39803" spans="26:26" x14ac:dyDescent="0.25">
      <c r="Z39803">
        <v>400000</v>
      </c>
    </row>
    <row r="39804" spans="26:26" x14ac:dyDescent="0.25">
      <c r="Z39804">
        <v>400000</v>
      </c>
    </row>
    <row r="39805" spans="26:26" x14ac:dyDescent="0.25">
      <c r="Z39805">
        <v>400000</v>
      </c>
    </row>
    <row r="39806" spans="26:26" x14ac:dyDescent="0.25">
      <c r="Z39806">
        <v>400000</v>
      </c>
    </row>
    <row r="39807" spans="26:26" x14ac:dyDescent="0.25">
      <c r="Z39807">
        <v>400000</v>
      </c>
    </row>
    <row r="39808" spans="26:26" x14ac:dyDescent="0.25">
      <c r="Z39808">
        <v>400000</v>
      </c>
    </row>
    <row r="39809" spans="26:26" x14ac:dyDescent="0.25">
      <c r="Z39809">
        <v>400000</v>
      </c>
    </row>
    <row r="39810" spans="26:26" x14ac:dyDescent="0.25">
      <c r="Z39810">
        <v>400000</v>
      </c>
    </row>
    <row r="39811" spans="26:26" x14ac:dyDescent="0.25">
      <c r="Z39811">
        <v>400000</v>
      </c>
    </row>
    <row r="39812" spans="26:26" x14ac:dyDescent="0.25">
      <c r="Z39812">
        <v>400000</v>
      </c>
    </row>
    <row r="39813" spans="26:26" x14ac:dyDescent="0.25">
      <c r="Z39813">
        <v>400000</v>
      </c>
    </row>
    <row r="39814" spans="26:26" x14ac:dyDescent="0.25">
      <c r="Z39814">
        <v>400000</v>
      </c>
    </row>
    <row r="39815" spans="26:26" x14ac:dyDescent="0.25">
      <c r="Z39815">
        <v>400000</v>
      </c>
    </row>
    <row r="39816" spans="26:26" x14ac:dyDescent="0.25">
      <c r="Z39816">
        <v>400000</v>
      </c>
    </row>
    <row r="39817" spans="26:26" x14ac:dyDescent="0.25">
      <c r="Z39817">
        <v>400000</v>
      </c>
    </row>
    <row r="39818" spans="26:26" x14ac:dyDescent="0.25">
      <c r="Z39818">
        <v>400000</v>
      </c>
    </row>
    <row r="39819" spans="26:26" x14ac:dyDescent="0.25">
      <c r="Z39819">
        <v>400000</v>
      </c>
    </row>
    <row r="39820" spans="26:26" x14ac:dyDescent="0.25">
      <c r="Z39820">
        <v>400000</v>
      </c>
    </row>
    <row r="39821" spans="26:26" x14ac:dyDescent="0.25">
      <c r="Z39821">
        <v>400000</v>
      </c>
    </row>
    <row r="39822" spans="26:26" x14ac:dyDescent="0.25">
      <c r="Z39822">
        <v>400000</v>
      </c>
    </row>
    <row r="39823" spans="26:26" x14ac:dyDescent="0.25">
      <c r="Z39823">
        <v>400000</v>
      </c>
    </row>
    <row r="39824" spans="26:26" x14ac:dyDescent="0.25">
      <c r="Z39824">
        <v>400000</v>
      </c>
    </row>
    <row r="39825" spans="26:26" x14ac:dyDescent="0.25">
      <c r="Z39825">
        <v>400000</v>
      </c>
    </row>
    <row r="39826" spans="26:26" x14ac:dyDescent="0.25">
      <c r="Z39826">
        <v>400000</v>
      </c>
    </row>
    <row r="39827" spans="26:26" x14ac:dyDescent="0.25">
      <c r="Z39827">
        <v>400000</v>
      </c>
    </row>
    <row r="39828" spans="26:26" x14ac:dyDescent="0.25">
      <c r="Z39828">
        <v>400000</v>
      </c>
    </row>
    <row r="39829" spans="26:26" x14ac:dyDescent="0.25">
      <c r="Z39829">
        <v>400000</v>
      </c>
    </row>
    <row r="39830" spans="26:26" x14ac:dyDescent="0.25">
      <c r="Z39830">
        <v>400000</v>
      </c>
    </row>
    <row r="39831" spans="26:26" x14ac:dyDescent="0.25">
      <c r="Z39831">
        <v>400000</v>
      </c>
    </row>
    <row r="39832" spans="26:26" x14ac:dyDescent="0.25">
      <c r="Z39832">
        <v>400000</v>
      </c>
    </row>
    <row r="39833" spans="26:26" x14ac:dyDescent="0.25">
      <c r="Z39833">
        <v>400000</v>
      </c>
    </row>
    <row r="39834" spans="26:26" x14ac:dyDescent="0.25">
      <c r="Z39834">
        <v>400000</v>
      </c>
    </row>
    <row r="39835" spans="26:26" x14ac:dyDescent="0.25">
      <c r="Z39835">
        <v>400000</v>
      </c>
    </row>
    <row r="39836" spans="26:26" x14ac:dyDescent="0.25">
      <c r="Z39836">
        <v>400000</v>
      </c>
    </row>
    <row r="39837" spans="26:26" x14ac:dyDescent="0.25">
      <c r="Z39837">
        <v>400000</v>
      </c>
    </row>
    <row r="39838" spans="26:26" x14ac:dyDescent="0.25">
      <c r="Z39838">
        <v>400000</v>
      </c>
    </row>
    <row r="39839" spans="26:26" x14ac:dyDescent="0.25">
      <c r="Z39839">
        <v>400000</v>
      </c>
    </row>
    <row r="39840" spans="26:26" x14ac:dyDescent="0.25">
      <c r="Z39840">
        <v>400000</v>
      </c>
    </row>
    <row r="39841" spans="26:26" x14ac:dyDescent="0.25">
      <c r="Z39841">
        <v>400000</v>
      </c>
    </row>
    <row r="39842" spans="26:26" x14ac:dyDescent="0.25">
      <c r="Z39842">
        <v>400000</v>
      </c>
    </row>
    <row r="39843" spans="26:26" x14ac:dyDescent="0.25">
      <c r="Z39843">
        <v>400000</v>
      </c>
    </row>
    <row r="39844" spans="26:26" x14ac:dyDescent="0.25">
      <c r="Z39844">
        <v>400000</v>
      </c>
    </row>
    <row r="39845" spans="26:26" x14ac:dyDescent="0.25">
      <c r="Z39845">
        <v>400000</v>
      </c>
    </row>
    <row r="39846" spans="26:26" x14ac:dyDescent="0.25">
      <c r="Z39846">
        <v>400000</v>
      </c>
    </row>
    <row r="39847" spans="26:26" x14ac:dyDescent="0.25">
      <c r="Z39847">
        <v>400000</v>
      </c>
    </row>
    <row r="39848" spans="26:26" x14ac:dyDescent="0.25">
      <c r="Z39848">
        <v>400000</v>
      </c>
    </row>
    <row r="39849" spans="26:26" x14ac:dyDescent="0.25">
      <c r="Z39849">
        <v>400000</v>
      </c>
    </row>
    <row r="39850" spans="26:26" x14ac:dyDescent="0.25">
      <c r="Z39850">
        <v>400000</v>
      </c>
    </row>
    <row r="39851" spans="26:26" x14ac:dyDescent="0.25">
      <c r="Z39851">
        <v>400000</v>
      </c>
    </row>
    <row r="39852" spans="26:26" x14ac:dyDescent="0.25">
      <c r="Z39852">
        <v>400000</v>
      </c>
    </row>
    <row r="39853" spans="26:26" x14ac:dyDescent="0.25">
      <c r="Z39853">
        <v>400000</v>
      </c>
    </row>
    <row r="39854" spans="26:26" x14ac:dyDescent="0.25">
      <c r="Z39854">
        <v>400000</v>
      </c>
    </row>
    <row r="39855" spans="26:26" x14ac:dyDescent="0.25">
      <c r="Z39855">
        <v>400000</v>
      </c>
    </row>
    <row r="39856" spans="26:26" x14ac:dyDescent="0.25">
      <c r="Z39856">
        <v>400000</v>
      </c>
    </row>
    <row r="39857" spans="26:26" x14ac:dyDescent="0.25">
      <c r="Z39857">
        <v>400000</v>
      </c>
    </row>
    <row r="39858" spans="26:26" x14ac:dyDescent="0.25">
      <c r="Z39858">
        <v>400000</v>
      </c>
    </row>
    <row r="39859" spans="26:26" x14ac:dyDescent="0.25">
      <c r="Z39859">
        <v>400000</v>
      </c>
    </row>
    <row r="39860" spans="26:26" x14ac:dyDescent="0.25">
      <c r="Z39860">
        <v>400000</v>
      </c>
    </row>
    <row r="39861" spans="26:26" x14ac:dyDescent="0.25">
      <c r="Z39861">
        <v>400000</v>
      </c>
    </row>
    <row r="39862" spans="26:26" x14ac:dyDescent="0.25">
      <c r="Z39862">
        <v>400000</v>
      </c>
    </row>
    <row r="39863" spans="26:26" x14ac:dyDescent="0.25">
      <c r="Z39863">
        <v>400000</v>
      </c>
    </row>
    <row r="39864" spans="26:26" x14ac:dyDescent="0.25">
      <c r="Z39864">
        <v>400000</v>
      </c>
    </row>
    <row r="39865" spans="26:26" x14ac:dyDescent="0.25">
      <c r="Z39865">
        <v>400000</v>
      </c>
    </row>
    <row r="39866" spans="26:26" x14ac:dyDescent="0.25">
      <c r="Z39866">
        <v>400000</v>
      </c>
    </row>
    <row r="39867" spans="26:26" x14ac:dyDescent="0.25">
      <c r="Z39867">
        <v>400000</v>
      </c>
    </row>
    <row r="39868" spans="26:26" x14ac:dyDescent="0.25">
      <c r="Z39868">
        <v>400000</v>
      </c>
    </row>
    <row r="39869" spans="26:26" x14ac:dyDescent="0.25">
      <c r="Z39869">
        <v>400000</v>
      </c>
    </row>
    <row r="39870" spans="26:26" x14ac:dyDescent="0.25">
      <c r="Z39870">
        <v>400000</v>
      </c>
    </row>
    <row r="39871" spans="26:26" x14ac:dyDescent="0.25">
      <c r="Z39871">
        <v>400000</v>
      </c>
    </row>
    <row r="39872" spans="26:26" x14ac:dyDescent="0.25">
      <c r="Z39872">
        <v>400000</v>
      </c>
    </row>
    <row r="39873" spans="26:26" x14ac:dyDescent="0.25">
      <c r="Z39873">
        <v>400000</v>
      </c>
    </row>
    <row r="39874" spans="26:26" x14ac:dyDescent="0.25">
      <c r="Z39874">
        <v>400000</v>
      </c>
    </row>
    <row r="39875" spans="26:26" x14ac:dyDescent="0.25">
      <c r="Z39875">
        <v>400000</v>
      </c>
    </row>
    <row r="39876" spans="26:26" x14ac:dyDescent="0.25">
      <c r="Z39876">
        <v>400000</v>
      </c>
    </row>
    <row r="39877" spans="26:26" x14ac:dyDescent="0.25">
      <c r="Z39877">
        <v>400000</v>
      </c>
    </row>
    <row r="39878" spans="26:26" x14ac:dyDescent="0.25">
      <c r="Z39878">
        <v>400000</v>
      </c>
    </row>
    <row r="39879" spans="26:26" x14ac:dyDescent="0.25">
      <c r="Z39879">
        <v>400000</v>
      </c>
    </row>
    <row r="39880" spans="26:26" x14ac:dyDescent="0.25">
      <c r="Z39880">
        <v>400000</v>
      </c>
    </row>
    <row r="39881" spans="26:26" x14ac:dyDescent="0.25">
      <c r="Z39881">
        <v>400000</v>
      </c>
    </row>
    <row r="39882" spans="26:26" x14ac:dyDescent="0.25">
      <c r="Z39882">
        <v>400000</v>
      </c>
    </row>
    <row r="39883" spans="26:26" x14ac:dyDescent="0.25">
      <c r="Z39883">
        <v>400000</v>
      </c>
    </row>
    <row r="39884" spans="26:26" x14ac:dyDescent="0.25">
      <c r="Z39884">
        <v>400000</v>
      </c>
    </row>
    <row r="39885" spans="26:26" x14ac:dyDescent="0.25">
      <c r="Z39885">
        <v>400000</v>
      </c>
    </row>
    <row r="39886" spans="26:26" x14ac:dyDescent="0.25">
      <c r="Z39886">
        <v>400000</v>
      </c>
    </row>
    <row r="39887" spans="26:26" x14ac:dyDescent="0.25">
      <c r="Z39887">
        <v>400000</v>
      </c>
    </row>
    <row r="39888" spans="26:26" x14ac:dyDescent="0.25">
      <c r="Z39888">
        <v>400000</v>
      </c>
    </row>
    <row r="39889" spans="26:26" x14ac:dyDescent="0.25">
      <c r="Z39889">
        <v>400000</v>
      </c>
    </row>
    <row r="39890" spans="26:26" x14ac:dyDescent="0.25">
      <c r="Z39890">
        <v>400000</v>
      </c>
    </row>
    <row r="39891" spans="26:26" x14ac:dyDescent="0.25">
      <c r="Z39891">
        <v>400000</v>
      </c>
    </row>
    <row r="39892" spans="26:26" x14ac:dyDescent="0.25">
      <c r="Z39892">
        <v>400000</v>
      </c>
    </row>
    <row r="39893" spans="26:26" x14ac:dyDescent="0.25">
      <c r="Z39893">
        <v>400000</v>
      </c>
    </row>
    <row r="39894" spans="26:26" x14ac:dyDescent="0.25">
      <c r="Z39894">
        <v>400000</v>
      </c>
    </row>
    <row r="39895" spans="26:26" x14ac:dyDescent="0.25">
      <c r="Z39895">
        <v>400000</v>
      </c>
    </row>
    <row r="39896" spans="26:26" x14ac:dyDescent="0.25">
      <c r="Z39896">
        <v>400000</v>
      </c>
    </row>
    <row r="39897" spans="26:26" x14ac:dyDescent="0.25">
      <c r="Z39897">
        <v>400000</v>
      </c>
    </row>
    <row r="39898" spans="26:26" x14ac:dyDescent="0.25">
      <c r="Z39898">
        <v>400000</v>
      </c>
    </row>
    <row r="39899" spans="26:26" x14ac:dyDescent="0.25">
      <c r="Z39899">
        <v>400000</v>
      </c>
    </row>
    <row r="39900" spans="26:26" x14ac:dyDescent="0.25">
      <c r="Z39900">
        <v>400000</v>
      </c>
    </row>
    <row r="39901" spans="26:26" x14ac:dyDescent="0.25">
      <c r="Z39901">
        <v>400000</v>
      </c>
    </row>
    <row r="39902" spans="26:26" x14ac:dyDescent="0.25">
      <c r="Z39902">
        <v>400000</v>
      </c>
    </row>
    <row r="39903" spans="26:26" x14ac:dyDescent="0.25">
      <c r="Z39903">
        <v>400000</v>
      </c>
    </row>
    <row r="39904" spans="26:26" x14ac:dyDescent="0.25">
      <c r="Z39904">
        <v>400000</v>
      </c>
    </row>
    <row r="39905" spans="26:26" x14ac:dyDescent="0.25">
      <c r="Z39905">
        <v>400000</v>
      </c>
    </row>
    <row r="39906" spans="26:26" x14ac:dyDescent="0.25">
      <c r="Z39906">
        <v>400000</v>
      </c>
    </row>
    <row r="39907" spans="26:26" x14ac:dyDescent="0.25">
      <c r="Z39907">
        <v>400000</v>
      </c>
    </row>
    <row r="39908" spans="26:26" x14ac:dyDescent="0.25">
      <c r="Z39908">
        <v>400000</v>
      </c>
    </row>
    <row r="39909" spans="26:26" x14ac:dyDescent="0.25">
      <c r="Z39909">
        <v>400000</v>
      </c>
    </row>
    <row r="39910" spans="26:26" x14ac:dyDescent="0.25">
      <c r="Z39910">
        <v>400000</v>
      </c>
    </row>
    <row r="39911" spans="26:26" x14ac:dyDescent="0.25">
      <c r="Z39911">
        <v>400000</v>
      </c>
    </row>
    <row r="39912" spans="26:26" x14ac:dyDescent="0.25">
      <c r="Z39912">
        <v>400000</v>
      </c>
    </row>
    <row r="39913" spans="26:26" x14ac:dyDescent="0.25">
      <c r="Z39913">
        <v>400000</v>
      </c>
    </row>
    <row r="39914" spans="26:26" x14ac:dyDescent="0.25">
      <c r="Z39914">
        <v>400000</v>
      </c>
    </row>
    <row r="39915" spans="26:26" x14ac:dyDescent="0.25">
      <c r="Z39915">
        <v>400000</v>
      </c>
    </row>
    <row r="39916" spans="26:26" x14ac:dyDescent="0.25">
      <c r="Z39916">
        <v>400000</v>
      </c>
    </row>
    <row r="39917" spans="26:26" x14ac:dyDescent="0.25">
      <c r="Z39917">
        <v>400000</v>
      </c>
    </row>
    <row r="39918" spans="26:26" x14ac:dyDescent="0.25">
      <c r="Z39918">
        <v>400000</v>
      </c>
    </row>
    <row r="39919" spans="26:26" x14ac:dyDescent="0.25">
      <c r="Z39919">
        <v>400000</v>
      </c>
    </row>
    <row r="39920" spans="26:26" x14ac:dyDescent="0.25">
      <c r="Z39920">
        <v>400000</v>
      </c>
    </row>
    <row r="39921" spans="26:26" x14ac:dyDescent="0.25">
      <c r="Z39921">
        <v>400000</v>
      </c>
    </row>
    <row r="39922" spans="26:26" x14ac:dyDescent="0.25">
      <c r="Z39922">
        <v>400000</v>
      </c>
    </row>
    <row r="39923" spans="26:26" x14ac:dyDescent="0.25">
      <c r="Z39923">
        <v>400000</v>
      </c>
    </row>
    <row r="39924" spans="26:26" x14ac:dyDescent="0.25">
      <c r="Z39924">
        <v>400000</v>
      </c>
    </row>
    <row r="39925" spans="26:26" x14ac:dyDescent="0.25">
      <c r="Z39925">
        <v>400000</v>
      </c>
    </row>
    <row r="39926" spans="26:26" x14ac:dyDescent="0.25">
      <c r="Z39926">
        <v>400000</v>
      </c>
    </row>
    <row r="39927" spans="26:26" x14ac:dyDescent="0.25">
      <c r="Z39927">
        <v>400000</v>
      </c>
    </row>
    <row r="39928" spans="26:26" x14ac:dyDescent="0.25">
      <c r="Z39928">
        <v>400000</v>
      </c>
    </row>
    <row r="39929" spans="26:26" x14ac:dyDescent="0.25">
      <c r="Z39929">
        <v>400000</v>
      </c>
    </row>
    <row r="39930" spans="26:26" x14ac:dyDescent="0.25">
      <c r="Z39930">
        <v>400000</v>
      </c>
    </row>
    <row r="39931" spans="26:26" x14ac:dyDescent="0.25">
      <c r="Z39931">
        <v>400000</v>
      </c>
    </row>
    <row r="39932" spans="26:26" x14ac:dyDescent="0.25">
      <c r="Z39932">
        <v>400000</v>
      </c>
    </row>
    <row r="39933" spans="26:26" x14ac:dyDescent="0.25">
      <c r="Z39933">
        <v>400000</v>
      </c>
    </row>
    <row r="39934" spans="26:26" x14ac:dyDescent="0.25">
      <c r="Z39934">
        <v>400000</v>
      </c>
    </row>
    <row r="39935" spans="26:26" x14ac:dyDescent="0.25">
      <c r="Z39935">
        <v>400000</v>
      </c>
    </row>
    <row r="39936" spans="26:26" x14ac:dyDescent="0.25">
      <c r="Z39936">
        <v>400000</v>
      </c>
    </row>
    <row r="39937" spans="26:26" x14ac:dyDescent="0.25">
      <c r="Z39937">
        <v>400000</v>
      </c>
    </row>
    <row r="39938" spans="26:26" x14ac:dyDescent="0.25">
      <c r="Z39938">
        <v>400000</v>
      </c>
    </row>
    <row r="39939" spans="26:26" x14ac:dyDescent="0.25">
      <c r="Z39939">
        <v>400000</v>
      </c>
    </row>
    <row r="39940" spans="26:26" x14ac:dyDescent="0.25">
      <c r="Z39940">
        <v>400000</v>
      </c>
    </row>
    <row r="39941" spans="26:26" x14ac:dyDescent="0.25">
      <c r="Z39941">
        <v>400000</v>
      </c>
    </row>
    <row r="39942" spans="26:26" x14ac:dyDescent="0.25">
      <c r="Z39942">
        <v>400000</v>
      </c>
    </row>
    <row r="39943" spans="26:26" x14ac:dyDescent="0.25">
      <c r="Z39943">
        <v>400000</v>
      </c>
    </row>
    <row r="39944" spans="26:26" x14ac:dyDescent="0.25">
      <c r="Z39944">
        <v>400000</v>
      </c>
    </row>
    <row r="39945" spans="26:26" x14ac:dyDescent="0.25">
      <c r="Z39945">
        <v>400000</v>
      </c>
    </row>
    <row r="39946" spans="26:26" x14ac:dyDescent="0.25">
      <c r="Z39946">
        <v>400000</v>
      </c>
    </row>
    <row r="39947" spans="26:26" x14ac:dyDescent="0.25">
      <c r="Z39947">
        <v>400000</v>
      </c>
    </row>
    <row r="39948" spans="26:26" x14ac:dyDescent="0.25">
      <c r="Z39948">
        <v>400000</v>
      </c>
    </row>
    <row r="39949" spans="26:26" x14ac:dyDescent="0.25">
      <c r="Z39949">
        <v>400000</v>
      </c>
    </row>
    <row r="39950" spans="26:26" x14ac:dyDescent="0.25">
      <c r="Z39950">
        <v>400000</v>
      </c>
    </row>
    <row r="39951" spans="26:26" x14ac:dyDescent="0.25">
      <c r="Z39951">
        <v>400000</v>
      </c>
    </row>
    <row r="39952" spans="26:26" x14ac:dyDescent="0.25">
      <c r="Z39952">
        <v>400000</v>
      </c>
    </row>
    <row r="39953" spans="26:26" x14ac:dyDescent="0.25">
      <c r="Z39953">
        <v>400000</v>
      </c>
    </row>
    <row r="39954" spans="26:26" x14ac:dyDescent="0.25">
      <c r="Z39954">
        <v>400000</v>
      </c>
    </row>
    <row r="39955" spans="26:26" x14ac:dyDescent="0.25">
      <c r="Z39955">
        <v>400000</v>
      </c>
    </row>
    <row r="39956" spans="26:26" x14ac:dyDescent="0.25">
      <c r="Z39956">
        <v>400000</v>
      </c>
    </row>
    <row r="39957" spans="26:26" x14ac:dyDescent="0.25">
      <c r="Z39957">
        <v>400000</v>
      </c>
    </row>
    <row r="39958" spans="26:26" x14ac:dyDescent="0.25">
      <c r="Z39958">
        <v>400000</v>
      </c>
    </row>
    <row r="39959" spans="26:26" x14ac:dyDescent="0.25">
      <c r="Z39959">
        <v>400000</v>
      </c>
    </row>
    <row r="39960" spans="26:26" x14ac:dyDescent="0.25">
      <c r="Z39960">
        <v>400000</v>
      </c>
    </row>
    <row r="39961" spans="26:26" x14ac:dyDescent="0.25">
      <c r="Z39961">
        <v>400000</v>
      </c>
    </row>
    <row r="39962" spans="26:26" x14ac:dyDescent="0.25">
      <c r="Z39962">
        <v>400000</v>
      </c>
    </row>
    <row r="39963" spans="26:26" x14ac:dyDescent="0.25">
      <c r="Z39963">
        <v>400000</v>
      </c>
    </row>
    <row r="39964" spans="26:26" x14ac:dyDescent="0.25">
      <c r="Z39964">
        <v>400000</v>
      </c>
    </row>
    <row r="39965" spans="26:26" x14ac:dyDescent="0.25">
      <c r="Z39965">
        <v>400000</v>
      </c>
    </row>
    <row r="39966" spans="26:26" x14ac:dyDescent="0.25">
      <c r="Z39966">
        <v>400000</v>
      </c>
    </row>
    <row r="39967" spans="26:26" x14ac:dyDescent="0.25">
      <c r="Z39967">
        <v>400000</v>
      </c>
    </row>
    <row r="39968" spans="26:26" x14ac:dyDescent="0.25">
      <c r="Z39968">
        <v>400000</v>
      </c>
    </row>
    <row r="39969" spans="26:26" x14ac:dyDescent="0.25">
      <c r="Z39969">
        <v>400000</v>
      </c>
    </row>
    <row r="39970" spans="26:26" x14ac:dyDescent="0.25">
      <c r="Z39970">
        <v>400000</v>
      </c>
    </row>
    <row r="39971" spans="26:26" x14ac:dyDescent="0.25">
      <c r="Z39971">
        <v>400000</v>
      </c>
    </row>
    <row r="39972" spans="26:26" x14ac:dyDescent="0.25">
      <c r="Z39972">
        <v>400000</v>
      </c>
    </row>
    <row r="39973" spans="26:26" x14ac:dyDescent="0.25">
      <c r="Z39973">
        <v>400000</v>
      </c>
    </row>
    <row r="39974" spans="26:26" x14ac:dyDescent="0.25">
      <c r="Z39974">
        <v>400000</v>
      </c>
    </row>
    <row r="39975" spans="26:26" x14ac:dyDescent="0.25">
      <c r="Z39975">
        <v>400000</v>
      </c>
    </row>
    <row r="39976" spans="26:26" x14ac:dyDescent="0.25">
      <c r="Z39976">
        <v>400000</v>
      </c>
    </row>
    <row r="39977" spans="26:26" x14ac:dyDescent="0.25">
      <c r="Z39977">
        <v>400000</v>
      </c>
    </row>
    <row r="39978" spans="26:26" x14ac:dyDescent="0.25">
      <c r="Z39978">
        <v>400000</v>
      </c>
    </row>
    <row r="39979" spans="26:26" x14ac:dyDescent="0.25">
      <c r="Z39979">
        <v>400000</v>
      </c>
    </row>
    <row r="39980" spans="26:26" x14ac:dyDescent="0.25">
      <c r="Z39980">
        <v>400000</v>
      </c>
    </row>
    <row r="39981" spans="26:26" x14ac:dyDescent="0.25">
      <c r="Z39981">
        <v>400000</v>
      </c>
    </row>
    <row r="39982" spans="26:26" x14ac:dyDescent="0.25">
      <c r="Z39982">
        <v>400000</v>
      </c>
    </row>
    <row r="39983" spans="26:26" x14ac:dyDescent="0.25">
      <c r="Z39983">
        <v>400000</v>
      </c>
    </row>
    <row r="39984" spans="26:26" x14ac:dyDescent="0.25">
      <c r="Z39984">
        <v>400000</v>
      </c>
    </row>
    <row r="39985" spans="26:26" x14ac:dyDescent="0.25">
      <c r="Z39985">
        <v>400000</v>
      </c>
    </row>
    <row r="39986" spans="26:26" x14ac:dyDescent="0.25">
      <c r="Z39986">
        <v>400000</v>
      </c>
    </row>
    <row r="39987" spans="26:26" x14ac:dyDescent="0.25">
      <c r="Z39987">
        <v>400000</v>
      </c>
    </row>
    <row r="39988" spans="26:26" x14ac:dyDescent="0.25">
      <c r="Z39988">
        <v>400000</v>
      </c>
    </row>
    <row r="39989" spans="26:26" x14ac:dyDescent="0.25">
      <c r="Z39989">
        <v>400000</v>
      </c>
    </row>
    <row r="39990" spans="26:26" x14ac:dyDescent="0.25">
      <c r="Z39990">
        <v>400000</v>
      </c>
    </row>
    <row r="39991" spans="26:26" x14ac:dyDescent="0.25">
      <c r="Z39991">
        <v>400000</v>
      </c>
    </row>
    <row r="39992" spans="26:26" x14ac:dyDescent="0.25">
      <c r="Z39992">
        <v>400000</v>
      </c>
    </row>
    <row r="39993" spans="26:26" x14ac:dyDescent="0.25">
      <c r="Z39993">
        <v>400000</v>
      </c>
    </row>
    <row r="39994" spans="26:26" x14ac:dyDescent="0.25">
      <c r="Z39994">
        <v>400000</v>
      </c>
    </row>
    <row r="39995" spans="26:26" x14ac:dyDescent="0.25">
      <c r="Z39995">
        <v>400000</v>
      </c>
    </row>
    <row r="39996" spans="26:26" x14ac:dyDescent="0.25">
      <c r="Z39996">
        <v>400000</v>
      </c>
    </row>
    <row r="39997" spans="26:26" x14ac:dyDescent="0.25">
      <c r="Z39997">
        <v>400000</v>
      </c>
    </row>
    <row r="39998" spans="26:26" x14ac:dyDescent="0.25">
      <c r="Z39998">
        <v>400000</v>
      </c>
    </row>
    <row r="39999" spans="26:26" x14ac:dyDescent="0.25">
      <c r="Z39999">
        <v>400000</v>
      </c>
    </row>
    <row r="40000" spans="26:26" x14ac:dyDescent="0.25">
      <c r="Z40000">
        <v>400000</v>
      </c>
    </row>
    <row r="40001" spans="26:26" x14ac:dyDescent="0.25">
      <c r="Z40001">
        <v>400000</v>
      </c>
    </row>
    <row r="40002" spans="26:26" x14ac:dyDescent="0.25">
      <c r="Z40002">
        <v>400000</v>
      </c>
    </row>
    <row r="40003" spans="26:26" x14ac:dyDescent="0.25">
      <c r="Z40003">
        <v>400000</v>
      </c>
    </row>
    <row r="40004" spans="26:26" x14ac:dyDescent="0.25">
      <c r="Z40004">
        <v>400000</v>
      </c>
    </row>
    <row r="40005" spans="26:26" x14ac:dyDescent="0.25">
      <c r="Z40005">
        <v>400000</v>
      </c>
    </row>
    <row r="40006" spans="26:26" x14ac:dyDescent="0.25">
      <c r="Z40006">
        <v>400000</v>
      </c>
    </row>
    <row r="40007" spans="26:26" x14ac:dyDescent="0.25">
      <c r="Z40007">
        <v>400000</v>
      </c>
    </row>
    <row r="40008" spans="26:26" x14ac:dyDescent="0.25">
      <c r="Z40008">
        <v>400000</v>
      </c>
    </row>
    <row r="40009" spans="26:26" x14ac:dyDescent="0.25">
      <c r="Z40009">
        <v>400000</v>
      </c>
    </row>
    <row r="40010" spans="26:26" x14ac:dyDescent="0.25">
      <c r="Z40010">
        <v>400000</v>
      </c>
    </row>
    <row r="40011" spans="26:26" x14ac:dyDescent="0.25">
      <c r="Z40011">
        <v>400000</v>
      </c>
    </row>
    <row r="40012" spans="26:26" x14ac:dyDescent="0.25">
      <c r="Z40012">
        <v>400000</v>
      </c>
    </row>
    <row r="40013" spans="26:26" x14ac:dyDescent="0.25">
      <c r="Z40013">
        <v>400000</v>
      </c>
    </row>
    <row r="40014" spans="26:26" x14ac:dyDescent="0.25">
      <c r="Z40014">
        <v>400000</v>
      </c>
    </row>
    <row r="40015" spans="26:26" x14ac:dyDescent="0.25">
      <c r="Z40015">
        <v>400000</v>
      </c>
    </row>
    <row r="40016" spans="26:26" x14ac:dyDescent="0.25">
      <c r="Z40016">
        <v>400000</v>
      </c>
    </row>
    <row r="40017" spans="26:26" x14ac:dyDescent="0.25">
      <c r="Z40017">
        <v>400000</v>
      </c>
    </row>
    <row r="40018" spans="26:26" x14ac:dyDescent="0.25">
      <c r="Z40018">
        <v>400000</v>
      </c>
    </row>
    <row r="40019" spans="26:26" x14ac:dyDescent="0.25">
      <c r="Z40019">
        <v>400000</v>
      </c>
    </row>
    <row r="40020" spans="26:26" x14ac:dyDescent="0.25">
      <c r="Z40020">
        <v>400000</v>
      </c>
    </row>
    <row r="40021" spans="26:26" x14ac:dyDescent="0.25">
      <c r="Z40021">
        <v>400000</v>
      </c>
    </row>
    <row r="40022" spans="26:26" x14ac:dyDescent="0.25">
      <c r="Z40022">
        <v>400000</v>
      </c>
    </row>
    <row r="40023" spans="26:26" x14ac:dyDescent="0.25">
      <c r="Z40023">
        <v>400000</v>
      </c>
    </row>
    <row r="40024" spans="26:26" x14ac:dyDescent="0.25">
      <c r="Z40024">
        <v>400000</v>
      </c>
    </row>
    <row r="40025" spans="26:26" x14ac:dyDescent="0.25">
      <c r="Z40025">
        <v>400000</v>
      </c>
    </row>
    <row r="40026" spans="26:26" x14ac:dyDescent="0.25">
      <c r="Z40026">
        <v>400000</v>
      </c>
    </row>
    <row r="40027" spans="26:26" x14ac:dyDescent="0.25">
      <c r="Z40027">
        <v>400000</v>
      </c>
    </row>
    <row r="40028" spans="26:26" x14ac:dyDescent="0.25">
      <c r="Z40028">
        <v>400000</v>
      </c>
    </row>
    <row r="40029" spans="26:26" x14ac:dyDescent="0.25">
      <c r="Z40029">
        <v>400000</v>
      </c>
    </row>
    <row r="40030" spans="26:26" x14ac:dyDescent="0.25">
      <c r="Z40030">
        <v>400000</v>
      </c>
    </row>
    <row r="40031" spans="26:26" x14ac:dyDescent="0.25">
      <c r="Z40031">
        <v>400000</v>
      </c>
    </row>
    <row r="40032" spans="26:26" x14ac:dyDescent="0.25">
      <c r="Z40032">
        <v>400000</v>
      </c>
    </row>
    <row r="40033" spans="26:26" x14ac:dyDescent="0.25">
      <c r="Z40033">
        <v>400000</v>
      </c>
    </row>
    <row r="40034" spans="26:26" x14ac:dyDescent="0.25">
      <c r="Z40034">
        <v>400000</v>
      </c>
    </row>
    <row r="40035" spans="26:26" x14ac:dyDescent="0.25">
      <c r="Z40035">
        <v>400000</v>
      </c>
    </row>
    <row r="40036" spans="26:26" x14ac:dyDescent="0.25">
      <c r="Z40036">
        <v>400000</v>
      </c>
    </row>
    <row r="40037" spans="26:26" x14ac:dyDescent="0.25">
      <c r="Z40037">
        <v>400000</v>
      </c>
    </row>
    <row r="40038" spans="26:26" x14ac:dyDescent="0.25">
      <c r="Z40038">
        <v>400000</v>
      </c>
    </row>
    <row r="40039" spans="26:26" x14ac:dyDescent="0.25">
      <c r="Z40039">
        <v>400000</v>
      </c>
    </row>
    <row r="40040" spans="26:26" x14ac:dyDescent="0.25">
      <c r="Z40040">
        <v>400000</v>
      </c>
    </row>
    <row r="40041" spans="26:26" x14ac:dyDescent="0.25">
      <c r="Z40041">
        <v>400000</v>
      </c>
    </row>
    <row r="40042" spans="26:26" x14ac:dyDescent="0.25">
      <c r="Z40042">
        <v>400000</v>
      </c>
    </row>
    <row r="40043" spans="26:26" x14ac:dyDescent="0.25">
      <c r="Z40043">
        <v>400000</v>
      </c>
    </row>
    <row r="40044" spans="26:26" x14ac:dyDescent="0.25">
      <c r="Z40044">
        <v>400000</v>
      </c>
    </row>
    <row r="40045" spans="26:26" x14ac:dyDescent="0.25">
      <c r="Z40045">
        <v>400000</v>
      </c>
    </row>
    <row r="40046" spans="26:26" x14ac:dyDescent="0.25">
      <c r="Z40046">
        <v>400000</v>
      </c>
    </row>
    <row r="40047" spans="26:26" x14ac:dyDescent="0.25">
      <c r="Z40047">
        <v>400000</v>
      </c>
    </row>
    <row r="40048" spans="26:26" x14ac:dyDescent="0.25">
      <c r="Z40048">
        <v>400000</v>
      </c>
    </row>
    <row r="40049" spans="26:26" x14ac:dyDescent="0.25">
      <c r="Z40049">
        <v>400000</v>
      </c>
    </row>
    <row r="40050" spans="26:26" x14ac:dyDescent="0.25">
      <c r="Z40050">
        <v>400000</v>
      </c>
    </row>
    <row r="40051" spans="26:26" x14ac:dyDescent="0.25">
      <c r="Z40051">
        <v>400000</v>
      </c>
    </row>
    <row r="40052" spans="26:26" x14ac:dyDescent="0.25">
      <c r="Z40052">
        <v>400000</v>
      </c>
    </row>
    <row r="40053" spans="26:26" x14ac:dyDescent="0.25">
      <c r="Z40053">
        <v>400000</v>
      </c>
    </row>
    <row r="40054" spans="26:26" x14ac:dyDescent="0.25">
      <c r="Z40054">
        <v>400000</v>
      </c>
    </row>
    <row r="40055" spans="26:26" x14ac:dyDescent="0.25">
      <c r="Z40055">
        <v>400000</v>
      </c>
    </row>
    <row r="40056" spans="26:26" x14ac:dyDescent="0.25">
      <c r="Z40056">
        <v>400000</v>
      </c>
    </row>
    <row r="40057" spans="26:26" x14ac:dyDescent="0.25">
      <c r="Z40057">
        <v>400000</v>
      </c>
    </row>
    <row r="40058" spans="26:26" x14ac:dyDescent="0.25">
      <c r="Z40058">
        <v>400000</v>
      </c>
    </row>
    <row r="40059" spans="26:26" x14ac:dyDescent="0.25">
      <c r="Z40059">
        <v>400000</v>
      </c>
    </row>
    <row r="40060" spans="26:26" x14ac:dyDescent="0.25">
      <c r="Z40060">
        <v>400000</v>
      </c>
    </row>
    <row r="40061" spans="26:26" x14ac:dyDescent="0.25">
      <c r="Z40061">
        <v>400000</v>
      </c>
    </row>
    <row r="40062" spans="26:26" x14ac:dyDescent="0.25">
      <c r="Z40062">
        <v>400000</v>
      </c>
    </row>
    <row r="40063" spans="26:26" x14ac:dyDescent="0.25">
      <c r="Z40063">
        <v>400000</v>
      </c>
    </row>
    <row r="40064" spans="26:26" x14ac:dyDescent="0.25">
      <c r="Z40064">
        <v>400000</v>
      </c>
    </row>
    <row r="40065" spans="26:26" x14ac:dyDescent="0.25">
      <c r="Z40065">
        <v>400000</v>
      </c>
    </row>
    <row r="40066" spans="26:26" x14ac:dyDescent="0.25">
      <c r="Z40066">
        <v>400000</v>
      </c>
    </row>
    <row r="40067" spans="26:26" x14ac:dyDescent="0.25">
      <c r="Z40067">
        <v>400000</v>
      </c>
    </row>
    <row r="40068" spans="26:26" x14ac:dyDescent="0.25">
      <c r="Z40068">
        <v>400000</v>
      </c>
    </row>
    <row r="40069" spans="26:26" x14ac:dyDescent="0.25">
      <c r="Z40069">
        <v>400000</v>
      </c>
    </row>
    <row r="40070" spans="26:26" x14ac:dyDescent="0.25">
      <c r="Z40070">
        <v>400000</v>
      </c>
    </row>
    <row r="40071" spans="26:26" x14ac:dyDescent="0.25">
      <c r="Z40071">
        <v>400000</v>
      </c>
    </row>
    <row r="40072" spans="26:26" x14ac:dyDescent="0.25">
      <c r="Z40072">
        <v>400000</v>
      </c>
    </row>
    <row r="40073" spans="26:26" x14ac:dyDescent="0.25">
      <c r="Z40073">
        <v>400000</v>
      </c>
    </row>
    <row r="40074" spans="26:26" x14ac:dyDescent="0.25">
      <c r="Z40074">
        <v>400000</v>
      </c>
    </row>
    <row r="40075" spans="26:26" x14ac:dyDescent="0.25">
      <c r="Z40075">
        <v>400000</v>
      </c>
    </row>
    <row r="40076" spans="26:26" x14ac:dyDescent="0.25">
      <c r="Z40076">
        <v>400000</v>
      </c>
    </row>
    <row r="40077" spans="26:26" x14ac:dyDescent="0.25">
      <c r="Z40077">
        <v>400000</v>
      </c>
    </row>
    <row r="40078" spans="26:26" x14ac:dyDescent="0.25">
      <c r="Z40078">
        <v>400000</v>
      </c>
    </row>
    <row r="40079" spans="26:26" x14ac:dyDescent="0.25">
      <c r="Z40079">
        <v>400000</v>
      </c>
    </row>
    <row r="40080" spans="26:26" x14ac:dyDescent="0.25">
      <c r="Z40080">
        <v>400000</v>
      </c>
    </row>
    <row r="40081" spans="26:26" x14ac:dyDescent="0.25">
      <c r="Z40081">
        <v>400000</v>
      </c>
    </row>
    <row r="40082" spans="26:26" x14ac:dyDescent="0.25">
      <c r="Z40082">
        <v>400000</v>
      </c>
    </row>
    <row r="40083" spans="26:26" x14ac:dyDescent="0.25">
      <c r="Z40083">
        <v>400000</v>
      </c>
    </row>
    <row r="40084" spans="26:26" x14ac:dyDescent="0.25">
      <c r="Z40084">
        <v>400000</v>
      </c>
    </row>
    <row r="40085" spans="26:26" x14ac:dyDescent="0.25">
      <c r="Z40085">
        <v>400000</v>
      </c>
    </row>
    <row r="40086" spans="26:26" x14ac:dyDescent="0.25">
      <c r="Z40086">
        <v>400000</v>
      </c>
    </row>
    <row r="40087" spans="26:26" x14ac:dyDescent="0.25">
      <c r="Z40087">
        <v>400000</v>
      </c>
    </row>
    <row r="40088" spans="26:26" x14ac:dyDescent="0.25">
      <c r="Z40088">
        <v>400000</v>
      </c>
    </row>
    <row r="40089" spans="26:26" x14ac:dyDescent="0.25">
      <c r="Z40089">
        <v>400000</v>
      </c>
    </row>
    <row r="40090" spans="26:26" x14ac:dyDescent="0.25">
      <c r="Z40090">
        <v>400000</v>
      </c>
    </row>
    <row r="40091" spans="26:26" x14ac:dyDescent="0.25">
      <c r="Z40091">
        <v>400000</v>
      </c>
    </row>
    <row r="40092" spans="26:26" x14ac:dyDescent="0.25">
      <c r="Z40092">
        <v>400000</v>
      </c>
    </row>
    <row r="40093" spans="26:26" x14ac:dyDescent="0.25">
      <c r="Z40093">
        <v>400000</v>
      </c>
    </row>
    <row r="40094" spans="26:26" x14ac:dyDescent="0.25">
      <c r="Z40094">
        <v>400000</v>
      </c>
    </row>
    <row r="40095" spans="26:26" x14ac:dyDescent="0.25">
      <c r="Z40095">
        <v>400000</v>
      </c>
    </row>
    <row r="40096" spans="26:26" x14ac:dyDescent="0.25">
      <c r="Z40096">
        <v>400000</v>
      </c>
    </row>
    <row r="40097" spans="26:26" x14ac:dyDescent="0.25">
      <c r="Z40097">
        <v>400000</v>
      </c>
    </row>
    <row r="40098" spans="26:26" x14ac:dyDescent="0.25">
      <c r="Z40098">
        <v>400000</v>
      </c>
    </row>
    <row r="40099" spans="26:26" x14ac:dyDescent="0.25">
      <c r="Z40099">
        <v>400000</v>
      </c>
    </row>
    <row r="40100" spans="26:26" x14ac:dyDescent="0.25">
      <c r="Z40100">
        <v>400000</v>
      </c>
    </row>
    <row r="40101" spans="26:26" x14ac:dyDescent="0.25">
      <c r="Z40101">
        <v>400000</v>
      </c>
    </row>
    <row r="40102" spans="26:26" x14ac:dyDescent="0.25">
      <c r="Z40102">
        <v>400000</v>
      </c>
    </row>
    <row r="40103" spans="26:26" x14ac:dyDescent="0.25">
      <c r="Z40103">
        <v>400000</v>
      </c>
    </row>
    <row r="40104" spans="26:26" x14ac:dyDescent="0.25">
      <c r="Z40104">
        <v>400000</v>
      </c>
    </row>
    <row r="40105" spans="26:26" x14ac:dyDescent="0.25">
      <c r="Z40105">
        <v>400000</v>
      </c>
    </row>
    <row r="40106" spans="26:26" x14ac:dyDescent="0.25">
      <c r="Z40106">
        <v>400000</v>
      </c>
    </row>
    <row r="40107" spans="26:26" x14ac:dyDescent="0.25">
      <c r="Z40107">
        <v>400000</v>
      </c>
    </row>
    <row r="40108" spans="26:26" x14ac:dyDescent="0.25">
      <c r="Z40108">
        <v>400000</v>
      </c>
    </row>
    <row r="40109" spans="26:26" x14ac:dyDescent="0.25">
      <c r="Z40109">
        <v>400000</v>
      </c>
    </row>
    <row r="40110" spans="26:26" x14ac:dyDescent="0.25">
      <c r="Z40110">
        <v>400000</v>
      </c>
    </row>
    <row r="40111" spans="26:26" x14ac:dyDescent="0.25">
      <c r="Z40111">
        <v>400000</v>
      </c>
    </row>
    <row r="40112" spans="26:26" x14ac:dyDescent="0.25">
      <c r="Z40112">
        <v>400000</v>
      </c>
    </row>
    <row r="40113" spans="26:26" x14ac:dyDescent="0.25">
      <c r="Z40113">
        <v>400000</v>
      </c>
    </row>
    <row r="40114" spans="26:26" x14ac:dyDescent="0.25">
      <c r="Z40114">
        <v>400000</v>
      </c>
    </row>
    <row r="40115" spans="26:26" x14ac:dyDescent="0.25">
      <c r="Z40115">
        <v>400000</v>
      </c>
    </row>
    <row r="40116" spans="26:26" x14ac:dyDescent="0.25">
      <c r="Z40116">
        <v>400000</v>
      </c>
    </row>
    <row r="40117" spans="26:26" x14ac:dyDescent="0.25">
      <c r="Z40117">
        <v>400000</v>
      </c>
    </row>
    <row r="40118" spans="26:26" x14ac:dyDescent="0.25">
      <c r="Z40118">
        <v>400000</v>
      </c>
    </row>
    <row r="40119" spans="26:26" x14ac:dyDescent="0.25">
      <c r="Z40119">
        <v>400000</v>
      </c>
    </row>
    <row r="40120" spans="26:26" x14ac:dyDescent="0.25">
      <c r="Z40120">
        <v>400000</v>
      </c>
    </row>
    <row r="40121" spans="26:26" x14ac:dyDescent="0.25">
      <c r="Z40121">
        <v>400000</v>
      </c>
    </row>
    <row r="40122" spans="26:26" x14ac:dyDescent="0.25">
      <c r="Z40122">
        <v>400000</v>
      </c>
    </row>
    <row r="40123" spans="26:26" x14ac:dyDescent="0.25">
      <c r="Z40123">
        <v>400000</v>
      </c>
    </row>
    <row r="40124" spans="26:26" x14ac:dyDescent="0.25">
      <c r="Z40124">
        <v>400000</v>
      </c>
    </row>
    <row r="40125" spans="26:26" x14ac:dyDescent="0.25">
      <c r="Z40125">
        <v>400000</v>
      </c>
    </row>
    <row r="40126" spans="26:26" x14ac:dyDescent="0.25">
      <c r="Z40126">
        <v>400000</v>
      </c>
    </row>
    <row r="40127" spans="26:26" x14ac:dyDescent="0.25">
      <c r="Z40127">
        <v>400000</v>
      </c>
    </row>
    <row r="40128" spans="26:26" x14ac:dyDescent="0.25">
      <c r="Z40128">
        <v>400000</v>
      </c>
    </row>
    <row r="40129" spans="26:26" x14ac:dyDescent="0.25">
      <c r="Z40129">
        <v>400000</v>
      </c>
    </row>
    <row r="40130" spans="26:26" x14ac:dyDescent="0.25">
      <c r="Z40130">
        <v>400000</v>
      </c>
    </row>
    <row r="40131" spans="26:26" x14ac:dyDescent="0.25">
      <c r="Z40131">
        <v>400000</v>
      </c>
    </row>
    <row r="40132" spans="26:26" x14ac:dyDescent="0.25">
      <c r="Z40132">
        <v>400000</v>
      </c>
    </row>
    <row r="40133" spans="26:26" x14ac:dyDescent="0.25">
      <c r="Z40133">
        <v>400000</v>
      </c>
    </row>
    <row r="40134" spans="26:26" x14ac:dyDescent="0.25">
      <c r="Z40134">
        <v>400000</v>
      </c>
    </row>
    <row r="40135" spans="26:26" x14ac:dyDescent="0.25">
      <c r="Z40135">
        <v>400000</v>
      </c>
    </row>
    <row r="40136" spans="26:26" x14ac:dyDescent="0.25">
      <c r="Z40136">
        <v>400000</v>
      </c>
    </row>
    <row r="40137" spans="26:26" x14ac:dyDescent="0.25">
      <c r="Z40137">
        <v>400000</v>
      </c>
    </row>
    <row r="40138" spans="26:26" x14ac:dyDescent="0.25">
      <c r="Z40138">
        <v>400000</v>
      </c>
    </row>
    <row r="40139" spans="26:26" x14ac:dyDescent="0.25">
      <c r="Z40139">
        <v>400000</v>
      </c>
    </row>
    <row r="40140" spans="26:26" x14ac:dyDescent="0.25">
      <c r="Z40140">
        <v>400000</v>
      </c>
    </row>
    <row r="40141" spans="26:26" x14ac:dyDescent="0.25">
      <c r="Z40141">
        <v>400000</v>
      </c>
    </row>
    <row r="40142" spans="26:26" x14ac:dyDescent="0.25">
      <c r="Z40142">
        <v>400000</v>
      </c>
    </row>
    <row r="40143" spans="26:26" x14ac:dyDescent="0.25">
      <c r="Z40143">
        <v>400000</v>
      </c>
    </row>
    <row r="40144" spans="26:26" x14ac:dyDescent="0.25">
      <c r="Z40144">
        <v>400000</v>
      </c>
    </row>
    <row r="40145" spans="26:26" x14ac:dyDescent="0.25">
      <c r="Z40145">
        <v>400000</v>
      </c>
    </row>
    <row r="40146" spans="26:26" x14ac:dyDescent="0.25">
      <c r="Z40146">
        <v>400000</v>
      </c>
    </row>
    <row r="40147" spans="26:26" x14ac:dyDescent="0.25">
      <c r="Z40147">
        <v>400000</v>
      </c>
    </row>
    <row r="40148" spans="26:26" x14ac:dyDescent="0.25">
      <c r="Z40148">
        <v>400000</v>
      </c>
    </row>
    <row r="40149" spans="26:26" x14ac:dyDescent="0.25">
      <c r="Z40149">
        <v>400000</v>
      </c>
    </row>
    <row r="40150" spans="26:26" x14ac:dyDescent="0.25">
      <c r="Z40150">
        <v>400000</v>
      </c>
    </row>
    <row r="40151" spans="26:26" x14ac:dyDescent="0.25">
      <c r="Z40151">
        <v>400000</v>
      </c>
    </row>
    <row r="40152" spans="26:26" x14ac:dyDescent="0.25">
      <c r="Z40152">
        <v>400000</v>
      </c>
    </row>
    <row r="40153" spans="26:26" x14ac:dyDescent="0.25">
      <c r="Z40153">
        <v>400000</v>
      </c>
    </row>
    <row r="40154" spans="26:26" x14ac:dyDescent="0.25">
      <c r="Z40154">
        <v>400000</v>
      </c>
    </row>
    <row r="40155" spans="26:26" x14ac:dyDescent="0.25">
      <c r="Z40155">
        <v>400000</v>
      </c>
    </row>
    <row r="40156" spans="26:26" x14ac:dyDescent="0.25">
      <c r="Z40156">
        <v>400000</v>
      </c>
    </row>
    <row r="40157" spans="26:26" x14ac:dyDescent="0.25">
      <c r="Z40157">
        <v>400000</v>
      </c>
    </row>
    <row r="40158" spans="26:26" x14ac:dyDescent="0.25">
      <c r="Z40158">
        <v>400000</v>
      </c>
    </row>
    <row r="40159" spans="26:26" x14ac:dyDescent="0.25">
      <c r="Z40159">
        <v>400000</v>
      </c>
    </row>
    <row r="40160" spans="26:26" x14ac:dyDescent="0.25">
      <c r="Z40160">
        <v>400000</v>
      </c>
    </row>
    <row r="40161" spans="26:26" x14ac:dyDescent="0.25">
      <c r="Z40161">
        <v>400000</v>
      </c>
    </row>
    <row r="40162" spans="26:26" x14ac:dyDescent="0.25">
      <c r="Z40162">
        <v>400000</v>
      </c>
    </row>
    <row r="40163" spans="26:26" x14ac:dyDescent="0.25">
      <c r="Z40163">
        <v>400000</v>
      </c>
    </row>
    <row r="40164" spans="26:26" x14ac:dyDescent="0.25">
      <c r="Z40164">
        <v>400000</v>
      </c>
    </row>
    <row r="40165" spans="26:26" x14ac:dyDescent="0.25">
      <c r="Z40165">
        <v>400000</v>
      </c>
    </row>
    <row r="40166" spans="26:26" x14ac:dyDescent="0.25">
      <c r="Z40166">
        <v>400000</v>
      </c>
    </row>
    <row r="40167" spans="26:26" x14ac:dyDescent="0.25">
      <c r="Z40167">
        <v>400000</v>
      </c>
    </row>
    <row r="40168" spans="26:26" x14ac:dyDescent="0.25">
      <c r="Z40168">
        <v>400000</v>
      </c>
    </row>
    <row r="40169" spans="26:26" x14ac:dyDescent="0.25">
      <c r="Z40169">
        <v>400000</v>
      </c>
    </row>
    <row r="40170" spans="26:26" x14ac:dyDescent="0.25">
      <c r="Z40170">
        <v>400000</v>
      </c>
    </row>
    <row r="40171" spans="26:26" x14ac:dyDescent="0.25">
      <c r="Z40171">
        <v>400000</v>
      </c>
    </row>
    <row r="40172" spans="26:26" x14ac:dyDescent="0.25">
      <c r="Z40172">
        <v>400000</v>
      </c>
    </row>
    <row r="40173" spans="26:26" x14ac:dyDescent="0.25">
      <c r="Z40173">
        <v>400000</v>
      </c>
    </row>
    <row r="40174" spans="26:26" x14ac:dyDescent="0.25">
      <c r="Z40174">
        <v>400000</v>
      </c>
    </row>
    <row r="40175" spans="26:26" x14ac:dyDescent="0.25">
      <c r="Z40175">
        <v>400000</v>
      </c>
    </row>
    <row r="40176" spans="26:26" x14ac:dyDescent="0.25">
      <c r="Z40176">
        <v>400000</v>
      </c>
    </row>
    <row r="40177" spans="26:26" x14ac:dyDescent="0.25">
      <c r="Z40177">
        <v>400000</v>
      </c>
    </row>
    <row r="40178" spans="26:26" x14ac:dyDescent="0.25">
      <c r="Z40178">
        <v>400000</v>
      </c>
    </row>
    <row r="40179" spans="26:26" x14ac:dyDescent="0.25">
      <c r="Z40179">
        <v>400000</v>
      </c>
    </row>
    <row r="40180" spans="26:26" x14ac:dyDescent="0.25">
      <c r="Z40180">
        <v>400000</v>
      </c>
    </row>
    <row r="40181" spans="26:26" x14ac:dyDescent="0.25">
      <c r="Z40181">
        <v>400000</v>
      </c>
    </row>
    <row r="40182" spans="26:26" x14ac:dyDescent="0.25">
      <c r="Z40182">
        <v>400000</v>
      </c>
    </row>
    <row r="40183" spans="26:26" x14ac:dyDescent="0.25">
      <c r="Z40183">
        <v>400000</v>
      </c>
    </row>
    <row r="40184" spans="26:26" x14ac:dyDescent="0.25">
      <c r="Z40184">
        <v>400000</v>
      </c>
    </row>
    <row r="40185" spans="26:26" x14ac:dyDescent="0.25">
      <c r="Z40185">
        <v>400000</v>
      </c>
    </row>
    <row r="40186" spans="26:26" x14ac:dyDescent="0.25">
      <c r="Z40186">
        <v>400000</v>
      </c>
    </row>
    <row r="40187" spans="26:26" x14ac:dyDescent="0.25">
      <c r="Z40187">
        <v>400000</v>
      </c>
    </row>
    <row r="40188" spans="26:26" x14ac:dyDescent="0.25">
      <c r="Z40188">
        <v>400000</v>
      </c>
    </row>
    <row r="40189" spans="26:26" x14ac:dyDescent="0.25">
      <c r="Z40189">
        <v>400000</v>
      </c>
    </row>
    <row r="40190" spans="26:26" x14ac:dyDescent="0.25">
      <c r="Z40190">
        <v>400000</v>
      </c>
    </row>
    <row r="40191" spans="26:26" x14ac:dyDescent="0.25">
      <c r="Z40191">
        <v>400000</v>
      </c>
    </row>
    <row r="40192" spans="26:26" x14ac:dyDescent="0.25">
      <c r="Z40192">
        <v>400000</v>
      </c>
    </row>
    <row r="40193" spans="26:26" x14ac:dyDescent="0.25">
      <c r="Z40193">
        <v>400000</v>
      </c>
    </row>
    <row r="40194" spans="26:26" x14ac:dyDescent="0.25">
      <c r="Z40194">
        <v>400000</v>
      </c>
    </row>
    <row r="40195" spans="26:26" x14ac:dyDescent="0.25">
      <c r="Z40195">
        <v>400000</v>
      </c>
    </row>
    <row r="40196" spans="26:26" x14ac:dyDescent="0.25">
      <c r="Z40196">
        <v>400000</v>
      </c>
    </row>
    <row r="40197" spans="26:26" x14ac:dyDescent="0.25">
      <c r="Z40197">
        <v>400000</v>
      </c>
    </row>
    <row r="40198" spans="26:26" x14ac:dyDescent="0.25">
      <c r="Z40198">
        <v>400000</v>
      </c>
    </row>
    <row r="40199" spans="26:26" x14ac:dyDescent="0.25">
      <c r="Z40199">
        <v>400000</v>
      </c>
    </row>
    <row r="40200" spans="26:26" x14ac:dyDescent="0.25">
      <c r="Z40200">
        <v>400000</v>
      </c>
    </row>
    <row r="40201" spans="26:26" x14ac:dyDescent="0.25">
      <c r="Z40201">
        <v>400000</v>
      </c>
    </row>
    <row r="40202" spans="26:26" x14ac:dyDescent="0.25">
      <c r="Z40202">
        <v>400000</v>
      </c>
    </row>
    <row r="40203" spans="26:26" x14ac:dyDescent="0.25">
      <c r="Z40203">
        <v>400000</v>
      </c>
    </row>
    <row r="40204" spans="26:26" x14ac:dyDescent="0.25">
      <c r="Z40204">
        <v>400000</v>
      </c>
    </row>
    <row r="40205" spans="26:26" x14ac:dyDescent="0.25">
      <c r="Z40205">
        <v>400000</v>
      </c>
    </row>
    <row r="40206" spans="26:26" x14ac:dyDescent="0.25">
      <c r="Z40206">
        <v>400000</v>
      </c>
    </row>
    <row r="40207" spans="26:26" x14ac:dyDescent="0.25">
      <c r="Z40207">
        <v>400000</v>
      </c>
    </row>
    <row r="40208" spans="26:26" x14ac:dyDescent="0.25">
      <c r="Z40208">
        <v>400000</v>
      </c>
    </row>
    <row r="40209" spans="26:26" x14ac:dyDescent="0.25">
      <c r="Z40209">
        <v>400000</v>
      </c>
    </row>
    <row r="40210" spans="26:26" x14ac:dyDescent="0.25">
      <c r="Z40210">
        <v>400000</v>
      </c>
    </row>
    <row r="40211" spans="26:26" x14ac:dyDescent="0.25">
      <c r="Z40211">
        <v>400000</v>
      </c>
    </row>
    <row r="40212" spans="26:26" x14ac:dyDescent="0.25">
      <c r="Z40212">
        <v>400000</v>
      </c>
    </row>
    <row r="40213" spans="26:26" x14ac:dyDescent="0.25">
      <c r="Z40213">
        <v>400000</v>
      </c>
    </row>
    <row r="40214" spans="26:26" x14ac:dyDescent="0.25">
      <c r="Z40214">
        <v>400000</v>
      </c>
    </row>
    <row r="40215" spans="26:26" x14ac:dyDescent="0.25">
      <c r="Z40215">
        <v>400000</v>
      </c>
    </row>
    <row r="40216" spans="26:26" x14ac:dyDescent="0.25">
      <c r="Z40216">
        <v>400000</v>
      </c>
    </row>
    <row r="40217" spans="26:26" x14ac:dyDescent="0.25">
      <c r="Z40217">
        <v>400000</v>
      </c>
    </row>
    <row r="40218" spans="26:26" x14ac:dyDescent="0.25">
      <c r="Z40218">
        <v>400000</v>
      </c>
    </row>
    <row r="40219" spans="26:26" x14ac:dyDescent="0.25">
      <c r="Z40219">
        <v>400000</v>
      </c>
    </row>
    <row r="40220" spans="26:26" x14ac:dyDescent="0.25">
      <c r="Z40220">
        <v>400000</v>
      </c>
    </row>
    <row r="40221" spans="26:26" x14ac:dyDescent="0.25">
      <c r="Z40221">
        <v>400000</v>
      </c>
    </row>
    <row r="40222" spans="26:26" x14ac:dyDescent="0.25">
      <c r="Z40222">
        <v>400000</v>
      </c>
    </row>
    <row r="40223" spans="26:26" x14ac:dyDescent="0.25">
      <c r="Z40223">
        <v>400000</v>
      </c>
    </row>
    <row r="40224" spans="26:26" x14ac:dyDescent="0.25">
      <c r="Z40224">
        <v>400000</v>
      </c>
    </row>
    <row r="40225" spans="26:26" x14ac:dyDescent="0.25">
      <c r="Z40225">
        <v>400000</v>
      </c>
    </row>
    <row r="40226" spans="26:26" x14ac:dyDescent="0.25">
      <c r="Z40226">
        <v>400000</v>
      </c>
    </row>
    <row r="40227" spans="26:26" x14ac:dyDescent="0.25">
      <c r="Z40227">
        <v>400000</v>
      </c>
    </row>
    <row r="40228" spans="26:26" x14ac:dyDescent="0.25">
      <c r="Z40228">
        <v>400000</v>
      </c>
    </row>
    <row r="40229" spans="26:26" x14ac:dyDescent="0.25">
      <c r="Z40229">
        <v>400000</v>
      </c>
    </row>
    <row r="40230" spans="26:26" x14ac:dyDescent="0.25">
      <c r="Z40230">
        <v>400000</v>
      </c>
    </row>
    <row r="40231" spans="26:26" x14ac:dyDescent="0.25">
      <c r="Z40231">
        <v>400000</v>
      </c>
    </row>
    <row r="40232" spans="26:26" x14ac:dyDescent="0.25">
      <c r="Z40232">
        <v>400000</v>
      </c>
    </row>
    <row r="40233" spans="26:26" x14ac:dyDescent="0.25">
      <c r="Z40233">
        <v>400000</v>
      </c>
    </row>
    <row r="40234" spans="26:26" x14ac:dyDescent="0.25">
      <c r="Z40234">
        <v>400000</v>
      </c>
    </row>
    <row r="40235" spans="26:26" x14ac:dyDescent="0.25">
      <c r="Z40235">
        <v>400000</v>
      </c>
    </row>
    <row r="40236" spans="26:26" x14ac:dyDescent="0.25">
      <c r="Z40236">
        <v>400000</v>
      </c>
    </row>
    <row r="40237" spans="26:26" x14ac:dyDescent="0.25">
      <c r="Z40237">
        <v>400000</v>
      </c>
    </row>
    <row r="40238" spans="26:26" x14ac:dyDescent="0.25">
      <c r="Z40238">
        <v>400000</v>
      </c>
    </row>
    <row r="40239" spans="26:26" x14ac:dyDescent="0.25">
      <c r="Z40239">
        <v>400000</v>
      </c>
    </row>
    <row r="40240" spans="26:26" x14ac:dyDescent="0.25">
      <c r="Z40240">
        <v>400000</v>
      </c>
    </row>
    <row r="40241" spans="26:26" x14ac:dyDescent="0.25">
      <c r="Z40241">
        <v>400000</v>
      </c>
    </row>
    <row r="40242" spans="26:26" x14ac:dyDescent="0.25">
      <c r="Z40242">
        <v>400000</v>
      </c>
    </row>
    <row r="40243" spans="26:26" x14ac:dyDescent="0.25">
      <c r="Z40243">
        <v>400000</v>
      </c>
    </row>
    <row r="40244" spans="26:26" x14ac:dyDescent="0.25">
      <c r="Z40244">
        <v>400000</v>
      </c>
    </row>
    <row r="40245" spans="26:26" x14ac:dyDescent="0.25">
      <c r="Z40245">
        <v>400000</v>
      </c>
    </row>
    <row r="40246" spans="26:26" x14ac:dyDescent="0.25">
      <c r="Z40246">
        <v>400000</v>
      </c>
    </row>
    <row r="40247" spans="26:26" x14ac:dyDescent="0.25">
      <c r="Z40247">
        <v>400000</v>
      </c>
    </row>
    <row r="40248" spans="26:26" x14ac:dyDescent="0.25">
      <c r="Z40248">
        <v>400000</v>
      </c>
    </row>
    <row r="40249" spans="26:26" x14ac:dyDescent="0.25">
      <c r="Z40249">
        <v>400000</v>
      </c>
    </row>
    <row r="40250" spans="26:26" x14ac:dyDescent="0.25">
      <c r="Z40250">
        <v>400000</v>
      </c>
    </row>
    <row r="40251" spans="26:26" x14ac:dyDescent="0.25">
      <c r="Z40251">
        <v>400000</v>
      </c>
    </row>
    <row r="40252" spans="26:26" x14ac:dyDescent="0.25">
      <c r="Z40252">
        <v>400000</v>
      </c>
    </row>
    <row r="40253" spans="26:26" x14ac:dyDescent="0.25">
      <c r="Z40253">
        <v>400000</v>
      </c>
    </row>
    <row r="40254" spans="26:26" x14ac:dyDescent="0.25">
      <c r="Z40254">
        <v>400000</v>
      </c>
    </row>
    <row r="40255" spans="26:26" x14ac:dyDescent="0.25">
      <c r="Z40255">
        <v>400000</v>
      </c>
    </row>
    <row r="40256" spans="26:26" x14ac:dyDescent="0.25">
      <c r="Z40256">
        <v>400000</v>
      </c>
    </row>
    <row r="40257" spans="26:26" x14ac:dyDescent="0.25">
      <c r="Z40257">
        <v>400000</v>
      </c>
    </row>
    <row r="40258" spans="26:26" x14ac:dyDescent="0.25">
      <c r="Z40258">
        <v>400000</v>
      </c>
    </row>
    <row r="40259" spans="26:26" x14ac:dyDescent="0.25">
      <c r="Z40259">
        <v>400000</v>
      </c>
    </row>
    <row r="40260" spans="26:26" x14ac:dyDescent="0.25">
      <c r="Z40260">
        <v>400000</v>
      </c>
    </row>
    <row r="40261" spans="26:26" x14ac:dyDescent="0.25">
      <c r="Z40261">
        <v>400000</v>
      </c>
    </row>
    <row r="40262" spans="26:26" x14ac:dyDescent="0.25">
      <c r="Z40262">
        <v>400000</v>
      </c>
    </row>
    <row r="40263" spans="26:26" x14ac:dyDescent="0.25">
      <c r="Z40263">
        <v>400000</v>
      </c>
    </row>
    <row r="40264" spans="26:26" x14ac:dyDescent="0.25">
      <c r="Z40264">
        <v>400000</v>
      </c>
    </row>
    <row r="40265" spans="26:26" x14ac:dyDescent="0.25">
      <c r="Z40265">
        <v>400000</v>
      </c>
    </row>
    <row r="40266" spans="26:26" x14ac:dyDescent="0.25">
      <c r="Z40266">
        <v>400000</v>
      </c>
    </row>
    <row r="40267" spans="26:26" x14ac:dyDescent="0.25">
      <c r="Z40267">
        <v>400000</v>
      </c>
    </row>
    <row r="40268" spans="26:26" x14ac:dyDescent="0.25">
      <c r="Z40268">
        <v>400000</v>
      </c>
    </row>
    <row r="40269" spans="26:26" x14ac:dyDescent="0.25">
      <c r="Z40269">
        <v>400000</v>
      </c>
    </row>
    <row r="40270" spans="26:26" x14ac:dyDescent="0.25">
      <c r="Z40270">
        <v>400000</v>
      </c>
    </row>
    <row r="40271" spans="26:26" x14ac:dyDescent="0.25">
      <c r="Z40271">
        <v>400000</v>
      </c>
    </row>
    <row r="40272" spans="26:26" x14ac:dyDescent="0.25">
      <c r="Z40272">
        <v>400000</v>
      </c>
    </row>
    <row r="40273" spans="26:26" x14ac:dyDescent="0.25">
      <c r="Z40273">
        <v>400000</v>
      </c>
    </row>
    <row r="40274" spans="26:26" x14ac:dyDescent="0.25">
      <c r="Z40274">
        <v>400000</v>
      </c>
    </row>
    <row r="40275" spans="26:26" x14ac:dyDescent="0.25">
      <c r="Z40275">
        <v>400000</v>
      </c>
    </row>
    <row r="40276" spans="26:26" x14ac:dyDescent="0.25">
      <c r="Z40276">
        <v>400000</v>
      </c>
    </row>
    <row r="40277" spans="26:26" x14ac:dyDescent="0.25">
      <c r="Z40277">
        <v>400000</v>
      </c>
    </row>
    <row r="40278" spans="26:26" x14ac:dyDescent="0.25">
      <c r="Z40278">
        <v>400000</v>
      </c>
    </row>
    <row r="40279" spans="26:26" x14ac:dyDescent="0.25">
      <c r="Z40279">
        <v>400000</v>
      </c>
    </row>
    <row r="40280" spans="26:26" x14ac:dyDescent="0.25">
      <c r="Z40280">
        <v>400000</v>
      </c>
    </row>
    <row r="40281" spans="26:26" x14ac:dyDescent="0.25">
      <c r="Z40281">
        <v>400000</v>
      </c>
    </row>
    <row r="40282" spans="26:26" x14ac:dyDescent="0.25">
      <c r="Z40282">
        <v>400000</v>
      </c>
    </row>
    <row r="40283" spans="26:26" x14ac:dyDescent="0.25">
      <c r="Z40283">
        <v>400000</v>
      </c>
    </row>
    <row r="40284" spans="26:26" x14ac:dyDescent="0.25">
      <c r="Z40284">
        <v>400000</v>
      </c>
    </row>
    <row r="40285" spans="26:26" x14ac:dyDescent="0.25">
      <c r="Z40285">
        <v>400000</v>
      </c>
    </row>
    <row r="40286" spans="26:26" x14ac:dyDescent="0.25">
      <c r="Z40286">
        <v>400000</v>
      </c>
    </row>
    <row r="40287" spans="26:26" x14ac:dyDescent="0.25">
      <c r="Z40287">
        <v>400000</v>
      </c>
    </row>
    <row r="40288" spans="26:26" x14ac:dyDescent="0.25">
      <c r="Z40288">
        <v>400000</v>
      </c>
    </row>
    <row r="40289" spans="26:26" x14ac:dyDescent="0.25">
      <c r="Z40289">
        <v>400000</v>
      </c>
    </row>
    <row r="40290" spans="26:26" x14ac:dyDescent="0.25">
      <c r="Z40290">
        <v>400000</v>
      </c>
    </row>
    <row r="40291" spans="26:26" x14ac:dyDescent="0.25">
      <c r="Z40291">
        <v>400000</v>
      </c>
    </row>
    <row r="40292" spans="26:26" x14ac:dyDescent="0.25">
      <c r="Z40292">
        <v>400000</v>
      </c>
    </row>
    <row r="40293" spans="26:26" x14ac:dyDescent="0.25">
      <c r="Z40293">
        <v>400000</v>
      </c>
    </row>
    <row r="40294" spans="26:26" x14ac:dyDescent="0.25">
      <c r="Z40294">
        <v>400000</v>
      </c>
    </row>
    <row r="40295" spans="26:26" x14ac:dyDescent="0.25">
      <c r="Z40295">
        <v>400000</v>
      </c>
    </row>
    <row r="40296" spans="26:26" x14ac:dyDescent="0.25">
      <c r="Z40296">
        <v>400000</v>
      </c>
    </row>
    <row r="40297" spans="26:26" x14ac:dyDescent="0.25">
      <c r="Z40297">
        <v>400000</v>
      </c>
    </row>
    <row r="40298" spans="26:26" x14ac:dyDescent="0.25">
      <c r="Z40298">
        <v>400000</v>
      </c>
    </row>
    <row r="40299" spans="26:26" x14ac:dyDescent="0.25">
      <c r="Z40299">
        <v>400000</v>
      </c>
    </row>
    <row r="40300" spans="26:26" x14ac:dyDescent="0.25">
      <c r="Z40300">
        <v>400000</v>
      </c>
    </row>
    <row r="40301" spans="26:26" x14ac:dyDescent="0.25">
      <c r="Z40301">
        <v>400000</v>
      </c>
    </row>
    <row r="40302" spans="26:26" x14ac:dyDescent="0.25">
      <c r="Z40302">
        <v>400000</v>
      </c>
    </row>
    <row r="40303" spans="26:26" x14ac:dyDescent="0.25">
      <c r="Z40303">
        <v>400000</v>
      </c>
    </row>
    <row r="40304" spans="26:26" x14ac:dyDescent="0.25">
      <c r="Z40304">
        <v>400000</v>
      </c>
    </row>
    <row r="40305" spans="26:26" x14ac:dyDescent="0.25">
      <c r="Z40305">
        <v>400000</v>
      </c>
    </row>
    <row r="40306" spans="26:26" x14ac:dyDescent="0.25">
      <c r="Z40306">
        <v>400000</v>
      </c>
    </row>
    <row r="40307" spans="26:26" x14ac:dyDescent="0.25">
      <c r="Z40307">
        <v>400000</v>
      </c>
    </row>
    <row r="40308" spans="26:26" x14ac:dyDescent="0.25">
      <c r="Z40308">
        <v>400000</v>
      </c>
    </row>
    <row r="40309" spans="26:26" x14ac:dyDescent="0.25">
      <c r="Z40309">
        <v>400000</v>
      </c>
    </row>
    <row r="40310" spans="26:26" x14ac:dyDescent="0.25">
      <c r="Z40310">
        <v>400000</v>
      </c>
    </row>
    <row r="40311" spans="26:26" x14ac:dyDescent="0.25">
      <c r="Z40311">
        <v>400000</v>
      </c>
    </row>
    <row r="40312" spans="26:26" x14ac:dyDescent="0.25">
      <c r="Z40312">
        <v>400000</v>
      </c>
    </row>
    <row r="40313" spans="26:26" x14ac:dyDescent="0.25">
      <c r="Z40313">
        <v>400000</v>
      </c>
    </row>
    <row r="40314" spans="26:26" x14ac:dyDescent="0.25">
      <c r="Z40314">
        <v>400000</v>
      </c>
    </row>
    <row r="40315" spans="26:26" x14ac:dyDescent="0.25">
      <c r="Z40315">
        <v>400000</v>
      </c>
    </row>
    <row r="40316" spans="26:26" x14ac:dyDescent="0.25">
      <c r="Z40316">
        <v>400000</v>
      </c>
    </row>
    <row r="40317" spans="26:26" x14ac:dyDescent="0.25">
      <c r="Z40317">
        <v>400000</v>
      </c>
    </row>
    <row r="40318" spans="26:26" x14ac:dyDescent="0.25">
      <c r="Z40318">
        <v>400000</v>
      </c>
    </row>
    <row r="40319" spans="26:26" x14ac:dyDescent="0.25">
      <c r="Z40319">
        <v>400000</v>
      </c>
    </row>
    <row r="40320" spans="26:26" x14ac:dyDescent="0.25">
      <c r="Z40320">
        <v>400000</v>
      </c>
    </row>
    <row r="40321" spans="26:26" x14ac:dyDescent="0.25">
      <c r="Z40321">
        <v>400000</v>
      </c>
    </row>
    <row r="40322" spans="26:26" x14ac:dyDescent="0.25">
      <c r="Z40322">
        <v>400000</v>
      </c>
    </row>
    <row r="40323" spans="26:26" x14ac:dyDescent="0.25">
      <c r="Z40323">
        <v>400000</v>
      </c>
    </row>
    <row r="40324" spans="26:26" x14ac:dyDescent="0.25">
      <c r="Z40324">
        <v>400000</v>
      </c>
    </row>
    <row r="40325" spans="26:26" x14ac:dyDescent="0.25">
      <c r="Z40325">
        <v>400000</v>
      </c>
    </row>
    <row r="40326" spans="26:26" x14ac:dyDescent="0.25">
      <c r="Z40326">
        <v>400000</v>
      </c>
    </row>
    <row r="40327" spans="26:26" x14ac:dyDescent="0.25">
      <c r="Z40327">
        <v>400000</v>
      </c>
    </row>
    <row r="40328" spans="26:26" x14ac:dyDescent="0.25">
      <c r="Z40328">
        <v>400000</v>
      </c>
    </row>
    <row r="40329" spans="26:26" x14ac:dyDescent="0.25">
      <c r="Z40329">
        <v>400000</v>
      </c>
    </row>
    <row r="40330" spans="26:26" x14ac:dyDescent="0.25">
      <c r="Z40330">
        <v>400000</v>
      </c>
    </row>
    <row r="40331" spans="26:26" x14ac:dyDescent="0.25">
      <c r="Z40331">
        <v>400000</v>
      </c>
    </row>
    <row r="40332" spans="26:26" x14ac:dyDescent="0.25">
      <c r="Z40332">
        <v>400000</v>
      </c>
    </row>
    <row r="40333" spans="26:26" x14ac:dyDescent="0.25">
      <c r="Z40333">
        <v>400000</v>
      </c>
    </row>
    <row r="40334" spans="26:26" x14ac:dyDescent="0.25">
      <c r="Z40334">
        <v>400000</v>
      </c>
    </row>
    <row r="40335" spans="26:26" x14ac:dyDescent="0.25">
      <c r="Z40335">
        <v>400000</v>
      </c>
    </row>
    <row r="40336" spans="26:26" x14ac:dyDescent="0.25">
      <c r="Z40336">
        <v>400000</v>
      </c>
    </row>
    <row r="40337" spans="26:26" x14ac:dyDescent="0.25">
      <c r="Z40337">
        <v>400000</v>
      </c>
    </row>
    <row r="40338" spans="26:26" x14ac:dyDescent="0.25">
      <c r="Z40338">
        <v>400000</v>
      </c>
    </row>
    <row r="40339" spans="26:26" x14ac:dyDescent="0.25">
      <c r="Z40339">
        <v>400000</v>
      </c>
    </row>
    <row r="40340" spans="26:26" x14ac:dyDescent="0.25">
      <c r="Z40340">
        <v>400000</v>
      </c>
    </row>
    <row r="40341" spans="26:26" x14ac:dyDescent="0.25">
      <c r="Z40341">
        <v>400000</v>
      </c>
    </row>
    <row r="40342" spans="26:26" x14ac:dyDescent="0.25">
      <c r="Z40342">
        <v>400000</v>
      </c>
    </row>
    <row r="40343" spans="26:26" x14ac:dyDescent="0.25">
      <c r="Z40343">
        <v>400000</v>
      </c>
    </row>
    <row r="40344" spans="26:26" x14ac:dyDescent="0.25">
      <c r="Z40344">
        <v>400000</v>
      </c>
    </row>
    <row r="40345" spans="26:26" x14ac:dyDescent="0.25">
      <c r="Z40345">
        <v>400000</v>
      </c>
    </row>
    <row r="40346" spans="26:26" x14ac:dyDescent="0.25">
      <c r="Z40346">
        <v>400000</v>
      </c>
    </row>
    <row r="40347" spans="26:26" x14ac:dyDescent="0.25">
      <c r="Z40347">
        <v>400000</v>
      </c>
    </row>
    <row r="40348" spans="26:26" x14ac:dyDescent="0.25">
      <c r="Z40348">
        <v>400000</v>
      </c>
    </row>
    <row r="40349" spans="26:26" x14ac:dyDescent="0.25">
      <c r="Z40349">
        <v>400000</v>
      </c>
    </row>
    <row r="40350" spans="26:26" x14ac:dyDescent="0.25">
      <c r="Z40350">
        <v>400000</v>
      </c>
    </row>
    <row r="40351" spans="26:26" x14ac:dyDescent="0.25">
      <c r="Z40351">
        <v>400000</v>
      </c>
    </row>
    <row r="40352" spans="26:26" x14ac:dyDescent="0.25">
      <c r="Z40352">
        <v>400000</v>
      </c>
    </row>
    <row r="40353" spans="26:26" x14ac:dyDescent="0.25">
      <c r="Z40353">
        <v>400000</v>
      </c>
    </row>
    <row r="40354" spans="26:26" x14ac:dyDescent="0.25">
      <c r="Z40354">
        <v>400000</v>
      </c>
    </row>
    <row r="40355" spans="26:26" x14ac:dyDescent="0.25">
      <c r="Z40355">
        <v>400000</v>
      </c>
    </row>
    <row r="40356" spans="26:26" x14ac:dyDescent="0.25">
      <c r="Z40356">
        <v>400000</v>
      </c>
    </row>
    <row r="40357" spans="26:26" x14ac:dyDescent="0.25">
      <c r="Z40357">
        <v>400000</v>
      </c>
    </row>
    <row r="40358" spans="26:26" x14ac:dyDescent="0.25">
      <c r="Z40358">
        <v>400000</v>
      </c>
    </row>
    <row r="40359" spans="26:26" x14ac:dyDescent="0.25">
      <c r="Z40359">
        <v>400000</v>
      </c>
    </row>
    <row r="40360" spans="26:26" x14ac:dyDescent="0.25">
      <c r="Z40360">
        <v>400000</v>
      </c>
    </row>
    <row r="40361" spans="26:26" x14ac:dyDescent="0.25">
      <c r="Z40361">
        <v>400000</v>
      </c>
    </row>
    <row r="40362" spans="26:26" x14ac:dyDescent="0.25">
      <c r="Z40362">
        <v>400000</v>
      </c>
    </row>
    <row r="40363" spans="26:26" x14ac:dyDescent="0.25">
      <c r="Z40363">
        <v>400000</v>
      </c>
    </row>
    <row r="40364" spans="26:26" x14ac:dyDescent="0.25">
      <c r="Z40364">
        <v>400000</v>
      </c>
    </row>
    <row r="40365" spans="26:26" x14ac:dyDescent="0.25">
      <c r="Z40365">
        <v>400000</v>
      </c>
    </row>
    <row r="40366" spans="26:26" x14ac:dyDescent="0.25">
      <c r="Z40366">
        <v>400000</v>
      </c>
    </row>
    <row r="40367" spans="26:26" x14ac:dyDescent="0.25">
      <c r="Z40367">
        <v>400000</v>
      </c>
    </row>
    <row r="40368" spans="26:26" x14ac:dyDescent="0.25">
      <c r="Z40368">
        <v>400000</v>
      </c>
    </row>
    <row r="40369" spans="26:26" x14ac:dyDescent="0.25">
      <c r="Z40369">
        <v>400000</v>
      </c>
    </row>
    <row r="40370" spans="26:26" x14ac:dyDescent="0.25">
      <c r="Z40370">
        <v>400000</v>
      </c>
    </row>
    <row r="40371" spans="26:26" x14ac:dyDescent="0.25">
      <c r="Z40371">
        <v>400000</v>
      </c>
    </row>
    <row r="40372" spans="26:26" x14ac:dyDescent="0.25">
      <c r="Z40372">
        <v>400000</v>
      </c>
    </row>
    <row r="40373" spans="26:26" x14ac:dyDescent="0.25">
      <c r="Z40373">
        <v>400000</v>
      </c>
    </row>
    <row r="40374" spans="26:26" x14ac:dyDescent="0.25">
      <c r="Z40374">
        <v>400000</v>
      </c>
    </row>
    <row r="40375" spans="26:26" x14ac:dyDescent="0.25">
      <c r="Z40375">
        <v>400000</v>
      </c>
    </row>
    <row r="40376" spans="26:26" x14ac:dyDescent="0.25">
      <c r="Z40376">
        <v>400000</v>
      </c>
    </row>
    <row r="40377" spans="26:26" x14ac:dyDescent="0.25">
      <c r="Z40377">
        <v>400000</v>
      </c>
    </row>
    <row r="40378" spans="26:26" x14ac:dyDescent="0.25">
      <c r="Z40378">
        <v>400000</v>
      </c>
    </row>
    <row r="40379" spans="26:26" x14ac:dyDescent="0.25">
      <c r="Z40379">
        <v>400000</v>
      </c>
    </row>
    <row r="40380" spans="26:26" x14ac:dyDescent="0.25">
      <c r="Z40380">
        <v>400000</v>
      </c>
    </row>
    <row r="40381" spans="26:26" x14ac:dyDescent="0.25">
      <c r="Z40381">
        <v>400000</v>
      </c>
    </row>
    <row r="40382" spans="26:26" x14ac:dyDescent="0.25">
      <c r="Z40382">
        <v>400000</v>
      </c>
    </row>
    <row r="40383" spans="26:26" x14ac:dyDescent="0.25">
      <c r="Z40383">
        <v>400000</v>
      </c>
    </row>
    <row r="40384" spans="26:26" x14ac:dyDescent="0.25">
      <c r="Z40384">
        <v>400000</v>
      </c>
    </row>
    <row r="40385" spans="26:26" x14ac:dyDescent="0.25">
      <c r="Z40385">
        <v>400000</v>
      </c>
    </row>
    <row r="40386" spans="26:26" x14ac:dyDescent="0.25">
      <c r="Z40386">
        <v>400000</v>
      </c>
    </row>
    <row r="40387" spans="26:26" x14ac:dyDescent="0.25">
      <c r="Z40387">
        <v>400000</v>
      </c>
    </row>
    <row r="40388" spans="26:26" x14ac:dyDescent="0.25">
      <c r="Z40388">
        <v>400000</v>
      </c>
    </row>
    <row r="40389" spans="26:26" x14ac:dyDescent="0.25">
      <c r="Z40389">
        <v>400000</v>
      </c>
    </row>
    <row r="40390" spans="26:26" x14ac:dyDescent="0.25">
      <c r="Z40390">
        <v>400000</v>
      </c>
    </row>
    <row r="40391" spans="26:26" x14ac:dyDescent="0.25">
      <c r="Z40391">
        <v>400000</v>
      </c>
    </row>
    <row r="40392" spans="26:26" x14ac:dyDescent="0.25">
      <c r="Z40392">
        <v>400000</v>
      </c>
    </row>
    <row r="40393" spans="26:26" x14ac:dyDescent="0.25">
      <c r="Z40393">
        <v>400000</v>
      </c>
    </row>
    <row r="40394" spans="26:26" x14ac:dyDescent="0.25">
      <c r="Z40394">
        <v>400000</v>
      </c>
    </row>
    <row r="40395" spans="26:26" x14ac:dyDescent="0.25">
      <c r="Z40395">
        <v>400000</v>
      </c>
    </row>
    <row r="40396" spans="26:26" x14ac:dyDescent="0.25">
      <c r="Z40396">
        <v>400000</v>
      </c>
    </row>
    <row r="40397" spans="26:26" x14ac:dyDescent="0.25">
      <c r="Z40397">
        <v>400000</v>
      </c>
    </row>
    <row r="40398" spans="26:26" x14ac:dyDescent="0.25">
      <c r="Z40398">
        <v>400000</v>
      </c>
    </row>
    <row r="40399" spans="26:26" x14ac:dyDescent="0.25">
      <c r="Z40399">
        <v>400000</v>
      </c>
    </row>
    <row r="40400" spans="26:26" x14ac:dyDescent="0.25">
      <c r="Z40400">
        <v>400000</v>
      </c>
    </row>
    <row r="40401" spans="26:26" x14ac:dyDescent="0.25">
      <c r="Z40401">
        <v>400000</v>
      </c>
    </row>
    <row r="40402" spans="26:26" x14ac:dyDescent="0.25">
      <c r="Z40402">
        <v>400000</v>
      </c>
    </row>
    <row r="40403" spans="26:26" x14ac:dyDescent="0.25">
      <c r="Z40403">
        <v>400000</v>
      </c>
    </row>
    <row r="40404" spans="26:26" x14ac:dyDescent="0.25">
      <c r="Z40404">
        <v>400000</v>
      </c>
    </row>
    <row r="40405" spans="26:26" x14ac:dyDescent="0.25">
      <c r="Z40405">
        <v>400000</v>
      </c>
    </row>
    <row r="40406" spans="26:26" x14ac:dyDescent="0.25">
      <c r="Z40406">
        <v>400000</v>
      </c>
    </row>
    <row r="40407" spans="26:26" x14ac:dyDescent="0.25">
      <c r="Z40407">
        <v>400000</v>
      </c>
    </row>
    <row r="40408" spans="26:26" x14ac:dyDescent="0.25">
      <c r="Z40408">
        <v>400000</v>
      </c>
    </row>
    <row r="40409" spans="26:26" x14ac:dyDescent="0.25">
      <c r="Z40409">
        <v>400000</v>
      </c>
    </row>
    <row r="40410" spans="26:26" x14ac:dyDescent="0.25">
      <c r="Z40410">
        <v>400000</v>
      </c>
    </row>
    <row r="40411" spans="26:26" x14ac:dyDescent="0.25">
      <c r="Z40411">
        <v>400000</v>
      </c>
    </row>
    <row r="40412" spans="26:26" x14ac:dyDescent="0.25">
      <c r="Z40412">
        <v>400000</v>
      </c>
    </row>
    <row r="40413" spans="26:26" x14ac:dyDescent="0.25">
      <c r="Z40413">
        <v>400000</v>
      </c>
    </row>
    <row r="40414" spans="26:26" x14ac:dyDescent="0.25">
      <c r="Z40414">
        <v>400000</v>
      </c>
    </row>
    <row r="40415" spans="26:26" x14ac:dyDescent="0.25">
      <c r="Z40415">
        <v>400000</v>
      </c>
    </row>
    <row r="40416" spans="26:26" x14ac:dyDescent="0.25">
      <c r="Z40416">
        <v>400000</v>
      </c>
    </row>
    <row r="40417" spans="26:26" x14ac:dyDescent="0.25">
      <c r="Z40417">
        <v>400000</v>
      </c>
    </row>
    <row r="40418" spans="26:26" x14ac:dyDescent="0.25">
      <c r="Z40418">
        <v>400000</v>
      </c>
    </row>
    <row r="40419" spans="26:26" x14ac:dyDescent="0.25">
      <c r="Z40419">
        <v>400000</v>
      </c>
    </row>
    <row r="40420" spans="26:26" x14ac:dyDescent="0.25">
      <c r="Z40420">
        <v>400000</v>
      </c>
    </row>
    <row r="40421" spans="26:26" x14ac:dyDescent="0.25">
      <c r="Z40421">
        <v>400000</v>
      </c>
    </row>
    <row r="40422" spans="26:26" x14ac:dyDescent="0.25">
      <c r="Z40422">
        <v>400000</v>
      </c>
    </row>
    <row r="40423" spans="26:26" x14ac:dyDescent="0.25">
      <c r="Z40423">
        <v>400000</v>
      </c>
    </row>
    <row r="40424" spans="26:26" x14ac:dyDescent="0.25">
      <c r="Z40424">
        <v>400000</v>
      </c>
    </row>
    <row r="40425" spans="26:26" x14ac:dyDescent="0.25">
      <c r="Z40425">
        <v>400000</v>
      </c>
    </row>
    <row r="40426" spans="26:26" x14ac:dyDescent="0.25">
      <c r="Z40426">
        <v>400000</v>
      </c>
    </row>
    <row r="40427" spans="26:26" x14ac:dyDescent="0.25">
      <c r="Z40427">
        <v>400000</v>
      </c>
    </row>
    <row r="40428" spans="26:26" x14ac:dyDescent="0.25">
      <c r="Z40428">
        <v>400000</v>
      </c>
    </row>
    <row r="40429" spans="26:26" x14ac:dyDescent="0.25">
      <c r="Z40429">
        <v>400000</v>
      </c>
    </row>
    <row r="40430" spans="26:26" x14ac:dyDescent="0.25">
      <c r="Z40430">
        <v>400000</v>
      </c>
    </row>
    <row r="40431" spans="26:26" x14ac:dyDescent="0.25">
      <c r="Z40431">
        <v>400000</v>
      </c>
    </row>
    <row r="40432" spans="26:26" x14ac:dyDescent="0.25">
      <c r="Z40432">
        <v>400000</v>
      </c>
    </row>
    <row r="40433" spans="26:26" x14ac:dyDescent="0.25">
      <c r="Z40433">
        <v>400000</v>
      </c>
    </row>
    <row r="40434" spans="26:26" x14ac:dyDescent="0.25">
      <c r="Z40434">
        <v>400000</v>
      </c>
    </row>
    <row r="40435" spans="26:26" x14ac:dyDescent="0.25">
      <c r="Z40435">
        <v>400000</v>
      </c>
    </row>
    <row r="40436" spans="26:26" x14ac:dyDescent="0.25">
      <c r="Z40436">
        <v>400000</v>
      </c>
    </row>
    <row r="40437" spans="26:26" x14ac:dyDescent="0.25">
      <c r="Z40437">
        <v>400000</v>
      </c>
    </row>
    <row r="40438" spans="26:26" x14ac:dyDescent="0.25">
      <c r="Z40438">
        <v>400000</v>
      </c>
    </row>
    <row r="40439" spans="26:26" x14ac:dyDescent="0.25">
      <c r="Z40439">
        <v>400000</v>
      </c>
    </row>
    <row r="40440" spans="26:26" x14ac:dyDescent="0.25">
      <c r="Z40440">
        <v>400000</v>
      </c>
    </row>
    <row r="40441" spans="26:26" x14ac:dyDescent="0.25">
      <c r="Z40441">
        <v>400000</v>
      </c>
    </row>
    <row r="40442" spans="26:26" x14ac:dyDescent="0.25">
      <c r="Z40442">
        <v>400000</v>
      </c>
    </row>
    <row r="40443" spans="26:26" x14ac:dyDescent="0.25">
      <c r="Z40443">
        <v>400000</v>
      </c>
    </row>
    <row r="40444" spans="26:26" x14ac:dyDescent="0.25">
      <c r="Z40444">
        <v>400000</v>
      </c>
    </row>
    <row r="40445" spans="26:26" x14ac:dyDescent="0.25">
      <c r="Z40445">
        <v>400000</v>
      </c>
    </row>
    <row r="40446" spans="26:26" x14ac:dyDescent="0.25">
      <c r="Z40446">
        <v>400000</v>
      </c>
    </row>
    <row r="40447" spans="26:26" x14ac:dyDescent="0.25">
      <c r="Z40447">
        <v>400000</v>
      </c>
    </row>
    <row r="40448" spans="26:26" x14ac:dyDescent="0.25">
      <c r="Z40448">
        <v>400000</v>
      </c>
    </row>
    <row r="40449" spans="26:26" x14ac:dyDescent="0.25">
      <c r="Z40449">
        <v>400000</v>
      </c>
    </row>
    <row r="40450" spans="26:26" x14ac:dyDescent="0.25">
      <c r="Z40450">
        <v>400000</v>
      </c>
    </row>
    <row r="40451" spans="26:26" x14ac:dyDescent="0.25">
      <c r="Z40451">
        <v>400000</v>
      </c>
    </row>
    <row r="40452" spans="26:26" x14ac:dyDescent="0.25">
      <c r="Z40452">
        <v>400000</v>
      </c>
    </row>
    <row r="40453" spans="26:26" x14ac:dyDescent="0.25">
      <c r="Z40453">
        <v>400000</v>
      </c>
    </row>
    <row r="40454" spans="26:26" x14ac:dyDescent="0.25">
      <c r="Z40454">
        <v>400000</v>
      </c>
    </row>
    <row r="40455" spans="26:26" x14ac:dyDescent="0.25">
      <c r="Z40455">
        <v>400000</v>
      </c>
    </row>
    <row r="40456" spans="26:26" x14ac:dyDescent="0.25">
      <c r="Z40456">
        <v>400000</v>
      </c>
    </row>
    <row r="40457" spans="26:26" x14ac:dyDescent="0.25">
      <c r="Z40457">
        <v>400000</v>
      </c>
    </row>
    <row r="40458" spans="26:26" x14ac:dyDescent="0.25">
      <c r="Z40458">
        <v>400000</v>
      </c>
    </row>
    <row r="40459" spans="26:26" x14ac:dyDescent="0.25">
      <c r="Z40459">
        <v>400000</v>
      </c>
    </row>
    <row r="40460" spans="26:26" x14ac:dyDescent="0.25">
      <c r="Z40460">
        <v>400000</v>
      </c>
    </row>
    <row r="40461" spans="26:26" x14ac:dyDescent="0.25">
      <c r="Z40461">
        <v>400000</v>
      </c>
    </row>
    <row r="40462" spans="26:26" x14ac:dyDescent="0.25">
      <c r="Z40462">
        <v>400000</v>
      </c>
    </row>
    <row r="40463" spans="26:26" x14ac:dyDescent="0.25">
      <c r="Z40463">
        <v>400000</v>
      </c>
    </row>
    <row r="40464" spans="26:26" x14ac:dyDescent="0.25">
      <c r="Z40464">
        <v>400000</v>
      </c>
    </row>
    <row r="40465" spans="26:26" x14ac:dyDescent="0.25">
      <c r="Z40465">
        <v>400000</v>
      </c>
    </row>
    <row r="40466" spans="26:26" x14ac:dyDescent="0.25">
      <c r="Z40466">
        <v>400000</v>
      </c>
    </row>
    <row r="40467" spans="26:26" x14ac:dyDescent="0.25">
      <c r="Z40467">
        <v>400000</v>
      </c>
    </row>
    <row r="40468" spans="26:26" x14ac:dyDescent="0.25">
      <c r="Z40468">
        <v>400000</v>
      </c>
    </row>
    <row r="40469" spans="26:26" x14ac:dyDescent="0.25">
      <c r="Z40469">
        <v>400000</v>
      </c>
    </row>
    <row r="40470" spans="26:26" x14ac:dyDescent="0.25">
      <c r="Z40470">
        <v>400000</v>
      </c>
    </row>
    <row r="40471" spans="26:26" x14ac:dyDescent="0.25">
      <c r="Z40471">
        <v>400000</v>
      </c>
    </row>
    <row r="40472" spans="26:26" x14ac:dyDescent="0.25">
      <c r="Z40472">
        <v>400000</v>
      </c>
    </row>
    <row r="40473" spans="26:26" x14ac:dyDescent="0.25">
      <c r="Z40473">
        <v>400000</v>
      </c>
    </row>
    <row r="40474" spans="26:26" x14ac:dyDescent="0.25">
      <c r="Z40474">
        <v>400000</v>
      </c>
    </row>
    <row r="40475" spans="26:26" x14ac:dyDescent="0.25">
      <c r="Z40475">
        <v>400000</v>
      </c>
    </row>
    <row r="40476" spans="26:26" x14ac:dyDescent="0.25">
      <c r="Z40476">
        <v>400000</v>
      </c>
    </row>
    <row r="40477" spans="26:26" x14ac:dyDescent="0.25">
      <c r="Z40477">
        <v>400000</v>
      </c>
    </row>
    <row r="40478" spans="26:26" x14ac:dyDescent="0.25">
      <c r="Z40478">
        <v>400000</v>
      </c>
    </row>
    <row r="40479" spans="26:26" x14ac:dyDescent="0.25">
      <c r="Z40479">
        <v>400000</v>
      </c>
    </row>
    <row r="40480" spans="26:26" x14ac:dyDescent="0.25">
      <c r="Z40480">
        <v>400000</v>
      </c>
    </row>
    <row r="40481" spans="26:26" x14ac:dyDescent="0.25">
      <c r="Z40481">
        <v>400000</v>
      </c>
    </row>
    <row r="40482" spans="26:26" x14ac:dyDescent="0.25">
      <c r="Z40482">
        <v>400000</v>
      </c>
    </row>
    <row r="40483" spans="26:26" x14ac:dyDescent="0.25">
      <c r="Z40483">
        <v>400000</v>
      </c>
    </row>
    <row r="40484" spans="26:26" x14ac:dyDescent="0.25">
      <c r="Z40484">
        <v>400000</v>
      </c>
    </row>
    <row r="40485" spans="26:26" x14ac:dyDescent="0.25">
      <c r="Z40485">
        <v>400000</v>
      </c>
    </row>
    <row r="40486" spans="26:26" x14ac:dyDescent="0.25">
      <c r="Z40486">
        <v>400000</v>
      </c>
    </row>
    <row r="40487" spans="26:26" x14ac:dyDescent="0.25">
      <c r="Z40487">
        <v>400000</v>
      </c>
    </row>
    <row r="40488" spans="26:26" x14ac:dyDescent="0.25">
      <c r="Z40488">
        <v>400000</v>
      </c>
    </row>
    <row r="40489" spans="26:26" x14ac:dyDescent="0.25">
      <c r="Z40489">
        <v>400000</v>
      </c>
    </row>
    <row r="40490" spans="26:26" x14ac:dyDescent="0.25">
      <c r="Z40490">
        <v>400000</v>
      </c>
    </row>
    <row r="40491" spans="26:26" x14ac:dyDescent="0.25">
      <c r="Z40491">
        <v>400000</v>
      </c>
    </row>
    <row r="40492" spans="26:26" x14ac:dyDescent="0.25">
      <c r="Z40492">
        <v>400000</v>
      </c>
    </row>
    <row r="40493" spans="26:26" x14ac:dyDescent="0.25">
      <c r="Z40493">
        <v>400000</v>
      </c>
    </row>
    <row r="40494" spans="26:26" x14ac:dyDescent="0.25">
      <c r="Z40494">
        <v>400000</v>
      </c>
    </row>
    <row r="40495" spans="26:26" x14ac:dyDescent="0.25">
      <c r="Z40495">
        <v>400000</v>
      </c>
    </row>
    <row r="40496" spans="26:26" x14ac:dyDescent="0.25">
      <c r="Z40496">
        <v>400000</v>
      </c>
    </row>
    <row r="40497" spans="26:26" x14ac:dyDescent="0.25">
      <c r="Z40497">
        <v>400000</v>
      </c>
    </row>
    <row r="40498" spans="26:26" x14ac:dyDescent="0.25">
      <c r="Z40498">
        <v>400000</v>
      </c>
    </row>
    <row r="40499" spans="26:26" x14ac:dyDescent="0.25">
      <c r="Z40499">
        <v>400000</v>
      </c>
    </row>
    <row r="40500" spans="26:26" x14ac:dyDescent="0.25">
      <c r="Z40500">
        <v>400000</v>
      </c>
    </row>
    <row r="40501" spans="26:26" x14ac:dyDescent="0.25">
      <c r="Z40501">
        <v>400000</v>
      </c>
    </row>
    <row r="40502" spans="26:26" x14ac:dyDescent="0.25">
      <c r="Z40502">
        <v>400000</v>
      </c>
    </row>
    <row r="40503" spans="26:26" x14ac:dyDescent="0.25">
      <c r="Z40503">
        <v>400000</v>
      </c>
    </row>
    <row r="40504" spans="26:26" x14ac:dyDescent="0.25">
      <c r="Z40504">
        <v>400000</v>
      </c>
    </row>
    <row r="40505" spans="26:26" x14ac:dyDescent="0.25">
      <c r="Z40505">
        <v>400000</v>
      </c>
    </row>
    <row r="40506" spans="26:26" x14ac:dyDescent="0.25">
      <c r="Z40506">
        <v>400000</v>
      </c>
    </row>
    <row r="40507" spans="26:26" x14ac:dyDescent="0.25">
      <c r="Z40507">
        <v>400000</v>
      </c>
    </row>
    <row r="40508" spans="26:26" x14ac:dyDescent="0.25">
      <c r="Z40508">
        <v>400000</v>
      </c>
    </row>
    <row r="40509" spans="26:26" x14ac:dyDescent="0.25">
      <c r="Z40509">
        <v>400000</v>
      </c>
    </row>
    <row r="40510" spans="26:26" x14ac:dyDescent="0.25">
      <c r="Z40510">
        <v>400000</v>
      </c>
    </row>
    <row r="40511" spans="26:26" x14ac:dyDescent="0.25">
      <c r="Z40511">
        <v>400000</v>
      </c>
    </row>
    <row r="40512" spans="26:26" x14ac:dyDescent="0.25">
      <c r="Z40512">
        <v>400000</v>
      </c>
    </row>
    <row r="40513" spans="26:26" x14ac:dyDescent="0.25">
      <c r="Z40513">
        <v>400000</v>
      </c>
    </row>
    <row r="40514" spans="26:26" x14ac:dyDescent="0.25">
      <c r="Z40514">
        <v>400000</v>
      </c>
    </row>
    <row r="40515" spans="26:26" x14ac:dyDescent="0.25">
      <c r="Z40515">
        <v>400000</v>
      </c>
    </row>
    <row r="40516" spans="26:26" x14ac:dyDescent="0.25">
      <c r="Z40516">
        <v>400000</v>
      </c>
    </row>
    <row r="40517" spans="26:26" x14ac:dyDescent="0.25">
      <c r="Z40517">
        <v>400000</v>
      </c>
    </row>
    <row r="40518" spans="26:26" x14ac:dyDescent="0.25">
      <c r="Z40518">
        <v>400000</v>
      </c>
    </row>
    <row r="40519" spans="26:26" x14ac:dyDescent="0.25">
      <c r="Z40519">
        <v>400000</v>
      </c>
    </row>
    <row r="40520" spans="26:26" x14ac:dyDescent="0.25">
      <c r="Z40520">
        <v>400000</v>
      </c>
    </row>
    <row r="40521" spans="26:26" x14ac:dyDescent="0.25">
      <c r="Z40521">
        <v>400000</v>
      </c>
    </row>
    <row r="40522" spans="26:26" x14ac:dyDescent="0.25">
      <c r="Z40522">
        <v>400000</v>
      </c>
    </row>
    <row r="40523" spans="26:26" x14ac:dyDescent="0.25">
      <c r="Z40523">
        <v>400000</v>
      </c>
    </row>
    <row r="40524" spans="26:26" x14ac:dyDescent="0.25">
      <c r="Z40524">
        <v>400000</v>
      </c>
    </row>
    <row r="40525" spans="26:26" x14ac:dyDescent="0.25">
      <c r="Z40525">
        <v>400000</v>
      </c>
    </row>
    <row r="40526" spans="26:26" x14ac:dyDescent="0.25">
      <c r="Z40526">
        <v>400000</v>
      </c>
    </row>
    <row r="40527" spans="26:26" x14ac:dyDescent="0.25">
      <c r="Z40527">
        <v>400000</v>
      </c>
    </row>
    <row r="40528" spans="26:26" x14ac:dyDescent="0.25">
      <c r="Z40528">
        <v>400000</v>
      </c>
    </row>
    <row r="40529" spans="26:26" x14ac:dyDescent="0.25">
      <c r="Z40529">
        <v>400000</v>
      </c>
    </row>
    <row r="40530" spans="26:26" x14ac:dyDescent="0.25">
      <c r="Z40530">
        <v>400000</v>
      </c>
    </row>
    <row r="40531" spans="26:26" x14ac:dyDescent="0.25">
      <c r="Z40531">
        <v>400000</v>
      </c>
    </row>
    <row r="40532" spans="26:26" x14ac:dyDescent="0.25">
      <c r="Z40532">
        <v>400000</v>
      </c>
    </row>
    <row r="40533" spans="26:26" x14ac:dyDescent="0.25">
      <c r="Z40533">
        <v>400000</v>
      </c>
    </row>
    <row r="40534" spans="26:26" x14ac:dyDescent="0.25">
      <c r="Z40534">
        <v>400000</v>
      </c>
    </row>
    <row r="40535" spans="26:26" x14ac:dyDescent="0.25">
      <c r="Z40535">
        <v>400000</v>
      </c>
    </row>
    <row r="40536" spans="26:26" x14ac:dyDescent="0.25">
      <c r="Z40536">
        <v>400000</v>
      </c>
    </row>
    <row r="40537" spans="26:26" x14ac:dyDescent="0.25">
      <c r="Z40537">
        <v>400000</v>
      </c>
    </row>
    <row r="40538" spans="26:26" x14ac:dyDescent="0.25">
      <c r="Z40538">
        <v>400000</v>
      </c>
    </row>
    <row r="40539" spans="26:26" x14ac:dyDescent="0.25">
      <c r="Z40539">
        <v>400000</v>
      </c>
    </row>
    <row r="40540" spans="26:26" x14ac:dyDescent="0.25">
      <c r="Z40540">
        <v>400000</v>
      </c>
    </row>
    <row r="40541" spans="26:26" x14ac:dyDescent="0.25">
      <c r="Z40541">
        <v>400000</v>
      </c>
    </row>
    <row r="40542" spans="26:26" x14ac:dyDescent="0.25">
      <c r="Z40542">
        <v>400000</v>
      </c>
    </row>
    <row r="40543" spans="26:26" x14ac:dyDescent="0.25">
      <c r="Z40543">
        <v>400000</v>
      </c>
    </row>
    <row r="40544" spans="26:26" x14ac:dyDescent="0.25">
      <c r="Z40544">
        <v>400000</v>
      </c>
    </row>
    <row r="40545" spans="26:26" x14ac:dyDescent="0.25">
      <c r="Z40545">
        <v>400000</v>
      </c>
    </row>
    <row r="40546" spans="26:26" x14ac:dyDescent="0.25">
      <c r="Z40546">
        <v>400000</v>
      </c>
    </row>
    <row r="40547" spans="26:26" x14ac:dyDescent="0.25">
      <c r="Z40547">
        <v>400000</v>
      </c>
    </row>
    <row r="40548" spans="26:26" x14ac:dyDescent="0.25">
      <c r="Z40548">
        <v>400000</v>
      </c>
    </row>
    <row r="40549" spans="26:26" x14ac:dyDescent="0.25">
      <c r="Z40549">
        <v>400000</v>
      </c>
    </row>
    <row r="40550" spans="26:26" x14ac:dyDescent="0.25">
      <c r="Z40550">
        <v>400000</v>
      </c>
    </row>
    <row r="40551" spans="26:26" x14ac:dyDescent="0.25">
      <c r="Z40551">
        <v>400000</v>
      </c>
    </row>
    <row r="40552" spans="26:26" x14ac:dyDescent="0.25">
      <c r="Z40552">
        <v>400000</v>
      </c>
    </row>
    <row r="40553" spans="26:26" x14ac:dyDescent="0.25">
      <c r="Z40553">
        <v>400000</v>
      </c>
    </row>
    <row r="40554" spans="26:26" x14ac:dyDescent="0.25">
      <c r="Z40554">
        <v>400000</v>
      </c>
    </row>
    <row r="40555" spans="26:26" x14ac:dyDescent="0.25">
      <c r="Z40555">
        <v>400000</v>
      </c>
    </row>
    <row r="40556" spans="26:26" x14ac:dyDescent="0.25">
      <c r="Z40556">
        <v>400000</v>
      </c>
    </row>
    <row r="40557" spans="26:26" x14ac:dyDescent="0.25">
      <c r="Z40557">
        <v>400000</v>
      </c>
    </row>
    <row r="40558" spans="26:26" x14ac:dyDescent="0.25">
      <c r="Z40558">
        <v>400000</v>
      </c>
    </row>
    <row r="40559" spans="26:26" x14ac:dyDescent="0.25">
      <c r="Z40559">
        <v>400000</v>
      </c>
    </row>
    <row r="40560" spans="26:26" x14ac:dyDescent="0.25">
      <c r="Z40560">
        <v>400000</v>
      </c>
    </row>
    <row r="40561" spans="26:26" x14ac:dyDescent="0.25">
      <c r="Z40561">
        <v>400000</v>
      </c>
    </row>
    <row r="40562" spans="26:26" x14ac:dyDescent="0.25">
      <c r="Z40562">
        <v>400000</v>
      </c>
    </row>
    <row r="40563" spans="26:26" x14ac:dyDescent="0.25">
      <c r="Z40563">
        <v>400000</v>
      </c>
    </row>
    <row r="40564" spans="26:26" x14ac:dyDescent="0.25">
      <c r="Z40564">
        <v>400000</v>
      </c>
    </row>
    <row r="40565" spans="26:26" x14ac:dyDescent="0.25">
      <c r="Z40565">
        <v>400000</v>
      </c>
    </row>
    <row r="40566" spans="26:26" x14ac:dyDescent="0.25">
      <c r="Z40566">
        <v>400000</v>
      </c>
    </row>
    <row r="40567" spans="26:26" x14ac:dyDescent="0.25">
      <c r="Z40567">
        <v>400000</v>
      </c>
    </row>
    <row r="40568" spans="26:26" x14ac:dyDescent="0.25">
      <c r="Z40568">
        <v>400000</v>
      </c>
    </row>
    <row r="40569" spans="26:26" x14ac:dyDescent="0.25">
      <c r="Z40569">
        <v>400000</v>
      </c>
    </row>
    <row r="40570" spans="26:26" x14ac:dyDescent="0.25">
      <c r="Z40570">
        <v>400000</v>
      </c>
    </row>
    <row r="40571" spans="26:26" x14ac:dyDescent="0.25">
      <c r="Z40571">
        <v>400000</v>
      </c>
    </row>
    <row r="40572" spans="26:26" x14ac:dyDescent="0.25">
      <c r="Z40572">
        <v>400000</v>
      </c>
    </row>
    <row r="40573" spans="26:26" x14ac:dyDescent="0.25">
      <c r="Z40573">
        <v>400000</v>
      </c>
    </row>
    <row r="40574" spans="26:26" x14ac:dyDescent="0.25">
      <c r="Z40574">
        <v>400000</v>
      </c>
    </row>
    <row r="40575" spans="26:26" x14ac:dyDescent="0.25">
      <c r="Z40575">
        <v>400000</v>
      </c>
    </row>
    <row r="40576" spans="26:26" x14ac:dyDescent="0.25">
      <c r="Z40576">
        <v>400000</v>
      </c>
    </row>
    <row r="40577" spans="26:26" x14ac:dyDescent="0.25">
      <c r="Z40577">
        <v>400000</v>
      </c>
    </row>
    <row r="40578" spans="26:26" x14ac:dyDescent="0.25">
      <c r="Z40578">
        <v>400000</v>
      </c>
    </row>
    <row r="40579" spans="26:26" x14ac:dyDescent="0.25">
      <c r="Z40579">
        <v>400000</v>
      </c>
    </row>
    <row r="40580" spans="26:26" x14ac:dyDescent="0.25">
      <c r="Z40580">
        <v>400000</v>
      </c>
    </row>
    <row r="40581" spans="26:26" x14ac:dyDescent="0.25">
      <c r="Z40581">
        <v>400000</v>
      </c>
    </row>
    <row r="40582" spans="26:26" x14ac:dyDescent="0.25">
      <c r="Z40582">
        <v>400000</v>
      </c>
    </row>
    <row r="40583" spans="26:26" x14ac:dyDescent="0.25">
      <c r="Z40583">
        <v>400000</v>
      </c>
    </row>
    <row r="40584" spans="26:26" x14ac:dyDescent="0.25">
      <c r="Z40584">
        <v>400000</v>
      </c>
    </row>
    <row r="40585" spans="26:26" x14ac:dyDescent="0.25">
      <c r="Z40585">
        <v>400000</v>
      </c>
    </row>
    <row r="40586" spans="26:26" x14ac:dyDescent="0.25">
      <c r="Z40586">
        <v>400000</v>
      </c>
    </row>
    <row r="40587" spans="26:26" x14ac:dyDescent="0.25">
      <c r="Z40587">
        <v>400000</v>
      </c>
    </row>
    <row r="40588" spans="26:26" x14ac:dyDescent="0.25">
      <c r="Z40588">
        <v>400000</v>
      </c>
    </row>
    <row r="40589" spans="26:26" x14ac:dyDescent="0.25">
      <c r="Z40589">
        <v>400000</v>
      </c>
    </row>
    <row r="40590" spans="26:26" x14ac:dyDescent="0.25">
      <c r="Z40590">
        <v>400000</v>
      </c>
    </row>
    <row r="40591" spans="26:26" x14ac:dyDescent="0.25">
      <c r="Z40591">
        <v>400000</v>
      </c>
    </row>
    <row r="40592" spans="26:26" x14ac:dyDescent="0.25">
      <c r="Z40592">
        <v>400000</v>
      </c>
    </row>
    <row r="40593" spans="26:26" x14ac:dyDescent="0.25">
      <c r="Z40593">
        <v>400000</v>
      </c>
    </row>
    <row r="40594" spans="26:26" x14ac:dyDescent="0.25">
      <c r="Z40594">
        <v>400000</v>
      </c>
    </row>
    <row r="40595" spans="26:26" x14ac:dyDescent="0.25">
      <c r="Z40595">
        <v>400000</v>
      </c>
    </row>
    <row r="40596" spans="26:26" x14ac:dyDescent="0.25">
      <c r="Z40596">
        <v>400000</v>
      </c>
    </row>
    <row r="40597" spans="26:26" x14ac:dyDescent="0.25">
      <c r="Z40597">
        <v>400000</v>
      </c>
    </row>
    <row r="40598" spans="26:26" x14ac:dyDescent="0.25">
      <c r="Z40598">
        <v>400000</v>
      </c>
    </row>
    <row r="40599" spans="26:26" x14ac:dyDescent="0.25">
      <c r="Z40599">
        <v>400000</v>
      </c>
    </row>
    <row r="40600" spans="26:26" x14ac:dyDescent="0.25">
      <c r="Z40600">
        <v>400000</v>
      </c>
    </row>
    <row r="40601" spans="26:26" x14ac:dyDescent="0.25">
      <c r="Z40601">
        <v>400000</v>
      </c>
    </row>
    <row r="40602" spans="26:26" x14ac:dyDescent="0.25">
      <c r="Z40602">
        <v>400000</v>
      </c>
    </row>
    <row r="40603" spans="26:26" x14ac:dyDescent="0.25">
      <c r="Z40603">
        <v>400000</v>
      </c>
    </row>
    <row r="40604" spans="26:26" x14ac:dyDescent="0.25">
      <c r="Z40604">
        <v>400000</v>
      </c>
    </row>
    <row r="40605" spans="26:26" x14ac:dyDescent="0.25">
      <c r="Z40605">
        <v>400000</v>
      </c>
    </row>
    <row r="40606" spans="26:26" x14ac:dyDescent="0.25">
      <c r="Z40606">
        <v>400000</v>
      </c>
    </row>
    <row r="40607" spans="26:26" x14ac:dyDescent="0.25">
      <c r="Z40607">
        <v>400000</v>
      </c>
    </row>
    <row r="40608" spans="26:26" x14ac:dyDescent="0.25">
      <c r="Z40608">
        <v>400000</v>
      </c>
    </row>
    <row r="40609" spans="26:26" x14ac:dyDescent="0.25">
      <c r="Z40609">
        <v>400000</v>
      </c>
    </row>
    <row r="40610" spans="26:26" x14ac:dyDescent="0.25">
      <c r="Z40610">
        <v>400000</v>
      </c>
    </row>
    <row r="40611" spans="26:26" x14ac:dyDescent="0.25">
      <c r="Z40611">
        <v>400000</v>
      </c>
    </row>
    <row r="40612" spans="26:26" x14ac:dyDescent="0.25">
      <c r="Z40612">
        <v>400000</v>
      </c>
    </row>
    <row r="40613" spans="26:26" x14ac:dyDescent="0.25">
      <c r="Z40613">
        <v>400000</v>
      </c>
    </row>
    <row r="40614" spans="26:26" x14ac:dyDescent="0.25">
      <c r="Z40614">
        <v>400000</v>
      </c>
    </row>
    <row r="40615" spans="26:26" x14ac:dyDescent="0.25">
      <c r="Z40615">
        <v>400000</v>
      </c>
    </row>
    <row r="40616" spans="26:26" x14ac:dyDescent="0.25">
      <c r="Z40616">
        <v>400000</v>
      </c>
    </row>
    <row r="40617" spans="26:26" x14ac:dyDescent="0.25">
      <c r="Z40617">
        <v>400000</v>
      </c>
    </row>
    <row r="40618" spans="26:26" x14ac:dyDescent="0.25">
      <c r="Z40618">
        <v>400000</v>
      </c>
    </row>
    <row r="40619" spans="26:26" x14ac:dyDescent="0.25">
      <c r="Z40619">
        <v>400000</v>
      </c>
    </row>
    <row r="40620" spans="26:26" x14ac:dyDescent="0.25">
      <c r="Z40620">
        <v>400000</v>
      </c>
    </row>
    <row r="40621" spans="26:26" x14ac:dyDescent="0.25">
      <c r="Z40621">
        <v>400000</v>
      </c>
    </row>
    <row r="40622" spans="26:26" x14ac:dyDescent="0.25">
      <c r="Z40622">
        <v>400000</v>
      </c>
    </row>
    <row r="40623" spans="26:26" x14ac:dyDescent="0.25">
      <c r="Z40623">
        <v>400000</v>
      </c>
    </row>
    <row r="40624" spans="26:26" x14ac:dyDescent="0.25">
      <c r="Z40624">
        <v>400000</v>
      </c>
    </row>
    <row r="40625" spans="26:26" x14ac:dyDescent="0.25">
      <c r="Z40625">
        <v>400000</v>
      </c>
    </row>
    <row r="40626" spans="26:26" x14ac:dyDescent="0.25">
      <c r="Z40626">
        <v>400000</v>
      </c>
    </row>
    <row r="40627" spans="26:26" x14ac:dyDescent="0.25">
      <c r="Z40627">
        <v>400000</v>
      </c>
    </row>
    <row r="40628" spans="26:26" x14ac:dyDescent="0.25">
      <c r="Z40628">
        <v>400000</v>
      </c>
    </row>
    <row r="40629" spans="26:26" x14ac:dyDescent="0.25">
      <c r="Z40629">
        <v>400000</v>
      </c>
    </row>
    <row r="40630" spans="26:26" x14ac:dyDescent="0.25">
      <c r="Z40630">
        <v>400000</v>
      </c>
    </row>
    <row r="40631" spans="26:26" x14ac:dyDescent="0.25">
      <c r="Z40631">
        <v>400000</v>
      </c>
    </row>
    <row r="40632" spans="26:26" x14ac:dyDescent="0.25">
      <c r="Z40632">
        <v>400000</v>
      </c>
    </row>
    <row r="40633" spans="26:26" x14ac:dyDescent="0.25">
      <c r="Z40633">
        <v>400000</v>
      </c>
    </row>
    <row r="40634" spans="26:26" x14ac:dyDescent="0.25">
      <c r="Z40634">
        <v>400000</v>
      </c>
    </row>
    <row r="40635" spans="26:26" x14ac:dyDescent="0.25">
      <c r="Z40635">
        <v>400000</v>
      </c>
    </row>
    <row r="40636" spans="26:26" x14ac:dyDescent="0.25">
      <c r="Z40636">
        <v>400000</v>
      </c>
    </row>
    <row r="40637" spans="26:26" x14ac:dyDescent="0.25">
      <c r="Z40637">
        <v>400000</v>
      </c>
    </row>
    <row r="40638" spans="26:26" x14ac:dyDescent="0.25">
      <c r="Z40638">
        <v>400000</v>
      </c>
    </row>
    <row r="40639" spans="26:26" x14ac:dyDescent="0.25">
      <c r="Z40639">
        <v>400000</v>
      </c>
    </row>
    <row r="40640" spans="26:26" x14ac:dyDescent="0.25">
      <c r="Z40640">
        <v>400000</v>
      </c>
    </row>
    <row r="40641" spans="26:26" x14ac:dyDescent="0.25">
      <c r="Z40641">
        <v>400000</v>
      </c>
    </row>
    <row r="40642" spans="26:26" x14ac:dyDescent="0.25">
      <c r="Z40642">
        <v>400000</v>
      </c>
    </row>
    <row r="40643" spans="26:26" x14ac:dyDescent="0.25">
      <c r="Z40643">
        <v>400000</v>
      </c>
    </row>
    <row r="40644" spans="26:26" x14ac:dyDescent="0.25">
      <c r="Z40644">
        <v>400000</v>
      </c>
    </row>
    <row r="40645" spans="26:26" x14ac:dyDescent="0.25">
      <c r="Z40645">
        <v>400000</v>
      </c>
    </row>
    <row r="40646" spans="26:26" x14ac:dyDescent="0.25">
      <c r="Z40646">
        <v>400000</v>
      </c>
    </row>
    <row r="40647" spans="26:26" x14ac:dyDescent="0.25">
      <c r="Z40647">
        <v>400000</v>
      </c>
    </row>
    <row r="40648" spans="26:26" x14ac:dyDescent="0.25">
      <c r="Z40648">
        <v>400000</v>
      </c>
    </row>
    <row r="40649" spans="26:26" x14ac:dyDescent="0.25">
      <c r="Z40649">
        <v>400000</v>
      </c>
    </row>
    <row r="40650" spans="26:26" x14ac:dyDescent="0.25">
      <c r="Z40650">
        <v>400000</v>
      </c>
    </row>
    <row r="40651" spans="26:26" x14ac:dyDescent="0.25">
      <c r="Z40651">
        <v>400000</v>
      </c>
    </row>
    <row r="40652" spans="26:26" x14ac:dyDescent="0.25">
      <c r="Z40652">
        <v>400000</v>
      </c>
    </row>
    <row r="40653" spans="26:26" x14ac:dyDescent="0.25">
      <c r="Z40653">
        <v>400000</v>
      </c>
    </row>
    <row r="40654" spans="26:26" x14ac:dyDescent="0.25">
      <c r="Z40654">
        <v>400000</v>
      </c>
    </row>
    <row r="40655" spans="26:26" x14ac:dyDescent="0.25">
      <c r="Z40655">
        <v>400000</v>
      </c>
    </row>
    <row r="40656" spans="26:26" x14ac:dyDescent="0.25">
      <c r="Z40656">
        <v>400000</v>
      </c>
    </row>
    <row r="40657" spans="26:26" x14ac:dyDescent="0.25">
      <c r="Z40657">
        <v>400000</v>
      </c>
    </row>
    <row r="40658" spans="26:26" x14ac:dyDescent="0.25">
      <c r="Z40658">
        <v>400000</v>
      </c>
    </row>
    <row r="40659" spans="26:26" x14ac:dyDescent="0.25">
      <c r="Z40659">
        <v>400000</v>
      </c>
    </row>
    <row r="40660" spans="26:26" x14ac:dyDescent="0.25">
      <c r="Z40660">
        <v>400000</v>
      </c>
    </row>
    <row r="40661" spans="26:26" x14ac:dyDescent="0.25">
      <c r="Z40661">
        <v>400000</v>
      </c>
    </row>
    <row r="40662" spans="26:26" x14ac:dyDescent="0.25">
      <c r="Z40662">
        <v>400000</v>
      </c>
    </row>
    <row r="40663" spans="26:26" x14ac:dyDescent="0.25">
      <c r="Z40663">
        <v>400000</v>
      </c>
    </row>
    <row r="40664" spans="26:26" x14ac:dyDescent="0.25">
      <c r="Z40664">
        <v>400000</v>
      </c>
    </row>
    <row r="40665" spans="26:26" x14ac:dyDescent="0.25">
      <c r="Z40665">
        <v>400000</v>
      </c>
    </row>
    <row r="40666" spans="26:26" x14ac:dyDescent="0.25">
      <c r="Z40666">
        <v>400000</v>
      </c>
    </row>
    <row r="40667" spans="26:26" x14ac:dyDescent="0.25">
      <c r="Z40667">
        <v>400000</v>
      </c>
    </row>
    <row r="40668" spans="26:26" x14ac:dyDescent="0.25">
      <c r="Z40668">
        <v>400000</v>
      </c>
    </row>
    <row r="40669" spans="26:26" x14ac:dyDescent="0.25">
      <c r="Z40669">
        <v>400000</v>
      </c>
    </row>
    <row r="40670" spans="26:26" x14ac:dyDescent="0.25">
      <c r="Z40670">
        <v>400000</v>
      </c>
    </row>
    <row r="40671" spans="26:26" x14ac:dyDescent="0.25">
      <c r="Z40671">
        <v>400000</v>
      </c>
    </row>
    <row r="40672" spans="26:26" x14ac:dyDescent="0.25">
      <c r="Z40672">
        <v>400000</v>
      </c>
    </row>
    <row r="40673" spans="26:26" x14ac:dyDescent="0.25">
      <c r="Z40673">
        <v>400000</v>
      </c>
    </row>
    <row r="40674" spans="26:26" x14ac:dyDescent="0.25">
      <c r="Z40674">
        <v>400000</v>
      </c>
    </row>
    <row r="40675" spans="26:26" x14ac:dyDescent="0.25">
      <c r="Z40675">
        <v>400000</v>
      </c>
    </row>
    <row r="40676" spans="26:26" x14ac:dyDescent="0.25">
      <c r="Z40676">
        <v>400000</v>
      </c>
    </row>
    <row r="40677" spans="26:26" x14ac:dyDescent="0.25">
      <c r="Z40677">
        <v>400000</v>
      </c>
    </row>
    <row r="40678" spans="26:26" x14ac:dyDescent="0.25">
      <c r="Z40678">
        <v>400000</v>
      </c>
    </row>
    <row r="40679" spans="26:26" x14ac:dyDescent="0.25">
      <c r="Z40679">
        <v>400000</v>
      </c>
    </row>
    <row r="40680" spans="26:26" x14ac:dyDescent="0.25">
      <c r="Z40680">
        <v>400000</v>
      </c>
    </row>
    <row r="40681" spans="26:26" x14ac:dyDescent="0.25">
      <c r="Z40681">
        <v>400000</v>
      </c>
    </row>
    <row r="40682" spans="26:26" x14ac:dyDescent="0.25">
      <c r="Z40682">
        <v>400000</v>
      </c>
    </row>
    <row r="40683" spans="26:26" x14ac:dyDescent="0.25">
      <c r="Z40683">
        <v>400000</v>
      </c>
    </row>
    <row r="40684" spans="26:26" x14ac:dyDescent="0.25">
      <c r="Z40684">
        <v>400000</v>
      </c>
    </row>
    <row r="40685" spans="26:26" x14ac:dyDescent="0.25">
      <c r="Z40685">
        <v>400000</v>
      </c>
    </row>
    <row r="40686" spans="26:26" x14ac:dyDescent="0.25">
      <c r="Z40686">
        <v>400000</v>
      </c>
    </row>
    <row r="40687" spans="26:26" x14ac:dyDescent="0.25">
      <c r="Z40687">
        <v>400000</v>
      </c>
    </row>
    <row r="40688" spans="26:26" x14ac:dyDescent="0.25">
      <c r="Z40688">
        <v>400000</v>
      </c>
    </row>
    <row r="40689" spans="26:26" x14ac:dyDescent="0.25">
      <c r="Z40689">
        <v>400000</v>
      </c>
    </row>
    <row r="40690" spans="26:26" x14ac:dyDescent="0.25">
      <c r="Z40690">
        <v>400000</v>
      </c>
    </row>
    <row r="40691" spans="26:26" x14ac:dyDescent="0.25">
      <c r="Z40691">
        <v>400000</v>
      </c>
    </row>
    <row r="40692" spans="26:26" x14ac:dyDescent="0.25">
      <c r="Z40692">
        <v>400000</v>
      </c>
    </row>
    <row r="40693" spans="26:26" x14ac:dyDescent="0.25">
      <c r="Z40693">
        <v>400000</v>
      </c>
    </row>
    <row r="40694" spans="26:26" x14ac:dyDescent="0.25">
      <c r="Z40694">
        <v>400000</v>
      </c>
    </row>
    <row r="40695" spans="26:26" x14ac:dyDescent="0.25">
      <c r="Z40695">
        <v>400000</v>
      </c>
    </row>
    <row r="40696" spans="26:26" x14ac:dyDescent="0.25">
      <c r="Z40696">
        <v>400000</v>
      </c>
    </row>
    <row r="40697" spans="26:26" x14ac:dyDescent="0.25">
      <c r="Z40697">
        <v>400000</v>
      </c>
    </row>
    <row r="40698" spans="26:26" x14ac:dyDescent="0.25">
      <c r="Z40698">
        <v>400000</v>
      </c>
    </row>
    <row r="40699" spans="26:26" x14ac:dyDescent="0.25">
      <c r="Z40699">
        <v>400000</v>
      </c>
    </row>
    <row r="40700" spans="26:26" x14ac:dyDescent="0.25">
      <c r="Z40700">
        <v>400000</v>
      </c>
    </row>
    <row r="40701" spans="26:26" x14ac:dyDescent="0.25">
      <c r="Z40701">
        <v>400000</v>
      </c>
    </row>
    <row r="40702" spans="26:26" x14ac:dyDescent="0.25">
      <c r="Z40702">
        <v>400000</v>
      </c>
    </row>
    <row r="40703" spans="26:26" x14ac:dyDescent="0.25">
      <c r="Z40703">
        <v>400000</v>
      </c>
    </row>
    <row r="40704" spans="26:26" x14ac:dyDescent="0.25">
      <c r="Z40704">
        <v>400000</v>
      </c>
    </row>
    <row r="40705" spans="26:26" x14ac:dyDescent="0.25">
      <c r="Z40705">
        <v>400000</v>
      </c>
    </row>
    <row r="40706" spans="26:26" x14ac:dyDescent="0.25">
      <c r="Z40706">
        <v>400000</v>
      </c>
    </row>
    <row r="40707" spans="26:26" x14ac:dyDescent="0.25">
      <c r="Z40707">
        <v>400000</v>
      </c>
    </row>
    <row r="40708" spans="26:26" x14ac:dyDescent="0.25">
      <c r="Z40708">
        <v>400000</v>
      </c>
    </row>
    <row r="40709" spans="26:26" x14ac:dyDescent="0.25">
      <c r="Z40709">
        <v>400000</v>
      </c>
    </row>
    <row r="40710" spans="26:26" x14ac:dyDescent="0.25">
      <c r="Z40710">
        <v>400000</v>
      </c>
    </row>
    <row r="40711" spans="26:26" x14ac:dyDescent="0.25">
      <c r="Z40711">
        <v>400000</v>
      </c>
    </row>
    <row r="40712" spans="26:26" x14ac:dyDescent="0.25">
      <c r="Z40712">
        <v>400000</v>
      </c>
    </row>
    <row r="40713" spans="26:26" x14ac:dyDescent="0.25">
      <c r="Z40713">
        <v>400000</v>
      </c>
    </row>
    <row r="40714" spans="26:26" x14ac:dyDescent="0.25">
      <c r="Z40714">
        <v>400000</v>
      </c>
    </row>
    <row r="40715" spans="26:26" x14ac:dyDescent="0.25">
      <c r="Z40715">
        <v>400000</v>
      </c>
    </row>
    <row r="40716" spans="26:26" x14ac:dyDescent="0.25">
      <c r="Z40716">
        <v>400000</v>
      </c>
    </row>
    <row r="40717" spans="26:26" x14ac:dyDescent="0.25">
      <c r="Z40717">
        <v>400000</v>
      </c>
    </row>
    <row r="40718" spans="26:26" x14ac:dyDescent="0.25">
      <c r="Z40718">
        <v>400000</v>
      </c>
    </row>
    <row r="40719" spans="26:26" x14ac:dyDescent="0.25">
      <c r="Z40719">
        <v>400000</v>
      </c>
    </row>
    <row r="40720" spans="26:26" x14ac:dyDescent="0.25">
      <c r="Z40720">
        <v>400000</v>
      </c>
    </row>
    <row r="40721" spans="26:26" x14ac:dyDescent="0.25">
      <c r="Z40721">
        <v>400000</v>
      </c>
    </row>
    <row r="40722" spans="26:26" x14ac:dyDescent="0.25">
      <c r="Z40722">
        <v>400000</v>
      </c>
    </row>
    <row r="40723" spans="26:26" x14ac:dyDescent="0.25">
      <c r="Z40723">
        <v>400000</v>
      </c>
    </row>
    <row r="40724" spans="26:26" x14ac:dyDescent="0.25">
      <c r="Z40724">
        <v>400000</v>
      </c>
    </row>
    <row r="40725" spans="26:26" x14ac:dyDescent="0.25">
      <c r="Z40725">
        <v>400000</v>
      </c>
    </row>
    <row r="40726" spans="26:26" x14ac:dyDescent="0.25">
      <c r="Z40726">
        <v>400000</v>
      </c>
    </row>
    <row r="40727" spans="26:26" x14ac:dyDescent="0.25">
      <c r="Z40727">
        <v>400000</v>
      </c>
    </row>
    <row r="40728" spans="26:26" x14ac:dyDescent="0.25">
      <c r="Z40728">
        <v>400000</v>
      </c>
    </row>
    <row r="40729" spans="26:26" x14ac:dyDescent="0.25">
      <c r="Z40729">
        <v>400000</v>
      </c>
    </row>
    <row r="40730" spans="26:26" x14ac:dyDescent="0.25">
      <c r="Z40730">
        <v>400000</v>
      </c>
    </row>
    <row r="40731" spans="26:26" x14ac:dyDescent="0.25">
      <c r="Z40731">
        <v>400000</v>
      </c>
    </row>
    <row r="40732" spans="26:26" x14ac:dyDescent="0.25">
      <c r="Z40732">
        <v>400000</v>
      </c>
    </row>
    <row r="40733" spans="26:26" x14ac:dyDescent="0.25">
      <c r="Z40733">
        <v>400000</v>
      </c>
    </row>
    <row r="40734" spans="26:26" x14ac:dyDescent="0.25">
      <c r="Z40734">
        <v>400000</v>
      </c>
    </row>
    <row r="40735" spans="26:26" x14ac:dyDescent="0.25">
      <c r="Z40735">
        <v>400000</v>
      </c>
    </row>
    <row r="40736" spans="26:26" x14ac:dyDescent="0.25">
      <c r="Z40736">
        <v>400000</v>
      </c>
    </row>
    <row r="40737" spans="26:26" x14ac:dyDescent="0.25">
      <c r="Z40737">
        <v>400000</v>
      </c>
    </row>
    <row r="40738" spans="26:26" x14ac:dyDescent="0.25">
      <c r="Z40738">
        <v>400000</v>
      </c>
    </row>
    <row r="40739" spans="26:26" x14ac:dyDescent="0.25">
      <c r="Z40739">
        <v>400000</v>
      </c>
    </row>
    <row r="40740" spans="26:26" x14ac:dyDescent="0.25">
      <c r="Z40740">
        <v>400000</v>
      </c>
    </row>
    <row r="40741" spans="26:26" x14ac:dyDescent="0.25">
      <c r="Z40741">
        <v>400000</v>
      </c>
    </row>
    <row r="40742" spans="26:26" x14ac:dyDescent="0.25">
      <c r="Z40742">
        <v>400000</v>
      </c>
    </row>
    <row r="40743" spans="26:26" x14ac:dyDescent="0.25">
      <c r="Z40743">
        <v>400000</v>
      </c>
    </row>
    <row r="40744" spans="26:26" x14ac:dyDescent="0.25">
      <c r="Z40744">
        <v>400000</v>
      </c>
    </row>
    <row r="40745" spans="26:26" x14ac:dyDescent="0.25">
      <c r="Z40745">
        <v>400000</v>
      </c>
    </row>
    <row r="40746" spans="26:26" x14ac:dyDescent="0.25">
      <c r="Z40746">
        <v>400000</v>
      </c>
    </row>
    <row r="40747" spans="26:26" x14ac:dyDescent="0.25">
      <c r="Z40747">
        <v>400000</v>
      </c>
    </row>
    <row r="40748" spans="26:26" x14ac:dyDescent="0.25">
      <c r="Z40748">
        <v>400000</v>
      </c>
    </row>
    <row r="40749" spans="26:26" x14ac:dyDescent="0.25">
      <c r="Z40749">
        <v>400000</v>
      </c>
    </row>
    <row r="40750" spans="26:26" x14ac:dyDescent="0.25">
      <c r="Z40750">
        <v>400000</v>
      </c>
    </row>
    <row r="40751" spans="26:26" x14ac:dyDescent="0.25">
      <c r="Z40751">
        <v>400000</v>
      </c>
    </row>
    <row r="40752" spans="26:26" x14ac:dyDescent="0.25">
      <c r="Z40752">
        <v>400000</v>
      </c>
    </row>
    <row r="40753" spans="26:26" x14ac:dyDescent="0.25">
      <c r="Z40753">
        <v>400000</v>
      </c>
    </row>
    <row r="40754" spans="26:26" x14ac:dyDescent="0.25">
      <c r="Z40754">
        <v>400000</v>
      </c>
    </row>
    <row r="40755" spans="26:26" x14ac:dyDescent="0.25">
      <c r="Z40755">
        <v>400000</v>
      </c>
    </row>
    <row r="40756" spans="26:26" x14ac:dyDescent="0.25">
      <c r="Z40756">
        <v>400000</v>
      </c>
    </row>
    <row r="40757" spans="26:26" x14ac:dyDescent="0.25">
      <c r="Z40757">
        <v>400000</v>
      </c>
    </row>
    <row r="40758" spans="26:26" x14ac:dyDescent="0.25">
      <c r="Z40758">
        <v>400000</v>
      </c>
    </row>
    <row r="40759" spans="26:26" x14ac:dyDescent="0.25">
      <c r="Z40759">
        <v>400000</v>
      </c>
    </row>
    <row r="40760" spans="26:26" x14ac:dyDescent="0.25">
      <c r="Z40760">
        <v>400000</v>
      </c>
    </row>
    <row r="40761" spans="26:26" x14ac:dyDescent="0.25">
      <c r="Z40761">
        <v>400000</v>
      </c>
    </row>
    <row r="40762" spans="26:26" x14ac:dyDescent="0.25">
      <c r="Z40762">
        <v>400000</v>
      </c>
    </row>
    <row r="40763" spans="26:26" x14ac:dyDescent="0.25">
      <c r="Z40763">
        <v>400000</v>
      </c>
    </row>
    <row r="40764" spans="26:26" x14ac:dyDescent="0.25">
      <c r="Z40764">
        <v>400000</v>
      </c>
    </row>
    <row r="40765" spans="26:26" x14ac:dyDescent="0.25">
      <c r="Z40765">
        <v>400000</v>
      </c>
    </row>
    <row r="40766" spans="26:26" x14ac:dyDescent="0.25">
      <c r="Z40766">
        <v>400000</v>
      </c>
    </row>
    <row r="40767" spans="26:26" x14ac:dyDescent="0.25">
      <c r="Z40767">
        <v>400000</v>
      </c>
    </row>
    <row r="40768" spans="26:26" x14ac:dyDescent="0.25">
      <c r="Z40768">
        <v>400000</v>
      </c>
    </row>
    <row r="40769" spans="26:26" x14ac:dyDescent="0.25">
      <c r="Z40769">
        <v>400000</v>
      </c>
    </row>
    <row r="40770" spans="26:26" x14ac:dyDescent="0.25">
      <c r="Z40770">
        <v>400000</v>
      </c>
    </row>
    <row r="40771" spans="26:26" x14ac:dyDescent="0.25">
      <c r="Z40771">
        <v>400000</v>
      </c>
    </row>
    <row r="40772" spans="26:26" x14ac:dyDescent="0.25">
      <c r="Z40772">
        <v>400000</v>
      </c>
    </row>
    <row r="40773" spans="26:26" x14ac:dyDescent="0.25">
      <c r="Z40773">
        <v>400000</v>
      </c>
    </row>
    <row r="40774" spans="26:26" x14ac:dyDescent="0.25">
      <c r="Z40774">
        <v>400000</v>
      </c>
    </row>
    <row r="40775" spans="26:26" x14ac:dyDescent="0.25">
      <c r="Z40775">
        <v>400000</v>
      </c>
    </row>
    <row r="40776" spans="26:26" x14ac:dyDescent="0.25">
      <c r="Z40776">
        <v>400000</v>
      </c>
    </row>
    <row r="40777" spans="26:26" x14ac:dyDescent="0.25">
      <c r="Z40777">
        <v>400000</v>
      </c>
    </row>
    <row r="40778" spans="26:26" x14ac:dyDescent="0.25">
      <c r="Z40778">
        <v>400000</v>
      </c>
    </row>
    <row r="40779" spans="26:26" x14ac:dyDescent="0.25">
      <c r="Z40779">
        <v>400000</v>
      </c>
    </row>
    <row r="40780" spans="26:26" x14ac:dyDescent="0.25">
      <c r="Z40780">
        <v>400000</v>
      </c>
    </row>
    <row r="40781" spans="26:26" x14ac:dyDescent="0.25">
      <c r="Z40781">
        <v>400000</v>
      </c>
    </row>
    <row r="40782" spans="26:26" x14ac:dyDescent="0.25">
      <c r="Z40782">
        <v>400000</v>
      </c>
    </row>
    <row r="40783" spans="26:26" x14ac:dyDescent="0.25">
      <c r="Z40783">
        <v>400000</v>
      </c>
    </row>
    <row r="40784" spans="26:26" x14ac:dyDescent="0.25">
      <c r="Z40784">
        <v>400000</v>
      </c>
    </row>
    <row r="40785" spans="26:26" x14ac:dyDescent="0.25">
      <c r="Z40785">
        <v>400000</v>
      </c>
    </row>
    <row r="40786" spans="26:26" x14ac:dyDescent="0.25">
      <c r="Z40786">
        <v>400000</v>
      </c>
    </row>
    <row r="40787" spans="26:26" x14ac:dyDescent="0.25">
      <c r="Z40787">
        <v>400000</v>
      </c>
    </row>
    <row r="40788" spans="26:26" x14ac:dyDescent="0.25">
      <c r="Z40788">
        <v>400000</v>
      </c>
    </row>
    <row r="40789" spans="26:26" x14ac:dyDescent="0.25">
      <c r="Z40789">
        <v>400000</v>
      </c>
    </row>
    <row r="40790" spans="26:26" x14ac:dyDescent="0.25">
      <c r="Z40790">
        <v>400000</v>
      </c>
    </row>
    <row r="40791" spans="26:26" x14ac:dyDescent="0.25">
      <c r="Z40791">
        <v>400000</v>
      </c>
    </row>
    <row r="40792" spans="26:26" x14ac:dyDescent="0.25">
      <c r="Z40792">
        <v>400000</v>
      </c>
    </row>
    <row r="40793" spans="26:26" x14ac:dyDescent="0.25">
      <c r="Z40793">
        <v>400000</v>
      </c>
    </row>
    <row r="40794" spans="26:26" x14ac:dyDescent="0.25">
      <c r="Z40794">
        <v>400000</v>
      </c>
    </row>
    <row r="40795" spans="26:26" x14ac:dyDescent="0.25">
      <c r="Z40795">
        <v>400000</v>
      </c>
    </row>
    <row r="40796" spans="26:26" x14ac:dyDescent="0.25">
      <c r="Z40796">
        <v>400000</v>
      </c>
    </row>
    <row r="40797" spans="26:26" x14ac:dyDescent="0.25">
      <c r="Z40797">
        <v>400000</v>
      </c>
    </row>
    <row r="40798" spans="26:26" x14ac:dyDescent="0.25">
      <c r="Z40798">
        <v>400000</v>
      </c>
    </row>
    <row r="40799" spans="26:26" x14ac:dyDescent="0.25">
      <c r="Z40799">
        <v>400000</v>
      </c>
    </row>
    <row r="40800" spans="26:26" x14ac:dyDescent="0.25">
      <c r="Z40800">
        <v>400000</v>
      </c>
    </row>
    <row r="40801" spans="26:26" x14ac:dyDescent="0.25">
      <c r="Z40801">
        <v>400000</v>
      </c>
    </row>
    <row r="40802" spans="26:26" x14ac:dyDescent="0.25">
      <c r="Z40802">
        <v>400000</v>
      </c>
    </row>
    <row r="40803" spans="26:26" x14ac:dyDescent="0.25">
      <c r="Z40803">
        <v>400000</v>
      </c>
    </row>
    <row r="40804" spans="26:26" x14ac:dyDescent="0.25">
      <c r="Z40804">
        <v>400000</v>
      </c>
    </row>
    <row r="40805" spans="26:26" x14ac:dyDescent="0.25">
      <c r="Z40805">
        <v>400000</v>
      </c>
    </row>
    <row r="40806" spans="26:26" x14ac:dyDescent="0.25">
      <c r="Z40806">
        <v>400000</v>
      </c>
    </row>
    <row r="40807" spans="26:26" x14ac:dyDescent="0.25">
      <c r="Z40807">
        <v>400000</v>
      </c>
    </row>
    <row r="40808" spans="26:26" x14ac:dyDescent="0.25">
      <c r="Z40808">
        <v>400000</v>
      </c>
    </row>
    <row r="40809" spans="26:26" x14ac:dyDescent="0.25">
      <c r="Z40809">
        <v>400000</v>
      </c>
    </row>
    <row r="40810" spans="26:26" x14ac:dyDescent="0.25">
      <c r="Z40810">
        <v>400000</v>
      </c>
    </row>
    <row r="40811" spans="26:26" x14ac:dyDescent="0.25">
      <c r="Z40811">
        <v>400000</v>
      </c>
    </row>
    <row r="40812" spans="26:26" x14ac:dyDescent="0.25">
      <c r="Z40812">
        <v>400000</v>
      </c>
    </row>
    <row r="40813" spans="26:26" x14ac:dyDescent="0.25">
      <c r="Z40813">
        <v>400000</v>
      </c>
    </row>
    <row r="40814" spans="26:26" x14ac:dyDescent="0.25">
      <c r="Z40814">
        <v>400000</v>
      </c>
    </row>
    <row r="40815" spans="26:26" x14ac:dyDescent="0.25">
      <c r="Z40815">
        <v>400000</v>
      </c>
    </row>
    <row r="40816" spans="26:26" x14ac:dyDescent="0.25">
      <c r="Z40816">
        <v>400000</v>
      </c>
    </row>
    <row r="40817" spans="26:26" x14ac:dyDescent="0.25">
      <c r="Z40817">
        <v>400000</v>
      </c>
    </row>
    <row r="40818" spans="26:26" x14ac:dyDescent="0.25">
      <c r="Z40818">
        <v>400000</v>
      </c>
    </row>
    <row r="40819" spans="26:26" x14ac:dyDescent="0.25">
      <c r="Z40819">
        <v>400000</v>
      </c>
    </row>
    <row r="40820" spans="26:26" x14ac:dyDescent="0.25">
      <c r="Z40820">
        <v>400000</v>
      </c>
    </row>
    <row r="40821" spans="26:26" x14ac:dyDescent="0.25">
      <c r="Z40821">
        <v>400000</v>
      </c>
    </row>
    <row r="40822" spans="26:26" x14ac:dyDescent="0.25">
      <c r="Z40822">
        <v>400000</v>
      </c>
    </row>
    <row r="40823" spans="26:26" x14ac:dyDescent="0.25">
      <c r="Z40823">
        <v>400000</v>
      </c>
    </row>
    <row r="40824" spans="26:26" x14ac:dyDescent="0.25">
      <c r="Z40824">
        <v>400000</v>
      </c>
    </row>
    <row r="40825" spans="26:26" x14ac:dyDescent="0.25">
      <c r="Z40825">
        <v>400000</v>
      </c>
    </row>
    <row r="40826" spans="26:26" x14ac:dyDescent="0.25">
      <c r="Z40826">
        <v>400000</v>
      </c>
    </row>
    <row r="40827" spans="26:26" x14ac:dyDescent="0.25">
      <c r="Z40827">
        <v>400000</v>
      </c>
    </row>
    <row r="40828" spans="26:26" x14ac:dyDescent="0.25">
      <c r="Z40828">
        <v>400000</v>
      </c>
    </row>
    <row r="40829" spans="26:26" x14ac:dyDescent="0.25">
      <c r="Z40829">
        <v>400000</v>
      </c>
    </row>
    <row r="40830" spans="26:26" x14ac:dyDescent="0.25">
      <c r="Z40830">
        <v>400000</v>
      </c>
    </row>
    <row r="40831" spans="26:26" x14ac:dyDescent="0.25">
      <c r="Z40831">
        <v>400000</v>
      </c>
    </row>
    <row r="40832" spans="26:26" x14ac:dyDescent="0.25">
      <c r="Z40832">
        <v>400000</v>
      </c>
    </row>
    <row r="40833" spans="26:26" x14ac:dyDescent="0.25">
      <c r="Z40833">
        <v>400000</v>
      </c>
    </row>
    <row r="40834" spans="26:26" x14ac:dyDescent="0.25">
      <c r="Z40834">
        <v>400000</v>
      </c>
    </row>
    <row r="40835" spans="26:26" x14ac:dyDescent="0.25">
      <c r="Z40835">
        <v>400000</v>
      </c>
    </row>
    <row r="40836" spans="26:26" x14ac:dyDescent="0.25">
      <c r="Z40836">
        <v>400000</v>
      </c>
    </row>
    <row r="40837" spans="26:26" x14ac:dyDescent="0.25">
      <c r="Z40837">
        <v>400000</v>
      </c>
    </row>
    <row r="40838" spans="26:26" x14ac:dyDescent="0.25">
      <c r="Z40838">
        <v>400000</v>
      </c>
    </row>
    <row r="40839" spans="26:26" x14ac:dyDescent="0.25">
      <c r="Z40839">
        <v>400000</v>
      </c>
    </row>
    <row r="40840" spans="26:26" x14ac:dyDescent="0.25">
      <c r="Z40840">
        <v>400000</v>
      </c>
    </row>
    <row r="40841" spans="26:26" x14ac:dyDescent="0.25">
      <c r="Z40841">
        <v>400000</v>
      </c>
    </row>
    <row r="40842" spans="26:26" x14ac:dyDescent="0.25">
      <c r="Z40842">
        <v>400000</v>
      </c>
    </row>
    <row r="40843" spans="26:26" x14ac:dyDescent="0.25">
      <c r="Z40843">
        <v>400000</v>
      </c>
    </row>
    <row r="40844" spans="26:26" x14ac:dyDescent="0.25">
      <c r="Z40844">
        <v>400000</v>
      </c>
    </row>
    <row r="40845" spans="26:26" x14ac:dyDescent="0.25">
      <c r="Z40845">
        <v>400000</v>
      </c>
    </row>
    <row r="40846" spans="26:26" x14ac:dyDescent="0.25">
      <c r="Z40846">
        <v>400000</v>
      </c>
    </row>
    <row r="40847" spans="26:26" x14ac:dyDescent="0.25">
      <c r="Z40847">
        <v>400000</v>
      </c>
    </row>
    <row r="40848" spans="26:26" x14ac:dyDescent="0.25">
      <c r="Z40848">
        <v>400000</v>
      </c>
    </row>
    <row r="40849" spans="26:26" x14ac:dyDescent="0.25">
      <c r="Z40849">
        <v>400000</v>
      </c>
    </row>
    <row r="40850" spans="26:26" x14ac:dyDescent="0.25">
      <c r="Z40850">
        <v>400000</v>
      </c>
    </row>
    <row r="40851" spans="26:26" x14ac:dyDescent="0.25">
      <c r="Z40851">
        <v>400000</v>
      </c>
    </row>
    <row r="40852" spans="26:26" x14ac:dyDescent="0.25">
      <c r="Z40852">
        <v>400000</v>
      </c>
    </row>
    <row r="40853" spans="26:26" x14ac:dyDescent="0.25">
      <c r="Z40853">
        <v>400000</v>
      </c>
    </row>
    <row r="40854" spans="26:26" x14ac:dyDescent="0.25">
      <c r="Z40854">
        <v>400000</v>
      </c>
    </row>
    <row r="40855" spans="26:26" x14ac:dyDescent="0.25">
      <c r="Z40855">
        <v>400000</v>
      </c>
    </row>
    <row r="40856" spans="26:26" x14ac:dyDescent="0.25">
      <c r="Z40856">
        <v>400000</v>
      </c>
    </row>
    <row r="40857" spans="26:26" x14ac:dyDescent="0.25">
      <c r="Z40857">
        <v>400000</v>
      </c>
    </row>
    <row r="40858" spans="26:26" x14ac:dyDescent="0.25">
      <c r="Z40858">
        <v>400000</v>
      </c>
    </row>
    <row r="40859" spans="26:26" x14ac:dyDescent="0.25">
      <c r="Z40859">
        <v>400000</v>
      </c>
    </row>
    <row r="40860" spans="26:26" x14ac:dyDescent="0.25">
      <c r="Z40860">
        <v>400000</v>
      </c>
    </row>
    <row r="40861" spans="26:26" x14ac:dyDescent="0.25">
      <c r="Z40861">
        <v>400000</v>
      </c>
    </row>
    <row r="40862" spans="26:26" x14ac:dyDescent="0.25">
      <c r="Z40862">
        <v>400000</v>
      </c>
    </row>
    <row r="40863" spans="26:26" x14ac:dyDescent="0.25">
      <c r="Z40863">
        <v>400000</v>
      </c>
    </row>
    <row r="40864" spans="26:26" x14ac:dyDescent="0.25">
      <c r="Z40864">
        <v>400000</v>
      </c>
    </row>
    <row r="40865" spans="26:26" x14ac:dyDescent="0.25">
      <c r="Z40865">
        <v>400000</v>
      </c>
    </row>
    <row r="40866" spans="26:26" x14ac:dyDescent="0.25">
      <c r="Z40866">
        <v>400000</v>
      </c>
    </row>
    <row r="40867" spans="26:26" x14ac:dyDescent="0.25">
      <c r="Z40867">
        <v>400000</v>
      </c>
    </row>
    <row r="40868" spans="26:26" x14ac:dyDescent="0.25">
      <c r="Z40868">
        <v>400000</v>
      </c>
    </row>
    <row r="40869" spans="26:26" x14ac:dyDescent="0.25">
      <c r="Z40869">
        <v>400000</v>
      </c>
    </row>
    <row r="40870" spans="26:26" x14ac:dyDescent="0.25">
      <c r="Z40870">
        <v>400000</v>
      </c>
    </row>
    <row r="40871" spans="26:26" x14ac:dyDescent="0.25">
      <c r="Z40871">
        <v>400000</v>
      </c>
    </row>
    <row r="40872" spans="26:26" x14ac:dyDescent="0.25">
      <c r="Z40872">
        <v>400000</v>
      </c>
    </row>
    <row r="40873" spans="26:26" x14ac:dyDescent="0.25">
      <c r="Z40873">
        <v>400000</v>
      </c>
    </row>
    <row r="40874" spans="26:26" x14ac:dyDescent="0.25">
      <c r="Z40874">
        <v>400000</v>
      </c>
    </row>
    <row r="40875" spans="26:26" x14ac:dyDescent="0.25">
      <c r="Z40875">
        <v>400000</v>
      </c>
    </row>
    <row r="40876" spans="26:26" x14ac:dyDescent="0.25">
      <c r="Z40876">
        <v>400000</v>
      </c>
    </row>
    <row r="40877" spans="26:26" x14ac:dyDescent="0.25">
      <c r="Z40877">
        <v>400000</v>
      </c>
    </row>
    <row r="40878" spans="26:26" x14ac:dyDescent="0.25">
      <c r="Z40878">
        <v>400000</v>
      </c>
    </row>
    <row r="40879" spans="26:26" x14ac:dyDescent="0.25">
      <c r="Z40879">
        <v>400000</v>
      </c>
    </row>
    <row r="40880" spans="26:26" x14ac:dyDescent="0.25">
      <c r="Z40880">
        <v>400000</v>
      </c>
    </row>
    <row r="40881" spans="26:26" x14ac:dyDescent="0.25">
      <c r="Z40881">
        <v>400000</v>
      </c>
    </row>
    <row r="40882" spans="26:26" x14ac:dyDescent="0.25">
      <c r="Z40882">
        <v>400000</v>
      </c>
    </row>
    <row r="40883" spans="26:26" x14ac:dyDescent="0.25">
      <c r="Z40883">
        <v>400000</v>
      </c>
    </row>
    <row r="40884" spans="26:26" x14ac:dyDescent="0.25">
      <c r="Z40884">
        <v>400000</v>
      </c>
    </row>
    <row r="40885" spans="26:26" x14ac:dyDescent="0.25">
      <c r="Z40885">
        <v>400000</v>
      </c>
    </row>
    <row r="40886" spans="26:26" x14ac:dyDescent="0.25">
      <c r="Z40886">
        <v>400000</v>
      </c>
    </row>
    <row r="40887" spans="26:26" x14ac:dyDescent="0.25">
      <c r="Z40887">
        <v>400000</v>
      </c>
    </row>
    <row r="40888" spans="26:26" x14ac:dyDescent="0.25">
      <c r="Z40888">
        <v>400000</v>
      </c>
    </row>
    <row r="40889" spans="26:26" x14ac:dyDescent="0.25">
      <c r="Z40889">
        <v>400000</v>
      </c>
    </row>
    <row r="40890" spans="26:26" x14ac:dyDescent="0.25">
      <c r="Z40890">
        <v>400000</v>
      </c>
    </row>
    <row r="40891" spans="26:26" x14ac:dyDescent="0.25">
      <c r="Z40891">
        <v>400000</v>
      </c>
    </row>
    <row r="40892" spans="26:26" x14ac:dyDescent="0.25">
      <c r="Z40892">
        <v>400000</v>
      </c>
    </row>
    <row r="40893" spans="26:26" x14ac:dyDescent="0.25">
      <c r="Z40893">
        <v>400000</v>
      </c>
    </row>
    <row r="40894" spans="26:26" x14ac:dyDescent="0.25">
      <c r="Z40894">
        <v>400000</v>
      </c>
    </row>
    <row r="40895" spans="26:26" x14ac:dyDescent="0.25">
      <c r="Z40895">
        <v>400000</v>
      </c>
    </row>
    <row r="40896" spans="26:26" x14ac:dyDescent="0.25">
      <c r="Z40896">
        <v>400000</v>
      </c>
    </row>
    <row r="40897" spans="26:26" x14ac:dyDescent="0.25">
      <c r="Z40897">
        <v>400000</v>
      </c>
    </row>
    <row r="40898" spans="26:26" x14ac:dyDescent="0.25">
      <c r="Z40898">
        <v>400000</v>
      </c>
    </row>
    <row r="40899" spans="26:26" x14ac:dyDescent="0.25">
      <c r="Z40899">
        <v>400000</v>
      </c>
    </row>
    <row r="40900" spans="26:26" x14ac:dyDescent="0.25">
      <c r="Z40900">
        <v>400000</v>
      </c>
    </row>
    <row r="40901" spans="26:26" x14ac:dyDescent="0.25">
      <c r="Z40901">
        <v>400000</v>
      </c>
    </row>
    <row r="40902" spans="26:26" x14ac:dyDescent="0.25">
      <c r="Z40902">
        <v>400000</v>
      </c>
    </row>
    <row r="40903" spans="26:26" x14ac:dyDescent="0.25">
      <c r="Z40903">
        <v>400000</v>
      </c>
    </row>
    <row r="40904" spans="26:26" x14ac:dyDescent="0.25">
      <c r="Z40904">
        <v>400000</v>
      </c>
    </row>
    <row r="40905" spans="26:26" x14ac:dyDescent="0.25">
      <c r="Z40905">
        <v>400000</v>
      </c>
    </row>
    <row r="40906" spans="26:26" x14ac:dyDescent="0.25">
      <c r="Z40906">
        <v>400000</v>
      </c>
    </row>
    <row r="40907" spans="26:26" x14ac:dyDescent="0.25">
      <c r="Z40907">
        <v>400000</v>
      </c>
    </row>
    <row r="40908" spans="26:26" x14ac:dyDescent="0.25">
      <c r="Z40908">
        <v>400000</v>
      </c>
    </row>
    <row r="40909" spans="26:26" x14ac:dyDescent="0.25">
      <c r="Z40909">
        <v>400000</v>
      </c>
    </row>
    <row r="40910" spans="26:26" x14ac:dyDescent="0.25">
      <c r="Z40910">
        <v>400000</v>
      </c>
    </row>
    <row r="40911" spans="26:26" x14ac:dyDescent="0.25">
      <c r="Z40911">
        <v>400000</v>
      </c>
    </row>
    <row r="40912" spans="26:26" x14ac:dyDescent="0.25">
      <c r="Z40912">
        <v>400000</v>
      </c>
    </row>
    <row r="40913" spans="26:26" x14ac:dyDescent="0.25">
      <c r="Z40913">
        <v>400000</v>
      </c>
    </row>
    <row r="40914" spans="26:26" x14ac:dyDescent="0.25">
      <c r="Z40914">
        <v>400000</v>
      </c>
    </row>
    <row r="40915" spans="26:26" x14ac:dyDescent="0.25">
      <c r="Z40915">
        <v>400000</v>
      </c>
    </row>
    <row r="40916" spans="26:26" x14ac:dyDescent="0.25">
      <c r="Z40916">
        <v>400000</v>
      </c>
    </row>
    <row r="40917" spans="26:26" x14ac:dyDescent="0.25">
      <c r="Z40917">
        <v>400000</v>
      </c>
    </row>
    <row r="40918" spans="26:26" x14ac:dyDescent="0.25">
      <c r="Z40918">
        <v>400000</v>
      </c>
    </row>
    <row r="40919" spans="26:26" x14ac:dyDescent="0.25">
      <c r="Z40919">
        <v>400000</v>
      </c>
    </row>
    <row r="40920" spans="26:26" x14ac:dyDescent="0.25">
      <c r="Z40920">
        <v>400000</v>
      </c>
    </row>
    <row r="40921" spans="26:26" x14ac:dyDescent="0.25">
      <c r="Z40921">
        <v>400000</v>
      </c>
    </row>
    <row r="40922" spans="26:26" x14ac:dyDescent="0.25">
      <c r="Z40922">
        <v>400000</v>
      </c>
    </row>
    <row r="40923" spans="26:26" x14ac:dyDescent="0.25">
      <c r="Z40923">
        <v>400000</v>
      </c>
    </row>
    <row r="40924" spans="26:26" x14ac:dyDescent="0.25">
      <c r="Z40924">
        <v>400000</v>
      </c>
    </row>
    <row r="40925" spans="26:26" x14ac:dyDescent="0.25">
      <c r="Z40925">
        <v>400000</v>
      </c>
    </row>
    <row r="40926" spans="26:26" x14ac:dyDescent="0.25">
      <c r="Z40926">
        <v>400000</v>
      </c>
    </row>
    <row r="40927" spans="26:26" x14ac:dyDescent="0.25">
      <c r="Z40927">
        <v>400000</v>
      </c>
    </row>
    <row r="40928" spans="26:26" x14ac:dyDescent="0.25">
      <c r="Z40928">
        <v>400000</v>
      </c>
    </row>
    <row r="40929" spans="26:26" x14ac:dyDescent="0.25">
      <c r="Z40929">
        <v>400000</v>
      </c>
    </row>
    <row r="40930" spans="26:26" x14ac:dyDescent="0.25">
      <c r="Z40930">
        <v>400000</v>
      </c>
    </row>
    <row r="40931" spans="26:26" x14ac:dyDescent="0.25">
      <c r="Z40931">
        <v>400000</v>
      </c>
    </row>
    <row r="40932" spans="26:26" x14ac:dyDescent="0.25">
      <c r="Z40932">
        <v>400000</v>
      </c>
    </row>
    <row r="40933" spans="26:26" x14ac:dyDescent="0.25">
      <c r="Z40933">
        <v>400000</v>
      </c>
    </row>
    <row r="40934" spans="26:26" x14ac:dyDescent="0.25">
      <c r="Z40934">
        <v>400000</v>
      </c>
    </row>
    <row r="40935" spans="26:26" x14ac:dyDescent="0.25">
      <c r="Z40935">
        <v>400000</v>
      </c>
    </row>
    <row r="40936" spans="26:26" x14ac:dyDescent="0.25">
      <c r="Z40936">
        <v>400000</v>
      </c>
    </row>
    <row r="40937" spans="26:26" x14ac:dyDescent="0.25">
      <c r="Z40937">
        <v>400000</v>
      </c>
    </row>
    <row r="40938" spans="26:26" x14ac:dyDescent="0.25">
      <c r="Z40938">
        <v>400000</v>
      </c>
    </row>
    <row r="40939" spans="26:26" x14ac:dyDescent="0.25">
      <c r="Z40939">
        <v>400000</v>
      </c>
    </row>
    <row r="40940" spans="26:26" x14ac:dyDescent="0.25">
      <c r="Z40940">
        <v>400000</v>
      </c>
    </row>
    <row r="40941" spans="26:26" x14ac:dyDescent="0.25">
      <c r="Z40941">
        <v>400000</v>
      </c>
    </row>
    <row r="40942" spans="26:26" x14ac:dyDescent="0.25">
      <c r="Z40942">
        <v>400000</v>
      </c>
    </row>
    <row r="40943" spans="26:26" x14ac:dyDescent="0.25">
      <c r="Z40943">
        <v>400000</v>
      </c>
    </row>
    <row r="40944" spans="26:26" x14ac:dyDescent="0.25">
      <c r="Z40944">
        <v>400000</v>
      </c>
    </row>
    <row r="40945" spans="26:26" x14ac:dyDescent="0.25">
      <c r="Z40945">
        <v>400000</v>
      </c>
    </row>
    <row r="40946" spans="26:26" x14ac:dyDescent="0.25">
      <c r="Z40946">
        <v>400000</v>
      </c>
    </row>
    <row r="40947" spans="26:26" x14ac:dyDescent="0.25">
      <c r="Z40947">
        <v>400000</v>
      </c>
    </row>
    <row r="40948" spans="26:26" x14ac:dyDescent="0.25">
      <c r="Z40948">
        <v>400000</v>
      </c>
    </row>
    <row r="40949" spans="26:26" x14ac:dyDescent="0.25">
      <c r="Z40949">
        <v>400000</v>
      </c>
    </row>
    <row r="40950" spans="26:26" x14ac:dyDescent="0.25">
      <c r="Z40950">
        <v>400000</v>
      </c>
    </row>
    <row r="40951" spans="26:26" x14ac:dyDescent="0.25">
      <c r="Z40951">
        <v>400000</v>
      </c>
    </row>
    <row r="40952" spans="26:26" x14ac:dyDescent="0.25">
      <c r="Z40952">
        <v>400000</v>
      </c>
    </row>
    <row r="40953" spans="26:26" x14ac:dyDescent="0.25">
      <c r="Z40953">
        <v>400000</v>
      </c>
    </row>
    <row r="40954" spans="26:26" x14ac:dyDescent="0.25">
      <c r="Z40954">
        <v>400000</v>
      </c>
    </row>
    <row r="40955" spans="26:26" x14ac:dyDescent="0.25">
      <c r="Z40955">
        <v>400000</v>
      </c>
    </row>
    <row r="40956" spans="26:26" x14ac:dyDescent="0.25">
      <c r="Z40956">
        <v>400000</v>
      </c>
    </row>
    <row r="40957" spans="26:26" x14ac:dyDescent="0.25">
      <c r="Z40957">
        <v>400000</v>
      </c>
    </row>
    <row r="40958" spans="26:26" x14ac:dyDescent="0.25">
      <c r="Z40958">
        <v>400000</v>
      </c>
    </row>
    <row r="40959" spans="26:26" x14ac:dyDescent="0.25">
      <c r="Z40959">
        <v>400000</v>
      </c>
    </row>
    <row r="40960" spans="26:26" x14ac:dyDescent="0.25">
      <c r="Z40960">
        <v>400000</v>
      </c>
    </row>
    <row r="40961" spans="26:26" x14ac:dyDescent="0.25">
      <c r="Z40961">
        <v>400000</v>
      </c>
    </row>
    <row r="40962" spans="26:26" x14ac:dyDescent="0.25">
      <c r="Z40962">
        <v>400000</v>
      </c>
    </row>
    <row r="40963" spans="26:26" x14ac:dyDescent="0.25">
      <c r="Z40963">
        <v>400000</v>
      </c>
    </row>
    <row r="40964" spans="26:26" x14ac:dyDescent="0.25">
      <c r="Z40964">
        <v>400000</v>
      </c>
    </row>
    <row r="40965" spans="26:26" x14ac:dyDescent="0.25">
      <c r="Z40965">
        <v>400000</v>
      </c>
    </row>
    <row r="40966" spans="26:26" x14ac:dyDescent="0.25">
      <c r="Z40966">
        <v>400000</v>
      </c>
    </row>
    <row r="40967" spans="26:26" x14ac:dyDescent="0.25">
      <c r="Z40967">
        <v>400000</v>
      </c>
    </row>
    <row r="40968" spans="26:26" x14ac:dyDescent="0.25">
      <c r="Z40968">
        <v>400000</v>
      </c>
    </row>
    <row r="40969" spans="26:26" x14ac:dyDescent="0.25">
      <c r="Z40969">
        <v>400000</v>
      </c>
    </row>
    <row r="40970" spans="26:26" x14ac:dyDescent="0.25">
      <c r="Z40970">
        <v>400000</v>
      </c>
    </row>
    <row r="40971" spans="26:26" x14ac:dyDescent="0.25">
      <c r="Z40971">
        <v>400000</v>
      </c>
    </row>
    <row r="40972" spans="26:26" x14ac:dyDescent="0.25">
      <c r="Z40972">
        <v>400000</v>
      </c>
    </row>
    <row r="40973" spans="26:26" x14ac:dyDescent="0.25">
      <c r="Z40973">
        <v>400000</v>
      </c>
    </row>
    <row r="40974" spans="26:26" x14ac:dyDescent="0.25">
      <c r="Z40974">
        <v>400000</v>
      </c>
    </row>
    <row r="40975" spans="26:26" x14ac:dyDescent="0.25">
      <c r="Z40975">
        <v>400000</v>
      </c>
    </row>
    <row r="40976" spans="26:26" x14ac:dyDescent="0.25">
      <c r="Z40976">
        <v>400000</v>
      </c>
    </row>
    <row r="40977" spans="26:26" x14ac:dyDescent="0.25">
      <c r="Z40977">
        <v>400000</v>
      </c>
    </row>
    <row r="40978" spans="26:26" x14ac:dyDescent="0.25">
      <c r="Z40978">
        <v>400000</v>
      </c>
    </row>
    <row r="40979" spans="26:26" x14ac:dyDescent="0.25">
      <c r="Z40979">
        <v>400000</v>
      </c>
    </row>
    <row r="40980" spans="26:26" x14ac:dyDescent="0.25">
      <c r="Z40980">
        <v>400000</v>
      </c>
    </row>
    <row r="40981" spans="26:26" x14ac:dyDescent="0.25">
      <c r="Z40981">
        <v>400000</v>
      </c>
    </row>
    <row r="40982" spans="26:26" x14ac:dyDescent="0.25">
      <c r="Z40982">
        <v>400000</v>
      </c>
    </row>
    <row r="40983" spans="26:26" x14ac:dyDescent="0.25">
      <c r="Z40983">
        <v>400000</v>
      </c>
    </row>
    <row r="40984" spans="26:26" x14ac:dyDescent="0.25">
      <c r="Z40984">
        <v>400000</v>
      </c>
    </row>
    <row r="40985" spans="26:26" x14ac:dyDescent="0.25">
      <c r="Z40985">
        <v>400000</v>
      </c>
    </row>
    <row r="40986" spans="26:26" x14ac:dyDescent="0.25">
      <c r="Z40986">
        <v>400000</v>
      </c>
    </row>
    <row r="40987" spans="26:26" x14ac:dyDescent="0.25">
      <c r="Z40987">
        <v>400000</v>
      </c>
    </row>
    <row r="40988" spans="26:26" x14ac:dyDescent="0.25">
      <c r="Z40988">
        <v>400000</v>
      </c>
    </row>
    <row r="40989" spans="26:26" x14ac:dyDescent="0.25">
      <c r="Z40989">
        <v>400000</v>
      </c>
    </row>
    <row r="40990" spans="26:26" x14ac:dyDescent="0.25">
      <c r="Z40990">
        <v>400000</v>
      </c>
    </row>
    <row r="40991" spans="26:26" x14ac:dyDescent="0.25">
      <c r="Z40991">
        <v>400000</v>
      </c>
    </row>
    <row r="40992" spans="26:26" x14ac:dyDescent="0.25">
      <c r="Z40992">
        <v>400000</v>
      </c>
    </row>
    <row r="40993" spans="26:26" x14ac:dyDescent="0.25">
      <c r="Z40993">
        <v>400000</v>
      </c>
    </row>
    <row r="40994" spans="26:26" x14ac:dyDescent="0.25">
      <c r="Z40994">
        <v>400000</v>
      </c>
    </row>
    <row r="40995" spans="26:26" x14ac:dyDescent="0.25">
      <c r="Z40995">
        <v>400000</v>
      </c>
    </row>
    <row r="40996" spans="26:26" x14ac:dyDescent="0.25">
      <c r="Z40996">
        <v>400000</v>
      </c>
    </row>
    <row r="40997" spans="26:26" x14ac:dyDescent="0.25">
      <c r="Z40997">
        <v>400000</v>
      </c>
    </row>
    <row r="40998" spans="26:26" x14ac:dyDescent="0.25">
      <c r="Z40998">
        <v>400000</v>
      </c>
    </row>
    <row r="40999" spans="26:26" x14ac:dyDescent="0.25">
      <c r="Z40999">
        <v>400000</v>
      </c>
    </row>
    <row r="41000" spans="26:26" x14ac:dyDescent="0.25">
      <c r="Z41000">
        <v>400000</v>
      </c>
    </row>
    <row r="41001" spans="26:26" x14ac:dyDescent="0.25">
      <c r="Z41001">
        <v>400000</v>
      </c>
    </row>
    <row r="41002" spans="26:26" x14ac:dyDescent="0.25">
      <c r="Z41002">
        <v>400000</v>
      </c>
    </row>
    <row r="41003" spans="26:26" x14ac:dyDescent="0.25">
      <c r="Z41003">
        <v>400000</v>
      </c>
    </row>
    <row r="41004" spans="26:26" x14ac:dyDescent="0.25">
      <c r="Z41004">
        <v>400000</v>
      </c>
    </row>
    <row r="41005" spans="26:26" x14ac:dyDescent="0.25">
      <c r="Z41005">
        <v>400000</v>
      </c>
    </row>
    <row r="41006" spans="26:26" x14ac:dyDescent="0.25">
      <c r="Z41006">
        <v>400000</v>
      </c>
    </row>
    <row r="41007" spans="26:26" x14ac:dyDescent="0.25">
      <c r="Z41007">
        <v>400000</v>
      </c>
    </row>
    <row r="41008" spans="26:26" x14ac:dyDescent="0.25">
      <c r="Z41008">
        <v>400000</v>
      </c>
    </row>
    <row r="41009" spans="26:26" x14ac:dyDescent="0.25">
      <c r="Z41009">
        <v>400000</v>
      </c>
    </row>
    <row r="41010" spans="26:26" x14ac:dyDescent="0.25">
      <c r="Z41010">
        <v>400000</v>
      </c>
    </row>
    <row r="41011" spans="26:26" x14ac:dyDescent="0.25">
      <c r="Z41011">
        <v>400000</v>
      </c>
    </row>
    <row r="41012" spans="26:26" x14ac:dyDescent="0.25">
      <c r="Z41012">
        <v>400000</v>
      </c>
    </row>
    <row r="41013" spans="26:26" x14ac:dyDescent="0.25">
      <c r="Z41013">
        <v>400000</v>
      </c>
    </row>
    <row r="41014" spans="26:26" x14ac:dyDescent="0.25">
      <c r="Z41014">
        <v>400000</v>
      </c>
    </row>
    <row r="41015" spans="26:26" x14ac:dyDescent="0.25">
      <c r="Z41015">
        <v>400000</v>
      </c>
    </row>
    <row r="41016" spans="26:26" x14ac:dyDescent="0.25">
      <c r="Z41016">
        <v>400000</v>
      </c>
    </row>
    <row r="41017" spans="26:26" x14ac:dyDescent="0.25">
      <c r="Z41017">
        <v>400000</v>
      </c>
    </row>
    <row r="41018" spans="26:26" x14ac:dyDescent="0.25">
      <c r="Z41018">
        <v>400000</v>
      </c>
    </row>
    <row r="41019" spans="26:26" x14ac:dyDescent="0.25">
      <c r="Z41019">
        <v>400000</v>
      </c>
    </row>
    <row r="41020" spans="26:26" x14ac:dyDescent="0.25">
      <c r="Z41020">
        <v>400000</v>
      </c>
    </row>
    <row r="41021" spans="26:26" x14ac:dyDescent="0.25">
      <c r="Z41021">
        <v>400000</v>
      </c>
    </row>
    <row r="41022" spans="26:26" x14ac:dyDescent="0.25">
      <c r="Z41022">
        <v>400000</v>
      </c>
    </row>
    <row r="41023" spans="26:26" x14ac:dyDescent="0.25">
      <c r="Z41023">
        <v>400000</v>
      </c>
    </row>
    <row r="41024" spans="26:26" x14ac:dyDescent="0.25">
      <c r="Z41024">
        <v>400000</v>
      </c>
    </row>
    <row r="41025" spans="26:26" x14ac:dyDescent="0.25">
      <c r="Z41025">
        <v>400000</v>
      </c>
    </row>
    <row r="41026" spans="26:26" x14ac:dyDescent="0.25">
      <c r="Z41026">
        <v>400000</v>
      </c>
    </row>
    <row r="41027" spans="26:26" x14ac:dyDescent="0.25">
      <c r="Z41027">
        <v>400000</v>
      </c>
    </row>
    <row r="41028" spans="26:26" x14ac:dyDescent="0.25">
      <c r="Z41028">
        <v>400000</v>
      </c>
    </row>
    <row r="41029" spans="26:26" x14ac:dyDescent="0.25">
      <c r="Z41029">
        <v>400000</v>
      </c>
    </row>
    <row r="41030" spans="26:26" x14ac:dyDescent="0.25">
      <c r="Z41030">
        <v>400000</v>
      </c>
    </row>
    <row r="41031" spans="26:26" x14ac:dyDescent="0.25">
      <c r="Z41031">
        <v>400000</v>
      </c>
    </row>
    <row r="41032" spans="26:26" x14ac:dyDescent="0.25">
      <c r="Z41032">
        <v>400000</v>
      </c>
    </row>
    <row r="41033" spans="26:26" x14ac:dyDescent="0.25">
      <c r="Z41033">
        <v>400000</v>
      </c>
    </row>
    <row r="41034" spans="26:26" x14ac:dyDescent="0.25">
      <c r="Z41034">
        <v>400000</v>
      </c>
    </row>
    <row r="41035" spans="26:26" x14ac:dyDescent="0.25">
      <c r="Z41035">
        <v>400000</v>
      </c>
    </row>
    <row r="41036" spans="26:26" x14ac:dyDescent="0.25">
      <c r="Z41036">
        <v>400000</v>
      </c>
    </row>
    <row r="41037" spans="26:26" x14ac:dyDescent="0.25">
      <c r="Z41037">
        <v>400000</v>
      </c>
    </row>
    <row r="41038" spans="26:26" x14ac:dyDescent="0.25">
      <c r="Z41038">
        <v>400000</v>
      </c>
    </row>
    <row r="41039" spans="26:26" x14ac:dyDescent="0.25">
      <c r="Z41039">
        <v>400000</v>
      </c>
    </row>
    <row r="41040" spans="26:26" x14ac:dyDescent="0.25">
      <c r="Z41040">
        <v>400000</v>
      </c>
    </row>
    <row r="41041" spans="26:26" x14ac:dyDescent="0.25">
      <c r="Z41041">
        <v>400000</v>
      </c>
    </row>
    <row r="41042" spans="26:26" x14ac:dyDescent="0.25">
      <c r="Z41042">
        <v>400000</v>
      </c>
    </row>
    <row r="41043" spans="26:26" x14ac:dyDescent="0.25">
      <c r="Z41043">
        <v>400000</v>
      </c>
    </row>
    <row r="41044" spans="26:26" x14ac:dyDescent="0.25">
      <c r="Z41044">
        <v>400000</v>
      </c>
    </row>
    <row r="41045" spans="26:26" x14ac:dyDescent="0.25">
      <c r="Z41045">
        <v>400000</v>
      </c>
    </row>
    <row r="41046" spans="26:26" x14ac:dyDescent="0.25">
      <c r="Z41046">
        <v>400000</v>
      </c>
    </row>
    <row r="41047" spans="26:26" x14ac:dyDescent="0.25">
      <c r="Z41047">
        <v>400000</v>
      </c>
    </row>
    <row r="41048" spans="26:26" x14ac:dyDescent="0.25">
      <c r="Z41048">
        <v>400000</v>
      </c>
    </row>
    <row r="41049" spans="26:26" x14ac:dyDescent="0.25">
      <c r="Z41049">
        <v>400000</v>
      </c>
    </row>
    <row r="41050" spans="26:26" x14ac:dyDescent="0.25">
      <c r="Z41050">
        <v>400000</v>
      </c>
    </row>
    <row r="41051" spans="26:26" x14ac:dyDescent="0.25">
      <c r="Z41051">
        <v>400000</v>
      </c>
    </row>
    <row r="41052" spans="26:26" x14ac:dyDescent="0.25">
      <c r="Z41052">
        <v>400000</v>
      </c>
    </row>
    <row r="41053" spans="26:26" x14ac:dyDescent="0.25">
      <c r="Z41053">
        <v>400000</v>
      </c>
    </row>
    <row r="41054" spans="26:26" x14ac:dyDescent="0.25">
      <c r="Z41054">
        <v>400000</v>
      </c>
    </row>
    <row r="41055" spans="26:26" x14ac:dyDescent="0.25">
      <c r="Z41055">
        <v>400000</v>
      </c>
    </row>
    <row r="41056" spans="26:26" x14ac:dyDescent="0.25">
      <c r="Z41056">
        <v>400000</v>
      </c>
    </row>
    <row r="41057" spans="26:26" x14ac:dyDescent="0.25">
      <c r="Z41057">
        <v>400000</v>
      </c>
    </row>
    <row r="41058" spans="26:26" x14ac:dyDescent="0.25">
      <c r="Z41058">
        <v>400000</v>
      </c>
    </row>
    <row r="41059" spans="26:26" x14ac:dyDescent="0.25">
      <c r="Z41059">
        <v>400000</v>
      </c>
    </row>
    <row r="41060" spans="26:26" x14ac:dyDescent="0.25">
      <c r="Z41060">
        <v>400000</v>
      </c>
    </row>
    <row r="41061" spans="26:26" x14ac:dyDescent="0.25">
      <c r="Z41061">
        <v>400000</v>
      </c>
    </row>
    <row r="41062" spans="26:26" x14ac:dyDescent="0.25">
      <c r="Z41062">
        <v>400000</v>
      </c>
    </row>
    <row r="41063" spans="26:26" x14ac:dyDescent="0.25">
      <c r="Z41063">
        <v>400000</v>
      </c>
    </row>
    <row r="41064" spans="26:26" x14ac:dyDescent="0.25">
      <c r="Z41064">
        <v>400000</v>
      </c>
    </row>
    <row r="41065" spans="26:26" x14ac:dyDescent="0.25">
      <c r="Z41065">
        <v>400000</v>
      </c>
    </row>
    <row r="41066" spans="26:26" x14ac:dyDescent="0.25">
      <c r="Z41066">
        <v>400000</v>
      </c>
    </row>
    <row r="41067" spans="26:26" x14ac:dyDescent="0.25">
      <c r="Z41067">
        <v>400000</v>
      </c>
    </row>
    <row r="41068" spans="26:26" x14ac:dyDescent="0.25">
      <c r="Z41068">
        <v>400000</v>
      </c>
    </row>
    <row r="41069" spans="26:26" x14ac:dyDescent="0.25">
      <c r="Z41069">
        <v>400000</v>
      </c>
    </row>
    <row r="41070" spans="26:26" x14ac:dyDescent="0.25">
      <c r="Z41070">
        <v>400000</v>
      </c>
    </row>
    <row r="41071" spans="26:26" x14ac:dyDescent="0.25">
      <c r="Z41071">
        <v>400000</v>
      </c>
    </row>
    <row r="41072" spans="26:26" x14ac:dyDescent="0.25">
      <c r="Z41072">
        <v>400000</v>
      </c>
    </row>
    <row r="41073" spans="26:26" x14ac:dyDescent="0.25">
      <c r="Z41073">
        <v>400000</v>
      </c>
    </row>
    <row r="41074" spans="26:26" x14ac:dyDescent="0.25">
      <c r="Z41074">
        <v>400000</v>
      </c>
    </row>
    <row r="41075" spans="26:26" x14ac:dyDescent="0.25">
      <c r="Z41075">
        <v>400000</v>
      </c>
    </row>
    <row r="41076" spans="26:26" x14ac:dyDescent="0.25">
      <c r="Z41076">
        <v>400000</v>
      </c>
    </row>
    <row r="41077" spans="26:26" x14ac:dyDescent="0.25">
      <c r="Z41077">
        <v>400000</v>
      </c>
    </row>
    <row r="41078" spans="26:26" x14ac:dyDescent="0.25">
      <c r="Z41078">
        <v>400000</v>
      </c>
    </row>
    <row r="41079" spans="26:26" x14ac:dyDescent="0.25">
      <c r="Z41079">
        <v>400000</v>
      </c>
    </row>
    <row r="41080" spans="26:26" x14ac:dyDescent="0.25">
      <c r="Z41080">
        <v>400000</v>
      </c>
    </row>
    <row r="41081" spans="26:26" x14ac:dyDescent="0.25">
      <c r="Z41081">
        <v>400000</v>
      </c>
    </row>
    <row r="41082" spans="26:26" x14ac:dyDescent="0.25">
      <c r="Z41082">
        <v>400000</v>
      </c>
    </row>
    <row r="41083" spans="26:26" x14ac:dyDescent="0.25">
      <c r="Z41083">
        <v>400000</v>
      </c>
    </row>
    <row r="41084" spans="26:26" x14ac:dyDescent="0.25">
      <c r="Z41084">
        <v>400000</v>
      </c>
    </row>
    <row r="41085" spans="26:26" x14ac:dyDescent="0.25">
      <c r="Z41085">
        <v>400000</v>
      </c>
    </row>
    <row r="41086" spans="26:26" x14ac:dyDescent="0.25">
      <c r="Z41086">
        <v>400000</v>
      </c>
    </row>
    <row r="41087" spans="26:26" x14ac:dyDescent="0.25">
      <c r="Z41087">
        <v>400000</v>
      </c>
    </row>
    <row r="41088" spans="26:26" x14ac:dyDescent="0.25">
      <c r="Z41088">
        <v>400000</v>
      </c>
    </row>
    <row r="41089" spans="26:26" x14ac:dyDescent="0.25">
      <c r="Z41089">
        <v>400000</v>
      </c>
    </row>
    <row r="41090" spans="26:26" x14ac:dyDescent="0.25">
      <c r="Z41090">
        <v>400000</v>
      </c>
    </row>
    <row r="41091" spans="26:26" x14ac:dyDescent="0.25">
      <c r="Z41091">
        <v>400000</v>
      </c>
    </row>
    <row r="41092" spans="26:26" x14ac:dyDescent="0.25">
      <c r="Z41092">
        <v>400000</v>
      </c>
    </row>
    <row r="41093" spans="26:26" x14ac:dyDescent="0.25">
      <c r="Z41093">
        <v>400000</v>
      </c>
    </row>
    <row r="41094" spans="26:26" x14ac:dyDescent="0.25">
      <c r="Z41094">
        <v>400000</v>
      </c>
    </row>
    <row r="41095" spans="26:26" x14ac:dyDescent="0.25">
      <c r="Z41095">
        <v>400000</v>
      </c>
    </row>
    <row r="41096" spans="26:26" x14ac:dyDescent="0.25">
      <c r="Z41096">
        <v>400000</v>
      </c>
    </row>
    <row r="41097" spans="26:26" x14ac:dyDescent="0.25">
      <c r="Z41097">
        <v>400000</v>
      </c>
    </row>
    <row r="41098" spans="26:26" x14ac:dyDescent="0.25">
      <c r="Z41098">
        <v>400000</v>
      </c>
    </row>
    <row r="41099" spans="26:26" x14ac:dyDescent="0.25">
      <c r="Z41099">
        <v>400000</v>
      </c>
    </row>
    <row r="41100" spans="26:26" x14ac:dyDescent="0.25">
      <c r="Z41100">
        <v>400000</v>
      </c>
    </row>
    <row r="41101" spans="26:26" x14ac:dyDescent="0.25">
      <c r="Z41101">
        <v>400000</v>
      </c>
    </row>
    <row r="41102" spans="26:26" x14ac:dyDescent="0.25">
      <c r="Z41102">
        <v>400000</v>
      </c>
    </row>
    <row r="41103" spans="26:26" x14ac:dyDescent="0.25">
      <c r="Z41103">
        <v>400000</v>
      </c>
    </row>
    <row r="41104" spans="26:26" x14ac:dyDescent="0.25">
      <c r="Z41104">
        <v>400000</v>
      </c>
    </row>
    <row r="41105" spans="26:26" x14ac:dyDescent="0.25">
      <c r="Z41105">
        <v>400000</v>
      </c>
    </row>
    <row r="41106" spans="26:26" x14ac:dyDescent="0.25">
      <c r="Z41106">
        <v>400000</v>
      </c>
    </row>
    <row r="41107" spans="26:26" x14ac:dyDescent="0.25">
      <c r="Z41107">
        <v>400000</v>
      </c>
    </row>
    <row r="41108" spans="26:26" x14ac:dyDescent="0.25">
      <c r="Z41108">
        <v>400000</v>
      </c>
    </row>
    <row r="41109" spans="26:26" x14ac:dyDescent="0.25">
      <c r="Z41109">
        <v>400000</v>
      </c>
    </row>
    <row r="41110" spans="26:26" x14ac:dyDescent="0.25">
      <c r="Z41110">
        <v>400000</v>
      </c>
    </row>
    <row r="41111" spans="26:26" x14ac:dyDescent="0.25">
      <c r="Z41111">
        <v>400000</v>
      </c>
    </row>
    <row r="41112" spans="26:26" x14ac:dyDescent="0.25">
      <c r="Z41112">
        <v>400000</v>
      </c>
    </row>
    <row r="41113" spans="26:26" x14ac:dyDescent="0.25">
      <c r="Z41113">
        <v>400000</v>
      </c>
    </row>
    <row r="41114" spans="26:26" x14ac:dyDescent="0.25">
      <c r="Z41114">
        <v>400000</v>
      </c>
    </row>
    <row r="41115" spans="26:26" x14ac:dyDescent="0.25">
      <c r="Z41115">
        <v>400000</v>
      </c>
    </row>
    <row r="41116" spans="26:26" x14ac:dyDescent="0.25">
      <c r="Z41116">
        <v>400000</v>
      </c>
    </row>
    <row r="41117" spans="26:26" x14ac:dyDescent="0.25">
      <c r="Z41117">
        <v>400000</v>
      </c>
    </row>
    <row r="41118" spans="26:26" x14ac:dyDescent="0.25">
      <c r="Z41118">
        <v>400000</v>
      </c>
    </row>
    <row r="41119" spans="26:26" x14ac:dyDescent="0.25">
      <c r="Z41119">
        <v>400000</v>
      </c>
    </row>
    <row r="41120" spans="26:26" x14ac:dyDescent="0.25">
      <c r="Z41120">
        <v>400000</v>
      </c>
    </row>
    <row r="41121" spans="26:26" x14ac:dyDescent="0.25">
      <c r="Z41121">
        <v>400000</v>
      </c>
    </row>
    <row r="41122" spans="26:26" x14ac:dyDescent="0.25">
      <c r="Z41122">
        <v>400000</v>
      </c>
    </row>
    <row r="41123" spans="26:26" x14ac:dyDescent="0.25">
      <c r="Z41123">
        <v>400000</v>
      </c>
    </row>
    <row r="41124" spans="26:26" x14ac:dyDescent="0.25">
      <c r="Z41124">
        <v>400000</v>
      </c>
    </row>
    <row r="41125" spans="26:26" x14ac:dyDescent="0.25">
      <c r="Z41125">
        <v>400000</v>
      </c>
    </row>
    <row r="41126" spans="26:26" x14ac:dyDescent="0.25">
      <c r="Z41126">
        <v>400000</v>
      </c>
    </row>
    <row r="41127" spans="26:26" x14ac:dyDescent="0.25">
      <c r="Z41127">
        <v>400000</v>
      </c>
    </row>
    <row r="41128" spans="26:26" x14ac:dyDescent="0.25">
      <c r="Z41128">
        <v>400000</v>
      </c>
    </row>
    <row r="41129" spans="26:26" x14ac:dyDescent="0.25">
      <c r="Z41129">
        <v>400000</v>
      </c>
    </row>
    <row r="41130" spans="26:26" x14ac:dyDescent="0.25">
      <c r="Z41130">
        <v>400000</v>
      </c>
    </row>
    <row r="41131" spans="26:26" x14ac:dyDescent="0.25">
      <c r="Z41131">
        <v>400000</v>
      </c>
    </row>
    <row r="41132" spans="26:26" x14ac:dyDescent="0.25">
      <c r="Z41132">
        <v>400000</v>
      </c>
    </row>
    <row r="41133" spans="26:26" x14ac:dyDescent="0.25">
      <c r="Z41133">
        <v>400000</v>
      </c>
    </row>
    <row r="41134" spans="26:26" x14ac:dyDescent="0.25">
      <c r="Z41134">
        <v>400000</v>
      </c>
    </row>
    <row r="41135" spans="26:26" x14ac:dyDescent="0.25">
      <c r="Z41135">
        <v>400000</v>
      </c>
    </row>
    <row r="41136" spans="26:26" x14ac:dyDescent="0.25">
      <c r="Z41136">
        <v>400000</v>
      </c>
    </row>
    <row r="41137" spans="26:26" x14ac:dyDescent="0.25">
      <c r="Z41137">
        <v>400000</v>
      </c>
    </row>
    <row r="41138" spans="26:26" x14ac:dyDescent="0.25">
      <c r="Z41138">
        <v>400000</v>
      </c>
    </row>
    <row r="41139" spans="26:26" x14ac:dyDescent="0.25">
      <c r="Z41139">
        <v>400000</v>
      </c>
    </row>
    <row r="41140" spans="26:26" x14ac:dyDescent="0.25">
      <c r="Z41140">
        <v>400000</v>
      </c>
    </row>
    <row r="41141" spans="26:26" x14ac:dyDescent="0.25">
      <c r="Z41141">
        <v>400000</v>
      </c>
    </row>
    <row r="41142" spans="26:26" x14ac:dyDescent="0.25">
      <c r="Z41142">
        <v>400000</v>
      </c>
    </row>
    <row r="41143" spans="26:26" x14ac:dyDescent="0.25">
      <c r="Z41143">
        <v>400000</v>
      </c>
    </row>
    <row r="41144" spans="26:26" x14ac:dyDescent="0.25">
      <c r="Z41144">
        <v>400000</v>
      </c>
    </row>
    <row r="41145" spans="26:26" x14ac:dyDescent="0.25">
      <c r="Z41145">
        <v>400000</v>
      </c>
    </row>
    <row r="41146" spans="26:26" x14ac:dyDescent="0.25">
      <c r="Z41146">
        <v>400000</v>
      </c>
    </row>
    <row r="41147" spans="26:26" x14ac:dyDescent="0.25">
      <c r="Z41147">
        <v>400000</v>
      </c>
    </row>
    <row r="41148" spans="26:26" x14ac:dyDescent="0.25">
      <c r="Z41148">
        <v>400000</v>
      </c>
    </row>
    <row r="41149" spans="26:26" x14ac:dyDescent="0.25">
      <c r="Z41149">
        <v>400000</v>
      </c>
    </row>
    <row r="41150" spans="26:26" x14ac:dyDescent="0.25">
      <c r="Z41150">
        <v>400000</v>
      </c>
    </row>
    <row r="41151" spans="26:26" x14ac:dyDescent="0.25">
      <c r="Z41151">
        <v>400000</v>
      </c>
    </row>
    <row r="41152" spans="26:26" x14ac:dyDescent="0.25">
      <c r="Z41152">
        <v>400000</v>
      </c>
    </row>
    <row r="41153" spans="26:26" x14ac:dyDescent="0.25">
      <c r="Z41153">
        <v>400000</v>
      </c>
    </row>
    <row r="41154" spans="26:26" x14ac:dyDescent="0.25">
      <c r="Z41154">
        <v>400000</v>
      </c>
    </row>
    <row r="41155" spans="26:26" x14ac:dyDescent="0.25">
      <c r="Z41155">
        <v>400000</v>
      </c>
    </row>
    <row r="41156" spans="26:26" x14ac:dyDescent="0.25">
      <c r="Z41156">
        <v>400000</v>
      </c>
    </row>
    <row r="41157" spans="26:26" x14ac:dyDescent="0.25">
      <c r="Z41157">
        <v>400000</v>
      </c>
    </row>
    <row r="41158" spans="26:26" x14ac:dyDescent="0.25">
      <c r="Z41158">
        <v>400000</v>
      </c>
    </row>
    <row r="41159" spans="26:26" x14ac:dyDescent="0.25">
      <c r="Z41159">
        <v>400000</v>
      </c>
    </row>
    <row r="41160" spans="26:26" x14ac:dyDescent="0.25">
      <c r="Z41160">
        <v>400000</v>
      </c>
    </row>
    <row r="41161" spans="26:26" x14ac:dyDescent="0.25">
      <c r="Z41161">
        <v>400000</v>
      </c>
    </row>
    <row r="41162" spans="26:26" x14ac:dyDescent="0.25">
      <c r="Z41162">
        <v>400000</v>
      </c>
    </row>
    <row r="41163" spans="26:26" x14ac:dyDescent="0.25">
      <c r="Z41163">
        <v>400000</v>
      </c>
    </row>
    <row r="41164" spans="26:26" x14ac:dyDescent="0.25">
      <c r="Z41164">
        <v>400000</v>
      </c>
    </row>
    <row r="41165" spans="26:26" x14ac:dyDescent="0.25">
      <c r="Z41165">
        <v>400000</v>
      </c>
    </row>
    <row r="41166" spans="26:26" x14ac:dyDescent="0.25">
      <c r="Z41166">
        <v>400000</v>
      </c>
    </row>
    <row r="41167" spans="26:26" x14ac:dyDescent="0.25">
      <c r="Z41167">
        <v>400000</v>
      </c>
    </row>
    <row r="41168" spans="26:26" x14ac:dyDescent="0.25">
      <c r="Z41168">
        <v>400000</v>
      </c>
    </row>
    <row r="41169" spans="26:26" x14ac:dyDescent="0.25">
      <c r="Z41169">
        <v>400000</v>
      </c>
    </row>
    <row r="41170" spans="26:26" x14ac:dyDescent="0.25">
      <c r="Z41170">
        <v>400000</v>
      </c>
    </row>
    <row r="41171" spans="26:26" x14ac:dyDescent="0.25">
      <c r="Z41171">
        <v>400000</v>
      </c>
    </row>
    <row r="41172" spans="26:26" x14ac:dyDescent="0.25">
      <c r="Z41172">
        <v>400000</v>
      </c>
    </row>
    <row r="41173" spans="26:26" x14ac:dyDescent="0.25">
      <c r="Z41173">
        <v>400000</v>
      </c>
    </row>
    <row r="41174" spans="26:26" x14ac:dyDescent="0.25">
      <c r="Z41174">
        <v>400000</v>
      </c>
    </row>
    <row r="41175" spans="26:26" x14ac:dyDescent="0.25">
      <c r="Z41175">
        <v>400000</v>
      </c>
    </row>
    <row r="41176" spans="26:26" x14ac:dyDescent="0.25">
      <c r="Z41176">
        <v>400000</v>
      </c>
    </row>
    <row r="41177" spans="26:26" x14ac:dyDescent="0.25">
      <c r="Z41177">
        <v>400000</v>
      </c>
    </row>
    <row r="41178" spans="26:26" x14ac:dyDescent="0.25">
      <c r="Z41178">
        <v>400000</v>
      </c>
    </row>
    <row r="41179" spans="26:26" x14ac:dyDescent="0.25">
      <c r="Z41179">
        <v>400000</v>
      </c>
    </row>
    <row r="41180" spans="26:26" x14ac:dyDescent="0.25">
      <c r="Z41180">
        <v>400000</v>
      </c>
    </row>
    <row r="41181" spans="26:26" x14ac:dyDescent="0.25">
      <c r="Z41181">
        <v>400000</v>
      </c>
    </row>
    <row r="41182" spans="26:26" x14ac:dyDescent="0.25">
      <c r="Z41182">
        <v>400000</v>
      </c>
    </row>
    <row r="41183" spans="26:26" x14ac:dyDescent="0.25">
      <c r="Z41183">
        <v>400000</v>
      </c>
    </row>
    <row r="41184" spans="26:26" x14ac:dyDescent="0.25">
      <c r="Z41184">
        <v>400000</v>
      </c>
    </row>
    <row r="41185" spans="26:26" x14ac:dyDescent="0.25">
      <c r="Z41185">
        <v>400000</v>
      </c>
    </row>
    <row r="41186" spans="26:26" x14ac:dyDescent="0.25">
      <c r="Z41186">
        <v>400000</v>
      </c>
    </row>
    <row r="41187" spans="26:26" x14ac:dyDescent="0.25">
      <c r="Z41187">
        <v>400000</v>
      </c>
    </row>
    <row r="41188" spans="26:26" x14ac:dyDescent="0.25">
      <c r="Z41188">
        <v>400000</v>
      </c>
    </row>
    <row r="41189" spans="26:26" x14ac:dyDescent="0.25">
      <c r="Z41189">
        <v>400000</v>
      </c>
    </row>
    <row r="41190" spans="26:26" x14ac:dyDescent="0.25">
      <c r="Z41190">
        <v>400000</v>
      </c>
    </row>
    <row r="41191" spans="26:26" x14ac:dyDescent="0.25">
      <c r="Z41191">
        <v>400000</v>
      </c>
    </row>
    <row r="41192" spans="26:26" x14ac:dyDescent="0.25">
      <c r="Z41192">
        <v>400000</v>
      </c>
    </row>
    <row r="41193" spans="26:26" x14ac:dyDescent="0.25">
      <c r="Z41193">
        <v>400000</v>
      </c>
    </row>
    <row r="41194" spans="26:26" x14ac:dyDescent="0.25">
      <c r="Z41194">
        <v>400000</v>
      </c>
    </row>
    <row r="41195" spans="26:26" x14ac:dyDescent="0.25">
      <c r="Z41195">
        <v>400000</v>
      </c>
    </row>
    <row r="41196" spans="26:26" x14ac:dyDescent="0.25">
      <c r="Z41196">
        <v>400000</v>
      </c>
    </row>
    <row r="41197" spans="26:26" x14ac:dyDescent="0.25">
      <c r="Z41197">
        <v>400000</v>
      </c>
    </row>
    <row r="41198" spans="26:26" x14ac:dyDescent="0.25">
      <c r="Z41198">
        <v>400000</v>
      </c>
    </row>
    <row r="41199" spans="26:26" x14ac:dyDescent="0.25">
      <c r="Z41199">
        <v>400000</v>
      </c>
    </row>
    <row r="41200" spans="26:26" x14ac:dyDescent="0.25">
      <c r="Z41200">
        <v>400000</v>
      </c>
    </row>
    <row r="41201" spans="26:26" x14ac:dyDescent="0.25">
      <c r="Z41201">
        <v>400000</v>
      </c>
    </row>
    <row r="41202" spans="26:26" x14ac:dyDescent="0.25">
      <c r="Z41202">
        <v>400000</v>
      </c>
    </row>
    <row r="41203" spans="26:26" x14ac:dyDescent="0.25">
      <c r="Z41203">
        <v>400000</v>
      </c>
    </row>
    <row r="41204" spans="26:26" x14ac:dyDescent="0.25">
      <c r="Z41204">
        <v>400000</v>
      </c>
    </row>
    <row r="41205" spans="26:26" x14ac:dyDescent="0.25">
      <c r="Z41205">
        <v>400000</v>
      </c>
    </row>
    <row r="41206" spans="26:26" x14ac:dyDescent="0.25">
      <c r="Z41206">
        <v>400000</v>
      </c>
    </row>
    <row r="41207" spans="26:26" x14ac:dyDescent="0.25">
      <c r="Z41207">
        <v>400000</v>
      </c>
    </row>
    <row r="41208" spans="26:26" x14ac:dyDescent="0.25">
      <c r="Z41208">
        <v>400000</v>
      </c>
    </row>
    <row r="41209" spans="26:26" x14ac:dyDescent="0.25">
      <c r="Z41209">
        <v>400000</v>
      </c>
    </row>
    <row r="41210" spans="26:26" x14ac:dyDescent="0.25">
      <c r="Z41210">
        <v>400000</v>
      </c>
    </row>
    <row r="41211" spans="26:26" x14ac:dyDescent="0.25">
      <c r="Z41211">
        <v>400000</v>
      </c>
    </row>
    <row r="41212" spans="26:26" x14ac:dyDescent="0.25">
      <c r="Z41212">
        <v>400000</v>
      </c>
    </row>
    <row r="41213" spans="26:26" x14ac:dyDescent="0.25">
      <c r="Z41213">
        <v>400000</v>
      </c>
    </row>
    <row r="41214" spans="26:26" x14ac:dyDescent="0.25">
      <c r="Z41214">
        <v>400000</v>
      </c>
    </row>
    <row r="41215" spans="26:26" x14ac:dyDescent="0.25">
      <c r="Z41215">
        <v>400000</v>
      </c>
    </row>
    <row r="41216" spans="26:26" x14ac:dyDescent="0.25">
      <c r="Z41216">
        <v>400000</v>
      </c>
    </row>
    <row r="41217" spans="26:26" x14ac:dyDescent="0.25">
      <c r="Z41217">
        <v>400000</v>
      </c>
    </row>
    <row r="41218" spans="26:26" x14ac:dyDescent="0.25">
      <c r="Z41218">
        <v>400000</v>
      </c>
    </row>
    <row r="41219" spans="26:26" x14ac:dyDescent="0.25">
      <c r="Z41219">
        <v>400000</v>
      </c>
    </row>
    <row r="41220" spans="26:26" x14ac:dyDescent="0.25">
      <c r="Z41220">
        <v>400000</v>
      </c>
    </row>
    <row r="41221" spans="26:26" x14ac:dyDescent="0.25">
      <c r="Z41221">
        <v>400000</v>
      </c>
    </row>
    <row r="41222" spans="26:26" x14ac:dyDescent="0.25">
      <c r="Z41222">
        <v>400000</v>
      </c>
    </row>
    <row r="41223" spans="26:26" x14ac:dyDescent="0.25">
      <c r="Z41223">
        <v>400000</v>
      </c>
    </row>
    <row r="41224" spans="26:26" x14ac:dyDescent="0.25">
      <c r="Z41224">
        <v>400000</v>
      </c>
    </row>
    <row r="41225" spans="26:26" x14ac:dyDescent="0.25">
      <c r="Z41225">
        <v>400000</v>
      </c>
    </row>
    <row r="41226" spans="26:26" x14ac:dyDescent="0.25">
      <c r="Z41226">
        <v>400000</v>
      </c>
    </row>
    <row r="41227" spans="26:26" x14ac:dyDescent="0.25">
      <c r="Z41227">
        <v>400000</v>
      </c>
    </row>
    <row r="41228" spans="26:26" x14ac:dyDescent="0.25">
      <c r="Z41228">
        <v>400000</v>
      </c>
    </row>
    <row r="41229" spans="26:26" x14ac:dyDescent="0.25">
      <c r="Z41229">
        <v>400000</v>
      </c>
    </row>
    <row r="41230" spans="26:26" x14ac:dyDescent="0.25">
      <c r="Z41230">
        <v>400000</v>
      </c>
    </row>
    <row r="41231" spans="26:26" x14ac:dyDescent="0.25">
      <c r="Z41231">
        <v>400000</v>
      </c>
    </row>
    <row r="41232" spans="26:26" x14ac:dyDescent="0.25">
      <c r="Z41232">
        <v>400000</v>
      </c>
    </row>
    <row r="41233" spans="26:26" x14ac:dyDescent="0.25">
      <c r="Z41233">
        <v>400000</v>
      </c>
    </row>
    <row r="41234" spans="26:26" x14ac:dyDescent="0.25">
      <c r="Z41234">
        <v>400000</v>
      </c>
    </row>
    <row r="41235" spans="26:26" x14ac:dyDescent="0.25">
      <c r="Z41235">
        <v>400000</v>
      </c>
    </row>
    <row r="41236" spans="26:26" x14ac:dyDescent="0.25">
      <c r="Z41236">
        <v>400000</v>
      </c>
    </row>
    <row r="41237" spans="26:26" x14ac:dyDescent="0.25">
      <c r="Z41237">
        <v>400000</v>
      </c>
    </row>
    <row r="41238" spans="26:26" x14ac:dyDescent="0.25">
      <c r="Z41238">
        <v>400000</v>
      </c>
    </row>
    <row r="41239" spans="26:26" x14ac:dyDescent="0.25">
      <c r="Z41239">
        <v>400000</v>
      </c>
    </row>
    <row r="41240" spans="26:26" x14ac:dyDescent="0.25">
      <c r="Z41240">
        <v>400000</v>
      </c>
    </row>
    <row r="41241" spans="26:26" x14ac:dyDescent="0.25">
      <c r="Z41241">
        <v>400000</v>
      </c>
    </row>
    <row r="41242" spans="26:26" x14ac:dyDescent="0.25">
      <c r="Z41242">
        <v>400000</v>
      </c>
    </row>
    <row r="41243" spans="26:26" x14ac:dyDescent="0.25">
      <c r="Z41243">
        <v>400000</v>
      </c>
    </row>
    <row r="41244" spans="26:26" x14ac:dyDescent="0.25">
      <c r="Z41244">
        <v>400000</v>
      </c>
    </row>
    <row r="41245" spans="26:26" x14ac:dyDescent="0.25">
      <c r="Z41245">
        <v>400000</v>
      </c>
    </row>
    <row r="41246" spans="26:26" x14ac:dyDescent="0.25">
      <c r="Z41246">
        <v>400000</v>
      </c>
    </row>
    <row r="41247" spans="26:26" x14ac:dyDescent="0.25">
      <c r="Z41247">
        <v>400000</v>
      </c>
    </row>
    <row r="41248" spans="26:26" x14ac:dyDescent="0.25">
      <c r="Z41248">
        <v>400000</v>
      </c>
    </row>
    <row r="41249" spans="26:26" x14ac:dyDescent="0.25">
      <c r="Z41249">
        <v>400000</v>
      </c>
    </row>
    <row r="41250" spans="26:26" x14ac:dyDescent="0.25">
      <c r="Z41250">
        <v>400000</v>
      </c>
    </row>
    <row r="41251" spans="26:26" x14ac:dyDescent="0.25">
      <c r="Z41251">
        <v>400000</v>
      </c>
    </row>
    <row r="41252" spans="26:26" x14ac:dyDescent="0.25">
      <c r="Z41252">
        <v>400000</v>
      </c>
    </row>
    <row r="41253" spans="26:26" x14ac:dyDescent="0.25">
      <c r="Z41253">
        <v>400000</v>
      </c>
    </row>
    <row r="41254" spans="26:26" x14ac:dyDescent="0.25">
      <c r="Z41254">
        <v>400000</v>
      </c>
    </row>
    <row r="41255" spans="26:26" x14ac:dyDescent="0.25">
      <c r="Z41255">
        <v>400000</v>
      </c>
    </row>
    <row r="41256" spans="26:26" x14ac:dyDescent="0.25">
      <c r="Z41256">
        <v>400000</v>
      </c>
    </row>
    <row r="41257" spans="26:26" x14ac:dyDescent="0.25">
      <c r="Z41257">
        <v>400000</v>
      </c>
    </row>
    <row r="41258" spans="26:26" x14ac:dyDescent="0.25">
      <c r="Z41258">
        <v>400000</v>
      </c>
    </row>
    <row r="41259" spans="26:26" x14ac:dyDescent="0.25">
      <c r="Z41259">
        <v>400000</v>
      </c>
    </row>
    <row r="41260" spans="26:26" x14ac:dyDescent="0.25">
      <c r="Z41260">
        <v>400000</v>
      </c>
    </row>
    <row r="41261" spans="26:26" x14ac:dyDescent="0.25">
      <c r="Z41261">
        <v>400000</v>
      </c>
    </row>
    <row r="41262" spans="26:26" x14ac:dyDescent="0.25">
      <c r="Z41262">
        <v>400000</v>
      </c>
    </row>
    <row r="41263" spans="26:26" x14ac:dyDescent="0.25">
      <c r="Z41263">
        <v>400000</v>
      </c>
    </row>
    <row r="41264" spans="26:26" x14ac:dyDescent="0.25">
      <c r="Z41264">
        <v>400000</v>
      </c>
    </row>
    <row r="41265" spans="26:26" x14ac:dyDescent="0.25">
      <c r="Z41265">
        <v>400000</v>
      </c>
    </row>
    <row r="41266" spans="26:26" x14ac:dyDescent="0.25">
      <c r="Z41266">
        <v>400000</v>
      </c>
    </row>
    <row r="41267" spans="26:26" x14ac:dyDescent="0.25">
      <c r="Z41267">
        <v>400000</v>
      </c>
    </row>
    <row r="41268" spans="26:26" x14ac:dyDescent="0.25">
      <c r="Z41268">
        <v>400000</v>
      </c>
    </row>
    <row r="41269" spans="26:26" x14ac:dyDescent="0.25">
      <c r="Z41269">
        <v>400000</v>
      </c>
    </row>
    <row r="41270" spans="26:26" x14ac:dyDescent="0.25">
      <c r="Z41270">
        <v>400000</v>
      </c>
    </row>
    <row r="41271" spans="26:26" x14ac:dyDescent="0.25">
      <c r="Z41271">
        <v>400000</v>
      </c>
    </row>
    <row r="41272" spans="26:26" x14ac:dyDescent="0.25">
      <c r="Z41272">
        <v>400000</v>
      </c>
    </row>
    <row r="41273" spans="26:26" x14ac:dyDescent="0.25">
      <c r="Z41273">
        <v>400000</v>
      </c>
    </row>
    <row r="41274" spans="26:26" x14ac:dyDescent="0.25">
      <c r="Z41274">
        <v>400000</v>
      </c>
    </row>
    <row r="41275" spans="26:26" x14ac:dyDescent="0.25">
      <c r="Z41275">
        <v>400000</v>
      </c>
    </row>
    <row r="41276" spans="26:26" x14ac:dyDescent="0.25">
      <c r="Z41276">
        <v>400000</v>
      </c>
    </row>
    <row r="41277" spans="26:26" x14ac:dyDescent="0.25">
      <c r="Z41277">
        <v>400000</v>
      </c>
    </row>
    <row r="41278" spans="26:26" x14ac:dyDescent="0.25">
      <c r="Z41278">
        <v>400000</v>
      </c>
    </row>
    <row r="41279" spans="26:26" x14ac:dyDescent="0.25">
      <c r="Z41279">
        <v>400000</v>
      </c>
    </row>
    <row r="41280" spans="26:26" x14ac:dyDescent="0.25">
      <c r="Z41280">
        <v>400000</v>
      </c>
    </row>
    <row r="41281" spans="26:26" x14ac:dyDescent="0.25">
      <c r="Z41281">
        <v>400000</v>
      </c>
    </row>
    <row r="41282" spans="26:26" x14ac:dyDescent="0.25">
      <c r="Z41282">
        <v>400000</v>
      </c>
    </row>
    <row r="41283" spans="26:26" x14ac:dyDescent="0.25">
      <c r="Z41283">
        <v>400000</v>
      </c>
    </row>
    <row r="41284" spans="26:26" x14ac:dyDescent="0.25">
      <c r="Z41284">
        <v>400000</v>
      </c>
    </row>
    <row r="41285" spans="26:26" x14ac:dyDescent="0.25">
      <c r="Z41285">
        <v>400000</v>
      </c>
    </row>
    <row r="41286" spans="26:26" x14ac:dyDescent="0.25">
      <c r="Z41286">
        <v>400000</v>
      </c>
    </row>
    <row r="41287" spans="26:26" x14ac:dyDescent="0.25">
      <c r="Z41287">
        <v>400000</v>
      </c>
    </row>
    <row r="41288" spans="26:26" x14ac:dyDescent="0.25">
      <c r="Z41288">
        <v>400000</v>
      </c>
    </row>
    <row r="41289" spans="26:26" x14ac:dyDescent="0.25">
      <c r="Z41289">
        <v>400000</v>
      </c>
    </row>
    <row r="41290" spans="26:26" x14ac:dyDescent="0.25">
      <c r="Z41290">
        <v>400000</v>
      </c>
    </row>
    <row r="41291" spans="26:26" x14ac:dyDescent="0.25">
      <c r="Z41291">
        <v>400000</v>
      </c>
    </row>
    <row r="41292" spans="26:26" x14ac:dyDescent="0.25">
      <c r="Z41292">
        <v>400000</v>
      </c>
    </row>
    <row r="41293" spans="26:26" x14ac:dyDescent="0.25">
      <c r="Z41293">
        <v>400000</v>
      </c>
    </row>
    <row r="41294" spans="26:26" x14ac:dyDescent="0.25">
      <c r="Z41294">
        <v>400000</v>
      </c>
    </row>
    <row r="41295" spans="26:26" x14ac:dyDescent="0.25">
      <c r="Z41295">
        <v>400000</v>
      </c>
    </row>
    <row r="41296" spans="26:26" x14ac:dyDescent="0.25">
      <c r="Z41296">
        <v>400000</v>
      </c>
    </row>
    <row r="41297" spans="26:26" x14ac:dyDescent="0.25">
      <c r="Z41297">
        <v>400000</v>
      </c>
    </row>
    <row r="41298" spans="26:26" x14ac:dyDescent="0.25">
      <c r="Z41298">
        <v>400000</v>
      </c>
    </row>
    <row r="41299" spans="26:26" x14ac:dyDescent="0.25">
      <c r="Z41299">
        <v>400000</v>
      </c>
    </row>
    <row r="41300" spans="26:26" x14ac:dyDescent="0.25">
      <c r="Z41300">
        <v>400000</v>
      </c>
    </row>
    <row r="41301" spans="26:26" x14ac:dyDescent="0.25">
      <c r="Z41301">
        <v>400000</v>
      </c>
    </row>
    <row r="41302" spans="26:26" x14ac:dyDescent="0.25">
      <c r="Z41302">
        <v>400000</v>
      </c>
    </row>
    <row r="41303" spans="26:26" x14ac:dyDescent="0.25">
      <c r="Z41303">
        <v>400000</v>
      </c>
    </row>
    <row r="41304" spans="26:26" x14ac:dyDescent="0.25">
      <c r="Z41304">
        <v>400000</v>
      </c>
    </row>
    <row r="41305" spans="26:26" x14ac:dyDescent="0.25">
      <c r="Z41305">
        <v>400000</v>
      </c>
    </row>
    <row r="41306" spans="26:26" x14ac:dyDescent="0.25">
      <c r="Z41306">
        <v>400000</v>
      </c>
    </row>
    <row r="41307" spans="26:26" x14ac:dyDescent="0.25">
      <c r="Z41307">
        <v>400000</v>
      </c>
    </row>
    <row r="41308" spans="26:26" x14ac:dyDescent="0.25">
      <c r="Z41308">
        <v>400000</v>
      </c>
    </row>
    <row r="41309" spans="26:26" x14ac:dyDescent="0.25">
      <c r="Z41309">
        <v>400000</v>
      </c>
    </row>
    <row r="41310" spans="26:26" x14ac:dyDescent="0.25">
      <c r="Z41310">
        <v>400000</v>
      </c>
    </row>
    <row r="41311" spans="26:26" x14ac:dyDescent="0.25">
      <c r="Z41311">
        <v>400000</v>
      </c>
    </row>
    <row r="41312" spans="26:26" x14ac:dyDescent="0.25">
      <c r="Z41312">
        <v>400000</v>
      </c>
    </row>
    <row r="41313" spans="26:26" x14ac:dyDescent="0.25">
      <c r="Z41313">
        <v>400000</v>
      </c>
    </row>
    <row r="41314" spans="26:26" x14ac:dyDescent="0.25">
      <c r="Z41314">
        <v>400000</v>
      </c>
    </row>
    <row r="41315" spans="26:26" x14ac:dyDescent="0.25">
      <c r="Z41315">
        <v>400000</v>
      </c>
    </row>
    <row r="41316" spans="26:26" x14ac:dyDescent="0.25">
      <c r="Z41316">
        <v>400000</v>
      </c>
    </row>
    <row r="41317" spans="26:26" x14ac:dyDescent="0.25">
      <c r="Z41317">
        <v>400000</v>
      </c>
    </row>
    <row r="41318" spans="26:26" x14ac:dyDescent="0.25">
      <c r="Z41318">
        <v>400000</v>
      </c>
    </row>
    <row r="41319" spans="26:26" x14ac:dyDescent="0.25">
      <c r="Z41319">
        <v>400000</v>
      </c>
    </row>
    <row r="41320" spans="26:26" x14ac:dyDescent="0.25">
      <c r="Z41320">
        <v>400000</v>
      </c>
    </row>
    <row r="41321" spans="26:26" x14ac:dyDescent="0.25">
      <c r="Z41321">
        <v>400000</v>
      </c>
    </row>
    <row r="41322" spans="26:26" x14ac:dyDescent="0.25">
      <c r="Z41322">
        <v>400000</v>
      </c>
    </row>
    <row r="41323" spans="26:26" x14ac:dyDescent="0.25">
      <c r="Z41323">
        <v>400000</v>
      </c>
    </row>
    <row r="41324" spans="26:26" x14ac:dyDescent="0.25">
      <c r="Z41324">
        <v>400000</v>
      </c>
    </row>
    <row r="41325" spans="26:26" x14ac:dyDescent="0.25">
      <c r="Z41325">
        <v>400000</v>
      </c>
    </row>
    <row r="41326" spans="26:26" x14ac:dyDescent="0.25">
      <c r="Z41326">
        <v>400000</v>
      </c>
    </row>
    <row r="41327" spans="26:26" x14ac:dyDescent="0.25">
      <c r="Z41327">
        <v>400000</v>
      </c>
    </row>
    <row r="41328" spans="26:26" x14ac:dyDescent="0.25">
      <c r="Z41328">
        <v>400000</v>
      </c>
    </row>
    <row r="41329" spans="26:26" x14ac:dyDescent="0.25">
      <c r="Z41329">
        <v>400000</v>
      </c>
    </row>
    <row r="41330" spans="26:26" x14ac:dyDescent="0.25">
      <c r="Z41330">
        <v>400000</v>
      </c>
    </row>
    <row r="41331" spans="26:26" x14ac:dyDescent="0.25">
      <c r="Z41331">
        <v>400000</v>
      </c>
    </row>
    <row r="41332" spans="26:26" x14ac:dyDescent="0.25">
      <c r="Z41332">
        <v>400000</v>
      </c>
    </row>
    <row r="41333" spans="26:26" x14ac:dyDescent="0.25">
      <c r="Z41333">
        <v>400000</v>
      </c>
    </row>
    <row r="41334" spans="26:26" x14ac:dyDescent="0.25">
      <c r="Z41334">
        <v>400000</v>
      </c>
    </row>
    <row r="41335" spans="26:26" x14ac:dyDescent="0.25">
      <c r="Z41335">
        <v>400000</v>
      </c>
    </row>
    <row r="41336" spans="26:26" x14ac:dyDescent="0.25">
      <c r="Z41336">
        <v>400000</v>
      </c>
    </row>
    <row r="41337" spans="26:26" x14ac:dyDescent="0.25">
      <c r="Z41337">
        <v>400000</v>
      </c>
    </row>
    <row r="41338" spans="26:26" x14ac:dyDescent="0.25">
      <c r="Z41338">
        <v>400000</v>
      </c>
    </row>
    <row r="41339" spans="26:26" x14ac:dyDescent="0.25">
      <c r="Z41339">
        <v>400000</v>
      </c>
    </row>
    <row r="41340" spans="26:26" x14ac:dyDescent="0.25">
      <c r="Z41340">
        <v>400000</v>
      </c>
    </row>
    <row r="41341" spans="26:26" x14ac:dyDescent="0.25">
      <c r="Z41341">
        <v>400000</v>
      </c>
    </row>
    <row r="41342" spans="26:26" x14ac:dyDescent="0.25">
      <c r="Z41342">
        <v>400000</v>
      </c>
    </row>
    <row r="41343" spans="26:26" x14ac:dyDescent="0.25">
      <c r="Z41343">
        <v>400000</v>
      </c>
    </row>
    <row r="41344" spans="26:26" x14ac:dyDescent="0.25">
      <c r="Z41344">
        <v>400000</v>
      </c>
    </row>
    <row r="41345" spans="26:26" x14ac:dyDescent="0.25">
      <c r="Z41345">
        <v>400000</v>
      </c>
    </row>
    <row r="41346" spans="26:26" x14ac:dyDescent="0.25">
      <c r="Z41346">
        <v>400000</v>
      </c>
    </row>
    <row r="41347" spans="26:26" x14ac:dyDescent="0.25">
      <c r="Z41347">
        <v>400000</v>
      </c>
    </row>
    <row r="41348" spans="26:26" x14ac:dyDescent="0.25">
      <c r="Z41348">
        <v>400000</v>
      </c>
    </row>
    <row r="41349" spans="26:26" x14ac:dyDescent="0.25">
      <c r="Z41349">
        <v>400000</v>
      </c>
    </row>
    <row r="41350" spans="26:26" x14ac:dyDescent="0.25">
      <c r="Z41350">
        <v>400000</v>
      </c>
    </row>
    <row r="41351" spans="26:26" x14ac:dyDescent="0.25">
      <c r="Z41351">
        <v>400000</v>
      </c>
    </row>
    <row r="41352" spans="26:26" x14ac:dyDescent="0.25">
      <c r="Z41352">
        <v>400000</v>
      </c>
    </row>
    <row r="41353" spans="26:26" x14ac:dyDescent="0.25">
      <c r="Z41353">
        <v>400000</v>
      </c>
    </row>
    <row r="41354" spans="26:26" x14ac:dyDescent="0.25">
      <c r="Z41354">
        <v>400000</v>
      </c>
    </row>
    <row r="41355" spans="26:26" x14ac:dyDescent="0.25">
      <c r="Z41355">
        <v>400000</v>
      </c>
    </row>
    <row r="41356" spans="26:26" x14ac:dyDescent="0.25">
      <c r="Z41356">
        <v>400000</v>
      </c>
    </row>
    <row r="41357" spans="26:26" x14ac:dyDescent="0.25">
      <c r="Z41357">
        <v>400000</v>
      </c>
    </row>
    <row r="41358" spans="26:26" x14ac:dyDescent="0.25">
      <c r="Z41358">
        <v>400000</v>
      </c>
    </row>
    <row r="41359" spans="26:26" x14ac:dyDescent="0.25">
      <c r="Z41359">
        <v>400000</v>
      </c>
    </row>
    <row r="41360" spans="26:26" x14ac:dyDescent="0.25">
      <c r="Z41360">
        <v>400000</v>
      </c>
    </row>
    <row r="41361" spans="26:26" x14ac:dyDescent="0.25">
      <c r="Z41361">
        <v>400000</v>
      </c>
    </row>
    <row r="41362" spans="26:26" x14ac:dyDescent="0.25">
      <c r="Z41362">
        <v>400000</v>
      </c>
    </row>
    <row r="41363" spans="26:26" x14ac:dyDescent="0.25">
      <c r="Z41363">
        <v>400000</v>
      </c>
    </row>
    <row r="41364" spans="26:26" x14ac:dyDescent="0.25">
      <c r="Z41364">
        <v>400000</v>
      </c>
    </row>
    <row r="41365" spans="26:26" x14ac:dyDescent="0.25">
      <c r="Z41365">
        <v>400000</v>
      </c>
    </row>
    <row r="41366" spans="26:26" x14ac:dyDescent="0.25">
      <c r="Z41366">
        <v>400000</v>
      </c>
    </row>
    <row r="41367" spans="26:26" x14ac:dyDescent="0.25">
      <c r="Z41367">
        <v>400000</v>
      </c>
    </row>
    <row r="41368" spans="26:26" x14ac:dyDescent="0.25">
      <c r="Z41368">
        <v>400000</v>
      </c>
    </row>
    <row r="41369" spans="26:26" x14ac:dyDescent="0.25">
      <c r="Z41369">
        <v>400000</v>
      </c>
    </row>
    <row r="41370" spans="26:26" x14ac:dyDescent="0.25">
      <c r="Z41370">
        <v>400000</v>
      </c>
    </row>
    <row r="41371" spans="26:26" x14ac:dyDescent="0.25">
      <c r="Z41371">
        <v>400000</v>
      </c>
    </row>
    <row r="41372" spans="26:26" x14ac:dyDescent="0.25">
      <c r="Z41372">
        <v>400000</v>
      </c>
    </row>
    <row r="41373" spans="26:26" x14ac:dyDescent="0.25">
      <c r="Z41373">
        <v>400000</v>
      </c>
    </row>
    <row r="41374" spans="26:26" x14ac:dyDescent="0.25">
      <c r="Z41374">
        <v>400000</v>
      </c>
    </row>
    <row r="41375" spans="26:26" x14ac:dyDescent="0.25">
      <c r="Z41375">
        <v>400000</v>
      </c>
    </row>
    <row r="41376" spans="26:26" x14ac:dyDescent="0.25">
      <c r="Z41376">
        <v>400000</v>
      </c>
    </row>
    <row r="41377" spans="26:26" x14ac:dyDescent="0.25">
      <c r="Z41377">
        <v>400000</v>
      </c>
    </row>
    <row r="41378" spans="26:26" x14ac:dyDescent="0.25">
      <c r="Z41378">
        <v>400000</v>
      </c>
    </row>
    <row r="41379" spans="26:26" x14ac:dyDescent="0.25">
      <c r="Z41379">
        <v>400000</v>
      </c>
    </row>
    <row r="41380" spans="26:26" x14ac:dyDescent="0.25">
      <c r="Z41380">
        <v>400000</v>
      </c>
    </row>
    <row r="41381" spans="26:26" x14ac:dyDescent="0.25">
      <c r="Z41381">
        <v>400000</v>
      </c>
    </row>
    <row r="41382" spans="26:26" x14ac:dyDescent="0.25">
      <c r="Z41382">
        <v>400000</v>
      </c>
    </row>
    <row r="41383" spans="26:26" x14ac:dyDescent="0.25">
      <c r="Z41383">
        <v>400000</v>
      </c>
    </row>
    <row r="41384" spans="26:26" x14ac:dyDescent="0.25">
      <c r="Z41384">
        <v>400000</v>
      </c>
    </row>
    <row r="41385" spans="26:26" x14ac:dyDescent="0.25">
      <c r="Z41385">
        <v>400000</v>
      </c>
    </row>
    <row r="41386" spans="26:26" x14ac:dyDescent="0.25">
      <c r="Z41386">
        <v>400000</v>
      </c>
    </row>
    <row r="41387" spans="26:26" x14ac:dyDescent="0.25">
      <c r="Z41387">
        <v>400000</v>
      </c>
    </row>
    <row r="41388" spans="26:26" x14ac:dyDescent="0.25">
      <c r="Z41388">
        <v>400000</v>
      </c>
    </row>
    <row r="41389" spans="26:26" x14ac:dyDescent="0.25">
      <c r="Z41389">
        <v>400000</v>
      </c>
    </row>
    <row r="41390" spans="26:26" x14ac:dyDescent="0.25">
      <c r="Z41390">
        <v>400000</v>
      </c>
    </row>
    <row r="41391" spans="26:26" x14ac:dyDescent="0.25">
      <c r="Z41391">
        <v>400000</v>
      </c>
    </row>
    <row r="41392" spans="26:26" x14ac:dyDescent="0.25">
      <c r="Z41392">
        <v>400000</v>
      </c>
    </row>
    <row r="41393" spans="26:26" x14ac:dyDescent="0.25">
      <c r="Z41393">
        <v>400000</v>
      </c>
    </row>
    <row r="41394" spans="26:26" x14ac:dyDescent="0.25">
      <c r="Z41394">
        <v>400000</v>
      </c>
    </row>
    <row r="41395" spans="26:26" x14ac:dyDescent="0.25">
      <c r="Z41395">
        <v>400000</v>
      </c>
    </row>
    <row r="41396" spans="26:26" x14ac:dyDescent="0.25">
      <c r="Z41396">
        <v>400000</v>
      </c>
    </row>
    <row r="41397" spans="26:26" x14ac:dyDescent="0.25">
      <c r="Z41397">
        <v>400000</v>
      </c>
    </row>
    <row r="41398" spans="26:26" x14ac:dyDescent="0.25">
      <c r="Z41398">
        <v>400000</v>
      </c>
    </row>
    <row r="41399" spans="26:26" x14ac:dyDescent="0.25">
      <c r="Z41399">
        <v>400000</v>
      </c>
    </row>
    <row r="41400" spans="26:26" x14ac:dyDescent="0.25">
      <c r="Z41400">
        <v>400000</v>
      </c>
    </row>
    <row r="41401" spans="26:26" x14ac:dyDescent="0.25">
      <c r="Z41401">
        <v>400000</v>
      </c>
    </row>
    <row r="41402" spans="26:26" x14ac:dyDescent="0.25">
      <c r="Z41402">
        <v>400000</v>
      </c>
    </row>
    <row r="41403" spans="26:26" x14ac:dyDescent="0.25">
      <c r="Z41403">
        <v>400000</v>
      </c>
    </row>
    <row r="41404" spans="26:26" x14ac:dyDescent="0.25">
      <c r="Z41404">
        <v>400000</v>
      </c>
    </row>
    <row r="41405" spans="26:26" x14ac:dyDescent="0.25">
      <c r="Z41405">
        <v>400000</v>
      </c>
    </row>
    <row r="41406" spans="26:26" x14ac:dyDescent="0.25">
      <c r="Z41406">
        <v>400000</v>
      </c>
    </row>
    <row r="41407" spans="26:26" x14ac:dyDescent="0.25">
      <c r="Z41407">
        <v>400000</v>
      </c>
    </row>
    <row r="41408" spans="26:26" x14ac:dyDescent="0.25">
      <c r="Z41408">
        <v>400000</v>
      </c>
    </row>
    <row r="41409" spans="26:26" x14ac:dyDescent="0.25">
      <c r="Z41409">
        <v>400000</v>
      </c>
    </row>
    <row r="41410" spans="26:26" x14ac:dyDescent="0.25">
      <c r="Z41410">
        <v>400000</v>
      </c>
    </row>
    <row r="41411" spans="26:26" x14ac:dyDescent="0.25">
      <c r="Z41411">
        <v>400000</v>
      </c>
    </row>
    <row r="41412" spans="26:26" x14ac:dyDescent="0.25">
      <c r="Z41412">
        <v>400000</v>
      </c>
    </row>
    <row r="41413" spans="26:26" x14ac:dyDescent="0.25">
      <c r="Z41413">
        <v>400000</v>
      </c>
    </row>
    <row r="41414" spans="26:26" x14ac:dyDescent="0.25">
      <c r="Z41414">
        <v>400000</v>
      </c>
    </row>
    <row r="41415" spans="26:26" x14ac:dyDescent="0.25">
      <c r="Z41415">
        <v>400000</v>
      </c>
    </row>
    <row r="41416" spans="26:26" x14ac:dyDescent="0.25">
      <c r="Z41416">
        <v>400000</v>
      </c>
    </row>
    <row r="41417" spans="26:26" x14ac:dyDescent="0.25">
      <c r="Z41417">
        <v>400000</v>
      </c>
    </row>
    <row r="41418" spans="26:26" x14ac:dyDescent="0.25">
      <c r="Z41418">
        <v>400000</v>
      </c>
    </row>
    <row r="41419" spans="26:26" x14ac:dyDescent="0.25">
      <c r="Z41419">
        <v>400000</v>
      </c>
    </row>
    <row r="41420" spans="26:26" x14ac:dyDescent="0.25">
      <c r="Z41420">
        <v>400000</v>
      </c>
    </row>
    <row r="41421" spans="26:26" x14ac:dyDescent="0.25">
      <c r="Z41421">
        <v>400000</v>
      </c>
    </row>
    <row r="41422" spans="26:26" x14ac:dyDescent="0.25">
      <c r="Z41422">
        <v>400000</v>
      </c>
    </row>
    <row r="41423" spans="26:26" x14ac:dyDescent="0.25">
      <c r="Z41423">
        <v>400000</v>
      </c>
    </row>
    <row r="41424" spans="26:26" x14ac:dyDescent="0.25">
      <c r="Z41424">
        <v>400000</v>
      </c>
    </row>
    <row r="41425" spans="26:26" x14ac:dyDescent="0.25">
      <c r="Z41425">
        <v>400000</v>
      </c>
    </row>
    <row r="41426" spans="26:26" x14ac:dyDescent="0.25">
      <c r="Z41426">
        <v>400000</v>
      </c>
    </row>
    <row r="41427" spans="26:26" x14ac:dyDescent="0.25">
      <c r="Z41427">
        <v>400000</v>
      </c>
    </row>
    <row r="41428" spans="26:26" x14ac:dyDescent="0.25">
      <c r="Z41428">
        <v>400000</v>
      </c>
    </row>
    <row r="41429" spans="26:26" x14ac:dyDescent="0.25">
      <c r="Z41429">
        <v>400000</v>
      </c>
    </row>
    <row r="41430" spans="26:26" x14ac:dyDescent="0.25">
      <c r="Z41430">
        <v>400000</v>
      </c>
    </row>
    <row r="41431" spans="26:26" x14ac:dyDescent="0.25">
      <c r="Z41431">
        <v>400000</v>
      </c>
    </row>
    <row r="41432" spans="26:26" x14ac:dyDescent="0.25">
      <c r="Z41432">
        <v>400000</v>
      </c>
    </row>
    <row r="41433" spans="26:26" x14ac:dyDescent="0.25">
      <c r="Z41433">
        <v>400000</v>
      </c>
    </row>
    <row r="41434" spans="26:26" x14ac:dyDescent="0.25">
      <c r="Z41434">
        <v>400000</v>
      </c>
    </row>
    <row r="41435" spans="26:26" x14ac:dyDescent="0.25">
      <c r="Z41435">
        <v>400000</v>
      </c>
    </row>
    <row r="41436" spans="26:26" x14ac:dyDescent="0.25">
      <c r="Z41436">
        <v>400000</v>
      </c>
    </row>
    <row r="41437" spans="26:26" x14ac:dyDescent="0.25">
      <c r="Z41437">
        <v>400000</v>
      </c>
    </row>
    <row r="41438" spans="26:26" x14ac:dyDescent="0.25">
      <c r="Z41438">
        <v>400000</v>
      </c>
    </row>
    <row r="41439" spans="26:26" x14ac:dyDescent="0.25">
      <c r="Z41439">
        <v>400000</v>
      </c>
    </row>
    <row r="41440" spans="26:26" x14ac:dyDescent="0.25">
      <c r="Z41440">
        <v>400000</v>
      </c>
    </row>
    <row r="41441" spans="26:26" x14ac:dyDescent="0.25">
      <c r="Z41441">
        <v>400000</v>
      </c>
    </row>
    <row r="41442" spans="26:26" x14ac:dyDescent="0.25">
      <c r="Z41442">
        <v>400000</v>
      </c>
    </row>
    <row r="41443" spans="26:26" x14ac:dyDescent="0.25">
      <c r="Z41443">
        <v>400000</v>
      </c>
    </row>
    <row r="41444" spans="26:26" x14ac:dyDescent="0.25">
      <c r="Z41444">
        <v>400000</v>
      </c>
    </row>
    <row r="41445" spans="26:26" x14ac:dyDescent="0.25">
      <c r="Z41445">
        <v>400000</v>
      </c>
    </row>
    <row r="41446" spans="26:26" x14ac:dyDescent="0.25">
      <c r="Z41446">
        <v>400000</v>
      </c>
    </row>
    <row r="41447" spans="26:26" x14ac:dyDescent="0.25">
      <c r="Z41447">
        <v>400000</v>
      </c>
    </row>
    <row r="41448" spans="26:26" x14ac:dyDescent="0.25">
      <c r="Z41448">
        <v>400000</v>
      </c>
    </row>
    <row r="41449" spans="26:26" x14ac:dyDescent="0.25">
      <c r="Z41449">
        <v>400000</v>
      </c>
    </row>
    <row r="41450" spans="26:26" x14ac:dyDescent="0.25">
      <c r="Z41450">
        <v>400000</v>
      </c>
    </row>
    <row r="41451" spans="26:26" x14ac:dyDescent="0.25">
      <c r="Z41451">
        <v>400000</v>
      </c>
    </row>
    <row r="41452" spans="26:26" x14ac:dyDescent="0.25">
      <c r="Z41452">
        <v>400000</v>
      </c>
    </row>
    <row r="41453" spans="26:26" x14ac:dyDescent="0.25">
      <c r="Z41453">
        <v>400000</v>
      </c>
    </row>
    <row r="41454" spans="26:26" x14ac:dyDescent="0.25">
      <c r="Z41454">
        <v>400000</v>
      </c>
    </row>
    <row r="41455" spans="26:26" x14ac:dyDescent="0.25">
      <c r="Z41455">
        <v>400000</v>
      </c>
    </row>
    <row r="41456" spans="26:26" x14ac:dyDescent="0.25">
      <c r="Z41456">
        <v>400000</v>
      </c>
    </row>
    <row r="41457" spans="26:26" x14ac:dyDescent="0.25">
      <c r="Z41457">
        <v>400000</v>
      </c>
    </row>
    <row r="41458" spans="26:26" x14ac:dyDescent="0.25">
      <c r="Z41458">
        <v>400000</v>
      </c>
    </row>
    <row r="41459" spans="26:26" x14ac:dyDescent="0.25">
      <c r="Z41459">
        <v>400000</v>
      </c>
    </row>
    <row r="41460" spans="26:26" x14ac:dyDescent="0.25">
      <c r="Z41460">
        <v>400000</v>
      </c>
    </row>
    <row r="41461" spans="26:26" x14ac:dyDescent="0.25">
      <c r="Z41461">
        <v>400000</v>
      </c>
    </row>
    <row r="41462" spans="26:26" x14ac:dyDescent="0.25">
      <c r="Z41462">
        <v>400000</v>
      </c>
    </row>
    <row r="41463" spans="26:26" x14ac:dyDescent="0.25">
      <c r="Z41463">
        <v>400000</v>
      </c>
    </row>
    <row r="41464" spans="26:26" x14ac:dyDescent="0.25">
      <c r="Z41464">
        <v>400000</v>
      </c>
    </row>
    <row r="41465" spans="26:26" x14ac:dyDescent="0.25">
      <c r="Z41465">
        <v>400000</v>
      </c>
    </row>
    <row r="41466" spans="26:26" x14ac:dyDescent="0.25">
      <c r="Z41466">
        <v>400000</v>
      </c>
    </row>
    <row r="41467" spans="26:26" x14ac:dyDescent="0.25">
      <c r="Z41467">
        <v>400000</v>
      </c>
    </row>
    <row r="41468" spans="26:26" x14ac:dyDescent="0.25">
      <c r="Z41468">
        <v>400000</v>
      </c>
    </row>
    <row r="41469" spans="26:26" x14ac:dyDescent="0.25">
      <c r="Z41469">
        <v>400000</v>
      </c>
    </row>
    <row r="41470" spans="26:26" x14ac:dyDescent="0.25">
      <c r="Z41470">
        <v>400000</v>
      </c>
    </row>
    <row r="41471" spans="26:26" x14ac:dyDescent="0.25">
      <c r="Z41471">
        <v>400000</v>
      </c>
    </row>
    <row r="41472" spans="26:26" x14ac:dyDescent="0.25">
      <c r="Z41472">
        <v>400000</v>
      </c>
    </row>
    <row r="41473" spans="26:26" x14ac:dyDescent="0.25">
      <c r="Z41473">
        <v>400000</v>
      </c>
    </row>
    <row r="41474" spans="26:26" x14ac:dyDescent="0.25">
      <c r="Z41474">
        <v>400000</v>
      </c>
    </row>
    <row r="41475" spans="26:26" x14ac:dyDescent="0.25">
      <c r="Z41475">
        <v>400000</v>
      </c>
    </row>
    <row r="41476" spans="26:26" x14ac:dyDescent="0.25">
      <c r="Z41476">
        <v>400000</v>
      </c>
    </row>
    <row r="41477" spans="26:26" x14ac:dyDescent="0.25">
      <c r="Z41477">
        <v>400000</v>
      </c>
    </row>
    <row r="41478" spans="26:26" x14ac:dyDescent="0.25">
      <c r="Z41478">
        <v>400000</v>
      </c>
    </row>
    <row r="41479" spans="26:26" x14ac:dyDescent="0.25">
      <c r="Z41479">
        <v>400000</v>
      </c>
    </row>
    <row r="41480" spans="26:26" x14ac:dyDescent="0.25">
      <c r="Z41480">
        <v>400000</v>
      </c>
    </row>
    <row r="41481" spans="26:26" x14ac:dyDescent="0.25">
      <c r="Z41481">
        <v>400000</v>
      </c>
    </row>
    <row r="41482" spans="26:26" x14ac:dyDescent="0.25">
      <c r="Z41482">
        <v>400000</v>
      </c>
    </row>
    <row r="41483" spans="26:26" x14ac:dyDescent="0.25">
      <c r="Z41483">
        <v>400000</v>
      </c>
    </row>
    <row r="41484" spans="26:26" x14ac:dyDescent="0.25">
      <c r="Z41484">
        <v>400000</v>
      </c>
    </row>
    <row r="41485" spans="26:26" x14ac:dyDescent="0.25">
      <c r="Z41485">
        <v>400000</v>
      </c>
    </row>
    <row r="41486" spans="26:26" x14ac:dyDescent="0.25">
      <c r="Z41486">
        <v>400000</v>
      </c>
    </row>
    <row r="41487" spans="26:26" x14ac:dyDescent="0.25">
      <c r="Z41487">
        <v>400000</v>
      </c>
    </row>
    <row r="41488" spans="26:26" x14ac:dyDescent="0.25">
      <c r="Z41488">
        <v>400000</v>
      </c>
    </row>
    <row r="41489" spans="26:26" x14ac:dyDescent="0.25">
      <c r="Z41489">
        <v>400000</v>
      </c>
    </row>
    <row r="41490" spans="26:26" x14ac:dyDescent="0.25">
      <c r="Z41490">
        <v>400000</v>
      </c>
    </row>
    <row r="41491" spans="26:26" x14ac:dyDescent="0.25">
      <c r="Z41491">
        <v>400000</v>
      </c>
    </row>
    <row r="41492" spans="26:26" x14ac:dyDescent="0.25">
      <c r="Z41492">
        <v>400000</v>
      </c>
    </row>
    <row r="41493" spans="26:26" x14ac:dyDescent="0.25">
      <c r="Z41493">
        <v>400000</v>
      </c>
    </row>
    <row r="41494" spans="26:26" x14ac:dyDescent="0.25">
      <c r="Z41494">
        <v>400000</v>
      </c>
    </row>
    <row r="41495" spans="26:26" x14ac:dyDescent="0.25">
      <c r="Z41495">
        <v>400000</v>
      </c>
    </row>
    <row r="41496" spans="26:26" x14ac:dyDescent="0.25">
      <c r="Z41496">
        <v>400000</v>
      </c>
    </row>
    <row r="41497" spans="26:26" x14ac:dyDescent="0.25">
      <c r="Z41497">
        <v>400000</v>
      </c>
    </row>
    <row r="41498" spans="26:26" x14ac:dyDescent="0.25">
      <c r="Z41498">
        <v>400000</v>
      </c>
    </row>
    <row r="41499" spans="26:26" x14ac:dyDescent="0.25">
      <c r="Z41499">
        <v>400000</v>
      </c>
    </row>
    <row r="41500" spans="26:26" x14ac:dyDescent="0.25">
      <c r="Z41500">
        <v>400000</v>
      </c>
    </row>
    <row r="41501" spans="26:26" x14ac:dyDescent="0.25">
      <c r="Z41501">
        <v>400000</v>
      </c>
    </row>
    <row r="41502" spans="26:26" x14ac:dyDescent="0.25">
      <c r="Z41502">
        <v>400000</v>
      </c>
    </row>
    <row r="41503" spans="26:26" x14ac:dyDescent="0.25">
      <c r="Z41503">
        <v>400000</v>
      </c>
    </row>
    <row r="41504" spans="26:26" x14ac:dyDescent="0.25">
      <c r="Z41504">
        <v>400000</v>
      </c>
    </row>
    <row r="41505" spans="26:26" x14ac:dyDescent="0.25">
      <c r="Z41505">
        <v>400000</v>
      </c>
    </row>
    <row r="41506" spans="26:26" x14ac:dyDescent="0.25">
      <c r="Z41506">
        <v>400000</v>
      </c>
    </row>
    <row r="41507" spans="26:26" x14ac:dyDescent="0.25">
      <c r="Z41507">
        <v>400000</v>
      </c>
    </row>
    <row r="41508" spans="26:26" x14ac:dyDescent="0.25">
      <c r="Z41508">
        <v>400000</v>
      </c>
    </row>
    <row r="41509" spans="26:26" x14ac:dyDescent="0.25">
      <c r="Z41509">
        <v>400000</v>
      </c>
    </row>
    <row r="41510" spans="26:26" x14ac:dyDescent="0.25">
      <c r="Z41510">
        <v>400000</v>
      </c>
    </row>
    <row r="41511" spans="26:26" x14ac:dyDescent="0.25">
      <c r="Z41511">
        <v>400000</v>
      </c>
    </row>
    <row r="41512" spans="26:26" x14ac:dyDescent="0.25">
      <c r="Z41512">
        <v>400000</v>
      </c>
    </row>
    <row r="41513" spans="26:26" x14ac:dyDescent="0.25">
      <c r="Z41513">
        <v>400000</v>
      </c>
    </row>
    <row r="41514" spans="26:26" x14ac:dyDescent="0.25">
      <c r="Z41514">
        <v>400000</v>
      </c>
    </row>
    <row r="41515" spans="26:26" x14ac:dyDescent="0.25">
      <c r="Z41515">
        <v>400000</v>
      </c>
    </row>
    <row r="41516" spans="26:26" x14ac:dyDescent="0.25">
      <c r="Z41516">
        <v>400000</v>
      </c>
    </row>
    <row r="41517" spans="26:26" x14ac:dyDescent="0.25">
      <c r="Z41517">
        <v>400000</v>
      </c>
    </row>
    <row r="41518" spans="26:26" x14ac:dyDescent="0.25">
      <c r="Z41518">
        <v>400000</v>
      </c>
    </row>
    <row r="41519" spans="26:26" x14ac:dyDescent="0.25">
      <c r="Z41519">
        <v>400000</v>
      </c>
    </row>
    <row r="41520" spans="26:26" x14ac:dyDescent="0.25">
      <c r="Z41520">
        <v>400000</v>
      </c>
    </row>
    <row r="41521" spans="26:26" x14ac:dyDescent="0.25">
      <c r="Z41521">
        <v>400000</v>
      </c>
    </row>
    <row r="41522" spans="26:26" x14ac:dyDescent="0.25">
      <c r="Z41522">
        <v>400000</v>
      </c>
    </row>
    <row r="41523" spans="26:26" x14ac:dyDescent="0.25">
      <c r="Z41523">
        <v>400000</v>
      </c>
    </row>
    <row r="41524" spans="26:26" x14ac:dyDescent="0.25">
      <c r="Z41524">
        <v>400000</v>
      </c>
    </row>
    <row r="41525" spans="26:26" x14ac:dyDescent="0.25">
      <c r="Z41525">
        <v>400000</v>
      </c>
    </row>
    <row r="41526" spans="26:26" x14ac:dyDescent="0.25">
      <c r="Z41526">
        <v>400000</v>
      </c>
    </row>
    <row r="41527" spans="26:26" x14ac:dyDescent="0.25">
      <c r="Z41527">
        <v>400000</v>
      </c>
    </row>
    <row r="41528" spans="26:26" x14ac:dyDescent="0.25">
      <c r="Z41528">
        <v>400000</v>
      </c>
    </row>
    <row r="41529" spans="26:26" x14ac:dyDescent="0.25">
      <c r="Z41529">
        <v>400000</v>
      </c>
    </row>
    <row r="41530" spans="26:26" x14ac:dyDescent="0.25">
      <c r="Z41530">
        <v>400000</v>
      </c>
    </row>
    <row r="41531" spans="26:26" x14ac:dyDescent="0.25">
      <c r="Z41531">
        <v>400000</v>
      </c>
    </row>
    <row r="41532" spans="26:26" x14ac:dyDescent="0.25">
      <c r="Z41532">
        <v>400000</v>
      </c>
    </row>
    <row r="41533" spans="26:26" x14ac:dyDescent="0.25">
      <c r="Z41533">
        <v>400000</v>
      </c>
    </row>
    <row r="41534" spans="26:26" x14ac:dyDescent="0.25">
      <c r="Z41534">
        <v>400000</v>
      </c>
    </row>
    <row r="41535" spans="26:26" x14ac:dyDescent="0.25">
      <c r="Z41535">
        <v>400000</v>
      </c>
    </row>
    <row r="41536" spans="26:26" x14ac:dyDescent="0.25">
      <c r="Z41536">
        <v>400000</v>
      </c>
    </row>
    <row r="41537" spans="26:26" x14ac:dyDescent="0.25">
      <c r="Z41537">
        <v>400000</v>
      </c>
    </row>
    <row r="41538" spans="26:26" x14ac:dyDescent="0.25">
      <c r="Z41538">
        <v>400000</v>
      </c>
    </row>
    <row r="41539" spans="26:26" x14ac:dyDescent="0.25">
      <c r="Z41539">
        <v>400000</v>
      </c>
    </row>
    <row r="41540" spans="26:26" x14ac:dyDescent="0.25">
      <c r="Z41540">
        <v>400000</v>
      </c>
    </row>
    <row r="41541" spans="26:26" x14ac:dyDescent="0.25">
      <c r="Z41541">
        <v>400000</v>
      </c>
    </row>
    <row r="41542" spans="26:26" x14ac:dyDescent="0.25">
      <c r="Z41542">
        <v>400000</v>
      </c>
    </row>
    <row r="41543" spans="26:26" x14ac:dyDescent="0.25">
      <c r="Z41543">
        <v>400000</v>
      </c>
    </row>
    <row r="41544" spans="26:26" x14ac:dyDescent="0.25">
      <c r="Z41544">
        <v>400000</v>
      </c>
    </row>
    <row r="41545" spans="26:26" x14ac:dyDescent="0.25">
      <c r="Z41545">
        <v>400000</v>
      </c>
    </row>
    <row r="41546" spans="26:26" x14ac:dyDescent="0.25">
      <c r="Z41546">
        <v>400000</v>
      </c>
    </row>
    <row r="41547" spans="26:26" x14ac:dyDescent="0.25">
      <c r="Z41547">
        <v>400000</v>
      </c>
    </row>
    <row r="41548" spans="26:26" x14ac:dyDescent="0.25">
      <c r="Z41548">
        <v>400000</v>
      </c>
    </row>
    <row r="41549" spans="26:26" x14ac:dyDescent="0.25">
      <c r="Z41549">
        <v>400000</v>
      </c>
    </row>
    <row r="41550" spans="26:26" x14ac:dyDescent="0.25">
      <c r="Z41550">
        <v>400000</v>
      </c>
    </row>
    <row r="41551" spans="26:26" x14ac:dyDescent="0.25">
      <c r="Z41551">
        <v>400000</v>
      </c>
    </row>
    <row r="41552" spans="26:26" x14ac:dyDescent="0.25">
      <c r="Z41552">
        <v>400000</v>
      </c>
    </row>
    <row r="41553" spans="26:26" x14ac:dyDescent="0.25">
      <c r="Z41553">
        <v>400000</v>
      </c>
    </row>
    <row r="41554" spans="26:26" x14ac:dyDescent="0.25">
      <c r="Z41554">
        <v>400000</v>
      </c>
    </row>
    <row r="41555" spans="26:26" x14ac:dyDescent="0.25">
      <c r="Z41555">
        <v>400000</v>
      </c>
    </row>
    <row r="41556" spans="26:26" x14ac:dyDescent="0.25">
      <c r="Z41556">
        <v>400000</v>
      </c>
    </row>
    <row r="41557" spans="26:26" x14ac:dyDescent="0.25">
      <c r="Z41557">
        <v>400000</v>
      </c>
    </row>
    <row r="41558" spans="26:26" x14ac:dyDescent="0.25">
      <c r="Z41558">
        <v>400000</v>
      </c>
    </row>
    <row r="41559" spans="26:26" x14ac:dyDescent="0.25">
      <c r="Z41559">
        <v>400000</v>
      </c>
    </row>
    <row r="41560" spans="26:26" x14ac:dyDescent="0.25">
      <c r="Z41560">
        <v>400000</v>
      </c>
    </row>
    <row r="41561" spans="26:26" x14ac:dyDescent="0.25">
      <c r="Z41561">
        <v>400000</v>
      </c>
    </row>
    <row r="41562" spans="26:26" x14ac:dyDescent="0.25">
      <c r="Z41562">
        <v>400000</v>
      </c>
    </row>
    <row r="41563" spans="26:26" x14ac:dyDescent="0.25">
      <c r="Z41563">
        <v>400000</v>
      </c>
    </row>
    <row r="41564" spans="26:26" x14ac:dyDescent="0.25">
      <c r="Z41564">
        <v>400000</v>
      </c>
    </row>
    <row r="41565" spans="26:26" x14ac:dyDescent="0.25">
      <c r="Z41565">
        <v>400000</v>
      </c>
    </row>
    <row r="41566" spans="26:26" x14ac:dyDescent="0.25">
      <c r="Z41566">
        <v>400000</v>
      </c>
    </row>
    <row r="41567" spans="26:26" x14ac:dyDescent="0.25">
      <c r="Z41567">
        <v>400000</v>
      </c>
    </row>
    <row r="41568" spans="26:26" x14ac:dyDescent="0.25">
      <c r="Z41568">
        <v>400000</v>
      </c>
    </row>
    <row r="41569" spans="26:26" x14ac:dyDescent="0.25">
      <c r="Z41569">
        <v>400000</v>
      </c>
    </row>
    <row r="41570" spans="26:26" x14ac:dyDescent="0.25">
      <c r="Z41570">
        <v>400000</v>
      </c>
    </row>
    <row r="41571" spans="26:26" x14ac:dyDescent="0.25">
      <c r="Z41571">
        <v>400000</v>
      </c>
    </row>
    <row r="41572" spans="26:26" x14ac:dyDescent="0.25">
      <c r="Z41572">
        <v>400000</v>
      </c>
    </row>
    <row r="41573" spans="26:26" x14ac:dyDescent="0.25">
      <c r="Z41573">
        <v>400000</v>
      </c>
    </row>
    <row r="41574" spans="26:26" x14ac:dyDescent="0.25">
      <c r="Z41574">
        <v>400000</v>
      </c>
    </row>
    <row r="41575" spans="26:26" x14ac:dyDescent="0.25">
      <c r="Z41575">
        <v>400000</v>
      </c>
    </row>
    <row r="41576" spans="26:26" x14ac:dyDescent="0.25">
      <c r="Z41576">
        <v>400000</v>
      </c>
    </row>
    <row r="41577" spans="26:26" x14ac:dyDescent="0.25">
      <c r="Z41577">
        <v>400000</v>
      </c>
    </row>
    <row r="41578" spans="26:26" x14ac:dyDescent="0.25">
      <c r="Z41578">
        <v>400000</v>
      </c>
    </row>
    <row r="41579" spans="26:26" x14ac:dyDescent="0.25">
      <c r="Z41579">
        <v>400000</v>
      </c>
    </row>
    <row r="41580" spans="26:26" x14ac:dyDescent="0.25">
      <c r="Z41580">
        <v>400000</v>
      </c>
    </row>
    <row r="41581" spans="26:26" x14ac:dyDescent="0.25">
      <c r="Z41581">
        <v>400000</v>
      </c>
    </row>
    <row r="41582" spans="26:26" x14ac:dyDescent="0.25">
      <c r="Z41582">
        <v>400000</v>
      </c>
    </row>
    <row r="41583" spans="26:26" x14ac:dyDescent="0.25">
      <c r="Z41583">
        <v>400000</v>
      </c>
    </row>
    <row r="41584" spans="26:26" x14ac:dyDescent="0.25">
      <c r="Z41584">
        <v>400000</v>
      </c>
    </row>
    <row r="41585" spans="26:26" x14ac:dyDescent="0.25">
      <c r="Z41585">
        <v>400000</v>
      </c>
    </row>
    <row r="41586" spans="26:26" x14ac:dyDescent="0.25">
      <c r="Z41586">
        <v>400000</v>
      </c>
    </row>
    <row r="41587" spans="26:26" x14ac:dyDescent="0.25">
      <c r="Z41587">
        <v>400000</v>
      </c>
    </row>
    <row r="41588" spans="26:26" x14ac:dyDescent="0.25">
      <c r="Z41588">
        <v>400000</v>
      </c>
    </row>
    <row r="41589" spans="26:26" x14ac:dyDescent="0.25">
      <c r="Z41589">
        <v>400000</v>
      </c>
    </row>
    <row r="41590" spans="26:26" x14ac:dyDescent="0.25">
      <c r="Z41590">
        <v>400000</v>
      </c>
    </row>
    <row r="41591" spans="26:26" x14ac:dyDescent="0.25">
      <c r="Z41591">
        <v>400000</v>
      </c>
    </row>
    <row r="41592" spans="26:26" x14ac:dyDescent="0.25">
      <c r="Z41592">
        <v>400000</v>
      </c>
    </row>
    <row r="41593" spans="26:26" x14ac:dyDescent="0.25">
      <c r="Z41593">
        <v>400000</v>
      </c>
    </row>
    <row r="41594" spans="26:26" x14ac:dyDescent="0.25">
      <c r="Z41594">
        <v>400000</v>
      </c>
    </row>
    <row r="41595" spans="26:26" x14ac:dyDescent="0.25">
      <c r="Z41595">
        <v>400000</v>
      </c>
    </row>
    <row r="41596" spans="26:26" x14ac:dyDescent="0.25">
      <c r="Z41596">
        <v>400000</v>
      </c>
    </row>
    <row r="41597" spans="26:26" x14ac:dyDescent="0.25">
      <c r="Z41597">
        <v>400000</v>
      </c>
    </row>
    <row r="41598" spans="26:26" x14ac:dyDescent="0.25">
      <c r="Z41598">
        <v>400000</v>
      </c>
    </row>
    <row r="41599" spans="26:26" x14ac:dyDescent="0.25">
      <c r="Z41599">
        <v>400000</v>
      </c>
    </row>
    <row r="41600" spans="26:26" x14ac:dyDescent="0.25">
      <c r="Z41600">
        <v>400000</v>
      </c>
    </row>
    <row r="41601" spans="26:26" x14ac:dyDescent="0.25">
      <c r="Z41601">
        <v>400000</v>
      </c>
    </row>
    <row r="41602" spans="26:26" x14ac:dyDescent="0.25">
      <c r="Z41602">
        <v>400000</v>
      </c>
    </row>
    <row r="41603" spans="26:26" x14ac:dyDescent="0.25">
      <c r="Z41603">
        <v>400000</v>
      </c>
    </row>
    <row r="41604" spans="26:26" x14ac:dyDescent="0.25">
      <c r="Z41604">
        <v>400000</v>
      </c>
    </row>
    <row r="41605" spans="26:26" x14ac:dyDescent="0.25">
      <c r="Z41605">
        <v>400000</v>
      </c>
    </row>
    <row r="41606" spans="26:26" x14ac:dyDescent="0.25">
      <c r="Z41606">
        <v>400000</v>
      </c>
    </row>
    <row r="41607" spans="26:26" x14ac:dyDescent="0.25">
      <c r="Z41607">
        <v>400000</v>
      </c>
    </row>
    <row r="41608" spans="26:26" x14ac:dyDescent="0.25">
      <c r="Z41608">
        <v>400000</v>
      </c>
    </row>
    <row r="41609" spans="26:26" x14ac:dyDescent="0.25">
      <c r="Z41609">
        <v>400000</v>
      </c>
    </row>
    <row r="41610" spans="26:26" x14ac:dyDescent="0.25">
      <c r="Z41610">
        <v>400000</v>
      </c>
    </row>
    <row r="41611" spans="26:26" x14ac:dyDescent="0.25">
      <c r="Z41611">
        <v>400000</v>
      </c>
    </row>
    <row r="41612" spans="26:26" x14ac:dyDescent="0.25">
      <c r="Z41612">
        <v>400000</v>
      </c>
    </row>
    <row r="41613" spans="26:26" x14ac:dyDescent="0.25">
      <c r="Z41613">
        <v>400000</v>
      </c>
    </row>
    <row r="41614" spans="26:26" x14ac:dyDescent="0.25">
      <c r="Z41614">
        <v>400000</v>
      </c>
    </row>
    <row r="41615" spans="26:26" x14ac:dyDescent="0.25">
      <c r="Z41615">
        <v>400000</v>
      </c>
    </row>
    <row r="41616" spans="26:26" x14ac:dyDescent="0.25">
      <c r="Z41616">
        <v>400000</v>
      </c>
    </row>
    <row r="41617" spans="26:26" x14ac:dyDescent="0.25">
      <c r="Z41617">
        <v>400000</v>
      </c>
    </row>
    <row r="41618" spans="26:26" x14ac:dyDescent="0.25">
      <c r="Z41618">
        <v>400000</v>
      </c>
    </row>
    <row r="41619" spans="26:26" x14ac:dyDescent="0.25">
      <c r="Z41619">
        <v>400000</v>
      </c>
    </row>
    <row r="41620" spans="26:26" x14ac:dyDescent="0.25">
      <c r="Z41620">
        <v>400000</v>
      </c>
    </row>
    <row r="41621" spans="26:26" x14ac:dyDescent="0.25">
      <c r="Z41621">
        <v>400000</v>
      </c>
    </row>
    <row r="41622" spans="26:26" x14ac:dyDescent="0.25">
      <c r="Z41622">
        <v>400000</v>
      </c>
    </row>
    <row r="41623" spans="26:26" x14ac:dyDescent="0.25">
      <c r="Z41623">
        <v>400000</v>
      </c>
    </row>
    <row r="41624" spans="26:26" x14ac:dyDescent="0.25">
      <c r="Z41624">
        <v>400000</v>
      </c>
    </row>
    <row r="41625" spans="26:26" x14ac:dyDescent="0.25">
      <c r="Z41625">
        <v>400000</v>
      </c>
    </row>
    <row r="41626" spans="26:26" x14ac:dyDescent="0.25">
      <c r="Z41626">
        <v>400000</v>
      </c>
    </row>
    <row r="41627" spans="26:26" x14ac:dyDescent="0.25">
      <c r="Z41627">
        <v>400000</v>
      </c>
    </row>
    <row r="41628" spans="26:26" x14ac:dyDescent="0.25">
      <c r="Z41628">
        <v>400000</v>
      </c>
    </row>
    <row r="41629" spans="26:26" x14ac:dyDescent="0.25">
      <c r="Z41629">
        <v>400000</v>
      </c>
    </row>
    <row r="41630" spans="26:26" x14ac:dyDescent="0.25">
      <c r="Z41630">
        <v>400000</v>
      </c>
    </row>
    <row r="41631" spans="26:26" x14ac:dyDescent="0.25">
      <c r="Z41631">
        <v>400000</v>
      </c>
    </row>
    <row r="41632" spans="26:26" x14ac:dyDescent="0.25">
      <c r="Z41632">
        <v>400000</v>
      </c>
    </row>
    <row r="41633" spans="26:26" x14ac:dyDescent="0.25">
      <c r="Z41633">
        <v>400000</v>
      </c>
    </row>
    <row r="41634" spans="26:26" x14ac:dyDescent="0.25">
      <c r="Z41634">
        <v>400000</v>
      </c>
    </row>
    <row r="41635" spans="26:26" x14ac:dyDescent="0.25">
      <c r="Z41635">
        <v>400000</v>
      </c>
    </row>
    <row r="41636" spans="26:26" x14ac:dyDescent="0.25">
      <c r="Z41636">
        <v>400000</v>
      </c>
    </row>
    <row r="41637" spans="26:26" x14ac:dyDescent="0.25">
      <c r="Z41637">
        <v>400000</v>
      </c>
    </row>
    <row r="41638" spans="26:26" x14ac:dyDescent="0.25">
      <c r="Z41638">
        <v>400000</v>
      </c>
    </row>
    <row r="41639" spans="26:26" x14ac:dyDescent="0.25">
      <c r="Z41639">
        <v>400000</v>
      </c>
    </row>
    <row r="41640" spans="26:26" x14ac:dyDescent="0.25">
      <c r="Z41640">
        <v>400000</v>
      </c>
    </row>
    <row r="41641" spans="26:26" x14ac:dyDescent="0.25">
      <c r="Z41641">
        <v>400000</v>
      </c>
    </row>
    <row r="41642" spans="26:26" x14ac:dyDescent="0.25">
      <c r="Z41642">
        <v>400000</v>
      </c>
    </row>
    <row r="41643" spans="26:26" x14ac:dyDescent="0.25">
      <c r="Z41643">
        <v>400000</v>
      </c>
    </row>
    <row r="41644" spans="26:26" x14ac:dyDescent="0.25">
      <c r="Z41644">
        <v>400000</v>
      </c>
    </row>
    <row r="41645" spans="26:26" x14ac:dyDescent="0.25">
      <c r="Z41645">
        <v>400000</v>
      </c>
    </row>
    <row r="41646" spans="26:26" x14ac:dyDescent="0.25">
      <c r="Z41646">
        <v>400000</v>
      </c>
    </row>
    <row r="41647" spans="26:26" x14ac:dyDescent="0.25">
      <c r="Z41647">
        <v>400000</v>
      </c>
    </row>
    <row r="41648" spans="26:26" x14ac:dyDescent="0.25">
      <c r="Z41648">
        <v>400000</v>
      </c>
    </row>
    <row r="41649" spans="26:26" x14ac:dyDescent="0.25">
      <c r="Z41649">
        <v>400000</v>
      </c>
    </row>
    <row r="41650" spans="26:26" x14ac:dyDescent="0.25">
      <c r="Z41650">
        <v>400000</v>
      </c>
    </row>
    <row r="41651" spans="26:26" x14ac:dyDescent="0.25">
      <c r="Z41651">
        <v>400000</v>
      </c>
    </row>
    <row r="41652" spans="26:26" x14ac:dyDescent="0.25">
      <c r="Z41652">
        <v>400000</v>
      </c>
    </row>
    <row r="41653" spans="26:26" x14ac:dyDescent="0.25">
      <c r="Z41653">
        <v>400000</v>
      </c>
    </row>
    <row r="41654" spans="26:26" x14ac:dyDescent="0.25">
      <c r="Z41654">
        <v>400000</v>
      </c>
    </row>
    <row r="41655" spans="26:26" x14ac:dyDescent="0.25">
      <c r="Z41655">
        <v>400000</v>
      </c>
    </row>
    <row r="41656" spans="26:26" x14ac:dyDescent="0.25">
      <c r="Z41656">
        <v>400000</v>
      </c>
    </row>
    <row r="41657" spans="26:26" x14ac:dyDescent="0.25">
      <c r="Z41657">
        <v>400000</v>
      </c>
    </row>
    <row r="41658" spans="26:26" x14ac:dyDescent="0.25">
      <c r="Z41658">
        <v>400000</v>
      </c>
    </row>
    <row r="41659" spans="26:26" x14ac:dyDescent="0.25">
      <c r="Z41659">
        <v>400000</v>
      </c>
    </row>
    <row r="41660" spans="26:26" x14ac:dyDescent="0.25">
      <c r="Z41660">
        <v>400000</v>
      </c>
    </row>
    <row r="41661" spans="26:26" x14ac:dyDescent="0.25">
      <c r="Z41661">
        <v>400000</v>
      </c>
    </row>
    <row r="41662" spans="26:26" x14ac:dyDescent="0.25">
      <c r="Z41662">
        <v>400000</v>
      </c>
    </row>
    <row r="41663" spans="26:26" x14ac:dyDescent="0.25">
      <c r="Z41663">
        <v>400000</v>
      </c>
    </row>
    <row r="41664" spans="26:26" x14ac:dyDescent="0.25">
      <c r="Z41664">
        <v>400000</v>
      </c>
    </row>
    <row r="41665" spans="26:26" x14ac:dyDescent="0.25">
      <c r="Z41665">
        <v>400000</v>
      </c>
    </row>
    <row r="41666" spans="26:26" x14ac:dyDescent="0.25">
      <c r="Z41666">
        <v>400000</v>
      </c>
    </row>
    <row r="41667" spans="26:26" x14ac:dyDescent="0.25">
      <c r="Z41667">
        <v>400000</v>
      </c>
    </row>
    <row r="41668" spans="26:26" x14ac:dyDescent="0.25">
      <c r="Z41668">
        <v>400000</v>
      </c>
    </row>
    <row r="41669" spans="26:26" x14ac:dyDescent="0.25">
      <c r="Z41669">
        <v>400000</v>
      </c>
    </row>
    <row r="41670" spans="26:26" x14ac:dyDescent="0.25">
      <c r="Z41670">
        <v>400000</v>
      </c>
    </row>
    <row r="41671" spans="26:26" x14ac:dyDescent="0.25">
      <c r="Z41671">
        <v>400000</v>
      </c>
    </row>
    <row r="41672" spans="26:26" x14ac:dyDescent="0.25">
      <c r="Z41672">
        <v>400000</v>
      </c>
    </row>
    <row r="41673" spans="26:26" x14ac:dyDescent="0.25">
      <c r="Z41673">
        <v>400000</v>
      </c>
    </row>
    <row r="41674" spans="26:26" x14ac:dyDescent="0.25">
      <c r="Z41674">
        <v>400000</v>
      </c>
    </row>
    <row r="41675" spans="26:26" x14ac:dyDescent="0.25">
      <c r="Z41675">
        <v>400000</v>
      </c>
    </row>
    <row r="41676" spans="26:26" x14ac:dyDescent="0.25">
      <c r="Z41676">
        <v>400000</v>
      </c>
    </row>
    <row r="41677" spans="26:26" x14ac:dyDescent="0.25">
      <c r="Z41677">
        <v>400000</v>
      </c>
    </row>
    <row r="41678" spans="26:26" x14ac:dyDescent="0.25">
      <c r="Z41678">
        <v>400000</v>
      </c>
    </row>
    <row r="41679" spans="26:26" x14ac:dyDescent="0.25">
      <c r="Z41679">
        <v>400000</v>
      </c>
    </row>
    <row r="41680" spans="26:26" x14ac:dyDescent="0.25">
      <c r="Z41680">
        <v>400000</v>
      </c>
    </row>
    <row r="41681" spans="26:26" x14ac:dyDescent="0.25">
      <c r="Z41681">
        <v>400000</v>
      </c>
    </row>
    <row r="41682" spans="26:26" x14ac:dyDescent="0.25">
      <c r="Z41682">
        <v>400000</v>
      </c>
    </row>
    <row r="41683" spans="26:26" x14ac:dyDescent="0.25">
      <c r="Z41683">
        <v>400000</v>
      </c>
    </row>
    <row r="41684" spans="26:26" x14ac:dyDescent="0.25">
      <c r="Z41684">
        <v>400000</v>
      </c>
    </row>
    <row r="41685" spans="26:26" x14ac:dyDescent="0.25">
      <c r="Z41685">
        <v>400000</v>
      </c>
    </row>
    <row r="41686" spans="26:26" x14ac:dyDescent="0.25">
      <c r="Z41686">
        <v>400000</v>
      </c>
    </row>
    <row r="41687" spans="26:26" x14ac:dyDescent="0.25">
      <c r="Z41687">
        <v>400000</v>
      </c>
    </row>
    <row r="41688" spans="26:26" x14ac:dyDescent="0.25">
      <c r="Z41688">
        <v>400000</v>
      </c>
    </row>
    <row r="41689" spans="26:26" x14ac:dyDescent="0.25">
      <c r="Z41689">
        <v>400000</v>
      </c>
    </row>
    <row r="41690" spans="26:26" x14ac:dyDescent="0.25">
      <c r="Z41690">
        <v>400000</v>
      </c>
    </row>
    <row r="41691" spans="26:26" x14ac:dyDescent="0.25">
      <c r="Z41691">
        <v>400000</v>
      </c>
    </row>
    <row r="41692" spans="26:26" x14ac:dyDescent="0.25">
      <c r="Z41692">
        <v>400000</v>
      </c>
    </row>
    <row r="41693" spans="26:26" x14ac:dyDescent="0.25">
      <c r="Z41693">
        <v>400000</v>
      </c>
    </row>
    <row r="41694" spans="26:26" x14ac:dyDescent="0.25">
      <c r="Z41694">
        <v>400000</v>
      </c>
    </row>
    <row r="41695" spans="26:26" x14ac:dyDescent="0.25">
      <c r="Z41695">
        <v>400000</v>
      </c>
    </row>
    <row r="41696" spans="26:26" x14ac:dyDescent="0.25">
      <c r="Z41696">
        <v>400000</v>
      </c>
    </row>
    <row r="41697" spans="26:26" x14ac:dyDescent="0.25">
      <c r="Z41697">
        <v>400000</v>
      </c>
    </row>
    <row r="41698" spans="26:26" x14ac:dyDescent="0.25">
      <c r="Z41698">
        <v>400000</v>
      </c>
    </row>
    <row r="41699" spans="26:26" x14ac:dyDescent="0.25">
      <c r="Z41699">
        <v>400000</v>
      </c>
    </row>
    <row r="41700" spans="26:26" x14ac:dyDescent="0.25">
      <c r="Z41700">
        <v>400000</v>
      </c>
    </row>
    <row r="41701" spans="26:26" x14ac:dyDescent="0.25">
      <c r="Z41701">
        <v>400000</v>
      </c>
    </row>
    <row r="41702" spans="26:26" x14ac:dyDescent="0.25">
      <c r="Z41702">
        <v>400000</v>
      </c>
    </row>
    <row r="41703" spans="26:26" x14ac:dyDescent="0.25">
      <c r="Z41703">
        <v>400000</v>
      </c>
    </row>
    <row r="41704" spans="26:26" x14ac:dyDescent="0.25">
      <c r="Z41704">
        <v>400000</v>
      </c>
    </row>
    <row r="41705" spans="26:26" x14ac:dyDescent="0.25">
      <c r="Z41705">
        <v>400000</v>
      </c>
    </row>
    <row r="41706" spans="26:26" x14ac:dyDescent="0.25">
      <c r="Z41706">
        <v>400000</v>
      </c>
    </row>
    <row r="41707" spans="26:26" x14ac:dyDescent="0.25">
      <c r="Z41707">
        <v>400000</v>
      </c>
    </row>
    <row r="41708" spans="26:26" x14ac:dyDescent="0.25">
      <c r="Z41708">
        <v>400000</v>
      </c>
    </row>
    <row r="41709" spans="26:26" x14ac:dyDescent="0.25">
      <c r="Z41709">
        <v>400000</v>
      </c>
    </row>
    <row r="41710" spans="26:26" x14ac:dyDescent="0.25">
      <c r="Z41710">
        <v>400000</v>
      </c>
    </row>
    <row r="41711" spans="26:26" x14ac:dyDescent="0.25">
      <c r="Z41711">
        <v>400000</v>
      </c>
    </row>
    <row r="41712" spans="26:26" x14ac:dyDescent="0.25">
      <c r="Z41712">
        <v>400000</v>
      </c>
    </row>
    <row r="41713" spans="26:26" x14ac:dyDescent="0.25">
      <c r="Z41713">
        <v>400000</v>
      </c>
    </row>
    <row r="41714" spans="26:26" x14ac:dyDescent="0.25">
      <c r="Z41714">
        <v>400000</v>
      </c>
    </row>
    <row r="41715" spans="26:26" x14ac:dyDescent="0.25">
      <c r="Z41715">
        <v>400000</v>
      </c>
    </row>
    <row r="41716" spans="26:26" x14ac:dyDescent="0.25">
      <c r="Z41716">
        <v>400000</v>
      </c>
    </row>
    <row r="41717" spans="26:26" x14ac:dyDescent="0.25">
      <c r="Z41717">
        <v>400000</v>
      </c>
    </row>
    <row r="41718" spans="26:26" x14ac:dyDescent="0.25">
      <c r="Z41718">
        <v>400000</v>
      </c>
    </row>
    <row r="41719" spans="26:26" x14ac:dyDescent="0.25">
      <c r="Z41719">
        <v>400000</v>
      </c>
    </row>
    <row r="41720" spans="26:26" x14ac:dyDescent="0.25">
      <c r="Z41720">
        <v>400000</v>
      </c>
    </row>
    <row r="41721" spans="26:26" x14ac:dyDescent="0.25">
      <c r="Z41721">
        <v>400000</v>
      </c>
    </row>
    <row r="41722" spans="26:26" x14ac:dyDescent="0.25">
      <c r="Z41722">
        <v>400000</v>
      </c>
    </row>
    <row r="41723" spans="26:26" x14ac:dyDescent="0.25">
      <c r="Z41723">
        <v>400000</v>
      </c>
    </row>
    <row r="41724" spans="26:26" x14ac:dyDescent="0.25">
      <c r="Z41724">
        <v>400000</v>
      </c>
    </row>
    <row r="41725" spans="26:26" x14ac:dyDescent="0.25">
      <c r="Z41725">
        <v>400000</v>
      </c>
    </row>
    <row r="41726" spans="26:26" x14ac:dyDescent="0.25">
      <c r="Z41726">
        <v>400000</v>
      </c>
    </row>
    <row r="41727" spans="26:26" x14ac:dyDescent="0.25">
      <c r="Z41727">
        <v>400000</v>
      </c>
    </row>
    <row r="41728" spans="26:26" x14ac:dyDescent="0.25">
      <c r="Z41728">
        <v>400000</v>
      </c>
    </row>
    <row r="41729" spans="26:26" x14ac:dyDescent="0.25">
      <c r="Z41729">
        <v>400000</v>
      </c>
    </row>
    <row r="41730" spans="26:26" x14ac:dyDescent="0.25">
      <c r="Z41730">
        <v>400000</v>
      </c>
    </row>
    <row r="41731" spans="26:26" x14ac:dyDescent="0.25">
      <c r="Z41731">
        <v>400000</v>
      </c>
    </row>
    <row r="41732" spans="26:26" x14ac:dyDescent="0.25">
      <c r="Z41732">
        <v>400000</v>
      </c>
    </row>
    <row r="41733" spans="26:26" x14ac:dyDescent="0.25">
      <c r="Z41733">
        <v>400000</v>
      </c>
    </row>
    <row r="41734" spans="26:26" x14ac:dyDescent="0.25">
      <c r="Z41734">
        <v>400000</v>
      </c>
    </row>
    <row r="41735" spans="26:26" x14ac:dyDescent="0.25">
      <c r="Z41735">
        <v>400000</v>
      </c>
    </row>
    <row r="41736" spans="26:26" x14ac:dyDescent="0.25">
      <c r="Z41736">
        <v>400000</v>
      </c>
    </row>
    <row r="41737" spans="26:26" x14ac:dyDescent="0.25">
      <c r="Z41737">
        <v>400000</v>
      </c>
    </row>
    <row r="41738" spans="26:26" x14ac:dyDescent="0.25">
      <c r="Z41738">
        <v>400000</v>
      </c>
    </row>
    <row r="41739" spans="26:26" x14ac:dyDescent="0.25">
      <c r="Z41739">
        <v>400000</v>
      </c>
    </row>
    <row r="41740" spans="26:26" x14ac:dyDescent="0.25">
      <c r="Z41740">
        <v>400000</v>
      </c>
    </row>
    <row r="41741" spans="26:26" x14ac:dyDescent="0.25">
      <c r="Z41741">
        <v>400000</v>
      </c>
    </row>
    <row r="41742" spans="26:26" x14ac:dyDescent="0.25">
      <c r="Z41742">
        <v>400000</v>
      </c>
    </row>
    <row r="41743" spans="26:26" x14ac:dyDescent="0.25">
      <c r="Z41743">
        <v>400000</v>
      </c>
    </row>
    <row r="41744" spans="26:26" x14ac:dyDescent="0.25">
      <c r="Z41744">
        <v>400000</v>
      </c>
    </row>
    <row r="41745" spans="26:26" x14ac:dyDescent="0.25">
      <c r="Z41745">
        <v>400000</v>
      </c>
    </row>
    <row r="41746" spans="26:26" x14ac:dyDescent="0.25">
      <c r="Z41746">
        <v>400000</v>
      </c>
    </row>
    <row r="41747" spans="26:26" x14ac:dyDescent="0.25">
      <c r="Z41747">
        <v>400000</v>
      </c>
    </row>
    <row r="41748" spans="26:26" x14ac:dyDescent="0.25">
      <c r="Z41748">
        <v>400000</v>
      </c>
    </row>
    <row r="41749" spans="26:26" x14ac:dyDescent="0.25">
      <c r="Z41749">
        <v>400000</v>
      </c>
    </row>
    <row r="41750" spans="26:26" x14ac:dyDescent="0.25">
      <c r="Z41750">
        <v>400000</v>
      </c>
    </row>
    <row r="41751" spans="26:26" x14ac:dyDescent="0.25">
      <c r="Z41751">
        <v>400000</v>
      </c>
    </row>
    <row r="41752" spans="26:26" x14ac:dyDescent="0.25">
      <c r="Z41752">
        <v>400000</v>
      </c>
    </row>
    <row r="41753" spans="26:26" x14ac:dyDescent="0.25">
      <c r="Z41753">
        <v>400000</v>
      </c>
    </row>
    <row r="41754" spans="26:26" x14ac:dyDescent="0.25">
      <c r="Z41754">
        <v>400000</v>
      </c>
    </row>
    <row r="41755" spans="26:26" x14ac:dyDescent="0.25">
      <c r="Z41755">
        <v>400000</v>
      </c>
    </row>
    <row r="41756" spans="26:26" x14ac:dyDescent="0.25">
      <c r="Z41756">
        <v>400000</v>
      </c>
    </row>
    <row r="41757" spans="26:26" x14ac:dyDescent="0.25">
      <c r="Z41757">
        <v>400000</v>
      </c>
    </row>
    <row r="41758" spans="26:26" x14ac:dyDescent="0.25">
      <c r="Z41758">
        <v>400000</v>
      </c>
    </row>
    <row r="41759" spans="26:26" x14ac:dyDescent="0.25">
      <c r="Z41759">
        <v>400000</v>
      </c>
    </row>
    <row r="41760" spans="26:26" x14ac:dyDescent="0.25">
      <c r="Z41760">
        <v>400000</v>
      </c>
    </row>
    <row r="41761" spans="26:26" x14ac:dyDescent="0.25">
      <c r="Z41761">
        <v>400000</v>
      </c>
    </row>
    <row r="41762" spans="26:26" x14ac:dyDescent="0.25">
      <c r="Z41762">
        <v>400000</v>
      </c>
    </row>
    <row r="41763" spans="26:26" x14ac:dyDescent="0.25">
      <c r="Z41763">
        <v>400000</v>
      </c>
    </row>
    <row r="41764" spans="26:26" x14ac:dyDescent="0.25">
      <c r="Z41764">
        <v>400000</v>
      </c>
    </row>
    <row r="41765" spans="26:26" x14ac:dyDescent="0.25">
      <c r="Z41765">
        <v>400000</v>
      </c>
    </row>
    <row r="41766" spans="26:26" x14ac:dyDescent="0.25">
      <c r="Z41766">
        <v>400000</v>
      </c>
    </row>
    <row r="41767" spans="26:26" x14ac:dyDescent="0.25">
      <c r="Z41767">
        <v>400000</v>
      </c>
    </row>
    <row r="41768" spans="26:26" x14ac:dyDescent="0.25">
      <c r="Z41768">
        <v>400000</v>
      </c>
    </row>
    <row r="41769" spans="26:26" x14ac:dyDescent="0.25">
      <c r="Z41769">
        <v>400000</v>
      </c>
    </row>
    <row r="41770" spans="26:26" x14ac:dyDescent="0.25">
      <c r="Z41770">
        <v>400000</v>
      </c>
    </row>
    <row r="41771" spans="26:26" x14ac:dyDescent="0.25">
      <c r="Z41771">
        <v>400000</v>
      </c>
    </row>
    <row r="41772" spans="26:26" x14ac:dyDescent="0.25">
      <c r="Z41772">
        <v>400000</v>
      </c>
    </row>
    <row r="41773" spans="26:26" x14ac:dyDescent="0.25">
      <c r="Z41773">
        <v>400000</v>
      </c>
    </row>
    <row r="41774" spans="26:26" x14ac:dyDescent="0.25">
      <c r="Z41774">
        <v>400000</v>
      </c>
    </row>
    <row r="41775" spans="26:26" x14ac:dyDescent="0.25">
      <c r="Z41775">
        <v>400000</v>
      </c>
    </row>
    <row r="41776" spans="26:26" x14ac:dyDescent="0.25">
      <c r="Z41776">
        <v>400000</v>
      </c>
    </row>
    <row r="41777" spans="26:26" x14ac:dyDescent="0.25">
      <c r="Z41777">
        <v>400000</v>
      </c>
    </row>
    <row r="41778" spans="26:26" x14ac:dyDescent="0.25">
      <c r="Z41778">
        <v>400000</v>
      </c>
    </row>
    <row r="41779" spans="26:26" x14ac:dyDescent="0.25">
      <c r="Z41779">
        <v>400000</v>
      </c>
    </row>
    <row r="41780" spans="26:26" x14ac:dyDescent="0.25">
      <c r="Z41780">
        <v>400000</v>
      </c>
    </row>
    <row r="41781" spans="26:26" x14ac:dyDescent="0.25">
      <c r="Z41781">
        <v>400000</v>
      </c>
    </row>
    <row r="41782" spans="26:26" x14ac:dyDescent="0.25">
      <c r="Z41782">
        <v>400000</v>
      </c>
    </row>
    <row r="41783" spans="26:26" x14ac:dyDescent="0.25">
      <c r="Z41783">
        <v>400000</v>
      </c>
    </row>
    <row r="41784" spans="26:26" x14ac:dyDescent="0.25">
      <c r="Z41784">
        <v>400000</v>
      </c>
    </row>
    <row r="41785" spans="26:26" x14ac:dyDescent="0.25">
      <c r="Z41785">
        <v>400000</v>
      </c>
    </row>
    <row r="41786" spans="26:26" x14ac:dyDescent="0.25">
      <c r="Z41786">
        <v>400000</v>
      </c>
    </row>
    <row r="41787" spans="26:26" x14ac:dyDescent="0.25">
      <c r="Z41787">
        <v>400000</v>
      </c>
    </row>
    <row r="41788" spans="26:26" x14ac:dyDescent="0.25">
      <c r="Z41788">
        <v>400000</v>
      </c>
    </row>
    <row r="41789" spans="26:26" x14ac:dyDescent="0.25">
      <c r="Z41789">
        <v>400000</v>
      </c>
    </row>
    <row r="41790" spans="26:26" x14ac:dyDescent="0.25">
      <c r="Z41790">
        <v>400000</v>
      </c>
    </row>
    <row r="41791" spans="26:26" x14ac:dyDescent="0.25">
      <c r="Z41791">
        <v>400000</v>
      </c>
    </row>
    <row r="41792" spans="26:26" x14ac:dyDescent="0.25">
      <c r="Z41792">
        <v>400000</v>
      </c>
    </row>
    <row r="41793" spans="26:26" x14ac:dyDescent="0.25">
      <c r="Z41793">
        <v>400000</v>
      </c>
    </row>
    <row r="41794" spans="26:26" x14ac:dyDescent="0.25">
      <c r="Z41794">
        <v>400000</v>
      </c>
    </row>
    <row r="41795" spans="26:26" x14ac:dyDescent="0.25">
      <c r="Z41795">
        <v>400000</v>
      </c>
    </row>
    <row r="41796" spans="26:26" x14ac:dyDescent="0.25">
      <c r="Z41796">
        <v>400000</v>
      </c>
    </row>
    <row r="41797" spans="26:26" x14ac:dyDescent="0.25">
      <c r="Z41797">
        <v>400000</v>
      </c>
    </row>
    <row r="41798" spans="26:26" x14ac:dyDescent="0.25">
      <c r="Z41798">
        <v>400000</v>
      </c>
    </row>
    <row r="41799" spans="26:26" x14ac:dyDescent="0.25">
      <c r="Z41799">
        <v>400000</v>
      </c>
    </row>
    <row r="41800" spans="26:26" x14ac:dyDescent="0.25">
      <c r="Z41800">
        <v>400000</v>
      </c>
    </row>
    <row r="41801" spans="26:26" x14ac:dyDescent="0.25">
      <c r="Z41801">
        <v>400000</v>
      </c>
    </row>
    <row r="41802" spans="26:26" x14ac:dyDescent="0.25">
      <c r="Z41802">
        <v>400000</v>
      </c>
    </row>
    <row r="41803" spans="26:26" x14ac:dyDescent="0.25">
      <c r="Z41803">
        <v>400000</v>
      </c>
    </row>
    <row r="41804" spans="26:26" x14ac:dyDescent="0.25">
      <c r="Z41804">
        <v>400000</v>
      </c>
    </row>
    <row r="41805" spans="26:26" x14ac:dyDescent="0.25">
      <c r="Z41805">
        <v>400000</v>
      </c>
    </row>
    <row r="41806" spans="26:26" x14ac:dyDescent="0.25">
      <c r="Z41806">
        <v>400000</v>
      </c>
    </row>
    <row r="41807" spans="26:26" x14ac:dyDescent="0.25">
      <c r="Z41807">
        <v>400000</v>
      </c>
    </row>
    <row r="41808" spans="26:26" x14ac:dyDescent="0.25">
      <c r="Z41808">
        <v>400000</v>
      </c>
    </row>
    <row r="41809" spans="26:26" x14ac:dyDescent="0.25">
      <c r="Z41809">
        <v>400000</v>
      </c>
    </row>
    <row r="41810" spans="26:26" x14ac:dyDescent="0.25">
      <c r="Z41810">
        <v>400000</v>
      </c>
    </row>
    <row r="41811" spans="26:26" x14ac:dyDescent="0.25">
      <c r="Z41811">
        <v>400000</v>
      </c>
    </row>
    <row r="41812" spans="26:26" x14ac:dyDescent="0.25">
      <c r="Z41812">
        <v>400000</v>
      </c>
    </row>
    <row r="41813" spans="26:26" x14ac:dyDescent="0.25">
      <c r="Z41813">
        <v>400000</v>
      </c>
    </row>
    <row r="41814" spans="26:26" x14ac:dyDescent="0.25">
      <c r="Z41814">
        <v>400000</v>
      </c>
    </row>
    <row r="41815" spans="26:26" x14ac:dyDescent="0.25">
      <c r="Z41815">
        <v>400000</v>
      </c>
    </row>
    <row r="41816" spans="26:26" x14ac:dyDescent="0.25">
      <c r="Z41816">
        <v>400000</v>
      </c>
    </row>
    <row r="41817" spans="26:26" x14ac:dyDescent="0.25">
      <c r="Z41817">
        <v>400000</v>
      </c>
    </row>
    <row r="41818" spans="26:26" x14ac:dyDescent="0.25">
      <c r="Z41818">
        <v>400000</v>
      </c>
    </row>
    <row r="41819" spans="26:26" x14ac:dyDescent="0.25">
      <c r="Z41819">
        <v>400000</v>
      </c>
    </row>
    <row r="41820" spans="26:26" x14ac:dyDescent="0.25">
      <c r="Z41820">
        <v>400000</v>
      </c>
    </row>
    <row r="41821" spans="26:26" x14ac:dyDescent="0.25">
      <c r="Z41821">
        <v>400000</v>
      </c>
    </row>
    <row r="41822" spans="26:26" x14ac:dyDescent="0.25">
      <c r="Z41822">
        <v>400000</v>
      </c>
    </row>
    <row r="41823" spans="26:26" x14ac:dyDescent="0.25">
      <c r="Z41823">
        <v>400000</v>
      </c>
    </row>
    <row r="41824" spans="26:26" x14ac:dyDescent="0.25">
      <c r="Z41824">
        <v>400000</v>
      </c>
    </row>
    <row r="41825" spans="26:26" x14ac:dyDescent="0.25">
      <c r="Z41825">
        <v>400000</v>
      </c>
    </row>
    <row r="41826" spans="26:26" x14ac:dyDescent="0.25">
      <c r="Z41826">
        <v>400000</v>
      </c>
    </row>
    <row r="41827" spans="26:26" x14ac:dyDescent="0.25">
      <c r="Z41827">
        <v>400000</v>
      </c>
    </row>
    <row r="41828" spans="26:26" x14ac:dyDescent="0.25">
      <c r="Z41828">
        <v>400000</v>
      </c>
    </row>
    <row r="41829" spans="26:26" x14ac:dyDescent="0.25">
      <c r="Z41829">
        <v>400000</v>
      </c>
    </row>
    <row r="41830" spans="26:26" x14ac:dyDescent="0.25">
      <c r="Z41830">
        <v>400000</v>
      </c>
    </row>
    <row r="41831" spans="26:26" x14ac:dyDescent="0.25">
      <c r="Z41831">
        <v>400000</v>
      </c>
    </row>
    <row r="41832" spans="26:26" x14ac:dyDescent="0.25">
      <c r="Z41832">
        <v>400000</v>
      </c>
    </row>
    <row r="41833" spans="26:26" x14ac:dyDescent="0.25">
      <c r="Z41833">
        <v>400000</v>
      </c>
    </row>
    <row r="41834" spans="26:26" x14ac:dyDescent="0.25">
      <c r="Z41834">
        <v>400000</v>
      </c>
    </row>
    <row r="41835" spans="26:26" x14ac:dyDescent="0.25">
      <c r="Z41835">
        <v>400000</v>
      </c>
    </row>
    <row r="41836" spans="26:26" x14ac:dyDescent="0.25">
      <c r="Z41836">
        <v>400000</v>
      </c>
    </row>
    <row r="41837" spans="26:26" x14ac:dyDescent="0.25">
      <c r="Z41837">
        <v>400000</v>
      </c>
    </row>
    <row r="41838" spans="26:26" x14ac:dyDescent="0.25">
      <c r="Z41838">
        <v>400000</v>
      </c>
    </row>
    <row r="41839" spans="26:26" x14ac:dyDescent="0.25">
      <c r="Z41839">
        <v>400000</v>
      </c>
    </row>
    <row r="41840" spans="26:26" x14ac:dyDescent="0.25">
      <c r="Z41840">
        <v>400000</v>
      </c>
    </row>
    <row r="41841" spans="26:26" x14ac:dyDescent="0.25">
      <c r="Z41841">
        <v>400000</v>
      </c>
    </row>
    <row r="41842" spans="26:26" x14ac:dyDescent="0.25">
      <c r="Z41842">
        <v>400000</v>
      </c>
    </row>
    <row r="41843" spans="26:26" x14ac:dyDescent="0.25">
      <c r="Z41843">
        <v>400000</v>
      </c>
    </row>
    <row r="41844" spans="26:26" x14ac:dyDescent="0.25">
      <c r="Z41844">
        <v>400000</v>
      </c>
    </row>
    <row r="41845" spans="26:26" x14ac:dyDescent="0.25">
      <c r="Z41845">
        <v>400000</v>
      </c>
    </row>
    <row r="41846" spans="26:26" x14ac:dyDescent="0.25">
      <c r="Z41846">
        <v>400000</v>
      </c>
    </row>
    <row r="41847" spans="26:26" x14ac:dyDescent="0.25">
      <c r="Z41847">
        <v>400000</v>
      </c>
    </row>
    <row r="41848" spans="26:26" x14ac:dyDescent="0.25">
      <c r="Z41848">
        <v>400000</v>
      </c>
    </row>
    <row r="41849" spans="26:26" x14ac:dyDescent="0.25">
      <c r="Z41849">
        <v>400000</v>
      </c>
    </row>
    <row r="41850" spans="26:26" x14ac:dyDescent="0.25">
      <c r="Z41850">
        <v>400000</v>
      </c>
    </row>
    <row r="41851" spans="26:26" x14ac:dyDescent="0.25">
      <c r="Z41851">
        <v>400000</v>
      </c>
    </row>
    <row r="41852" spans="26:26" x14ac:dyDescent="0.25">
      <c r="Z41852">
        <v>400000</v>
      </c>
    </row>
    <row r="41853" spans="26:26" x14ac:dyDescent="0.25">
      <c r="Z41853">
        <v>400000</v>
      </c>
    </row>
    <row r="41854" spans="26:26" x14ac:dyDescent="0.25">
      <c r="Z41854">
        <v>400000</v>
      </c>
    </row>
    <row r="41855" spans="26:26" x14ac:dyDescent="0.25">
      <c r="Z41855">
        <v>400000</v>
      </c>
    </row>
    <row r="41856" spans="26:26" x14ac:dyDescent="0.25">
      <c r="Z41856">
        <v>400000</v>
      </c>
    </row>
    <row r="41857" spans="26:26" x14ac:dyDescent="0.25">
      <c r="Z41857">
        <v>400000</v>
      </c>
    </row>
    <row r="41858" spans="26:26" x14ac:dyDescent="0.25">
      <c r="Z41858">
        <v>400000</v>
      </c>
    </row>
    <row r="41859" spans="26:26" x14ac:dyDescent="0.25">
      <c r="Z41859">
        <v>400000</v>
      </c>
    </row>
    <row r="41860" spans="26:26" x14ac:dyDescent="0.25">
      <c r="Z41860">
        <v>400000</v>
      </c>
    </row>
    <row r="41861" spans="26:26" x14ac:dyDescent="0.25">
      <c r="Z41861">
        <v>400000</v>
      </c>
    </row>
    <row r="41862" spans="26:26" x14ac:dyDescent="0.25">
      <c r="Z41862">
        <v>400000</v>
      </c>
    </row>
    <row r="41863" spans="26:26" x14ac:dyDescent="0.25">
      <c r="Z41863">
        <v>400000</v>
      </c>
    </row>
    <row r="41864" spans="26:26" x14ac:dyDescent="0.25">
      <c r="Z41864">
        <v>400000</v>
      </c>
    </row>
    <row r="41865" spans="26:26" x14ac:dyDescent="0.25">
      <c r="Z41865">
        <v>400000</v>
      </c>
    </row>
    <row r="41866" spans="26:26" x14ac:dyDescent="0.25">
      <c r="Z41866">
        <v>400000</v>
      </c>
    </row>
    <row r="41867" spans="26:26" x14ac:dyDescent="0.25">
      <c r="Z41867">
        <v>400000</v>
      </c>
    </row>
    <row r="41868" spans="26:26" x14ac:dyDescent="0.25">
      <c r="Z41868">
        <v>400000</v>
      </c>
    </row>
    <row r="41869" spans="26:26" x14ac:dyDescent="0.25">
      <c r="Z41869">
        <v>400000</v>
      </c>
    </row>
    <row r="41870" spans="26:26" x14ac:dyDescent="0.25">
      <c r="Z41870">
        <v>400000</v>
      </c>
    </row>
    <row r="41871" spans="26:26" x14ac:dyDescent="0.25">
      <c r="Z41871">
        <v>400000</v>
      </c>
    </row>
    <row r="41872" spans="26:26" x14ac:dyDescent="0.25">
      <c r="Z41872">
        <v>400000</v>
      </c>
    </row>
    <row r="41873" spans="26:26" x14ac:dyDescent="0.25">
      <c r="Z41873">
        <v>400000</v>
      </c>
    </row>
    <row r="41874" spans="26:26" x14ac:dyDescent="0.25">
      <c r="Z41874">
        <v>400000</v>
      </c>
    </row>
    <row r="41875" spans="26:26" x14ac:dyDescent="0.25">
      <c r="Z41875">
        <v>400000</v>
      </c>
    </row>
    <row r="41876" spans="26:26" x14ac:dyDescent="0.25">
      <c r="Z41876">
        <v>400000</v>
      </c>
    </row>
    <row r="41877" spans="26:26" x14ac:dyDescent="0.25">
      <c r="Z41877">
        <v>400000</v>
      </c>
    </row>
    <row r="41878" spans="26:26" x14ac:dyDescent="0.25">
      <c r="Z41878">
        <v>400000</v>
      </c>
    </row>
    <row r="41879" spans="26:26" x14ac:dyDescent="0.25">
      <c r="Z41879">
        <v>400000</v>
      </c>
    </row>
    <row r="41880" spans="26:26" x14ac:dyDescent="0.25">
      <c r="Z41880">
        <v>400000</v>
      </c>
    </row>
    <row r="41881" spans="26:26" x14ac:dyDescent="0.25">
      <c r="Z41881">
        <v>400000</v>
      </c>
    </row>
    <row r="41882" spans="26:26" x14ac:dyDescent="0.25">
      <c r="Z41882">
        <v>400000</v>
      </c>
    </row>
    <row r="41883" spans="26:26" x14ac:dyDescent="0.25">
      <c r="Z41883">
        <v>400000</v>
      </c>
    </row>
    <row r="41884" spans="26:26" x14ac:dyDescent="0.25">
      <c r="Z41884">
        <v>400000</v>
      </c>
    </row>
    <row r="41885" spans="26:26" x14ac:dyDescent="0.25">
      <c r="Z41885">
        <v>400000</v>
      </c>
    </row>
    <row r="41886" spans="26:26" x14ac:dyDescent="0.25">
      <c r="Z41886">
        <v>400000</v>
      </c>
    </row>
    <row r="41887" spans="26:26" x14ac:dyDescent="0.25">
      <c r="Z41887">
        <v>400000</v>
      </c>
    </row>
    <row r="41888" spans="26:26" x14ac:dyDescent="0.25">
      <c r="Z41888">
        <v>400000</v>
      </c>
    </row>
    <row r="41889" spans="26:26" x14ac:dyDescent="0.25">
      <c r="Z41889">
        <v>400000</v>
      </c>
    </row>
    <row r="41890" spans="26:26" x14ac:dyDescent="0.25">
      <c r="Z41890">
        <v>400000</v>
      </c>
    </row>
    <row r="41891" spans="26:26" x14ac:dyDescent="0.25">
      <c r="Z41891">
        <v>400000</v>
      </c>
    </row>
    <row r="41892" spans="26:26" x14ac:dyDescent="0.25">
      <c r="Z41892">
        <v>400000</v>
      </c>
    </row>
    <row r="41893" spans="26:26" x14ac:dyDescent="0.25">
      <c r="Z41893">
        <v>400000</v>
      </c>
    </row>
    <row r="41894" spans="26:26" x14ac:dyDescent="0.25">
      <c r="Z41894">
        <v>400000</v>
      </c>
    </row>
    <row r="41895" spans="26:26" x14ac:dyDescent="0.25">
      <c r="Z41895">
        <v>400000</v>
      </c>
    </row>
    <row r="41896" spans="26:26" x14ac:dyDescent="0.25">
      <c r="Z41896">
        <v>400000</v>
      </c>
    </row>
    <row r="41897" spans="26:26" x14ac:dyDescent="0.25">
      <c r="Z41897">
        <v>400000</v>
      </c>
    </row>
    <row r="41898" spans="26:26" x14ac:dyDescent="0.25">
      <c r="Z41898">
        <v>400000</v>
      </c>
    </row>
    <row r="41899" spans="26:26" x14ac:dyDescent="0.25">
      <c r="Z41899">
        <v>400000</v>
      </c>
    </row>
    <row r="41900" spans="26:26" x14ac:dyDescent="0.25">
      <c r="Z41900">
        <v>400000</v>
      </c>
    </row>
    <row r="41901" spans="26:26" x14ac:dyDescent="0.25">
      <c r="Z41901">
        <v>400000</v>
      </c>
    </row>
    <row r="41902" spans="26:26" x14ac:dyDescent="0.25">
      <c r="Z41902">
        <v>400000</v>
      </c>
    </row>
    <row r="41903" spans="26:26" x14ac:dyDescent="0.25">
      <c r="Z41903">
        <v>400000</v>
      </c>
    </row>
    <row r="41904" spans="26:26" x14ac:dyDescent="0.25">
      <c r="Z41904">
        <v>400000</v>
      </c>
    </row>
    <row r="41905" spans="26:26" x14ac:dyDescent="0.25">
      <c r="Z41905">
        <v>400000</v>
      </c>
    </row>
    <row r="41906" spans="26:26" x14ac:dyDescent="0.25">
      <c r="Z41906">
        <v>400000</v>
      </c>
    </row>
    <row r="41907" spans="26:26" x14ac:dyDescent="0.25">
      <c r="Z41907">
        <v>400000</v>
      </c>
    </row>
    <row r="41908" spans="26:26" x14ac:dyDescent="0.25">
      <c r="Z41908">
        <v>400000</v>
      </c>
    </row>
    <row r="41909" spans="26:26" x14ac:dyDescent="0.25">
      <c r="Z41909">
        <v>400000</v>
      </c>
    </row>
    <row r="41910" spans="26:26" x14ac:dyDescent="0.25">
      <c r="Z41910">
        <v>400000</v>
      </c>
    </row>
    <row r="41911" spans="26:26" x14ac:dyDescent="0.25">
      <c r="Z41911">
        <v>400000</v>
      </c>
    </row>
    <row r="41912" spans="26:26" x14ac:dyDescent="0.25">
      <c r="Z41912">
        <v>400000</v>
      </c>
    </row>
    <row r="41913" spans="26:26" x14ac:dyDescent="0.25">
      <c r="Z41913">
        <v>400000</v>
      </c>
    </row>
    <row r="41914" spans="26:26" x14ac:dyDescent="0.25">
      <c r="Z41914">
        <v>400000</v>
      </c>
    </row>
    <row r="41915" spans="26:26" x14ac:dyDescent="0.25">
      <c r="Z41915">
        <v>400000</v>
      </c>
    </row>
    <row r="41916" spans="26:26" x14ac:dyDescent="0.25">
      <c r="Z41916">
        <v>400000</v>
      </c>
    </row>
    <row r="41917" spans="26:26" x14ac:dyDescent="0.25">
      <c r="Z41917">
        <v>400000</v>
      </c>
    </row>
    <row r="41918" spans="26:26" x14ac:dyDescent="0.25">
      <c r="Z41918">
        <v>400000</v>
      </c>
    </row>
    <row r="41919" spans="26:26" x14ac:dyDescent="0.25">
      <c r="Z41919">
        <v>400000</v>
      </c>
    </row>
    <row r="41920" spans="26:26" x14ac:dyDescent="0.25">
      <c r="Z41920">
        <v>400000</v>
      </c>
    </row>
    <row r="41921" spans="26:26" x14ac:dyDescent="0.25">
      <c r="Z41921">
        <v>400000</v>
      </c>
    </row>
    <row r="41922" spans="26:26" x14ac:dyDescent="0.25">
      <c r="Z41922">
        <v>400000</v>
      </c>
    </row>
    <row r="41923" spans="26:26" x14ac:dyDescent="0.25">
      <c r="Z41923">
        <v>400000</v>
      </c>
    </row>
    <row r="41924" spans="26:26" x14ac:dyDescent="0.25">
      <c r="Z41924">
        <v>400000</v>
      </c>
    </row>
    <row r="41925" spans="26:26" x14ac:dyDescent="0.25">
      <c r="Z41925">
        <v>400000</v>
      </c>
    </row>
    <row r="41926" spans="26:26" x14ac:dyDescent="0.25">
      <c r="Z41926">
        <v>400000</v>
      </c>
    </row>
    <row r="41927" spans="26:26" x14ac:dyDescent="0.25">
      <c r="Z41927">
        <v>400000</v>
      </c>
    </row>
    <row r="41928" spans="26:26" x14ac:dyDescent="0.25">
      <c r="Z41928">
        <v>400000</v>
      </c>
    </row>
    <row r="41929" spans="26:26" x14ac:dyDescent="0.25">
      <c r="Z41929">
        <v>400000</v>
      </c>
    </row>
    <row r="41930" spans="26:26" x14ac:dyDescent="0.25">
      <c r="Z41930">
        <v>400000</v>
      </c>
    </row>
    <row r="41931" spans="26:26" x14ac:dyDescent="0.25">
      <c r="Z41931">
        <v>400000</v>
      </c>
    </row>
    <row r="41932" spans="26:26" x14ac:dyDescent="0.25">
      <c r="Z41932">
        <v>400000</v>
      </c>
    </row>
    <row r="41933" spans="26:26" x14ac:dyDescent="0.25">
      <c r="Z41933">
        <v>400000</v>
      </c>
    </row>
    <row r="41934" spans="26:26" x14ac:dyDescent="0.25">
      <c r="Z41934">
        <v>400000</v>
      </c>
    </row>
    <row r="41935" spans="26:26" x14ac:dyDescent="0.25">
      <c r="Z41935">
        <v>400000</v>
      </c>
    </row>
    <row r="41936" spans="26:26" x14ac:dyDescent="0.25">
      <c r="Z41936">
        <v>400000</v>
      </c>
    </row>
    <row r="41937" spans="26:26" x14ac:dyDescent="0.25">
      <c r="Z41937">
        <v>400000</v>
      </c>
    </row>
    <row r="41938" spans="26:26" x14ac:dyDescent="0.25">
      <c r="Z41938">
        <v>400000</v>
      </c>
    </row>
    <row r="41939" spans="26:26" x14ac:dyDescent="0.25">
      <c r="Z41939">
        <v>400000</v>
      </c>
    </row>
    <row r="41940" spans="26:26" x14ac:dyDescent="0.25">
      <c r="Z41940">
        <v>400000</v>
      </c>
    </row>
    <row r="41941" spans="26:26" x14ac:dyDescent="0.25">
      <c r="Z41941">
        <v>400000</v>
      </c>
    </row>
    <row r="41942" spans="26:26" x14ac:dyDescent="0.25">
      <c r="Z41942">
        <v>400000</v>
      </c>
    </row>
    <row r="41943" spans="26:26" x14ac:dyDescent="0.25">
      <c r="Z41943">
        <v>400000</v>
      </c>
    </row>
    <row r="41944" spans="26:26" x14ac:dyDescent="0.25">
      <c r="Z41944">
        <v>400000</v>
      </c>
    </row>
    <row r="41945" spans="26:26" x14ac:dyDescent="0.25">
      <c r="Z41945">
        <v>400000</v>
      </c>
    </row>
    <row r="41946" spans="26:26" x14ac:dyDescent="0.25">
      <c r="Z41946">
        <v>400000</v>
      </c>
    </row>
    <row r="41947" spans="26:26" x14ac:dyDescent="0.25">
      <c r="Z41947">
        <v>400000</v>
      </c>
    </row>
    <row r="41948" spans="26:26" x14ac:dyDescent="0.25">
      <c r="Z41948">
        <v>400000</v>
      </c>
    </row>
    <row r="41949" spans="26:26" x14ac:dyDescent="0.25">
      <c r="Z41949">
        <v>400000</v>
      </c>
    </row>
    <row r="41950" spans="26:26" x14ac:dyDescent="0.25">
      <c r="Z41950">
        <v>400000</v>
      </c>
    </row>
    <row r="41951" spans="26:26" x14ac:dyDescent="0.25">
      <c r="Z41951">
        <v>400000</v>
      </c>
    </row>
    <row r="41952" spans="26:26" x14ac:dyDescent="0.25">
      <c r="Z41952">
        <v>400000</v>
      </c>
    </row>
    <row r="41953" spans="26:26" x14ac:dyDescent="0.25">
      <c r="Z41953">
        <v>400000</v>
      </c>
    </row>
    <row r="41954" spans="26:26" x14ac:dyDescent="0.25">
      <c r="Z41954">
        <v>400000</v>
      </c>
    </row>
    <row r="41955" spans="26:26" x14ac:dyDescent="0.25">
      <c r="Z41955">
        <v>400000</v>
      </c>
    </row>
    <row r="41956" spans="26:26" x14ac:dyDescent="0.25">
      <c r="Z41956">
        <v>400000</v>
      </c>
    </row>
    <row r="41957" spans="26:26" x14ac:dyDescent="0.25">
      <c r="Z41957">
        <v>400000</v>
      </c>
    </row>
    <row r="41958" spans="26:26" x14ac:dyDescent="0.25">
      <c r="Z41958">
        <v>400000</v>
      </c>
    </row>
    <row r="41959" spans="26:26" x14ac:dyDescent="0.25">
      <c r="Z41959">
        <v>400000</v>
      </c>
    </row>
    <row r="41960" spans="26:26" x14ac:dyDescent="0.25">
      <c r="Z41960">
        <v>400000</v>
      </c>
    </row>
    <row r="41961" spans="26:26" x14ac:dyDescent="0.25">
      <c r="Z41961">
        <v>400000</v>
      </c>
    </row>
    <row r="41962" spans="26:26" x14ac:dyDescent="0.25">
      <c r="Z41962">
        <v>400000</v>
      </c>
    </row>
    <row r="41963" spans="26:26" x14ac:dyDescent="0.25">
      <c r="Z41963">
        <v>400000</v>
      </c>
    </row>
    <row r="41964" spans="26:26" x14ac:dyDescent="0.25">
      <c r="Z41964">
        <v>400000</v>
      </c>
    </row>
    <row r="41965" spans="26:26" x14ac:dyDescent="0.25">
      <c r="Z41965">
        <v>400000</v>
      </c>
    </row>
    <row r="41966" spans="26:26" x14ac:dyDescent="0.25">
      <c r="Z41966">
        <v>400000</v>
      </c>
    </row>
    <row r="41967" spans="26:26" x14ac:dyDescent="0.25">
      <c r="Z41967">
        <v>400000</v>
      </c>
    </row>
    <row r="41968" spans="26:26" x14ac:dyDescent="0.25">
      <c r="Z41968">
        <v>400000</v>
      </c>
    </row>
    <row r="41969" spans="26:26" x14ac:dyDescent="0.25">
      <c r="Z41969">
        <v>400000</v>
      </c>
    </row>
    <row r="41970" spans="26:26" x14ac:dyDescent="0.25">
      <c r="Z41970">
        <v>400000</v>
      </c>
    </row>
    <row r="41971" spans="26:26" x14ac:dyDescent="0.25">
      <c r="Z41971">
        <v>400000</v>
      </c>
    </row>
    <row r="41972" spans="26:26" x14ac:dyDescent="0.25">
      <c r="Z41972">
        <v>400000</v>
      </c>
    </row>
    <row r="41973" spans="26:26" x14ac:dyDescent="0.25">
      <c r="Z41973">
        <v>400000</v>
      </c>
    </row>
    <row r="41974" spans="26:26" x14ac:dyDescent="0.25">
      <c r="Z41974">
        <v>400000</v>
      </c>
    </row>
    <row r="41975" spans="26:26" x14ac:dyDescent="0.25">
      <c r="Z41975">
        <v>400000</v>
      </c>
    </row>
    <row r="41976" spans="26:26" x14ac:dyDescent="0.25">
      <c r="Z41976">
        <v>400000</v>
      </c>
    </row>
    <row r="41977" spans="26:26" x14ac:dyDescent="0.25">
      <c r="Z41977">
        <v>400000</v>
      </c>
    </row>
    <row r="41978" spans="26:26" x14ac:dyDescent="0.25">
      <c r="Z41978">
        <v>400000</v>
      </c>
    </row>
    <row r="41979" spans="26:26" x14ac:dyDescent="0.25">
      <c r="Z41979">
        <v>400000</v>
      </c>
    </row>
    <row r="41980" spans="26:26" x14ac:dyDescent="0.25">
      <c r="Z41980">
        <v>400000</v>
      </c>
    </row>
    <row r="41981" spans="26:26" x14ac:dyDescent="0.25">
      <c r="Z41981">
        <v>400000</v>
      </c>
    </row>
    <row r="41982" spans="26:26" x14ac:dyDescent="0.25">
      <c r="Z41982">
        <v>400000</v>
      </c>
    </row>
    <row r="41983" spans="26:26" x14ac:dyDescent="0.25">
      <c r="Z41983">
        <v>400000</v>
      </c>
    </row>
    <row r="41984" spans="26:26" x14ac:dyDescent="0.25">
      <c r="Z41984">
        <v>400000</v>
      </c>
    </row>
    <row r="41985" spans="26:26" x14ac:dyDescent="0.25">
      <c r="Z41985">
        <v>400000</v>
      </c>
    </row>
    <row r="41986" spans="26:26" x14ac:dyDescent="0.25">
      <c r="Z41986">
        <v>400000</v>
      </c>
    </row>
    <row r="41987" spans="26:26" x14ac:dyDescent="0.25">
      <c r="Z41987">
        <v>400000</v>
      </c>
    </row>
    <row r="41988" spans="26:26" x14ac:dyDescent="0.25">
      <c r="Z41988">
        <v>400000</v>
      </c>
    </row>
    <row r="41989" spans="26:26" x14ac:dyDescent="0.25">
      <c r="Z41989">
        <v>400000</v>
      </c>
    </row>
    <row r="41990" spans="26:26" x14ac:dyDescent="0.25">
      <c r="Z41990">
        <v>400000</v>
      </c>
    </row>
    <row r="41991" spans="26:26" x14ac:dyDescent="0.25">
      <c r="Z41991">
        <v>400000</v>
      </c>
    </row>
    <row r="41992" spans="26:26" x14ac:dyDescent="0.25">
      <c r="Z41992">
        <v>400000</v>
      </c>
    </row>
    <row r="41993" spans="26:26" x14ac:dyDescent="0.25">
      <c r="Z41993">
        <v>400000</v>
      </c>
    </row>
    <row r="41994" spans="26:26" x14ac:dyDescent="0.25">
      <c r="Z41994">
        <v>400000</v>
      </c>
    </row>
    <row r="41995" spans="26:26" x14ac:dyDescent="0.25">
      <c r="Z41995">
        <v>400000</v>
      </c>
    </row>
    <row r="41996" spans="26:26" x14ac:dyDescent="0.25">
      <c r="Z41996">
        <v>400000</v>
      </c>
    </row>
    <row r="41997" spans="26:26" x14ac:dyDescent="0.25">
      <c r="Z41997">
        <v>400000</v>
      </c>
    </row>
    <row r="41998" spans="26:26" x14ac:dyDescent="0.25">
      <c r="Z41998">
        <v>400000</v>
      </c>
    </row>
    <row r="41999" spans="26:26" x14ac:dyDescent="0.25">
      <c r="Z41999">
        <v>400000</v>
      </c>
    </row>
    <row r="42000" spans="26:26" x14ac:dyDescent="0.25">
      <c r="Z42000">
        <v>400000</v>
      </c>
    </row>
    <row r="42001" spans="26:26" x14ac:dyDescent="0.25">
      <c r="Z42001">
        <v>400000</v>
      </c>
    </row>
    <row r="42002" spans="26:26" x14ac:dyDescent="0.25">
      <c r="Z42002">
        <v>400000</v>
      </c>
    </row>
    <row r="42003" spans="26:26" x14ac:dyDescent="0.25">
      <c r="Z42003">
        <v>400000</v>
      </c>
    </row>
    <row r="42004" spans="26:26" x14ac:dyDescent="0.25">
      <c r="Z42004">
        <v>400000</v>
      </c>
    </row>
    <row r="42005" spans="26:26" x14ac:dyDescent="0.25">
      <c r="Z42005">
        <v>400000</v>
      </c>
    </row>
    <row r="42006" spans="26:26" x14ac:dyDescent="0.25">
      <c r="Z42006">
        <v>400000</v>
      </c>
    </row>
    <row r="42007" spans="26:26" x14ac:dyDescent="0.25">
      <c r="Z42007">
        <v>400000</v>
      </c>
    </row>
    <row r="42008" spans="26:26" x14ac:dyDescent="0.25">
      <c r="Z42008">
        <v>400000</v>
      </c>
    </row>
    <row r="42009" spans="26:26" x14ac:dyDescent="0.25">
      <c r="Z42009">
        <v>400000</v>
      </c>
    </row>
    <row r="42010" spans="26:26" x14ac:dyDescent="0.25">
      <c r="Z42010">
        <v>400000</v>
      </c>
    </row>
    <row r="42011" spans="26:26" x14ac:dyDescent="0.25">
      <c r="Z42011">
        <v>400000</v>
      </c>
    </row>
    <row r="42012" spans="26:26" x14ac:dyDescent="0.25">
      <c r="Z42012">
        <v>400000</v>
      </c>
    </row>
    <row r="42013" spans="26:26" x14ac:dyDescent="0.25">
      <c r="Z42013">
        <v>400000</v>
      </c>
    </row>
    <row r="42014" spans="26:26" x14ac:dyDescent="0.25">
      <c r="Z42014">
        <v>400000</v>
      </c>
    </row>
    <row r="42015" spans="26:26" x14ac:dyDescent="0.25">
      <c r="Z42015">
        <v>400000</v>
      </c>
    </row>
    <row r="42016" spans="26:26" x14ac:dyDescent="0.25">
      <c r="Z42016">
        <v>400000</v>
      </c>
    </row>
    <row r="42017" spans="26:26" x14ac:dyDescent="0.25">
      <c r="Z42017">
        <v>400000</v>
      </c>
    </row>
    <row r="42018" spans="26:26" x14ac:dyDescent="0.25">
      <c r="Z42018">
        <v>400000</v>
      </c>
    </row>
    <row r="42019" spans="26:26" x14ac:dyDescent="0.25">
      <c r="Z42019">
        <v>400000</v>
      </c>
    </row>
    <row r="42020" spans="26:26" x14ac:dyDescent="0.25">
      <c r="Z42020">
        <v>400000</v>
      </c>
    </row>
    <row r="42021" spans="26:26" x14ac:dyDescent="0.25">
      <c r="Z42021">
        <v>400000</v>
      </c>
    </row>
    <row r="42022" spans="26:26" x14ac:dyDescent="0.25">
      <c r="Z42022">
        <v>400000</v>
      </c>
    </row>
    <row r="42023" spans="26:26" x14ac:dyDescent="0.25">
      <c r="Z42023">
        <v>400000</v>
      </c>
    </row>
    <row r="42024" spans="26:26" x14ac:dyDescent="0.25">
      <c r="Z42024">
        <v>400000</v>
      </c>
    </row>
    <row r="42025" spans="26:26" x14ac:dyDescent="0.25">
      <c r="Z42025">
        <v>400000</v>
      </c>
    </row>
    <row r="42026" spans="26:26" x14ac:dyDescent="0.25">
      <c r="Z42026">
        <v>400000</v>
      </c>
    </row>
    <row r="42027" spans="26:26" x14ac:dyDescent="0.25">
      <c r="Z42027">
        <v>400000</v>
      </c>
    </row>
    <row r="42028" spans="26:26" x14ac:dyDescent="0.25">
      <c r="Z42028">
        <v>400000</v>
      </c>
    </row>
    <row r="42029" spans="26:26" x14ac:dyDescent="0.25">
      <c r="Z42029">
        <v>400000</v>
      </c>
    </row>
    <row r="42030" spans="26:26" x14ac:dyDescent="0.25">
      <c r="Z42030">
        <v>400000</v>
      </c>
    </row>
    <row r="42031" spans="26:26" x14ac:dyDescent="0.25">
      <c r="Z42031">
        <v>400000</v>
      </c>
    </row>
    <row r="42032" spans="26:26" x14ac:dyDescent="0.25">
      <c r="Z42032">
        <v>400000</v>
      </c>
    </row>
    <row r="42033" spans="26:26" x14ac:dyDescent="0.25">
      <c r="Z42033">
        <v>400000</v>
      </c>
    </row>
    <row r="42034" spans="26:26" x14ac:dyDescent="0.25">
      <c r="Z42034">
        <v>400000</v>
      </c>
    </row>
    <row r="42035" spans="26:26" x14ac:dyDescent="0.25">
      <c r="Z42035">
        <v>400000</v>
      </c>
    </row>
    <row r="42036" spans="26:26" x14ac:dyDescent="0.25">
      <c r="Z42036">
        <v>400000</v>
      </c>
    </row>
    <row r="42037" spans="26:26" x14ac:dyDescent="0.25">
      <c r="Z42037">
        <v>400000</v>
      </c>
    </row>
    <row r="42038" spans="26:26" x14ac:dyDescent="0.25">
      <c r="Z42038">
        <v>400000</v>
      </c>
    </row>
    <row r="42039" spans="26:26" x14ac:dyDescent="0.25">
      <c r="Z42039">
        <v>400000</v>
      </c>
    </row>
    <row r="42040" spans="26:26" x14ac:dyDescent="0.25">
      <c r="Z42040">
        <v>400000</v>
      </c>
    </row>
    <row r="42041" spans="26:26" x14ac:dyDescent="0.25">
      <c r="Z42041">
        <v>400000</v>
      </c>
    </row>
    <row r="42042" spans="26:26" x14ac:dyDescent="0.25">
      <c r="Z42042">
        <v>400000</v>
      </c>
    </row>
    <row r="42043" spans="26:26" x14ac:dyDescent="0.25">
      <c r="Z42043">
        <v>400000</v>
      </c>
    </row>
    <row r="42044" spans="26:26" x14ac:dyDescent="0.25">
      <c r="Z42044">
        <v>400000</v>
      </c>
    </row>
    <row r="42045" spans="26:26" x14ac:dyDescent="0.25">
      <c r="Z42045">
        <v>400000</v>
      </c>
    </row>
    <row r="42046" spans="26:26" x14ac:dyDescent="0.25">
      <c r="Z42046">
        <v>400000</v>
      </c>
    </row>
    <row r="42047" spans="26:26" x14ac:dyDescent="0.25">
      <c r="Z42047">
        <v>400000</v>
      </c>
    </row>
    <row r="42048" spans="26:26" x14ac:dyDescent="0.25">
      <c r="Z42048">
        <v>400000</v>
      </c>
    </row>
    <row r="42049" spans="26:26" x14ac:dyDescent="0.25">
      <c r="Z42049">
        <v>400000</v>
      </c>
    </row>
    <row r="42050" spans="26:26" x14ac:dyDescent="0.25">
      <c r="Z42050">
        <v>400000</v>
      </c>
    </row>
    <row r="42051" spans="26:26" x14ac:dyDescent="0.25">
      <c r="Z42051">
        <v>400000</v>
      </c>
    </row>
    <row r="42052" spans="26:26" x14ac:dyDescent="0.25">
      <c r="Z42052">
        <v>400000</v>
      </c>
    </row>
    <row r="42053" spans="26:26" x14ac:dyDescent="0.25">
      <c r="Z42053">
        <v>400000</v>
      </c>
    </row>
    <row r="42054" spans="26:26" x14ac:dyDescent="0.25">
      <c r="Z42054">
        <v>400000</v>
      </c>
    </row>
    <row r="42055" spans="26:26" x14ac:dyDescent="0.25">
      <c r="Z42055">
        <v>400000</v>
      </c>
    </row>
    <row r="42056" spans="26:26" x14ac:dyDescent="0.25">
      <c r="Z42056">
        <v>400000</v>
      </c>
    </row>
    <row r="42057" spans="26:26" x14ac:dyDescent="0.25">
      <c r="Z42057">
        <v>400000</v>
      </c>
    </row>
    <row r="42058" spans="26:26" x14ac:dyDescent="0.25">
      <c r="Z42058">
        <v>400000</v>
      </c>
    </row>
    <row r="42059" spans="26:26" x14ac:dyDescent="0.25">
      <c r="Z42059">
        <v>400000</v>
      </c>
    </row>
    <row r="42060" spans="26:26" x14ac:dyDescent="0.25">
      <c r="Z42060">
        <v>400000</v>
      </c>
    </row>
    <row r="42061" spans="26:26" x14ac:dyDescent="0.25">
      <c r="Z42061">
        <v>400000</v>
      </c>
    </row>
    <row r="42062" spans="26:26" x14ac:dyDescent="0.25">
      <c r="Z42062">
        <v>400000</v>
      </c>
    </row>
    <row r="42063" spans="26:26" x14ac:dyDescent="0.25">
      <c r="Z42063">
        <v>400000</v>
      </c>
    </row>
    <row r="42064" spans="26:26" x14ac:dyDescent="0.25">
      <c r="Z42064">
        <v>400000</v>
      </c>
    </row>
    <row r="42065" spans="26:26" x14ac:dyDescent="0.25">
      <c r="Z42065">
        <v>400000</v>
      </c>
    </row>
    <row r="42066" spans="26:26" x14ac:dyDescent="0.25">
      <c r="Z42066">
        <v>400000</v>
      </c>
    </row>
    <row r="42067" spans="26:26" x14ac:dyDescent="0.25">
      <c r="Z42067">
        <v>400000</v>
      </c>
    </row>
    <row r="42068" spans="26:26" x14ac:dyDescent="0.25">
      <c r="Z42068">
        <v>400000</v>
      </c>
    </row>
    <row r="42069" spans="26:26" x14ac:dyDescent="0.25">
      <c r="Z42069">
        <v>400000</v>
      </c>
    </row>
    <row r="42070" spans="26:26" x14ac:dyDescent="0.25">
      <c r="Z42070">
        <v>400000</v>
      </c>
    </row>
    <row r="42071" spans="26:26" x14ac:dyDescent="0.25">
      <c r="Z42071">
        <v>400000</v>
      </c>
    </row>
    <row r="42072" spans="26:26" x14ac:dyDescent="0.25">
      <c r="Z42072">
        <v>400000</v>
      </c>
    </row>
    <row r="42073" spans="26:26" x14ac:dyDescent="0.25">
      <c r="Z42073">
        <v>400000</v>
      </c>
    </row>
    <row r="42074" spans="26:26" x14ac:dyDescent="0.25">
      <c r="Z42074">
        <v>400000</v>
      </c>
    </row>
    <row r="42075" spans="26:26" x14ac:dyDescent="0.25">
      <c r="Z42075">
        <v>400000</v>
      </c>
    </row>
    <row r="42076" spans="26:26" x14ac:dyDescent="0.25">
      <c r="Z42076">
        <v>400000</v>
      </c>
    </row>
    <row r="42077" spans="26:26" x14ac:dyDescent="0.25">
      <c r="Z42077">
        <v>400000</v>
      </c>
    </row>
    <row r="42078" spans="26:26" x14ac:dyDescent="0.25">
      <c r="Z42078">
        <v>400000</v>
      </c>
    </row>
    <row r="42079" spans="26:26" x14ac:dyDescent="0.25">
      <c r="Z42079">
        <v>400000</v>
      </c>
    </row>
    <row r="42080" spans="26:26" x14ac:dyDescent="0.25">
      <c r="Z42080">
        <v>400000</v>
      </c>
    </row>
    <row r="42081" spans="26:26" x14ac:dyDescent="0.25">
      <c r="Z42081">
        <v>400000</v>
      </c>
    </row>
    <row r="42082" spans="26:26" x14ac:dyDescent="0.25">
      <c r="Z42082">
        <v>400000</v>
      </c>
    </row>
    <row r="42083" spans="26:26" x14ac:dyDescent="0.25">
      <c r="Z42083">
        <v>400000</v>
      </c>
    </row>
    <row r="42084" spans="26:26" x14ac:dyDescent="0.25">
      <c r="Z42084">
        <v>400000</v>
      </c>
    </row>
    <row r="42085" spans="26:26" x14ac:dyDescent="0.25">
      <c r="Z42085">
        <v>400000</v>
      </c>
    </row>
    <row r="42086" spans="26:26" x14ac:dyDescent="0.25">
      <c r="Z42086">
        <v>400000</v>
      </c>
    </row>
    <row r="42087" spans="26:26" x14ac:dyDescent="0.25">
      <c r="Z42087">
        <v>400000</v>
      </c>
    </row>
    <row r="42088" spans="26:26" x14ac:dyDescent="0.25">
      <c r="Z42088">
        <v>400000</v>
      </c>
    </row>
    <row r="42089" spans="26:26" x14ac:dyDescent="0.25">
      <c r="Z42089">
        <v>400000</v>
      </c>
    </row>
    <row r="42090" spans="26:26" x14ac:dyDescent="0.25">
      <c r="Z42090">
        <v>400000</v>
      </c>
    </row>
    <row r="42091" spans="26:26" x14ac:dyDescent="0.25">
      <c r="Z42091">
        <v>400000</v>
      </c>
    </row>
    <row r="42092" spans="26:26" x14ac:dyDescent="0.25">
      <c r="Z42092">
        <v>400000</v>
      </c>
    </row>
    <row r="42093" spans="26:26" x14ac:dyDescent="0.25">
      <c r="Z42093">
        <v>400000</v>
      </c>
    </row>
    <row r="42094" spans="26:26" x14ac:dyDescent="0.25">
      <c r="Z42094">
        <v>400000</v>
      </c>
    </row>
    <row r="42095" spans="26:26" x14ac:dyDescent="0.25">
      <c r="Z42095">
        <v>400000</v>
      </c>
    </row>
    <row r="42096" spans="26:26" x14ac:dyDescent="0.25">
      <c r="Z42096">
        <v>400000</v>
      </c>
    </row>
    <row r="42097" spans="26:26" x14ac:dyDescent="0.25">
      <c r="Z42097">
        <v>400000</v>
      </c>
    </row>
    <row r="42098" spans="26:26" x14ac:dyDescent="0.25">
      <c r="Z42098">
        <v>400000</v>
      </c>
    </row>
    <row r="42099" spans="26:26" x14ac:dyDescent="0.25">
      <c r="Z42099">
        <v>400000</v>
      </c>
    </row>
    <row r="42100" spans="26:26" x14ac:dyDescent="0.25">
      <c r="Z42100">
        <v>400000</v>
      </c>
    </row>
    <row r="42101" spans="26:26" x14ac:dyDescent="0.25">
      <c r="Z42101">
        <v>400000</v>
      </c>
    </row>
    <row r="42102" spans="26:26" x14ac:dyDescent="0.25">
      <c r="Z42102">
        <v>400000</v>
      </c>
    </row>
    <row r="42103" spans="26:26" x14ac:dyDescent="0.25">
      <c r="Z42103">
        <v>400000</v>
      </c>
    </row>
    <row r="42104" spans="26:26" x14ac:dyDescent="0.25">
      <c r="Z42104">
        <v>400000</v>
      </c>
    </row>
    <row r="42105" spans="26:26" x14ac:dyDescent="0.25">
      <c r="Z42105">
        <v>400000</v>
      </c>
    </row>
    <row r="42106" spans="26:26" x14ac:dyDescent="0.25">
      <c r="Z42106">
        <v>400000</v>
      </c>
    </row>
    <row r="42107" spans="26:26" x14ac:dyDescent="0.25">
      <c r="Z42107">
        <v>400000</v>
      </c>
    </row>
    <row r="42108" spans="26:26" x14ac:dyDescent="0.25">
      <c r="Z42108">
        <v>400000</v>
      </c>
    </row>
    <row r="42109" spans="26:26" x14ac:dyDescent="0.25">
      <c r="Z42109">
        <v>400000</v>
      </c>
    </row>
    <row r="42110" spans="26:26" x14ac:dyDescent="0.25">
      <c r="Z42110">
        <v>400000</v>
      </c>
    </row>
    <row r="42111" spans="26:26" x14ac:dyDescent="0.25">
      <c r="Z42111">
        <v>400000</v>
      </c>
    </row>
    <row r="42112" spans="26:26" x14ac:dyDescent="0.25">
      <c r="Z42112">
        <v>400000</v>
      </c>
    </row>
    <row r="42113" spans="26:26" x14ac:dyDescent="0.25">
      <c r="Z42113">
        <v>400000</v>
      </c>
    </row>
    <row r="42114" spans="26:26" x14ac:dyDescent="0.25">
      <c r="Z42114">
        <v>400000</v>
      </c>
    </row>
    <row r="42115" spans="26:26" x14ac:dyDescent="0.25">
      <c r="Z42115">
        <v>400000</v>
      </c>
    </row>
    <row r="42116" spans="26:26" x14ac:dyDescent="0.25">
      <c r="Z42116">
        <v>400000</v>
      </c>
    </row>
    <row r="42117" spans="26:26" x14ac:dyDescent="0.25">
      <c r="Z42117">
        <v>400000</v>
      </c>
    </row>
    <row r="42118" spans="26:26" x14ac:dyDescent="0.25">
      <c r="Z42118">
        <v>400000</v>
      </c>
    </row>
    <row r="42119" spans="26:26" x14ac:dyDescent="0.25">
      <c r="Z42119">
        <v>400000</v>
      </c>
    </row>
    <row r="42120" spans="26:26" x14ac:dyDescent="0.25">
      <c r="Z42120">
        <v>400000</v>
      </c>
    </row>
    <row r="42121" spans="26:26" x14ac:dyDescent="0.25">
      <c r="Z42121">
        <v>400000</v>
      </c>
    </row>
    <row r="42122" spans="26:26" x14ac:dyDescent="0.25">
      <c r="Z42122">
        <v>400000</v>
      </c>
    </row>
    <row r="42123" spans="26:26" x14ac:dyDescent="0.25">
      <c r="Z42123">
        <v>400000</v>
      </c>
    </row>
    <row r="42124" spans="26:26" x14ac:dyDescent="0.25">
      <c r="Z42124">
        <v>400000</v>
      </c>
    </row>
    <row r="42125" spans="26:26" x14ac:dyDescent="0.25">
      <c r="Z42125">
        <v>400000</v>
      </c>
    </row>
    <row r="42126" spans="26:26" x14ac:dyDescent="0.25">
      <c r="Z42126">
        <v>400000</v>
      </c>
    </row>
    <row r="42127" spans="26:26" x14ac:dyDescent="0.25">
      <c r="Z42127">
        <v>400000</v>
      </c>
    </row>
    <row r="42128" spans="26:26" x14ac:dyDescent="0.25">
      <c r="Z42128">
        <v>400000</v>
      </c>
    </row>
    <row r="42129" spans="26:26" x14ac:dyDescent="0.25">
      <c r="Z42129">
        <v>400000</v>
      </c>
    </row>
    <row r="42130" spans="26:26" x14ac:dyDescent="0.25">
      <c r="Z42130">
        <v>400000</v>
      </c>
    </row>
    <row r="42131" spans="26:26" x14ac:dyDescent="0.25">
      <c r="Z42131">
        <v>400000</v>
      </c>
    </row>
    <row r="42132" spans="26:26" x14ac:dyDescent="0.25">
      <c r="Z42132">
        <v>400000</v>
      </c>
    </row>
    <row r="42133" spans="26:26" x14ac:dyDescent="0.25">
      <c r="Z42133">
        <v>400000</v>
      </c>
    </row>
    <row r="42134" spans="26:26" x14ac:dyDescent="0.25">
      <c r="Z42134">
        <v>400000</v>
      </c>
    </row>
    <row r="42135" spans="26:26" x14ac:dyDescent="0.25">
      <c r="Z42135">
        <v>400000</v>
      </c>
    </row>
    <row r="42136" spans="26:26" x14ac:dyDescent="0.25">
      <c r="Z42136">
        <v>400000</v>
      </c>
    </row>
    <row r="42137" spans="26:26" x14ac:dyDescent="0.25">
      <c r="Z42137">
        <v>400000</v>
      </c>
    </row>
    <row r="42138" spans="26:26" x14ac:dyDescent="0.25">
      <c r="Z42138">
        <v>400000</v>
      </c>
    </row>
    <row r="42139" spans="26:26" x14ac:dyDescent="0.25">
      <c r="Z42139">
        <v>400000</v>
      </c>
    </row>
    <row r="42140" spans="26:26" x14ac:dyDescent="0.25">
      <c r="Z42140">
        <v>400000</v>
      </c>
    </row>
    <row r="42141" spans="26:26" x14ac:dyDescent="0.25">
      <c r="Z42141">
        <v>400000</v>
      </c>
    </row>
    <row r="42142" spans="26:26" x14ac:dyDescent="0.25">
      <c r="Z42142">
        <v>400000</v>
      </c>
    </row>
    <row r="42143" spans="26:26" x14ac:dyDescent="0.25">
      <c r="Z42143">
        <v>400000</v>
      </c>
    </row>
    <row r="42144" spans="26:26" x14ac:dyDescent="0.25">
      <c r="Z42144">
        <v>400000</v>
      </c>
    </row>
    <row r="42145" spans="26:26" x14ac:dyDescent="0.25">
      <c r="Z42145">
        <v>400000</v>
      </c>
    </row>
    <row r="42146" spans="26:26" x14ac:dyDescent="0.25">
      <c r="Z42146">
        <v>400000</v>
      </c>
    </row>
    <row r="42147" spans="26:26" x14ac:dyDescent="0.25">
      <c r="Z42147">
        <v>400000</v>
      </c>
    </row>
    <row r="42148" spans="26:26" x14ac:dyDescent="0.25">
      <c r="Z42148">
        <v>400000</v>
      </c>
    </row>
    <row r="42149" spans="26:26" x14ac:dyDescent="0.25">
      <c r="Z42149">
        <v>400000</v>
      </c>
    </row>
    <row r="42150" spans="26:26" x14ac:dyDescent="0.25">
      <c r="Z42150">
        <v>400000</v>
      </c>
    </row>
    <row r="42151" spans="26:26" x14ac:dyDescent="0.25">
      <c r="Z42151">
        <v>400000</v>
      </c>
    </row>
    <row r="42152" spans="26:26" x14ac:dyDescent="0.25">
      <c r="Z42152">
        <v>400000</v>
      </c>
    </row>
    <row r="42153" spans="26:26" x14ac:dyDescent="0.25">
      <c r="Z42153">
        <v>400000</v>
      </c>
    </row>
    <row r="42154" spans="26:26" x14ac:dyDescent="0.25">
      <c r="Z42154">
        <v>400000</v>
      </c>
    </row>
    <row r="42155" spans="26:26" x14ac:dyDescent="0.25">
      <c r="Z42155">
        <v>400000</v>
      </c>
    </row>
    <row r="42156" spans="26:26" x14ac:dyDescent="0.25">
      <c r="Z42156">
        <v>400000</v>
      </c>
    </row>
    <row r="42157" spans="26:26" x14ac:dyDescent="0.25">
      <c r="Z42157">
        <v>400000</v>
      </c>
    </row>
    <row r="42158" spans="26:26" x14ac:dyDescent="0.25">
      <c r="Z42158">
        <v>400000</v>
      </c>
    </row>
    <row r="42159" spans="26:26" x14ac:dyDescent="0.25">
      <c r="Z42159">
        <v>400000</v>
      </c>
    </row>
    <row r="42160" spans="26:26" x14ac:dyDescent="0.25">
      <c r="Z42160">
        <v>400000</v>
      </c>
    </row>
    <row r="42161" spans="26:26" x14ac:dyDescent="0.25">
      <c r="Z42161">
        <v>400000</v>
      </c>
    </row>
    <row r="42162" spans="26:26" x14ac:dyDescent="0.25">
      <c r="Z42162">
        <v>400000</v>
      </c>
    </row>
    <row r="42163" spans="26:26" x14ac:dyDescent="0.25">
      <c r="Z42163">
        <v>400000</v>
      </c>
    </row>
    <row r="42164" spans="26:26" x14ac:dyDescent="0.25">
      <c r="Z42164">
        <v>400000</v>
      </c>
    </row>
    <row r="42165" spans="26:26" x14ac:dyDescent="0.25">
      <c r="Z42165">
        <v>400000</v>
      </c>
    </row>
    <row r="42166" spans="26:26" x14ac:dyDescent="0.25">
      <c r="Z42166">
        <v>400000</v>
      </c>
    </row>
    <row r="42167" spans="26:26" x14ac:dyDescent="0.25">
      <c r="Z42167">
        <v>400000</v>
      </c>
    </row>
    <row r="42168" spans="26:26" x14ac:dyDescent="0.25">
      <c r="Z42168">
        <v>400000</v>
      </c>
    </row>
    <row r="42169" spans="26:26" x14ac:dyDescent="0.25">
      <c r="Z42169">
        <v>400000</v>
      </c>
    </row>
    <row r="42170" spans="26:26" x14ac:dyDescent="0.25">
      <c r="Z42170">
        <v>400000</v>
      </c>
    </row>
    <row r="42171" spans="26:26" x14ac:dyDescent="0.25">
      <c r="Z42171">
        <v>400000</v>
      </c>
    </row>
    <row r="42172" spans="26:26" x14ac:dyDescent="0.25">
      <c r="Z42172">
        <v>400000</v>
      </c>
    </row>
    <row r="42173" spans="26:26" x14ac:dyDescent="0.25">
      <c r="Z42173">
        <v>400000</v>
      </c>
    </row>
    <row r="42174" spans="26:26" x14ac:dyDescent="0.25">
      <c r="Z42174">
        <v>400000</v>
      </c>
    </row>
    <row r="42175" spans="26:26" x14ac:dyDescent="0.25">
      <c r="Z42175">
        <v>400000</v>
      </c>
    </row>
    <row r="42176" spans="26:26" x14ac:dyDescent="0.25">
      <c r="Z42176">
        <v>400000</v>
      </c>
    </row>
    <row r="42177" spans="26:26" x14ac:dyDescent="0.25">
      <c r="Z42177">
        <v>400000</v>
      </c>
    </row>
    <row r="42178" spans="26:26" x14ac:dyDescent="0.25">
      <c r="Z42178">
        <v>400000</v>
      </c>
    </row>
    <row r="42179" spans="26:26" x14ac:dyDescent="0.25">
      <c r="Z42179">
        <v>400000</v>
      </c>
    </row>
    <row r="42180" spans="26:26" x14ac:dyDescent="0.25">
      <c r="Z42180">
        <v>400000</v>
      </c>
    </row>
    <row r="42181" spans="26:26" x14ac:dyDescent="0.25">
      <c r="Z42181">
        <v>400000</v>
      </c>
    </row>
    <row r="42182" spans="26:26" x14ac:dyDescent="0.25">
      <c r="Z42182">
        <v>400000</v>
      </c>
    </row>
    <row r="42183" spans="26:26" x14ac:dyDescent="0.25">
      <c r="Z42183">
        <v>400000</v>
      </c>
    </row>
    <row r="42184" spans="26:26" x14ac:dyDescent="0.25">
      <c r="Z42184">
        <v>400000</v>
      </c>
    </row>
    <row r="42185" spans="26:26" x14ac:dyDescent="0.25">
      <c r="Z42185">
        <v>400000</v>
      </c>
    </row>
    <row r="42186" spans="26:26" x14ac:dyDescent="0.25">
      <c r="Z42186">
        <v>400000</v>
      </c>
    </row>
    <row r="42187" spans="26:26" x14ac:dyDescent="0.25">
      <c r="Z42187">
        <v>400000</v>
      </c>
    </row>
    <row r="42188" spans="26:26" x14ac:dyDescent="0.25">
      <c r="Z42188">
        <v>400000</v>
      </c>
    </row>
    <row r="42189" spans="26:26" x14ac:dyDescent="0.25">
      <c r="Z42189">
        <v>400000</v>
      </c>
    </row>
    <row r="42190" spans="26:26" x14ac:dyDescent="0.25">
      <c r="Z42190">
        <v>400000</v>
      </c>
    </row>
    <row r="42191" spans="26:26" x14ac:dyDescent="0.25">
      <c r="Z42191">
        <v>400000</v>
      </c>
    </row>
    <row r="42192" spans="26:26" x14ac:dyDescent="0.25">
      <c r="Z42192">
        <v>400000</v>
      </c>
    </row>
    <row r="42193" spans="26:26" x14ac:dyDescent="0.25">
      <c r="Z42193">
        <v>400000</v>
      </c>
    </row>
    <row r="42194" spans="26:26" x14ac:dyDescent="0.25">
      <c r="Z42194">
        <v>400000</v>
      </c>
    </row>
    <row r="42195" spans="26:26" x14ac:dyDescent="0.25">
      <c r="Z42195">
        <v>400000</v>
      </c>
    </row>
    <row r="42196" spans="26:26" x14ac:dyDescent="0.25">
      <c r="Z42196">
        <v>400000</v>
      </c>
    </row>
    <row r="42197" spans="26:26" x14ac:dyDescent="0.25">
      <c r="Z42197">
        <v>400000</v>
      </c>
    </row>
    <row r="42198" spans="26:26" x14ac:dyDescent="0.25">
      <c r="Z42198">
        <v>400000</v>
      </c>
    </row>
    <row r="42199" spans="26:26" x14ac:dyDescent="0.25">
      <c r="Z42199">
        <v>400000</v>
      </c>
    </row>
    <row r="42200" spans="26:26" x14ac:dyDescent="0.25">
      <c r="Z42200">
        <v>400000</v>
      </c>
    </row>
    <row r="42201" spans="26:26" x14ac:dyDescent="0.25">
      <c r="Z42201">
        <v>400000</v>
      </c>
    </row>
    <row r="42202" spans="26:26" x14ac:dyDescent="0.25">
      <c r="Z42202">
        <v>400000</v>
      </c>
    </row>
    <row r="42203" spans="26:26" x14ac:dyDescent="0.25">
      <c r="Z42203">
        <v>400000</v>
      </c>
    </row>
    <row r="42204" spans="26:26" x14ac:dyDescent="0.25">
      <c r="Z42204">
        <v>400000</v>
      </c>
    </row>
    <row r="42205" spans="26:26" x14ac:dyDescent="0.25">
      <c r="Z42205">
        <v>400000</v>
      </c>
    </row>
    <row r="42206" spans="26:26" x14ac:dyDescent="0.25">
      <c r="Z42206">
        <v>400000</v>
      </c>
    </row>
    <row r="42207" spans="26:26" x14ac:dyDescent="0.25">
      <c r="Z42207">
        <v>400000</v>
      </c>
    </row>
    <row r="42208" spans="26:26" x14ac:dyDescent="0.25">
      <c r="Z42208">
        <v>400000</v>
      </c>
    </row>
    <row r="42209" spans="26:26" x14ac:dyDescent="0.25">
      <c r="Z42209">
        <v>400000</v>
      </c>
    </row>
    <row r="42210" spans="26:26" x14ac:dyDescent="0.25">
      <c r="Z42210">
        <v>400000</v>
      </c>
    </row>
    <row r="42211" spans="26:26" x14ac:dyDescent="0.25">
      <c r="Z42211">
        <v>400000</v>
      </c>
    </row>
    <row r="42212" spans="26:26" x14ac:dyDescent="0.25">
      <c r="Z42212">
        <v>400000</v>
      </c>
    </row>
    <row r="42213" spans="26:26" x14ac:dyDescent="0.25">
      <c r="Z42213">
        <v>400000</v>
      </c>
    </row>
    <row r="42214" spans="26:26" x14ac:dyDescent="0.25">
      <c r="Z42214">
        <v>400000</v>
      </c>
    </row>
    <row r="42215" spans="26:26" x14ac:dyDescent="0.25">
      <c r="Z42215">
        <v>400000</v>
      </c>
    </row>
    <row r="42216" spans="26:26" x14ac:dyDescent="0.25">
      <c r="Z42216">
        <v>400000</v>
      </c>
    </row>
    <row r="42217" spans="26:26" x14ac:dyDescent="0.25">
      <c r="Z42217">
        <v>400000</v>
      </c>
    </row>
    <row r="42218" spans="26:26" x14ac:dyDescent="0.25">
      <c r="Z42218">
        <v>400000</v>
      </c>
    </row>
    <row r="42219" spans="26:26" x14ac:dyDescent="0.25">
      <c r="Z42219">
        <v>400000</v>
      </c>
    </row>
    <row r="42220" spans="26:26" x14ac:dyDescent="0.25">
      <c r="Z42220">
        <v>400000</v>
      </c>
    </row>
    <row r="42221" spans="26:26" x14ac:dyDescent="0.25">
      <c r="Z42221">
        <v>400000</v>
      </c>
    </row>
    <row r="42222" spans="26:26" x14ac:dyDescent="0.25">
      <c r="Z42222">
        <v>400000</v>
      </c>
    </row>
    <row r="42223" spans="26:26" x14ac:dyDescent="0.25">
      <c r="Z42223">
        <v>400000</v>
      </c>
    </row>
    <row r="42224" spans="26:26" x14ac:dyDescent="0.25">
      <c r="Z42224">
        <v>400000</v>
      </c>
    </row>
    <row r="42225" spans="26:26" x14ac:dyDescent="0.25">
      <c r="Z42225">
        <v>400000</v>
      </c>
    </row>
    <row r="42226" spans="26:26" x14ac:dyDescent="0.25">
      <c r="Z42226">
        <v>400000</v>
      </c>
    </row>
    <row r="42227" spans="26:26" x14ac:dyDescent="0.25">
      <c r="Z42227">
        <v>400000</v>
      </c>
    </row>
    <row r="42228" spans="26:26" x14ac:dyDescent="0.25">
      <c r="Z42228">
        <v>400000</v>
      </c>
    </row>
    <row r="42229" spans="26:26" x14ac:dyDescent="0.25">
      <c r="Z42229">
        <v>400000</v>
      </c>
    </row>
    <row r="42230" spans="26:26" x14ac:dyDescent="0.25">
      <c r="Z42230">
        <v>400000</v>
      </c>
    </row>
    <row r="42231" spans="26:26" x14ac:dyDescent="0.25">
      <c r="Z42231">
        <v>400000</v>
      </c>
    </row>
    <row r="42232" spans="26:26" x14ac:dyDescent="0.25">
      <c r="Z42232">
        <v>400000</v>
      </c>
    </row>
    <row r="42233" spans="26:26" x14ac:dyDescent="0.25">
      <c r="Z42233">
        <v>400000</v>
      </c>
    </row>
    <row r="42234" spans="26:26" x14ac:dyDescent="0.25">
      <c r="Z42234">
        <v>400000</v>
      </c>
    </row>
    <row r="42235" spans="26:26" x14ac:dyDescent="0.25">
      <c r="Z42235">
        <v>400000</v>
      </c>
    </row>
    <row r="42236" spans="26:26" x14ac:dyDescent="0.25">
      <c r="Z42236">
        <v>400000</v>
      </c>
    </row>
    <row r="42237" spans="26:26" x14ac:dyDescent="0.25">
      <c r="Z42237">
        <v>400000</v>
      </c>
    </row>
    <row r="42238" spans="26:26" x14ac:dyDescent="0.25">
      <c r="Z42238">
        <v>400000</v>
      </c>
    </row>
    <row r="42239" spans="26:26" x14ac:dyDescent="0.25">
      <c r="Z42239">
        <v>400000</v>
      </c>
    </row>
    <row r="42240" spans="26:26" x14ac:dyDescent="0.25">
      <c r="Z42240">
        <v>400000</v>
      </c>
    </row>
    <row r="42241" spans="26:26" x14ac:dyDescent="0.25">
      <c r="Z42241">
        <v>400000</v>
      </c>
    </row>
    <row r="42242" spans="26:26" x14ac:dyDescent="0.25">
      <c r="Z42242">
        <v>400000</v>
      </c>
    </row>
    <row r="42243" spans="26:26" x14ac:dyDescent="0.25">
      <c r="Z42243">
        <v>400000</v>
      </c>
    </row>
    <row r="42244" spans="26:26" x14ac:dyDescent="0.25">
      <c r="Z42244">
        <v>400000</v>
      </c>
    </row>
    <row r="42245" spans="26:26" x14ac:dyDescent="0.25">
      <c r="Z42245">
        <v>400000</v>
      </c>
    </row>
    <row r="42246" spans="26:26" x14ac:dyDescent="0.25">
      <c r="Z42246">
        <v>400000</v>
      </c>
    </row>
    <row r="42247" spans="26:26" x14ac:dyDescent="0.25">
      <c r="Z42247">
        <v>400000</v>
      </c>
    </row>
    <row r="42248" spans="26:26" x14ac:dyDescent="0.25">
      <c r="Z42248">
        <v>400000</v>
      </c>
    </row>
    <row r="42249" spans="26:26" x14ac:dyDescent="0.25">
      <c r="Z42249">
        <v>400000</v>
      </c>
    </row>
    <row r="42250" spans="26:26" x14ac:dyDescent="0.25">
      <c r="Z42250">
        <v>400000</v>
      </c>
    </row>
    <row r="42251" spans="26:26" x14ac:dyDescent="0.25">
      <c r="Z42251">
        <v>400000</v>
      </c>
    </row>
    <row r="42252" spans="26:26" x14ac:dyDescent="0.25">
      <c r="Z42252">
        <v>400000</v>
      </c>
    </row>
    <row r="42253" spans="26:26" x14ac:dyDescent="0.25">
      <c r="Z42253">
        <v>400000</v>
      </c>
    </row>
    <row r="42254" spans="26:26" x14ac:dyDescent="0.25">
      <c r="Z42254">
        <v>400000</v>
      </c>
    </row>
    <row r="42255" spans="26:26" x14ac:dyDescent="0.25">
      <c r="Z42255">
        <v>400000</v>
      </c>
    </row>
    <row r="42256" spans="26:26" x14ac:dyDescent="0.25">
      <c r="Z42256">
        <v>400000</v>
      </c>
    </row>
    <row r="42257" spans="26:26" x14ac:dyDescent="0.25">
      <c r="Z42257">
        <v>400000</v>
      </c>
    </row>
    <row r="42258" spans="26:26" x14ac:dyDescent="0.25">
      <c r="Z42258">
        <v>400000</v>
      </c>
    </row>
    <row r="42259" spans="26:26" x14ac:dyDescent="0.25">
      <c r="Z42259">
        <v>400000</v>
      </c>
    </row>
    <row r="42260" spans="26:26" x14ac:dyDescent="0.25">
      <c r="Z42260">
        <v>400000</v>
      </c>
    </row>
    <row r="42261" spans="26:26" x14ac:dyDescent="0.25">
      <c r="Z42261">
        <v>400000</v>
      </c>
    </row>
    <row r="42262" spans="26:26" x14ac:dyDescent="0.25">
      <c r="Z42262">
        <v>400000</v>
      </c>
    </row>
    <row r="42263" spans="26:26" x14ac:dyDescent="0.25">
      <c r="Z42263">
        <v>400000</v>
      </c>
    </row>
    <row r="42264" spans="26:26" x14ac:dyDescent="0.25">
      <c r="Z42264">
        <v>400000</v>
      </c>
    </row>
    <row r="42265" spans="26:26" x14ac:dyDescent="0.25">
      <c r="Z42265">
        <v>400000</v>
      </c>
    </row>
    <row r="42266" spans="26:26" x14ac:dyDescent="0.25">
      <c r="Z42266">
        <v>400000</v>
      </c>
    </row>
    <row r="42267" spans="26:26" x14ac:dyDescent="0.25">
      <c r="Z42267">
        <v>400000</v>
      </c>
    </row>
    <row r="42268" spans="26:26" x14ac:dyDescent="0.25">
      <c r="Z42268">
        <v>400000</v>
      </c>
    </row>
    <row r="42269" spans="26:26" x14ac:dyDescent="0.25">
      <c r="Z42269">
        <v>400000</v>
      </c>
    </row>
    <row r="42270" spans="26:26" x14ac:dyDescent="0.25">
      <c r="Z42270">
        <v>400000</v>
      </c>
    </row>
    <row r="42271" spans="26:26" x14ac:dyDescent="0.25">
      <c r="Z42271">
        <v>400000</v>
      </c>
    </row>
    <row r="42272" spans="26:26" x14ac:dyDescent="0.25">
      <c r="Z42272">
        <v>400000</v>
      </c>
    </row>
    <row r="42273" spans="26:26" x14ac:dyDescent="0.25">
      <c r="Z42273">
        <v>400000</v>
      </c>
    </row>
    <row r="42274" spans="26:26" x14ac:dyDescent="0.25">
      <c r="Z42274">
        <v>400000</v>
      </c>
    </row>
    <row r="42275" spans="26:26" x14ac:dyDescent="0.25">
      <c r="Z42275">
        <v>400000</v>
      </c>
    </row>
    <row r="42276" spans="26:26" x14ac:dyDescent="0.25">
      <c r="Z42276">
        <v>400000</v>
      </c>
    </row>
    <row r="42277" spans="26:26" x14ac:dyDescent="0.25">
      <c r="Z42277">
        <v>400000</v>
      </c>
    </row>
    <row r="42278" spans="26:26" x14ac:dyDescent="0.25">
      <c r="Z42278">
        <v>400000</v>
      </c>
    </row>
    <row r="42279" spans="26:26" x14ac:dyDescent="0.25">
      <c r="Z42279">
        <v>400000</v>
      </c>
    </row>
    <row r="42280" spans="26:26" x14ac:dyDescent="0.25">
      <c r="Z42280">
        <v>400000</v>
      </c>
    </row>
    <row r="42281" spans="26:26" x14ac:dyDescent="0.25">
      <c r="Z42281">
        <v>400000</v>
      </c>
    </row>
    <row r="42282" spans="26:26" x14ac:dyDescent="0.25">
      <c r="Z42282">
        <v>400000</v>
      </c>
    </row>
    <row r="42283" spans="26:26" x14ac:dyDescent="0.25">
      <c r="Z42283">
        <v>400000</v>
      </c>
    </row>
    <row r="42284" spans="26:26" x14ac:dyDescent="0.25">
      <c r="Z42284">
        <v>400000</v>
      </c>
    </row>
    <row r="42285" spans="26:26" x14ac:dyDescent="0.25">
      <c r="Z42285">
        <v>400000</v>
      </c>
    </row>
    <row r="42286" spans="26:26" x14ac:dyDescent="0.25">
      <c r="Z42286">
        <v>400000</v>
      </c>
    </row>
    <row r="42287" spans="26:26" x14ac:dyDescent="0.25">
      <c r="Z42287">
        <v>400000</v>
      </c>
    </row>
    <row r="42288" spans="26:26" x14ac:dyDescent="0.25">
      <c r="Z42288">
        <v>400000</v>
      </c>
    </row>
    <row r="42289" spans="26:26" x14ac:dyDescent="0.25">
      <c r="Z42289">
        <v>400000</v>
      </c>
    </row>
    <row r="42290" spans="26:26" x14ac:dyDescent="0.25">
      <c r="Z42290">
        <v>400000</v>
      </c>
    </row>
    <row r="42291" spans="26:26" x14ac:dyDescent="0.25">
      <c r="Z42291">
        <v>400000</v>
      </c>
    </row>
    <row r="42292" spans="26:26" x14ac:dyDescent="0.25">
      <c r="Z42292">
        <v>400000</v>
      </c>
    </row>
    <row r="42293" spans="26:26" x14ac:dyDescent="0.25">
      <c r="Z42293">
        <v>400000</v>
      </c>
    </row>
    <row r="42294" spans="26:26" x14ac:dyDescent="0.25">
      <c r="Z42294">
        <v>400000</v>
      </c>
    </row>
    <row r="42295" spans="26:26" x14ac:dyDescent="0.25">
      <c r="Z42295">
        <v>400000</v>
      </c>
    </row>
    <row r="42296" spans="26:26" x14ac:dyDescent="0.25">
      <c r="Z42296">
        <v>400000</v>
      </c>
    </row>
    <row r="42297" spans="26:26" x14ac:dyDescent="0.25">
      <c r="Z42297">
        <v>400000</v>
      </c>
    </row>
    <row r="42298" spans="26:26" x14ac:dyDescent="0.25">
      <c r="Z42298">
        <v>400000</v>
      </c>
    </row>
    <row r="42299" spans="26:26" x14ac:dyDescent="0.25">
      <c r="Z42299">
        <v>400000</v>
      </c>
    </row>
    <row r="42300" spans="26:26" x14ac:dyDescent="0.25">
      <c r="Z42300">
        <v>400000</v>
      </c>
    </row>
    <row r="42301" spans="26:26" x14ac:dyDescent="0.25">
      <c r="Z42301">
        <v>400000</v>
      </c>
    </row>
    <row r="42302" spans="26:26" x14ac:dyDescent="0.25">
      <c r="Z42302">
        <v>400000</v>
      </c>
    </row>
    <row r="42303" spans="26:26" x14ac:dyDescent="0.25">
      <c r="Z42303">
        <v>400000</v>
      </c>
    </row>
    <row r="42304" spans="26:26" x14ac:dyDescent="0.25">
      <c r="Z42304">
        <v>400000</v>
      </c>
    </row>
    <row r="42305" spans="26:26" x14ac:dyDescent="0.25">
      <c r="Z42305">
        <v>400000</v>
      </c>
    </row>
    <row r="42306" spans="26:26" x14ac:dyDescent="0.25">
      <c r="Z42306">
        <v>400000</v>
      </c>
    </row>
    <row r="42307" spans="26:26" x14ac:dyDescent="0.25">
      <c r="Z42307">
        <v>400000</v>
      </c>
    </row>
    <row r="42308" spans="26:26" x14ac:dyDescent="0.25">
      <c r="Z42308">
        <v>400000</v>
      </c>
    </row>
    <row r="42309" spans="26:26" x14ac:dyDescent="0.25">
      <c r="Z42309">
        <v>400000</v>
      </c>
    </row>
    <row r="42310" spans="26:26" x14ac:dyDescent="0.25">
      <c r="Z42310">
        <v>400000</v>
      </c>
    </row>
    <row r="42311" spans="26:26" x14ac:dyDescent="0.25">
      <c r="Z42311">
        <v>400000</v>
      </c>
    </row>
    <row r="42312" spans="26:26" x14ac:dyDescent="0.25">
      <c r="Z42312">
        <v>400000</v>
      </c>
    </row>
    <row r="42313" spans="26:26" x14ac:dyDescent="0.25">
      <c r="Z42313">
        <v>400000</v>
      </c>
    </row>
    <row r="42314" spans="26:26" x14ac:dyDescent="0.25">
      <c r="Z42314">
        <v>400000</v>
      </c>
    </row>
    <row r="42315" spans="26:26" x14ac:dyDescent="0.25">
      <c r="Z42315">
        <v>400000</v>
      </c>
    </row>
    <row r="42316" spans="26:26" x14ac:dyDescent="0.25">
      <c r="Z42316">
        <v>400000</v>
      </c>
    </row>
    <row r="42317" spans="26:26" x14ac:dyDescent="0.25">
      <c r="Z42317">
        <v>400000</v>
      </c>
    </row>
    <row r="42318" spans="26:26" x14ac:dyDescent="0.25">
      <c r="Z42318">
        <v>400000</v>
      </c>
    </row>
    <row r="42319" spans="26:26" x14ac:dyDescent="0.25">
      <c r="Z42319">
        <v>400000</v>
      </c>
    </row>
    <row r="42320" spans="26:26" x14ac:dyDescent="0.25">
      <c r="Z42320">
        <v>400000</v>
      </c>
    </row>
    <row r="42321" spans="26:26" x14ac:dyDescent="0.25">
      <c r="Z42321">
        <v>400000</v>
      </c>
    </row>
    <row r="42322" spans="26:26" x14ac:dyDescent="0.25">
      <c r="Z42322">
        <v>400000</v>
      </c>
    </row>
    <row r="42323" spans="26:26" x14ac:dyDescent="0.25">
      <c r="Z42323">
        <v>400000</v>
      </c>
    </row>
    <row r="42324" spans="26:26" x14ac:dyDescent="0.25">
      <c r="Z42324">
        <v>400000</v>
      </c>
    </row>
    <row r="42325" spans="26:26" x14ac:dyDescent="0.25">
      <c r="Z42325">
        <v>400000</v>
      </c>
    </row>
    <row r="42326" spans="26:26" x14ac:dyDescent="0.25">
      <c r="Z42326">
        <v>400000</v>
      </c>
    </row>
    <row r="42327" spans="26:26" x14ac:dyDescent="0.25">
      <c r="Z42327">
        <v>400000</v>
      </c>
    </row>
    <row r="42328" spans="26:26" x14ac:dyDescent="0.25">
      <c r="Z42328">
        <v>400000</v>
      </c>
    </row>
    <row r="42329" spans="26:26" x14ac:dyDescent="0.25">
      <c r="Z42329">
        <v>400000</v>
      </c>
    </row>
    <row r="42330" spans="26:26" x14ac:dyDescent="0.25">
      <c r="Z42330">
        <v>400000</v>
      </c>
    </row>
    <row r="42331" spans="26:26" x14ac:dyDescent="0.25">
      <c r="Z42331">
        <v>400000</v>
      </c>
    </row>
    <row r="42332" spans="26:26" x14ac:dyDescent="0.25">
      <c r="Z42332">
        <v>400000</v>
      </c>
    </row>
    <row r="42333" spans="26:26" x14ac:dyDescent="0.25">
      <c r="Z42333">
        <v>400000</v>
      </c>
    </row>
    <row r="42334" spans="26:26" x14ac:dyDescent="0.25">
      <c r="Z42334">
        <v>400000</v>
      </c>
    </row>
    <row r="42335" spans="26:26" x14ac:dyDescent="0.25">
      <c r="Z42335">
        <v>400000</v>
      </c>
    </row>
    <row r="42336" spans="26:26" x14ac:dyDescent="0.25">
      <c r="Z42336">
        <v>400000</v>
      </c>
    </row>
    <row r="42337" spans="26:26" x14ac:dyDescent="0.25">
      <c r="Z42337">
        <v>400000</v>
      </c>
    </row>
    <row r="42338" spans="26:26" x14ac:dyDescent="0.25">
      <c r="Z42338">
        <v>400000</v>
      </c>
    </row>
    <row r="42339" spans="26:26" x14ac:dyDescent="0.25">
      <c r="Z42339">
        <v>400000</v>
      </c>
    </row>
    <row r="42340" spans="26:26" x14ac:dyDescent="0.25">
      <c r="Z42340">
        <v>400000</v>
      </c>
    </row>
    <row r="42341" spans="26:26" x14ac:dyDescent="0.25">
      <c r="Z42341">
        <v>400000</v>
      </c>
    </row>
    <row r="42342" spans="26:26" x14ac:dyDescent="0.25">
      <c r="Z42342">
        <v>400000</v>
      </c>
    </row>
    <row r="42343" spans="26:26" x14ac:dyDescent="0.25">
      <c r="Z42343">
        <v>400000</v>
      </c>
    </row>
    <row r="42344" spans="26:26" x14ac:dyDescent="0.25">
      <c r="Z42344">
        <v>400000</v>
      </c>
    </row>
    <row r="42345" spans="26:26" x14ac:dyDescent="0.25">
      <c r="Z42345">
        <v>400000</v>
      </c>
    </row>
    <row r="42346" spans="26:26" x14ac:dyDescent="0.25">
      <c r="Z42346">
        <v>400000</v>
      </c>
    </row>
    <row r="42347" spans="26:26" x14ac:dyDescent="0.25">
      <c r="Z42347">
        <v>400000</v>
      </c>
    </row>
    <row r="42348" spans="26:26" x14ac:dyDescent="0.25">
      <c r="Z42348">
        <v>400000</v>
      </c>
    </row>
    <row r="42349" spans="26:26" x14ac:dyDescent="0.25">
      <c r="Z42349">
        <v>400000</v>
      </c>
    </row>
    <row r="42350" spans="26:26" x14ac:dyDescent="0.25">
      <c r="Z42350">
        <v>400000</v>
      </c>
    </row>
    <row r="42351" spans="26:26" x14ac:dyDescent="0.25">
      <c r="Z42351">
        <v>400000</v>
      </c>
    </row>
    <row r="42352" spans="26:26" x14ac:dyDescent="0.25">
      <c r="Z42352">
        <v>400000</v>
      </c>
    </row>
    <row r="42353" spans="26:26" x14ac:dyDescent="0.25">
      <c r="Z42353">
        <v>400000</v>
      </c>
    </row>
    <row r="42354" spans="26:26" x14ac:dyDescent="0.25">
      <c r="Z42354">
        <v>400000</v>
      </c>
    </row>
    <row r="42355" spans="26:26" x14ac:dyDescent="0.25">
      <c r="Z42355">
        <v>400000</v>
      </c>
    </row>
    <row r="42356" spans="26:26" x14ac:dyDescent="0.25">
      <c r="Z42356">
        <v>400000</v>
      </c>
    </row>
    <row r="42357" spans="26:26" x14ac:dyDescent="0.25">
      <c r="Z42357">
        <v>400000</v>
      </c>
    </row>
    <row r="42358" spans="26:26" x14ac:dyDescent="0.25">
      <c r="Z42358">
        <v>400000</v>
      </c>
    </row>
    <row r="42359" spans="26:26" x14ac:dyDescent="0.25">
      <c r="Z42359">
        <v>400000</v>
      </c>
    </row>
    <row r="42360" spans="26:26" x14ac:dyDescent="0.25">
      <c r="Z42360">
        <v>400000</v>
      </c>
    </row>
    <row r="42361" spans="26:26" x14ac:dyDescent="0.25">
      <c r="Z42361">
        <v>400000</v>
      </c>
    </row>
    <row r="42362" spans="26:26" x14ac:dyDescent="0.25">
      <c r="Z42362">
        <v>400000</v>
      </c>
    </row>
    <row r="42363" spans="26:26" x14ac:dyDescent="0.25">
      <c r="Z42363">
        <v>400000</v>
      </c>
    </row>
    <row r="42364" spans="26:26" x14ac:dyDescent="0.25">
      <c r="Z42364">
        <v>400000</v>
      </c>
    </row>
    <row r="42365" spans="26:26" x14ac:dyDescent="0.25">
      <c r="Z42365">
        <v>400000</v>
      </c>
    </row>
    <row r="42366" spans="26:26" x14ac:dyDescent="0.25">
      <c r="Z42366">
        <v>400000</v>
      </c>
    </row>
    <row r="42367" spans="26:26" x14ac:dyDescent="0.25">
      <c r="Z42367">
        <v>400000</v>
      </c>
    </row>
    <row r="42368" spans="26:26" x14ac:dyDescent="0.25">
      <c r="Z42368">
        <v>400000</v>
      </c>
    </row>
    <row r="42369" spans="26:26" x14ac:dyDescent="0.25">
      <c r="Z42369">
        <v>400000</v>
      </c>
    </row>
    <row r="42370" spans="26:26" x14ac:dyDescent="0.25">
      <c r="Z42370">
        <v>400000</v>
      </c>
    </row>
    <row r="42371" spans="26:26" x14ac:dyDescent="0.25">
      <c r="Z42371">
        <v>400000</v>
      </c>
    </row>
    <row r="42372" spans="26:26" x14ac:dyDescent="0.25">
      <c r="Z42372">
        <v>400000</v>
      </c>
    </row>
    <row r="42373" spans="26:26" x14ac:dyDescent="0.25">
      <c r="Z42373">
        <v>400000</v>
      </c>
    </row>
    <row r="42374" spans="26:26" x14ac:dyDescent="0.25">
      <c r="Z42374">
        <v>400000</v>
      </c>
    </row>
    <row r="42375" spans="26:26" x14ac:dyDescent="0.25">
      <c r="Z42375">
        <v>400000</v>
      </c>
    </row>
    <row r="42376" spans="26:26" x14ac:dyDescent="0.25">
      <c r="Z42376">
        <v>400000</v>
      </c>
    </row>
    <row r="42377" spans="26:26" x14ac:dyDescent="0.25">
      <c r="Z42377">
        <v>400000</v>
      </c>
    </row>
    <row r="42378" spans="26:26" x14ac:dyDescent="0.25">
      <c r="Z42378">
        <v>400000</v>
      </c>
    </row>
    <row r="42379" spans="26:26" x14ac:dyDescent="0.25">
      <c r="Z42379">
        <v>400000</v>
      </c>
    </row>
    <row r="42380" spans="26:26" x14ac:dyDescent="0.25">
      <c r="Z42380">
        <v>400000</v>
      </c>
    </row>
    <row r="42381" spans="26:26" x14ac:dyDescent="0.25">
      <c r="Z42381">
        <v>400000</v>
      </c>
    </row>
    <row r="42382" spans="26:26" x14ac:dyDescent="0.25">
      <c r="Z42382">
        <v>400000</v>
      </c>
    </row>
    <row r="42383" spans="26:26" x14ac:dyDescent="0.25">
      <c r="Z42383">
        <v>400000</v>
      </c>
    </row>
    <row r="42384" spans="26:26" x14ac:dyDescent="0.25">
      <c r="Z42384">
        <v>400000</v>
      </c>
    </row>
    <row r="42385" spans="26:26" x14ac:dyDescent="0.25">
      <c r="Z42385">
        <v>400000</v>
      </c>
    </row>
    <row r="42386" spans="26:26" x14ac:dyDescent="0.25">
      <c r="Z42386">
        <v>400000</v>
      </c>
    </row>
    <row r="42387" spans="26:26" x14ac:dyDescent="0.25">
      <c r="Z42387">
        <v>400000</v>
      </c>
    </row>
    <row r="42388" spans="26:26" x14ac:dyDescent="0.25">
      <c r="Z42388">
        <v>400000</v>
      </c>
    </row>
    <row r="42389" spans="26:26" x14ac:dyDescent="0.25">
      <c r="Z42389">
        <v>400000</v>
      </c>
    </row>
    <row r="42390" spans="26:26" x14ac:dyDescent="0.25">
      <c r="Z42390">
        <v>400000</v>
      </c>
    </row>
    <row r="42391" spans="26:26" x14ac:dyDescent="0.25">
      <c r="Z42391">
        <v>400000</v>
      </c>
    </row>
    <row r="42392" spans="26:26" x14ac:dyDescent="0.25">
      <c r="Z42392">
        <v>400000</v>
      </c>
    </row>
    <row r="42393" spans="26:26" x14ac:dyDescent="0.25">
      <c r="Z42393">
        <v>400000</v>
      </c>
    </row>
    <row r="42394" spans="26:26" x14ac:dyDescent="0.25">
      <c r="Z42394">
        <v>400000</v>
      </c>
    </row>
    <row r="42395" spans="26:26" x14ac:dyDescent="0.25">
      <c r="Z42395">
        <v>400000</v>
      </c>
    </row>
    <row r="42396" spans="26:26" x14ac:dyDescent="0.25">
      <c r="Z42396">
        <v>400000</v>
      </c>
    </row>
    <row r="42397" spans="26:26" x14ac:dyDescent="0.25">
      <c r="Z42397">
        <v>400000</v>
      </c>
    </row>
    <row r="42398" spans="26:26" x14ac:dyDescent="0.25">
      <c r="Z42398">
        <v>400000</v>
      </c>
    </row>
    <row r="42399" spans="26:26" x14ac:dyDescent="0.25">
      <c r="Z42399">
        <v>400000</v>
      </c>
    </row>
    <row r="42400" spans="26:26" x14ac:dyDescent="0.25">
      <c r="Z42400">
        <v>400000</v>
      </c>
    </row>
    <row r="42401" spans="26:26" x14ac:dyDescent="0.25">
      <c r="Z42401">
        <v>400000</v>
      </c>
    </row>
    <row r="42402" spans="26:26" x14ac:dyDescent="0.25">
      <c r="Z42402">
        <v>400000</v>
      </c>
    </row>
    <row r="42403" spans="26:26" x14ac:dyDescent="0.25">
      <c r="Z42403">
        <v>400000</v>
      </c>
    </row>
    <row r="42404" spans="26:26" x14ac:dyDescent="0.25">
      <c r="Z42404">
        <v>400000</v>
      </c>
    </row>
    <row r="42405" spans="26:26" x14ac:dyDescent="0.25">
      <c r="Z42405">
        <v>400000</v>
      </c>
    </row>
    <row r="42406" spans="26:26" x14ac:dyDescent="0.25">
      <c r="Z42406">
        <v>400000</v>
      </c>
    </row>
    <row r="42407" spans="26:26" x14ac:dyDescent="0.25">
      <c r="Z42407">
        <v>400000</v>
      </c>
    </row>
    <row r="42408" spans="26:26" x14ac:dyDescent="0.25">
      <c r="Z42408">
        <v>400000</v>
      </c>
    </row>
    <row r="42409" spans="26:26" x14ac:dyDescent="0.25">
      <c r="Z42409">
        <v>400000</v>
      </c>
    </row>
    <row r="42410" spans="26:26" x14ac:dyDescent="0.25">
      <c r="Z42410">
        <v>400000</v>
      </c>
    </row>
    <row r="42411" spans="26:26" x14ac:dyDescent="0.25">
      <c r="Z42411">
        <v>400000</v>
      </c>
    </row>
    <row r="42412" spans="26:26" x14ac:dyDescent="0.25">
      <c r="Z42412">
        <v>400000</v>
      </c>
    </row>
    <row r="42413" spans="26:26" x14ac:dyDescent="0.25">
      <c r="Z42413">
        <v>400000</v>
      </c>
    </row>
    <row r="42414" spans="26:26" x14ac:dyDescent="0.25">
      <c r="Z42414">
        <v>400000</v>
      </c>
    </row>
    <row r="42415" spans="26:26" x14ac:dyDescent="0.25">
      <c r="Z42415">
        <v>400000</v>
      </c>
    </row>
    <row r="42416" spans="26:26" x14ac:dyDescent="0.25">
      <c r="Z42416">
        <v>400000</v>
      </c>
    </row>
    <row r="42417" spans="26:26" x14ac:dyDescent="0.25">
      <c r="Z42417">
        <v>400000</v>
      </c>
    </row>
    <row r="42418" spans="26:26" x14ac:dyDescent="0.25">
      <c r="Z42418">
        <v>400000</v>
      </c>
    </row>
    <row r="42419" spans="26:26" x14ac:dyDescent="0.25">
      <c r="Z42419">
        <v>400000</v>
      </c>
    </row>
    <row r="42420" spans="26:26" x14ac:dyDescent="0.25">
      <c r="Z42420">
        <v>400000</v>
      </c>
    </row>
    <row r="42421" spans="26:26" x14ac:dyDescent="0.25">
      <c r="Z42421">
        <v>400000</v>
      </c>
    </row>
    <row r="42422" spans="26:26" x14ac:dyDescent="0.25">
      <c r="Z42422">
        <v>400000</v>
      </c>
    </row>
    <row r="42423" spans="26:26" x14ac:dyDescent="0.25">
      <c r="Z42423">
        <v>400000</v>
      </c>
    </row>
    <row r="42424" spans="26:26" x14ac:dyDescent="0.25">
      <c r="Z42424">
        <v>400000</v>
      </c>
    </row>
    <row r="42425" spans="26:26" x14ac:dyDescent="0.25">
      <c r="Z42425">
        <v>400000</v>
      </c>
    </row>
    <row r="42426" spans="26:26" x14ac:dyDescent="0.25">
      <c r="Z42426">
        <v>400000</v>
      </c>
    </row>
    <row r="42427" spans="26:26" x14ac:dyDescent="0.25">
      <c r="Z42427">
        <v>400000</v>
      </c>
    </row>
    <row r="42428" spans="26:26" x14ac:dyDescent="0.25">
      <c r="Z42428">
        <v>400000</v>
      </c>
    </row>
    <row r="42429" spans="26:26" x14ac:dyDescent="0.25">
      <c r="Z42429">
        <v>400000</v>
      </c>
    </row>
    <row r="42430" spans="26:26" x14ac:dyDescent="0.25">
      <c r="Z42430">
        <v>400000</v>
      </c>
    </row>
    <row r="42431" spans="26:26" x14ac:dyDescent="0.25">
      <c r="Z42431">
        <v>400000</v>
      </c>
    </row>
    <row r="42432" spans="26:26" x14ac:dyDescent="0.25">
      <c r="Z42432">
        <v>400000</v>
      </c>
    </row>
    <row r="42433" spans="26:26" x14ac:dyDescent="0.25">
      <c r="Z42433">
        <v>400000</v>
      </c>
    </row>
    <row r="42434" spans="26:26" x14ac:dyDescent="0.25">
      <c r="Z42434">
        <v>400000</v>
      </c>
    </row>
    <row r="42435" spans="26:26" x14ac:dyDescent="0.25">
      <c r="Z42435">
        <v>400000</v>
      </c>
    </row>
    <row r="42436" spans="26:26" x14ac:dyDescent="0.25">
      <c r="Z42436">
        <v>400000</v>
      </c>
    </row>
    <row r="42437" spans="26:26" x14ac:dyDescent="0.25">
      <c r="Z42437">
        <v>400000</v>
      </c>
    </row>
    <row r="42438" spans="26:26" x14ac:dyDescent="0.25">
      <c r="Z42438">
        <v>400000</v>
      </c>
    </row>
    <row r="42439" spans="26:26" x14ac:dyDescent="0.25">
      <c r="Z42439">
        <v>400000</v>
      </c>
    </row>
    <row r="42440" spans="26:26" x14ac:dyDescent="0.25">
      <c r="Z42440">
        <v>400000</v>
      </c>
    </row>
    <row r="42441" spans="26:26" x14ac:dyDescent="0.25">
      <c r="Z42441">
        <v>400000</v>
      </c>
    </row>
    <row r="42442" spans="26:26" x14ac:dyDescent="0.25">
      <c r="Z42442">
        <v>400000</v>
      </c>
    </row>
    <row r="42443" spans="26:26" x14ac:dyDescent="0.25">
      <c r="Z42443">
        <v>400000</v>
      </c>
    </row>
    <row r="42444" spans="26:26" x14ac:dyDescent="0.25">
      <c r="Z42444">
        <v>400000</v>
      </c>
    </row>
    <row r="42445" spans="26:26" x14ac:dyDescent="0.25">
      <c r="Z42445">
        <v>400000</v>
      </c>
    </row>
    <row r="42446" spans="26:26" x14ac:dyDescent="0.25">
      <c r="Z42446">
        <v>400000</v>
      </c>
    </row>
    <row r="42447" spans="26:26" x14ac:dyDescent="0.25">
      <c r="Z42447">
        <v>400000</v>
      </c>
    </row>
    <row r="42448" spans="26:26" x14ac:dyDescent="0.25">
      <c r="Z42448">
        <v>400000</v>
      </c>
    </row>
    <row r="42449" spans="26:26" x14ac:dyDescent="0.25">
      <c r="Z42449">
        <v>400000</v>
      </c>
    </row>
    <row r="42450" spans="26:26" x14ac:dyDescent="0.25">
      <c r="Z42450">
        <v>400000</v>
      </c>
    </row>
    <row r="42451" spans="26:26" x14ac:dyDescent="0.25">
      <c r="Z42451">
        <v>400000</v>
      </c>
    </row>
    <row r="42452" spans="26:26" x14ac:dyDescent="0.25">
      <c r="Z42452">
        <v>400000</v>
      </c>
    </row>
    <row r="42453" spans="26:26" x14ac:dyDescent="0.25">
      <c r="Z42453">
        <v>400000</v>
      </c>
    </row>
    <row r="42454" spans="26:26" x14ac:dyDescent="0.25">
      <c r="Z42454">
        <v>400000</v>
      </c>
    </row>
    <row r="42455" spans="26:26" x14ac:dyDescent="0.25">
      <c r="Z42455">
        <v>400000</v>
      </c>
    </row>
    <row r="42456" spans="26:26" x14ac:dyDescent="0.25">
      <c r="Z42456">
        <v>400000</v>
      </c>
    </row>
    <row r="42457" spans="26:26" x14ac:dyDescent="0.25">
      <c r="Z42457">
        <v>400000</v>
      </c>
    </row>
    <row r="42458" spans="26:26" x14ac:dyDescent="0.25">
      <c r="Z42458">
        <v>400000</v>
      </c>
    </row>
    <row r="42459" spans="26:26" x14ac:dyDescent="0.25">
      <c r="Z42459">
        <v>400000</v>
      </c>
    </row>
    <row r="42460" spans="26:26" x14ac:dyDescent="0.25">
      <c r="Z42460">
        <v>400000</v>
      </c>
    </row>
    <row r="42461" spans="26:26" x14ac:dyDescent="0.25">
      <c r="Z42461">
        <v>400000</v>
      </c>
    </row>
    <row r="42462" spans="26:26" x14ac:dyDescent="0.25">
      <c r="Z42462">
        <v>400000</v>
      </c>
    </row>
    <row r="42463" spans="26:26" x14ac:dyDescent="0.25">
      <c r="Z42463">
        <v>400000</v>
      </c>
    </row>
    <row r="42464" spans="26:26" x14ac:dyDescent="0.25">
      <c r="Z42464">
        <v>400000</v>
      </c>
    </row>
    <row r="42465" spans="26:26" x14ac:dyDescent="0.25">
      <c r="Z42465">
        <v>400000</v>
      </c>
    </row>
    <row r="42466" spans="26:26" x14ac:dyDescent="0.25">
      <c r="Z42466">
        <v>400000</v>
      </c>
    </row>
    <row r="42467" spans="26:26" x14ac:dyDescent="0.25">
      <c r="Z42467">
        <v>400000</v>
      </c>
    </row>
    <row r="42468" spans="26:26" x14ac:dyDescent="0.25">
      <c r="Z42468">
        <v>400000</v>
      </c>
    </row>
    <row r="42469" spans="26:26" x14ac:dyDescent="0.25">
      <c r="Z42469">
        <v>400000</v>
      </c>
    </row>
    <row r="42470" spans="26:26" x14ac:dyDescent="0.25">
      <c r="Z42470">
        <v>400000</v>
      </c>
    </row>
    <row r="42471" spans="26:26" x14ac:dyDescent="0.25">
      <c r="Z42471">
        <v>400000</v>
      </c>
    </row>
    <row r="42472" spans="26:26" x14ac:dyDescent="0.25">
      <c r="Z42472">
        <v>400000</v>
      </c>
    </row>
    <row r="42473" spans="26:26" x14ac:dyDescent="0.25">
      <c r="Z42473">
        <v>400000</v>
      </c>
    </row>
    <row r="42474" spans="26:26" x14ac:dyDescent="0.25">
      <c r="Z42474">
        <v>400000</v>
      </c>
    </row>
    <row r="42475" spans="26:26" x14ac:dyDescent="0.25">
      <c r="Z42475">
        <v>400000</v>
      </c>
    </row>
    <row r="42476" spans="26:26" x14ac:dyDescent="0.25">
      <c r="Z42476">
        <v>400000</v>
      </c>
    </row>
    <row r="42477" spans="26:26" x14ac:dyDescent="0.25">
      <c r="Z42477">
        <v>400000</v>
      </c>
    </row>
    <row r="42478" spans="26:26" x14ac:dyDescent="0.25">
      <c r="Z42478">
        <v>400000</v>
      </c>
    </row>
    <row r="42479" spans="26:26" x14ac:dyDescent="0.25">
      <c r="Z42479">
        <v>400000</v>
      </c>
    </row>
    <row r="42480" spans="26:26" x14ac:dyDescent="0.25">
      <c r="Z42480">
        <v>400000</v>
      </c>
    </row>
    <row r="42481" spans="26:26" x14ac:dyDescent="0.25">
      <c r="Z42481">
        <v>400000</v>
      </c>
    </row>
    <row r="42482" spans="26:26" x14ac:dyDescent="0.25">
      <c r="Z42482">
        <v>400000</v>
      </c>
    </row>
    <row r="42483" spans="26:26" x14ac:dyDescent="0.25">
      <c r="Z42483">
        <v>400000</v>
      </c>
    </row>
    <row r="42484" spans="26:26" x14ac:dyDescent="0.25">
      <c r="Z42484">
        <v>400000</v>
      </c>
    </row>
    <row r="42485" spans="26:26" x14ac:dyDescent="0.25">
      <c r="Z42485">
        <v>400000</v>
      </c>
    </row>
    <row r="42486" spans="26:26" x14ac:dyDescent="0.25">
      <c r="Z42486">
        <v>400000</v>
      </c>
    </row>
    <row r="42487" spans="26:26" x14ac:dyDescent="0.25">
      <c r="Z42487">
        <v>400000</v>
      </c>
    </row>
    <row r="42488" spans="26:26" x14ac:dyDescent="0.25">
      <c r="Z42488">
        <v>400000</v>
      </c>
    </row>
    <row r="42489" spans="26:26" x14ac:dyDescent="0.25">
      <c r="Z42489">
        <v>400000</v>
      </c>
    </row>
    <row r="42490" spans="26:26" x14ac:dyDescent="0.25">
      <c r="Z42490">
        <v>400000</v>
      </c>
    </row>
    <row r="42491" spans="26:26" x14ac:dyDescent="0.25">
      <c r="Z42491">
        <v>400000</v>
      </c>
    </row>
    <row r="42492" spans="26:26" x14ac:dyDescent="0.25">
      <c r="Z42492">
        <v>400000</v>
      </c>
    </row>
    <row r="42493" spans="26:26" x14ac:dyDescent="0.25">
      <c r="Z42493">
        <v>400000</v>
      </c>
    </row>
    <row r="42494" spans="26:26" x14ac:dyDescent="0.25">
      <c r="Z42494">
        <v>400000</v>
      </c>
    </row>
    <row r="42495" spans="26:26" x14ac:dyDescent="0.25">
      <c r="Z42495">
        <v>400000</v>
      </c>
    </row>
    <row r="42496" spans="26:26" x14ac:dyDescent="0.25">
      <c r="Z42496">
        <v>400000</v>
      </c>
    </row>
    <row r="42497" spans="26:26" x14ac:dyDescent="0.25">
      <c r="Z42497">
        <v>400000</v>
      </c>
    </row>
    <row r="42498" spans="26:26" x14ac:dyDescent="0.25">
      <c r="Z42498">
        <v>400000</v>
      </c>
    </row>
    <row r="42499" spans="26:26" x14ac:dyDescent="0.25">
      <c r="Z42499">
        <v>400000</v>
      </c>
    </row>
    <row r="42500" spans="26:26" x14ac:dyDescent="0.25">
      <c r="Z42500">
        <v>400000</v>
      </c>
    </row>
    <row r="42501" spans="26:26" x14ac:dyDescent="0.25">
      <c r="Z42501">
        <v>400000</v>
      </c>
    </row>
    <row r="42502" spans="26:26" x14ac:dyDescent="0.25">
      <c r="Z42502">
        <v>400000</v>
      </c>
    </row>
    <row r="42503" spans="26:26" x14ac:dyDescent="0.25">
      <c r="Z42503">
        <v>400000</v>
      </c>
    </row>
    <row r="42504" spans="26:26" x14ac:dyDescent="0.25">
      <c r="Z42504">
        <v>400000</v>
      </c>
    </row>
    <row r="42505" spans="26:26" x14ac:dyDescent="0.25">
      <c r="Z42505">
        <v>400000</v>
      </c>
    </row>
    <row r="42506" spans="26:26" x14ac:dyDescent="0.25">
      <c r="Z42506">
        <v>400000</v>
      </c>
    </row>
    <row r="42507" spans="26:26" x14ac:dyDescent="0.25">
      <c r="Z42507">
        <v>400000</v>
      </c>
    </row>
    <row r="42508" spans="26:26" x14ac:dyDescent="0.25">
      <c r="Z42508">
        <v>400000</v>
      </c>
    </row>
    <row r="42509" spans="26:26" x14ac:dyDescent="0.25">
      <c r="Z42509">
        <v>400000</v>
      </c>
    </row>
    <row r="42510" spans="26:26" x14ac:dyDescent="0.25">
      <c r="Z42510">
        <v>400000</v>
      </c>
    </row>
    <row r="42511" spans="26:26" x14ac:dyDescent="0.25">
      <c r="Z42511">
        <v>400000</v>
      </c>
    </row>
    <row r="42512" spans="26:26" x14ac:dyDescent="0.25">
      <c r="Z42512">
        <v>400000</v>
      </c>
    </row>
    <row r="42513" spans="26:26" x14ac:dyDescent="0.25">
      <c r="Z42513">
        <v>400000</v>
      </c>
    </row>
    <row r="42514" spans="26:26" x14ac:dyDescent="0.25">
      <c r="Z42514">
        <v>400000</v>
      </c>
    </row>
    <row r="42515" spans="26:26" x14ac:dyDescent="0.25">
      <c r="Z42515">
        <v>400000</v>
      </c>
    </row>
    <row r="42516" spans="26:26" x14ac:dyDescent="0.25">
      <c r="Z42516">
        <v>400000</v>
      </c>
    </row>
    <row r="42517" spans="26:26" x14ac:dyDescent="0.25">
      <c r="Z42517">
        <v>400000</v>
      </c>
    </row>
    <row r="42518" spans="26:26" x14ac:dyDescent="0.25">
      <c r="Z42518">
        <v>400000</v>
      </c>
    </row>
    <row r="42519" spans="26:26" x14ac:dyDescent="0.25">
      <c r="Z42519">
        <v>400000</v>
      </c>
    </row>
    <row r="42520" spans="26:26" x14ac:dyDescent="0.25">
      <c r="Z42520">
        <v>400000</v>
      </c>
    </row>
    <row r="42521" spans="26:26" x14ac:dyDescent="0.25">
      <c r="Z42521">
        <v>400000</v>
      </c>
    </row>
    <row r="42522" spans="26:26" x14ac:dyDescent="0.25">
      <c r="Z42522">
        <v>400000</v>
      </c>
    </row>
    <row r="42523" spans="26:26" x14ac:dyDescent="0.25">
      <c r="Z42523">
        <v>400000</v>
      </c>
    </row>
    <row r="42524" spans="26:26" x14ac:dyDescent="0.25">
      <c r="Z42524">
        <v>400000</v>
      </c>
    </row>
    <row r="42525" spans="26:26" x14ac:dyDescent="0.25">
      <c r="Z42525">
        <v>400000</v>
      </c>
    </row>
    <row r="42526" spans="26:26" x14ac:dyDescent="0.25">
      <c r="Z42526">
        <v>400000</v>
      </c>
    </row>
    <row r="42527" spans="26:26" x14ac:dyDescent="0.25">
      <c r="Z42527">
        <v>400000</v>
      </c>
    </row>
    <row r="42528" spans="26:26" x14ac:dyDescent="0.25">
      <c r="Z42528">
        <v>400000</v>
      </c>
    </row>
    <row r="42529" spans="26:26" x14ac:dyDescent="0.25">
      <c r="Z42529">
        <v>400000</v>
      </c>
    </row>
    <row r="42530" spans="26:26" x14ac:dyDescent="0.25">
      <c r="Z42530">
        <v>400000</v>
      </c>
    </row>
    <row r="42531" spans="26:26" x14ac:dyDescent="0.25">
      <c r="Z42531">
        <v>400000</v>
      </c>
    </row>
    <row r="42532" spans="26:26" x14ac:dyDescent="0.25">
      <c r="Z42532">
        <v>400000</v>
      </c>
    </row>
    <row r="42533" spans="26:26" x14ac:dyDescent="0.25">
      <c r="Z42533">
        <v>400000</v>
      </c>
    </row>
    <row r="42534" spans="26:26" x14ac:dyDescent="0.25">
      <c r="Z42534">
        <v>400000</v>
      </c>
    </row>
    <row r="42535" spans="26:26" x14ac:dyDescent="0.25">
      <c r="Z42535">
        <v>400000</v>
      </c>
    </row>
    <row r="42536" spans="26:26" x14ac:dyDescent="0.25">
      <c r="Z42536">
        <v>400000</v>
      </c>
    </row>
    <row r="42537" spans="26:26" x14ac:dyDescent="0.25">
      <c r="Z42537">
        <v>400000</v>
      </c>
    </row>
    <row r="42538" spans="26:26" x14ac:dyDescent="0.25">
      <c r="Z42538">
        <v>400000</v>
      </c>
    </row>
    <row r="42539" spans="26:26" x14ac:dyDescent="0.25">
      <c r="Z42539">
        <v>400000</v>
      </c>
    </row>
    <row r="42540" spans="26:26" x14ac:dyDescent="0.25">
      <c r="Z42540">
        <v>400000</v>
      </c>
    </row>
    <row r="42541" spans="26:26" x14ac:dyDescent="0.25">
      <c r="Z42541">
        <v>400000</v>
      </c>
    </row>
    <row r="42542" spans="26:26" x14ac:dyDescent="0.25">
      <c r="Z42542">
        <v>400000</v>
      </c>
    </row>
    <row r="42543" spans="26:26" x14ac:dyDescent="0.25">
      <c r="Z42543">
        <v>400000</v>
      </c>
    </row>
    <row r="42544" spans="26:26" x14ac:dyDescent="0.25">
      <c r="Z42544">
        <v>400000</v>
      </c>
    </row>
    <row r="42545" spans="26:26" x14ac:dyDescent="0.25">
      <c r="Z42545">
        <v>400000</v>
      </c>
    </row>
    <row r="42546" spans="26:26" x14ac:dyDescent="0.25">
      <c r="Z42546">
        <v>400000</v>
      </c>
    </row>
    <row r="42547" spans="26:26" x14ac:dyDescent="0.25">
      <c r="Z42547">
        <v>400000</v>
      </c>
    </row>
    <row r="42548" spans="26:26" x14ac:dyDescent="0.25">
      <c r="Z42548">
        <v>400000</v>
      </c>
    </row>
    <row r="42549" spans="26:26" x14ac:dyDescent="0.25">
      <c r="Z42549">
        <v>400000</v>
      </c>
    </row>
    <row r="42550" spans="26:26" x14ac:dyDescent="0.25">
      <c r="Z42550">
        <v>400000</v>
      </c>
    </row>
    <row r="42551" spans="26:26" x14ac:dyDescent="0.25">
      <c r="Z42551">
        <v>400000</v>
      </c>
    </row>
    <row r="42552" spans="26:26" x14ac:dyDescent="0.25">
      <c r="Z42552">
        <v>400000</v>
      </c>
    </row>
    <row r="42553" spans="26:26" x14ac:dyDescent="0.25">
      <c r="Z42553">
        <v>400000</v>
      </c>
    </row>
    <row r="42554" spans="26:26" x14ac:dyDescent="0.25">
      <c r="Z42554">
        <v>400000</v>
      </c>
    </row>
    <row r="42555" spans="26:26" x14ac:dyDescent="0.25">
      <c r="Z42555">
        <v>400000</v>
      </c>
    </row>
    <row r="42556" spans="26:26" x14ac:dyDescent="0.25">
      <c r="Z42556">
        <v>400000</v>
      </c>
    </row>
    <row r="42557" spans="26:26" x14ac:dyDescent="0.25">
      <c r="Z42557">
        <v>400000</v>
      </c>
    </row>
    <row r="42558" spans="26:26" x14ac:dyDescent="0.25">
      <c r="Z42558">
        <v>400000</v>
      </c>
    </row>
    <row r="42559" spans="26:26" x14ac:dyDescent="0.25">
      <c r="Z42559">
        <v>400000</v>
      </c>
    </row>
    <row r="42560" spans="26:26" x14ac:dyDescent="0.25">
      <c r="Z42560">
        <v>400000</v>
      </c>
    </row>
    <row r="42561" spans="26:26" x14ac:dyDescent="0.25">
      <c r="Z42561">
        <v>400000</v>
      </c>
    </row>
    <row r="42562" spans="26:26" x14ac:dyDescent="0.25">
      <c r="Z42562">
        <v>400000</v>
      </c>
    </row>
    <row r="42563" spans="26:26" x14ac:dyDescent="0.25">
      <c r="Z42563">
        <v>400000</v>
      </c>
    </row>
    <row r="42564" spans="26:26" x14ac:dyDescent="0.25">
      <c r="Z42564">
        <v>400000</v>
      </c>
    </row>
    <row r="42565" spans="26:26" x14ac:dyDescent="0.25">
      <c r="Z42565">
        <v>400000</v>
      </c>
    </row>
    <row r="42566" spans="26:26" x14ac:dyDescent="0.25">
      <c r="Z42566">
        <v>400000</v>
      </c>
    </row>
    <row r="42567" spans="26:26" x14ac:dyDescent="0.25">
      <c r="Z42567">
        <v>400000</v>
      </c>
    </row>
    <row r="42568" spans="26:26" x14ac:dyDescent="0.25">
      <c r="Z42568">
        <v>400000</v>
      </c>
    </row>
    <row r="42569" spans="26:26" x14ac:dyDescent="0.25">
      <c r="Z42569">
        <v>400000</v>
      </c>
    </row>
    <row r="42570" spans="26:26" x14ac:dyDescent="0.25">
      <c r="Z42570">
        <v>400000</v>
      </c>
    </row>
    <row r="42571" spans="26:26" x14ac:dyDescent="0.25">
      <c r="Z42571">
        <v>400000</v>
      </c>
    </row>
    <row r="42572" spans="26:26" x14ac:dyDescent="0.25">
      <c r="Z42572">
        <v>400000</v>
      </c>
    </row>
    <row r="42573" spans="26:26" x14ac:dyDescent="0.25">
      <c r="Z42573">
        <v>400000</v>
      </c>
    </row>
    <row r="42574" spans="26:26" x14ac:dyDescent="0.25">
      <c r="Z42574">
        <v>400000</v>
      </c>
    </row>
    <row r="42575" spans="26:26" x14ac:dyDescent="0.25">
      <c r="Z42575">
        <v>400000</v>
      </c>
    </row>
    <row r="42576" spans="26:26" x14ac:dyDescent="0.25">
      <c r="Z42576">
        <v>400000</v>
      </c>
    </row>
    <row r="42577" spans="26:26" x14ac:dyDescent="0.25">
      <c r="Z42577">
        <v>400000</v>
      </c>
    </row>
    <row r="42578" spans="26:26" x14ac:dyDescent="0.25">
      <c r="Z42578">
        <v>400000</v>
      </c>
    </row>
    <row r="42579" spans="26:26" x14ac:dyDescent="0.25">
      <c r="Z42579">
        <v>400000</v>
      </c>
    </row>
    <row r="42580" spans="26:26" x14ac:dyDescent="0.25">
      <c r="Z42580">
        <v>400000</v>
      </c>
    </row>
    <row r="42581" spans="26:26" x14ac:dyDescent="0.25">
      <c r="Z42581">
        <v>400000</v>
      </c>
    </row>
    <row r="42582" spans="26:26" x14ac:dyDescent="0.25">
      <c r="Z42582">
        <v>400000</v>
      </c>
    </row>
    <row r="42583" spans="26:26" x14ac:dyDescent="0.25">
      <c r="Z42583">
        <v>400000</v>
      </c>
    </row>
    <row r="42584" spans="26:26" x14ac:dyDescent="0.25">
      <c r="Z42584">
        <v>400000</v>
      </c>
    </row>
    <row r="42585" spans="26:26" x14ac:dyDescent="0.25">
      <c r="Z42585">
        <v>400000</v>
      </c>
    </row>
    <row r="42586" spans="26:26" x14ac:dyDescent="0.25">
      <c r="Z42586">
        <v>400000</v>
      </c>
    </row>
    <row r="42587" spans="26:26" x14ac:dyDescent="0.25">
      <c r="Z42587">
        <v>400000</v>
      </c>
    </row>
    <row r="42588" spans="26:26" x14ac:dyDescent="0.25">
      <c r="Z42588">
        <v>400000</v>
      </c>
    </row>
    <row r="42589" spans="26:26" x14ac:dyDescent="0.25">
      <c r="Z42589">
        <v>400000</v>
      </c>
    </row>
    <row r="42590" spans="26:26" x14ac:dyDescent="0.25">
      <c r="Z42590">
        <v>400000</v>
      </c>
    </row>
    <row r="42591" spans="26:26" x14ac:dyDescent="0.25">
      <c r="Z42591">
        <v>400000</v>
      </c>
    </row>
    <row r="42592" spans="26:26" x14ac:dyDescent="0.25">
      <c r="Z42592">
        <v>400000</v>
      </c>
    </row>
    <row r="42593" spans="26:26" x14ac:dyDescent="0.25">
      <c r="Z42593">
        <v>400000</v>
      </c>
    </row>
    <row r="42594" spans="26:26" x14ac:dyDescent="0.25">
      <c r="Z42594">
        <v>400000</v>
      </c>
    </row>
    <row r="42595" spans="26:26" x14ac:dyDescent="0.25">
      <c r="Z42595">
        <v>400000</v>
      </c>
    </row>
    <row r="42596" spans="26:26" x14ac:dyDescent="0.25">
      <c r="Z42596">
        <v>400000</v>
      </c>
    </row>
    <row r="42597" spans="26:26" x14ac:dyDescent="0.25">
      <c r="Z42597">
        <v>400000</v>
      </c>
    </row>
    <row r="42598" spans="26:26" x14ac:dyDescent="0.25">
      <c r="Z42598">
        <v>400000</v>
      </c>
    </row>
    <row r="42599" spans="26:26" x14ac:dyDescent="0.25">
      <c r="Z42599">
        <v>400000</v>
      </c>
    </row>
    <row r="42600" spans="26:26" x14ac:dyDescent="0.25">
      <c r="Z42600">
        <v>400000</v>
      </c>
    </row>
    <row r="42601" spans="26:26" x14ac:dyDescent="0.25">
      <c r="Z42601">
        <v>400000</v>
      </c>
    </row>
    <row r="42602" spans="26:26" x14ac:dyDescent="0.25">
      <c r="Z42602">
        <v>400000</v>
      </c>
    </row>
    <row r="42603" spans="26:26" x14ac:dyDescent="0.25">
      <c r="Z42603">
        <v>400000</v>
      </c>
    </row>
    <row r="42604" spans="26:26" x14ac:dyDescent="0.25">
      <c r="Z42604">
        <v>400000</v>
      </c>
    </row>
    <row r="42605" spans="26:26" x14ac:dyDescent="0.25">
      <c r="Z42605">
        <v>400000</v>
      </c>
    </row>
    <row r="42606" spans="26:26" x14ac:dyDescent="0.25">
      <c r="Z42606">
        <v>400000</v>
      </c>
    </row>
    <row r="42607" spans="26:26" x14ac:dyDescent="0.25">
      <c r="Z42607">
        <v>400000</v>
      </c>
    </row>
    <row r="42608" spans="26:26" x14ac:dyDescent="0.25">
      <c r="Z42608">
        <v>400000</v>
      </c>
    </row>
    <row r="42609" spans="26:26" x14ac:dyDescent="0.25">
      <c r="Z42609">
        <v>400000</v>
      </c>
    </row>
    <row r="42610" spans="26:26" x14ac:dyDescent="0.25">
      <c r="Z42610">
        <v>400000</v>
      </c>
    </row>
    <row r="42611" spans="26:26" x14ac:dyDescent="0.25">
      <c r="Z42611">
        <v>400000</v>
      </c>
    </row>
    <row r="42612" spans="26:26" x14ac:dyDescent="0.25">
      <c r="Z42612">
        <v>400000</v>
      </c>
    </row>
    <row r="42613" spans="26:26" x14ac:dyDescent="0.25">
      <c r="Z42613">
        <v>400000</v>
      </c>
    </row>
    <row r="42614" spans="26:26" x14ac:dyDescent="0.25">
      <c r="Z42614">
        <v>400000</v>
      </c>
    </row>
    <row r="42615" spans="26:26" x14ac:dyDescent="0.25">
      <c r="Z42615">
        <v>400000</v>
      </c>
    </row>
    <row r="42616" spans="26:26" x14ac:dyDescent="0.25">
      <c r="Z42616">
        <v>400000</v>
      </c>
    </row>
    <row r="42617" spans="26:26" x14ac:dyDescent="0.25">
      <c r="Z42617">
        <v>400000</v>
      </c>
    </row>
    <row r="42618" spans="26:26" x14ac:dyDescent="0.25">
      <c r="Z42618">
        <v>400000</v>
      </c>
    </row>
    <row r="42619" spans="26:26" x14ac:dyDescent="0.25">
      <c r="Z42619">
        <v>400000</v>
      </c>
    </row>
    <row r="42620" spans="26:26" x14ac:dyDescent="0.25">
      <c r="Z42620">
        <v>400000</v>
      </c>
    </row>
    <row r="42621" spans="26:26" x14ac:dyDescent="0.25">
      <c r="Z42621">
        <v>400000</v>
      </c>
    </row>
    <row r="42622" spans="26:26" x14ac:dyDescent="0.25">
      <c r="Z42622">
        <v>400000</v>
      </c>
    </row>
    <row r="42623" spans="26:26" x14ac:dyDescent="0.25">
      <c r="Z42623">
        <v>400000</v>
      </c>
    </row>
    <row r="42624" spans="26:26" x14ac:dyDescent="0.25">
      <c r="Z42624">
        <v>400000</v>
      </c>
    </row>
    <row r="42625" spans="26:26" x14ac:dyDescent="0.25">
      <c r="Z42625">
        <v>400000</v>
      </c>
    </row>
    <row r="42626" spans="26:26" x14ac:dyDescent="0.25">
      <c r="Z42626">
        <v>400000</v>
      </c>
    </row>
    <row r="42627" spans="26:26" x14ac:dyDescent="0.25">
      <c r="Z42627">
        <v>400000</v>
      </c>
    </row>
    <row r="42628" spans="26:26" x14ac:dyDescent="0.25">
      <c r="Z42628">
        <v>400000</v>
      </c>
    </row>
    <row r="42629" spans="26:26" x14ac:dyDescent="0.25">
      <c r="Z42629">
        <v>400000</v>
      </c>
    </row>
    <row r="42630" spans="26:26" x14ac:dyDescent="0.25">
      <c r="Z42630">
        <v>400000</v>
      </c>
    </row>
    <row r="42631" spans="26:26" x14ac:dyDescent="0.25">
      <c r="Z42631">
        <v>400000</v>
      </c>
    </row>
    <row r="42632" spans="26:26" x14ac:dyDescent="0.25">
      <c r="Z42632">
        <v>400000</v>
      </c>
    </row>
    <row r="42633" spans="26:26" x14ac:dyDescent="0.25">
      <c r="Z42633">
        <v>400000</v>
      </c>
    </row>
    <row r="42634" spans="26:26" x14ac:dyDescent="0.25">
      <c r="Z42634">
        <v>400000</v>
      </c>
    </row>
    <row r="42635" spans="26:26" x14ac:dyDescent="0.25">
      <c r="Z42635">
        <v>400000</v>
      </c>
    </row>
    <row r="42636" spans="26:26" x14ac:dyDescent="0.25">
      <c r="Z42636">
        <v>400000</v>
      </c>
    </row>
    <row r="42637" spans="26:26" x14ac:dyDescent="0.25">
      <c r="Z42637">
        <v>400000</v>
      </c>
    </row>
    <row r="42638" spans="26:26" x14ac:dyDescent="0.25">
      <c r="Z42638">
        <v>400000</v>
      </c>
    </row>
    <row r="42639" spans="26:26" x14ac:dyDescent="0.25">
      <c r="Z42639">
        <v>400000</v>
      </c>
    </row>
    <row r="42640" spans="26:26" x14ac:dyDescent="0.25">
      <c r="Z42640">
        <v>400000</v>
      </c>
    </row>
    <row r="42641" spans="26:26" x14ac:dyDescent="0.25">
      <c r="Z42641">
        <v>400000</v>
      </c>
    </row>
    <row r="42642" spans="26:26" x14ac:dyDescent="0.25">
      <c r="Z42642">
        <v>400000</v>
      </c>
    </row>
    <row r="42643" spans="26:26" x14ac:dyDescent="0.25">
      <c r="Z42643">
        <v>400000</v>
      </c>
    </row>
    <row r="42644" spans="26:26" x14ac:dyDescent="0.25">
      <c r="Z42644">
        <v>400000</v>
      </c>
    </row>
    <row r="42645" spans="26:26" x14ac:dyDescent="0.25">
      <c r="Z42645">
        <v>400000</v>
      </c>
    </row>
    <row r="42646" spans="26:26" x14ac:dyDescent="0.25">
      <c r="Z42646">
        <v>400000</v>
      </c>
    </row>
    <row r="42647" spans="26:26" x14ac:dyDescent="0.25">
      <c r="Z42647">
        <v>400000</v>
      </c>
    </row>
    <row r="42648" spans="26:26" x14ac:dyDescent="0.25">
      <c r="Z42648">
        <v>400000</v>
      </c>
    </row>
    <row r="42649" spans="26:26" x14ac:dyDescent="0.25">
      <c r="Z42649">
        <v>400000</v>
      </c>
    </row>
    <row r="42650" spans="26:26" x14ac:dyDescent="0.25">
      <c r="Z42650">
        <v>400000</v>
      </c>
    </row>
    <row r="42651" spans="26:26" x14ac:dyDescent="0.25">
      <c r="Z42651">
        <v>400000</v>
      </c>
    </row>
    <row r="42652" spans="26:26" x14ac:dyDescent="0.25">
      <c r="Z42652">
        <v>400000</v>
      </c>
    </row>
    <row r="42653" spans="26:26" x14ac:dyDescent="0.25">
      <c r="Z42653">
        <v>400000</v>
      </c>
    </row>
    <row r="42654" spans="26:26" x14ac:dyDescent="0.25">
      <c r="Z42654">
        <v>400000</v>
      </c>
    </row>
    <row r="42655" spans="26:26" x14ac:dyDescent="0.25">
      <c r="Z42655">
        <v>400000</v>
      </c>
    </row>
    <row r="42656" spans="26:26" x14ac:dyDescent="0.25">
      <c r="Z42656">
        <v>400000</v>
      </c>
    </row>
    <row r="42657" spans="26:26" x14ac:dyDescent="0.25">
      <c r="Z42657">
        <v>400000</v>
      </c>
    </row>
    <row r="42658" spans="26:26" x14ac:dyDescent="0.25">
      <c r="Z42658">
        <v>400000</v>
      </c>
    </row>
    <row r="42659" spans="26:26" x14ac:dyDescent="0.25">
      <c r="Z42659">
        <v>400000</v>
      </c>
    </row>
    <row r="42660" spans="26:26" x14ac:dyDescent="0.25">
      <c r="Z42660">
        <v>400000</v>
      </c>
    </row>
    <row r="42661" spans="26:26" x14ac:dyDescent="0.25">
      <c r="Z42661">
        <v>400000</v>
      </c>
    </row>
    <row r="42662" spans="26:26" x14ac:dyDescent="0.25">
      <c r="Z42662">
        <v>400000</v>
      </c>
    </row>
    <row r="42663" spans="26:26" x14ac:dyDescent="0.25">
      <c r="Z42663">
        <v>400000</v>
      </c>
    </row>
    <row r="42664" spans="26:26" x14ac:dyDescent="0.25">
      <c r="Z42664">
        <v>400000</v>
      </c>
    </row>
    <row r="42665" spans="26:26" x14ac:dyDescent="0.25">
      <c r="Z42665">
        <v>400000</v>
      </c>
    </row>
    <row r="42666" spans="26:26" x14ac:dyDescent="0.25">
      <c r="Z42666">
        <v>400000</v>
      </c>
    </row>
    <row r="42667" spans="26:26" x14ac:dyDescent="0.25">
      <c r="Z42667">
        <v>400000</v>
      </c>
    </row>
    <row r="42668" spans="26:26" x14ac:dyDescent="0.25">
      <c r="Z42668">
        <v>400000</v>
      </c>
    </row>
    <row r="42669" spans="26:26" x14ac:dyDescent="0.25">
      <c r="Z42669">
        <v>400000</v>
      </c>
    </row>
    <row r="42670" spans="26:26" x14ac:dyDescent="0.25">
      <c r="Z42670">
        <v>400000</v>
      </c>
    </row>
    <row r="42671" spans="26:26" x14ac:dyDescent="0.25">
      <c r="Z42671">
        <v>400000</v>
      </c>
    </row>
    <row r="42672" spans="26:26" x14ac:dyDescent="0.25">
      <c r="Z42672">
        <v>400000</v>
      </c>
    </row>
    <row r="42673" spans="26:26" x14ac:dyDescent="0.25">
      <c r="Z42673">
        <v>400000</v>
      </c>
    </row>
    <row r="42674" spans="26:26" x14ac:dyDescent="0.25">
      <c r="Z42674">
        <v>400000</v>
      </c>
    </row>
    <row r="42675" spans="26:26" x14ac:dyDescent="0.25">
      <c r="Z42675">
        <v>400000</v>
      </c>
    </row>
    <row r="42676" spans="26:26" x14ac:dyDescent="0.25">
      <c r="Z42676">
        <v>400000</v>
      </c>
    </row>
    <row r="42677" spans="26:26" x14ac:dyDescent="0.25">
      <c r="Z42677">
        <v>400000</v>
      </c>
    </row>
    <row r="42678" spans="26:26" x14ac:dyDescent="0.25">
      <c r="Z42678">
        <v>400000</v>
      </c>
    </row>
    <row r="42679" spans="26:26" x14ac:dyDescent="0.25">
      <c r="Z42679">
        <v>400000</v>
      </c>
    </row>
    <row r="42680" spans="26:26" x14ac:dyDescent="0.25">
      <c r="Z42680">
        <v>400000</v>
      </c>
    </row>
    <row r="42681" spans="26:26" x14ac:dyDescent="0.25">
      <c r="Z42681">
        <v>400000</v>
      </c>
    </row>
    <row r="42682" spans="26:26" x14ac:dyDescent="0.25">
      <c r="Z42682">
        <v>400000</v>
      </c>
    </row>
    <row r="42683" spans="26:26" x14ac:dyDescent="0.25">
      <c r="Z42683">
        <v>400000</v>
      </c>
    </row>
    <row r="42684" spans="26:26" x14ac:dyDescent="0.25">
      <c r="Z42684">
        <v>400000</v>
      </c>
    </row>
    <row r="42685" spans="26:26" x14ac:dyDescent="0.25">
      <c r="Z42685">
        <v>400000</v>
      </c>
    </row>
    <row r="42686" spans="26:26" x14ac:dyDescent="0.25">
      <c r="Z42686">
        <v>400000</v>
      </c>
    </row>
    <row r="42687" spans="26:26" x14ac:dyDescent="0.25">
      <c r="Z42687">
        <v>400000</v>
      </c>
    </row>
    <row r="42688" spans="26:26" x14ac:dyDescent="0.25">
      <c r="Z42688">
        <v>400000</v>
      </c>
    </row>
    <row r="42689" spans="26:26" x14ac:dyDescent="0.25">
      <c r="Z42689">
        <v>400000</v>
      </c>
    </row>
    <row r="42690" spans="26:26" x14ac:dyDescent="0.25">
      <c r="Z42690">
        <v>400000</v>
      </c>
    </row>
    <row r="42691" spans="26:26" x14ac:dyDescent="0.25">
      <c r="Z42691">
        <v>400000</v>
      </c>
    </row>
    <row r="42692" spans="26:26" x14ac:dyDescent="0.25">
      <c r="Z42692">
        <v>400000</v>
      </c>
    </row>
    <row r="42693" spans="26:26" x14ac:dyDescent="0.25">
      <c r="Z42693">
        <v>400000</v>
      </c>
    </row>
    <row r="42694" spans="26:26" x14ac:dyDescent="0.25">
      <c r="Z42694">
        <v>400000</v>
      </c>
    </row>
    <row r="42695" spans="26:26" x14ac:dyDescent="0.25">
      <c r="Z42695">
        <v>400000</v>
      </c>
    </row>
    <row r="42696" spans="26:26" x14ac:dyDescent="0.25">
      <c r="Z42696">
        <v>400000</v>
      </c>
    </row>
    <row r="42697" spans="26:26" x14ac:dyDescent="0.25">
      <c r="Z42697">
        <v>400000</v>
      </c>
    </row>
    <row r="42698" spans="26:26" x14ac:dyDescent="0.25">
      <c r="Z42698">
        <v>400000</v>
      </c>
    </row>
    <row r="42699" spans="26:26" x14ac:dyDescent="0.25">
      <c r="Z42699">
        <v>400000</v>
      </c>
    </row>
    <row r="42700" spans="26:26" x14ac:dyDescent="0.25">
      <c r="Z42700">
        <v>400000</v>
      </c>
    </row>
    <row r="42701" spans="26:26" x14ac:dyDescent="0.25">
      <c r="Z42701">
        <v>400000</v>
      </c>
    </row>
    <row r="42702" spans="26:26" x14ac:dyDescent="0.25">
      <c r="Z42702">
        <v>400000</v>
      </c>
    </row>
    <row r="42703" spans="26:26" x14ac:dyDescent="0.25">
      <c r="Z42703">
        <v>400000</v>
      </c>
    </row>
    <row r="42704" spans="26:26" x14ac:dyDescent="0.25">
      <c r="Z42704">
        <v>400000</v>
      </c>
    </row>
    <row r="42705" spans="26:26" x14ac:dyDescent="0.25">
      <c r="Z42705">
        <v>400000</v>
      </c>
    </row>
    <row r="42706" spans="26:26" x14ac:dyDescent="0.25">
      <c r="Z42706">
        <v>400000</v>
      </c>
    </row>
    <row r="42707" spans="26:26" x14ac:dyDescent="0.25">
      <c r="Z42707">
        <v>400000</v>
      </c>
    </row>
    <row r="42708" spans="26:26" x14ac:dyDescent="0.25">
      <c r="Z42708">
        <v>400000</v>
      </c>
    </row>
    <row r="42709" spans="26:26" x14ac:dyDescent="0.25">
      <c r="Z42709">
        <v>400000</v>
      </c>
    </row>
    <row r="42710" spans="26:26" x14ac:dyDescent="0.25">
      <c r="Z42710">
        <v>400000</v>
      </c>
    </row>
    <row r="42711" spans="26:26" x14ac:dyDescent="0.25">
      <c r="Z42711">
        <v>400000</v>
      </c>
    </row>
    <row r="42712" spans="26:26" x14ac:dyDescent="0.25">
      <c r="Z42712">
        <v>400000</v>
      </c>
    </row>
    <row r="42713" spans="26:26" x14ac:dyDescent="0.25">
      <c r="Z42713">
        <v>400000</v>
      </c>
    </row>
    <row r="42714" spans="26:26" x14ac:dyDescent="0.25">
      <c r="Z42714">
        <v>400000</v>
      </c>
    </row>
    <row r="42715" spans="26:26" x14ac:dyDescent="0.25">
      <c r="Z42715">
        <v>400000</v>
      </c>
    </row>
    <row r="42716" spans="26:26" x14ac:dyDescent="0.25">
      <c r="Z42716">
        <v>400000</v>
      </c>
    </row>
    <row r="42717" spans="26:26" x14ac:dyDescent="0.25">
      <c r="Z42717">
        <v>400000</v>
      </c>
    </row>
    <row r="42718" spans="26:26" x14ac:dyDescent="0.25">
      <c r="Z42718">
        <v>400000</v>
      </c>
    </row>
    <row r="42719" spans="26:26" x14ac:dyDescent="0.25">
      <c r="Z42719">
        <v>400000</v>
      </c>
    </row>
    <row r="42720" spans="26:26" x14ac:dyDescent="0.25">
      <c r="Z42720">
        <v>400000</v>
      </c>
    </row>
    <row r="42721" spans="26:26" x14ac:dyDescent="0.25">
      <c r="Z42721">
        <v>400000</v>
      </c>
    </row>
    <row r="42722" spans="26:26" x14ac:dyDescent="0.25">
      <c r="Z42722">
        <v>400000</v>
      </c>
    </row>
    <row r="42723" spans="26:26" x14ac:dyDescent="0.25">
      <c r="Z42723">
        <v>400000</v>
      </c>
    </row>
    <row r="42724" spans="26:26" x14ac:dyDescent="0.25">
      <c r="Z42724">
        <v>400000</v>
      </c>
    </row>
    <row r="42725" spans="26:26" x14ac:dyDescent="0.25">
      <c r="Z42725">
        <v>400000</v>
      </c>
    </row>
    <row r="42726" spans="26:26" x14ac:dyDescent="0.25">
      <c r="Z42726">
        <v>400000</v>
      </c>
    </row>
    <row r="42727" spans="26:26" x14ac:dyDescent="0.25">
      <c r="Z42727">
        <v>400000</v>
      </c>
    </row>
    <row r="42728" spans="26:26" x14ac:dyDescent="0.25">
      <c r="Z42728">
        <v>400000</v>
      </c>
    </row>
    <row r="42729" spans="26:26" x14ac:dyDescent="0.25">
      <c r="Z42729">
        <v>400000</v>
      </c>
    </row>
    <row r="42730" spans="26:26" x14ac:dyDescent="0.25">
      <c r="Z42730">
        <v>400000</v>
      </c>
    </row>
    <row r="42731" spans="26:26" x14ac:dyDescent="0.25">
      <c r="Z42731">
        <v>400000</v>
      </c>
    </row>
    <row r="42732" spans="26:26" x14ac:dyDescent="0.25">
      <c r="Z42732">
        <v>400000</v>
      </c>
    </row>
    <row r="42733" spans="26:26" x14ac:dyDescent="0.25">
      <c r="Z42733">
        <v>400000</v>
      </c>
    </row>
    <row r="42734" spans="26:26" x14ac:dyDescent="0.25">
      <c r="Z42734">
        <v>400000</v>
      </c>
    </row>
    <row r="42735" spans="26:26" x14ac:dyDescent="0.25">
      <c r="Z42735">
        <v>400000</v>
      </c>
    </row>
    <row r="42736" spans="26:26" x14ac:dyDescent="0.25">
      <c r="Z42736">
        <v>400000</v>
      </c>
    </row>
    <row r="42737" spans="26:26" x14ac:dyDescent="0.25">
      <c r="Z42737">
        <v>400000</v>
      </c>
    </row>
    <row r="42738" spans="26:26" x14ac:dyDescent="0.25">
      <c r="Z42738">
        <v>400000</v>
      </c>
    </row>
    <row r="42739" spans="26:26" x14ac:dyDescent="0.25">
      <c r="Z42739">
        <v>400000</v>
      </c>
    </row>
    <row r="42740" spans="26:26" x14ac:dyDescent="0.25">
      <c r="Z42740">
        <v>400000</v>
      </c>
    </row>
    <row r="42741" spans="26:26" x14ac:dyDescent="0.25">
      <c r="Z42741">
        <v>400000</v>
      </c>
    </row>
    <row r="42742" spans="26:26" x14ac:dyDescent="0.25">
      <c r="Z42742">
        <v>400000</v>
      </c>
    </row>
    <row r="42743" spans="26:26" x14ac:dyDescent="0.25">
      <c r="Z42743">
        <v>400000</v>
      </c>
    </row>
    <row r="42744" spans="26:26" x14ac:dyDescent="0.25">
      <c r="Z42744">
        <v>400000</v>
      </c>
    </row>
    <row r="42745" spans="26:26" x14ac:dyDescent="0.25">
      <c r="Z42745">
        <v>400000</v>
      </c>
    </row>
    <row r="42746" spans="26:26" x14ac:dyDescent="0.25">
      <c r="Z42746">
        <v>400000</v>
      </c>
    </row>
    <row r="42747" spans="26:26" x14ac:dyDescent="0.25">
      <c r="Z42747">
        <v>400000</v>
      </c>
    </row>
    <row r="42748" spans="26:26" x14ac:dyDescent="0.25">
      <c r="Z42748">
        <v>400000</v>
      </c>
    </row>
    <row r="42749" spans="26:26" x14ac:dyDescent="0.25">
      <c r="Z42749">
        <v>400000</v>
      </c>
    </row>
    <row r="42750" spans="26:26" x14ac:dyDescent="0.25">
      <c r="Z42750">
        <v>400000</v>
      </c>
    </row>
    <row r="42751" spans="26:26" x14ac:dyDescent="0.25">
      <c r="Z42751">
        <v>400000</v>
      </c>
    </row>
    <row r="42752" spans="26:26" x14ac:dyDescent="0.25">
      <c r="Z42752">
        <v>400000</v>
      </c>
    </row>
    <row r="42753" spans="26:26" x14ac:dyDescent="0.25">
      <c r="Z42753">
        <v>400000</v>
      </c>
    </row>
    <row r="42754" spans="26:26" x14ac:dyDescent="0.25">
      <c r="Z42754">
        <v>400000</v>
      </c>
    </row>
    <row r="42755" spans="26:26" x14ac:dyDescent="0.25">
      <c r="Z42755">
        <v>400000</v>
      </c>
    </row>
    <row r="42756" spans="26:26" x14ac:dyDescent="0.25">
      <c r="Z42756">
        <v>400000</v>
      </c>
    </row>
    <row r="42757" spans="26:26" x14ac:dyDescent="0.25">
      <c r="Z42757">
        <v>400000</v>
      </c>
    </row>
    <row r="42758" spans="26:26" x14ac:dyDescent="0.25">
      <c r="Z42758">
        <v>400000</v>
      </c>
    </row>
    <row r="42759" spans="26:26" x14ac:dyDescent="0.25">
      <c r="Z42759">
        <v>400000</v>
      </c>
    </row>
    <row r="42760" spans="26:26" x14ac:dyDescent="0.25">
      <c r="Z42760">
        <v>400000</v>
      </c>
    </row>
    <row r="42761" spans="26:26" x14ac:dyDescent="0.25">
      <c r="Z42761">
        <v>400000</v>
      </c>
    </row>
    <row r="42762" spans="26:26" x14ac:dyDescent="0.25">
      <c r="Z42762">
        <v>400000</v>
      </c>
    </row>
    <row r="42763" spans="26:26" x14ac:dyDescent="0.25">
      <c r="Z42763">
        <v>400000</v>
      </c>
    </row>
    <row r="42764" spans="26:26" x14ac:dyDescent="0.25">
      <c r="Z42764">
        <v>400000</v>
      </c>
    </row>
    <row r="42765" spans="26:26" x14ac:dyDescent="0.25">
      <c r="Z42765">
        <v>400000</v>
      </c>
    </row>
    <row r="42766" spans="26:26" x14ac:dyDescent="0.25">
      <c r="Z42766">
        <v>400000</v>
      </c>
    </row>
    <row r="42767" spans="26:26" x14ac:dyDescent="0.25">
      <c r="Z42767">
        <v>400000</v>
      </c>
    </row>
    <row r="42768" spans="26:26" x14ac:dyDescent="0.25">
      <c r="Z42768">
        <v>400000</v>
      </c>
    </row>
    <row r="42769" spans="26:26" x14ac:dyDescent="0.25">
      <c r="Z42769">
        <v>400000</v>
      </c>
    </row>
    <row r="42770" spans="26:26" x14ac:dyDescent="0.25">
      <c r="Z42770">
        <v>400000</v>
      </c>
    </row>
    <row r="42771" spans="26:26" x14ac:dyDescent="0.25">
      <c r="Z42771">
        <v>400000</v>
      </c>
    </row>
    <row r="42772" spans="26:26" x14ac:dyDescent="0.25">
      <c r="Z42772">
        <v>400000</v>
      </c>
    </row>
    <row r="42773" spans="26:26" x14ac:dyDescent="0.25">
      <c r="Z42773">
        <v>400000</v>
      </c>
    </row>
    <row r="42774" spans="26:26" x14ac:dyDescent="0.25">
      <c r="Z42774">
        <v>400000</v>
      </c>
    </row>
    <row r="42775" spans="26:26" x14ac:dyDescent="0.25">
      <c r="Z42775">
        <v>400000</v>
      </c>
    </row>
    <row r="42776" spans="26:26" x14ac:dyDescent="0.25">
      <c r="Z42776">
        <v>400000</v>
      </c>
    </row>
    <row r="42777" spans="26:26" x14ac:dyDescent="0.25">
      <c r="Z42777">
        <v>400000</v>
      </c>
    </row>
    <row r="42778" spans="26:26" x14ac:dyDescent="0.25">
      <c r="Z42778">
        <v>400000</v>
      </c>
    </row>
    <row r="42779" spans="26:26" x14ac:dyDescent="0.25">
      <c r="Z42779">
        <v>400000</v>
      </c>
    </row>
    <row r="42780" spans="26:26" x14ac:dyDescent="0.25">
      <c r="Z42780">
        <v>400000</v>
      </c>
    </row>
    <row r="42781" spans="26:26" x14ac:dyDescent="0.25">
      <c r="Z42781">
        <v>400000</v>
      </c>
    </row>
    <row r="42782" spans="26:26" x14ac:dyDescent="0.25">
      <c r="Z42782">
        <v>400000</v>
      </c>
    </row>
    <row r="42783" spans="26:26" x14ac:dyDescent="0.25">
      <c r="Z42783">
        <v>400000</v>
      </c>
    </row>
    <row r="42784" spans="26:26" x14ac:dyDescent="0.25">
      <c r="Z42784">
        <v>400000</v>
      </c>
    </row>
    <row r="42785" spans="26:26" x14ac:dyDescent="0.25">
      <c r="Z42785">
        <v>400000</v>
      </c>
    </row>
    <row r="42786" spans="26:26" x14ac:dyDescent="0.25">
      <c r="Z42786">
        <v>400000</v>
      </c>
    </row>
    <row r="42787" spans="26:26" x14ac:dyDescent="0.25">
      <c r="Z42787">
        <v>400000</v>
      </c>
    </row>
    <row r="42788" spans="26:26" x14ac:dyDescent="0.25">
      <c r="Z42788">
        <v>400000</v>
      </c>
    </row>
    <row r="42789" spans="26:26" x14ac:dyDescent="0.25">
      <c r="Z42789">
        <v>400000</v>
      </c>
    </row>
    <row r="42790" spans="26:26" x14ac:dyDescent="0.25">
      <c r="Z42790">
        <v>400000</v>
      </c>
    </row>
    <row r="42791" spans="26:26" x14ac:dyDescent="0.25">
      <c r="Z42791">
        <v>400000</v>
      </c>
    </row>
    <row r="42792" spans="26:26" x14ac:dyDescent="0.25">
      <c r="Z42792">
        <v>400000</v>
      </c>
    </row>
    <row r="42793" spans="26:26" x14ac:dyDescent="0.25">
      <c r="Z42793">
        <v>400000</v>
      </c>
    </row>
    <row r="42794" spans="26:26" x14ac:dyDescent="0.25">
      <c r="Z42794">
        <v>400000</v>
      </c>
    </row>
    <row r="42795" spans="26:26" x14ac:dyDescent="0.25">
      <c r="Z42795">
        <v>400000</v>
      </c>
    </row>
    <row r="42796" spans="26:26" x14ac:dyDescent="0.25">
      <c r="Z42796">
        <v>400000</v>
      </c>
    </row>
    <row r="42797" spans="26:26" x14ac:dyDescent="0.25">
      <c r="Z42797">
        <v>400000</v>
      </c>
    </row>
    <row r="42798" spans="26:26" x14ac:dyDescent="0.25">
      <c r="Z42798">
        <v>400000</v>
      </c>
    </row>
    <row r="42799" spans="26:26" x14ac:dyDescent="0.25">
      <c r="Z42799">
        <v>400000</v>
      </c>
    </row>
    <row r="42800" spans="26:26" x14ac:dyDescent="0.25">
      <c r="Z42800">
        <v>400000</v>
      </c>
    </row>
    <row r="42801" spans="26:26" x14ac:dyDescent="0.25">
      <c r="Z42801">
        <v>400000</v>
      </c>
    </row>
    <row r="42802" spans="26:26" x14ac:dyDescent="0.25">
      <c r="Z42802">
        <v>400000</v>
      </c>
    </row>
    <row r="42803" spans="26:26" x14ac:dyDescent="0.25">
      <c r="Z42803">
        <v>400000</v>
      </c>
    </row>
    <row r="42804" spans="26:26" x14ac:dyDescent="0.25">
      <c r="Z42804">
        <v>400000</v>
      </c>
    </row>
    <row r="42805" spans="26:26" x14ac:dyDescent="0.25">
      <c r="Z42805">
        <v>400000</v>
      </c>
    </row>
    <row r="42806" spans="26:26" x14ac:dyDescent="0.25">
      <c r="Z42806">
        <v>400000</v>
      </c>
    </row>
    <row r="42807" spans="26:26" x14ac:dyDescent="0.25">
      <c r="Z42807">
        <v>400000</v>
      </c>
    </row>
    <row r="42808" spans="26:26" x14ac:dyDescent="0.25">
      <c r="Z42808">
        <v>400000</v>
      </c>
    </row>
    <row r="42809" spans="26:26" x14ac:dyDescent="0.25">
      <c r="Z42809">
        <v>400000</v>
      </c>
    </row>
    <row r="42810" spans="26:26" x14ac:dyDescent="0.25">
      <c r="Z42810">
        <v>400000</v>
      </c>
    </row>
    <row r="42811" spans="26:26" x14ac:dyDescent="0.25">
      <c r="Z42811">
        <v>400000</v>
      </c>
    </row>
    <row r="42812" spans="26:26" x14ac:dyDescent="0.25">
      <c r="Z42812">
        <v>400000</v>
      </c>
    </row>
    <row r="42813" spans="26:26" x14ac:dyDescent="0.25">
      <c r="Z42813">
        <v>400000</v>
      </c>
    </row>
    <row r="42814" spans="26:26" x14ac:dyDescent="0.25">
      <c r="Z42814">
        <v>400000</v>
      </c>
    </row>
    <row r="42815" spans="26:26" x14ac:dyDescent="0.25">
      <c r="Z42815">
        <v>400000</v>
      </c>
    </row>
    <row r="42816" spans="26:26" x14ac:dyDescent="0.25">
      <c r="Z42816">
        <v>400000</v>
      </c>
    </row>
    <row r="42817" spans="26:26" x14ac:dyDescent="0.25">
      <c r="Z42817">
        <v>400000</v>
      </c>
    </row>
    <row r="42818" spans="26:26" x14ac:dyDescent="0.25">
      <c r="Z42818">
        <v>400000</v>
      </c>
    </row>
    <row r="42819" spans="26:26" x14ac:dyDescent="0.25">
      <c r="Z42819">
        <v>400000</v>
      </c>
    </row>
    <row r="42820" spans="26:26" x14ac:dyDescent="0.25">
      <c r="Z42820">
        <v>400000</v>
      </c>
    </row>
    <row r="42821" spans="26:26" x14ac:dyDescent="0.25">
      <c r="Z42821">
        <v>400000</v>
      </c>
    </row>
    <row r="42822" spans="26:26" x14ac:dyDescent="0.25">
      <c r="Z42822">
        <v>400000</v>
      </c>
    </row>
    <row r="42823" spans="26:26" x14ac:dyDescent="0.25">
      <c r="Z42823">
        <v>400000</v>
      </c>
    </row>
    <row r="42824" spans="26:26" x14ac:dyDescent="0.25">
      <c r="Z42824">
        <v>400000</v>
      </c>
    </row>
    <row r="42825" spans="26:26" x14ac:dyDescent="0.25">
      <c r="Z42825">
        <v>400000</v>
      </c>
    </row>
    <row r="42826" spans="26:26" x14ac:dyDescent="0.25">
      <c r="Z42826">
        <v>400000</v>
      </c>
    </row>
    <row r="42827" spans="26:26" x14ac:dyDescent="0.25">
      <c r="Z42827">
        <v>400000</v>
      </c>
    </row>
    <row r="42828" spans="26:26" x14ac:dyDescent="0.25">
      <c r="Z42828">
        <v>400000</v>
      </c>
    </row>
    <row r="42829" spans="26:26" x14ac:dyDescent="0.25">
      <c r="Z42829">
        <v>400000</v>
      </c>
    </row>
    <row r="42830" spans="26:26" x14ac:dyDescent="0.25">
      <c r="Z42830">
        <v>400000</v>
      </c>
    </row>
    <row r="42831" spans="26:26" x14ac:dyDescent="0.25">
      <c r="Z42831">
        <v>400000</v>
      </c>
    </row>
    <row r="42832" spans="26:26" x14ac:dyDescent="0.25">
      <c r="Z42832">
        <v>400000</v>
      </c>
    </row>
    <row r="42833" spans="26:26" x14ac:dyDescent="0.25">
      <c r="Z42833">
        <v>400000</v>
      </c>
    </row>
    <row r="42834" spans="26:26" x14ac:dyDescent="0.25">
      <c r="Z42834">
        <v>400000</v>
      </c>
    </row>
    <row r="42835" spans="26:26" x14ac:dyDescent="0.25">
      <c r="Z42835">
        <v>400000</v>
      </c>
    </row>
    <row r="42836" spans="26:26" x14ac:dyDescent="0.25">
      <c r="Z42836">
        <v>400000</v>
      </c>
    </row>
    <row r="42837" spans="26:26" x14ac:dyDescent="0.25">
      <c r="Z42837">
        <v>400000</v>
      </c>
    </row>
    <row r="42838" spans="26:26" x14ac:dyDescent="0.25">
      <c r="Z42838">
        <v>400000</v>
      </c>
    </row>
    <row r="42839" spans="26:26" x14ac:dyDescent="0.25">
      <c r="Z42839">
        <v>400000</v>
      </c>
    </row>
    <row r="42840" spans="26:26" x14ac:dyDescent="0.25">
      <c r="Z42840">
        <v>400000</v>
      </c>
    </row>
    <row r="42841" spans="26:26" x14ac:dyDescent="0.25">
      <c r="Z42841">
        <v>400000</v>
      </c>
    </row>
    <row r="42842" spans="26:26" x14ac:dyDescent="0.25">
      <c r="Z42842">
        <v>400000</v>
      </c>
    </row>
    <row r="42843" spans="26:26" x14ac:dyDescent="0.25">
      <c r="Z42843">
        <v>400000</v>
      </c>
    </row>
    <row r="42844" spans="26:26" x14ac:dyDescent="0.25">
      <c r="Z42844">
        <v>400000</v>
      </c>
    </row>
    <row r="42845" spans="26:26" x14ac:dyDescent="0.25">
      <c r="Z42845">
        <v>400000</v>
      </c>
    </row>
    <row r="42846" spans="26:26" x14ac:dyDescent="0.25">
      <c r="Z42846">
        <v>400000</v>
      </c>
    </row>
    <row r="42847" spans="26:26" x14ac:dyDescent="0.25">
      <c r="Z42847">
        <v>400000</v>
      </c>
    </row>
    <row r="42848" spans="26:26" x14ac:dyDescent="0.25">
      <c r="Z42848">
        <v>400000</v>
      </c>
    </row>
    <row r="42849" spans="26:26" x14ac:dyDescent="0.25">
      <c r="Z42849">
        <v>400000</v>
      </c>
    </row>
    <row r="42850" spans="26:26" x14ac:dyDescent="0.25">
      <c r="Z42850">
        <v>400000</v>
      </c>
    </row>
    <row r="42851" spans="26:26" x14ac:dyDescent="0.25">
      <c r="Z42851">
        <v>400000</v>
      </c>
    </row>
    <row r="42852" spans="26:26" x14ac:dyDescent="0.25">
      <c r="Z42852">
        <v>400000</v>
      </c>
    </row>
    <row r="42853" spans="26:26" x14ac:dyDescent="0.25">
      <c r="Z42853">
        <v>400000</v>
      </c>
    </row>
    <row r="42854" spans="26:26" x14ac:dyDescent="0.25">
      <c r="Z42854">
        <v>400000</v>
      </c>
    </row>
    <row r="42855" spans="26:26" x14ac:dyDescent="0.25">
      <c r="Z42855">
        <v>400000</v>
      </c>
    </row>
    <row r="42856" spans="26:26" x14ac:dyDescent="0.25">
      <c r="Z42856">
        <v>400000</v>
      </c>
    </row>
    <row r="42857" spans="26:26" x14ac:dyDescent="0.25">
      <c r="Z42857">
        <v>400000</v>
      </c>
    </row>
    <row r="42858" spans="26:26" x14ac:dyDescent="0.25">
      <c r="Z42858">
        <v>400000</v>
      </c>
    </row>
    <row r="42859" spans="26:26" x14ac:dyDescent="0.25">
      <c r="Z42859">
        <v>400000</v>
      </c>
    </row>
    <row r="42860" spans="26:26" x14ac:dyDescent="0.25">
      <c r="Z42860">
        <v>400000</v>
      </c>
    </row>
    <row r="42861" spans="26:26" x14ac:dyDescent="0.25">
      <c r="Z42861">
        <v>400000</v>
      </c>
    </row>
    <row r="42862" spans="26:26" x14ac:dyDescent="0.25">
      <c r="Z42862">
        <v>400000</v>
      </c>
    </row>
    <row r="42863" spans="26:26" x14ac:dyDescent="0.25">
      <c r="Z42863">
        <v>400000</v>
      </c>
    </row>
    <row r="42864" spans="26:26" x14ac:dyDescent="0.25">
      <c r="Z42864">
        <v>400000</v>
      </c>
    </row>
    <row r="42865" spans="26:26" x14ac:dyDescent="0.25">
      <c r="Z42865">
        <v>400000</v>
      </c>
    </row>
    <row r="42866" spans="26:26" x14ac:dyDescent="0.25">
      <c r="Z42866">
        <v>400000</v>
      </c>
    </row>
    <row r="42867" spans="26:26" x14ac:dyDescent="0.25">
      <c r="Z42867">
        <v>400000</v>
      </c>
    </row>
    <row r="42868" spans="26:26" x14ac:dyDescent="0.25">
      <c r="Z42868">
        <v>400000</v>
      </c>
    </row>
    <row r="42869" spans="26:26" x14ac:dyDescent="0.25">
      <c r="Z42869">
        <v>400000</v>
      </c>
    </row>
    <row r="42870" spans="26:26" x14ac:dyDescent="0.25">
      <c r="Z42870">
        <v>400000</v>
      </c>
    </row>
    <row r="42871" spans="26:26" x14ac:dyDescent="0.25">
      <c r="Z42871">
        <v>400000</v>
      </c>
    </row>
    <row r="42872" spans="26:26" x14ac:dyDescent="0.25">
      <c r="Z42872">
        <v>400000</v>
      </c>
    </row>
    <row r="42873" spans="26:26" x14ac:dyDescent="0.25">
      <c r="Z42873">
        <v>400000</v>
      </c>
    </row>
    <row r="42874" spans="26:26" x14ac:dyDescent="0.25">
      <c r="Z42874">
        <v>400000</v>
      </c>
    </row>
    <row r="42875" spans="26:26" x14ac:dyDescent="0.25">
      <c r="Z42875">
        <v>400000</v>
      </c>
    </row>
    <row r="42876" spans="26:26" x14ac:dyDescent="0.25">
      <c r="Z42876">
        <v>400000</v>
      </c>
    </row>
    <row r="42877" spans="26:26" x14ac:dyDescent="0.25">
      <c r="Z42877">
        <v>400000</v>
      </c>
    </row>
    <row r="42878" spans="26:26" x14ac:dyDescent="0.25">
      <c r="Z42878">
        <v>400000</v>
      </c>
    </row>
    <row r="42879" spans="26:26" x14ac:dyDescent="0.25">
      <c r="Z42879">
        <v>400000</v>
      </c>
    </row>
    <row r="42880" spans="26:26" x14ac:dyDescent="0.25">
      <c r="Z42880">
        <v>400000</v>
      </c>
    </row>
    <row r="42881" spans="26:26" x14ac:dyDescent="0.25">
      <c r="Z42881">
        <v>400000</v>
      </c>
    </row>
    <row r="42882" spans="26:26" x14ac:dyDescent="0.25">
      <c r="Z42882">
        <v>400000</v>
      </c>
    </row>
    <row r="42883" spans="26:26" x14ac:dyDescent="0.25">
      <c r="Z42883">
        <v>400000</v>
      </c>
    </row>
    <row r="42884" spans="26:26" x14ac:dyDescent="0.25">
      <c r="Z42884">
        <v>400000</v>
      </c>
    </row>
    <row r="42885" spans="26:26" x14ac:dyDescent="0.25">
      <c r="Z42885">
        <v>400000</v>
      </c>
    </row>
    <row r="42886" spans="26:26" x14ac:dyDescent="0.25">
      <c r="Z42886">
        <v>400000</v>
      </c>
    </row>
    <row r="42887" spans="26:26" x14ac:dyDescent="0.25">
      <c r="Z42887">
        <v>400000</v>
      </c>
    </row>
    <row r="42888" spans="26:26" x14ac:dyDescent="0.25">
      <c r="Z42888">
        <v>400000</v>
      </c>
    </row>
    <row r="42889" spans="26:26" x14ac:dyDescent="0.25">
      <c r="Z42889">
        <v>400000</v>
      </c>
    </row>
    <row r="42890" spans="26:26" x14ac:dyDescent="0.25">
      <c r="Z42890">
        <v>400000</v>
      </c>
    </row>
    <row r="42891" spans="26:26" x14ac:dyDescent="0.25">
      <c r="Z42891">
        <v>400000</v>
      </c>
    </row>
    <row r="42892" spans="26:26" x14ac:dyDescent="0.25">
      <c r="Z42892">
        <v>400000</v>
      </c>
    </row>
    <row r="42893" spans="26:26" x14ac:dyDescent="0.25">
      <c r="Z42893">
        <v>400000</v>
      </c>
    </row>
    <row r="42894" spans="26:26" x14ac:dyDescent="0.25">
      <c r="Z42894">
        <v>400000</v>
      </c>
    </row>
    <row r="42895" spans="26:26" x14ac:dyDescent="0.25">
      <c r="Z42895">
        <v>400000</v>
      </c>
    </row>
    <row r="42896" spans="26:26" x14ac:dyDescent="0.25">
      <c r="Z42896">
        <v>400000</v>
      </c>
    </row>
    <row r="42897" spans="26:26" x14ac:dyDescent="0.25">
      <c r="Z42897">
        <v>400000</v>
      </c>
    </row>
    <row r="42898" spans="26:26" x14ac:dyDescent="0.25">
      <c r="Z42898">
        <v>400000</v>
      </c>
    </row>
    <row r="42899" spans="26:26" x14ac:dyDescent="0.25">
      <c r="Z42899">
        <v>400000</v>
      </c>
    </row>
    <row r="42900" spans="26:26" x14ac:dyDescent="0.25">
      <c r="Z42900">
        <v>400000</v>
      </c>
    </row>
    <row r="42901" spans="26:26" x14ac:dyDescent="0.25">
      <c r="Z42901">
        <v>400000</v>
      </c>
    </row>
    <row r="42902" spans="26:26" x14ac:dyDescent="0.25">
      <c r="Z42902">
        <v>400000</v>
      </c>
    </row>
    <row r="42903" spans="26:26" x14ac:dyDescent="0.25">
      <c r="Z42903">
        <v>400000</v>
      </c>
    </row>
    <row r="42904" spans="26:26" x14ac:dyDescent="0.25">
      <c r="Z42904">
        <v>400000</v>
      </c>
    </row>
    <row r="42905" spans="26:26" x14ac:dyDescent="0.25">
      <c r="Z42905">
        <v>400000</v>
      </c>
    </row>
    <row r="42906" spans="26:26" x14ac:dyDescent="0.25">
      <c r="Z42906">
        <v>400000</v>
      </c>
    </row>
    <row r="42907" spans="26:26" x14ac:dyDescent="0.25">
      <c r="Z42907">
        <v>400000</v>
      </c>
    </row>
    <row r="42908" spans="26:26" x14ac:dyDescent="0.25">
      <c r="Z42908">
        <v>400000</v>
      </c>
    </row>
    <row r="42909" spans="26:26" x14ac:dyDescent="0.25">
      <c r="Z42909">
        <v>400000</v>
      </c>
    </row>
    <row r="42910" spans="26:26" x14ac:dyDescent="0.25">
      <c r="Z42910">
        <v>400000</v>
      </c>
    </row>
    <row r="42911" spans="26:26" x14ac:dyDescent="0.25">
      <c r="Z42911">
        <v>400000</v>
      </c>
    </row>
    <row r="42912" spans="26:26" x14ac:dyDescent="0.25">
      <c r="Z42912">
        <v>400000</v>
      </c>
    </row>
    <row r="42913" spans="26:26" x14ac:dyDescent="0.25">
      <c r="Z42913">
        <v>400000</v>
      </c>
    </row>
    <row r="42914" spans="26:26" x14ac:dyDescent="0.25">
      <c r="Z42914">
        <v>400000</v>
      </c>
    </row>
    <row r="42915" spans="26:26" x14ac:dyDescent="0.25">
      <c r="Z42915">
        <v>400000</v>
      </c>
    </row>
    <row r="42916" spans="26:26" x14ac:dyDescent="0.25">
      <c r="Z42916">
        <v>400000</v>
      </c>
    </row>
    <row r="42917" spans="26:26" x14ac:dyDescent="0.25">
      <c r="Z42917">
        <v>400000</v>
      </c>
    </row>
    <row r="42918" spans="26:26" x14ac:dyDescent="0.25">
      <c r="Z42918">
        <v>400000</v>
      </c>
    </row>
    <row r="42919" spans="26:26" x14ac:dyDescent="0.25">
      <c r="Z42919">
        <v>400000</v>
      </c>
    </row>
    <row r="42920" spans="26:26" x14ac:dyDescent="0.25">
      <c r="Z42920">
        <v>400000</v>
      </c>
    </row>
    <row r="42921" spans="26:26" x14ac:dyDescent="0.25">
      <c r="Z42921">
        <v>400000</v>
      </c>
    </row>
    <row r="42922" spans="26:26" x14ac:dyDescent="0.25">
      <c r="Z42922">
        <v>400000</v>
      </c>
    </row>
    <row r="42923" spans="26:26" x14ac:dyDescent="0.25">
      <c r="Z42923">
        <v>400000</v>
      </c>
    </row>
    <row r="42924" spans="26:26" x14ac:dyDescent="0.25">
      <c r="Z42924">
        <v>400000</v>
      </c>
    </row>
    <row r="42925" spans="26:26" x14ac:dyDescent="0.25">
      <c r="Z42925">
        <v>400000</v>
      </c>
    </row>
    <row r="42926" spans="26:26" x14ac:dyDescent="0.25">
      <c r="Z42926">
        <v>400000</v>
      </c>
    </row>
    <row r="42927" spans="26:26" x14ac:dyDescent="0.25">
      <c r="Z42927">
        <v>400000</v>
      </c>
    </row>
    <row r="42928" spans="26:26" x14ac:dyDescent="0.25">
      <c r="Z42928">
        <v>400000</v>
      </c>
    </row>
    <row r="42929" spans="26:26" x14ac:dyDescent="0.25">
      <c r="Z42929">
        <v>400000</v>
      </c>
    </row>
    <row r="42930" spans="26:26" x14ac:dyDescent="0.25">
      <c r="Z42930">
        <v>400000</v>
      </c>
    </row>
    <row r="42931" spans="26:26" x14ac:dyDescent="0.25">
      <c r="Z42931">
        <v>400000</v>
      </c>
    </row>
    <row r="42932" spans="26:26" x14ac:dyDescent="0.25">
      <c r="Z42932">
        <v>400000</v>
      </c>
    </row>
    <row r="42933" spans="26:26" x14ac:dyDescent="0.25">
      <c r="Z42933">
        <v>400000</v>
      </c>
    </row>
    <row r="42934" spans="26:26" x14ac:dyDescent="0.25">
      <c r="Z42934">
        <v>400000</v>
      </c>
    </row>
    <row r="42935" spans="26:26" x14ac:dyDescent="0.25">
      <c r="Z42935">
        <v>400000</v>
      </c>
    </row>
    <row r="42936" spans="26:26" x14ac:dyDescent="0.25">
      <c r="Z42936">
        <v>400000</v>
      </c>
    </row>
    <row r="42937" spans="26:26" x14ac:dyDescent="0.25">
      <c r="Z42937">
        <v>400000</v>
      </c>
    </row>
    <row r="42938" spans="26:26" x14ac:dyDescent="0.25">
      <c r="Z42938">
        <v>400000</v>
      </c>
    </row>
    <row r="42939" spans="26:26" x14ac:dyDescent="0.25">
      <c r="Z42939">
        <v>400000</v>
      </c>
    </row>
    <row r="42940" spans="26:26" x14ac:dyDescent="0.25">
      <c r="Z42940">
        <v>400000</v>
      </c>
    </row>
    <row r="42941" spans="26:26" x14ac:dyDescent="0.25">
      <c r="Z42941">
        <v>400000</v>
      </c>
    </row>
    <row r="42942" spans="26:26" x14ac:dyDescent="0.25">
      <c r="Z42942">
        <v>400000</v>
      </c>
    </row>
    <row r="42943" spans="26:26" x14ac:dyDescent="0.25">
      <c r="Z42943">
        <v>400000</v>
      </c>
    </row>
    <row r="42944" spans="26:26" x14ac:dyDescent="0.25">
      <c r="Z42944">
        <v>400000</v>
      </c>
    </row>
    <row r="42945" spans="26:26" x14ac:dyDescent="0.25">
      <c r="Z42945">
        <v>400000</v>
      </c>
    </row>
    <row r="42946" spans="26:26" x14ac:dyDescent="0.25">
      <c r="Z42946">
        <v>400000</v>
      </c>
    </row>
    <row r="42947" spans="26:26" x14ac:dyDescent="0.25">
      <c r="Z42947">
        <v>400000</v>
      </c>
    </row>
    <row r="42948" spans="26:26" x14ac:dyDescent="0.25">
      <c r="Z42948">
        <v>400000</v>
      </c>
    </row>
    <row r="42949" spans="26:26" x14ac:dyDescent="0.25">
      <c r="Z42949">
        <v>400000</v>
      </c>
    </row>
    <row r="42950" spans="26:26" x14ac:dyDescent="0.25">
      <c r="Z42950">
        <v>400000</v>
      </c>
    </row>
    <row r="42951" spans="26:26" x14ac:dyDescent="0.25">
      <c r="Z42951">
        <v>400000</v>
      </c>
    </row>
    <row r="42952" spans="26:26" x14ac:dyDescent="0.25">
      <c r="Z42952">
        <v>400000</v>
      </c>
    </row>
    <row r="42953" spans="26:26" x14ac:dyDescent="0.25">
      <c r="Z42953">
        <v>400000</v>
      </c>
    </row>
    <row r="42954" spans="26:26" x14ac:dyDescent="0.25">
      <c r="Z42954">
        <v>400000</v>
      </c>
    </row>
    <row r="42955" spans="26:26" x14ac:dyDescent="0.25">
      <c r="Z42955">
        <v>400000</v>
      </c>
    </row>
    <row r="42956" spans="26:26" x14ac:dyDescent="0.25">
      <c r="Z42956">
        <v>400000</v>
      </c>
    </row>
    <row r="42957" spans="26:26" x14ac:dyDescent="0.25">
      <c r="Z42957">
        <v>400000</v>
      </c>
    </row>
    <row r="42958" spans="26:26" x14ac:dyDescent="0.25">
      <c r="Z42958">
        <v>400000</v>
      </c>
    </row>
    <row r="42959" spans="26:26" x14ac:dyDescent="0.25">
      <c r="Z42959">
        <v>400000</v>
      </c>
    </row>
    <row r="42960" spans="26:26" x14ac:dyDescent="0.25">
      <c r="Z42960">
        <v>400000</v>
      </c>
    </row>
    <row r="42961" spans="26:26" x14ac:dyDescent="0.25">
      <c r="Z42961">
        <v>400000</v>
      </c>
    </row>
    <row r="42962" spans="26:26" x14ac:dyDescent="0.25">
      <c r="Z42962">
        <v>400000</v>
      </c>
    </row>
    <row r="42963" spans="26:26" x14ac:dyDescent="0.25">
      <c r="Z42963">
        <v>400000</v>
      </c>
    </row>
    <row r="42964" spans="26:26" x14ac:dyDescent="0.25">
      <c r="Z42964">
        <v>400000</v>
      </c>
    </row>
    <row r="42965" spans="26:26" x14ac:dyDescent="0.25">
      <c r="Z42965">
        <v>400000</v>
      </c>
    </row>
    <row r="42966" spans="26:26" x14ac:dyDescent="0.25">
      <c r="Z42966">
        <v>400000</v>
      </c>
    </row>
    <row r="42967" spans="26:26" x14ac:dyDescent="0.25">
      <c r="Z42967">
        <v>400000</v>
      </c>
    </row>
    <row r="42968" spans="26:26" x14ac:dyDescent="0.25">
      <c r="Z42968">
        <v>400000</v>
      </c>
    </row>
    <row r="42969" spans="26:26" x14ac:dyDescent="0.25">
      <c r="Z42969">
        <v>400000</v>
      </c>
    </row>
    <row r="42970" spans="26:26" x14ac:dyDescent="0.25">
      <c r="Z42970">
        <v>400000</v>
      </c>
    </row>
    <row r="42971" spans="26:26" x14ac:dyDescent="0.25">
      <c r="Z42971">
        <v>400000</v>
      </c>
    </row>
    <row r="42972" spans="26:26" x14ac:dyDescent="0.25">
      <c r="Z42972">
        <v>400000</v>
      </c>
    </row>
    <row r="42973" spans="26:26" x14ac:dyDescent="0.25">
      <c r="Z42973">
        <v>400000</v>
      </c>
    </row>
    <row r="42974" spans="26:26" x14ac:dyDescent="0.25">
      <c r="Z42974">
        <v>400000</v>
      </c>
    </row>
    <row r="42975" spans="26:26" x14ac:dyDescent="0.25">
      <c r="Z42975">
        <v>400000</v>
      </c>
    </row>
    <row r="42976" spans="26:26" x14ac:dyDescent="0.25">
      <c r="Z42976">
        <v>400000</v>
      </c>
    </row>
    <row r="42977" spans="26:26" x14ac:dyDescent="0.25">
      <c r="Z42977">
        <v>400000</v>
      </c>
    </row>
    <row r="42978" spans="26:26" x14ac:dyDescent="0.25">
      <c r="Z42978">
        <v>400000</v>
      </c>
    </row>
    <row r="42979" spans="26:26" x14ac:dyDescent="0.25">
      <c r="Z42979">
        <v>400000</v>
      </c>
    </row>
    <row r="42980" spans="26:26" x14ac:dyDescent="0.25">
      <c r="Z42980">
        <v>400000</v>
      </c>
    </row>
    <row r="42981" spans="26:26" x14ac:dyDescent="0.25">
      <c r="Z42981">
        <v>400000</v>
      </c>
    </row>
    <row r="42982" spans="26:26" x14ac:dyDescent="0.25">
      <c r="Z42982">
        <v>400000</v>
      </c>
    </row>
    <row r="42983" spans="26:26" x14ac:dyDescent="0.25">
      <c r="Z42983">
        <v>400000</v>
      </c>
    </row>
    <row r="42984" spans="26:26" x14ac:dyDescent="0.25">
      <c r="Z42984">
        <v>400000</v>
      </c>
    </row>
    <row r="42985" spans="26:26" x14ac:dyDescent="0.25">
      <c r="Z42985">
        <v>400000</v>
      </c>
    </row>
    <row r="42986" spans="26:26" x14ac:dyDescent="0.25">
      <c r="Z42986">
        <v>400000</v>
      </c>
    </row>
    <row r="42987" spans="26:26" x14ac:dyDescent="0.25">
      <c r="Z42987">
        <v>400000</v>
      </c>
    </row>
    <row r="42988" spans="26:26" x14ac:dyDescent="0.25">
      <c r="Z42988">
        <v>400000</v>
      </c>
    </row>
    <row r="42989" spans="26:26" x14ac:dyDescent="0.25">
      <c r="Z42989">
        <v>400000</v>
      </c>
    </row>
    <row r="42990" spans="26:26" x14ac:dyDescent="0.25">
      <c r="Z42990">
        <v>400000</v>
      </c>
    </row>
    <row r="42991" spans="26:26" x14ac:dyDescent="0.25">
      <c r="Z42991">
        <v>400000</v>
      </c>
    </row>
    <row r="42992" spans="26:26" x14ac:dyDescent="0.25">
      <c r="Z42992">
        <v>400000</v>
      </c>
    </row>
    <row r="42993" spans="26:26" x14ac:dyDescent="0.25">
      <c r="Z42993">
        <v>400000</v>
      </c>
    </row>
    <row r="42994" spans="26:26" x14ac:dyDescent="0.25">
      <c r="Z42994">
        <v>400000</v>
      </c>
    </row>
    <row r="42995" spans="26:26" x14ac:dyDescent="0.25">
      <c r="Z42995">
        <v>400000</v>
      </c>
    </row>
    <row r="42996" spans="26:26" x14ac:dyDescent="0.25">
      <c r="Z42996">
        <v>400000</v>
      </c>
    </row>
    <row r="42997" spans="26:26" x14ac:dyDescent="0.25">
      <c r="Z42997">
        <v>400000</v>
      </c>
    </row>
    <row r="42998" spans="26:26" x14ac:dyDescent="0.25">
      <c r="Z42998">
        <v>400000</v>
      </c>
    </row>
    <row r="42999" spans="26:26" x14ac:dyDescent="0.25">
      <c r="Z42999">
        <v>400000</v>
      </c>
    </row>
    <row r="43000" spans="26:26" x14ac:dyDescent="0.25">
      <c r="Z43000">
        <v>400000</v>
      </c>
    </row>
    <row r="43001" spans="26:26" x14ac:dyDescent="0.25">
      <c r="Z43001">
        <v>400000</v>
      </c>
    </row>
    <row r="43002" spans="26:26" x14ac:dyDescent="0.25">
      <c r="Z43002">
        <v>400000</v>
      </c>
    </row>
    <row r="43003" spans="26:26" x14ac:dyDescent="0.25">
      <c r="Z43003">
        <v>400000</v>
      </c>
    </row>
    <row r="43004" spans="26:26" x14ac:dyDescent="0.25">
      <c r="Z43004">
        <v>400000</v>
      </c>
    </row>
    <row r="43005" spans="26:26" x14ac:dyDescent="0.25">
      <c r="Z43005">
        <v>400000</v>
      </c>
    </row>
    <row r="43006" spans="26:26" x14ac:dyDescent="0.25">
      <c r="Z43006">
        <v>400000</v>
      </c>
    </row>
    <row r="43007" spans="26:26" x14ac:dyDescent="0.25">
      <c r="Z43007">
        <v>400000</v>
      </c>
    </row>
    <row r="43008" spans="26:26" x14ac:dyDescent="0.25">
      <c r="Z43008">
        <v>400000</v>
      </c>
    </row>
    <row r="43009" spans="26:26" x14ac:dyDescent="0.25">
      <c r="Z43009">
        <v>400000</v>
      </c>
    </row>
    <row r="43010" spans="26:26" x14ac:dyDescent="0.25">
      <c r="Z43010">
        <v>400000</v>
      </c>
    </row>
    <row r="43011" spans="26:26" x14ac:dyDescent="0.25">
      <c r="Z43011">
        <v>400000</v>
      </c>
    </row>
    <row r="43012" spans="26:26" x14ac:dyDescent="0.25">
      <c r="Z43012">
        <v>400000</v>
      </c>
    </row>
    <row r="43013" spans="26:26" x14ac:dyDescent="0.25">
      <c r="Z43013">
        <v>400000</v>
      </c>
    </row>
    <row r="43014" spans="26:26" x14ac:dyDescent="0.25">
      <c r="Z43014">
        <v>400000</v>
      </c>
    </row>
    <row r="43015" spans="26:26" x14ac:dyDescent="0.25">
      <c r="Z43015">
        <v>400000</v>
      </c>
    </row>
    <row r="43016" spans="26:26" x14ac:dyDescent="0.25">
      <c r="Z43016">
        <v>400000</v>
      </c>
    </row>
    <row r="43017" spans="26:26" x14ac:dyDescent="0.25">
      <c r="Z43017">
        <v>400000</v>
      </c>
    </row>
    <row r="43018" spans="26:26" x14ac:dyDescent="0.25">
      <c r="Z43018">
        <v>400000</v>
      </c>
    </row>
    <row r="43019" spans="26:26" x14ac:dyDescent="0.25">
      <c r="Z43019">
        <v>400000</v>
      </c>
    </row>
    <row r="43020" spans="26:26" x14ac:dyDescent="0.25">
      <c r="Z43020">
        <v>400000</v>
      </c>
    </row>
    <row r="43021" spans="26:26" x14ac:dyDescent="0.25">
      <c r="Z43021">
        <v>400000</v>
      </c>
    </row>
    <row r="43022" spans="26:26" x14ac:dyDescent="0.25">
      <c r="Z43022">
        <v>400000</v>
      </c>
    </row>
    <row r="43023" spans="26:26" x14ac:dyDescent="0.25">
      <c r="Z43023">
        <v>400000</v>
      </c>
    </row>
    <row r="43024" spans="26:26" x14ac:dyDescent="0.25">
      <c r="Z43024">
        <v>400000</v>
      </c>
    </row>
    <row r="43025" spans="26:26" x14ac:dyDescent="0.25">
      <c r="Z43025">
        <v>400000</v>
      </c>
    </row>
    <row r="43026" spans="26:26" x14ac:dyDescent="0.25">
      <c r="Z43026">
        <v>400000</v>
      </c>
    </row>
    <row r="43027" spans="26:26" x14ac:dyDescent="0.25">
      <c r="Z43027">
        <v>400000</v>
      </c>
    </row>
    <row r="43028" spans="26:26" x14ac:dyDescent="0.25">
      <c r="Z43028">
        <v>400000</v>
      </c>
    </row>
    <row r="43029" spans="26:26" x14ac:dyDescent="0.25">
      <c r="Z43029">
        <v>400000</v>
      </c>
    </row>
    <row r="43030" spans="26:26" x14ac:dyDescent="0.25">
      <c r="Z43030">
        <v>400000</v>
      </c>
    </row>
    <row r="43031" spans="26:26" x14ac:dyDescent="0.25">
      <c r="Z43031">
        <v>400000</v>
      </c>
    </row>
    <row r="43032" spans="26:26" x14ac:dyDescent="0.25">
      <c r="Z43032">
        <v>400000</v>
      </c>
    </row>
    <row r="43033" spans="26:26" x14ac:dyDescent="0.25">
      <c r="Z43033">
        <v>400000</v>
      </c>
    </row>
    <row r="43034" spans="26:26" x14ac:dyDescent="0.25">
      <c r="Z43034">
        <v>400000</v>
      </c>
    </row>
    <row r="43035" spans="26:26" x14ac:dyDescent="0.25">
      <c r="Z43035">
        <v>400000</v>
      </c>
    </row>
    <row r="43036" spans="26:26" x14ac:dyDescent="0.25">
      <c r="Z43036">
        <v>400000</v>
      </c>
    </row>
    <row r="43037" spans="26:26" x14ac:dyDescent="0.25">
      <c r="Z43037">
        <v>400000</v>
      </c>
    </row>
    <row r="43038" spans="26:26" x14ac:dyDescent="0.25">
      <c r="Z43038">
        <v>400000</v>
      </c>
    </row>
    <row r="43039" spans="26:26" x14ac:dyDescent="0.25">
      <c r="Z43039">
        <v>400000</v>
      </c>
    </row>
    <row r="43040" spans="26:26" x14ac:dyDescent="0.25">
      <c r="Z43040">
        <v>400000</v>
      </c>
    </row>
    <row r="43041" spans="26:26" x14ac:dyDescent="0.25">
      <c r="Z43041">
        <v>400000</v>
      </c>
    </row>
    <row r="43042" spans="26:26" x14ac:dyDescent="0.25">
      <c r="Z43042">
        <v>400000</v>
      </c>
    </row>
    <row r="43043" spans="26:26" x14ac:dyDescent="0.25">
      <c r="Z43043">
        <v>400000</v>
      </c>
    </row>
    <row r="43044" spans="26:26" x14ac:dyDescent="0.25">
      <c r="Z43044">
        <v>400000</v>
      </c>
    </row>
    <row r="43045" spans="26:26" x14ac:dyDescent="0.25">
      <c r="Z43045">
        <v>400000</v>
      </c>
    </row>
    <row r="43046" spans="26:26" x14ac:dyDescent="0.25">
      <c r="Z43046">
        <v>400000</v>
      </c>
    </row>
    <row r="43047" spans="26:26" x14ac:dyDescent="0.25">
      <c r="Z43047">
        <v>400000</v>
      </c>
    </row>
    <row r="43048" spans="26:26" x14ac:dyDescent="0.25">
      <c r="Z43048">
        <v>400000</v>
      </c>
    </row>
    <row r="43049" spans="26:26" x14ac:dyDescent="0.25">
      <c r="Z43049">
        <v>400000</v>
      </c>
    </row>
    <row r="43050" spans="26:26" x14ac:dyDescent="0.25">
      <c r="Z43050">
        <v>400000</v>
      </c>
    </row>
    <row r="43051" spans="26:26" x14ac:dyDescent="0.25">
      <c r="Z43051">
        <v>400000</v>
      </c>
    </row>
    <row r="43052" spans="26:26" x14ac:dyDescent="0.25">
      <c r="Z43052">
        <v>400000</v>
      </c>
    </row>
    <row r="43053" spans="26:26" x14ac:dyDescent="0.25">
      <c r="Z43053">
        <v>400000</v>
      </c>
    </row>
    <row r="43054" spans="26:26" x14ac:dyDescent="0.25">
      <c r="Z43054">
        <v>400000</v>
      </c>
    </row>
    <row r="43055" spans="26:26" x14ac:dyDescent="0.25">
      <c r="Z43055">
        <v>400000</v>
      </c>
    </row>
    <row r="43056" spans="26:26" x14ac:dyDescent="0.25">
      <c r="Z43056">
        <v>400000</v>
      </c>
    </row>
    <row r="43057" spans="26:26" x14ac:dyDescent="0.25">
      <c r="Z43057">
        <v>400000</v>
      </c>
    </row>
    <row r="43058" spans="26:26" x14ac:dyDescent="0.25">
      <c r="Z43058">
        <v>400000</v>
      </c>
    </row>
    <row r="43059" spans="26:26" x14ac:dyDescent="0.25">
      <c r="Z43059">
        <v>400000</v>
      </c>
    </row>
    <row r="43060" spans="26:26" x14ac:dyDescent="0.25">
      <c r="Z43060">
        <v>400000</v>
      </c>
    </row>
    <row r="43061" spans="26:26" x14ac:dyDescent="0.25">
      <c r="Z43061">
        <v>400000</v>
      </c>
    </row>
    <row r="43062" spans="26:26" x14ac:dyDescent="0.25">
      <c r="Z43062">
        <v>400000</v>
      </c>
    </row>
    <row r="43063" spans="26:26" x14ac:dyDescent="0.25">
      <c r="Z43063">
        <v>400000</v>
      </c>
    </row>
    <row r="43064" spans="26:26" x14ac:dyDescent="0.25">
      <c r="Z43064">
        <v>400000</v>
      </c>
    </row>
    <row r="43065" spans="26:26" x14ac:dyDescent="0.25">
      <c r="Z43065">
        <v>400000</v>
      </c>
    </row>
    <row r="43066" spans="26:26" x14ac:dyDescent="0.25">
      <c r="Z43066">
        <v>400000</v>
      </c>
    </row>
    <row r="43067" spans="26:26" x14ac:dyDescent="0.25">
      <c r="Z43067">
        <v>400000</v>
      </c>
    </row>
    <row r="43068" spans="26:26" x14ac:dyDescent="0.25">
      <c r="Z43068">
        <v>400000</v>
      </c>
    </row>
    <row r="43069" spans="26:26" x14ac:dyDescent="0.25">
      <c r="Z43069">
        <v>400000</v>
      </c>
    </row>
    <row r="43070" spans="26:26" x14ac:dyDescent="0.25">
      <c r="Z43070">
        <v>400000</v>
      </c>
    </row>
    <row r="43071" spans="26:26" x14ac:dyDescent="0.25">
      <c r="Z43071">
        <v>400000</v>
      </c>
    </row>
    <row r="43072" spans="26:26" x14ac:dyDescent="0.25">
      <c r="Z43072">
        <v>400000</v>
      </c>
    </row>
    <row r="43073" spans="26:26" x14ac:dyDescent="0.25">
      <c r="Z43073">
        <v>400000</v>
      </c>
    </row>
    <row r="43074" spans="26:26" x14ac:dyDescent="0.25">
      <c r="Z43074">
        <v>400000</v>
      </c>
    </row>
    <row r="43075" spans="26:26" x14ac:dyDescent="0.25">
      <c r="Z43075">
        <v>400000</v>
      </c>
    </row>
    <row r="43076" spans="26:26" x14ac:dyDescent="0.25">
      <c r="Z43076">
        <v>400000</v>
      </c>
    </row>
    <row r="43077" spans="26:26" x14ac:dyDescent="0.25">
      <c r="Z43077">
        <v>400000</v>
      </c>
    </row>
    <row r="43078" spans="26:26" x14ac:dyDescent="0.25">
      <c r="Z43078">
        <v>400000</v>
      </c>
    </row>
    <row r="43079" spans="26:26" x14ac:dyDescent="0.25">
      <c r="Z43079">
        <v>400000</v>
      </c>
    </row>
    <row r="43080" spans="26:26" x14ac:dyDescent="0.25">
      <c r="Z43080">
        <v>400000</v>
      </c>
    </row>
    <row r="43081" spans="26:26" x14ac:dyDescent="0.25">
      <c r="Z43081">
        <v>400000</v>
      </c>
    </row>
    <row r="43082" spans="26:26" x14ac:dyDescent="0.25">
      <c r="Z43082">
        <v>400000</v>
      </c>
    </row>
    <row r="43083" spans="26:26" x14ac:dyDescent="0.25">
      <c r="Z43083">
        <v>400000</v>
      </c>
    </row>
    <row r="43084" spans="26:26" x14ac:dyDescent="0.25">
      <c r="Z43084">
        <v>400000</v>
      </c>
    </row>
    <row r="43085" spans="26:26" x14ac:dyDescent="0.25">
      <c r="Z43085">
        <v>400000</v>
      </c>
    </row>
    <row r="43086" spans="26:26" x14ac:dyDescent="0.25">
      <c r="Z43086">
        <v>400000</v>
      </c>
    </row>
    <row r="43087" spans="26:26" x14ac:dyDescent="0.25">
      <c r="Z43087">
        <v>400000</v>
      </c>
    </row>
    <row r="43088" spans="26:26" x14ac:dyDescent="0.25">
      <c r="Z43088">
        <v>400000</v>
      </c>
    </row>
    <row r="43089" spans="26:26" x14ac:dyDescent="0.25">
      <c r="Z43089">
        <v>400000</v>
      </c>
    </row>
    <row r="43090" spans="26:26" x14ac:dyDescent="0.25">
      <c r="Z43090">
        <v>400000</v>
      </c>
    </row>
    <row r="43091" spans="26:26" x14ac:dyDescent="0.25">
      <c r="Z43091">
        <v>400000</v>
      </c>
    </row>
    <row r="43092" spans="26:26" x14ac:dyDescent="0.25">
      <c r="Z43092">
        <v>400000</v>
      </c>
    </row>
    <row r="43093" spans="26:26" x14ac:dyDescent="0.25">
      <c r="Z43093">
        <v>400000</v>
      </c>
    </row>
    <row r="43094" spans="26:26" x14ac:dyDescent="0.25">
      <c r="Z43094">
        <v>400000</v>
      </c>
    </row>
    <row r="43095" spans="26:26" x14ac:dyDescent="0.25">
      <c r="Z43095">
        <v>400000</v>
      </c>
    </row>
    <row r="43096" spans="26:26" x14ac:dyDescent="0.25">
      <c r="Z43096">
        <v>400000</v>
      </c>
    </row>
    <row r="43097" spans="26:26" x14ac:dyDescent="0.25">
      <c r="Z43097">
        <v>400000</v>
      </c>
    </row>
    <row r="43098" spans="26:26" x14ac:dyDescent="0.25">
      <c r="Z43098">
        <v>400000</v>
      </c>
    </row>
    <row r="43099" spans="26:26" x14ac:dyDescent="0.25">
      <c r="Z43099">
        <v>400000</v>
      </c>
    </row>
    <row r="43100" spans="26:26" x14ac:dyDescent="0.25">
      <c r="Z43100">
        <v>400000</v>
      </c>
    </row>
    <row r="43101" spans="26:26" x14ac:dyDescent="0.25">
      <c r="Z43101">
        <v>400000</v>
      </c>
    </row>
    <row r="43102" spans="26:26" x14ac:dyDescent="0.25">
      <c r="Z43102">
        <v>400000</v>
      </c>
    </row>
    <row r="43103" spans="26:26" x14ac:dyDescent="0.25">
      <c r="Z43103">
        <v>400000</v>
      </c>
    </row>
    <row r="43104" spans="26:26" x14ac:dyDescent="0.25">
      <c r="Z43104">
        <v>400000</v>
      </c>
    </row>
    <row r="43105" spans="26:26" x14ac:dyDescent="0.25">
      <c r="Z43105">
        <v>400000</v>
      </c>
    </row>
    <row r="43106" spans="26:26" x14ac:dyDescent="0.25">
      <c r="Z43106">
        <v>400000</v>
      </c>
    </row>
    <row r="43107" spans="26:26" x14ac:dyDescent="0.25">
      <c r="Z43107">
        <v>400000</v>
      </c>
    </row>
    <row r="43108" spans="26:26" x14ac:dyDescent="0.25">
      <c r="Z43108">
        <v>400000</v>
      </c>
    </row>
    <row r="43109" spans="26:26" x14ac:dyDescent="0.25">
      <c r="Z43109">
        <v>400000</v>
      </c>
    </row>
    <row r="43110" spans="26:26" x14ac:dyDescent="0.25">
      <c r="Z43110">
        <v>400000</v>
      </c>
    </row>
    <row r="43111" spans="26:26" x14ac:dyDescent="0.25">
      <c r="Z43111">
        <v>400000</v>
      </c>
    </row>
    <row r="43112" spans="26:26" x14ac:dyDescent="0.25">
      <c r="Z43112">
        <v>400000</v>
      </c>
    </row>
    <row r="43113" spans="26:26" x14ac:dyDescent="0.25">
      <c r="Z43113">
        <v>400000</v>
      </c>
    </row>
    <row r="43114" spans="26:26" x14ac:dyDescent="0.25">
      <c r="Z43114">
        <v>400000</v>
      </c>
    </row>
    <row r="43115" spans="26:26" x14ac:dyDescent="0.25">
      <c r="Z43115">
        <v>400000</v>
      </c>
    </row>
    <row r="43116" spans="26:26" x14ac:dyDescent="0.25">
      <c r="Z43116">
        <v>400000</v>
      </c>
    </row>
    <row r="43117" spans="26:26" x14ac:dyDescent="0.25">
      <c r="Z43117">
        <v>400000</v>
      </c>
    </row>
    <row r="43118" spans="26:26" x14ac:dyDescent="0.25">
      <c r="Z43118">
        <v>400000</v>
      </c>
    </row>
    <row r="43119" spans="26:26" x14ac:dyDescent="0.25">
      <c r="Z43119">
        <v>400000</v>
      </c>
    </row>
    <row r="43120" spans="26:26" x14ac:dyDescent="0.25">
      <c r="Z43120">
        <v>400000</v>
      </c>
    </row>
    <row r="43121" spans="26:26" x14ac:dyDescent="0.25">
      <c r="Z43121">
        <v>400000</v>
      </c>
    </row>
    <row r="43122" spans="26:26" x14ac:dyDescent="0.25">
      <c r="Z43122">
        <v>400000</v>
      </c>
    </row>
    <row r="43123" spans="26:26" x14ac:dyDescent="0.25">
      <c r="Z43123">
        <v>400000</v>
      </c>
    </row>
    <row r="43124" spans="26:26" x14ac:dyDescent="0.25">
      <c r="Z43124">
        <v>400000</v>
      </c>
    </row>
    <row r="43125" spans="26:26" x14ac:dyDescent="0.25">
      <c r="Z43125">
        <v>400000</v>
      </c>
    </row>
    <row r="43126" spans="26:26" x14ac:dyDescent="0.25">
      <c r="Z43126">
        <v>400000</v>
      </c>
    </row>
    <row r="43127" spans="26:26" x14ac:dyDescent="0.25">
      <c r="Z43127">
        <v>400000</v>
      </c>
    </row>
    <row r="43128" spans="26:26" x14ac:dyDescent="0.25">
      <c r="Z43128">
        <v>400000</v>
      </c>
    </row>
    <row r="43129" spans="26:26" x14ac:dyDescent="0.25">
      <c r="Z43129">
        <v>400000</v>
      </c>
    </row>
    <row r="43130" spans="26:26" x14ac:dyDescent="0.25">
      <c r="Z43130">
        <v>400000</v>
      </c>
    </row>
    <row r="43131" spans="26:26" x14ac:dyDescent="0.25">
      <c r="Z43131">
        <v>400000</v>
      </c>
    </row>
    <row r="43132" spans="26:26" x14ac:dyDescent="0.25">
      <c r="Z43132">
        <v>400000</v>
      </c>
    </row>
    <row r="43133" spans="26:26" x14ac:dyDescent="0.25">
      <c r="Z43133">
        <v>400000</v>
      </c>
    </row>
    <row r="43134" spans="26:26" x14ac:dyDescent="0.25">
      <c r="Z43134">
        <v>400000</v>
      </c>
    </row>
    <row r="43135" spans="26:26" x14ac:dyDescent="0.25">
      <c r="Z43135">
        <v>400000</v>
      </c>
    </row>
    <row r="43136" spans="26:26" x14ac:dyDescent="0.25">
      <c r="Z43136">
        <v>400000</v>
      </c>
    </row>
    <row r="43137" spans="26:26" x14ac:dyDescent="0.25">
      <c r="Z43137">
        <v>400000</v>
      </c>
    </row>
    <row r="43138" spans="26:26" x14ac:dyDescent="0.25">
      <c r="Z43138">
        <v>400000</v>
      </c>
    </row>
    <row r="43139" spans="26:26" x14ac:dyDescent="0.25">
      <c r="Z43139">
        <v>400000</v>
      </c>
    </row>
    <row r="43140" spans="26:26" x14ac:dyDescent="0.25">
      <c r="Z43140">
        <v>400000</v>
      </c>
    </row>
    <row r="43141" spans="26:26" x14ac:dyDescent="0.25">
      <c r="Z43141">
        <v>400000</v>
      </c>
    </row>
    <row r="43142" spans="26:26" x14ac:dyDescent="0.25">
      <c r="Z43142">
        <v>400000</v>
      </c>
    </row>
    <row r="43143" spans="26:26" x14ac:dyDescent="0.25">
      <c r="Z43143">
        <v>400000</v>
      </c>
    </row>
    <row r="43144" spans="26:26" x14ac:dyDescent="0.25">
      <c r="Z43144">
        <v>400000</v>
      </c>
    </row>
    <row r="43145" spans="26:26" x14ac:dyDescent="0.25">
      <c r="Z43145">
        <v>400000</v>
      </c>
    </row>
    <row r="43146" spans="26:26" x14ac:dyDescent="0.25">
      <c r="Z43146">
        <v>400000</v>
      </c>
    </row>
    <row r="43147" spans="26:26" x14ac:dyDescent="0.25">
      <c r="Z43147">
        <v>400000</v>
      </c>
    </row>
    <row r="43148" spans="26:26" x14ac:dyDescent="0.25">
      <c r="Z43148">
        <v>400000</v>
      </c>
    </row>
    <row r="43149" spans="26:26" x14ac:dyDescent="0.25">
      <c r="Z43149">
        <v>400000</v>
      </c>
    </row>
    <row r="43150" spans="26:26" x14ac:dyDescent="0.25">
      <c r="Z43150">
        <v>400000</v>
      </c>
    </row>
    <row r="43151" spans="26:26" x14ac:dyDescent="0.25">
      <c r="Z43151">
        <v>400000</v>
      </c>
    </row>
    <row r="43152" spans="26:26" x14ac:dyDescent="0.25">
      <c r="Z43152">
        <v>400000</v>
      </c>
    </row>
    <row r="43153" spans="26:26" x14ac:dyDescent="0.25">
      <c r="Z43153">
        <v>400000</v>
      </c>
    </row>
    <row r="43154" spans="26:26" x14ac:dyDescent="0.25">
      <c r="Z43154">
        <v>400000</v>
      </c>
    </row>
    <row r="43155" spans="26:26" x14ac:dyDescent="0.25">
      <c r="Z43155">
        <v>400000</v>
      </c>
    </row>
    <row r="43156" spans="26:26" x14ac:dyDescent="0.25">
      <c r="Z43156">
        <v>400000</v>
      </c>
    </row>
    <row r="43157" spans="26:26" x14ac:dyDescent="0.25">
      <c r="Z43157">
        <v>400000</v>
      </c>
    </row>
    <row r="43158" spans="26:26" x14ac:dyDescent="0.25">
      <c r="Z43158">
        <v>400000</v>
      </c>
    </row>
    <row r="43159" spans="26:26" x14ac:dyDescent="0.25">
      <c r="Z43159">
        <v>400000</v>
      </c>
    </row>
    <row r="43160" spans="26:26" x14ac:dyDescent="0.25">
      <c r="Z43160">
        <v>400000</v>
      </c>
    </row>
    <row r="43161" spans="26:26" x14ac:dyDescent="0.25">
      <c r="Z43161">
        <v>400000</v>
      </c>
    </row>
    <row r="43162" spans="26:26" x14ac:dyDescent="0.25">
      <c r="Z43162">
        <v>400000</v>
      </c>
    </row>
    <row r="43163" spans="26:26" x14ac:dyDescent="0.25">
      <c r="Z43163">
        <v>400000</v>
      </c>
    </row>
    <row r="43164" spans="26:26" x14ac:dyDescent="0.25">
      <c r="Z43164">
        <v>400000</v>
      </c>
    </row>
    <row r="43165" spans="26:26" x14ac:dyDescent="0.25">
      <c r="Z43165">
        <v>400000</v>
      </c>
    </row>
    <row r="43166" spans="26:26" x14ac:dyDescent="0.25">
      <c r="Z43166">
        <v>400000</v>
      </c>
    </row>
    <row r="43167" spans="26:26" x14ac:dyDescent="0.25">
      <c r="Z43167">
        <v>400000</v>
      </c>
    </row>
    <row r="43168" spans="26:26" x14ac:dyDescent="0.25">
      <c r="Z43168">
        <v>400000</v>
      </c>
    </row>
    <row r="43169" spans="26:26" x14ac:dyDescent="0.25">
      <c r="Z43169">
        <v>400000</v>
      </c>
    </row>
    <row r="43170" spans="26:26" x14ac:dyDescent="0.25">
      <c r="Z43170">
        <v>400000</v>
      </c>
    </row>
    <row r="43171" spans="26:26" x14ac:dyDescent="0.25">
      <c r="Z43171">
        <v>400000</v>
      </c>
    </row>
    <row r="43172" spans="26:26" x14ac:dyDescent="0.25">
      <c r="Z43172">
        <v>400000</v>
      </c>
    </row>
    <row r="43173" spans="26:26" x14ac:dyDescent="0.25">
      <c r="Z43173">
        <v>400000</v>
      </c>
    </row>
    <row r="43174" spans="26:26" x14ac:dyDescent="0.25">
      <c r="Z43174">
        <v>400000</v>
      </c>
    </row>
    <row r="43175" spans="26:26" x14ac:dyDescent="0.25">
      <c r="Z43175">
        <v>400000</v>
      </c>
    </row>
    <row r="43176" spans="26:26" x14ac:dyDescent="0.25">
      <c r="Z43176">
        <v>400000</v>
      </c>
    </row>
    <row r="43177" spans="26:26" x14ac:dyDescent="0.25">
      <c r="Z43177">
        <v>400000</v>
      </c>
    </row>
    <row r="43178" spans="26:26" x14ac:dyDescent="0.25">
      <c r="Z43178">
        <v>400000</v>
      </c>
    </row>
    <row r="43179" spans="26:26" x14ac:dyDescent="0.25">
      <c r="Z43179">
        <v>400000</v>
      </c>
    </row>
    <row r="43180" spans="26:26" x14ac:dyDescent="0.25">
      <c r="Z43180">
        <v>400000</v>
      </c>
    </row>
    <row r="43181" spans="26:26" x14ac:dyDescent="0.25">
      <c r="Z43181">
        <v>400000</v>
      </c>
    </row>
    <row r="43182" spans="26:26" x14ac:dyDescent="0.25">
      <c r="Z43182">
        <v>400000</v>
      </c>
    </row>
    <row r="43183" spans="26:26" x14ac:dyDescent="0.25">
      <c r="Z43183">
        <v>400000</v>
      </c>
    </row>
    <row r="43184" spans="26:26" x14ac:dyDescent="0.25">
      <c r="Z43184">
        <v>400000</v>
      </c>
    </row>
    <row r="43185" spans="26:26" x14ac:dyDescent="0.25">
      <c r="Z43185">
        <v>400000</v>
      </c>
    </row>
    <row r="43186" spans="26:26" x14ac:dyDescent="0.25">
      <c r="Z43186">
        <v>400000</v>
      </c>
    </row>
    <row r="43187" spans="26:26" x14ac:dyDescent="0.25">
      <c r="Z43187">
        <v>400000</v>
      </c>
    </row>
    <row r="43188" spans="26:26" x14ac:dyDescent="0.25">
      <c r="Z43188">
        <v>400000</v>
      </c>
    </row>
    <row r="43189" spans="26:26" x14ac:dyDescent="0.25">
      <c r="Z43189">
        <v>400000</v>
      </c>
    </row>
    <row r="43190" spans="26:26" x14ac:dyDescent="0.25">
      <c r="Z43190">
        <v>400000</v>
      </c>
    </row>
    <row r="43191" spans="26:26" x14ac:dyDescent="0.25">
      <c r="Z43191">
        <v>400000</v>
      </c>
    </row>
    <row r="43192" spans="26:26" x14ac:dyDescent="0.25">
      <c r="Z43192">
        <v>400000</v>
      </c>
    </row>
    <row r="43193" spans="26:26" x14ac:dyDescent="0.25">
      <c r="Z43193">
        <v>400000</v>
      </c>
    </row>
    <row r="43194" spans="26:26" x14ac:dyDescent="0.25">
      <c r="Z43194">
        <v>400000</v>
      </c>
    </row>
    <row r="43195" spans="26:26" x14ac:dyDescent="0.25">
      <c r="Z43195">
        <v>400000</v>
      </c>
    </row>
    <row r="43196" spans="26:26" x14ac:dyDescent="0.25">
      <c r="Z43196">
        <v>400000</v>
      </c>
    </row>
    <row r="43197" spans="26:26" x14ac:dyDescent="0.25">
      <c r="Z43197">
        <v>400000</v>
      </c>
    </row>
    <row r="43198" spans="26:26" x14ac:dyDescent="0.25">
      <c r="Z43198">
        <v>400000</v>
      </c>
    </row>
    <row r="43199" spans="26:26" x14ac:dyDescent="0.25">
      <c r="Z43199">
        <v>400000</v>
      </c>
    </row>
    <row r="43200" spans="26:26" x14ac:dyDescent="0.25">
      <c r="Z43200">
        <v>400000</v>
      </c>
    </row>
    <row r="43201" spans="26:26" x14ac:dyDescent="0.25">
      <c r="Z43201">
        <v>400000</v>
      </c>
    </row>
    <row r="43202" spans="26:26" x14ac:dyDescent="0.25">
      <c r="Z43202">
        <v>400000</v>
      </c>
    </row>
    <row r="43203" spans="26:26" x14ac:dyDescent="0.25">
      <c r="Z43203">
        <v>400000</v>
      </c>
    </row>
    <row r="43204" spans="26:26" x14ac:dyDescent="0.25">
      <c r="Z43204">
        <v>400000</v>
      </c>
    </row>
    <row r="43205" spans="26:26" x14ac:dyDescent="0.25">
      <c r="Z43205">
        <v>400000</v>
      </c>
    </row>
    <row r="43206" spans="26:26" x14ac:dyDescent="0.25">
      <c r="Z43206">
        <v>400000</v>
      </c>
    </row>
    <row r="43207" spans="26:26" x14ac:dyDescent="0.25">
      <c r="Z43207">
        <v>400000</v>
      </c>
    </row>
    <row r="43208" spans="26:26" x14ac:dyDescent="0.25">
      <c r="Z43208">
        <v>400000</v>
      </c>
    </row>
    <row r="43209" spans="26:26" x14ac:dyDescent="0.25">
      <c r="Z43209">
        <v>400000</v>
      </c>
    </row>
    <row r="43210" spans="26:26" x14ac:dyDescent="0.25">
      <c r="Z43210">
        <v>400000</v>
      </c>
    </row>
    <row r="43211" spans="26:26" x14ac:dyDescent="0.25">
      <c r="Z43211">
        <v>400000</v>
      </c>
    </row>
    <row r="43212" spans="26:26" x14ac:dyDescent="0.25">
      <c r="Z43212">
        <v>400000</v>
      </c>
    </row>
    <row r="43213" spans="26:26" x14ac:dyDescent="0.25">
      <c r="Z43213">
        <v>400000</v>
      </c>
    </row>
    <row r="43214" spans="26:26" x14ac:dyDescent="0.25">
      <c r="Z43214">
        <v>400000</v>
      </c>
    </row>
    <row r="43215" spans="26:26" x14ac:dyDescent="0.25">
      <c r="Z43215">
        <v>400000</v>
      </c>
    </row>
    <row r="43216" spans="26:26" x14ac:dyDescent="0.25">
      <c r="Z43216">
        <v>400000</v>
      </c>
    </row>
    <row r="43217" spans="26:26" x14ac:dyDescent="0.25">
      <c r="Z43217">
        <v>400000</v>
      </c>
    </row>
    <row r="43218" spans="26:26" x14ac:dyDescent="0.25">
      <c r="Z43218">
        <v>400000</v>
      </c>
    </row>
    <row r="43219" spans="26:26" x14ac:dyDescent="0.25">
      <c r="Z43219">
        <v>400000</v>
      </c>
    </row>
    <row r="43220" spans="26:26" x14ac:dyDescent="0.25">
      <c r="Z43220">
        <v>400000</v>
      </c>
    </row>
    <row r="43221" spans="26:26" x14ac:dyDescent="0.25">
      <c r="Z43221">
        <v>400000</v>
      </c>
    </row>
    <row r="43222" spans="26:26" x14ac:dyDescent="0.25">
      <c r="Z43222">
        <v>400000</v>
      </c>
    </row>
    <row r="43223" spans="26:26" x14ac:dyDescent="0.25">
      <c r="Z43223">
        <v>400000</v>
      </c>
    </row>
    <row r="43224" spans="26:26" x14ac:dyDescent="0.25">
      <c r="Z43224">
        <v>400000</v>
      </c>
    </row>
    <row r="43225" spans="26:26" x14ac:dyDescent="0.25">
      <c r="Z43225">
        <v>400000</v>
      </c>
    </row>
    <row r="43226" spans="26:26" x14ac:dyDescent="0.25">
      <c r="Z43226">
        <v>400000</v>
      </c>
    </row>
    <row r="43227" spans="26:26" x14ac:dyDescent="0.25">
      <c r="Z43227">
        <v>400000</v>
      </c>
    </row>
    <row r="43228" spans="26:26" x14ac:dyDescent="0.25">
      <c r="Z43228">
        <v>400000</v>
      </c>
    </row>
    <row r="43229" spans="26:26" x14ac:dyDescent="0.25">
      <c r="Z43229">
        <v>400000</v>
      </c>
    </row>
    <row r="43230" spans="26:26" x14ac:dyDescent="0.25">
      <c r="Z43230">
        <v>400000</v>
      </c>
    </row>
    <row r="43231" spans="26:26" x14ac:dyDescent="0.25">
      <c r="Z43231">
        <v>400000</v>
      </c>
    </row>
    <row r="43232" spans="26:26" x14ac:dyDescent="0.25">
      <c r="Z43232">
        <v>400000</v>
      </c>
    </row>
    <row r="43233" spans="26:26" x14ac:dyDescent="0.25">
      <c r="Z43233">
        <v>400000</v>
      </c>
    </row>
    <row r="43234" spans="26:26" x14ac:dyDescent="0.25">
      <c r="Z43234">
        <v>400000</v>
      </c>
    </row>
    <row r="43235" spans="26:26" x14ac:dyDescent="0.25">
      <c r="Z43235">
        <v>400000</v>
      </c>
    </row>
    <row r="43236" spans="26:26" x14ac:dyDescent="0.25">
      <c r="Z43236">
        <v>400000</v>
      </c>
    </row>
    <row r="43237" spans="26:26" x14ac:dyDescent="0.25">
      <c r="Z43237">
        <v>400000</v>
      </c>
    </row>
    <row r="43238" spans="26:26" x14ac:dyDescent="0.25">
      <c r="Z43238">
        <v>400000</v>
      </c>
    </row>
    <row r="43239" spans="26:26" x14ac:dyDescent="0.25">
      <c r="Z43239">
        <v>400000</v>
      </c>
    </row>
    <row r="43240" spans="26:26" x14ac:dyDescent="0.25">
      <c r="Z43240">
        <v>400000</v>
      </c>
    </row>
    <row r="43241" spans="26:26" x14ac:dyDescent="0.25">
      <c r="Z43241">
        <v>400000</v>
      </c>
    </row>
    <row r="43242" spans="26:26" x14ac:dyDescent="0.25">
      <c r="Z43242">
        <v>400000</v>
      </c>
    </row>
    <row r="43243" spans="26:26" x14ac:dyDescent="0.25">
      <c r="Z43243">
        <v>400000</v>
      </c>
    </row>
    <row r="43244" spans="26:26" x14ac:dyDescent="0.25">
      <c r="Z43244">
        <v>400000</v>
      </c>
    </row>
    <row r="43245" spans="26:26" x14ac:dyDescent="0.25">
      <c r="Z43245">
        <v>400000</v>
      </c>
    </row>
    <row r="43246" spans="26:26" x14ac:dyDescent="0.25">
      <c r="Z43246">
        <v>400000</v>
      </c>
    </row>
    <row r="43247" spans="26:26" x14ac:dyDescent="0.25">
      <c r="Z43247">
        <v>400000</v>
      </c>
    </row>
    <row r="43248" spans="26:26" x14ac:dyDescent="0.25">
      <c r="Z43248">
        <v>400000</v>
      </c>
    </row>
    <row r="43249" spans="26:26" x14ac:dyDescent="0.25">
      <c r="Z43249">
        <v>400000</v>
      </c>
    </row>
    <row r="43250" spans="26:26" x14ac:dyDescent="0.25">
      <c r="Z43250">
        <v>400000</v>
      </c>
    </row>
    <row r="43251" spans="26:26" x14ac:dyDescent="0.25">
      <c r="Z43251">
        <v>400000</v>
      </c>
    </row>
    <row r="43252" spans="26:26" x14ac:dyDescent="0.25">
      <c r="Z43252">
        <v>400000</v>
      </c>
    </row>
    <row r="43253" spans="26:26" x14ac:dyDescent="0.25">
      <c r="Z43253">
        <v>400000</v>
      </c>
    </row>
    <row r="43254" spans="26:26" x14ac:dyDescent="0.25">
      <c r="Z43254">
        <v>400000</v>
      </c>
    </row>
    <row r="43255" spans="26:26" x14ac:dyDescent="0.25">
      <c r="Z43255">
        <v>400000</v>
      </c>
    </row>
    <row r="43256" spans="26:26" x14ac:dyDescent="0.25">
      <c r="Z43256">
        <v>400000</v>
      </c>
    </row>
    <row r="43257" spans="26:26" x14ac:dyDescent="0.25">
      <c r="Z43257">
        <v>400000</v>
      </c>
    </row>
    <row r="43258" spans="26:26" x14ac:dyDescent="0.25">
      <c r="Z43258">
        <v>400000</v>
      </c>
    </row>
    <row r="43259" spans="26:26" x14ac:dyDescent="0.25">
      <c r="Z43259">
        <v>400000</v>
      </c>
    </row>
    <row r="43260" spans="26:26" x14ac:dyDescent="0.25">
      <c r="Z43260">
        <v>400000</v>
      </c>
    </row>
    <row r="43261" spans="26:26" x14ac:dyDescent="0.25">
      <c r="Z43261">
        <v>400000</v>
      </c>
    </row>
    <row r="43262" spans="26:26" x14ac:dyDescent="0.25">
      <c r="Z43262">
        <v>400000</v>
      </c>
    </row>
    <row r="43263" spans="26:26" x14ac:dyDescent="0.25">
      <c r="Z43263">
        <v>400000</v>
      </c>
    </row>
    <row r="43264" spans="26:26" x14ac:dyDescent="0.25">
      <c r="Z43264">
        <v>400000</v>
      </c>
    </row>
    <row r="43265" spans="26:26" x14ac:dyDescent="0.25">
      <c r="Z43265">
        <v>400000</v>
      </c>
    </row>
    <row r="43266" spans="26:26" x14ac:dyDescent="0.25">
      <c r="Z43266">
        <v>400000</v>
      </c>
    </row>
    <row r="43267" spans="26:26" x14ac:dyDescent="0.25">
      <c r="Z43267">
        <v>400000</v>
      </c>
    </row>
    <row r="43268" spans="26:26" x14ac:dyDescent="0.25">
      <c r="Z43268">
        <v>400000</v>
      </c>
    </row>
    <row r="43269" spans="26:26" x14ac:dyDescent="0.25">
      <c r="Z43269">
        <v>400000</v>
      </c>
    </row>
    <row r="43270" spans="26:26" x14ac:dyDescent="0.25">
      <c r="Z43270">
        <v>400000</v>
      </c>
    </row>
    <row r="43271" spans="26:26" x14ac:dyDescent="0.25">
      <c r="Z43271">
        <v>400000</v>
      </c>
    </row>
    <row r="43272" spans="26:26" x14ac:dyDescent="0.25">
      <c r="Z43272">
        <v>400000</v>
      </c>
    </row>
    <row r="43273" spans="26:26" x14ac:dyDescent="0.25">
      <c r="Z43273">
        <v>400000</v>
      </c>
    </row>
    <row r="43274" spans="26:26" x14ac:dyDescent="0.25">
      <c r="Z43274">
        <v>400000</v>
      </c>
    </row>
    <row r="43275" spans="26:26" x14ac:dyDescent="0.25">
      <c r="Z43275">
        <v>400000</v>
      </c>
    </row>
    <row r="43276" spans="26:26" x14ac:dyDescent="0.25">
      <c r="Z43276">
        <v>400000</v>
      </c>
    </row>
    <row r="43277" spans="26:26" x14ac:dyDescent="0.25">
      <c r="Z43277">
        <v>400000</v>
      </c>
    </row>
    <row r="43278" spans="26:26" x14ac:dyDescent="0.25">
      <c r="Z43278">
        <v>400000</v>
      </c>
    </row>
    <row r="43279" spans="26:26" x14ac:dyDescent="0.25">
      <c r="Z43279">
        <v>400000</v>
      </c>
    </row>
    <row r="43280" spans="26:26" x14ac:dyDescent="0.25">
      <c r="Z43280">
        <v>400000</v>
      </c>
    </row>
    <row r="43281" spans="26:26" x14ac:dyDescent="0.25">
      <c r="Z43281">
        <v>400000</v>
      </c>
    </row>
    <row r="43282" spans="26:26" x14ac:dyDescent="0.25">
      <c r="Z43282">
        <v>400000</v>
      </c>
    </row>
    <row r="43283" spans="26:26" x14ac:dyDescent="0.25">
      <c r="Z43283">
        <v>400000</v>
      </c>
    </row>
    <row r="43284" spans="26:26" x14ac:dyDescent="0.25">
      <c r="Z43284">
        <v>400000</v>
      </c>
    </row>
    <row r="43285" spans="26:26" x14ac:dyDescent="0.25">
      <c r="Z43285">
        <v>400000</v>
      </c>
    </row>
    <row r="43286" spans="26:26" x14ac:dyDescent="0.25">
      <c r="Z43286">
        <v>400000</v>
      </c>
    </row>
    <row r="43287" spans="26:26" x14ac:dyDescent="0.25">
      <c r="Z43287">
        <v>400000</v>
      </c>
    </row>
    <row r="43288" spans="26:26" x14ac:dyDescent="0.25">
      <c r="Z43288">
        <v>400000</v>
      </c>
    </row>
    <row r="43289" spans="26:26" x14ac:dyDescent="0.25">
      <c r="Z43289">
        <v>400000</v>
      </c>
    </row>
    <row r="43290" spans="26:26" x14ac:dyDescent="0.25">
      <c r="Z43290">
        <v>400000</v>
      </c>
    </row>
    <row r="43291" spans="26:26" x14ac:dyDescent="0.25">
      <c r="Z43291">
        <v>400000</v>
      </c>
    </row>
    <row r="43292" spans="26:26" x14ac:dyDescent="0.25">
      <c r="Z43292">
        <v>400000</v>
      </c>
    </row>
    <row r="43293" spans="26:26" x14ac:dyDescent="0.25">
      <c r="Z43293">
        <v>400000</v>
      </c>
    </row>
    <row r="43294" spans="26:26" x14ac:dyDescent="0.25">
      <c r="Z43294">
        <v>400000</v>
      </c>
    </row>
    <row r="43295" spans="26:26" x14ac:dyDescent="0.25">
      <c r="Z43295">
        <v>400000</v>
      </c>
    </row>
    <row r="43296" spans="26:26" x14ac:dyDescent="0.25">
      <c r="Z43296">
        <v>400000</v>
      </c>
    </row>
    <row r="43297" spans="26:26" x14ac:dyDescent="0.25">
      <c r="Z43297">
        <v>400000</v>
      </c>
    </row>
    <row r="43298" spans="26:26" x14ac:dyDescent="0.25">
      <c r="Z43298">
        <v>400000</v>
      </c>
    </row>
    <row r="43299" spans="26:26" x14ac:dyDescent="0.25">
      <c r="Z43299">
        <v>400000</v>
      </c>
    </row>
    <row r="43300" spans="26:26" x14ac:dyDescent="0.25">
      <c r="Z43300">
        <v>400000</v>
      </c>
    </row>
    <row r="43301" spans="26:26" x14ac:dyDescent="0.25">
      <c r="Z43301">
        <v>400000</v>
      </c>
    </row>
    <row r="43302" spans="26:26" x14ac:dyDescent="0.25">
      <c r="Z43302">
        <v>400000</v>
      </c>
    </row>
    <row r="43303" spans="26:26" x14ac:dyDescent="0.25">
      <c r="Z43303">
        <v>400000</v>
      </c>
    </row>
    <row r="43304" spans="26:26" x14ac:dyDescent="0.25">
      <c r="Z43304">
        <v>400000</v>
      </c>
    </row>
    <row r="43305" spans="26:26" x14ac:dyDescent="0.25">
      <c r="Z43305">
        <v>400000</v>
      </c>
    </row>
    <row r="43306" spans="26:26" x14ac:dyDescent="0.25">
      <c r="Z43306">
        <v>400000</v>
      </c>
    </row>
    <row r="43307" spans="26:26" x14ac:dyDescent="0.25">
      <c r="Z43307">
        <v>400000</v>
      </c>
    </row>
    <row r="43308" spans="26:26" x14ac:dyDescent="0.25">
      <c r="Z43308">
        <v>400000</v>
      </c>
    </row>
    <row r="43309" spans="26:26" x14ac:dyDescent="0.25">
      <c r="Z43309">
        <v>400000</v>
      </c>
    </row>
    <row r="43310" spans="26:26" x14ac:dyDescent="0.25">
      <c r="Z43310">
        <v>400000</v>
      </c>
    </row>
    <row r="43311" spans="26:26" x14ac:dyDescent="0.25">
      <c r="Z43311">
        <v>400000</v>
      </c>
    </row>
    <row r="43312" spans="26:26" x14ac:dyDescent="0.25">
      <c r="Z43312">
        <v>400000</v>
      </c>
    </row>
    <row r="43313" spans="26:26" x14ac:dyDescent="0.25">
      <c r="Z43313">
        <v>400000</v>
      </c>
    </row>
    <row r="43314" spans="26:26" x14ac:dyDescent="0.25">
      <c r="Z43314">
        <v>400000</v>
      </c>
    </row>
    <row r="43315" spans="26:26" x14ac:dyDescent="0.25">
      <c r="Z43315">
        <v>400000</v>
      </c>
    </row>
    <row r="43316" spans="26:26" x14ac:dyDescent="0.25">
      <c r="Z43316">
        <v>400000</v>
      </c>
    </row>
    <row r="43317" spans="26:26" x14ac:dyDescent="0.25">
      <c r="Z43317">
        <v>400000</v>
      </c>
    </row>
    <row r="43318" spans="26:26" x14ac:dyDescent="0.25">
      <c r="Z43318">
        <v>400000</v>
      </c>
    </row>
    <row r="43319" spans="26:26" x14ac:dyDescent="0.25">
      <c r="Z43319">
        <v>400000</v>
      </c>
    </row>
    <row r="43320" spans="26:26" x14ac:dyDescent="0.25">
      <c r="Z43320">
        <v>400000</v>
      </c>
    </row>
    <row r="43321" spans="26:26" x14ac:dyDescent="0.25">
      <c r="Z43321">
        <v>400000</v>
      </c>
    </row>
    <row r="43322" spans="26:26" x14ac:dyDescent="0.25">
      <c r="Z43322">
        <v>400000</v>
      </c>
    </row>
    <row r="43323" spans="26:26" x14ac:dyDescent="0.25">
      <c r="Z43323">
        <v>400000</v>
      </c>
    </row>
    <row r="43324" spans="26:26" x14ac:dyDescent="0.25">
      <c r="Z43324">
        <v>400000</v>
      </c>
    </row>
    <row r="43325" spans="26:26" x14ac:dyDescent="0.25">
      <c r="Z43325">
        <v>400000</v>
      </c>
    </row>
    <row r="43326" spans="26:26" x14ac:dyDescent="0.25">
      <c r="Z43326">
        <v>400000</v>
      </c>
    </row>
    <row r="43327" spans="26:26" x14ac:dyDescent="0.25">
      <c r="Z43327">
        <v>400000</v>
      </c>
    </row>
    <row r="43328" spans="26:26" x14ac:dyDescent="0.25">
      <c r="Z43328">
        <v>400000</v>
      </c>
    </row>
    <row r="43329" spans="26:26" x14ac:dyDescent="0.25">
      <c r="Z43329">
        <v>400000</v>
      </c>
    </row>
    <row r="43330" spans="26:26" x14ac:dyDescent="0.25">
      <c r="Z43330">
        <v>400000</v>
      </c>
    </row>
    <row r="43331" spans="26:26" x14ac:dyDescent="0.25">
      <c r="Z43331">
        <v>400000</v>
      </c>
    </row>
    <row r="43332" spans="26:26" x14ac:dyDescent="0.25">
      <c r="Z43332">
        <v>400000</v>
      </c>
    </row>
    <row r="43333" spans="26:26" x14ac:dyDescent="0.25">
      <c r="Z43333">
        <v>400000</v>
      </c>
    </row>
    <row r="43334" spans="26:26" x14ac:dyDescent="0.25">
      <c r="Z43334">
        <v>400000</v>
      </c>
    </row>
    <row r="43335" spans="26:26" x14ac:dyDescent="0.25">
      <c r="Z43335">
        <v>400000</v>
      </c>
    </row>
    <row r="43336" spans="26:26" x14ac:dyDescent="0.25">
      <c r="Z43336">
        <v>400000</v>
      </c>
    </row>
    <row r="43337" spans="26:26" x14ac:dyDescent="0.25">
      <c r="Z43337">
        <v>400000</v>
      </c>
    </row>
    <row r="43338" spans="26:26" x14ac:dyDescent="0.25">
      <c r="Z43338">
        <v>400000</v>
      </c>
    </row>
    <row r="43339" spans="26:26" x14ac:dyDescent="0.25">
      <c r="Z43339">
        <v>400000</v>
      </c>
    </row>
    <row r="43340" spans="26:26" x14ac:dyDescent="0.25">
      <c r="Z43340">
        <v>400000</v>
      </c>
    </row>
    <row r="43341" spans="26:26" x14ac:dyDescent="0.25">
      <c r="Z43341">
        <v>400000</v>
      </c>
    </row>
    <row r="43342" spans="26:26" x14ac:dyDescent="0.25">
      <c r="Z43342">
        <v>400000</v>
      </c>
    </row>
    <row r="43343" spans="26:26" x14ac:dyDescent="0.25">
      <c r="Z43343">
        <v>400000</v>
      </c>
    </row>
    <row r="43344" spans="26:26" x14ac:dyDescent="0.25">
      <c r="Z43344">
        <v>400000</v>
      </c>
    </row>
    <row r="43345" spans="26:26" x14ac:dyDescent="0.25">
      <c r="Z43345">
        <v>400000</v>
      </c>
    </row>
    <row r="43346" spans="26:26" x14ac:dyDescent="0.25">
      <c r="Z43346">
        <v>400000</v>
      </c>
    </row>
    <row r="43347" spans="26:26" x14ac:dyDescent="0.25">
      <c r="Z43347">
        <v>400000</v>
      </c>
    </row>
    <row r="43348" spans="26:26" x14ac:dyDescent="0.25">
      <c r="Z43348">
        <v>400000</v>
      </c>
    </row>
    <row r="43349" spans="26:26" x14ac:dyDescent="0.25">
      <c r="Z43349">
        <v>400000</v>
      </c>
    </row>
    <row r="43350" spans="26:26" x14ac:dyDescent="0.25">
      <c r="Z43350">
        <v>400000</v>
      </c>
    </row>
    <row r="43351" spans="26:26" x14ac:dyDescent="0.25">
      <c r="Z43351">
        <v>400000</v>
      </c>
    </row>
    <row r="43352" spans="26:26" x14ac:dyDescent="0.25">
      <c r="Z43352">
        <v>400000</v>
      </c>
    </row>
    <row r="43353" spans="26:26" x14ac:dyDescent="0.25">
      <c r="Z43353">
        <v>400000</v>
      </c>
    </row>
    <row r="43354" spans="26:26" x14ac:dyDescent="0.25">
      <c r="Z43354">
        <v>400000</v>
      </c>
    </row>
    <row r="43355" spans="26:26" x14ac:dyDescent="0.25">
      <c r="Z43355">
        <v>400000</v>
      </c>
    </row>
    <row r="43356" spans="26:26" x14ac:dyDescent="0.25">
      <c r="Z43356">
        <v>400000</v>
      </c>
    </row>
    <row r="43357" spans="26:26" x14ac:dyDescent="0.25">
      <c r="Z43357">
        <v>400000</v>
      </c>
    </row>
    <row r="43358" spans="26:26" x14ac:dyDescent="0.25">
      <c r="Z43358">
        <v>400000</v>
      </c>
    </row>
    <row r="43359" spans="26:26" x14ac:dyDescent="0.25">
      <c r="Z43359">
        <v>400000</v>
      </c>
    </row>
    <row r="43360" spans="26:26" x14ac:dyDescent="0.25">
      <c r="Z43360">
        <v>400000</v>
      </c>
    </row>
    <row r="43361" spans="26:26" x14ac:dyDescent="0.25">
      <c r="Z43361">
        <v>400000</v>
      </c>
    </row>
    <row r="43362" spans="26:26" x14ac:dyDescent="0.25">
      <c r="Z43362">
        <v>400000</v>
      </c>
    </row>
    <row r="43363" spans="26:26" x14ac:dyDescent="0.25">
      <c r="Z43363">
        <v>400000</v>
      </c>
    </row>
    <row r="43364" spans="26:26" x14ac:dyDescent="0.25">
      <c r="Z43364">
        <v>400000</v>
      </c>
    </row>
    <row r="43365" spans="26:26" x14ac:dyDescent="0.25">
      <c r="Z43365">
        <v>400000</v>
      </c>
    </row>
    <row r="43366" spans="26:26" x14ac:dyDescent="0.25">
      <c r="Z43366">
        <v>400000</v>
      </c>
    </row>
    <row r="43367" spans="26:26" x14ac:dyDescent="0.25">
      <c r="Z43367">
        <v>400000</v>
      </c>
    </row>
    <row r="43368" spans="26:26" x14ac:dyDescent="0.25">
      <c r="Z43368">
        <v>400000</v>
      </c>
    </row>
    <row r="43369" spans="26:26" x14ac:dyDescent="0.25">
      <c r="Z43369">
        <v>400000</v>
      </c>
    </row>
    <row r="43370" spans="26:26" x14ac:dyDescent="0.25">
      <c r="Z43370">
        <v>400000</v>
      </c>
    </row>
    <row r="43371" spans="26:26" x14ac:dyDescent="0.25">
      <c r="Z43371">
        <v>400000</v>
      </c>
    </row>
    <row r="43372" spans="26:26" x14ac:dyDescent="0.25">
      <c r="Z43372">
        <v>400000</v>
      </c>
    </row>
    <row r="43373" spans="26:26" x14ac:dyDescent="0.25">
      <c r="Z43373">
        <v>400000</v>
      </c>
    </row>
    <row r="43374" spans="26:26" x14ac:dyDescent="0.25">
      <c r="Z43374">
        <v>400000</v>
      </c>
    </row>
    <row r="43375" spans="26:26" x14ac:dyDescent="0.25">
      <c r="Z43375">
        <v>400000</v>
      </c>
    </row>
    <row r="43376" spans="26:26" x14ac:dyDescent="0.25">
      <c r="Z43376">
        <v>400000</v>
      </c>
    </row>
    <row r="43377" spans="26:26" x14ac:dyDescent="0.25">
      <c r="Z43377">
        <v>400000</v>
      </c>
    </row>
    <row r="43378" spans="26:26" x14ac:dyDescent="0.25">
      <c r="Z43378">
        <v>400000</v>
      </c>
    </row>
    <row r="43379" spans="26:26" x14ac:dyDescent="0.25">
      <c r="Z43379">
        <v>400000</v>
      </c>
    </row>
    <row r="43380" spans="26:26" x14ac:dyDescent="0.25">
      <c r="Z43380">
        <v>400000</v>
      </c>
    </row>
    <row r="43381" spans="26:26" x14ac:dyDescent="0.25">
      <c r="Z43381">
        <v>400000</v>
      </c>
    </row>
    <row r="43382" spans="26:26" x14ac:dyDescent="0.25">
      <c r="Z43382">
        <v>400000</v>
      </c>
    </row>
    <row r="43383" spans="26:26" x14ac:dyDescent="0.25">
      <c r="Z43383">
        <v>400000</v>
      </c>
    </row>
    <row r="43384" spans="26:26" x14ac:dyDescent="0.25">
      <c r="Z43384">
        <v>400000</v>
      </c>
    </row>
    <row r="43385" spans="26:26" x14ac:dyDescent="0.25">
      <c r="Z43385">
        <v>400000</v>
      </c>
    </row>
    <row r="43386" spans="26:26" x14ac:dyDescent="0.25">
      <c r="Z43386">
        <v>400000</v>
      </c>
    </row>
    <row r="43387" spans="26:26" x14ac:dyDescent="0.25">
      <c r="Z43387">
        <v>400000</v>
      </c>
    </row>
    <row r="43388" spans="26:26" x14ac:dyDescent="0.25">
      <c r="Z43388">
        <v>400000</v>
      </c>
    </row>
    <row r="43389" spans="26:26" x14ac:dyDescent="0.25">
      <c r="Z43389">
        <v>400000</v>
      </c>
    </row>
    <row r="43390" spans="26:26" x14ac:dyDescent="0.25">
      <c r="Z43390">
        <v>400000</v>
      </c>
    </row>
    <row r="43391" spans="26:26" x14ac:dyDescent="0.25">
      <c r="Z43391">
        <v>400000</v>
      </c>
    </row>
    <row r="43392" spans="26:26" x14ac:dyDescent="0.25">
      <c r="Z43392">
        <v>400000</v>
      </c>
    </row>
    <row r="43393" spans="26:26" x14ac:dyDescent="0.25">
      <c r="Z43393">
        <v>400000</v>
      </c>
    </row>
    <row r="43394" spans="26:26" x14ac:dyDescent="0.25">
      <c r="Z43394">
        <v>400000</v>
      </c>
    </row>
    <row r="43395" spans="26:26" x14ac:dyDescent="0.25">
      <c r="Z43395">
        <v>400000</v>
      </c>
    </row>
    <row r="43396" spans="26:26" x14ac:dyDescent="0.25">
      <c r="Z43396">
        <v>400000</v>
      </c>
    </row>
    <row r="43397" spans="26:26" x14ac:dyDescent="0.25">
      <c r="Z43397">
        <v>400000</v>
      </c>
    </row>
    <row r="43398" spans="26:26" x14ac:dyDescent="0.25">
      <c r="Z43398">
        <v>400000</v>
      </c>
    </row>
    <row r="43399" spans="26:26" x14ac:dyDescent="0.25">
      <c r="Z43399">
        <v>400000</v>
      </c>
    </row>
    <row r="43400" spans="26:26" x14ac:dyDescent="0.25">
      <c r="Z43400">
        <v>400000</v>
      </c>
    </row>
    <row r="43401" spans="26:26" x14ac:dyDescent="0.25">
      <c r="Z43401">
        <v>400000</v>
      </c>
    </row>
    <row r="43402" spans="26:26" x14ac:dyDescent="0.25">
      <c r="Z43402">
        <v>400000</v>
      </c>
    </row>
    <row r="43403" spans="26:26" x14ac:dyDescent="0.25">
      <c r="Z43403">
        <v>400000</v>
      </c>
    </row>
    <row r="43404" spans="26:26" x14ac:dyDescent="0.25">
      <c r="Z43404">
        <v>400000</v>
      </c>
    </row>
    <row r="43405" spans="26:26" x14ac:dyDescent="0.25">
      <c r="Z43405">
        <v>400000</v>
      </c>
    </row>
    <row r="43406" spans="26:26" x14ac:dyDescent="0.25">
      <c r="Z43406">
        <v>400000</v>
      </c>
    </row>
    <row r="43407" spans="26:26" x14ac:dyDescent="0.25">
      <c r="Z43407">
        <v>400000</v>
      </c>
    </row>
    <row r="43408" spans="26:26" x14ac:dyDescent="0.25">
      <c r="Z43408">
        <v>400000</v>
      </c>
    </row>
    <row r="43409" spans="26:26" x14ac:dyDescent="0.25">
      <c r="Z43409">
        <v>400000</v>
      </c>
    </row>
    <row r="43410" spans="26:26" x14ac:dyDescent="0.25">
      <c r="Z43410">
        <v>400000</v>
      </c>
    </row>
    <row r="43411" spans="26:26" x14ac:dyDescent="0.25">
      <c r="Z43411">
        <v>400000</v>
      </c>
    </row>
    <row r="43412" spans="26:26" x14ac:dyDescent="0.25">
      <c r="Z43412">
        <v>400000</v>
      </c>
    </row>
    <row r="43413" spans="26:26" x14ac:dyDescent="0.25">
      <c r="Z43413">
        <v>400000</v>
      </c>
    </row>
    <row r="43414" spans="26:26" x14ac:dyDescent="0.25">
      <c r="Z43414">
        <v>400000</v>
      </c>
    </row>
    <row r="43415" spans="26:26" x14ac:dyDescent="0.25">
      <c r="Z43415">
        <v>400000</v>
      </c>
    </row>
    <row r="43416" spans="26:26" x14ac:dyDescent="0.25">
      <c r="Z43416">
        <v>400000</v>
      </c>
    </row>
    <row r="43417" spans="26:26" x14ac:dyDescent="0.25">
      <c r="Z43417">
        <v>400000</v>
      </c>
    </row>
    <row r="43418" spans="26:26" x14ac:dyDescent="0.25">
      <c r="Z43418">
        <v>400000</v>
      </c>
    </row>
    <row r="43419" spans="26:26" x14ac:dyDescent="0.25">
      <c r="Z43419">
        <v>400000</v>
      </c>
    </row>
    <row r="43420" spans="26:26" x14ac:dyDescent="0.25">
      <c r="Z43420">
        <v>400000</v>
      </c>
    </row>
    <row r="43421" spans="26:26" x14ac:dyDescent="0.25">
      <c r="Z43421">
        <v>400000</v>
      </c>
    </row>
    <row r="43422" spans="26:26" x14ac:dyDescent="0.25">
      <c r="Z43422">
        <v>400000</v>
      </c>
    </row>
    <row r="43423" spans="26:26" x14ac:dyDescent="0.25">
      <c r="Z43423">
        <v>400000</v>
      </c>
    </row>
    <row r="43424" spans="26:26" x14ac:dyDescent="0.25">
      <c r="Z43424">
        <v>400000</v>
      </c>
    </row>
    <row r="43425" spans="26:26" x14ac:dyDescent="0.25">
      <c r="Z43425">
        <v>400000</v>
      </c>
    </row>
    <row r="43426" spans="26:26" x14ac:dyDescent="0.25">
      <c r="Z43426">
        <v>400000</v>
      </c>
    </row>
    <row r="43427" spans="26:26" x14ac:dyDescent="0.25">
      <c r="Z43427">
        <v>400000</v>
      </c>
    </row>
    <row r="43428" spans="26:26" x14ac:dyDescent="0.25">
      <c r="Z43428">
        <v>400000</v>
      </c>
    </row>
    <row r="43429" spans="26:26" x14ac:dyDescent="0.25">
      <c r="Z43429">
        <v>400000</v>
      </c>
    </row>
    <row r="43430" spans="26:26" x14ac:dyDescent="0.25">
      <c r="Z43430">
        <v>400000</v>
      </c>
    </row>
    <row r="43431" spans="26:26" x14ac:dyDescent="0.25">
      <c r="Z43431">
        <v>400000</v>
      </c>
    </row>
    <row r="43432" spans="26:26" x14ac:dyDescent="0.25">
      <c r="Z43432">
        <v>400000</v>
      </c>
    </row>
    <row r="43433" spans="26:26" x14ac:dyDescent="0.25">
      <c r="Z43433">
        <v>400000</v>
      </c>
    </row>
    <row r="43434" spans="26:26" x14ac:dyDescent="0.25">
      <c r="Z43434">
        <v>400000</v>
      </c>
    </row>
    <row r="43435" spans="26:26" x14ac:dyDescent="0.25">
      <c r="Z43435">
        <v>400000</v>
      </c>
    </row>
    <row r="43436" spans="26:26" x14ac:dyDescent="0.25">
      <c r="Z43436">
        <v>400000</v>
      </c>
    </row>
    <row r="43437" spans="26:26" x14ac:dyDescent="0.25">
      <c r="Z43437">
        <v>400000</v>
      </c>
    </row>
    <row r="43438" spans="26:26" x14ac:dyDescent="0.25">
      <c r="Z43438">
        <v>400000</v>
      </c>
    </row>
    <row r="43439" spans="26:26" x14ac:dyDescent="0.25">
      <c r="Z43439">
        <v>400000</v>
      </c>
    </row>
    <row r="43440" spans="26:26" x14ac:dyDescent="0.25">
      <c r="Z43440">
        <v>400000</v>
      </c>
    </row>
    <row r="43441" spans="26:26" x14ac:dyDescent="0.25">
      <c r="Z43441">
        <v>400000</v>
      </c>
    </row>
    <row r="43442" spans="26:26" x14ac:dyDescent="0.25">
      <c r="Z43442">
        <v>400000</v>
      </c>
    </row>
    <row r="43443" spans="26:26" x14ac:dyDescent="0.25">
      <c r="Z43443">
        <v>400000</v>
      </c>
    </row>
    <row r="43444" spans="26:26" x14ac:dyDescent="0.25">
      <c r="Z43444">
        <v>400000</v>
      </c>
    </row>
    <row r="43445" spans="26:26" x14ac:dyDescent="0.25">
      <c r="Z43445">
        <v>400000</v>
      </c>
    </row>
    <row r="43446" spans="26:26" x14ac:dyDescent="0.25">
      <c r="Z43446">
        <v>400000</v>
      </c>
    </row>
    <row r="43447" spans="26:26" x14ac:dyDescent="0.25">
      <c r="Z43447">
        <v>400000</v>
      </c>
    </row>
    <row r="43448" spans="26:26" x14ac:dyDescent="0.25">
      <c r="Z43448">
        <v>400000</v>
      </c>
    </row>
    <row r="43449" spans="26:26" x14ac:dyDescent="0.25">
      <c r="Z43449">
        <v>400000</v>
      </c>
    </row>
    <row r="43450" spans="26:26" x14ac:dyDescent="0.25">
      <c r="Z43450">
        <v>400000</v>
      </c>
    </row>
    <row r="43451" spans="26:26" x14ac:dyDescent="0.25">
      <c r="Z43451">
        <v>400000</v>
      </c>
    </row>
    <row r="43452" spans="26:26" x14ac:dyDescent="0.25">
      <c r="Z43452">
        <v>400000</v>
      </c>
    </row>
    <row r="43453" spans="26:26" x14ac:dyDescent="0.25">
      <c r="Z43453">
        <v>400000</v>
      </c>
    </row>
    <row r="43454" spans="26:26" x14ac:dyDescent="0.25">
      <c r="Z43454">
        <v>400000</v>
      </c>
    </row>
    <row r="43455" spans="26:26" x14ac:dyDescent="0.25">
      <c r="Z43455">
        <v>400000</v>
      </c>
    </row>
    <row r="43456" spans="26:26" x14ac:dyDescent="0.25">
      <c r="Z43456">
        <v>400000</v>
      </c>
    </row>
    <row r="43457" spans="26:26" x14ac:dyDescent="0.25">
      <c r="Z43457">
        <v>400000</v>
      </c>
    </row>
    <row r="43458" spans="26:26" x14ac:dyDescent="0.25">
      <c r="Z43458">
        <v>400000</v>
      </c>
    </row>
    <row r="43459" spans="26:26" x14ac:dyDescent="0.25">
      <c r="Z43459">
        <v>400000</v>
      </c>
    </row>
    <row r="43460" spans="26:26" x14ac:dyDescent="0.25">
      <c r="Z43460">
        <v>400000</v>
      </c>
    </row>
    <row r="43461" spans="26:26" x14ac:dyDescent="0.25">
      <c r="Z43461">
        <v>400000</v>
      </c>
    </row>
    <row r="43462" spans="26:26" x14ac:dyDescent="0.25">
      <c r="Z43462">
        <v>400000</v>
      </c>
    </row>
    <row r="43463" spans="26:26" x14ac:dyDescent="0.25">
      <c r="Z43463">
        <v>400000</v>
      </c>
    </row>
    <row r="43464" spans="26:26" x14ac:dyDescent="0.25">
      <c r="Z43464">
        <v>400000</v>
      </c>
    </row>
    <row r="43465" spans="26:26" x14ac:dyDescent="0.25">
      <c r="Z43465">
        <v>400000</v>
      </c>
    </row>
    <row r="43466" spans="26:26" x14ac:dyDescent="0.25">
      <c r="Z43466">
        <v>400000</v>
      </c>
    </row>
    <row r="43467" spans="26:26" x14ac:dyDescent="0.25">
      <c r="Z43467">
        <v>400000</v>
      </c>
    </row>
    <row r="43468" spans="26:26" x14ac:dyDescent="0.25">
      <c r="Z43468">
        <v>400000</v>
      </c>
    </row>
    <row r="43469" spans="26:26" x14ac:dyDescent="0.25">
      <c r="Z43469">
        <v>400000</v>
      </c>
    </row>
    <row r="43470" spans="26:26" x14ac:dyDescent="0.25">
      <c r="Z43470">
        <v>400000</v>
      </c>
    </row>
    <row r="43471" spans="26:26" x14ac:dyDescent="0.25">
      <c r="Z43471">
        <v>400000</v>
      </c>
    </row>
    <row r="43472" spans="26:26" x14ac:dyDescent="0.25">
      <c r="Z43472">
        <v>400000</v>
      </c>
    </row>
    <row r="43473" spans="26:26" x14ac:dyDescent="0.25">
      <c r="Z43473">
        <v>400000</v>
      </c>
    </row>
    <row r="43474" spans="26:26" x14ac:dyDescent="0.25">
      <c r="Z43474">
        <v>400000</v>
      </c>
    </row>
    <row r="43475" spans="26:26" x14ac:dyDescent="0.25">
      <c r="Z43475">
        <v>400000</v>
      </c>
    </row>
    <row r="43476" spans="26:26" x14ac:dyDescent="0.25">
      <c r="Z43476">
        <v>400000</v>
      </c>
    </row>
    <row r="43477" spans="26:26" x14ac:dyDescent="0.25">
      <c r="Z43477">
        <v>400000</v>
      </c>
    </row>
    <row r="43478" spans="26:26" x14ac:dyDescent="0.25">
      <c r="Z43478">
        <v>400000</v>
      </c>
    </row>
    <row r="43479" spans="26:26" x14ac:dyDescent="0.25">
      <c r="Z43479">
        <v>400000</v>
      </c>
    </row>
    <row r="43480" spans="26:26" x14ac:dyDescent="0.25">
      <c r="Z43480">
        <v>400000</v>
      </c>
    </row>
    <row r="43481" spans="26:26" x14ac:dyDescent="0.25">
      <c r="Z43481">
        <v>400000</v>
      </c>
    </row>
    <row r="43482" spans="26:26" x14ac:dyDescent="0.25">
      <c r="Z43482">
        <v>400000</v>
      </c>
    </row>
    <row r="43483" spans="26:26" x14ac:dyDescent="0.25">
      <c r="Z43483">
        <v>400000</v>
      </c>
    </row>
    <row r="43484" spans="26:26" x14ac:dyDescent="0.25">
      <c r="Z43484">
        <v>400000</v>
      </c>
    </row>
    <row r="43485" spans="26:26" x14ac:dyDescent="0.25">
      <c r="Z43485">
        <v>400000</v>
      </c>
    </row>
    <row r="43486" spans="26:26" x14ac:dyDescent="0.25">
      <c r="Z43486">
        <v>400000</v>
      </c>
    </row>
    <row r="43487" spans="26:26" x14ac:dyDescent="0.25">
      <c r="Z43487">
        <v>400000</v>
      </c>
    </row>
    <row r="43488" spans="26:26" x14ac:dyDescent="0.25">
      <c r="Z43488">
        <v>400000</v>
      </c>
    </row>
    <row r="43489" spans="26:26" x14ac:dyDescent="0.25">
      <c r="Z43489">
        <v>400000</v>
      </c>
    </row>
    <row r="43490" spans="26:26" x14ac:dyDescent="0.25">
      <c r="Z43490">
        <v>400000</v>
      </c>
    </row>
    <row r="43491" spans="26:26" x14ac:dyDescent="0.25">
      <c r="Z43491">
        <v>400000</v>
      </c>
    </row>
    <row r="43492" spans="26:26" x14ac:dyDescent="0.25">
      <c r="Z43492">
        <v>400000</v>
      </c>
    </row>
    <row r="43493" spans="26:26" x14ac:dyDescent="0.25">
      <c r="Z43493">
        <v>400000</v>
      </c>
    </row>
    <row r="43494" spans="26:26" x14ac:dyDescent="0.25">
      <c r="Z43494">
        <v>400000</v>
      </c>
    </row>
    <row r="43495" spans="26:26" x14ac:dyDescent="0.25">
      <c r="Z43495">
        <v>400000</v>
      </c>
    </row>
    <row r="43496" spans="26:26" x14ac:dyDescent="0.25">
      <c r="Z43496">
        <v>400000</v>
      </c>
    </row>
    <row r="43497" spans="26:26" x14ac:dyDescent="0.25">
      <c r="Z43497">
        <v>400000</v>
      </c>
    </row>
    <row r="43498" spans="26:26" x14ac:dyDescent="0.25">
      <c r="Z43498">
        <v>400000</v>
      </c>
    </row>
    <row r="43499" spans="26:26" x14ac:dyDescent="0.25">
      <c r="Z43499">
        <v>400000</v>
      </c>
    </row>
    <row r="43500" spans="26:26" x14ac:dyDescent="0.25">
      <c r="Z43500">
        <v>400000</v>
      </c>
    </row>
    <row r="43501" spans="26:26" x14ac:dyDescent="0.25">
      <c r="Z43501">
        <v>400000</v>
      </c>
    </row>
    <row r="43502" spans="26:26" x14ac:dyDescent="0.25">
      <c r="Z43502">
        <v>400000</v>
      </c>
    </row>
    <row r="43503" spans="26:26" x14ac:dyDescent="0.25">
      <c r="Z43503">
        <v>400000</v>
      </c>
    </row>
    <row r="43504" spans="26:26" x14ac:dyDescent="0.25">
      <c r="Z43504">
        <v>400000</v>
      </c>
    </row>
    <row r="43505" spans="26:26" x14ac:dyDescent="0.25">
      <c r="Z43505">
        <v>400000</v>
      </c>
    </row>
    <row r="43506" spans="26:26" x14ac:dyDescent="0.25">
      <c r="Z43506">
        <v>400000</v>
      </c>
    </row>
    <row r="43507" spans="26:26" x14ac:dyDescent="0.25">
      <c r="Z43507">
        <v>400000</v>
      </c>
    </row>
    <row r="43508" spans="26:26" x14ac:dyDescent="0.25">
      <c r="Z43508">
        <v>400000</v>
      </c>
    </row>
    <row r="43509" spans="26:26" x14ac:dyDescent="0.25">
      <c r="Z43509">
        <v>400000</v>
      </c>
    </row>
    <row r="43510" spans="26:26" x14ac:dyDescent="0.25">
      <c r="Z43510">
        <v>400000</v>
      </c>
    </row>
    <row r="43511" spans="26:26" x14ac:dyDescent="0.25">
      <c r="Z43511">
        <v>400000</v>
      </c>
    </row>
    <row r="43512" spans="26:26" x14ac:dyDescent="0.25">
      <c r="Z43512">
        <v>400000</v>
      </c>
    </row>
    <row r="43513" spans="26:26" x14ac:dyDescent="0.25">
      <c r="Z43513">
        <v>400000</v>
      </c>
    </row>
    <row r="43514" spans="26:26" x14ac:dyDescent="0.25">
      <c r="Z43514">
        <v>400000</v>
      </c>
    </row>
    <row r="43515" spans="26:26" x14ac:dyDescent="0.25">
      <c r="Z43515">
        <v>400000</v>
      </c>
    </row>
    <row r="43516" spans="26:26" x14ac:dyDescent="0.25">
      <c r="Z43516">
        <v>400000</v>
      </c>
    </row>
    <row r="43517" spans="26:26" x14ac:dyDescent="0.25">
      <c r="Z43517">
        <v>400000</v>
      </c>
    </row>
    <row r="43518" spans="26:26" x14ac:dyDescent="0.25">
      <c r="Z43518">
        <v>400000</v>
      </c>
    </row>
    <row r="43519" spans="26:26" x14ac:dyDescent="0.25">
      <c r="Z43519">
        <v>400000</v>
      </c>
    </row>
    <row r="43520" spans="26:26" x14ac:dyDescent="0.25">
      <c r="Z43520">
        <v>400000</v>
      </c>
    </row>
    <row r="43521" spans="26:26" x14ac:dyDescent="0.25">
      <c r="Z43521">
        <v>400000</v>
      </c>
    </row>
    <row r="43522" spans="26:26" x14ac:dyDescent="0.25">
      <c r="Z43522">
        <v>400000</v>
      </c>
    </row>
    <row r="43523" spans="26:26" x14ac:dyDescent="0.25">
      <c r="Z43523">
        <v>400000</v>
      </c>
    </row>
    <row r="43524" spans="26:26" x14ac:dyDescent="0.25">
      <c r="Z43524">
        <v>400000</v>
      </c>
    </row>
    <row r="43525" spans="26:26" x14ac:dyDescent="0.25">
      <c r="Z43525">
        <v>400000</v>
      </c>
    </row>
    <row r="43526" spans="26:26" x14ac:dyDescent="0.25">
      <c r="Z43526">
        <v>400000</v>
      </c>
    </row>
    <row r="43527" spans="26:26" x14ac:dyDescent="0.25">
      <c r="Z43527">
        <v>400000</v>
      </c>
    </row>
    <row r="43528" spans="26:26" x14ac:dyDescent="0.25">
      <c r="Z43528">
        <v>400000</v>
      </c>
    </row>
    <row r="43529" spans="26:26" x14ac:dyDescent="0.25">
      <c r="Z43529">
        <v>400000</v>
      </c>
    </row>
    <row r="43530" spans="26:26" x14ac:dyDescent="0.25">
      <c r="Z43530">
        <v>400000</v>
      </c>
    </row>
    <row r="43531" spans="26:26" x14ac:dyDescent="0.25">
      <c r="Z43531">
        <v>400000</v>
      </c>
    </row>
    <row r="43532" spans="26:26" x14ac:dyDescent="0.25">
      <c r="Z43532">
        <v>400000</v>
      </c>
    </row>
    <row r="43533" spans="26:26" x14ac:dyDescent="0.25">
      <c r="Z43533">
        <v>400000</v>
      </c>
    </row>
    <row r="43534" spans="26:26" x14ac:dyDescent="0.25">
      <c r="Z43534">
        <v>400000</v>
      </c>
    </row>
    <row r="43535" spans="26:26" x14ac:dyDescent="0.25">
      <c r="Z43535">
        <v>400000</v>
      </c>
    </row>
    <row r="43536" spans="26:26" x14ac:dyDescent="0.25">
      <c r="Z43536">
        <v>400000</v>
      </c>
    </row>
    <row r="43537" spans="26:26" x14ac:dyDescent="0.25">
      <c r="Z43537">
        <v>400000</v>
      </c>
    </row>
    <row r="43538" spans="26:26" x14ac:dyDescent="0.25">
      <c r="Z43538">
        <v>400000</v>
      </c>
    </row>
    <row r="43539" spans="26:26" x14ac:dyDescent="0.25">
      <c r="Z43539">
        <v>400000</v>
      </c>
    </row>
    <row r="43540" spans="26:26" x14ac:dyDescent="0.25">
      <c r="Z43540">
        <v>400000</v>
      </c>
    </row>
    <row r="43541" spans="26:26" x14ac:dyDescent="0.25">
      <c r="Z43541">
        <v>400000</v>
      </c>
    </row>
    <row r="43542" spans="26:26" x14ac:dyDescent="0.25">
      <c r="Z43542">
        <v>400000</v>
      </c>
    </row>
    <row r="43543" spans="26:26" x14ac:dyDescent="0.25">
      <c r="Z43543">
        <v>400000</v>
      </c>
    </row>
    <row r="43544" spans="26:26" x14ac:dyDescent="0.25">
      <c r="Z43544">
        <v>400000</v>
      </c>
    </row>
    <row r="43545" spans="26:26" x14ac:dyDescent="0.25">
      <c r="Z43545">
        <v>400000</v>
      </c>
    </row>
    <row r="43546" spans="26:26" x14ac:dyDescent="0.25">
      <c r="Z43546">
        <v>400000</v>
      </c>
    </row>
    <row r="43547" spans="26:26" x14ac:dyDescent="0.25">
      <c r="Z43547">
        <v>400000</v>
      </c>
    </row>
    <row r="43548" spans="26:26" x14ac:dyDescent="0.25">
      <c r="Z43548">
        <v>400000</v>
      </c>
    </row>
    <row r="43549" spans="26:26" x14ac:dyDescent="0.25">
      <c r="Z43549">
        <v>400000</v>
      </c>
    </row>
    <row r="43550" spans="26:26" x14ac:dyDescent="0.25">
      <c r="Z43550">
        <v>400000</v>
      </c>
    </row>
    <row r="43551" spans="26:26" x14ac:dyDescent="0.25">
      <c r="Z43551">
        <v>400000</v>
      </c>
    </row>
    <row r="43552" spans="26:26" x14ac:dyDescent="0.25">
      <c r="Z43552">
        <v>400000</v>
      </c>
    </row>
    <row r="43553" spans="26:26" x14ac:dyDescent="0.25">
      <c r="Z43553">
        <v>400000</v>
      </c>
    </row>
    <row r="43554" spans="26:26" x14ac:dyDescent="0.25">
      <c r="Z43554">
        <v>400000</v>
      </c>
    </row>
    <row r="43555" spans="26:26" x14ac:dyDescent="0.25">
      <c r="Z43555">
        <v>400000</v>
      </c>
    </row>
    <row r="43556" spans="26:26" x14ac:dyDescent="0.25">
      <c r="Z43556">
        <v>400000</v>
      </c>
    </row>
    <row r="43557" spans="26:26" x14ac:dyDescent="0.25">
      <c r="Z43557">
        <v>400000</v>
      </c>
    </row>
    <row r="43558" spans="26:26" x14ac:dyDescent="0.25">
      <c r="Z43558">
        <v>400000</v>
      </c>
    </row>
    <row r="43559" spans="26:26" x14ac:dyDescent="0.25">
      <c r="Z43559">
        <v>400000</v>
      </c>
    </row>
    <row r="43560" spans="26:26" x14ac:dyDescent="0.25">
      <c r="Z43560">
        <v>400000</v>
      </c>
    </row>
    <row r="43561" spans="26:26" x14ac:dyDescent="0.25">
      <c r="Z43561">
        <v>400000</v>
      </c>
    </row>
    <row r="43562" spans="26:26" x14ac:dyDescent="0.25">
      <c r="Z43562">
        <v>400000</v>
      </c>
    </row>
    <row r="43563" spans="26:26" x14ac:dyDescent="0.25">
      <c r="Z43563">
        <v>400000</v>
      </c>
    </row>
    <row r="43564" spans="26:26" x14ac:dyDescent="0.25">
      <c r="Z43564">
        <v>400000</v>
      </c>
    </row>
    <row r="43565" spans="26:26" x14ac:dyDescent="0.25">
      <c r="Z43565">
        <v>400000</v>
      </c>
    </row>
    <row r="43566" spans="26:26" x14ac:dyDescent="0.25">
      <c r="Z43566">
        <v>400000</v>
      </c>
    </row>
    <row r="43567" spans="26:26" x14ac:dyDescent="0.25">
      <c r="Z43567">
        <v>400000</v>
      </c>
    </row>
    <row r="43568" spans="26:26" x14ac:dyDescent="0.25">
      <c r="Z43568">
        <v>400000</v>
      </c>
    </row>
    <row r="43569" spans="26:26" x14ac:dyDescent="0.25">
      <c r="Z43569">
        <v>400000</v>
      </c>
    </row>
    <row r="43570" spans="26:26" x14ac:dyDescent="0.25">
      <c r="Z43570">
        <v>400000</v>
      </c>
    </row>
    <row r="43571" spans="26:26" x14ac:dyDescent="0.25">
      <c r="Z43571">
        <v>400000</v>
      </c>
    </row>
    <row r="43572" spans="26:26" x14ac:dyDescent="0.25">
      <c r="Z43572">
        <v>400000</v>
      </c>
    </row>
    <row r="43573" spans="26:26" x14ac:dyDescent="0.25">
      <c r="Z43573">
        <v>400000</v>
      </c>
    </row>
    <row r="43574" spans="26:26" x14ac:dyDescent="0.25">
      <c r="Z43574">
        <v>400000</v>
      </c>
    </row>
    <row r="43575" spans="26:26" x14ac:dyDescent="0.25">
      <c r="Z43575">
        <v>400000</v>
      </c>
    </row>
    <row r="43576" spans="26:26" x14ac:dyDescent="0.25">
      <c r="Z43576">
        <v>400000</v>
      </c>
    </row>
    <row r="43577" spans="26:26" x14ac:dyDescent="0.25">
      <c r="Z43577">
        <v>400000</v>
      </c>
    </row>
    <row r="43578" spans="26:26" x14ac:dyDescent="0.25">
      <c r="Z43578">
        <v>400000</v>
      </c>
    </row>
    <row r="43579" spans="26:26" x14ac:dyDescent="0.25">
      <c r="Z43579">
        <v>400000</v>
      </c>
    </row>
    <row r="43580" spans="26:26" x14ac:dyDescent="0.25">
      <c r="Z43580">
        <v>400000</v>
      </c>
    </row>
    <row r="43581" spans="26:26" x14ac:dyDescent="0.25">
      <c r="Z43581">
        <v>400000</v>
      </c>
    </row>
    <row r="43582" spans="26:26" x14ac:dyDescent="0.25">
      <c r="Z43582">
        <v>400000</v>
      </c>
    </row>
    <row r="43583" spans="26:26" x14ac:dyDescent="0.25">
      <c r="Z43583">
        <v>400000</v>
      </c>
    </row>
    <row r="43584" spans="26:26" x14ac:dyDescent="0.25">
      <c r="Z43584">
        <v>400000</v>
      </c>
    </row>
    <row r="43585" spans="26:26" x14ac:dyDescent="0.25">
      <c r="Z43585">
        <v>400000</v>
      </c>
    </row>
    <row r="43586" spans="26:26" x14ac:dyDescent="0.25">
      <c r="Z43586">
        <v>400000</v>
      </c>
    </row>
    <row r="43587" spans="26:26" x14ac:dyDescent="0.25">
      <c r="Z43587">
        <v>400000</v>
      </c>
    </row>
    <row r="43588" spans="26:26" x14ac:dyDescent="0.25">
      <c r="Z43588">
        <v>400000</v>
      </c>
    </row>
    <row r="43589" spans="26:26" x14ac:dyDescent="0.25">
      <c r="Z43589">
        <v>400000</v>
      </c>
    </row>
    <row r="43590" spans="26:26" x14ac:dyDescent="0.25">
      <c r="Z43590">
        <v>400000</v>
      </c>
    </row>
    <row r="43591" spans="26:26" x14ac:dyDescent="0.25">
      <c r="Z43591">
        <v>400000</v>
      </c>
    </row>
    <row r="43592" spans="26:26" x14ac:dyDescent="0.25">
      <c r="Z43592">
        <v>400000</v>
      </c>
    </row>
    <row r="43593" spans="26:26" x14ac:dyDescent="0.25">
      <c r="Z43593">
        <v>400000</v>
      </c>
    </row>
    <row r="43594" spans="26:26" x14ac:dyDescent="0.25">
      <c r="Z43594">
        <v>400000</v>
      </c>
    </row>
    <row r="43595" spans="26:26" x14ac:dyDescent="0.25">
      <c r="Z43595">
        <v>400000</v>
      </c>
    </row>
    <row r="43596" spans="26:26" x14ac:dyDescent="0.25">
      <c r="Z43596">
        <v>400000</v>
      </c>
    </row>
    <row r="43597" spans="26:26" x14ac:dyDescent="0.25">
      <c r="Z43597">
        <v>400000</v>
      </c>
    </row>
    <row r="43598" spans="26:26" x14ac:dyDescent="0.25">
      <c r="Z43598">
        <v>400000</v>
      </c>
    </row>
    <row r="43599" spans="26:26" x14ac:dyDescent="0.25">
      <c r="Z43599">
        <v>400000</v>
      </c>
    </row>
    <row r="43600" spans="26:26" x14ac:dyDescent="0.25">
      <c r="Z43600">
        <v>400000</v>
      </c>
    </row>
    <row r="43601" spans="26:26" x14ac:dyDescent="0.25">
      <c r="Z43601">
        <v>400000</v>
      </c>
    </row>
    <row r="43602" spans="26:26" x14ac:dyDescent="0.25">
      <c r="Z43602">
        <v>400000</v>
      </c>
    </row>
    <row r="43603" spans="26:26" x14ac:dyDescent="0.25">
      <c r="Z43603">
        <v>400000</v>
      </c>
    </row>
    <row r="43604" spans="26:26" x14ac:dyDescent="0.25">
      <c r="Z43604">
        <v>400000</v>
      </c>
    </row>
    <row r="43605" spans="26:26" x14ac:dyDescent="0.25">
      <c r="Z43605">
        <v>400000</v>
      </c>
    </row>
    <row r="43606" spans="26:26" x14ac:dyDescent="0.25">
      <c r="Z43606">
        <v>400000</v>
      </c>
    </row>
    <row r="43607" spans="26:26" x14ac:dyDescent="0.25">
      <c r="Z43607">
        <v>400000</v>
      </c>
    </row>
    <row r="43608" spans="26:26" x14ac:dyDescent="0.25">
      <c r="Z43608">
        <v>400000</v>
      </c>
    </row>
    <row r="43609" spans="26:26" x14ac:dyDescent="0.25">
      <c r="Z43609">
        <v>400000</v>
      </c>
    </row>
    <row r="43610" spans="26:26" x14ac:dyDescent="0.25">
      <c r="Z43610">
        <v>400000</v>
      </c>
    </row>
    <row r="43611" spans="26:26" x14ac:dyDescent="0.25">
      <c r="Z43611">
        <v>400000</v>
      </c>
    </row>
    <row r="43612" spans="26:26" x14ac:dyDescent="0.25">
      <c r="Z43612">
        <v>400000</v>
      </c>
    </row>
    <row r="43613" spans="26:26" x14ac:dyDescent="0.25">
      <c r="Z43613">
        <v>400000</v>
      </c>
    </row>
    <row r="43614" spans="26:26" x14ac:dyDescent="0.25">
      <c r="Z43614">
        <v>400000</v>
      </c>
    </row>
    <row r="43615" spans="26:26" x14ac:dyDescent="0.25">
      <c r="Z43615">
        <v>400000</v>
      </c>
    </row>
    <row r="43616" spans="26:26" x14ac:dyDescent="0.25">
      <c r="Z43616">
        <v>400000</v>
      </c>
    </row>
    <row r="43617" spans="26:26" x14ac:dyDescent="0.25">
      <c r="Z43617">
        <v>400000</v>
      </c>
    </row>
    <row r="43618" spans="26:26" x14ac:dyDescent="0.25">
      <c r="Z43618">
        <v>400000</v>
      </c>
    </row>
    <row r="43619" spans="26:26" x14ac:dyDescent="0.25">
      <c r="Z43619">
        <v>400000</v>
      </c>
    </row>
    <row r="43620" spans="26:26" x14ac:dyDescent="0.25">
      <c r="Z43620">
        <v>400000</v>
      </c>
    </row>
    <row r="43621" spans="26:26" x14ac:dyDescent="0.25">
      <c r="Z43621">
        <v>400000</v>
      </c>
    </row>
    <row r="43622" spans="26:26" x14ac:dyDescent="0.25">
      <c r="Z43622">
        <v>400000</v>
      </c>
    </row>
    <row r="43623" spans="26:26" x14ac:dyDescent="0.25">
      <c r="Z43623">
        <v>400000</v>
      </c>
    </row>
    <row r="43624" spans="26:26" x14ac:dyDescent="0.25">
      <c r="Z43624">
        <v>400000</v>
      </c>
    </row>
    <row r="43625" spans="26:26" x14ac:dyDescent="0.25">
      <c r="Z43625">
        <v>400000</v>
      </c>
    </row>
    <row r="43626" spans="26:26" x14ac:dyDescent="0.25">
      <c r="Z43626">
        <v>400000</v>
      </c>
    </row>
    <row r="43627" spans="26:26" x14ac:dyDescent="0.25">
      <c r="Z43627">
        <v>400000</v>
      </c>
    </row>
    <row r="43628" spans="26:26" x14ac:dyDescent="0.25">
      <c r="Z43628">
        <v>400000</v>
      </c>
    </row>
    <row r="43629" spans="26:26" x14ac:dyDescent="0.25">
      <c r="Z43629">
        <v>400000</v>
      </c>
    </row>
    <row r="43630" spans="26:26" x14ac:dyDescent="0.25">
      <c r="Z43630">
        <v>400000</v>
      </c>
    </row>
    <row r="43631" spans="26:26" x14ac:dyDescent="0.25">
      <c r="Z43631">
        <v>400000</v>
      </c>
    </row>
    <row r="43632" spans="26:26" x14ac:dyDescent="0.25">
      <c r="Z43632">
        <v>400000</v>
      </c>
    </row>
    <row r="43633" spans="26:26" x14ac:dyDescent="0.25">
      <c r="Z43633">
        <v>400000</v>
      </c>
    </row>
    <row r="43634" spans="26:26" x14ac:dyDescent="0.25">
      <c r="Z43634">
        <v>400000</v>
      </c>
    </row>
    <row r="43635" spans="26:26" x14ac:dyDescent="0.25">
      <c r="Z43635">
        <v>400000</v>
      </c>
    </row>
    <row r="43636" spans="26:26" x14ac:dyDescent="0.25">
      <c r="Z43636">
        <v>400000</v>
      </c>
    </row>
    <row r="43637" spans="26:26" x14ac:dyDescent="0.25">
      <c r="Z43637">
        <v>400000</v>
      </c>
    </row>
    <row r="43638" spans="26:26" x14ac:dyDescent="0.25">
      <c r="Z43638">
        <v>400000</v>
      </c>
    </row>
    <row r="43639" spans="26:26" x14ac:dyDescent="0.25">
      <c r="Z43639">
        <v>400000</v>
      </c>
    </row>
    <row r="43640" spans="26:26" x14ac:dyDescent="0.25">
      <c r="Z43640">
        <v>400000</v>
      </c>
    </row>
    <row r="43641" spans="26:26" x14ac:dyDescent="0.25">
      <c r="Z43641">
        <v>400000</v>
      </c>
    </row>
    <row r="43642" spans="26:26" x14ac:dyDescent="0.25">
      <c r="Z43642">
        <v>400000</v>
      </c>
    </row>
    <row r="43643" spans="26:26" x14ac:dyDescent="0.25">
      <c r="Z43643">
        <v>400000</v>
      </c>
    </row>
    <row r="43644" spans="26:26" x14ac:dyDescent="0.25">
      <c r="Z43644">
        <v>400000</v>
      </c>
    </row>
    <row r="43645" spans="26:26" x14ac:dyDescent="0.25">
      <c r="Z43645">
        <v>400000</v>
      </c>
    </row>
    <row r="43646" spans="26:26" x14ac:dyDescent="0.25">
      <c r="Z43646">
        <v>400000</v>
      </c>
    </row>
    <row r="43647" spans="26:26" x14ac:dyDescent="0.25">
      <c r="Z43647">
        <v>400000</v>
      </c>
    </row>
    <row r="43648" spans="26:26" x14ac:dyDescent="0.25">
      <c r="Z43648">
        <v>400000</v>
      </c>
    </row>
    <row r="43649" spans="26:26" x14ac:dyDescent="0.25">
      <c r="Z43649">
        <v>400000</v>
      </c>
    </row>
    <row r="43650" spans="26:26" x14ac:dyDescent="0.25">
      <c r="Z43650">
        <v>400000</v>
      </c>
    </row>
    <row r="43651" spans="26:26" x14ac:dyDescent="0.25">
      <c r="Z43651">
        <v>400000</v>
      </c>
    </row>
    <row r="43652" spans="26:26" x14ac:dyDescent="0.25">
      <c r="Z43652">
        <v>400000</v>
      </c>
    </row>
    <row r="43653" spans="26:26" x14ac:dyDescent="0.25">
      <c r="Z43653">
        <v>400000</v>
      </c>
    </row>
    <row r="43654" spans="26:26" x14ac:dyDescent="0.25">
      <c r="Z43654">
        <v>400000</v>
      </c>
    </row>
    <row r="43655" spans="26:26" x14ac:dyDescent="0.25">
      <c r="Z43655">
        <v>400000</v>
      </c>
    </row>
    <row r="43656" spans="26:26" x14ac:dyDescent="0.25">
      <c r="Z43656">
        <v>400000</v>
      </c>
    </row>
    <row r="43657" spans="26:26" x14ac:dyDescent="0.25">
      <c r="Z43657">
        <v>400000</v>
      </c>
    </row>
    <row r="43658" spans="26:26" x14ac:dyDescent="0.25">
      <c r="Z43658">
        <v>400000</v>
      </c>
    </row>
    <row r="43659" spans="26:26" x14ac:dyDescent="0.25">
      <c r="Z43659">
        <v>400000</v>
      </c>
    </row>
    <row r="43660" spans="26:26" x14ac:dyDescent="0.25">
      <c r="Z43660">
        <v>400000</v>
      </c>
    </row>
    <row r="43661" spans="26:26" x14ac:dyDescent="0.25">
      <c r="Z43661">
        <v>400000</v>
      </c>
    </row>
    <row r="43662" spans="26:26" x14ac:dyDescent="0.25">
      <c r="Z43662">
        <v>400000</v>
      </c>
    </row>
    <row r="43663" spans="26:26" x14ac:dyDescent="0.25">
      <c r="Z43663">
        <v>400000</v>
      </c>
    </row>
    <row r="43664" spans="26:26" x14ac:dyDescent="0.25">
      <c r="Z43664">
        <v>400000</v>
      </c>
    </row>
    <row r="43665" spans="26:26" x14ac:dyDescent="0.25">
      <c r="Z43665">
        <v>400000</v>
      </c>
    </row>
    <row r="43666" spans="26:26" x14ac:dyDescent="0.25">
      <c r="Z43666">
        <v>400000</v>
      </c>
    </row>
    <row r="43667" spans="26:26" x14ac:dyDescent="0.25">
      <c r="Z43667">
        <v>400000</v>
      </c>
    </row>
    <row r="43668" spans="26:26" x14ac:dyDescent="0.25">
      <c r="Z43668">
        <v>400000</v>
      </c>
    </row>
    <row r="43669" spans="26:26" x14ac:dyDescent="0.25">
      <c r="Z43669">
        <v>400000</v>
      </c>
    </row>
    <row r="43670" spans="26:26" x14ac:dyDescent="0.25">
      <c r="Z43670">
        <v>400000</v>
      </c>
    </row>
    <row r="43671" spans="26:26" x14ac:dyDescent="0.25">
      <c r="Z43671">
        <v>400000</v>
      </c>
    </row>
    <row r="43672" spans="26:26" x14ac:dyDescent="0.25">
      <c r="Z43672">
        <v>400000</v>
      </c>
    </row>
    <row r="43673" spans="26:26" x14ac:dyDescent="0.25">
      <c r="Z43673">
        <v>400000</v>
      </c>
    </row>
    <row r="43674" spans="26:26" x14ac:dyDescent="0.25">
      <c r="Z43674">
        <v>400000</v>
      </c>
    </row>
    <row r="43675" spans="26:26" x14ac:dyDescent="0.25">
      <c r="Z43675">
        <v>400000</v>
      </c>
    </row>
    <row r="43676" spans="26:26" x14ac:dyDescent="0.25">
      <c r="Z43676">
        <v>400000</v>
      </c>
    </row>
    <row r="43677" spans="26:26" x14ac:dyDescent="0.25">
      <c r="Z43677">
        <v>400000</v>
      </c>
    </row>
    <row r="43678" spans="26:26" x14ac:dyDescent="0.25">
      <c r="Z43678">
        <v>400000</v>
      </c>
    </row>
    <row r="43679" spans="26:26" x14ac:dyDescent="0.25">
      <c r="Z43679">
        <v>400000</v>
      </c>
    </row>
    <row r="43680" spans="26:26" x14ac:dyDescent="0.25">
      <c r="Z43680">
        <v>400000</v>
      </c>
    </row>
    <row r="43681" spans="26:26" x14ac:dyDescent="0.25">
      <c r="Z43681">
        <v>400000</v>
      </c>
    </row>
    <row r="43682" spans="26:26" x14ac:dyDescent="0.25">
      <c r="Z43682">
        <v>400000</v>
      </c>
    </row>
    <row r="43683" spans="26:26" x14ac:dyDescent="0.25">
      <c r="Z43683">
        <v>400000</v>
      </c>
    </row>
    <row r="43684" spans="26:26" x14ac:dyDescent="0.25">
      <c r="Z43684">
        <v>400000</v>
      </c>
    </row>
    <row r="43685" spans="26:26" x14ac:dyDescent="0.25">
      <c r="Z43685">
        <v>400000</v>
      </c>
    </row>
    <row r="43686" spans="26:26" x14ac:dyDescent="0.25">
      <c r="Z43686">
        <v>400000</v>
      </c>
    </row>
    <row r="43687" spans="26:26" x14ac:dyDescent="0.25">
      <c r="Z43687">
        <v>400000</v>
      </c>
    </row>
    <row r="43688" spans="26:26" x14ac:dyDescent="0.25">
      <c r="Z43688">
        <v>400000</v>
      </c>
    </row>
    <row r="43689" spans="26:26" x14ac:dyDescent="0.25">
      <c r="Z43689">
        <v>400000</v>
      </c>
    </row>
    <row r="43690" spans="26:26" x14ac:dyDescent="0.25">
      <c r="Z43690">
        <v>400000</v>
      </c>
    </row>
    <row r="43691" spans="26:26" x14ac:dyDescent="0.25">
      <c r="Z43691">
        <v>400000</v>
      </c>
    </row>
    <row r="43692" spans="26:26" x14ac:dyDescent="0.25">
      <c r="Z43692">
        <v>400000</v>
      </c>
    </row>
    <row r="43693" spans="26:26" x14ac:dyDescent="0.25">
      <c r="Z43693">
        <v>400000</v>
      </c>
    </row>
    <row r="43694" spans="26:26" x14ac:dyDescent="0.25">
      <c r="Z43694">
        <v>400000</v>
      </c>
    </row>
    <row r="43695" spans="26:26" x14ac:dyDescent="0.25">
      <c r="Z43695">
        <v>400000</v>
      </c>
    </row>
    <row r="43696" spans="26:26" x14ac:dyDescent="0.25">
      <c r="Z43696">
        <v>400000</v>
      </c>
    </row>
    <row r="43697" spans="26:26" x14ac:dyDescent="0.25">
      <c r="Z43697">
        <v>400000</v>
      </c>
    </row>
    <row r="43698" spans="26:26" x14ac:dyDescent="0.25">
      <c r="Z43698">
        <v>400000</v>
      </c>
    </row>
    <row r="43699" spans="26:26" x14ac:dyDescent="0.25">
      <c r="Z43699">
        <v>400000</v>
      </c>
    </row>
    <row r="43700" spans="26:26" x14ac:dyDescent="0.25">
      <c r="Z43700">
        <v>400000</v>
      </c>
    </row>
    <row r="43701" spans="26:26" x14ac:dyDescent="0.25">
      <c r="Z43701">
        <v>400000</v>
      </c>
    </row>
    <row r="43702" spans="26:26" x14ac:dyDescent="0.25">
      <c r="Z43702">
        <v>400000</v>
      </c>
    </row>
    <row r="43703" spans="26:26" x14ac:dyDescent="0.25">
      <c r="Z43703">
        <v>400000</v>
      </c>
    </row>
    <row r="43704" spans="26:26" x14ac:dyDescent="0.25">
      <c r="Z43704">
        <v>400000</v>
      </c>
    </row>
    <row r="43705" spans="26:26" x14ac:dyDescent="0.25">
      <c r="Z43705">
        <v>400000</v>
      </c>
    </row>
    <row r="43706" spans="26:26" x14ac:dyDescent="0.25">
      <c r="Z43706">
        <v>400000</v>
      </c>
    </row>
    <row r="43707" spans="26:26" x14ac:dyDescent="0.25">
      <c r="Z43707">
        <v>400000</v>
      </c>
    </row>
    <row r="43708" spans="26:26" x14ac:dyDescent="0.25">
      <c r="Z43708">
        <v>400000</v>
      </c>
    </row>
    <row r="43709" spans="26:26" x14ac:dyDescent="0.25">
      <c r="Z43709">
        <v>400000</v>
      </c>
    </row>
    <row r="43710" spans="26:26" x14ac:dyDescent="0.25">
      <c r="Z43710">
        <v>400000</v>
      </c>
    </row>
    <row r="43711" spans="26:26" x14ac:dyDescent="0.25">
      <c r="Z43711">
        <v>400000</v>
      </c>
    </row>
    <row r="43712" spans="26:26" x14ac:dyDescent="0.25">
      <c r="Z43712">
        <v>400000</v>
      </c>
    </row>
    <row r="43713" spans="26:26" x14ac:dyDescent="0.25">
      <c r="Z43713">
        <v>400000</v>
      </c>
    </row>
    <row r="43714" spans="26:26" x14ac:dyDescent="0.25">
      <c r="Z43714">
        <v>400000</v>
      </c>
    </row>
    <row r="43715" spans="26:26" x14ac:dyDescent="0.25">
      <c r="Z43715">
        <v>400000</v>
      </c>
    </row>
    <row r="43716" spans="26:26" x14ac:dyDescent="0.25">
      <c r="Z43716">
        <v>400000</v>
      </c>
    </row>
    <row r="43717" spans="26:26" x14ac:dyDescent="0.25">
      <c r="Z43717">
        <v>400000</v>
      </c>
    </row>
    <row r="43718" spans="26:26" x14ac:dyDescent="0.25">
      <c r="Z43718">
        <v>400000</v>
      </c>
    </row>
    <row r="43719" spans="26:26" x14ac:dyDescent="0.25">
      <c r="Z43719">
        <v>400000</v>
      </c>
    </row>
    <row r="43720" spans="26:26" x14ac:dyDescent="0.25">
      <c r="Z43720">
        <v>400000</v>
      </c>
    </row>
    <row r="43721" spans="26:26" x14ac:dyDescent="0.25">
      <c r="Z43721">
        <v>400000</v>
      </c>
    </row>
    <row r="43722" spans="26:26" x14ac:dyDescent="0.25">
      <c r="Z43722">
        <v>400000</v>
      </c>
    </row>
    <row r="43723" spans="26:26" x14ac:dyDescent="0.25">
      <c r="Z43723">
        <v>400000</v>
      </c>
    </row>
    <row r="43724" spans="26:26" x14ac:dyDescent="0.25">
      <c r="Z43724">
        <v>400000</v>
      </c>
    </row>
    <row r="43725" spans="26:26" x14ac:dyDescent="0.25">
      <c r="Z43725">
        <v>400000</v>
      </c>
    </row>
    <row r="43726" spans="26:26" x14ac:dyDescent="0.25">
      <c r="Z43726">
        <v>400000</v>
      </c>
    </row>
    <row r="43727" spans="26:26" x14ac:dyDescent="0.25">
      <c r="Z43727">
        <v>400000</v>
      </c>
    </row>
    <row r="43728" spans="26:26" x14ac:dyDescent="0.25">
      <c r="Z43728">
        <v>400000</v>
      </c>
    </row>
    <row r="43729" spans="26:26" x14ac:dyDescent="0.25">
      <c r="Z43729">
        <v>400000</v>
      </c>
    </row>
    <row r="43730" spans="26:26" x14ac:dyDescent="0.25">
      <c r="Z43730">
        <v>400000</v>
      </c>
    </row>
    <row r="43731" spans="26:26" x14ac:dyDescent="0.25">
      <c r="Z43731">
        <v>400000</v>
      </c>
    </row>
    <row r="43732" spans="26:26" x14ac:dyDescent="0.25">
      <c r="Z43732">
        <v>400000</v>
      </c>
    </row>
    <row r="43733" spans="26:26" x14ac:dyDescent="0.25">
      <c r="Z43733">
        <v>400000</v>
      </c>
    </row>
    <row r="43734" spans="26:26" x14ac:dyDescent="0.25">
      <c r="Z43734">
        <v>400000</v>
      </c>
    </row>
    <row r="43735" spans="26:26" x14ac:dyDescent="0.25">
      <c r="Z43735">
        <v>400000</v>
      </c>
    </row>
    <row r="43736" spans="26:26" x14ac:dyDescent="0.25">
      <c r="Z43736">
        <v>400000</v>
      </c>
    </row>
    <row r="43737" spans="26:26" x14ac:dyDescent="0.25">
      <c r="Z43737">
        <v>400000</v>
      </c>
    </row>
    <row r="43738" spans="26:26" x14ac:dyDescent="0.25">
      <c r="Z43738">
        <v>400000</v>
      </c>
    </row>
    <row r="43739" spans="26:26" x14ac:dyDescent="0.25">
      <c r="Z43739">
        <v>400000</v>
      </c>
    </row>
    <row r="43740" spans="26:26" x14ac:dyDescent="0.25">
      <c r="Z43740">
        <v>400000</v>
      </c>
    </row>
    <row r="43741" spans="26:26" x14ac:dyDescent="0.25">
      <c r="Z43741">
        <v>400000</v>
      </c>
    </row>
    <row r="43742" spans="26:26" x14ac:dyDescent="0.25">
      <c r="Z43742">
        <v>400000</v>
      </c>
    </row>
    <row r="43743" spans="26:26" x14ac:dyDescent="0.25">
      <c r="Z43743">
        <v>400000</v>
      </c>
    </row>
    <row r="43744" spans="26:26" x14ac:dyDescent="0.25">
      <c r="Z43744">
        <v>400000</v>
      </c>
    </row>
    <row r="43745" spans="26:26" x14ac:dyDescent="0.25">
      <c r="Z43745">
        <v>400000</v>
      </c>
    </row>
    <row r="43746" spans="26:26" x14ac:dyDescent="0.25">
      <c r="Z43746">
        <v>400000</v>
      </c>
    </row>
    <row r="43747" spans="26:26" x14ac:dyDescent="0.25">
      <c r="Z43747">
        <v>400000</v>
      </c>
    </row>
    <row r="43748" spans="26:26" x14ac:dyDescent="0.25">
      <c r="Z43748">
        <v>400000</v>
      </c>
    </row>
    <row r="43749" spans="26:26" x14ac:dyDescent="0.25">
      <c r="Z43749">
        <v>400000</v>
      </c>
    </row>
    <row r="43750" spans="26:26" x14ac:dyDescent="0.25">
      <c r="Z43750">
        <v>400000</v>
      </c>
    </row>
    <row r="43751" spans="26:26" x14ac:dyDescent="0.25">
      <c r="Z43751">
        <v>400000</v>
      </c>
    </row>
    <row r="43752" spans="26:26" x14ac:dyDescent="0.25">
      <c r="Z43752">
        <v>400000</v>
      </c>
    </row>
    <row r="43753" spans="26:26" x14ac:dyDescent="0.25">
      <c r="Z43753">
        <v>400000</v>
      </c>
    </row>
    <row r="43754" spans="26:26" x14ac:dyDescent="0.25">
      <c r="Z43754">
        <v>400000</v>
      </c>
    </row>
    <row r="43755" spans="26:26" x14ac:dyDescent="0.25">
      <c r="Z43755">
        <v>400000</v>
      </c>
    </row>
    <row r="43756" spans="26:26" x14ac:dyDescent="0.25">
      <c r="Z43756">
        <v>400000</v>
      </c>
    </row>
    <row r="43757" spans="26:26" x14ac:dyDescent="0.25">
      <c r="Z43757">
        <v>400000</v>
      </c>
    </row>
    <row r="43758" spans="26:26" x14ac:dyDescent="0.25">
      <c r="Z43758">
        <v>400000</v>
      </c>
    </row>
    <row r="43759" spans="26:26" x14ac:dyDescent="0.25">
      <c r="Z43759">
        <v>400000</v>
      </c>
    </row>
    <row r="43760" spans="26:26" x14ac:dyDescent="0.25">
      <c r="Z43760">
        <v>400000</v>
      </c>
    </row>
    <row r="43761" spans="26:26" x14ac:dyDescent="0.25">
      <c r="Z43761">
        <v>400000</v>
      </c>
    </row>
    <row r="43762" spans="26:26" x14ac:dyDescent="0.25">
      <c r="Z43762">
        <v>400000</v>
      </c>
    </row>
    <row r="43763" spans="26:26" x14ac:dyDescent="0.25">
      <c r="Z43763">
        <v>400000</v>
      </c>
    </row>
    <row r="43764" spans="26:26" x14ac:dyDescent="0.25">
      <c r="Z43764">
        <v>400000</v>
      </c>
    </row>
    <row r="43765" spans="26:26" x14ac:dyDescent="0.25">
      <c r="Z43765">
        <v>400000</v>
      </c>
    </row>
    <row r="43766" spans="26:26" x14ac:dyDescent="0.25">
      <c r="Z43766">
        <v>400000</v>
      </c>
    </row>
    <row r="43767" spans="26:26" x14ac:dyDescent="0.25">
      <c r="Z43767">
        <v>400000</v>
      </c>
    </row>
    <row r="43768" spans="26:26" x14ac:dyDescent="0.25">
      <c r="Z43768">
        <v>400000</v>
      </c>
    </row>
    <row r="43769" spans="26:26" x14ac:dyDescent="0.25">
      <c r="Z43769">
        <v>400000</v>
      </c>
    </row>
    <row r="43770" spans="26:26" x14ac:dyDescent="0.25">
      <c r="Z43770">
        <v>400000</v>
      </c>
    </row>
    <row r="43771" spans="26:26" x14ac:dyDescent="0.25">
      <c r="Z43771">
        <v>400000</v>
      </c>
    </row>
    <row r="43772" spans="26:26" x14ac:dyDescent="0.25">
      <c r="Z43772">
        <v>400000</v>
      </c>
    </row>
    <row r="43773" spans="26:26" x14ac:dyDescent="0.25">
      <c r="Z43773">
        <v>400000</v>
      </c>
    </row>
    <row r="43774" spans="26:26" x14ac:dyDescent="0.25">
      <c r="Z43774">
        <v>400000</v>
      </c>
    </row>
    <row r="43775" spans="26:26" x14ac:dyDescent="0.25">
      <c r="Z43775">
        <v>400000</v>
      </c>
    </row>
    <row r="43776" spans="26:26" x14ac:dyDescent="0.25">
      <c r="Z43776">
        <v>400000</v>
      </c>
    </row>
    <row r="43777" spans="26:26" x14ac:dyDescent="0.25">
      <c r="Z43777">
        <v>400000</v>
      </c>
    </row>
    <row r="43778" spans="26:26" x14ac:dyDescent="0.25">
      <c r="Z43778">
        <v>400000</v>
      </c>
    </row>
    <row r="43779" spans="26:26" x14ac:dyDescent="0.25">
      <c r="Z43779">
        <v>400000</v>
      </c>
    </row>
    <row r="43780" spans="26:26" x14ac:dyDescent="0.25">
      <c r="Z43780">
        <v>400000</v>
      </c>
    </row>
    <row r="43781" spans="26:26" x14ac:dyDescent="0.25">
      <c r="Z43781">
        <v>400000</v>
      </c>
    </row>
    <row r="43782" spans="26:26" x14ac:dyDescent="0.25">
      <c r="Z43782">
        <v>400000</v>
      </c>
    </row>
    <row r="43783" spans="26:26" x14ac:dyDescent="0.25">
      <c r="Z43783">
        <v>400000</v>
      </c>
    </row>
    <row r="43784" spans="26:26" x14ac:dyDescent="0.25">
      <c r="Z43784">
        <v>400000</v>
      </c>
    </row>
    <row r="43785" spans="26:26" x14ac:dyDescent="0.25">
      <c r="Z43785">
        <v>400000</v>
      </c>
    </row>
    <row r="43786" spans="26:26" x14ac:dyDescent="0.25">
      <c r="Z43786">
        <v>400000</v>
      </c>
    </row>
    <row r="43787" spans="26:26" x14ac:dyDescent="0.25">
      <c r="Z43787">
        <v>400000</v>
      </c>
    </row>
    <row r="43788" spans="26:26" x14ac:dyDescent="0.25">
      <c r="Z43788">
        <v>400000</v>
      </c>
    </row>
    <row r="43789" spans="26:26" x14ac:dyDescent="0.25">
      <c r="Z43789">
        <v>400000</v>
      </c>
    </row>
    <row r="43790" spans="26:26" x14ac:dyDescent="0.25">
      <c r="Z43790">
        <v>400000</v>
      </c>
    </row>
    <row r="43791" spans="26:26" x14ac:dyDescent="0.25">
      <c r="Z43791">
        <v>400000</v>
      </c>
    </row>
    <row r="43792" spans="26:26" x14ac:dyDescent="0.25">
      <c r="Z43792">
        <v>400000</v>
      </c>
    </row>
    <row r="43793" spans="26:26" x14ac:dyDescent="0.25">
      <c r="Z43793">
        <v>400000</v>
      </c>
    </row>
    <row r="43794" spans="26:26" x14ac:dyDescent="0.25">
      <c r="Z43794">
        <v>400000</v>
      </c>
    </row>
    <row r="43795" spans="26:26" x14ac:dyDescent="0.25">
      <c r="Z43795">
        <v>400000</v>
      </c>
    </row>
    <row r="43796" spans="26:26" x14ac:dyDescent="0.25">
      <c r="Z43796">
        <v>400000</v>
      </c>
    </row>
    <row r="43797" spans="26:26" x14ac:dyDescent="0.25">
      <c r="Z43797">
        <v>400000</v>
      </c>
    </row>
    <row r="43798" spans="26:26" x14ac:dyDescent="0.25">
      <c r="Z43798">
        <v>400000</v>
      </c>
    </row>
    <row r="43799" spans="26:26" x14ac:dyDescent="0.25">
      <c r="Z43799">
        <v>400000</v>
      </c>
    </row>
    <row r="43800" spans="26:26" x14ac:dyDescent="0.25">
      <c r="Z43800">
        <v>400000</v>
      </c>
    </row>
    <row r="43801" spans="26:26" x14ac:dyDescent="0.25">
      <c r="Z43801">
        <v>400000</v>
      </c>
    </row>
    <row r="43802" spans="26:26" x14ac:dyDescent="0.25">
      <c r="Z43802">
        <v>400000</v>
      </c>
    </row>
    <row r="43803" spans="26:26" x14ac:dyDescent="0.25">
      <c r="Z43803">
        <v>400000</v>
      </c>
    </row>
    <row r="43804" spans="26:26" x14ac:dyDescent="0.25">
      <c r="Z43804">
        <v>400000</v>
      </c>
    </row>
    <row r="43805" spans="26:26" x14ac:dyDescent="0.25">
      <c r="Z43805">
        <v>400000</v>
      </c>
    </row>
    <row r="43806" spans="26:26" x14ac:dyDescent="0.25">
      <c r="Z43806">
        <v>400000</v>
      </c>
    </row>
    <row r="43807" spans="26:26" x14ac:dyDescent="0.25">
      <c r="Z43807">
        <v>400000</v>
      </c>
    </row>
    <row r="43808" spans="26:26" x14ac:dyDescent="0.25">
      <c r="Z43808">
        <v>400000</v>
      </c>
    </row>
    <row r="43809" spans="26:26" x14ac:dyDescent="0.25">
      <c r="Z43809">
        <v>400000</v>
      </c>
    </row>
    <row r="43810" spans="26:26" x14ac:dyDescent="0.25">
      <c r="Z43810">
        <v>400000</v>
      </c>
    </row>
    <row r="43811" spans="26:26" x14ac:dyDescent="0.25">
      <c r="Z43811">
        <v>400000</v>
      </c>
    </row>
    <row r="43812" spans="26:26" x14ac:dyDescent="0.25">
      <c r="Z43812">
        <v>400000</v>
      </c>
    </row>
    <row r="43813" spans="26:26" x14ac:dyDescent="0.25">
      <c r="Z43813">
        <v>400000</v>
      </c>
    </row>
    <row r="43814" spans="26:26" x14ac:dyDescent="0.25">
      <c r="Z43814">
        <v>400000</v>
      </c>
    </row>
    <row r="43815" spans="26:26" x14ac:dyDescent="0.25">
      <c r="Z43815">
        <v>400000</v>
      </c>
    </row>
    <row r="43816" spans="26:26" x14ac:dyDescent="0.25">
      <c r="Z43816">
        <v>400000</v>
      </c>
    </row>
    <row r="43817" spans="26:26" x14ac:dyDescent="0.25">
      <c r="Z43817">
        <v>400000</v>
      </c>
    </row>
    <row r="43818" spans="26:26" x14ac:dyDescent="0.25">
      <c r="Z43818">
        <v>400000</v>
      </c>
    </row>
    <row r="43819" spans="26:26" x14ac:dyDescent="0.25">
      <c r="Z43819">
        <v>400000</v>
      </c>
    </row>
    <row r="43820" spans="26:26" x14ac:dyDescent="0.25">
      <c r="Z43820">
        <v>400000</v>
      </c>
    </row>
    <row r="43821" spans="26:26" x14ac:dyDescent="0.25">
      <c r="Z43821">
        <v>400000</v>
      </c>
    </row>
    <row r="43822" spans="26:26" x14ac:dyDescent="0.25">
      <c r="Z43822">
        <v>400000</v>
      </c>
    </row>
    <row r="43823" spans="26:26" x14ac:dyDescent="0.25">
      <c r="Z43823">
        <v>400000</v>
      </c>
    </row>
    <row r="43824" spans="26:26" x14ac:dyDescent="0.25">
      <c r="Z43824">
        <v>400000</v>
      </c>
    </row>
    <row r="43825" spans="26:26" x14ac:dyDescent="0.25">
      <c r="Z43825">
        <v>400000</v>
      </c>
    </row>
    <row r="43826" spans="26:26" x14ac:dyDescent="0.25">
      <c r="Z43826">
        <v>400000</v>
      </c>
    </row>
    <row r="43827" spans="26:26" x14ac:dyDescent="0.25">
      <c r="Z43827">
        <v>400000</v>
      </c>
    </row>
    <row r="43828" spans="26:26" x14ac:dyDescent="0.25">
      <c r="Z43828">
        <v>400000</v>
      </c>
    </row>
    <row r="43829" spans="26:26" x14ac:dyDescent="0.25">
      <c r="Z43829">
        <v>400000</v>
      </c>
    </row>
    <row r="43830" spans="26:26" x14ac:dyDescent="0.25">
      <c r="Z43830">
        <v>400000</v>
      </c>
    </row>
    <row r="43831" spans="26:26" x14ac:dyDescent="0.25">
      <c r="Z43831">
        <v>400000</v>
      </c>
    </row>
    <row r="43832" spans="26:26" x14ac:dyDescent="0.25">
      <c r="Z43832">
        <v>400000</v>
      </c>
    </row>
    <row r="43833" spans="26:26" x14ac:dyDescent="0.25">
      <c r="Z43833">
        <v>400000</v>
      </c>
    </row>
    <row r="43834" spans="26:26" x14ac:dyDescent="0.25">
      <c r="Z43834">
        <v>400000</v>
      </c>
    </row>
    <row r="43835" spans="26:26" x14ac:dyDescent="0.25">
      <c r="Z43835">
        <v>400000</v>
      </c>
    </row>
    <row r="43836" spans="26:26" x14ac:dyDescent="0.25">
      <c r="Z43836">
        <v>400000</v>
      </c>
    </row>
    <row r="43837" spans="26:26" x14ac:dyDescent="0.25">
      <c r="Z43837">
        <v>400000</v>
      </c>
    </row>
    <row r="43838" spans="26:26" x14ac:dyDescent="0.25">
      <c r="Z43838">
        <v>400000</v>
      </c>
    </row>
    <row r="43839" spans="26:26" x14ac:dyDescent="0.25">
      <c r="Z43839">
        <v>400000</v>
      </c>
    </row>
    <row r="43840" spans="26:26" x14ac:dyDescent="0.25">
      <c r="Z43840">
        <v>400000</v>
      </c>
    </row>
    <row r="43841" spans="26:26" x14ac:dyDescent="0.25">
      <c r="Z43841">
        <v>400000</v>
      </c>
    </row>
    <row r="43842" spans="26:26" x14ac:dyDescent="0.25">
      <c r="Z43842">
        <v>400000</v>
      </c>
    </row>
    <row r="43843" spans="26:26" x14ac:dyDescent="0.25">
      <c r="Z43843">
        <v>400000</v>
      </c>
    </row>
    <row r="43844" spans="26:26" x14ac:dyDescent="0.25">
      <c r="Z43844">
        <v>400000</v>
      </c>
    </row>
    <row r="43845" spans="26:26" x14ac:dyDescent="0.25">
      <c r="Z43845">
        <v>400000</v>
      </c>
    </row>
    <row r="43846" spans="26:26" x14ac:dyDescent="0.25">
      <c r="Z43846">
        <v>400000</v>
      </c>
    </row>
    <row r="43847" spans="26:26" x14ac:dyDescent="0.25">
      <c r="Z43847">
        <v>400000</v>
      </c>
    </row>
    <row r="43848" spans="26:26" x14ac:dyDescent="0.25">
      <c r="Z43848">
        <v>400000</v>
      </c>
    </row>
    <row r="43849" spans="26:26" x14ac:dyDescent="0.25">
      <c r="Z43849">
        <v>400000</v>
      </c>
    </row>
    <row r="43850" spans="26:26" x14ac:dyDescent="0.25">
      <c r="Z43850">
        <v>400000</v>
      </c>
    </row>
    <row r="43851" spans="26:26" x14ac:dyDescent="0.25">
      <c r="Z43851">
        <v>400000</v>
      </c>
    </row>
    <row r="43852" spans="26:26" x14ac:dyDescent="0.25">
      <c r="Z43852">
        <v>400000</v>
      </c>
    </row>
    <row r="43853" spans="26:26" x14ac:dyDescent="0.25">
      <c r="Z43853">
        <v>400000</v>
      </c>
    </row>
    <row r="43854" spans="26:26" x14ac:dyDescent="0.25">
      <c r="Z43854">
        <v>400000</v>
      </c>
    </row>
    <row r="43855" spans="26:26" x14ac:dyDescent="0.25">
      <c r="Z43855">
        <v>400000</v>
      </c>
    </row>
    <row r="43856" spans="26:26" x14ac:dyDescent="0.25">
      <c r="Z43856">
        <v>400000</v>
      </c>
    </row>
    <row r="43857" spans="26:26" x14ac:dyDescent="0.25">
      <c r="Z43857">
        <v>400000</v>
      </c>
    </row>
    <row r="43858" spans="26:26" x14ac:dyDescent="0.25">
      <c r="Z43858">
        <v>400000</v>
      </c>
    </row>
    <row r="43859" spans="26:26" x14ac:dyDescent="0.25">
      <c r="Z43859">
        <v>400000</v>
      </c>
    </row>
    <row r="43860" spans="26:26" x14ac:dyDescent="0.25">
      <c r="Z43860">
        <v>400000</v>
      </c>
    </row>
    <row r="43861" spans="26:26" x14ac:dyDescent="0.25">
      <c r="Z43861">
        <v>400000</v>
      </c>
    </row>
    <row r="43862" spans="26:26" x14ac:dyDescent="0.25">
      <c r="Z43862">
        <v>400000</v>
      </c>
    </row>
    <row r="43863" spans="26:26" x14ac:dyDescent="0.25">
      <c r="Z43863">
        <v>400000</v>
      </c>
    </row>
    <row r="43864" spans="26:26" x14ac:dyDescent="0.25">
      <c r="Z43864">
        <v>400000</v>
      </c>
    </row>
    <row r="43865" spans="26:26" x14ac:dyDescent="0.25">
      <c r="Z43865">
        <v>400000</v>
      </c>
    </row>
    <row r="43866" spans="26:26" x14ac:dyDescent="0.25">
      <c r="Z43866">
        <v>400000</v>
      </c>
    </row>
    <row r="43867" spans="26:26" x14ac:dyDescent="0.25">
      <c r="Z43867">
        <v>400000</v>
      </c>
    </row>
    <row r="43868" spans="26:26" x14ac:dyDescent="0.25">
      <c r="Z43868">
        <v>400000</v>
      </c>
    </row>
    <row r="43869" spans="26:26" x14ac:dyDescent="0.25">
      <c r="Z43869">
        <v>400000</v>
      </c>
    </row>
    <row r="43870" spans="26:26" x14ac:dyDescent="0.25">
      <c r="Z43870">
        <v>400000</v>
      </c>
    </row>
    <row r="43871" spans="26:26" x14ac:dyDescent="0.25">
      <c r="Z43871">
        <v>400000</v>
      </c>
    </row>
    <row r="43872" spans="26:26" x14ac:dyDescent="0.25">
      <c r="Z43872">
        <v>400000</v>
      </c>
    </row>
    <row r="43873" spans="26:26" x14ac:dyDescent="0.25">
      <c r="Z43873">
        <v>400000</v>
      </c>
    </row>
    <row r="43874" spans="26:26" x14ac:dyDescent="0.25">
      <c r="Z43874">
        <v>400000</v>
      </c>
    </row>
    <row r="43875" spans="26:26" x14ac:dyDescent="0.25">
      <c r="Z43875">
        <v>400000</v>
      </c>
    </row>
    <row r="43876" spans="26:26" x14ac:dyDescent="0.25">
      <c r="Z43876">
        <v>400000</v>
      </c>
    </row>
    <row r="43877" spans="26:26" x14ac:dyDescent="0.25">
      <c r="Z43877">
        <v>400000</v>
      </c>
    </row>
    <row r="43878" spans="26:26" x14ac:dyDescent="0.25">
      <c r="Z43878">
        <v>400000</v>
      </c>
    </row>
    <row r="43879" spans="26:26" x14ac:dyDescent="0.25">
      <c r="Z43879">
        <v>400000</v>
      </c>
    </row>
    <row r="43880" spans="26:26" x14ac:dyDescent="0.25">
      <c r="Z43880">
        <v>400000</v>
      </c>
    </row>
    <row r="43881" spans="26:26" x14ac:dyDescent="0.25">
      <c r="Z43881">
        <v>400000</v>
      </c>
    </row>
    <row r="43882" spans="26:26" x14ac:dyDescent="0.25">
      <c r="Z43882">
        <v>400000</v>
      </c>
    </row>
    <row r="43883" spans="26:26" x14ac:dyDescent="0.25">
      <c r="Z43883">
        <v>400000</v>
      </c>
    </row>
    <row r="43884" spans="26:26" x14ac:dyDescent="0.25">
      <c r="Z43884">
        <v>400000</v>
      </c>
    </row>
    <row r="43885" spans="26:26" x14ac:dyDescent="0.25">
      <c r="Z43885">
        <v>400000</v>
      </c>
    </row>
    <row r="43886" spans="26:26" x14ac:dyDescent="0.25">
      <c r="Z43886">
        <v>400000</v>
      </c>
    </row>
    <row r="43887" spans="26:26" x14ac:dyDescent="0.25">
      <c r="Z43887">
        <v>400000</v>
      </c>
    </row>
    <row r="43888" spans="26:26" x14ac:dyDescent="0.25">
      <c r="Z43888">
        <v>400000</v>
      </c>
    </row>
    <row r="43889" spans="26:26" x14ac:dyDescent="0.25">
      <c r="Z43889">
        <v>400000</v>
      </c>
    </row>
    <row r="43890" spans="26:26" x14ac:dyDescent="0.25">
      <c r="Z43890">
        <v>400000</v>
      </c>
    </row>
    <row r="43891" spans="26:26" x14ac:dyDescent="0.25">
      <c r="Z43891">
        <v>400000</v>
      </c>
    </row>
    <row r="43892" spans="26:26" x14ac:dyDescent="0.25">
      <c r="Z43892">
        <v>400000</v>
      </c>
    </row>
    <row r="43893" spans="26:26" x14ac:dyDescent="0.25">
      <c r="Z43893">
        <v>400000</v>
      </c>
    </row>
    <row r="43894" spans="26:26" x14ac:dyDescent="0.25">
      <c r="Z43894">
        <v>400000</v>
      </c>
    </row>
    <row r="43895" spans="26:26" x14ac:dyDescent="0.25">
      <c r="Z43895">
        <v>400000</v>
      </c>
    </row>
    <row r="43896" spans="26:26" x14ac:dyDescent="0.25">
      <c r="Z43896">
        <v>400000</v>
      </c>
    </row>
    <row r="43897" spans="26:26" x14ac:dyDescent="0.25">
      <c r="Z43897">
        <v>400000</v>
      </c>
    </row>
    <row r="43898" spans="26:26" x14ac:dyDescent="0.25">
      <c r="Z43898">
        <v>400000</v>
      </c>
    </row>
    <row r="43899" spans="26:26" x14ac:dyDescent="0.25">
      <c r="Z43899">
        <v>400000</v>
      </c>
    </row>
    <row r="43900" spans="26:26" x14ac:dyDescent="0.25">
      <c r="Z43900">
        <v>400000</v>
      </c>
    </row>
    <row r="43901" spans="26:26" x14ac:dyDescent="0.25">
      <c r="Z43901">
        <v>400000</v>
      </c>
    </row>
    <row r="43902" spans="26:26" x14ac:dyDescent="0.25">
      <c r="Z43902">
        <v>400000</v>
      </c>
    </row>
    <row r="43903" spans="26:26" x14ac:dyDescent="0.25">
      <c r="Z43903">
        <v>400000</v>
      </c>
    </row>
    <row r="43904" spans="26:26" x14ac:dyDescent="0.25">
      <c r="Z43904">
        <v>400000</v>
      </c>
    </row>
    <row r="43905" spans="26:26" x14ac:dyDescent="0.25">
      <c r="Z43905">
        <v>400000</v>
      </c>
    </row>
    <row r="43906" spans="26:26" x14ac:dyDescent="0.25">
      <c r="Z43906">
        <v>400000</v>
      </c>
    </row>
    <row r="43907" spans="26:26" x14ac:dyDescent="0.25">
      <c r="Z43907">
        <v>400000</v>
      </c>
    </row>
    <row r="43908" spans="26:26" x14ac:dyDescent="0.25">
      <c r="Z43908">
        <v>400000</v>
      </c>
    </row>
    <row r="43909" spans="26:26" x14ac:dyDescent="0.25">
      <c r="Z43909">
        <v>400000</v>
      </c>
    </row>
    <row r="43910" spans="26:26" x14ac:dyDescent="0.25">
      <c r="Z43910">
        <v>400000</v>
      </c>
    </row>
    <row r="43911" spans="26:26" x14ac:dyDescent="0.25">
      <c r="Z43911">
        <v>400000</v>
      </c>
    </row>
    <row r="43912" spans="26:26" x14ac:dyDescent="0.25">
      <c r="Z43912">
        <v>400000</v>
      </c>
    </row>
    <row r="43913" spans="26:26" x14ac:dyDescent="0.25">
      <c r="Z43913">
        <v>400000</v>
      </c>
    </row>
    <row r="43914" spans="26:26" x14ac:dyDescent="0.25">
      <c r="Z43914">
        <v>400000</v>
      </c>
    </row>
    <row r="43915" spans="26:26" x14ac:dyDescent="0.25">
      <c r="Z43915">
        <v>400000</v>
      </c>
    </row>
    <row r="43916" spans="26:26" x14ac:dyDescent="0.25">
      <c r="Z43916">
        <v>400000</v>
      </c>
    </row>
    <row r="43917" spans="26:26" x14ac:dyDescent="0.25">
      <c r="Z43917">
        <v>400000</v>
      </c>
    </row>
    <row r="43918" spans="26:26" x14ac:dyDescent="0.25">
      <c r="Z43918">
        <v>400000</v>
      </c>
    </row>
    <row r="43919" spans="26:26" x14ac:dyDescent="0.25">
      <c r="Z43919">
        <v>400000</v>
      </c>
    </row>
    <row r="43920" spans="26:26" x14ac:dyDescent="0.25">
      <c r="Z43920">
        <v>400000</v>
      </c>
    </row>
    <row r="43921" spans="26:26" x14ac:dyDescent="0.25">
      <c r="Z43921">
        <v>400000</v>
      </c>
    </row>
    <row r="43922" spans="26:26" x14ac:dyDescent="0.25">
      <c r="Z43922">
        <v>400000</v>
      </c>
    </row>
    <row r="43923" spans="26:26" x14ac:dyDescent="0.25">
      <c r="Z43923">
        <v>400000</v>
      </c>
    </row>
    <row r="43924" spans="26:26" x14ac:dyDescent="0.25">
      <c r="Z43924">
        <v>400000</v>
      </c>
    </row>
    <row r="43925" spans="26:26" x14ac:dyDescent="0.25">
      <c r="Z43925">
        <v>400000</v>
      </c>
    </row>
    <row r="43926" spans="26:26" x14ac:dyDescent="0.25">
      <c r="Z43926">
        <v>400000</v>
      </c>
    </row>
    <row r="43927" spans="26:26" x14ac:dyDescent="0.25">
      <c r="Z43927">
        <v>400000</v>
      </c>
    </row>
    <row r="43928" spans="26:26" x14ac:dyDescent="0.25">
      <c r="Z43928">
        <v>400000</v>
      </c>
    </row>
    <row r="43929" spans="26:26" x14ac:dyDescent="0.25">
      <c r="Z43929">
        <v>400000</v>
      </c>
    </row>
    <row r="43930" spans="26:26" x14ac:dyDescent="0.25">
      <c r="Z43930">
        <v>400000</v>
      </c>
    </row>
    <row r="43931" spans="26:26" x14ac:dyDescent="0.25">
      <c r="Z43931">
        <v>400000</v>
      </c>
    </row>
    <row r="43932" spans="26:26" x14ac:dyDescent="0.25">
      <c r="Z43932">
        <v>400000</v>
      </c>
    </row>
    <row r="43933" spans="26:26" x14ac:dyDescent="0.25">
      <c r="Z43933">
        <v>400000</v>
      </c>
    </row>
    <row r="43934" spans="26:26" x14ac:dyDescent="0.25">
      <c r="Z43934">
        <v>400000</v>
      </c>
    </row>
    <row r="43935" spans="26:26" x14ac:dyDescent="0.25">
      <c r="Z43935">
        <v>400000</v>
      </c>
    </row>
    <row r="43936" spans="26:26" x14ac:dyDescent="0.25">
      <c r="Z43936">
        <v>400000</v>
      </c>
    </row>
    <row r="43937" spans="26:26" x14ac:dyDescent="0.25">
      <c r="Z43937">
        <v>400000</v>
      </c>
    </row>
    <row r="43938" spans="26:26" x14ac:dyDescent="0.25">
      <c r="Z43938">
        <v>400000</v>
      </c>
    </row>
    <row r="43939" spans="26:26" x14ac:dyDescent="0.25">
      <c r="Z43939">
        <v>400000</v>
      </c>
    </row>
    <row r="43940" spans="26:26" x14ac:dyDescent="0.25">
      <c r="Z43940">
        <v>400000</v>
      </c>
    </row>
    <row r="43941" spans="26:26" x14ac:dyDescent="0.25">
      <c r="Z43941">
        <v>400000</v>
      </c>
    </row>
    <row r="43942" spans="26:26" x14ac:dyDescent="0.25">
      <c r="Z43942">
        <v>400000</v>
      </c>
    </row>
    <row r="43943" spans="26:26" x14ac:dyDescent="0.25">
      <c r="Z43943">
        <v>400000</v>
      </c>
    </row>
    <row r="43944" spans="26:26" x14ac:dyDescent="0.25">
      <c r="Z43944">
        <v>400000</v>
      </c>
    </row>
    <row r="43945" spans="26:26" x14ac:dyDescent="0.25">
      <c r="Z43945">
        <v>400000</v>
      </c>
    </row>
    <row r="43946" spans="26:26" x14ac:dyDescent="0.25">
      <c r="Z43946">
        <v>400000</v>
      </c>
    </row>
    <row r="43947" spans="26:26" x14ac:dyDescent="0.25">
      <c r="Z43947">
        <v>400000</v>
      </c>
    </row>
    <row r="43948" spans="26:26" x14ac:dyDescent="0.25">
      <c r="Z43948">
        <v>400000</v>
      </c>
    </row>
    <row r="43949" spans="26:26" x14ac:dyDescent="0.25">
      <c r="Z43949">
        <v>400000</v>
      </c>
    </row>
    <row r="43950" spans="26:26" x14ac:dyDescent="0.25">
      <c r="Z43950">
        <v>400000</v>
      </c>
    </row>
    <row r="43951" spans="26:26" x14ac:dyDescent="0.25">
      <c r="Z43951">
        <v>400000</v>
      </c>
    </row>
    <row r="43952" spans="26:26" x14ac:dyDescent="0.25">
      <c r="Z43952">
        <v>400000</v>
      </c>
    </row>
    <row r="43953" spans="26:26" x14ac:dyDescent="0.25">
      <c r="Z43953">
        <v>400000</v>
      </c>
    </row>
    <row r="43954" spans="26:26" x14ac:dyDescent="0.25">
      <c r="Z43954">
        <v>400000</v>
      </c>
    </row>
    <row r="43955" spans="26:26" x14ac:dyDescent="0.25">
      <c r="Z43955">
        <v>400000</v>
      </c>
    </row>
    <row r="43956" spans="26:26" x14ac:dyDescent="0.25">
      <c r="Z43956">
        <v>400000</v>
      </c>
    </row>
    <row r="43957" spans="26:26" x14ac:dyDescent="0.25">
      <c r="Z43957">
        <v>400000</v>
      </c>
    </row>
    <row r="43958" spans="26:26" x14ac:dyDescent="0.25">
      <c r="Z43958">
        <v>400000</v>
      </c>
    </row>
    <row r="43959" spans="26:26" x14ac:dyDescent="0.25">
      <c r="Z43959">
        <v>400000</v>
      </c>
    </row>
    <row r="43960" spans="26:26" x14ac:dyDescent="0.25">
      <c r="Z43960">
        <v>400000</v>
      </c>
    </row>
    <row r="43961" spans="26:26" x14ac:dyDescent="0.25">
      <c r="Z43961">
        <v>400000</v>
      </c>
    </row>
    <row r="43962" spans="26:26" x14ac:dyDescent="0.25">
      <c r="Z43962">
        <v>400000</v>
      </c>
    </row>
    <row r="43963" spans="26:26" x14ac:dyDescent="0.25">
      <c r="Z43963">
        <v>400000</v>
      </c>
    </row>
    <row r="43964" spans="26:26" x14ac:dyDescent="0.25">
      <c r="Z43964">
        <v>400000</v>
      </c>
    </row>
    <row r="43965" spans="26:26" x14ac:dyDescent="0.25">
      <c r="Z43965">
        <v>400000</v>
      </c>
    </row>
    <row r="43966" spans="26:26" x14ac:dyDescent="0.25">
      <c r="Z43966">
        <v>400000</v>
      </c>
    </row>
    <row r="43967" spans="26:26" x14ac:dyDescent="0.25">
      <c r="Z43967">
        <v>400000</v>
      </c>
    </row>
    <row r="43968" spans="26:26" x14ac:dyDescent="0.25">
      <c r="Z43968">
        <v>400000</v>
      </c>
    </row>
    <row r="43969" spans="26:26" x14ac:dyDescent="0.25">
      <c r="Z43969">
        <v>400000</v>
      </c>
    </row>
    <row r="43970" spans="26:26" x14ac:dyDescent="0.25">
      <c r="Z43970">
        <v>400000</v>
      </c>
    </row>
    <row r="43971" spans="26:26" x14ac:dyDescent="0.25">
      <c r="Z43971">
        <v>400000</v>
      </c>
    </row>
    <row r="43972" spans="26:26" x14ac:dyDescent="0.25">
      <c r="Z43972">
        <v>400000</v>
      </c>
    </row>
    <row r="43973" spans="26:26" x14ac:dyDescent="0.25">
      <c r="Z43973">
        <v>400000</v>
      </c>
    </row>
    <row r="43974" spans="26:26" x14ac:dyDescent="0.25">
      <c r="Z43974">
        <v>400000</v>
      </c>
    </row>
    <row r="43975" spans="26:26" x14ac:dyDescent="0.25">
      <c r="Z43975">
        <v>400000</v>
      </c>
    </row>
    <row r="43976" spans="26:26" x14ac:dyDescent="0.25">
      <c r="Z43976">
        <v>400000</v>
      </c>
    </row>
    <row r="43977" spans="26:26" x14ac:dyDescent="0.25">
      <c r="Z43977">
        <v>400000</v>
      </c>
    </row>
    <row r="43978" spans="26:26" x14ac:dyDescent="0.25">
      <c r="Z43978">
        <v>400000</v>
      </c>
    </row>
    <row r="43979" spans="26:26" x14ac:dyDescent="0.25">
      <c r="Z43979">
        <v>400000</v>
      </c>
    </row>
    <row r="43980" spans="26:26" x14ac:dyDescent="0.25">
      <c r="Z43980">
        <v>400000</v>
      </c>
    </row>
    <row r="43981" spans="26:26" x14ac:dyDescent="0.25">
      <c r="Z43981">
        <v>400000</v>
      </c>
    </row>
    <row r="43982" spans="26:26" x14ac:dyDescent="0.25">
      <c r="Z43982">
        <v>400000</v>
      </c>
    </row>
    <row r="43983" spans="26:26" x14ac:dyDescent="0.25">
      <c r="Z43983">
        <v>400000</v>
      </c>
    </row>
    <row r="43984" spans="26:26" x14ac:dyDescent="0.25">
      <c r="Z43984">
        <v>400000</v>
      </c>
    </row>
    <row r="43985" spans="26:26" x14ac:dyDescent="0.25">
      <c r="Z43985">
        <v>400000</v>
      </c>
    </row>
    <row r="43986" spans="26:26" x14ac:dyDescent="0.25">
      <c r="Z43986">
        <v>400000</v>
      </c>
    </row>
    <row r="43987" spans="26:26" x14ac:dyDescent="0.25">
      <c r="Z43987">
        <v>400000</v>
      </c>
    </row>
    <row r="43988" spans="26:26" x14ac:dyDescent="0.25">
      <c r="Z43988">
        <v>400000</v>
      </c>
    </row>
    <row r="43989" spans="26:26" x14ac:dyDescent="0.25">
      <c r="Z43989">
        <v>400000</v>
      </c>
    </row>
    <row r="43990" spans="26:26" x14ac:dyDescent="0.25">
      <c r="Z43990">
        <v>400000</v>
      </c>
    </row>
    <row r="43991" spans="26:26" x14ac:dyDescent="0.25">
      <c r="Z43991">
        <v>400000</v>
      </c>
    </row>
    <row r="43992" spans="26:26" x14ac:dyDescent="0.25">
      <c r="Z43992">
        <v>400000</v>
      </c>
    </row>
    <row r="43993" spans="26:26" x14ac:dyDescent="0.25">
      <c r="Z43993">
        <v>400000</v>
      </c>
    </row>
    <row r="43994" spans="26:26" x14ac:dyDescent="0.25">
      <c r="Z43994">
        <v>400000</v>
      </c>
    </row>
    <row r="43995" spans="26:26" x14ac:dyDescent="0.25">
      <c r="Z43995">
        <v>400000</v>
      </c>
    </row>
    <row r="43996" spans="26:26" x14ac:dyDescent="0.25">
      <c r="Z43996">
        <v>400000</v>
      </c>
    </row>
    <row r="43997" spans="26:26" x14ac:dyDescent="0.25">
      <c r="Z43997">
        <v>400000</v>
      </c>
    </row>
    <row r="43998" spans="26:26" x14ac:dyDescent="0.25">
      <c r="Z43998">
        <v>400000</v>
      </c>
    </row>
    <row r="43999" spans="26:26" x14ac:dyDescent="0.25">
      <c r="Z43999">
        <v>400000</v>
      </c>
    </row>
    <row r="44000" spans="26:26" x14ac:dyDescent="0.25">
      <c r="Z44000">
        <v>400000</v>
      </c>
    </row>
    <row r="44001" spans="26:26" x14ac:dyDescent="0.25">
      <c r="Z44001">
        <v>400000</v>
      </c>
    </row>
    <row r="44002" spans="26:26" x14ac:dyDescent="0.25">
      <c r="Z44002">
        <v>400000</v>
      </c>
    </row>
    <row r="44003" spans="26:26" x14ac:dyDescent="0.25">
      <c r="Z44003">
        <v>400000</v>
      </c>
    </row>
    <row r="44004" spans="26:26" x14ac:dyDescent="0.25">
      <c r="Z44004">
        <v>400000</v>
      </c>
    </row>
    <row r="44005" spans="26:26" x14ac:dyDescent="0.25">
      <c r="Z44005">
        <v>400000</v>
      </c>
    </row>
    <row r="44006" spans="26:26" x14ac:dyDescent="0.25">
      <c r="Z44006">
        <v>400000</v>
      </c>
    </row>
    <row r="44007" spans="26:26" x14ac:dyDescent="0.25">
      <c r="Z44007">
        <v>400000</v>
      </c>
    </row>
    <row r="44008" spans="26:26" x14ac:dyDescent="0.25">
      <c r="Z44008">
        <v>400000</v>
      </c>
    </row>
    <row r="44009" spans="26:26" x14ac:dyDescent="0.25">
      <c r="Z44009">
        <v>400000</v>
      </c>
    </row>
    <row r="44010" spans="26:26" x14ac:dyDescent="0.25">
      <c r="Z44010">
        <v>400000</v>
      </c>
    </row>
    <row r="44011" spans="26:26" x14ac:dyDescent="0.25">
      <c r="Z44011">
        <v>400000</v>
      </c>
    </row>
    <row r="44012" spans="26:26" x14ac:dyDescent="0.25">
      <c r="Z44012">
        <v>400000</v>
      </c>
    </row>
    <row r="44013" spans="26:26" x14ac:dyDescent="0.25">
      <c r="Z44013">
        <v>400000</v>
      </c>
    </row>
    <row r="44014" spans="26:26" x14ac:dyDescent="0.25">
      <c r="Z44014">
        <v>400000</v>
      </c>
    </row>
    <row r="44015" spans="26:26" x14ac:dyDescent="0.25">
      <c r="Z44015">
        <v>400000</v>
      </c>
    </row>
    <row r="44016" spans="26:26" x14ac:dyDescent="0.25">
      <c r="Z44016">
        <v>400000</v>
      </c>
    </row>
    <row r="44017" spans="26:26" x14ac:dyDescent="0.25">
      <c r="Z44017">
        <v>400000</v>
      </c>
    </row>
    <row r="44018" spans="26:26" x14ac:dyDescent="0.25">
      <c r="Z44018">
        <v>400000</v>
      </c>
    </row>
    <row r="44019" spans="26:26" x14ac:dyDescent="0.25">
      <c r="Z44019">
        <v>400000</v>
      </c>
    </row>
    <row r="44020" spans="26:26" x14ac:dyDescent="0.25">
      <c r="Z44020">
        <v>400000</v>
      </c>
    </row>
    <row r="44021" spans="26:26" x14ac:dyDescent="0.25">
      <c r="Z44021">
        <v>400000</v>
      </c>
    </row>
    <row r="44022" spans="26:26" x14ac:dyDescent="0.25">
      <c r="Z44022">
        <v>400000</v>
      </c>
    </row>
    <row r="44023" spans="26:26" x14ac:dyDescent="0.25">
      <c r="Z44023">
        <v>400000</v>
      </c>
    </row>
    <row r="44024" spans="26:26" x14ac:dyDescent="0.25">
      <c r="Z44024">
        <v>400000</v>
      </c>
    </row>
    <row r="44025" spans="26:26" x14ac:dyDescent="0.25">
      <c r="Z44025">
        <v>400000</v>
      </c>
    </row>
    <row r="44026" spans="26:26" x14ac:dyDescent="0.25">
      <c r="Z44026">
        <v>400000</v>
      </c>
    </row>
    <row r="44027" spans="26:26" x14ac:dyDescent="0.25">
      <c r="Z44027">
        <v>400000</v>
      </c>
    </row>
    <row r="44028" spans="26:26" x14ac:dyDescent="0.25">
      <c r="Z44028">
        <v>400000</v>
      </c>
    </row>
    <row r="44029" spans="26:26" x14ac:dyDescent="0.25">
      <c r="Z44029">
        <v>400000</v>
      </c>
    </row>
    <row r="44030" spans="26:26" x14ac:dyDescent="0.25">
      <c r="Z44030">
        <v>400000</v>
      </c>
    </row>
    <row r="44031" spans="26:26" x14ac:dyDescent="0.25">
      <c r="Z44031">
        <v>400000</v>
      </c>
    </row>
    <row r="44032" spans="26:26" x14ac:dyDescent="0.25">
      <c r="Z44032">
        <v>400000</v>
      </c>
    </row>
    <row r="44033" spans="26:26" x14ac:dyDescent="0.25">
      <c r="Z44033">
        <v>400000</v>
      </c>
    </row>
    <row r="44034" spans="26:26" x14ac:dyDescent="0.25">
      <c r="Z44034">
        <v>400000</v>
      </c>
    </row>
    <row r="44035" spans="26:26" x14ac:dyDescent="0.25">
      <c r="Z44035">
        <v>400000</v>
      </c>
    </row>
    <row r="44036" spans="26:26" x14ac:dyDescent="0.25">
      <c r="Z44036">
        <v>400000</v>
      </c>
    </row>
    <row r="44037" spans="26:26" x14ac:dyDescent="0.25">
      <c r="Z44037">
        <v>400000</v>
      </c>
    </row>
    <row r="44038" spans="26:26" x14ac:dyDescent="0.25">
      <c r="Z44038">
        <v>400000</v>
      </c>
    </row>
    <row r="44039" spans="26:26" x14ac:dyDescent="0.25">
      <c r="Z44039">
        <v>400000</v>
      </c>
    </row>
    <row r="44040" spans="26:26" x14ac:dyDescent="0.25">
      <c r="Z44040">
        <v>400000</v>
      </c>
    </row>
    <row r="44041" spans="26:26" x14ac:dyDescent="0.25">
      <c r="Z44041">
        <v>400000</v>
      </c>
    </row>
    <row r="44042" spans="26:26" x14ac:dyDescent="0.25">
      <c r="Z44042">
        <v>400000</v>
      </c>
    </row>
    <row r="44043" spans="26:26" x14ac:dyDescent="0.25">
      <c r="Z44043">
        <v>400000</v>
      </c>
    </row>
    <row r="44044" spans="26:26" x14ac:dyDescent="0.25">
      <c r="Z44044">
        <v>400000</v>
      </c>
    </row>
    <row r="44045" spans="26:26" x14ac:dyDescent="0.25">
      <c r="Z44045">
        <v>400000</v>
      </c>
    </row>
    <row r="44046" spans="26:26" x14ac:dyDescent="0.25">
      <c r="Z44046">
        <v>400000</v>
      </c>
    </row>
    <row r="44047" spans="26:26" x14ac:dyDescent="0.25">
      <c r="Z44047">
        <v>400000</v>
      </c>
    </row>
    <row r="44048" spans="26:26" x14ac:dyDescent="0.25">
      <c r="Z44048">
        <v>400000</v>
      </c>
    </row>
    <row r="44049" spans="26:26" x14ac:dyDescent="0.25">
      <c r="Z44049">
        <v>400000</v>
      </c>
    </row>
    <row r="44050" spans="26:26" x14ac:dyDescent="0.25">
      <c r="Z44050">
        <v>400000</v>
      </c>
    </row>
    <row r="44051" spans="26:26" x14ac:dyDescent="0.25">
      <c r="Z44051">
        <v>400000</v>
      </c>
    </row>
    <row r="44052" spans="26:26" x14ac:dyDescent="0.25">
      <c r="Z44052">
        <v>400000</v>
      </c>
    </row>
    <row r="44053" spans="26:26" x14ac:dyDescent="0.25">
      <c r="Z44053">
        <v>400000</v>
      </c>
    </row>
    <row r="44054" spans="26:26" x14ac:dyDescent="0.25">
      <c r="Z44054">
        <v>400000</v>
      </c>
    </row>
    <row r="44055" spans="26:26" x14ac:dyDescent="0.25">
      <c r="Z44055">
        <v>400000</v>
      </c>
    </row>
    <row r="44056" spans="26:26" x14ac:dyDescent="0.25">
      <c r="Z44056">
        <v>400000</v>
      </c>
    </row>
    <row r="44057" spans="26:26" x14ac:dyDescent="0.25">
      <c r="Z44057">
        <v>400000</v>
      </c>
    </row>
    <row r="44058" spans="26:26" x14ac:dyDescent="0.25">
      <c r="Z44058">
        <v>400000</v>
      </c>
    </row>
    <row r="44059" spans="26:26" x14ac:dyDescent="0.25">
      <c r="Z44059">
        <v>400000</v>
      </c>
    </row>
    <row r="44060" spans="26:26" x14ac:dyDescent="0.25">
      <c r="Z44060">
        <v>400000</v>
      </c>
    </row>
    <row r="44061" spans="26:26" x14ac:dyDescent="0.25">
      <c r="Z44061">
        <v>400000</v>
      </c>
    </row>
    <row r="44062" spans="26:26" x14ac:dyDescent="0.25">
      <c r="Z44062">
        <v>400000</v>
      </c>
    </row>
    <row r="44063" spans="26:26" x14ac:dyDescent="0.25">
      <c r="Z44063">
        <v>400000</v>
      </c>
    </row>
    <row r="44064" spans="26:26" x14ac:dyDescent="0.25">
      <c r="Z44064">
        <v>400000</v>
      </c>
    </row>
    <row r="44065" spans="26:26" x14ac:dyDescent="0.25">
      <c r="Z44065">
        <v>400000</v>
      </c>
    </row>
    <row r="44066" spans="26:26" x14ac:dyDescent="0.25">
      <c r="Z44066">
        <v>400000</v>
      </c>
    </row>
    <row r="44067" spans="26:26" x14ac:dyDescent="0.25">
      <c r="Z44067">
        <v>400000</v>
      </c>
    </row>
    <row r="44068" spans="26:26" x14ac:dyDescent="0.25">
      <c r="Z44068">
        <v>400000</v>
      </c>
    </row>
    <row r="44069" spans="26:26" x14ac:dyDescent="0.25">
      <c r="Z44069">
        <v>400000</v>
      </c>
    </row>
    <row r="44070" spans="26:26" x14ac:dyDescent="0.25">
      <c r="Z44070">
        <v>400000</v>
      </c>
    </row>
    <row r="44071" spans="26:26" x14ac:dyDescent="0.25">
      <c r="Z44071">
        <v>400000</v>
      </c>
    </row>
    <row r="44072" spans="26:26" x14ac:dyDescent="0.25">
      <c r="Z44072">
        <v>400000</v>
      </c>
    </row>
    <row r="44073" spans="26:26" x14ac:dyDescent="0.25">
      <c r="Z44073">
        <v>400000</v>
      </c>
    </row>
    <row r="44074" spans="26:26" x14ac:dyDescent="0.25">
      <c r="Z44074">
        <v>400000</v>
      </c>
    </row>
    <row r="44075" spans="26:26" x14ac:dyDescent="0.25">
      <c r="Z44075">
        <v>400000</v>
      </c>
    </row>
    <row r="44076" spans="26:26" x14ac:dyDescent="0.25">
      <c r="Z44076">
        <v>400000</v>
      </c>
    </row>
    <row r="44077" spans="26:26" x14ac:dyDescent="0.25">
      <c r="Z44077">
        <v>400000</v>
      </c>
    </row>
    <row r="44078" spans="26:26" x14ac:dyDescent="0.25">
      <c r="Z44078">
        <v>400000</v>
      </c>
    </row>
    <row r="44079" spans="26:26" x14ac:dyDescent="0.25">
      <c r="Z44079">
        <v>400000</v>
      </c>
    </row>
    <row r="44080" spans="26:26" x14ac:dyDescent="0.25">
      <c r="Z44080">
        <v>400000</v>
      </c>
    </row>
    <row r="44081" spans="26:26" x14ac:dyDescent="0.25">
      <c r="Z44081">
        <v>400000</v>
      </c>
    </row>
    <row r="44082" spans="26:26" x14ac:dyDescent="0.25">
      <c r="Z44082">
        <v>400000</v>
      </c>
    </row>
    <row r="44083" spans="26:26" x14ac:dyDescent="0.25">
      <c r="Z44083">
        <v>400000</v>
      </c>
    </row>
    <row r="44084" spans="26:26" x14ac:dyDescent="0.25">
      <c r="Z44084">
        <v>400000</v>
      </c>
    </row>
    <row r="44085" spans="26:26" x14ac:dyDescent="0.25">
      <c r="Z44085">
        <v>400000</v>
      </c>
    </row>
    <row r="44086" spans="26:26" x14ac:dyDescent="0.25">
      <c r="Z44086">
        <v>400000</v>
      </c>
    </row>
    <row r="44087" spans="26:26" x14ac:dyDescent="0.25">
      <c r="Z44087">
        <v>400000</v>
      </c>
    </row>
    <row r="44088" spans="26:26" x14ac:dyDescent="0.25">
      <c r="Z44088">
        <v>400000</v>
      </c>
    </row>
    <row r="44089" spans="26:26" x14ac:dyDescent="0.25">
      <c r="Z44089">
        <v>400000</v>
      </c>
    </row>
    <row r="44090" spans="26:26" x14ac:dyDescent="0.25">
      <c r="Z44090">
        <v>400000</v>
      </c>
    </row>
    <row r="44091" spans="26:26" x14ac:dyDescent="0.25">
      <c r="Z44091">
        <v>400000</v>
      </c>
    </row>
    <row r="44092" spans="26:26" x14ac:dyDescent="0.25">
      <c r="Z44092">
        <v>400000</v>
      </c>
    </row>
    <row r="44093" spans="26:26" x14ac:dyDescent="0.25">
      <c r="Z44093">
        <v>400000</v>
      </c>
    </row>
    <row r="44094" spans="26:26" x14ac:dyDescent="0.25">
      <c r="Z44094">
        <v>400000</v>
      </c>
    </row>
    <row r="44095" spans="26:26" x14ac:dyDescent="0.25">
      <c r="Z44095">
        <v>400000</v>
      </c>
    </row>
    <row r="44096" spans="26:26" x14ac:dyDescent="0.25">
      <c r="Z44096">
        <v>400000</v>
      </c>
    </row>
    <row r="44097" spans="26:26" x14ac:dyDescent="0.25">
      <c r="Z44097">
        <v>400000</v>
      </c>
    </row>
    <row r="44098" spans="26:26" x14ac:dyDescent="0.25">
      <c r="Z44098">
        <v>400000</v>
      </c>
    </row>
    <row r="44099" spans="26:26" x14ac:dyDescent="0.25">
      <c r="Z44099">
        <v>400000</v>
      </c>
    </row>
    <row r="44100" spans="26:26" x14ac:dyDescent="0.25">
      <c r="Z44100">
        <v>400000</v>
      </c>
    </row>
    <row r="44101" spans="26:26" x14ac:dyDescent="0.25">
      <c r="Z44101">
        <v>400000</v>
      </c>
    </row>
    <row r="44102" spans="26:26" x14ac:dyDescent="0.25">
      <c r="Z44102">
        <v>400000</v>
      </c>
    </row>
    <row r="44103" spans="26:26" x14ac:dyDescent="0.25">
      <c r="Z44103">
        <v>400000</v>
      </c>
    </row>
    <row r="44104" spans="26:26" x14ac:dyDescent="0.25">
      <c r="Z44104">
        <v>400000</v>
      </c>
    </row>
    <row r="44105" spans="26:26" x14ac:dyDescent="0.25">
      <c r="Z44105">
        <v>400000</v>
      </c>
    </row>
    <row r="44106" spans="26:26" x14ac:dyDescent="0.25">
      <c r="Z44106">
        <v>400000</v>
      </c>
    </row>
    <row r="44107" spans="26:26" x14ac:dyDescent="0.25">
      <c r="Z44107">
        <v>400000</v>
      </c>
    </row>
    <row r="44108" spans="26:26" x14ac:dyDescent="0.25">
      <c r="Z44108">
        <v>400000</v>
      </c>
    </row>
    <row r="44109" spans="26:26" x14ac:dyDescent="0.25">
      <c r="Z44109">
        <v>400000</v>
      </c>
    </row>
    <row r="44110" spans="26:26" x14ac:dyDescent="0.25">
      <c r="Z44110">
        <v>400000</v>
      </c>
    </row>
    <row r="44111" spans="26:26" x14ac:dyDescent="0.25">
      <c r="Z44111">
        <v>400000</v>
      </c>
    </row>
    <row r="44112" spans="26:26" x14ac:dyDescent="0.25">
      <c r="Z44112">
        <v>400000</v>
      </c>
    </row>
    <row r="44113" spans="26:26" x14ac:dyDescent="0.25">
      <c r="Z44113">
        <v>400000</v>
      </c>
    </row>
    <row r="44114" spans="26:26" x14ac:dyDescent="0.25">
      <c r="Z44114">
        <v>400000</v>
      </c>
    </row>
    <row r="44115" spans="26:26" x14ac:dyDescent="0.25">
      <c r="Z44115">
        <v>400000</v>
      </c>
    </row>
    <row r="44116" spans="26:26" x14ac:dyDescent="0.25">
      <c r="Z44116">
        <v>400000</v>
      </c>
    </row>
    <row r="44117" spans="26:26" x14ac:dyDescent="0.25">
      <c r="Z44117">
        <v>400000</v>
      </c>
    </row>
    <row r="44118" spans="26:26" x14ac:dyDescent="0.25">
      <c r="Z44118">
        <v>400000</v>
      </c>
    </row>
    <row r="44119" spans="26:26" x14ac:dyDescent="0.25">
      <c r="Z44119">
        <v>400000</v>
      </c>
    </row>
    <row r="44120" spans="26:26" x14ac:dyDescent="0.25">
      <c r="Z44120">
        <v>400000</v>
      </c>
    </row>
    <row r="44121" spans="26:26" x14ac:dyDescent="0.25">
      <c r="Z44121">
        <v>400000</v>
      </c>
    </row>
    <row r="44122" spans="26:26" x14ac:dyDescent="0.25">
      <c r="Z44122">
        <v>400000</v>
      </c>
    </row>
    <row r="44123" spans="26:26" x14ac:dyDescent="0.25">
      <c r="Z44123">
        <v>400000</v>
      </c>
    </row>
    <row r="44124" spans="26:26" x14ac:dyDescent="0.25">
      <c r="Z44124">
        <v>400000</v>
      </c>
    </row>
    <row r="44125" spans="26:26" x14ac:dyDescent="0.25">
      <c r="Z44125">
        <v>400000</v>
      </c>
    </row>
    <row r="44126" spans="26:26" x14ac:dyDescent="0.25">
      <c r="Z44126">
        <v>400000</v>
      </c>
    </row>
    <row r="44127" spans="26:26" x14ac:dyDescent="0.25">
      <c r="Z44127">
        <v>400000</v>
      </c>
    </row>
    <row r="44128" spans="26:26" x14ac:dyDescent="0.25">
      <c r="Z44128">
        <v>400000</v>
      </c>
    </row>
    <row r="44129" spans="26:26" x14ac:dyDescent="0.25">
      <c r="Z44129">
        <v>400000</v>
      </c>
    </row>
    <row r="44130" spans="26:26" x14ac:dyDescent="0.25">
      <c r="Z44130">
        <v>400000</v>
      </c>
    </row>
    <row r="44131" spans="26:26" x14ac:dyDescent="0.25">
      <c r="Z44131">
        <v>400000</v>
      </c>
    </row>
    <row r="44132" spans="26:26" x14ac:dyDescent="0.25">
      <c r="Z44132">
        <v>400000</v>
      </c>
    </row>
    <row r="44133" spans="26:26" x14ac:dyDescent="0.25">
      <c r="Z44133">
        <v>400000</v>
      </c>
    </row>
    <row r="44134" spans="26:26" x14ac:dyDescent="0.25">
      <c r="Z44134">
        <v>400000</v>
      </c>
    </row>
    <row r="44135" spans="26:26" x14ac:dyDescent="0.25">
      <c r="Z44135">
        <v>400000</v>
      </c>
    </row>
    <row r="44136" spans="26:26" x14ac:dyDescent="0.25">
      <c r="Z44136">
        <v>400000</v>
      </c>
    </row>
    <row r="44137" spans="26:26" x14ac:dyDescent="0.25">
      <c r="Z44137">
        <v>400000</v>
      </c>
    </row>
    <row r="44138" spans="26:26" x14ac:dyDescent="0.25">
      <c r="Z44138">
        <v>400000</v>
      </c>
    </row>
    <row r="44139" spans="26:26" x14ac:dyDescent="0.25">
      <c r="Z44139">
        <v>400000</v>
      </c>
    </row>
    <row r="44140" spans="26:26" x14ac:dyDescent="0.25">
      <c r="Z44140">
        <v>400000</v>
      </c>
    </row>
    <row r="44141" spans="26:26" x14ac:dyDescent="0.25">
      <c r="Z44141">
        <v>400000</v>
      </c>
    </row>
    <row r="44142" spans="26:26" x14ac:dyDescent="0.25">
      <c r="Z44142">
        <v>400000</v>
      </c>
    </row>
    <row r="44143" spans="26:26" x14ac:dyDescent="0.25">
      <c r="Z44143">
        <v>400000</v>
      </c>
    </row>
    <row r="44144" spans="26:26" x14ac:dyDescent="0.25">
      <c r="Z44144">
        <v>400000</v>
      </c>
    </row>
    <row r="44145" spans="26:26" x14ac:dyDescent="0.25">
      <c r="Z44145">
        <v>400000</v>
      </c>
    </row>
    <row r="44146" spans="26:26" x14ac:dyDescent="0.25">
      <c r="Z44146">
        <v>400000</v>
      </c>
    </row>
    <row r="44147" spans="26:26" x14ac:dyDescent="0.25">
      <c r="Z44147">
        <v>400000</v>
      </c>
    </row>
    <row r="44148" spans="26:26" x14ac:dyDescent="0.25">
      <c r="Z44148">
        <v>400000</v>
      </c>
    </row>
    <row r="44149" spans="26:26" x14ac:dyDescent="0.25">
      <c r="Z44149">
        <v>400000</v>
      </c>
    </row>
    <row r="44150" spans="26:26" x14ac:dyDescent="0.25">
      <c r="Z44150">
        <v>400000</v>
      </c>
    </row>
    <row r="44151" spans="26:26" x14ac:dyDescent="0.25">
      <c r="Z44151">
        <v>400000</v>
      </c>
    </row>
    <row r="44152" spans="26:26" x14ac:dyDescent="0.25">
      <c r="Z44152">
        <v>400000</v>
      </c>
    </row>
    <row r="44153" spans="26:26" x14ac:dyDescent="0.25">
      <c r="Z44153">
        <v>400000</v>
      </c>
    </row>
    <row r="44154" spans="26:26" x14ac:dyDescent="0.25">
      <c r="Z44154">
        <v>400000</v>
      </c>
    </row>
    <row r="44155" spans="26:26" x14ac:dyDescent="0.25">
      <c r="Z44155">
        <v>400000</v>
      </c>
    </row>
    <row r="44156" spans="26:26" x14ac:dyDescent="0.25">
      <c r="Z44156">
        <v>400000</v>
      </c>
    </row>
    <row r="44157" spans="26:26" x14ac:dyDescent="0.25">
      <c r="Z44157">
        <v>400000</v>
      </c>
    </row>
    <row r="44158" spans="26:26" x14ac:dyDescent="0.25">
      <c r="Z44158">
        <v>400000</v>
      </c>
    </row>
    <row r="44159" spans="26:26" x14ac:dyDescent="0.25">
      <c r="Z44159">
        <v>400000</v>
      </c>
    </row>
    <row r="44160" spans="26:26" x14ac:dyDescent="0.25">
      <c r="Z44160">
        <v>400000</v>
      </c>
    </row>
    <row r="44161" spans="26:26" x14ac:dyDescent="0.25">
      <c r="Z44161">
        <v>400000</v>
      </c>
    </row>
    <row r="44162" spans="26:26" x14ac:dyDescent="0.25">
      <c r="Z44162">
        <v>400000</v>
      </c>
    </row>
    <row r="44163" spans="26:26" x14ac:dyDescent="0.25">
      <c r="Z44163">
        <v>400000</v>
      </c>
    </row>
    <row r="44164" spans="26:26" x14ac:dyDescent="0.25">
      <c r="Z44164">
        <v>400000</v>
      </c>
    </row>
    <row r="44165" spans="26:26" x14ac:dyDescent="0.25">
      <c r="Z44165">
        <v>400000</v>
      </c>
    </row>
    <row r="44166" spans="26:26" x14ac:dyDescent="0.25">
      <c r="Z44166">
        <v>400000</v>
      </c>
    </row>
    <row r="44167" spans="26:26" x14ac:dyDescent="0.25">
      <c r="Z44167">
        <v>400000</v>
      </c>
    </row>
    <row r="44168" spans="26:26" x14ac:dyDescent="0.25">
      <c r="Z44168">
        <v>400000</v>
      </c>
    </row>
    <row r="44169" spans="26:26" x14ac:dyDescent="0.25">
      <c r="Z44169">
        <v>400000</v>
      </c>
    </row>
    <row r="44170" spans="26:26" x14ac:dyDescent="0.25">
      <c r="Z44170">
        <v>400000</v>
      </c>
    </row>
    <row r="44171" spans="26:26" x14ac:dyDescent="0.25">
      <c r="Z44171">
        <v>400000</v>
      </c>
    </row>
    <row r="44172" spans="26:26" x14ac:dyDescent="0.25">
      <c r="Z44172">
        <v>400000</v>
      </c>
    </row>
    <row r="44173" spans="26:26" x14ac:dyDescent="0.25">
      <c r="Z44173">
        <v>400000</v>
      </c>
    </row>
    <row r="44174" spans="26:26" x14ac:dyDescent="0.25">
      <c r="Z44174">
        <v>400000</v>
      </c>
    </row>
    <row r="44175" spans="26:26" x14ac:dyDescent="0.25">
      <c r="Z44175">
        <v>400000</v>
      </c>
    </row>
    <row r="44176" spans="26:26" x14ac:dyDescent="0.25">
      <c r="Z44176">
        <v>400000</v>
      </c>
    </row>
    <row r="44177" spans="26:26" x14ac:dyDescent="0.25">
      <c r="Z44177">
        <v>400000</v>
      </c>
    </row>
    <row r="44178" spans="26:26" x14ac:dyDescent="0.25">
      <c r="Z44178">
        <v>400000</v>
      </c>
    </row>
    <row r="44179" spans="26:26" x14ac:dyDescent="0.25">
      <c r="Z44179">
        <v>400000</v>
      </c>
    </row>
    <row r="44180" spans="26:26" x14ac:dyDescent="0.25">
      <c r="Z44180">
        <v>400000</v>
      </c>
    </row>
    <row r="44181" spans="26:26" x14ac:dyDescent="0.25">
      <c r="Z44181">
        <v>400000</v>
      </c>
    </row>
    <row r="44182" spans="26:26" x14ac:dyDescent="0.25">
      <c r="Z44182">
        <v>400000</v>
      </c>
    </row>
    <row r="44183" spans="26:26" x14ac:dyDescent="0.25">
      <c r="Z44183">
        <v>400000</v>
      </c>
    </row>
    <row r="44184" spans="26:26" x14ac:dyDescent="0.25">
      <c r="Z44184">
        <v>400000</v>
      </c>
    </row>
    <row r="44185" spans="26:26" x14ac:dyDescent="0.25">
      <c r="Z44185">
        <v>400000</v>
      </c>
    </row>
    <row r="44186" spans="26:26" x14ac:dyDescent="0.25">
      <c r="Z44186">
        <v>400000</v>
      </c>
    </row>
    <row r="44187" spans="26:26" x14ac:dyDescent="0.25">
      <c r="Z44187">
        <v>400000</v>
      </c>
    </row>
    <row r="44188" spans="26:26" x14ac:dyDescent="0.25">
      <c r="Z44188">
        <v>400000</v>
      </c>
    </row>
    <row r="44189" spans="26:26" x14ac:dyDescent="0.25">
      <c r="Z44189">
        <v>400000</v>
      </c>
    </row>
    <row r="44190" spans="26:26" x14ac:dyDescent="0.25">
      <c r="Z44190">
        <v>400000</v>
      </c>
    </row>
    <row r="44191" spans="26:26" x14ac:dyDescent="0.25">
      <c r="Z44191">
        <v>400000</v>
      </c>
    </row>
    <row r="44192" spans="26:26" x14ac:dyDescent="0.25">
      <c r="Z44192">
        <v>400000</v>
      </c>
    </row>
    <row r="44193" spans="26:26" x14ac:dyDescent="0.25">
      <c r="Z44193">
        <v>400000</v>
      </c>
    </row>
    <row r="44194" spans="26:26" x14ac:dyDescent="0.25">
      <c r="Z44194">
        <v>400000</v>
      </c>
    </row>
    <row r="44195" spans="26:26" x14ac:dyDescent="0.25">
      <c r="Z44195">
        <v>400000</v>
      </c>
    </row>
    <row r="44196" spans="26:26" x14ac:dyDescent="0.25">
      <c r="Z44196">
        <v>400000</v>
      </c>
    </row>
    <row r="44197" spans="26:26" x14ac:dyDescent="0.25">
      <c r="Z44197">
        <v>400000</v>
      </c>
    </row>
    <row r="44198" spans="26:26" x14ac:dyDescent="0.25">
      <c r="Z44198">
        <v>400000</v>
      </c>
    </row>
    <row r="44199" spans="26:26" x14ac:dyDescent="0.25">
      <c r="Z44199">
        <v>400000</v>
      </c>
    </row>
    <row r="44200" spans="26:26" x14ac:dyDescent="0.25">
      <c r="Z44200">
        <v>400000</v>
      </c>
    </row>
    <row r="44201" spans="26:26" x14ac:dyDescent="0.25">
      <c r="Z44201">
        <v>400000</v>
      </c>
    </row>
    <row r="44202" spans="26:26" x14ac:dyDescent="0.25">
      <c r="Z44202">
        <v>400000</v>
      </c>
    </row>
    <row r="44203" spans="26:26" x14ac:dyDescent="0.25">
      <c r="Z44203">
        <v>400000</v>
      </c>
    </row>
    <row r="44204" spans="26:26" x14ac:dyDescent="0.25">
      <c r="Z44204">
        <v>400000</v>
      </c>
    </row>
    <row r="44205" spans="26:26" x14ac:dyDescent="0.25">
      <c r="Z44205">
        <v>400000</v>
      </c>
    </row>
    <row r="44206" spans="26:26" x14ac:dyDescent="0.25">
      <c r="Z44206">
        <v>400000</v>
      </c>
    </row>
    <row r="44207" spans="26:26" x14ac:dyDescent="0.25">
      <c r="Z44207">
        <v>400000</v>
      </c>
    </row>
    <row r="44208" spans="26:26" x14ac:dyDescent="0.25">
      <c r="Z44208">
        <v>400000</v>
      </c>
    </row>
    <row r="44209" spans="26:26" x14ac:dyDescent="0.25">
      <c r="Z44209">
        <v>400000</v>
      </c>
    </row>
    <row r="44210" spans="26:26" x14ac:dyDescent="0.25">
      <c r="Z44210">
        <v>400000</v>
      </c>
    </row>
    <row r="44211" spans="26:26" x14ac:dyDescent="0.25">
      <c r="Z44211">
        <v>400000</v>
      </c>
    </row>
    <row r="44212" spans="26:26" x14ac:dyDescent="0.25">
      <c r="Z44212">
        <v>400000</v>
      </c>
    </row>
    <row r="44213" spans="26:26" x14ac:dyDescent="0.25">
      <c r="Z44213">
        <v>400000</v>
      </c>
    </row>
    <row r="44214" spans="26:26" x14ac:dyDescent="0.25">
      <c r="Z44214">
        <v>400000</v>
      </c>
    </row>
    <row r="44215" spans="26:26" x14ac:dyDescent="0.25">
      <c r="Z44215">
        <v>400000</v>
      </c>
    </row>
    <row r="44216" spans="26:26" x14ac:dyDescent="0.25">
      <c r="Z44216">
        <v>400000</v>
      </c>
    </row>
    <row r="44217" spans="26:26" x14ac:dyDescent="0.25">
      <c r="Z44217">
        <v>400000</v>
      </c>
    </row>
    <row r="44218" spans="26:26" x14ac:dyDescent="0.25">
      <c r="Z44218">
        <v>400000</v>
      </c>
    </row>
    <row r="44219" spans="26:26" x14ac:dyDescent="0.25">
      <c r="Z44219">
        <v>400000</v>
      </c>
    </row>
    <row r="44220" spans="26:26" x14ac:dyDescent="0.25">
      <c r="Z44220">
        <v>400000</v>
      </c>
    </row>
    <row r="44221" spans="26:26" x14ac:dyDescent="0.25">
      <c r="Z44221">
        <v>400000</v>
      </c>
    </row>
    <row r="44222" spans="26:26" x14ac:dyDescent="0.25">
      <c r="Z44222">
        <v>400000</v>
      </c>
    </row>
    <row r="44223" spans="26:26" x14ac:dyDescent="0.25">
      <c r="Z44223">
        <v>400000</v>
      </c>
    </row>
    <row r="44224" spans="26:26" x14ac:dyDescent="0.25">
      <c r="Z44224">
        <v>400000</v>
      </c>
    </row>
    <row r="44225" spans="26:26" x14ac:dyDescent="0.25">
      <c r="Z44225">
        <v>400000</v>
      </c>
    </row>
    <row r="44226" spans="26:26" x14ac:dyDescent="0.25">
      <c r="Z44226">
        <v>400000</v>
      </c>
    </row>
    <row r="44227" spans="26:26" x14ac:dyDescent="0.25">
      <c r="Z44227">
        <v>400000</v>
      </c>
    </row>
    <row r="44228" spans="26:26" x14ac:dyDescent="0.25">
      <c r="Z44228">
        <v>400000</v>
      </c>
    </row>
    <row r="44229" spans="26:26" x14ac:dyDescent="0.25">
      <c r="Z44229">
        <v>400000</v>
      </c>
    </row>
    <row r="44230" spans="26:26" x14ac:dyDescent="0.25">
      <c r="Z44230">
        <v>400000</v>
      </c>
    </row>
    <row r="44231" spans="26:26" x14ac:dyDescent="0.25">
      <c r="Z44231">
        <v>400000</v>
      </c>
    </row>
    <row r="44232" spans="26:26" x14ac:dyDescent="0.25">
      <c r="Z44232">
        <v>400000</v>
      </c>
    </row>
    <row r="44233" spans="26:26" x14ac:dyDescent="0.25">
      <c r="Z44233">
        <v>400000</v>
      </c>
    </row>
    <row r="44234" spans="26:26" x14ac:dyDescent="0.25">
      <c r="Z44234">
        <v>400000</v>
      </c>
    </row>
    <row r="44235" spans="26:26" x14ac:dyDescent="0.25">
      <c r="Z44235">
        <v>400000</v>
      </c>
    </row>
    <row r="44236" spans="26:26" x14ac:dyDescent="0.25">
      <c r="Z44236">
        <v>400000</v>
      </c>
    </row>
    <row r="44237" spans="26:26" x14ac:dyDescent="0.25">
      <c r="Z44237">
        <v>400000</v>
      </c>
    </row>
    <row r="44238" spans="26:26" x14ac:dyDescent="0.25">
      <c r="Z44238">
        <v>400000</v>
      </c>
    </row>
    <row r="44239" spans="26:26" x14ac:dyDescent="0.25">
      <c r="Z44239">
        <v>400000</v>
      </c>
    </row>
    <row r="44240" spans="26:26" x14ac:dyDescent="0.25">
      <c r="Z44240">
        <v>400000</v>
      </c>
    </row>
    <row r="44241" spans="26:26" x14ac:dyDescent="0.25">
      <c r="Z44241">
        <v>400000</v>
      </c>
    </row>
    <row r="44242" spans="26:26" x14ac:dyDescent="0.25">
      <c r="Z44242">
        <v>400000</v>
      </c>
    </row>
    <row r="44243" spans="26:26" x14ac:dyDescent="0.25">
      <c r="Z44243">
        <v>400000</v>
      </c>
    </row>
    <row r="44244" spans="26:26" x14ac:dyDescent="0.25">
      <c r="Z44244">
        <v>400000</v>
      </c>
    </row>
    <row r="44245" spans="26:26" x14ac:dyDescent="0.25">
      <c r="Z44245">
        <v>400000</v>
      </c>
    </row>
    <row r="44246" spans="26:26" x14ac:dyDescent="0.25">
      <c r="Z44246">
        <v>400000</v>
      </c>
    </row>
    <row r="44247" spans="26:26" x14ac:dyDescent="0.25">
      <c r="Z44247">
        <v>400000</v>
      </c>
    </row>
    <row r="44248" spans="26:26" x14ac:dyDescent="0.25">
      <c r="Z44248">
        <v>400000</v>
      </c>
    </row>
    <row r="44249" spans="26:26" x14ac:dyDescent="0.25">
      <c r="Z44249">
        <v>400000</v>
      </c>
    </row>
    <row r="44250" spans="26:26" x14ac:dyDescent="0.25">
      <c r="Z44250">
        <v>400000</v>
      </c>
    </row>
    <row r="44251" spans="26:26" x14ac:dyDescent="0.25">
      <c r="Z44251">
        <v>400000</v>
      </c>
    </row>
    <row r="44252" spans="26:26" x14ac:dyDescent="0.25">
      <c r="Z44252">
        <v>400000</v>
      </c>
    </row>
    <row r="44253" spans="26:26" x14ac:dyDescent="0.25">
      <c r="Z44253">
        <v>400000</v>
      </c>
    </row>
    <row r="44254" spans="26:26" x14ac:dyDescent="0.25">
      <c r="Z44254">
        <v>400000</v>
      </c>
    </row>
    <row r="44255" spans="26:26" x14ac:dyDescent="0.25">
      <c r="Z44255">
        <v>400000</v>
      </c>
    </row>
    <row r="44256" spans="26:26" x14ac:dyDescent="0.25">
      <c r="Z44256">
        <v>400000</v>
      </c>
    </row>
    <row r="44257" spans="26:26" x14ac:dyDescent="0.25">
      <c r="Z44257">
        <v>400000</v>
      </c>
    </row>
    <row r="44258" spans="26:26" x14ac:dyDescent="0.25">
      <c r="Z44258">
        <v>400000</v>
      </c>
    </row>
    <row r="44259" spans="26:26" x14ac:dyDescent="0.25">
      <c r="Z44259">
        <v>400000</v>
      </c>
    </row>
    <row r="44260" spans="26:26" x14ac:dyDescent="0.25">
      <c r="Z44260">
        <v>400000</v>
      </c>
    </row>
    <row r="44261" spans="26:26" x14ac:dyDescent="0.25">
      <c r="Z44261">
        <v>400000</v>
      </c>
    </row>
    <row r="44262" spans="26:26" x14ac:dyDescent="0.25">
      <c r="Z44262">
        <v>400000</v>
      </c>
    </row>
    <row r="44263" spans="26:26" x14ac:dyDescent="0.25">
      <c r="Z44263">
        <v>400000</v>
      </c>
    </row>
    <row r="44264" spans="26:26" x14ac:dyDescent="0.25">
      <c r="Z44264">
        <v>400000</v>
      </c>
    </row>
    <row r="44265" spans="26:26" x14ac:dyDescent="0.25">
      <c r="Z44265">
        <v>400000</v>
      </c>
    </row>
    <row r="44266" spans="26:26" x14ac:dyDescent="0.25">
      <c r="Z44266">
        <v>400000</v>
      </c>
    </row>
    <row r="44267" spans="26:26" x14ac:dyDescent="0.25">
      <c r="Z44267">
        <v>400000</v>
      </c>
    </row>
    <row r="44268" spans="26:26" x14ac:dyDescent="0.25">
      <c r="Z44268">
        <v>400000</v>
      </c>
    </row>
    <row r="44269" spans="26:26" x14ac:dyDescent="0.25">
      <c r="Z44269">
        <v>400000</v>
      </c>
    </row>
    <row r="44270" spans="26:26" x14ac:dyDescent="0.25">
      <c r="Z44270">
        <v>400000</v>
      </c>
    </row>
    <row r="44271" spans="26:26" x14ac:dyDescent="0.25">
      <c r="Z44271">
        <v>400000</v>
      </c>
    </row>
    <row r="44272" spans="26:26" x14ac:dyDescent="0.25">
      <c r="Z44272">
        <v>400000</v>
      </c>
    </row>
    <row r="44273" spans="26:26" x14ac:dyDescent="0.25">
      <c r="Z44273">
        <v>400000</v>
      </c>
    </row>
    <row r="44274" spans="26:26" x14ac:dyDescent="0.25">
      <c r="Z44274">
        <v>400000</v>
      </c>
    </row>
    <row r="44275" spans="26:26" x14ac:dyDescent="0.25">
      <c r="Z44275">
        <v>400000</v>
      </c>
    </row>
    <row r="44276" spans="26:26" x14ac:dyDescent="0.25">
      <c r="Z44276">
        <v>400000</v>
      </c>
    </row>
    <row r="44277" spans="26:26" x14ac:dyDescent="0.25">
      <c r="Z44277">
        <v>400000</v>
      </c>
    </row>
    <row r="44278" spans="26:26" x14ac:dyDescent="0.25">
      <c r="Z44278">
        <v>400000</v>
      </c>
    </row>
    <row r="44279" spans="26:26" x14ac:dyDescent="0.25">
      <c r="Z44279">
        <v>400000</v>
      </c>
    </row>
    <row r="44280" spans="26:26" x14ac:dyDescent="0.25">
      <c r="Z44280">
        <v>400000</v>
      </c>
    </row>
    <row r="44281" spans="26:26" x14ac:dyDescent="0.25">
      <c r="Z44281">
        <v>400000</v>
      </c>
    </row>
    <row r="44282" spans="26:26" x14ac:dyDescent="0.25">
      <c r="Z44282">
        <v>400000</v>
      </c>
    </row>
    <row r="44283" spans="26:26" x14ac:dyDescent="0.25">
      <c r="Z44283">
        <v>400000</v>
      </c>
    </row>
    <row r="44284" spans="26:26" x14ac:dyDescent="0.25">
      <c r="Z44284">
        <v>400000</v>
      </c>
    </row>
    <row r="44285" spans="26:26" x14ac:dyDescent="0.25">
      <c r="Z44285">
        <v>400000</v>
      </c>
    </row>
    <row r="44286" spans="26:26" x14ac:dyDescent="0.25">
      <c r="Z44286">
        <v>400000</v>
      </c>
    </row>
    <row r="44287" spans="26:26" x14ac:dyDescent="0.25">
      <c r="Z44287">
        <v>400000</v>
      </c>
    </row>
    <row r="44288" spans="26:26" x14ac:dyDescent="0.25">
      <c r="Z44288">
        <v>400000</v>
      </c>
    </row>
    <row r="44289" spans="26:26" x14ac:dyDescent="0.25">
      <c r="Z44289">
        <v>400000</v>
      </c>
    </row>
    <row r="44290" spans="26:26" x14ac:dyDescent="0.25">
      <c r="Z44290">
        <v>400000</v>
      </c>
    </row>
    <row r="44291" spans="26:26" x14ac:dyDescent="0.25">
      <c r="Z44291">
        <v>400000</v>
      </c>
    </row>
    <row r="44292" spans="26:26" x14ac:dyDescent="0.25">
      <c r="Z44292">
        <v>400000</v>
      </c>
    </row>
    <row r="44293" spans="26:26" x14ac:dyDescent="0.25">
      <c r="Z44293">
        <v>400000</v>
      </c>
    </row>
    <row r="44294" spans="26:26" x14ac:dyDescent="0.25">
      <c r="Z44294">
        <v>400000</v>
      </c>
    </row>
    <row r="44295" spans="26:26" x14ac:dyDescent="0.25">
      <c r="Z44295">
        <v>400000</v>
      </c>
    </row>
    <row r="44296" spans="26:26" x14ac:dyDescent="0.25">
      <c r="Z44296">
        <v>400000</v>
      </c>
    </row>
    <row r="44297" spans="26:26" x14ac:dyDescent="0.25">
      <c r="Z44297">
        <v>400000</v>
      </c>
    </row>
    <row r="44298" spans="26:26" x14ac:dyDescent="0.25">
      <c r="Z44298">
        <v>400000</v>
      </c>
    </row>
    <row r="44299" spans="26:26" x14ac:dyDescent="0.25">
      <c r="Z44299">
        <v>400000</v>
      </c>
    </row>
    <row r="44300" spans="26:26" x14ac:dyDescent="0.25">
      <c r="Z44300">
        <v>400000</v>
      </c>
    </row>
    <row r="44301" spans="26:26" x14ac:dyDescent="0.25">
      <c r="Z44301">
        <v>400000</v>
      </c>
    </row>
    <row r="44302" spans="26:26" x14ac:dyDescent="0.25">
      <c r="Z44302">
        <v>400000</v>
      </c>
    </row>
    <row r="44303" spans="26:26" x14ac:dyDescent="0.25">
      <c r="Z44303">
        <v>400000</v>
      </c>
    </row>
    <row r="44304" spans="26:26" x14ac:dyDescent="0.25">
      <c r="Z44304">
        <v>400000</v>
      </c>
    </row>
    <row r="44305" spans="26:26" x14ac:dyDescent="0.25">
      <c r="Z44305">
        <v>400000</v>
      </c>
    </row>
    <row r="44306" spans="26:26" x14ac:dyDescent="0.25">
      <c r="Z44306">
        <v>400000</v>
      </c>
    </row>
    <row r="44307" spans="26:26" x14ac:dyDescent="0.25">
      <c r="Z44307">
        <v>400000</v>
      </c>
    </row>
    <row r="44308" spans="26:26" x14ac:dyDescent="0.25">
      <c r="Z44308">
        <v>400000</v>
      </c>
    </row>
    <row r="44309" spans="26:26" x14ac:dyDescent="0.25">
      <c r="Z44309">
        <v>400000</v>
      </c>
    </row>
    <row r="44310" spans="26:26" x14ac:dyDescent="0.25">
      <c r="Z44310">
        <v>400000</v>
      </c>
    </row>
    <row r="44311" spans="26:26" x14ac:dyDescent="0.25">
      <c r="Z44311">
        <v>400000</v>
      </c>
    </row>
    <row r="44312" spans="26:26" x14ac:dyDescent="0.25">
      <c r="Z44312">
        <v>400000</v>
      </c>
    </row>
    <row r="44313" spans="26:26" x14ac:dyDescent="0.25">
      <c r="Z44313">
        <v>400000</v>
      </c>
    </row>
    <row r="44314" spans="26:26" x14ac:dyDescent="0.25">
      <c r="Z44314">
        <v>400000</v>
      </c>
    </row>
    <row r="44315" spans="26:26" x14ac:dyDescent="0.25">
      <c r="Z44315">
        <v>400000</v>
      </c>
    </row>
    <row r="44316" spans="26:26" x14ac:dyDescent="0.25">
      <c r="Z44316">
        <v>400000</v>
      </c>
    </row>
    <row r="44317" spans="26:26" x14ac:dyDescent="0.25">
      <c r="Z44317">
        <v>400000</v>
      </c>
    </row>
    <row r="44318" spans="26:26" x14ac:dyDescent="0.25">
      <c r="Z44318">
        <v>400000</v>
      </c>
    </row>
    <row r="44319" spans="26:26" x14ac:dyDescent="0.25">
      <c r="Z44319">
        <v>400000</v>
      </c>
    </row>
    <row r="44320" spans="26:26" x14ac:dyDescent="0.25">
      <c r="Z44320">
        <v>400000</v>
      </c>
    </row>
    <row r="44321" spans="26:26" x14ac:dyDescent="0.25">
      <c r="Z44321">
        <v>400000</v>
      </c>
    </row>
    <row r="44322" spans="26:26" x14ac:dyDescent="0.25">
      <c r="Z44322">
        <v>400000</v>
      </c>
    </row>
    <row r="44323" spans="26:26" x14ac:dyDescent="0.25">
      <c r="Z44323">
        <v>400000</v>
      </c>
    </row>
    <row r="44324" spans="26:26" x14ac:dyDescent="0.25">
      <c r="Z44324">
        <v>400000</v>
      </c>
    </row>
    <row r="44325" spans="26:26" x14ac:dyDescent="0.25">
      <c r="Z44325">
        <v>400000</v>
      </c>
    </row>
    <row r="44326" spans="26:26" x14ac:dyDescent="0.25">
      <c r="Z44326">
        <v>400000</v>
      </c>
    </row>
    <row r="44327" spans="26:26" x14ac:dyDescent="0.25">
      <c r="Z44327">
        <v>400000</v>
      </c>
    </row>
    <row r="44328" spans="26:26" x14ac:dyDescent="0.25">
      <c r="Z44328">
        <v>400000</v>
      </c>
    </row>
    <row r="44329" spans="26:26" x14ac:dyDescent="0.25">
      <c r="Z44329">
        <v>400000</v>
      </c>
    </row>
    <row r="44330" spans="26:26" x14ac:dyDescent="0.25">
      <c r="Z44330">
        <v>400000</v>
      </c>
    </row>
    <row r="44331" spans="26:26" x14ac:dyDescent="0.25">
      <c r="Z44331">
        <v>400000</v>
      </c>
    </row>
    <row r="44332" spans="26:26" x14ac:dyDescent="0.25">
      <c r="Z44332">
        <v>400000</v>
      </c>
    </row>
    <row r="44333" spans="26:26" x14ac:dyDescent="0.25">
      <c r="Z44333">
        <v>400000</v>
      </c>
    </row>
    <row r="44334" spans="26:26" x14ac:dyDescent="0.25">
      <c r="Z44334">
        <v>400000</v>
      </c>
    </row>
    <row r="44335" spans="26:26" x14ac:dyDescent="0.25">
      <c r="Z44335">
        <v>400000</v>
      </c>
    </row>
    <row r="44336" spans="26:26" x14ac:dyDescent="0.25">
      <c r="Z44336">
        <v>400000</v>
      </c>
    </row>
    <row r="44337" spans="26:26" x14ac:dyDescent="0.25">
      <c r="Z44337">
        <v>400000</v>
      </c>
    </row>
    <row r="44338" spans="26:26" x14ac:dyDescent="0.25">
      <c r="Z44338">
        <v>400000</v>
      </c>
    </row>
    <row r="44339" spans="26:26" x14ac:dyDescent="0.25">
      <c r="Z44339">
        <v>400000</v>
      </c>
    </row>
    <row r="44340" spans="26:26" x14ac:dyDescent="0.25">
      <c r="Z44340">
        <v>400000</v>
      </c>
    </row>
    <row r="44341" spans="26:26" x14ac:dyDescent="0.25">
      <c r="Z44341">
        <v>400000</v>
      </c>
    </row>
    <row r="44342" spans="26:26" x14ac:dyDescent="0.25">
      <c r="Z44342">
        <v>400000</v>
      </c>
    </row>
    <row r="44343" spans="26:26" x14ac:dyDescent="0.25">
      <c r="Z44343">
        <v>400000</v>
      </c>
    </row>
    <row r="44344" spans="26:26" x14ac:dyDescent="0.25">
      <c r="Z44344">
        <v>400000</v>
      </c>
    </row>
    <row r="44345" spans="26:26" x14ac:dyDescent="0.25">
      <c r="Z44345">
        <v>400000</v>
      </c>
    </row>
    <row r="44346" spans="26:26" x14ac:dyDescent="0.25">
      <c r="Z44346">
        <v>400000</v>
      </c>
    </row>
    <row r="44347" spans="26:26" x14ac:dyDescent="0.25">
      <c r="Z44347">
        <v>400000</v>
      </c>
    </row>
    <row r="44348" spans="26:26" x14ac:dyDescent="0.25">
      <c r="Z44348">
        <v>400000</v>
      </c>
    </row>
    <row r="44349" spans="26:26" x14ac:dyDescent="0.25">
      <c r="Z44349">
        <v>400000</v>
      </c>
    </row>
    <row r="44350" spans="26:26" x14ac:dyDescent="0.25">
      <c r="Z44350">
        <v>400000</v>
      </c>
    </row>
    <row r="44351" spans="26:26" x14ac:dyDescent="0.25">
      <c r="Z44351">
        <v>400000</v>
      </c>
    </row>
    <row r="44352" spans="26:26" x14ac:dyDescent="0.25">
      <c r="Z44352">
        <v>400000</v>
      </c>
    </row>
    <row r="44353" spans="26:26" x14ac:dyDescent="0.25">
      <c r="Z44353">
        <v>400000</v>
      </c>
    </row>
    <row r="44354" spans="26:26" x14ac:dyDescent="0.25">
      <c r="Z44354">
        <v>400000</v>
      </c>
    </row>
    <row r="44355" spans="26:26" x14ac:dyDescent="0.25">
      <c r="Z44355">
        <v>400000</v>
      </c>
    </row>
    <row r="44356" spans="26:26" x14ac:dyDescent="0.25">
      <c r="Z44356">
        <v>400000</v>
      </c>
    </row>
    <row r="44357" spans="26:26" x14ac:dyDescent="0.25">
      <c r="Z44357">
        <v>400000</v>
      </c>
    </row>
    <row r="44358" spans="26:26" x14ac:dyDescent="0.25">
      <c r="Z44358">
        <v>400000</v>
      </c>
    </row>
    <row r="44359" spans="26:26" x14ac:dyDescent="0.25">
      <c r="Z44359">
        <v>400000</v>
      </c>
    </row>
    <row r="44360" spans="26:26" x14ac:dyDescent="0.25">
      <c r="Z44360">
        <v>400000</v>
      </c>
    </row>
    <row r="44361" spans="26:26" x14ac:dyDescent="0.25">
      <c r="Z44361">
        <v>400000</v>
      </c>
    </row>
    <row r="44362" spans="26:26" x14ac:dyDescent="0.25">
      <c r="Z44362">
        <v>400000</v>
      </c>
    </row>
    <row r="44363" spans="26:26" x14ac:dyDescent="0.25">
      <c r="Z44363">
        <v>400000</v>
      </c>
    </row>
    <row r="44364" spans="26:26" x14ac:dyDescent="0.25">
      <c r="Z44364">
        <v>400000</v>
      </c>
    </row>
    <row r="44365" spans="26:26" x14ac:dyDescent="0.25">
      <c r="Z44365">
        <v>400000</v>
      </c>
    </row>
    <row r="44366" spans="26:26" x14ac:dyDescent="0.25">
      <c r="Z44366">
        <v>400000</v>
      </c>
    </row>
    <row r="44367" spans="26:26" x14ac:dyDescent="0.25">
      <c r="Z44367">
        <v>400000</v>
      </c>
    </row>
    <row r="44368" spans="26:26" x14ac:dyDescent="0.25">
      <c r="Z44368">
        <v>400000</v>
      </c>
    </row>
    <row r="44369" spans="26:26" x14ac:dyDescent="0.25">
      <c r="Z44369">
        <v>400000</v>
      </c>
    </row>
    <row r="44370" spans="26:26" x14ac:dyDescent="0.25">
      <c r="Z44370">
        <v>400000</v>
      </c>
    </row>
    <row r="44371" spans="26:26" x14ac:dyDescent="0.25">
      <c r="Z44371">
        <v>400000</v>
      </c>
    </row>
    <row r="44372" spans="26:26" x14ac:dyDescent="0.25">
      <c r="Z44372">
        <v>400000</v>
      </c>
    </row>
    <row r="44373" spans="26:26" x14ac:dyDescent="0.25">
      <c r="Z44373">
        <v>400000</v>
      </c>
    </row>
    <row r="44374" spans="26:26" x14ac:dyDescent="0.25">
      <c r="Z44374">
        <v>400000</v>
      </c>
    </row>
    <row r="44375" spans="26:26" x14ac:dyDescent="0.25">
      <c r="Z44375">
        <v>400000</v>
      </c>
    </row>
    <row r="44376" spans="26:26" x14ac:dyDescent="0.25">
      <c r="Z44376">
        <v>400000</v>
      </c>
    </row>
    <row r="44377" spans="26:26" x14ac:dyDescent="0.25">
      <c r="Z44377">
        <v>400000</v>
      </c>
    </row>
    <row r="44378" spans="26:26" x14ac:dyDescent="0.25">
      <c r="Z44378">
        <v>400000</v>
      </c>
    </row>
    <row r="44379" spans="26:26" x14ac:dyDescent="0.25">
      <c r="Z44379">
        <v>400000</v>
      </c>
    </row>
    <row r="44380" spans="26:26" x14ac:dyDescent="0.25">
      <c r="Z44380">
        <v>400000</v>
      </c>
    </row>
    <row r="44381" spans="26:26" x14ac:dyDescent="0.25">
      <c r="Z44381">
        <v>400000</v>
      </c>
    </row>
    <row r="44382" spans="26:26" x14ac:dyDescent="0.25">
      <c r="Z44382">
        <v>400000</v>
      </c>
    </row>
    <row r="44383" spans="26:26" x14ac:dyDescent="0.25">
      <c r="Z44383">
        <v>400000</v>
      </c>
    </row>
    <row r="44384" spans="26:26" x14ac:dyDescent="0.25">
      <c r="Z44384">
        <v>400000</v>
      </c>
    </row>
    <row r="44385" spans="26:26" x14ac:dyDescent="0.25">
      <c r="Z44385">
        <v>400000</v>
      </c>
    </row>
    <row r="44386" spans="26:26" x14ac:dyDescent="0.25">
      <c r="Z44386">
        <v>400000</v>
      </c>
    </row>
    <row r="44387" spans="26:26" x14ac:dyDescent="0.25">
      <c r="Z44387">
        <v>400000</v>
      </c>
    </row>
    <row r="44388" spans="26:26" x14ac:dyDescent="0.25">
      <c r="Z44388">
        <v>400000</v>
      </c>
    </row>
    <row r="44389" spans="26:26" x14ac:dyDescent="0.25">
      <c r="Z44389">
        <v>400000</v>
      </c>
    </row>
    <row r="44390" spans="26:26" x14ac:dyDescent="0.25">
      <c r="Z44390">
        <v>400000</v>
      </c>
    </row>
    <row r="44391" spans="26:26" x14ac:dyDescent="0.25">
      <c r="Z44391">
        <v>400000</v>
      </c>
    </row>
    <row r="44392" spans="26:26" x14ac:dyDescent="0.25">
      <c r="Z44392">
        <v>400000</v>
      </c>
    </row>
    <row r="44393" spans="26:26" x14ac:dyDescent="0.25">
      <c r="Z44393">
        <v>400000</v>
      </c>
    </row>
    <row r="44394" spans="26:26" x14ac:dyDescent="0.25">
      <c r="Z44394">
        <v>400000</v>
      </c>
    </row>
    <row r="44395" spans="26:26" x14ac:dyDescent="0.25">
      <c r="Z44395">
        <v>400000</v>
      </c>
    </row>
    <row r="44396" spans="26:26" x14ac:dyDescent="0.25">
      <c r="Z44396">
        <v>400000</v>
      </c>
    </row>
    <row r="44397" spans="26:26" x14ac:dyDescent="0.25">
      <c r="Z44397">
        <v>400000</v>
      </c>
    </row>
    <row r="44398" spans="26:26" x14ac:dyDescent="0.25">
      <c r="Z44398">
        <v>400000</v>
      </c>
    </row>
    <row r="44399" spans="26:26" x14ac:dyDescent="0.25">
      <c r="Z44399">
        <v>400000</v>
      </c>
    </row>
    <row r="44400" spans="26:26" x14ac:dyDescent="0.25">
      <c r="Z44400">
        <v>400000</v>
      </c>
    </row>
    <row r="44401" spans="26:26" x14ac:dyDescent="0.25">
      <c r="Z44401">
        <v>400000</v>
      </c>
    </row>
    <row r="44402" spans="26:26" x14ac:dyDescent="0.25">
      <c r="Z44402">
        <v>400000</v>
      </c>
    </row>
    <row r="44403" spans="26:26" x14ac:dyDescent="0.25">
      <c r="Z44403">
        <v>400000</v>
      </c>
    </row>
    <row r="44404" spans="26:26" x14ac:dyDescent="0.25">
      <c r="Z44404">
        <v>400000</v>
      </c>
    </row>
    <row r="44405" spans="26:26" x14ac:dyDescent="0.25">
      <c r="Z44405">
        <v>400000</v>
      </c>
    </row>
    <row r="44406" spans="26:26" x14ac:dyDescent="0.25">
      <c r="Z44406">
        <v>400000</v>
      </c>
    </row>
    <row r="44407" spans="26:26" x14ac:dyDescent="0.25">
      <c r="Z44407">
        <v>400000</v>
      </c>
    </row>
    <row r="44408" spans="26:26" x14ac:dyDescent="0.25">
      <c r="Z44408">
        <v>400000</v>
      </c>
    </row>
    <row r="44409" spans="26:26" x14ac:dyDescent="0.25">
      <c r="Z44409">
        <v>400000</v>
      </c>
    </row>
    <row r="44410" spans="26:26" x14ac:dyDescent="0.25">
      <c r="Z44410">
        <v>400000</v>
      </c>
    </row>
    <row r="44411" spans="26:26" x14ac:dyDescent="0.25">
      <c r="Z44411">
        <v>400000</v>
      </c>
    </row>
    <row r="44412" spans="26:26" x14ac:dyDescent="0.25">
      <c r="Z44412">
        <v>400000</v>
      </c>
    </row>
    <row r="44413" spans="26:26" x14ac:dyDescent="0.25">
      <c r="Z44413">
        <v>400000</v>
      </c>
    </row>
    <row r="44414" spans="26:26" x14ac:dyDescent="0.25">
      <c r="Z44414">
        <v>400000</v>
      </c>
    </row>
    <row r="44415" spans="26:26" x14ac:dyDescent="0.25">
      <c r="Z44415">
        <v>400000</v>
      </c>
    </row>
    <row r="44416" spans="26:26" x14ac:dyDescent="0.25">
      <c r="Z44416">
        <v>400000</v>
      </c>
    </row>
    <row r="44417" spans="26:26" x14ac:dyDescent="0.25">
      <c r="Z44417">
        <v>400000</v>
      </c>
    </row>
    <row r="44418" spans="26:26" x14ac:dyDescent="0.25">
      <c r="Z44418">
        <v>400000</v>
      </c>
    </row>
    <row r="44419" spans="26:26" x14ac:dyDescent="0.25">
      <c r="Z44419">
        <v>400000</v>
      </c>
    </row>
    <row r="44420" spans="26:26" x14ac:dyDescent="0.25">
      <c r="Z44420">
        <v>400000</v>
      </c>
    </row>
    <row r="44421" spans="26:26" x14ac:dyDescent="0.25">
      <c r="Z44421">
        <v>400000</v>
      </c>
    </row>
    <row r="44422" spans="26:26" x14ac:dyDescent="0.25">
      <c r="Z44422">
        <v>400000</v>
      </c>
    </row>
    <row r="44423" spans="26:26" x14ac:dyDescent="0.25">
      <c r="Z44423">
        <v>400000</v>
      </c>
    </row>
    <row r="44424" spans="26:26" x14ac:dyDescent="0.25">
      <c r="Z44424">
        <v>400000</v>
      </c>
    </row>
    <row r="44425" spans="26:26" x14ac:dyDescent="0.25">
      <c r="Z44425">
        <v>400000</v>
      </c>
    </row>
    <row r="44426" spans="26:26" x14ac:dyDescent="0.25">
      <c r="Z44426">
        <v>400000</v>
      </c>
    </row>
    <row r="44427" spans="26:26" x14ac:dyDescent="0.25">
      <c r="Z44427">
        <v>400000</v>
      </c>
    </row>
    <row r="44428" spans="26:26" x14ac:dyDescent="0.25">
      <c r="Z44428">
        <v>400000</v>
      </c>
    </row>
    <row r="44429" spans="26:26" x14ac:dyDescent="0.25">
      <c r="Z44429">
        <v>400000</v>
      </c>
    </row>
    <row r="44430" spans="26:26" x14ac:dyDescent="0.25">
      <c r="Z44430">
        <v>400000</v>
      </c>
    </row>
    <row r="44431" spans="26:26" x14ac:dyDescent="0.25">
      <c r="Z44431">
        <v>400000</v>
      </c>
    </row>
    <row r="44432" spans="26:26" x14ac:dyDescent="0.25">
      <c r="Z44432">
        <v>400000</v>
      </c>
    </row>
    <row r="44433" spans="26:26" x14ac:dyDescent="0.25">
      <c r="Z44433">
        <v>400000</v>
      </c>
    </row>
    <row r="44434" spans="26:26" x14ac:dyDescent="0.25">
      <c r="Z44434">
        <v>400000</v>
      </c>
    </row>
    <row r="44435" spans="26:26" x14ac:dyDescent="0.25">
      <c r="Z44435">
        <v>400000</v>
      </c>
    </row>
    <row r="44436" spans="26:26" x14ac:dyDescent="0.25">
      <c r="Z44436">
        <v>400000</v>
      </c>
    </row>
    <row r="44437" spans="26:26" x14ac:dyDescent="0.25">
      <c r="Z44437">
        <v>400000</v>
      </c>
    </row>
    <row r="44438" spans="26:26" x14ac:dyDescent="0.25">
      <c r="Z44438">
        <v>400000</v>
      </c>
    </row>
    <row r="44439" spans="26:26" x14ac:dyDescent="0.25">
      <c r="Z44439">
        <v>400000</v>
      </c>
    </row>
    <row r="44440" spans="26:26" x14ac:dyDescent="0.25">
      <c r="Z44440">
        <v>400000</v>
      </c>
    </row>
    <row r="44441" spans="26:26" x14ac:dyDescent="0.25">
      <c r="Z44441">
        <v>400000</v>
      </c>
    </row>
    <row r="44442" spans="26:26" x14ac:dyDescent="0.25">
      <c r="Z44442">
        <v>400000</v>
      </c>
    </row>
    <row r="44443" spans="26:26" x14ac:dyDescent="0.25">
      <c r="Z44443">
        <v>400000</v>
      </c>
    </row>
    <row r="44444" spans="26:26" x14ac:dyDescent="0.25">
      <c r="Z44444">
        <v>400000</v>
      </c>
    </row>
    <row r="44445" spans="26:26" x14ac:dyDescent="0.25">
      <c r="Z44445">
        <v>400000</v>
      </c>
    </row>
    <row r="44446" spans="26:26" x14ac:dyDescent="0.25">
      <c r="Z44446">
        <v>400000</v>
      </c>
    </row>
    <row r="44447" spans="26:26" x14ac:dyDescent="0.25">
      <c r="Z44447">
        <v>400000</v>
      </c>
    </row>
    <row r="44448" spans="26:26" x14ac:dyDescent="0.25">
      <c r="Z44448">
        <v>400000</v>
      </c>
    </row>
    <row r="44449" spans="26:26" x14ac:dyDescent="0.25">
      <c r="Z44449">
        <v>400000</v>
      </c>
    </row>
    <row r="44450" spans="26:26" x14ac:dyDescent="0.25">
      <c r="Z44450">
        <v>400000</v>
      </c>
    </row>
    <row r="44451" spans="26:26" x14ac:dyDescent="0.25">
      <c r="Z44451">
        <v>400000</v>
      </c>
    </row>
    <row r="44452" spans="26:26" x14ac:dyDescent="0.25">
      <c r="Z44452">
        <v>400000</v>
      </c>
    </row>
    <row r="44453" spans="26:26" x14ac:dyDescent="0.25">
      <c r="Z44453">
        <v>400000</v>
      </c>
    </row>
    <row r="44454" spans="26:26" x14ac:dyDescent="0.25">
      <c r="Z44454">
        <v>400000</v>
      </c>
    </row>
    <row r="44455" spans="26:26" x14ac:dyDescent="0.25">
      <c r="Z44455">
        <v>400000</v>
      </c>
    </row>
    <row r="44456" spans="26:26" x14ac:dyDescent="0.25">
      <c r="Z44456">
        <v>400000</v>
      </c>
    </row>
    <row r="44457" spans="26:26" x14ac:dyDescent="0.25">
      <c r="Z44457">
        <v>400000</v>
      </c>
    </row>
    <row r="44458" spans="26:26" x14ac:dyDescent="0.25">
      <c r="Z44458">
        <v>400000</v>
      </c>
    </row>
    <row r="44459" spans="26:26" x14ac:dyDescent="0.25">
      <c r="Z44459">
        <v>400000</v>
      </c>
    </row>
    <row r="44460" spans="26:26" x14ac:dyDescent="0.25">
      <c r="Z44460">
        <v>400000</v>
      </c>
    </row>
    <row r="44461" spans="26:26" x14ac:dyDescent="0.25">
      <c r="Z44461">
        <v>400000</v>
      </c>
    </row>
    <row r="44462" spans="26:26" x14ac:dyDescent="0.25">
      <c r="Z44462">
        <v>400000</v>
      </c>
    </row>
    <row r="44463" spans="26:26" x14ac:dyDescent="0.25">
      <c r="Z44463">
        <v>400000</v>
      </c>
    </row>
    <row r="44464" spans="26:26" x14ac:dyDescent="0.25">
      <c r="Z44464">
        <v>400000</v>
      </c>
    </row>
    <row r="44465" spans="26:26" x14ac:dyDescent="0.25">
      <c r="Z44465">
        <v>400000</v>
      </c>
    </row>
    <row r="44466" spans="26:26" x14ac:dyDescent="0.25">
      <c r="Z44466">
        <v>400000</v>
      </c>
    </row>
    <row r="44467" spans="26:26" x14ac:dyDescent="0.25">
      <c r="Z44467">
        <v>400000</v>
      </c>
    </row>
    <row r="44468" spans="26:26" x14ac:dyDescent="0.25">
      <c r="Z44468">
        <v>400000</v>
      </c>
    </row>
    <row r="44469" spans="26:26" x14ac:dyDescent="0.25">
      <c r="Z44469">
        <v>400000</v>
      </c>
    </row>
    <row r="44470" spans="26:26" x14ac:dyDescent="0.25">
      <c r="Z44470">
        <v>400000</v>
      </c>
    </row>
    <row r="44471" spans="26:26" x14ac:dyDescent="0.25">
      <c r="Z44471">
        <v>400000</v>
      </c>
    </row>
    <row r="44472" spans="26:26" x14ac:dyDescent="0.25">
      <c r="Z44472">
        <v>400000</v>
      </c>
    </row>
    <row r="44473" spans="26:26" x14ac:dyDescent="0.25">
      <c r="Z44473">
        <v>400000</v>
      </c>
    </row>
    <row r="44474" spans="26:26" x14ac:dyDescent="0.25">
      <c r="Z44474">
        <v>400000</v>
      </c>
    </row>
    <row r="44475" spans="26:26" x14ac:dyDescent="0.25">
      <c r="Z44475">
        <v>400000</v>
      </c>
    </row>
    <row r="44476" spans="26:26" x14ac:dyDescent="0.25">
      <c r="Z44476">
        <v>400000</v>
      </c>
    </row>
    <row r="44477" spans="26:26" x14ac:dyDescent="0.25">
      <c r="Z44477">
        <v>400000</v>
      </c>
    </row>
    <row r="44478" spans="26:26" x14ac:dyDescent="0.25">
      <c r="Z44478">
        <v>400000</v>
      </c>
    </row>
    <row r="44479" spans="26:26" x14ac:dyDescent="0.25">
      <c r="Z44479">
        <v>400000</v>
      </c>
    </row>
    <row r="44480" spans="26:26" x14ac:dyDescent="0.25">
      <c r="Z44480">
        <v>400000</v>
      </c>
    </row>
    <row r="44481" spans="26:26" x14ac:dyDescent="0.25">
      <c r="Z44481">
        <v>400000</v>
      </c>
    </row>
    <row r="44482" spans="26:26" x14ac:dyDescent="0.25">
      <c r="Z44482">
        <v>400000</v>
      </c>
    </row>
    <row r="44483" spans="26:26" x14ac:dyDescent="0.25">
      <c r="Z44483">
        <v>400000</v>
      </c>
    </row>
    <row r="44484" spans="26:26" x14ac:dyDescent="0.25">
      <c r="Z44484">
        <v>400000</v>
      </c>
    </row>
    <row r="44485" spans="26:26" x14ac:dyDescent="0.25">
      <c r="Z44485">
        <v>400000</v>
      </c>
    </row>
    <row r="44486" spans="26:26" x14ac:dyDescent="0.25">
      <c r="Z44486">
        <v>400000</v>
      </c>
    </row>
    <row r="44487" spans="26:26" x14ac:dyDescent="0.25">
      <c r="Z44487">
        <v>400000</v>
      </c>
    </row>
    <row r="44488" spans="26:26" x14ac:dyDescent="0.25">
      <c r="Z44488">
        <v>400000</v>
      </c>
    </row>
    <row r="44489" spans="26:26" x14ac:dyDescent="0.25">
      <c r="Z44489">
        <v>400000</v>
      </c>
    </row>
    <row r="44490" spans="26:26" x14ac:dyDescent="0.25">
      <c r="Z44490">
        <v>400000</v>
      </c>
    </row>
    <row r="44491" spans="26:26" x14ac:dyDescent="0.25">
      <c r="Z44491">
        <v>400000</v>
      </c>
    </row>
    <row r="44492" spans="26:26" x14ac:dyDescent="0.25">
      <c r="Z44492">
        <v>400000</v>
      </c>
    </row>
    <row r="44493" spans="26:26" x14ac:dyDescent="0.25">
      <c r="Z44493">
        <v>400000</v>
      </c>
    </row>
    <row r="44494" spans="26:26" x14ac:dyDescent="0.25">
      <c r="Z44494">
        <v>400000</v>
      </c>
    </row>
    <row r="44495" spans="26:26" x14ac:dyDescent="0.25">
      <c r="Z44495">
        <v>400000</v>
      </c>
    </row>
    <row r="44496" spans="26:26" x14ac:dyDescent="0.25">
      <c r="Z44496">
        <v>400000</v>
      </c>
    </row>
    <row r="44497" spans="26:26" x14ac:dyDescent="0.25">
      <c r="Z44497">
        <v>400000</v>
      </c>
    </row>
    <row r="44498" spans="26:26" x14ac:dyDescent="0.25">
      <c r="Z44498">
        <v>400000</v>
      </c>
    </row>
    <row r="44499" spans="26:26" x14ac:dyDescent="0.25">
      <c r="Z44499">
        <v>400000</v>
      </c>
    </row>
    <row r="44500" spans="26:26" x14ac:dyDescent="0.25">
      <c r="Z44500">
        <v>400000</v>
      </c>
    </row>
    <row r="44501" spans="26:26" x14ac:dyDescent="0.25">
      <c r="Z44501">
        <v>400000</v>
      </c>
    </row>
    <row r="44502" spans="26:26" x14ac:dyDescent="0.25">
      <c r="Z44502">
        <v>400000</v>
      </c>
    </row>
    <row r="44503" spans="26:26" x14ac:dyDescent="0.25">
      <c r="Z44503">
        <v>400000</v>
      </c>
    </row>
    <row r="44504" spans="26:26" x14ac:dyDescent="0.25">
      <c r="Z44504">
        <v>400000</v>
      </c>
    </row>
    <row r="44505" spans="26:26" x14ac:dyDescent="0.25">
      <c r="Z44505">
        <v>400000</v>
      </c>
    </row>
    <row r="44506" spans="26:26" x14ac:dyDescent="0.25">
      <c r="Z44506">
        <v>400000</v>
      </c>
    </row>
    <row r="44507" spans="26:26" x14ac:dyDescent="0.25">
      <c r="Z44507">
        <v>400000</v>
      </c>
    </row>
    <row r="44508" spans="26:26" x14ac:dyDescent="0.25">
      <c r="Z44508">
        <v>400000</v>
      </c>
    </row>
    <row r="44509" spans="26:26" x14ac:dyDescent="0.25">
      <c r="Z44509">
        <v>400000</v>
      </c>
    </row>
    <row r="44510" spans="26:26" x14ac:dyDescent="0.25">
      <c r="Z44510">
        <v>400000</v>
      </c>
    </row>
    <row r="44511" spans="26:26" x14ac:dyDescent="0.25">
      <c r="Z44511">
        <v>400000</v>
      </c>
    </row>
    <row r="44512" spans="26:26" x14ac:dyDescent="0.25">
      <c r="Z44512">
        <v>400000</v>
      </c>
    </row>
    <row r="44513" spans="26:26" x14ac:dyDescent="0.25">
      <c r="Z44513">
        <v>400000</v>
      </c>
    </row>
    <row r="44514" spans="26:26" x14ac:dyDescent="0.25">
      <c r="Z44514">
        <v>400000</v>
      </c>
    </row>
    <row r="44515" spans="26:26" x14ac:dyDescent="0.25">
      <c r="Z44515">
        <v>400000</v>
      </c>
    </row>
    <row r="44516" spans="26:26" x14ac:dyDescent="0.25">
      <c r="Z44516">
        <v>400000</v>
      </c>
    </row>
    <row r="44517" spans="26:26" x14ac:dyDescent="0.25">
      <c r="Z44517">
        <v>400000</v>
      </c>
    </row>
    <row r="44518" spans="26:26" x14ac:dyDescent="0.25">
      <c r="Z44518">
        <v>400000</v>
      </c>
    </row>
    <row r="44519" spans="26:26" x14ac:dyDescent="0.25">
      <c r="Z44519">
        <v>400000</v>
      </c>
    </row>
    <row r="44520" spans="26:26" x14ac:dyDescent="0.25">
      <c r="Z44520">
        <v>400000</v>
      </c>
    </row>
    <row r="44521" spans="26:26" x14ac:dyDescent="0.25">
      <c r="Z44521">
        <v>400000</v>
      </c>
    </row>
    <row r="44522" spans="26:26" x14ac:dyDescent="0.25">
      <c r="Z44522">
        <v>400000</v>
      </c>
    </row>
    <row r="44523" spans="26:26" x14ac:dyDescent="0.25">
      <c r="Z44523">
        <v>400000</v>
      </c>
    </row>
    <row r="44524" spans="26:26" x14ac:dyDescent="0.25">
      <c r="Z44524">
        <v>400000</v>
      </c>
    </row>
    <row r="44525" spans="26:26" x14ac:dyDescent="0.25">
      <c r="Z44525">
        <v>400000</v>
      </c>
    </row>
    <row r="44526" spans="26:26" x14ac:dyDescent="0.25">
      <c r="Z44526">
        <v>400000</v>
      </c>
    </row>
    <row r="44527" spans="26:26" x14ac:dyDescent="0.25">
      <c r="Z44527">
        <v>400000</v>
      </c>
    </row>
    <row r="44528" spans="26:26" x14ac:dyDescent="0.25">
      <c r="Z44528">
        <v>400000</v>
      </c>
    </row>
    <row r="44529" spans="26:26" x14ac:dyDescent="0.25">
      <c r="Z44529">
        <v>400000</v>
      </c>
    </row>
    <row r="44530" spans="26:26" x14ac:dyDescent="0.25">
      <c r="Z44530">
        <v>400000</v>
      </c>
    </row>
    <row r="44531" spans="26:26" x14ac:dyDescent="0.25">
      <c r="Z44531">
        <v>400000</v>
      </c>
    </row>
    <row r="44532" spans="26:26" x14ac:dyDescent="0.25">
      <c r="Z44532">
        <v>400000</v>
      </c>
    </row>
    <row r="44533" spans="26:26" x14ac:dyDescent="0.25">
      <c r="Z44533">
        <v>400000</v>
      </c>
    </row>
    <row r="44534" spans="26:26" x14ac:dyDescent="0.25">
      <c r="Z44534">
        <v>400000</v>
      </c>
    </row>
    <row r="44535" spans="26:26" x14ac:dyDescent="0.25">
      <c r="Z44535">
        <v>400000</v>
      </c>
    </row>
    <row r="44536" spans="26:26" x14ac:dyDescent="0.25">
      <c r="Z44536">
        <v>400000</v>
      </c>
    </row>
    <row r="44537" spans="26:26" x14ac:dyDescent="0.25">
      <c r="Z44537">
        <v>400000</v>
      </c>
    </row>
    <row r="44538" spans="26:26" x14ac:dyDescent="0.25">
      <c r="Z44538">
        <v>400000</v>
      </c>
    </row>
    <row r="44539" spans="26:26" x14ac:dyDescent="0.25">
      <c r="Z44539">
        <v>400000</v>
      </c>
    </row>
    <row r="44540" spans="26:26" x14ac:dyDescent="0.25">
      <c r="Z44540">
        <v>400000</v>
      </c>
    </row>
    <row r="44541" spans="26:26" x14ac:dyDescent="0.25">
      <c r="Z44541">
        <v>400000</v>
      </c>
    </row>
    <row r="44542" spans="26:26" x14ac:dyDescent="0.25">
      <c r="Z44542">
        <v>400000</v>
      </c>
    </row>
    <row r="44543" spans="26:26" x14ac:dyDescent="0.25">
      <c r="Z44543">
        <v>400000</v>
      </c>
    </row>
    <row r="44544" spans="26:26" x14ac:dyDescent="0.25">
      <c r="Z44544">
        <v>400000</v>
      </c>
    </row>
    <row r="44545" spans="26:26" x14ac:dyDescent="0.25">
      <c r="Z44545">
        <v>400000</v>
      </c>
    </row>
    <row r="44546" spans="26:26" x14ac:dyDescent="0.25">
      <c r="Z44546">
        <v>400000</v>
      </c>
    </row>
    <row r="44547" spans="26:26" x14ac:dyDescent="0.25">
      <c r="Z44547">
        <v>400000</v>
      </c>
    </row>
    <row r="44548" spans="26:26" x14ac:dyDescent="0.25">
      <c r="Z44548">
        <v>400000</v>
      </c>
    </row>
    <row r="44549" spans="26:26" x14ac:dyDescent="0.25">
      <c r="Z44549">
        <v>400000</v>
      </c>
    </row>
    <row r="44550" spans="26:26" x14ac:dyDescent="0.25">
      <c r="Z44550">
        <v>400000</v>
      </c>
    </row>
    <row r="44551" spans="26:26" x14ac:dyDescent="0.25">
      <c r="Z44551">
        <v>400000</v>
      </c>
    </row>
    <row r="44552" spans="26:26" x14ac:dyDescent="0.25">
      <c r="Z44552">
        <v>400000</v>
      </c>
    </row>
    <row r="44553" spans="26:26" x14ac:dyDescent="0.25">
      <c r="Z44553">
        <v>400000</v>
      </c>
    </row>
    <row r="44554" spans="26:26" x14ac:dyDescent="0.25">
      <c r="Z44554">
        <v>400000</v>
      </c>
    </row>
    <row r="44555" spans="26:26" x14ac:dyDescent="0.25">
      <c r="Z44555">
        <v>400000</v>
      </c>
    </row>
    <row r="44556" spans="26:26" x14ac:dyDescent="0.25">
      <c r="Z44556">
        <v>400000</v>
      </c>
    </row>
    <row r="44557" spans="26:26" x14ac:dyDescent="0.25">
      <c r="Z44557">
        <v>400000</v>
      </c>
    </row>
    <row r="44558" spans="26:26" x14ac:dyDescent="0.25">
      <c r="Z44558">
        <v>400000</v>
      </c>
    </row>
    <row r="44559" spans="26:26" x14ac:dyDescent="0.25">
      <c r="Z44559">
        <v>400000</v>
      </c>
    </row>
    <row r="44560" spans="26:26" x14ac:dyDescent="0.25">
      <c r="Z44560">
        <v>400000</v>
      </c>
    </row>
    <row r="44561" spans="26:26" x14ac:dyDescent="0.25">
      <c r="Z44561">
        <v>400000</v>
      </c>
    </row>
    <row r="44562" spans="26:26" x14ac:dyDescent="0.25">
      <c r="Z44562">
        <v>400000</v>
      </c>
    </row>
    <row r="44563" spans="26:26" x14ac:dyDescent="0.25">
      <c r="Z44563">
        <v>400000</v>
      </c>
    </row>
    <row r="44564" spans="26:26" x14ac:dyDescent="0.25">
      <c r="Z44564">
        <v>400000</v>
      </c>
    </row>
    <row r="44565" spans="26:26" x14ac:dyDescent="0.25">
      <c r="Z44565">
        <v>400000</v>
      </c>
    </row>
    <row r="44566" spans="26:26" x14ac:dyDescent="0.25">
      <c r="Z44566">
        <v>400000</v>
      </c>
    </row>
    <row r="44567" spans="26:26" x14ac:dyDescent="0.25">
      <c r="Z44567">
        <v>400000</v>
      </c>
    </row>
    <row r="44568" spans="26:26" x14ac:dyDescent="0.25">
      <c r="Z44568">
        <v>400000</v>
      </c>
    </row>
    <row r="44569" spans="26:26" x14ac:dyDescent="0.25">
      <c r="Z44569">
        <v>400000</v>
      </c>
    </row>
    <row r="44570" spans="26:26" x14ac:dyDescent="0.25">
      <c r="Z44570">
        <v>400000</v>
      </c>
    </row>
    <row r="44571" spans="26:26" x14ac:dyDescent="0.25">
      <c r="Z44571">
        <v>400000</v>
      </c>
    </row>
    <row r="44572" spans="26:26" x14ac:dyDescent="0.25">
      <c r="Z44572">
        <v>400000</v>
      </c>
    </row>
    <row r="44573" spans="26:26" x14ac:dyDescent="0.25">
      <c r="Z44573">
        <v>400000</v>
      </c>
    </row>
    <row r="44574" spans="26:26" x14ac:dyDescent="0.25">
      <c r="Z44574">
        <v>400000</v>
      </c>
    </row>
    <row r="44575" spans="26:26" x14ac:dyDescent="0.25">
      <c r="Z44575">
        <v>400000</v>
      </c>
    </row>
    <row r="44576" spans="26:26" x14ac:dyDescent="0.25">
      <c r="Z44576">
        <v>400000</v>
      </c>
    </row>
    <row r="44577" spans="26:26" x14ac:dyDescent="0.25">
      <c r="Z44577">
        <v>400000</v>
      </c>
    </row>
    <row r="44578" spans="26:26" x14ac:dyDescent="0.25">
      <c r="Z44578">
        <v>400000</v>
      </c>
    </row>
    <row r="44579" spans="26:26" x14ac:dyDescent="0.25">
      <c r="Z44579">
        <v>400000</v>
      </c>
    </row>
    <row r="44580" spans="26:26" x14ac:dyDescent="0.25">
      <c r="Z44580">
        <v>400000</v>
      </c>
    </row>
    <row r="44581" spans="26:26" x14ac:dyDescent="0.25">
      <c r="Z44581">
        <v>400000</v>
      </c>
    </row>
    <row r="44582" spans="26:26" x14ac:dyDescent="0.25">
      <c r="Z44582">
        <v>400000</v>
      </c>
    </row>
    <row r="44583" spans="26:26" x14ac:dyDescent="0.25">
      <c r="Z44583">
        <v>400000</v>
      </c>
    </row>
    <row r="44584" spans="26:26" x14ac:dyDescent="0.25">
      <c r="Z44584">
        <v>400000</v>
      </c>
    </row>
    <row r="44585" spans="26:26" x14ac:dyDescent="0.25">
      <c r="Z44585">
        <v>400000</v>
      </c>
    </row>
    <row r="44586" spans="26:26" x14ac:dyDescent="0.25">
      <c r="Z44586">
        <v>400000</v>
      </c>
    </row>
    <row r="44587" spans="26:26" x14ac:dyDescent="0.25">
      <c r="Z44587">
        <v>400000</v>
      </c>
    </row>
    <row r="44588" spans="26:26" x14ac:dyDescent="0.25">
      <c r="Z44588">
        <v>400000</v>
      </c>
    </row>
    <row r="44589" spans="26:26" x14ac:dyDescent="0.25">
      <c r="Z44589">
        <v>400000</v>
      </c>
    </row>
    <row r="44590" spans="26:26" x14ac:dyDescent="0.25">
      <c r="Z44590">
        <v>400000</v>
      </c>
    </row>
    <row r="44591" spans="26:26" x14ac:dyDescent="0.25">
      <c r="Z44591">
        <v>400000</v>
      </c>
    </row>
    <row r="44592" spans="26:26" x14ac:dyDescent="0.25">
      <c r="Z44592">
        <v>400000</v>
      </c>
    </row>
    <row r="44593" spans="26:26" x14ac:dyDescent="0.25">
      <c r="Z44593">
        <v>400000</v>
      </c>
    </row>
    <row r="44594" spans="26:26" x14ac:dyDescent="0.25">
      <c r="Z44594">
        <v>400000</v>
      </c>
    </row>
    <row r="44595" spans="26:26" x14ac:dyDescent="0.25">
      <c r="Z44595">
        <v>400000</v>
      </c>
    </row>
    <row r="44596" spans="26:26" x14ac:dyDescent="0.25">
      <c r="Z44596">
        <v>400000</v>
      </c>
    </row>
    <row r="44597" spans="26:26" x14ac:dyDescent="0.25">
      <c r="Z44597">
        <v>400000</v>
      </c>
    </row>
    <row r="44598" spans="26:26" x14ac:dyDescent="0.25">
      <c r="Z44598">
        <v>400000</v>
      </c>
    </row>
    <row r="44599" spans="26:26" x14ac:dyDescent="0.25">
      <c r="Z44599">
        <v>400000</v>
      </c>
    </row>
    <row r="44600" spans="26:26" x14ac:dyDescent="0.25">
      <c r="Z44600">
        <v>400000</v>
      </c>
    </row>
    <row r="44601" spans="26:26" x14ac:dyDescent="0.25">
      <c r="Z44601">
        <v>400000</v>
      </c>
    </row>
    <row r="44602" spans="26:26" x14ac:dyDescent="0.25">
      <c r="Z44602">
        <v>400000</v>
      </c>
    </row>
    <row r="44603" spans="26:26" x14ac:dyDescent="0.25">
      <c r="Z44603">
        <v>400000</v>
      </c>
    </row>
    <row r="44604" spans="26:26" x14ac:dyDescent="0.25">
      <c r="Z44604">
        <v>400000</v>
      </c>
    </row>
    <row r="44605" spans="26:26" x14ac:dyDescent="0.25">
      <c r="Z44605">
        <v>400000</v>
      </c>
    </row>
    <row r="44606" spans="26:26" x14ac:dyDescent="0.25">
      <c r="Z44606">
        <v>400000</v>
      </c>
    </row>
    <row r="44607" spans="26:26" x14ac:dyDescent="0.25">
      <c r="Z44607">
        <v>400000</v>
      </c>
    </row>
    <row r="44608" spans="26:26" x14ac:dyDescent="0.25">
      <c r="Z44608">
        <v>400000</v>
      </c>
    </row>
    <row r="44609" spans="26:26" x14ac:dyDescent="0.25">
      <c r="Z44609">
        <v>400000</v>
      </c>
    </row>
    <row r="44610" spans="26:26" x14ac:dyDescent="0.25">
      <c r="Z44610">
        <v>400000</v>
      </c>
    </row>
    <row r="44611" spans="26:26" x14ac:dyDescent="0.25">
      <c r="Z44611">
        <v>400000</v>
      </c>
    </row>
    <row r="44612" spans="26:26" x14ac:dyDescent="0.25">
      <c r="Z44612">
        <v>400000</v>
      </c>
    </row>
    <row r="44613" spans="26:26" x14ac:dyDescent="0.25">
      <c r="Z44613">
        <v>400000</v>
      </c>
    </row>
    <row r="44614" spans="26:26" x14ac:dyDescent="0.25">
      <c r="Z44614">
        <v>400000</v>
      </c>
    </row>
    <row r="44615" spans="26:26" x14ac:dyDescent="0.25">
      <c r="Z44615">
        <v>400000</v>
      </c>
    </row>
    <row r="44616" spans="26:26" x14ac:dyDescent="0.25">
      <c r="Z44616">
        <v>400000</v>
      </c>
    </row>
    <row r="44617" spans="26:26" x14ac:dyDescent="0.25">
      <c r="Z44617">
        <v>400000</v>
      </c>
    </row>
    <row r="44618" spans="26:26" x14ac:dyDescent="0.25">
      <c r="Z44618">
        <v>400000</v>
      </c>
    </row>
    <row r="44619" spans="26:26" x14ac:dyDescent="0.25">
      <c r="Z44619">
        <v>400000</v>
      </c>
    </row>
    <row r="44620" spans="26:26" x14ac:dyDescent="0.25">
      <c r="Z44620">
        <v>400000</v>
      </c>
    </row>
    <row r="44621" spans="26:26" x14ac:dyDescent="0.25">
      <c r="Z44621">
        <v>400000</v>
      </c>
    </row>
    <row r="44622" spans="26:26" x14ac:dyDescent="0.25">
      <c r="Z44622">
        <v>400000</v>
      </c>
    </row>
    <row r="44623" spans="26:26" x14ac:dyDescent="0.25">
      <c r="Z44623">
        <v>400000</v>
      </c>
    </row>
    <row r="44624" spans="26:26" x14ac:dyDescent="0.25">
      <c r="Z44624">
        <v>400000</v>
      </c>
    </row>
    <row r="44625" spans="26:26" x14ac:dyDescent="0.25">
      <c r="Z44625">
        <v>400000</v>
      </c>
    </row>
    <row r="44626" spans="26:26" x14ac:dyDescent="0.25">
      <c r="Z44626">
        <v>400000</v>
      </c>
    </row>
    <row r="44627" spans="26:26" x14ac:dyDescent="0.25">
      <c r="Z44627">
        <v>400000</v>
      </c>
    </row>
    <row r="44628" spans="26:26" x14ac:dyDescent="0.25">
      <c r="Z44628">
        <v>400000</v>
      </c>
    </row>
    <row r="44629" spans="26:26" x14ac:dyDescent="0.25">
      <c r="Z44629">
        <v>400000</v>
      </c>
    </row>
    <row r="44630" spans="26:26" x14ac:dyDescent="0.25">
      <c r="Z44630">
        <v>400000</v>
      </c>
    </row>
    <row r="44631" spans="26:26" x14ac:dyDescent="0.25">
      <c r="Z44631">
        <v>400000</v>
      </c>
    </row>
    <row r="44632" spans="26:26" x14ac:dyDescent="0.25">
      <c r="Z44632">
        <v>400000</v>
      </c>
    </row>
    <row r="44633" spans="26:26" x14ac:dyDescent="0.25">
      <c r="Z44633">
        <v>400000</v>
      </c>
    </row>
    <row r="44634" spans="26:26" x14ac:dyDescent="0.25">
      <c r="Z44634">
        <v>400000</v>
      </c>
    </row>
    <row r="44635" spans="26:26" x14ac:dyDescent="0.25">
      <c r="Z44635">
        <v>400000</v>
      </c>
    </row>
    <row r="44636" spans="26:26" x14ac:dyDescent="0.25">
      <c r="Z44636">
        <v>400000</v>
      </c>
    </row>
    <row r="44637" spans="26:26" x14ac:dyDescent="0.25">
      <c r="Z44637">
        <v>400000</v>
      </c>
    </row>
    <row r="44638" spans="26:26" x14ac:dyDescent="0.25">
      <c r="Z44638">
        <v>400000</v>
      </c>
    </row>
    <row r="44639" spans="26:26" x14ac:dyDescent="0.25">
      <c r="Z44639">
        <v>400000</v>
      </c>
    </row>
    <row r="44640" spans="26:26" x14ac:dyDescent="0.25">
      <c r="Z44640">
        <v>400000</v>
      </c>
    </row>
    <row r="44641" spans="26:26" x14ac:dyDescent="0.25">
      <c r="Z44641">
        <v>400000</v>
      </c>
    </row>
    <row r="44642" spans="26:26" x14ac:dyDescent="0.25">
      <c r="Z44642">
        <v>400000</v>
      </c>
    </row>
    <row r="44643" spans="26:26" x14ac:dyDescent="0.25">
      <c r="Z44643">
        <v>400000</v>
      </c>
    </row>
    <row r="44644" spans="26:26" x14ac:dyDescent="0.25">
      <c r="Z44644">
        <v>400000</v>
      </c>
    </row>
    <row r="44645" spans="26:26" x14ac:dyDescent="0.25">
      <c r="Z44645">
        <v>400000</v>
      </c>
    </row>
    <row r="44646" spans="26:26" x14ac:dyDescent="0.25">
      <c r="Z44646">
        <v>400000</v>
      </c>
    </row>
    <row r="44647" spans="26:26" x14ac:dyDescent="0.25">
      <c r="Z44647">
        <v>400000</v>
      </c>
    </row>
    <row r="44648" spans="26:26" x14ac:dyDescent="0.25">
      <c r="Z44648">
        <v>400000</v>
      </c>
    </row>
    <row r="44649" spans="26:26" x14ac:dyDescent="0.25">
      <c r="Z44649">
        <v>400000</v>
      </c>
    </row>
    <row r="44650" spans="26:26" x14ac:dyDescent="0.25">
      <c r="Z44650">
        <v>400000</v>
      </c>
    </row>
    <row r="44651" spans="26:26" x14ac:dyDescent="0.25">
      <c r="Z44651">
        <v>400000</v>
      </c>
    </row>
    <row r="44652" spans="26:26" x14ac:dyDescent="0.25">
      <c r="Z44652">
        <v>400000</v>
      </c>
    </row>
    <row r="44653" spans="26:26" x14ac:dyDescent="0.25">
      <c r="Z44653">
        <v>400000</v>
      </c>
    </row>
    <row r="44654" spans="26:26" x14ac:dyDescent="0.25">
      <c r="Z44654">
        <v>400000</v>
      </c>
    </row>
    <row r="44655" spans="26:26" x14ac:dyDescent="0.25">
      <c r="Z44655">
        <v>400000</v>
      </c>
    </row>
    <row r="44656" spans="26:26" x14ac:dyDescent="0.25">
      <c r="Z44656">
        <v>400000</v>
      </c>
    </row>
    <row r="44657" spans="26:26" x14ac:dyDescent="0.25">
      <c r="Z44657">
        <v>400000</v>
      </c>
    </row>
    <row r="44658" spans="26:26" x14ac:dyDescent="0.25">
      <c r="Z44658">
        <v>400000</v>
      </c>
    </row>
    <row r="44659" spans="26:26" x14ac:dyDescent="0.25">
      <c r="Z44659">
        <v>400000</v>
      </c>
    </row>
    <row r="44660" spans="26:26" x14ac:dyDescent="0.25">
      <c r="Z44660">
        <v>400000</v>
      </c>
    </row>
    <row r="44661" spans="26:26" x14ac:dyDescent="0.25">
      <c r="Z44661">
        <v>400000</v>
      </c>
    </row>
    <row r="44662" spans="26:26" x14ac:dyDescent="0.25">
      <c r="Z44662">
        <v>400000</v>
      </c>
    </row>
    <row r="44663" spans="26:26" x14ac:dyDescent="0.25">
      <c r="Z44663">
        <v>400000</v>
      </c>
    </row>
    <row r="44664" spans="26:26" x14ac:dyDescent="0.25">
      <c r="Z44664">
        <v>400000</v>
      </c>
    </row>
    <row r="44665" spans="26:26" x14ac:dyDescent="0.25">
      <c r="Z44665">
        <v>400000</v>
      </c>
    </row>
    <row r="44666" spans="26:26" x14ac:dyDescent="0.25">
      <c r="Z44666">
        <v>400000</v>
      </c>
    </row>
    <row r="44667" spans="26:26" x14ac:dyDescent="0.25">
      <c r="Z44667">
        <v>400000</v>
      </c>
    </row>
    <row r="44668" spans="26:26" x14ac:dyDescent="0.25">
      <c r="Z44668">
        <v>400000</v>
      </c>
    </row>
    <row r="44669" spans="26:26" x14ac:dyDescent="0.25">
      <c r="Z44669">
        <v>400000</v>
      </c>
    </row>
    <row r="44670" spans="26:26" x14ac:dyDescent="0.25">
      <c r="Z44670">
        <v>400000</v>
      </c>
    </row>
    <row r="44671" spans="26:26" x14ac:dyDescent="0.25">
      <c r="Z44671">
        <v>400000</v>
      </c>
    </row>
    <row r="44672" spans="26:26" x14ac:dyDescent="0.25">
      <c r="Z44672">
        <v>400000</v>
      </c>
    </row>
    <row r="44673" spans="26:26" x14ac:dyDescent="0.25">
      <c r="Z44673">
        <v>400000</v>
      </c>
    </row>
    <row r="44674" spans="26:26" x14ac:dyDescent="0.25">
      <c r="Z44674">
        <v>400000</v>
      </c>
    </row>
    <row r="44675" spans="26:26" x14ac:dyDescent="0.25">
      <c r="Z44675">
        <v>400000</v>
      </c>
    </row>
    <row r="44676" spans="26:26" x14ac:dyDescent="0.25">
      <c r="Z44676">
        <v>400000</v>
      </c>
    </row>
    <row r="44677" spans="26:26" x14ac:dyDescent="0.25">
      <c r="Z44677">
        <v>400000</v>
      </c>
    </row>
    <row r="44678" spans="26:26" x14ac:dyDescent="0.25">
      <c r="Z44678">
        <v>400000</v>
      </c>
    </row>
    <row r="44679" spans="26:26" x14ac:dyDescent="0.25">
      <c r="Z44679">
        <v>400000</v>
      </c>
    </row>
    <row r="44680" spans="26:26" x14ac:dyDescent="0.25">
      <c r="Z44680">
        <v>400000</v>
      </c>
    </row>
    <row r="44681" spans="26:26" x14ac:dyDescent="0.25">
      <c r="Z44681">
        <v>400000</v>
      </c>
    </row>
    <row r="44682" spans="26:26" x14ac:dyDescent="0.25">
      <c r="Z44682">
        <v>400000</v>
      </c>
    </row>
    <row r="44683" spans="26:26" x14ac:dyDescent="0.25">
      <c r="Z44683">
        <v>400000</v>
      </c>
    </row>
    <row r="44684" spans="26:26" x14ac:dyDescent="0.25">
      <c r="Z44684">
        <v>400000</v>
      </c>
    </row>
    <row r="44685" spans="26:26" x14ac:dyDescent="0.25">
      <c r="Z44685">
        <v>400000</v>
      </c>
    </row>
    <row r="44686" spans="26:26" x14ac:dyDescent="0.25">
      <c r="Z44686">
        <v>400000</v>
      </c>
    </row>
    <row r="44687" spans="26:26" x14ac:dyDescent="0.25">
      <c r="Z44687">
        <v>400000</v>
      </c>
    </row>
    <row r="44688" spans="26:26" x14ac:dyDescent="0.25">
      <c r="Z44688">
        <v>400000</v>
      </c>
    </row>
    <row r="44689" spans="26:26" x14ac:dyDescent="0.25">
      <c r="Z44689">
        <v>400000</v>
      </c>
    </row>
    <row r="44690" spans="26:26" x14ac:dyDescent="0.25">
      <c r="Z44690">
        <v>400000</v>
      </c>
    </row>
    <row r="44691" spans="26:26" x14ac:dyDescent="0.25">
      <c r="Z44691">
        <v>400000</v>
      </c>
    </row>
    <row r="44692" spans="26:26" x14ac:dyDescent="0.25">
      <c r="Z44692">
        <v>400000</v>
      </c>
    </row>
    <row r="44693" spans="26:26" x14ac:dyDescent="0.25">
      <c r="Z44693">
        <v>400000</v>
      </c>
    </row>
    <row r="44694" spans="26:26" x14ac:dyDescent="0.25">
      <c r="Z44694">
        <v>400000</v>
      </c>
    </row>
    <row r="44695" spans="26:26" x14ac:dyDescent="0.25">
      <c r="Z44695">
        <v>400000</v>
      </c>
    </row>
    <row r="44696" spans="26:26" x14ac:dyDescent="0.25">
      <c r="Z44696">
        <v>400000</v>
      </c>
    </row>
    <row r="44697" spans="26:26" x14ac:dyDescent="0.25">
      <c r="Z44697">
        <v>400000</v>
      </c>
    </row>
    <row r="44698" spans="26:26" x14ac:dyDescent="0.25">
      <c r="Z44698">
        <v>400000</v>
      </c>
    </row>
    <row r="44699" spans="26:26" x14ac:dyDescent="0.25">
      <c r="Z44699">
        <v>400000</v>
      </c>
    </row>
    <row r="44700" spans="26:26" x14ac:dyDescent="0.25">
      <c r="Z44700">
        <v>400000</v>
      </c>
    </row>
    <row r="44701" spans="26:26" x14ac:dyDescent="0.25">
      <c r="Z44701">
        <v>400000</v>
      </c>
    </row>
    <row r="44702" spans="26:26" x14ac:dyDescent="0.25">
      <c r="Z44702">
        <v>400000</v>
      </c>
    </row>
    <row r="44703" spans="26:26" x14ac:dyDescent="0.25">
      <c r="Z44703">
        <v>400000</v>
      </c>
    </row>
    <row r="44704" spans="26:26" x14ac:dyDescent="0.25">
      <c r="Z44704">
        <v>400000</v>
      </c>
    </row>
    <row r="44705" spans="26:26" x14ac:dyDescent="0.25">
      <c r="Z44705">
        <v>400000</v>
      </c>
    </row>
    <row r="44706" spans="26:26" x14ac:dyDescent="0.25">
      <c r="Z44706">
        <v>400000</v>
      </c>
    </row>
    <row r="44707" spans="26:26" x14ac:dyDescent="0.25">
      <c r="Z44707">
        <v>400000</v>
      </c>
    </row>
    <row r="44708" spans="26:26" x14ac:dyDescent="0.25">
      <c r="Z44708">
        <v>400000</v>
      </c>
    </row>
    <row r="44709" spans="26:26" x14ac:dyDescent="0.25">
      <c r="Z44709">
        <v>400000</v>
      </c>
    </row>
    <row r="44710" spans="26:26" x14ac:dyDescent="0.25">
      <c r="Z44710">
        <v>400000</v>
      </c>
    </row>
    <row r="44711" spans="26:26" x14ac:dyDescent="0.25">
      <c r="Z44711">
        <v>400000</v>
      </c>
    </row>
    <row r="44712" spans="26:26" x14ac:dyDescent="0.25">
      <c r="Z44712">
        <v>400000</v>
      </c>
    </row>
    <row r="44713" spans="26:26" x14ac:dyDescent="0.25">
      <c r="Z44713">
        <v>400000</v>
      </c>
    </row>
    <row r="44714" spans="26:26" x14ac:dyDescent="0.25">
      <c r="Z44714">
        <v>400000</v>
      </c>
    </row>
    <row r="44715" spans="26:26" x14ac:dyDescent="0.25">
      <c r="Z44715">
        <v>400000</v>
      </c>
    </row>
    <row r="44716" spans="26:26" x14ac:dyDescent="0.25">
      <c r="Z44716">
        <v>400000</v>
      </c>
    </row>
    <row r="44717" spans="26:26" x14ac:dyDescent="0.25">
      <c r="Z44717">
        <v>400000</v>
      </c>
    </row>
    <row r="44718" spans="26:26" x14ac:dyDescent="0.25">
      <c r="Z44718">
        <v>400000</v>
      </c>
    </row>
    <row r="44719" spans="26:26" x14ac:dyDescent="0.25">
      <c r="Z44719">
        <v>400000</v>
      </c>
    </row>
    <row r="44720" spans="26:26" x14ac:dyDescent="0.25">
      <c r="Z44720">
        <v>400000</v>
      </c>
    </row>
    <row r="44721" spans="26:26" x14ac:dyDescent="0.25">
      <c r="Z44721">
        <v>400000</v>
      </c>
    </row>
    <row r="44722" spans="26:26" x14ac:dyDescent="0.25">
      <c r="Z44722">
        <v>400000</v>
      </c>
    </row>
    <row r="44723" spans="26:26" x14ac:dyDescent="0.25">
      <c r="Z44723">
        <v>400000</v>
      </c>
    </row>
    <row r="44724" spans="26:26" x14ac:dyDescent="0.25">
      <c r="Z44724">
        <v>400000</v>
      </c>
    </row>
    <row r="44725" spans="26:26" x14ac:dyDescent="0.25">
      <c r="Z44725">
        <v>400000</v>
      </c>
    </row>
    <row r="44726" spans="26:26" x14ac:dyDescent="0.25">
      <c r="Z44726">
        <v>400000</v>
      </c>
    </row>
    <row r="44727" spans="26:26" x14ac:dyDescent="0.25">
      <c r="Z44727">
        <v>400000</v>
      </c>
    </row>
    <row r="44728" spans="26:26" x14ac:dyDescent="0.25">
      <c r="Z44728">
        <v>400000</v>
      </c>
    </row>
    <row r="44729" spans="26:26" x14ac:dyDescent="0.25">
      <c r="Z44729">
        <v>400000</v>
      </c>
    </row>
    <row r="44730" spans="26:26" x14ac:dyDescent="0.25">
      <c r="Z44730">
        <v>400000</v>
      </c>
    </row>
    <row r="44731" spans="26:26" x14ac:dyDescent="0.25">
      <c r="Z44731">
        <v>400000</v>
      </c>
    </row>
    <row r="44732" spans="26:26" x14ac:dyDescent="0.25">
      <c r="Z44732">
        <v>400000</v>
      </c>
    </row>
    <row r="44733" spans="26:26" x14ac:dyDescent="0.25">
      <c r="Z44733">
        <v>400000</v>
      </c>
    </row>
    <row r="44734" spans="26:26" x14ac:dyDescent="0.25">
      <c r="Z44734">
        <v>400000</v>
      </c>
    </row>
    <row r="44735" spans="26:26" x14ac:dyDescent="0.25">
      <c r="Z44735">
        <v>400000</v>
      </c>
    </row>
    <row r="44736" spans="26:26" x14ac:dyDescent="0.25">
      <c r="Z44736">
        <v>400000</v>
      </c>
    </row>
    <row r="44737" spans="26:26" x14ac:dyDescent="0.25">
      <c r="Z44737">
        <v>400000</v>
      </c>
    </row>
    <row r="44738" spans="26:26" x14ac:dyDescent="0.25">
      <c r="Z44738">
        <v>400000</v>
      </c>
    </row>
    <row r="44739" spans="26:26" x14ac:dyDescent="0.25">
      <c r="Z44739">
        <v>400000</v>
      </c>
    </row>
    <row r="44740" spans="26:26" x14ac:dyDescent="0.25">
      <c r="Z44740">
        <v>400000</v>
      </c>
    </row>
    <row r="44741" spans="26:26" x14ac:dyDescent="0.25">
      <c r="Z44741">
        <v>400000</v>
      </c>
    </row>
    <row r="44742" spans="26:26" x14ac:dyDescent="0.25">
      <c r="Z44742">
        <v>400000</v>
      </c>
    </row>
    <row r="44743" spans="26:26" x14ac:dyDescent="0.25">
      <c r="Z44743">
        <v>400000</v>
      </c>
    </row>
    <row r="44744" spans="26:26" x14ac:dyDescent="0.25">
      <c r="Z44744">
        <v>400000</v>
      </c>
    </row>
    <row r="44745" spans="26:26" x14ac:dyDescent="0.25">
      <c r="Z44745">
        <v>400000</v>
      </c>
    </row>
    <row r="44746" spans="26:26" x14ac:dyDescent="0.25">
      <c r="Z44746">
        <v>400000</v>
      </c>
    </row>
    <row r="44747" spans="26:26" x14ac:dyDescent="0.25">
      <c r="Z44747">
        <v>400000</v>
      </c>
    </row>
    <row r="44748" spans="26:26" x14ac:dyDescent="0.25">
      <c r="Z44748">
        <v>400000</v>
      </c>
    </row>
    <row r="44749" spans="26:26" x14ac:dyDescent="0.25">
      <c r="Z44749">
        <v>400000</v>
      </c>
    </row>
    <row r="44750" spans="26:26" x14ac:dyDescent="0.25">
      <c r="Z44750">
        <v>400000</v>
      </c>
    </row>
    <row r="44751" spans="26:26" x14ac:dyDescent="0.25">
      <c r="Z44751">
        <v>400000</v>
      </c>
    </row>
    <row r="44752" spans="26:26" x14ac:dyDescent="0.25">
      <c r="Z44752">
        <v>400000</v>
      </c>
    </row>
    <row r="44753" spans="26:26" x14ac:dyDescent="0.25">
      <c r="Z44753">
        <v>400000</v>
      </c>
    </row>
    <row r="44754" spans="26:26" x14ac:dyDescent="0.25">
      <c r="Z44754">
        <v>400000</v>
      </c>
    </row>
    <row r="44755" spans="26:26" x14ac:dyDescent="0.25">
      <c r="Z44755">
        <v>400000</v>
      </c>
    </row>
    <row r="44756" spans="26:26" x14ac:dyDescent="0.25">
      <c r="Z44756">
        <v>400000</v>
      </c>
    </row>
    <row r="44757" spans="26:26" x14ac:dyDescent="0.25">
      <c r="Z44757">
        <v>400000</v>
      </c>
    </row>
    <row r="44758" spans="26:26" x14ac:dyDescent="0.25">
      <c r="Z44758">
        <v>400000</v>
      </c>
    </row>
    <row r="44759" spans="26:26" x14ac:dyDescent="0.25">
      <c r="Z44759">
        <v>400000</v>
      </c>
    </row>
    <row r="44760" spans="26:26" x14ac:dyDescent="0.25">
      <c r="Z44760">
        <v>400000</v>
      </c>
    </row>
    <row r="44761" spans="26:26" x14ac:dyDescent="0.25">
      <c r="Z44761">
        <v>400000</v>
      </c>
    </row>
    <row r="44762" spans="26:26" x14ac:dyDescent="0.25">
      <c r="Z44762">
        <v>400000</v>
      </c>
    </row>
    <row r="44763" spans="26:26" x14ac:dyDescent="0.25">
      <c r="Z44763">
        <v>400000</v>
      </c>
    </row>
    <row r="44764" spans="26:26" x14ac:dyDescent="0.25">
      <c r="Z44764">
        <v>400000</v>
      </c>
    </row>
    <row r="44765" spans="26:26" x14ac:dyDescent="0.25">
      <c r="Z44765">
        <v>400000</v>
      </c>
    </row>
    <row r="44766" spans="26:26" x14ac:dyDescent="0.25">
      <c r="Z44766">
        <v>400000</v>
      </c>
    </row>
    <row r="44767" spans="26:26" x14ac:dyDescent="0.25">
      <c r="Z44767">
        <v>400000</v>
      </c>
    </row>
    <row r="44768" spans="26:26" x14ac:dyDescent="0.25">
      <c r="Z44768">
        <v>400000</v>
      </c>
    </row>
    <row r="44769" spans="26:26" x14ac:dyDescent="0.25">
      <c r="Z44769">
        <v>400000</v>
      </c>
    </row>
    <row r="44770" spans="26:26" x14ac:dyDescent="0.25">
      <c r="Z44770">
        <v>400000</v>
      </c>
    </row>
    <row r="44771" spans="26:26" x14ac:dyDescent="0.25">
      <c r="Z44771">
        <v>400000</v>
      </c>
    </row>
    <row r="44772" spans="26:26" x14ac:dyDescent="0.25">
      <c r="Z44772">
        <v>400000</v>
      </c>
    </row>
    <row r="44773" spans="26:26" x14ac:dyDescent="0.25">
      <c r="Z44773">
        <v>400000</v>
      </c>
    </row>
    <row r="44774" spans="26:26" x14ac:dyDescent="0.25">
      <c r="Z44774">
        <v>400000</v>
      </c>
    </row>
    <row r="44775" spans="26:26" x14ac:dyDescent="0.25">
      <c r="Z44775">
        <v>400000</v>
      </c>
    </row>
    <row r="44776" spans="26:26" x14ac:dyDescent="0.25">
      <c r="Z44776">
        <v>400000</v>
      </c>
    </row>
    <row r="44777" spans="26:26" x14ac:dyDescent="0.25">
      <c r="Z44777">
        <v>400000</v>
      </c>
    </row>
    <row r="44778" spans="26:26" x14ac:dyDescent="0.25">
      <c r="Z44778">
        <v>400000</v>
      </c>
    </row>
    <row r="44779" spans="26:26" x14ac:dyDescent="0.25">
      <c r="Z44779">
        <v>400000</v>
      </c>
    </row>
    <row r="44780" spans="26:26" x14ac:dyDescent="0.25">
      <c r="Z44780">
        <v>400000</v>
      </c>
    </row>
    <row r="44781" spans="26:26" x14ac:dyDescent="0.25">
      <c r="Z44781">
        <v>400000</v>
      </c>
    </row>
    <row r="44782" spans="26:26" x14ac:dyDescent="0.25">
      <c r="Z44782">
        <v>400000</v>
      </c>
    </row>
    <row r="44783" spans="26:26" x14ac:dyDescent="0.25">
      <c r="Z44783">
        <v>400000</v>
      </c>
    </row>
    <row r="44784" spans="26:26" x14ac:dyDescent="0.25">
      <c r="Z44784">
        <v>400000</v>
      </c>
    </row>
    <row r="44785" spans="26:26" x14ac:dyDescent="0.25">
      <c r="Z44785">
        <v>400000</v>
      </c>
    </row>
    <row r="44786" spans="26:26" x14ac:dyDescent="0.25">
      <c r="Z44786">
        <v>400000</v>
      </c>
    </row>
    <row r="44787" spans="26:26" x14ac:dyDescent="0.25">
      <c r="Z44787">
        <v>400000</v>
      </c>
    </row>
    <row r="44788" spans="26:26" x14ac:dyDescent="0.25">
      <c r="Z44788">
        <v>400000</v>
      </c>
    </row>
    <row r="44789" spans="26:26" x14ac:dyDescent="0.25">
      <c r="Z44789">
        <v>400000</v>
      </c>
    </row>
    <row r="44790" spans="26:26" x14ac:dyDescent="0.25">
      <c r="Z44790">
        <v>400000</v>
      </c>
    </row>
    <row r="44791" spans="26:26" x14ac:dyDescent="0.25">
      <c r="Z44791">
        <v>400000</v>
      </c>
    </row>
    <row r="44792" spans="26:26" x14ac:dyDescent="0.25">
      <c r="Z44792">
        <v>400000</v>
      </c>
    </row>
    <row r="44793" spans="26:26" x14ac:dyDescent="0.25">
      <c r="Z44793">
        <v>400000</v>
      </c>
    </row>
    <row r="44794" spans="26:26" x14ac:dyDescent="0.25">
      <c r="Z44794">
        <v>400000</v>
      </c>
    </row>
    <row r="44795" spans="26:26" x14ac:dyDescent="0.25">
      <c r="Z44795">
        <v>400000</v>
      </c>
    </row>
    <row r="44796" spans="26:26" x14ac:dyDescent="0.25">
      <c r="Z44796">
        <v>400000</v>
      </c>
    </row>
    <row r="44797" spans="26:26" x14ac:dyDescent="0.25">
      <c r="Z44797">
        <v>400000</v>
      </c>
    </row>
    <row r="44798" spans="26:26" x14ac:dyDescent="0.25">
      <c r="Z44798">
        <v>400000</v>
      </c>
    </row>
    <row r="44799" spans="26:26" x14ac:dyDescent="0.25">
      <c r="Z44799">
        <v>400000</v>
      </c>
    </row>
    <row r="44800" spans="26:26" x14ac:dyDescent="0.25">
      <c r="Z44800">
        <v>400000</v>
      </c>
    </row>
    <row r="44801" spans="26:26" x14ac:dyDescent="0.25">
      <c r="Z44801">
        <v>400000</v>
      </c>
    </row>
    <row r="44802" spans="26:26" x14ac:dyDescent="0.25">
      <c r="Z44802">
        <v>400000</v>
      </c>
    </row>
    <row r="44803" spans="26:26" x14ac:dyDescent="0.25">
      <c r="Z44803">
        <v>400000</v>
      </c>
    </row>
    <row r="44804" spans="26:26" x14ac:dyDescent="0.25">
      <c r="Z44804">
        <v>400000</v>
      </c>
    </row>
    <row r="44805" spans="26:26" x14ac:dyDescent="0.25">
      <c r="Z44805">
        <v>400000</v>
      </c>
    </row>
    <row r="44806" spans="26:26" x14ac:dyDescent="0.25">
      <c r="Z44806">
        <v>400000</v>
      </c>
    </row>
    <row r="44807" spans="26:26" x14ac:dyDescent="0.25">
      <c r="Z44807">
        <v>400000</v>
      </c>
    </row>
    <row r="44808" spans="26:26" x14ac:dyDescent="0.25">
      <c r="Z44808">
        <v>400000</v>
      </c>
    </row>
    <row r="44809" spans="26:26" x14ac:dyDescent="0.25">
      <c r="Z44809">
        <v>400000</v>
      </c>
    </row>
    <row r="44810" spans="26:26" x14ac:dyDescent="0.25">
      <c r="Z44810">
        <v>400000</v>
      </c>
    </row>
    <row r="44811" spans="26:26" x14ac:dyDescent="0.25">
      <c r="Z44811">
        <v>400000</v>
      </c>
    </row>
    <row r="44812" spans="26:26" x14ac:dyDescent="0.25">
      <c r="Z44812">
        <v>400000</v>
      </c>
    </row>
    <row r="44813" spans="26:26" x14ac:dyDescent="0.25">
      <c r="Z44813">
        <v>400000</v>
      </c>
    </row>
    <row r="44814" spans="26:26" x14ac:dyDescent="0.25">
      <c r="Z44814">
        <v>400000</v>
      </c>
    </row>
    <row r="44815" spans="26:26" x14ac:dyDescent="0.25">
      <c r="Z44815">
        <v>400000</v>
      </c>
    </row>
    <row r="44816" spans="26:26" x14ac:dyDescent="0.25">
      <c r="Z44816">
        <v>400000</v>
      </c>
    </row>
    <row r="44817" spans="26:26" x14ac:dyDescent="0.25">
      <c r="Z44817">
        <v>400000</v>
      </c>
    </row>
    <row r="44818" spans="26:26" x14ac:dyDescent="0.25">
      <c r="Z44818">
        <v>400000</v>
      </c>
    </row>
    <row r="44819" spans="26:26" x14ac:dyDescent="0.25">
      <c r="Z44819">
        <v>400000</v>
      </c>
    </row>
    <row r="44820" spans="26:26" x14ac:dyDescent="0.25">
      <c r="Z44820">
        <v>400000</v>
      </c>
    </row>
    <row r="44821" spans="26:26" x14ac:dyDescent="0.25">
      <c r="Z44821">
        <v>400000</v>
      </c>
    </row>
    <row r="44822" spans="26:26" x14ac:dyDescent="0.25">
      <c r="Z44822">
        <v>400000</v>
      </c>
    </row>
    <row r="44823" spans="26:26" x14ac:dyDescent="0.25">
      <c r="Z44823">
        <v>400000</v>
      </c>
    </row>
    <row r="44824" spans="26:26" x14ac:dyDescent="0.25">
      <c r="Z44824">
        <v>400000</v>
      </c>
    </row>
    <row r="44825" spans="26:26" x14ac:dyDescent="0.25">
      <c r="Z44825">
        <v>400000</v>
      </c>
    </row>
    <row r="44826" spans="26:26" x14ac:dyDescent="0.25">
      <c r="Z44826">
        <v>400000</v>
      </c>
    </row>
    <row r="44827" spans="26:26" x14ac:dyDescent="0.25">
      <c r="Z44827">
        <v>400000</v>
      </c>
    </row>
    <row r="44828" spans="26:26" x14ac:dyDescent="0.25">
      <c r="Z44828">
        <v>400000</v>
      </c>
    </row>
    <row r="44829" spans="26:26" x14ac:dyDescent="0.25">
      <c r="Z44829">
        <v>400000</v>
      </c>
    </row>
    <row r="44830" spans="26:26" x14ac:dyDescent="0.25">
      <c r="Z44830">
        <v>400000</v>
      </c>
    </row>
    <row r="44831" spans="26:26" x14ac:dyDescent="0.25">
      <c r="Z44831">
        <v>400000</v>
      </c>
    </row>
    <row r="44832" spans="26:26" x14ac:dyDescent="0.25">
      <c r="Z44832">
        <v>400000</v>
      </c>
    </row>
    <row r="44833" spans="26:26" x14ac:dyDescent="0.25">
      <c r="Z44833">
        <v>400000</v>
      </c>
    </row>
    <row r="44834" spans="26:26" x14ac:dyDescent="0.25">
      <c r="Z44834">
        <v>400000</v>
      </c>
    </row>
    <row r="44835" spans="26:26" x14ac:dyDescent="0.25">
      <c r="Z44835">
        <v>400000</v>
      </c>
    </row>
    <row r="44836" spans="26:26" x14ac:dyDescent="0.25">
      <c r="Z44836">
        <v>400000</v>
      </c>
    </row>
    <row r="44837" spans="26:26" x14ac:dyDescent="0.25">
      <c r="Z44837">
        <v>400000</v>
      </c>
    </row>
    <row r="44838" spans="26:26" x14ac:dyDescent="0.25">
      <c r="Z44838">
        <v>400000</v>
      </c>
    </row>
    <row r="44839" spans="26:26" x14ac:dyDescent="0.25">
      <c r="Z44839">
        <v>400000</v>
      </c>
    </row>
    <row r="44840" spans="26:26" x14ac:dyDescent="0.25">
      <c r="Z44840">
        <v>400000</v>
      </c>
    </row>
    <row r="44841" spans="26:26" x14ac:dyDescent="0.25">
      <c r="Z44841">
        <v>400000</v>
      </c>
    </row>
    <row r="44842" spans="26:26" x14ac:dyDescent="0.25">
      <c r="Z44842">
        <v>400000</v>
      </c>
    </row>
    <row r="44843" spans="26:26" x14ac:dyDescent="0.25">
      <c r="Z44843">
        <v>400000</v>
      </c>
    </row>
    <row r="44844" spans="26:26" x14ac:dyDescent="0.25">
      <c r="Z44844">
        <v>400000</v>
      </c>
    </row>
    <row r="44845" spans="26:26" x14ac:dyDescent="0.25">
      <c r="Z44845">
        <v>400000</v>
      </c>
    </row>
    <row r="44846" spans="26:26" x14ac:dyDescent="0.25">
      <c r="Z44846">
        <v>400000</v>
      </c>
    </row>
    <row r="44847" spans="26:26" x14ac:dyDescent="0.25">
      <c r="Z44847">
        <v>400000</v>
      </c>
    </row>
    <row r="44848" spans="26:26" x14ac:dyDescent="0.25">
      <c r="Z44848">
        <v>400000</v>
      </c>
    </row>
    <row r="44849" spans="26:26" x14ac:dyDescent="0.25">
      <c r="Z44849">
        <v>400000</v>
      </c>
    </row>
    <row r="44850" spans="26:26" x14ac:dyDescent="0.25">
      <c r="Z44850">
        <v>400000</v>
      </c>
    </row>
    <row r="44851" spans="26:26" x14ac:dyDescent="0.25">
      <c r="Z44851">
        <v>400000</v>
      </c>
    </row>
    <row r="44852" spans="26:26" x14ac:dyDescent="0.25">
      <c r="Z44852">
        <v>400000</v>
      </c>
    </row>
    <row r="44853" spans="26:26" x14ac:dyDescent="0.25">
      <c r="Z44853">
        <v>400000</v>
      </c>
    </row>
    <row r="44854" spans="26:26" x14ac:dyDescent="0.25">
      <c r="Z44854">
        <v>400000</v>
      </c>
    </row>
    <row r="44855" spans="26:26" x14ac:dyDescent="0.25">
      <c r="Z44855">
        <v>400000</v>
      </c>
    </row>
    <row r="44856" spans="26:26" x14ac:dyDescent="0.25">
      <c r="Z44856">
        <v>400000</v>
      </c>
    </row>
    <row r="44857" spans="26:26" x14ac:dyDescent="0.25">
      <c r="Z44857">
        <v>400000</v>
      </c>
    </row>
    <row r="44858" spans="26:26" x14ac:dyDescent="0.25">
      <c r="Z44858">
        <v>400000</v>
      </c>
    </row>
    <row r="44859" spans="26:26" x14ac:dyDescent="0.25">
      <c r="Z44859">
        <v>400000</v>
      </c>
    </row>
    <row r="44860" spans="26:26" x14ac:dyDescent="0.25">
      <c r="Z44860">
        <v>400000</v>
      </c>
    </row>
    <row r="44861" spans="26:26" x14ac:dyDescent="0.25">
      <c r="Z44861">
        <v>400000</v>
      </c>
    </row>
    <row r="44862" spans="26:26" x14ac:dyDescent="0.25">
      <c r="Z44862">
        <v>400000</v>
      </c>
    </row>
    <row r="44863" spans="26:26" x14ac:dyDescent="0.25">
      <c r="Z44863">
        <v>400000</v>
      </c>
    </row>
    <row r="44864" spans="26:26" x14ac:dyDescent="0.25">
      <c r="Z44864">
        <v>400000</v>
      </c>
    </row>
    <row r="44865" spans="26:26" x14ac:dyDescent="0.25">
      <c r="Z44865">
        <v>400000</v>
      </c>
    </row>
    <row r="44866" spans="26:26" x14ac:dyDescent="0.25">
      <c r="Z44866">
        <v>400000</v>
      </c>
    </row>
    <row r="44867" spans="26:26" x14ac:dyDescent="0.25">
      <c r="Z44867">
        <v>400000</v>
      </c>
    </row>
    <row r="44868" spans="26:26" x14ac:dyDescent="0.25">
      <c r="Z44868">
        <v>400000</v>
      </c>
    </row>
    <row r="44869" spans="26:26" x14ac:dyDescent="0.25">
      <c r="Z44869">
        <v>400000</v>
      </c>
    </row>
    <row r="44870" spans="26:26" x14ac:dyDescent="0.25">
      <c r="Z44870">
        <v>400000</v>
      </c>
    </row>
    <row r="44871" spans="26:26" x14ac:dyDescent="0.25">
      <c r="Z44871">
        <v>400000</v>
      </c>
    </row>
    <row r="44872" spans="26:26" x14ac:dyDescent="0.25">
      <c r="Z44872">
        <v>400000</v>
      </c>
    </row>
    <row r="44873" spans="26:26" x14ac:dyDescent="0.25">
      <c r="Z44873">
        <v>400000</v>
      </c>
    </row>
    <row r="44874" spans="26:26" x14ac:dyDescent="0.25">
      <c r="Z44874">
        <v>400000</v>
      </c>
    </row>
    <row r="44875" spans="26:26" x14ac:dyDescent="0.25">
      <c r="Z44875">
        <v>400000</v>
      </c>
    </row>
    <row r="44876" spans="26:26" x14ac:dyDescent="0.25">
      <c r="Z44876">
        <v>400000</v>
      </c>
    </row>
    <row r="44877" spans="26:26" x14ac:dyDescent="0.25">
      <c r="Z44877">
        <v>400000</v>
      </c>
    </row>
    <row r="44878" spans="26:26" x14ac:dyDescent="0.25">
      <c r="Z44878">
        <v>400000</v>
      </c>
    </row>
    <row r="44879" spans="26:26" x14ac:dyDescent="0.25">
      <c r="Z44879">
        <v>400000</v>
      </c>
    </row>
    <row r="44880" spans="26:26" x14ac:dyDescent="0.25">
      <c r="Z44880">
        <v>400000</v>
      </c>
    </row>
    <row r="44881" spans="26:26" x14ac:dyDescent="0.25">
      <c r="Z44881">
        <v>400000</v>
      </c>
    </row>
    <row r="44882" spans="26:26" x14ac:dyDescent="0.25">
      <c r="Z44882">
        <v>400000</v>
      </c>
    </row>
    <row r="44883" spans="26:26" x14ac:dyDescent="0.25">
      <c r="Z44883">
        <v>400000</v>
      </c>
    </row>
    <row r="44884" spans="26:26" x14ac:dyDescent="0.25">
      <c r="Z44884">
        <v>400000</v>
      </c>
    </row>
    <row r="44885" spans="26:26" x14ac:dyDescent="0.25">
      <c r="Z44885">
        <v>400000</v>
      </c>
    </row>
    <row r="44886" spans="26:26" x14ac:dyDescent="0.25">
      <c r="Z44886">
        <v>400000</v>
      </c>
    </row>
    <row r="44887" spans="26:26" x14ac:dyDescent="0.25">
      <c r="Z44887">
        <v>400000</v>
      </c>
    </row>
    <row r="44888" spans="26:26" x14ac:dyDescent="0.25">
      <c r="Z44888">
        <v>400000</v>
      </c>
    </row>
    <row r="44889" spans="26:26" x14ac:dyDescent="0.25">
      <c r="Z44889">
        <v>400000</v>
      </c>
    </row>
    <row r="44890" spans="26:26" x14ac:dyDescent="0.25">
      <c r="Z44890">
        <v>400000</v>
      </c>
    </row>
    <row r="44891" spans="26:26" x14ac:dyDescent="0.25">
      <c r="Z44891">
        <v>400000</v>
      </c>
    </row>
    <row r="44892" spans="26:26" x14ac:dyDescent="0.25">
      <c r="Z44892">
        <v>400000</v>
      </c>
    </row>
    <row r="44893" spans="26:26" x14ac:dyDescent="0.25">
      <c r="Z44893">
        <v>400000</v>
      </c>
    </row>
    <row r="44894" spans="26:26" x14ac:dyDescent="0.25">
      <c r="Z44894">
        <v>400000</v>
      </c>
    </row>
    <row r="44895" spans="26:26" x14ac:dyDescent="0.25">
      <c r="Z44895">
        <v>400000</v>
      </c>
    </row>
    <row r="44896" spans="26:26" x14ac:dyDescent="0.25">
      <c r="Z44896">
        <v>400000</v>
      </c>
    </row>
    <row r="44897" spans="26:26" x14ac:dyDescent="0.25">
      <c r="Z44897">
        <v>400000</v>
      </c>
    </row>
    <row r="44898" spans="26:26" x14ac:dyDescent="0.25">
      <c r="Z44898">
        <v>400000</v>
      </c>
    </row>
    <row r="44899" spans="26:26" x14ac:dyDescent="0.25">
      <c r="Z44899">
        <v>400000</v>
      </c>
    </row>
    <row r="44900" spans="26:26" x14ac:dyDescent="0.25">
      <c r="Z44900">
        <v>400000</v>
      </c>
    </row>
    <row r="44901" spans="26:26" x14ac:dyDescent="0.25">
      <c r="Z44901">
        <v>400000</v>
      </c>
    </row>
    <row r="44902" spans="26:26" x14ac:dyDescent="0.25">
      <c r="Z44902">
        <v>400000</v>
      </c>
    </row>
    <row r="44903" spans="26:26" x14ac:dyDescent="0.25">
      <c r="Z44903">
        <v>400000</v>
      </c>
    </row>
    <row r="44904" spans="26:26" x14ac:dyDescent="0.25">
      <c r="Z44904">
        <v>400000</v>
      </c>
    </row>
    <row r="44905" spans="26:26" x14ac:dyDescent="0.25">
      <c r="Z44905">
        <v>400000</v>
      </c>
    </row>
    <row r="44906" spans="26:26" x14ac:dyDescent="0.25">
      <c r="Z44906">
        <v>400000</v>
      </c>
    </row>
    <row r="44907" spans="26:26" x14ac:dyDescent="0.25">
      <c r="Z44907">
        <v>400000</v>
      </c>
    </row>
    <row r="44908" spans="26:26" x14ac:dyDescent="0.25">
      <c r="Z44908">
        <v>400000</v>
      </c>
    </row>
    <row r="44909" spans="26:26" x14ac:dyDescent="0.25">
      <c r="Z44909">
        <v>400000</v>
      </c>
    </row>
    <row r="44910" spans="26:26" x14ac:dyDescent="0.25">
      <c r="Z44910">
        <v>400000</v>
      </c>
    </row>
    <row r="44911" spans="26:26" x14ac:dyDescent="0.25">
      <c r="Z44911">
        <v>400000</v>
      </c>
    </row>
    <row r="44912" spans="26:26" x14ac:dyDescent="0.25">
      <c r="Z44912">
        <v>400000</v>
      </c>
    </row>
    <row r="44913" spans="26:26" x14ac:dyDescent="0.25">
      <c r="Z44913">
        <v>400000</v>
      </c>
    </row>
    <row r="44914" spans="26:26" x14ac:dyDescent="0.25">
      <c r="Z44914">
        <v>400000</v>
      </c>
    </row>
    <row r="44915" spans="26:26" x14ac:dyDescent="0.25">
      <c r="Z44915">
        <v>400000</v>
      </c>
    </row>
    <row r="44916" spans="26:26" x14ac:dyDescent="0.25">
      <c r="Z44916">
        <v>400000</v>
      </c>
    </row>
    <row r="44917" spans="26:26" x14ac:dyDescent="0.25">
      <c r="Z44917">
        <v>400000</v>
      </c>
    </row>
    <row r="44918" spans="26:26" x14ac:dyDescent="0.25">
      <c r="Z44918">
        <v>400000</v>
      </c>
    </row>
    <row r="44919" spans="26:26" x14ac:dyDescent="0.25">
      <c r="Z44919">
        <v>400000</v>
      </c>
    </row>
    <row r="44920" spans="26:26" x14ac:dyDescent="0.25">
      <c r="Z44920">
        <v>400000</v>
      </c>
    </row>
    <row r="44921" spans="26:26" x14ac:dyDescent="0.25">
      <c r="Z44921">
        <v>400000</v>
      </c>
    </row>
    <row r="44922" spans="26:26" x14ac:dyDescent="0.25">
      <c r="Z44922">
        <v>400000</v>
      </c>
    </row>
    <row r="44923" spans="26:26" x14ac:dyDescent="0.25">
      <c r="Z44923">
        <v>400000</v>
      </c>
    </row>
    <row r="44924" spans="26:26" x14ac:dyDescent="0.25">
      <c r="Z44924">
        <v>400000</v>
      </c>
    </row>
    <row r="44925" spans="26:26" x14ac:dyDescent="0.25">
      <c r="Z44925">
        <v>400000</v>
      </c>
    </row>
    <row r="44926" spans="26:26" x14ac:dyDescent="0.25">
      <c r="Z44926">
        <v>400000</v>
      </c>
    </row>
    <row r="44927" spans="26:26" x14ac:dyDescent="0.25">
      <c r="Z44927">
        <v>400000</v>
      </c>
    </row>
    <row r="44928" spans="26:26" x14ac:dyDescent="0.25">
      <c r="Z44928">
        <v>400000</v>
      </c>
    </row>
    <row r="44929" spans="26:26" x14ac:dyDescent="0.25">
      <c r="Z44929">
        <v>400000</v>
      </c>
    </row>
    <row r="44930" spans="26:26" x14ac:dyDescent="0.25">
      <c r="Z44930">
        <v>400000</v>
      </c>
    </row>
    <row r="44931" spans="26:26" x14ac:dyDescent="0.25">
      <c r="Z44931">
        <v>400000</v>
      </c>
    </row>
    <row r="44932" spans="26:26" x14ac:dyDescent="0.25">
      <c r="Z44932">
        <v>400000</v>
      </c>
    </row>
    <row r="44933" spans="26:26" x14ac:dyDescent="0.25">
      <c r="Z44933">
        <v>400000</v>
      </c>
    </row>
    <row r="44934" spans="26:26" x14ac:dyDescent="0.25">
      <c r="Z44934">
        <v>400000</v>
      </c>
    </row>
    <row r="44935" spans="26:26" x14ac:dyDescent="0.25">
      <c r="Z44935">
        <v>400000</v>
      </c>
    </row>
    <row r="44936" spans="26:26" x14ac:dyDescent="0.25">
      <c r="Z44936">
        <v>400000</v>
      </c>
    </row>
    <row r="44937" spans="26:26" x14ac:dyDescent="0.25">
      <c r="Z44937">
        <v>400000</v>
      </c>
    </row>
    <row r="44938" spans="26:26" x14ac:dyDescent="0.25">
      <c r="Z44938">
        <v>400000</v>
      </c>
    </row>
    <row r="44939" spans="26:26" x14ac:dyDescent="0.25">
      <c r="Z44939">
        <v>400000</v>
      </c>
    </row>
    <row r="44940" spans="26:26" x14ac:dyDescent="0.25">
      <c r="Z44940">
        <v>400000</v>
      </c>
    </row>
    <row r="44941" spans="26:26" x14ac:dyDescent="0.25">
      <c r="Z44941">
        <v>400000</v>
      </c>
    </row>
    <row r="44942" spans="26:26" x14ac:dyDescent="0.25">
      <c r="Z44942">
        <v>400000</v>
      </c>
    </row>
    <row r="44943" spans="26:26" x14ac:dyDescent="0.25">
      <c r="Z44943">
        <v>400000</v>
      </c>
    </row>
    <row r="44944" spans="26:26" x14ac:dyDescent="0.25">
      <c r="Z44944">
        <v>400000</v>
      </c>
    </row>
    <row r="44945" spans="26:26" x14ac:dyDescent="0.25">
      <c r="Z44945">
        <v>400000</v>
      </c>
    </row>
    <row r="44946" spans="26:26" x14ac:dyDescent="0.25">
      <c r="Z44946">
        <v>400000</v>
      </c>
    </row>
    <row r="44947" spans="26:26" x14ac:dyDescent="0.25">
      <c r="Z44947">
        <v>400000</v>
      </c>
    </row>
    <row r="44948" spans="26:26" x14ac:dyDescent="0.25">
      <c r="Z44948">
        <v>400000</v>
      </c>
    </row>
    <row r="44949" spans="26:26" x14ac:dyDescent="0.25">
      <c r="Z44949">
        <v>400000</v>
      </c>
    </row>
    <row r="44950" spans="26:26" x14ac:dyDescent="0.25">
      <c r="Z44950">
        <v>400000</v>
      </c>
    </row>
    <row r="44951" spans="26:26" x14ac:dyDescent="0.25">
      <c r="Z44951">
        <v>400000</v>
      </c>
    </row>
    <row r="44952" spans="26:26" x14ac:dyDescent="0.25">
      <c r="Z44952">
        <v>400000</v>
      </c>
    </row>
    <row r="44953" spans="26:26" x14ac:dyDescent="0.25">
      <c r="Z44953">
        <v>400000</v>
      </c>
    </row>
    <row r="44954" spans="26:26" x14ac:dyDescent="0.25">
      <c r="Z44954">
        <v>400000</v>
      </c>
    </row>
    <row r="44955" spans="26:26" x14ac:dyDescent="0.25">
      <c r="Z44955">
        <v>400000</v>
      </c>
    </row>
    <row r="44956" spans="26:26" x14ac:dyDescent="0.25">
      <c r="Z44956">
        <v>400000</v>
      </c>
    </row>
    <row r="44957" spans="26:26" x14ac:dyDescent="0.25">
      <c r="Z44957">
        <v>400000</v>
      </c>
    </row>
    <row r="44958" spans="26:26" x14ac:dyDescent="0.25">
      <c r="Z44958">
        <v>400000</v>
      </c>
    </row>
    <row r="44959" spans="26:26" x14ac:dyDescent="0.25">
      <c r="Z44959">
        <v>400000</v>
      </c>
    </row>
    <row r="44960" spans="26:26" x14ac:dyDescent="0.25">
      <c r="Z44960">
        <v>400000</v>
      </c>
    </row>
    <row r="44961" spans="26:26" x14ac:dyDescent="0.25">
      <c r="Z44961">
        <v>400000</v>
      </c>
    </row>
    <row r="44962" spans="26:26" x14ac:dyDescent="0.25">
      <c r="Z44962">
        <v>400000</v>
      </c>
    </row>
    <row r="44963" spans="26:26" x14ac:dyDescent="0.25">
      <c r="Z44963">
        <v>400000</v>
      </c>
    </row>
    <row r="44964" spans="26:26" x14ac:dyDescent="0.25">
      <c r="Z44964">
        <v>400000</v>
      </c>
    </row>
    <row r="44965" spans="26:26" x14ac:dyDescent="0.25">
      <c r="Z44965">
        <v>400000</v>
      </c>
    </row>
    <row r="44966" spans="26:26" x14ac:dyDescent="0.25">
      <c r="Z44966">
        <v>400000</v>
      </c>
    </row>
    <row r="44967" spans="26:26" x14ac:dyDescent="0.25">
      <c r="Z44967">
        <v>400000</v>
      </c>
    </row>
    <row r="44968" spans="26:26" x14ac:dyDescent="0.25">
      <c r="Z44968">
        <v>400000</v>
      </c>
    </row>
    <row r="44969" spans="26:26" x14ac:dyDescent="0.25">
      <c r="Z44969">
        <v>400000</v>
      </c>
    </row>
    <row r="44970" spans="26:26" x14ac:dyDescent="0.25">
      <c r="Z44970">
        <v>400000</v>
      </c>
    </row>
    <row r="44971" spans="26:26" x14ac:dyDescent="0.25">
      <c r="Z44971">
        <v>400000</v>
      </c>
    </row>
    <row r="44972" spans="26:26" x14ac:dyDescent="0.25">
      <c r="Z44972">
        <v>400000</v>
      </c>
    </row>
    <row r="44973" spans="26:26" x14ac:dyDescent="0.25">
      <c r="Z44973">
        <v>400000</v>
      </c>
    </row>
    <row r="44974" spans="26:26" x14ac:dyDescent="0.25">
      <c r="Z44974">
        <v>400000</v>
      </c>
    </row>
    <row r="44975" spans="26:26" x14ac:dyDescent="0.25">
      <c r="Z44975">
        <v>400000</v>
      </c>
    </row>
    <row r="44976" spans="26:26" x14ac:dyDescent="0.25">
      <c r="Z44976">
        <v>400000</v>
      </c>
    </row>
    <row r="44977" spans="26:26" x14ac:dyDescent="0.25">
      <c r="Z44977">
        <v>400000</v>
      </c>
    </row>
    <row r="44978" spans="26:26" x14ac:dyDescent="0.25">
      <c r="Z44978">
        <v>400000</v>
      </c>
    </row>
    <row r="44979" spans="26:26" x14ac:dyDescent="0.25">
      <c r="Z44979">
        <v>400000</v>
      </c>
    </row>
    <row r="44980" spans="26:26" x14ac:dyDescent="0.25">
      <c r="Z44980">
        <v>400000</v>
      </c>
    </row>
    <row r="44981" spans="26:26" x14ac:dyDescent="0.25">
      <c r="Z44981">
        <v>400000</v>
      </c>
    </row>
    <row r="44982" spans="26:26" x14ac:dyDescent="0.25">
      <c r="Z44982">
        <v>400000</v>
      </c>
    </row>
    <row r="44983" spans="26:26" x14ac:dyDescent="0.25">
      <c r="Z44983">
        <v>400000</v>
      </c>
    </row>
    <row r="44984" spans="26:26" x14ac:dyDescent="0.25">
      <c r="Z44984">
        <v>400000</v>
      </c>
    </row>
    <row r="44985" spans="26:26" x14ac:dyDescent="0.25">
      <c r="Z44985">
        <v>400000</v>
      </c>
    </row>
    <row r="44986" spans="26:26" x14ac:dyDescent="0.25">
      <c r="Z44986">
        <v>400000</v>
      </c>
    </row>
    <row r="44987" spans="26:26" x14ac:dyDescent="0.25">
      <c r="Z44987">
        <v>400000</v>
      </c>
    </row>
    <row r="44988" spans="26:26" x14ac:dyDescent="0.25">
      <c r="Z44988">
        <v>400000</v>
      </c>
    </row>
    <row r="44989" spans="26:26" x14ac:dyDescent="0.25">
      <c r="Z44989">
        <v>400000</v>
      </c>
    </row>
    <row r="44990" spans="26:26" x14ac:dyDescent="0.25">
      <c r="Z44990">
        <v>400000</v>
      </c>
    </row>
    <row r="44991" spans="26:26" x14ac:dyDescent="0.25">
      <c r="Z44991">
        <v>400000</v>
      </c>
    </row>
    <row r="44992" spans="26:26" x14ac:dyDescent="0.25">
      <c r="Z44992">
        <v>400000</v>
      </c>
    </row>
    <row r="44993" spans="26:26" x14ac:dyDescent="0.25">
      <c r="Z44993">
        <v>400000</v>
      </c>
    </row>
    <row r="44994" spans="26:26" x14ac:dyDescent="0.25">
      <c r="Z44994">
        <v>400000</v>
      </c>
    </row>
    <row r="44995" spans="26:26" x14ac:dyDescent="0.25">
      <c r="Z44995">
        <v>400000</v>
      </c>
    </row>
    <row r="44996" spans="26:26" x14ac:dyDescent="0.25">
      <c r="Z44996">
        <v>400000</v>
      </c>
    </row>
    <row r="44997" spans="26:26" x14ac:dyDescent="0.25">
      <c r="Z44997">
        <v>400000</v>
      </c>
    </row>
    <row r="44998" spans="26:26" x14ac:dyDescent="0.25">
      <c r="Z44998">
        <v>400000</v>
      </c>
    </row>
    <row r="44999" spans="26:26" x14ac:dyDescent="0.25">
      <c r="Z44999">
        <v>400000</v>
      </c>
    </row>
    <row r="45000" spans="26:26" x14ac:dyDescent="0.25">
      <c r="Z45000">
        <v>400000</v>
      </c>
    </row>
    <row r="45001" spans="26:26" x14ac:dyDescent="0.25">
      <c r="Z45001">
        <v>400000</v>
      </c>
    </row>
    <row r="45002" spans="26:26" x14ac:dyDescent="0.25">
      <c r="Z45002">
        <v>400000</v>
      </c>
    </row>
    <row r="45003" spans="26:26" x14ac:dyDescent="0.25">
      <c r="Z45003">
        <v>400000</v>
      </c>
    </row>
    <row r="45004" spans="26:26" x14ac:dyDescent="0.25">
      <c r="Z45004">
        <v>400000</v>
      </c>
    </row>
    <row r="45005" spans="26:26" x14ac:dyDescent="0.25">
      <c r="Z45005">
        <v>400000</v>
      </c>
    </row>
    <row r="45006" spans="26:26" x14ac:dyDescent="0.25">
      <c r="Z45006">
        <v>400000</v>
      </c>
    </row>
    <row r="45007" spans="26:26" x14ac:dyDescent="0.25">
      <c r="Z45007">
        <v>400000</v>
      </c>
    </row>
    <row r="45008" spans="26:26" x14ac:dyDescent="0.25">
      <c r="Z45008">
        <v>400000</v>
      </c>
    </row>
    <row r="45009" spans="26:26" x14ac:dyDescent="0.25">
      <c r="Z45009">
        <v>400000</v>
      </c>
    </row>
    <row r="45010" spans="26:26" x14ac:dyDescent="0.25">
      <c r="Z45010">
        <v>400000</v>
      </c>
    </row>
    <row r="45011" spans="26:26" x14ac:dyDescent="0.25">
      <c r="Z45011">
        <v>400000</v>
      </c>
    </row>
    <row r="45012" spans="26:26" x14ac:dyDescent="0.25">
      <c r="Z45012">
        <v>400000</v>
      </c>
    </row>
    <row r="45013" spans="26:26" x14ac:dyDescent="0.25">
      <c r="Z45013">
        <v>400000</v>
      </c>
    </row>
    <row r="45014" spans="26:26" x14ac:dyDescent="0.25">
      <c r="Z45014">
        <v>400000</v>
      </c>
    </row>
    <row r="45015" spans="26:26" x14ac:dyDescent="0.25">
      <c r="Z45015">
        <v>400000</v>
      </c>
    </row>
    <row r="45016" spans="26:26" x14ac:dyDescent="0.25">
      <c r="Z45016">
        <v>400000</v>
      </c>
    </row>
    <row r="45017" spans="26:26" x14ac:dyDescent="0.25">
      <c r="Z45017">
        <v>400000</v>
      </c>
    </row>
    <row r="45018" spans="26:26" x14ac:dyDescent="0.25">
      <c r="Z45018">
        <v>400000</v>
      </c>
    </row>
    <row r="45019" spans="26:26" x14ac:dyDescent="0.25">
      <c r="Z45019">
        <v>400000</v>
      </c>
    </row>
    <row r="45020" spans="26:26" x14ac:dyDescent="0.25">
      <c r="Z45020">
        <v>400000</v>
      </c>
    </row>
    <row r="45021" spans="26:26" x14ac:dyDescent="0.25">
      <c r="Z45021">
        <v>400000</v>
      </c>
    </row>
    <row r="45022" spans="26:26" x14ac:dyDescent="0.25">
      <c r="Z45022">
        <v>400000</v>
      </c>
    </row>
    <row r="45023" spans="26:26" x14ac:dyDescent="0.25">
      <c r="Z45023">
        <v>400000</v>
      </c>
    </row>
    <row r="45024" spans="26:26" x14ac:dyDescent="0.25">
      <c r="Z45024">
        <v>400000</v>
      </c>
    </row>
    <row r="45025" spans="26:26" x14ac:dyDescent="0.25">
      <c r="Z45025">
        <v>400000</v>
      </c>
    </row>
    <row r="45026" spans="26:26" x14ac:dyDescent="0.25">
      <c r="Z45026">
        <v>400000</v>
      </c>
    </row>
    <row r="45027" spans="26:26" x14ac:dyDescent="0.25">
      <c r="Z45027">
        <v>400000</v>
      </c>
    </row>
    <row r="45028" spans="26:26" x14ac:dyDescent="0.25">
      <c r="Z45028">
        <v>400000</v>
      </c>
    </row>
    <row r="45029" spans="26:26" x14ac:dyDescent="0.25">
      <c r="Z45029">
        <v>400000</v>
      </c>
    </row>
    <row r="45030" spans="26:26" x14ac:dyDescent="0.25">
      <c r="Z45030">
        <v>400000</v>
      </c>
    </row>
    <row r="45031" spans="26:26" x14ac:dyDescent="0.25">
      <c r="Z45031">
        <v>400000</v>
      </c>
    </row>
    <row r="45032" spans="26:26" x14ac:dyDescent="0.25">
      <c r="Z45032">
        <v>400000</v>
      </c>
    </row>
    <row r="45033" spans="26:26" x14ac:dyDescent="0.25">
      <c r="Z45033">
        <v>400000</v>
      </c>
    </row>
    <row r="45034" spans="26:26" x14ac:dyDescent="0.25">
      <c r="Z45034">
        <v>400000</v>
      </c>
    </row>
    <row r="45035" spans="26:26" x14ac:dyDescent="0.25">
      <c r="Z45035">
        <v>400000</v>
      </c>
    </row>
    <row r="45036" spans="26:26" x14ac:dyDescent="0.25">
      <c r="Z45036">
        <v>400000</v>
      </c>
    </row>
    <row r="45037" spans="26:26" x14ac:dyDescent="0.25">
      <c r="Z45037">
        <v>400000</v>
      </c>
    </row>
    <row r="45038" spans="26:26" x14ac:dyDescent="0.25">
      <c r="Z45038">
        <v>400000</v>
      </c>
    </row>
    <row r="45039" spans="26:26" x14ac:dyDescent="0.25">
      <c r="Z45039">
        <v>400000</v>
      </c>
    </row>
    <row r="45040" spans="26:26" x14ac:dyDescent="0.25">
      <c r="Z45040">
        <v>400000</v>
      </c>
    </row>
    <row r="45041" spans="26:26" x14ac:dyDescent="0.25">
      <c r="Z45041">
        <v>400000</v>
      </c>
    </row>
    <row r="45042" spans="26:26" x14ac:dyDescent="0.25">
      <c r="Z45042">
        <v>400000</v>
      </c>
    </row>
    <row r="45043" spans="26:26" x14ac:dyDescent="0.25">
      <c r="Z45043">
        <v>400000</v>
      </c>
    </row>
    <row r="45044" spans="26:26" x14ac:dyDescent="0.25">
      <c r="Z45044">
        <v>400000</v>
      </c>
    </row>
    <row r="45045" spans="26:26" x14ac:dyDescent="0.25">
      <c r="Z45045">
        <v>400000</v>
      </c>
    </row>
    <row r="45046" spans="26:26" x14ac:dyDescent="0.25">
      <c r="Z45046">
        <v>400000</v>
      </c>
    </row>
    <row r="45047" spans="26:26" x14ac:dyDescent="0.25">
      <c r="Z45047">
        <v>400000</v>
      </c>
    </row>
    <row r="45048" spans="26:26" x14ac:dyDescent="0.25">
      <c r="Z45048">
        <v>400000</v>
      </c>
    </row>
    <row r="45049" spans="26:26" x14ac:dyDescent="0.25">
      <c r="Z45049">
        <v>400000</v>
      </c>
    </row>
    <row r="45050" spans="26:26" x14ac:dyDescent="0.25">
      <c r="Z45050">
        <v>400000</v>
      </c>
    </row>
    <row r="45051" spans="26:26" x14ac:dyDescent="0.25">
      <c r="Z45051">
        <v>400000</v>
      </c>
    </row>
    <row r="45052" spans="26:26" x14ac:dyDescent="0.25">
      <c r="Z45052">
        <v>400000</v>
      </c>
    </row>
    <row r="45053" spans="26:26" x14ac:dyDescent="0.25">
      <c r="Z45053">
        <v>400000</v>
      </c>
    </row>
    <row r="45054" spans="26:26" x14ac:dyDescent="0.25">
      <c r="Z45054">
        <v>400000</v>
      </c>
    </row>
    <row r="45055" spans="26:26" x14ac:dyDescent="0.25">
      <c r="Z45055">
        <v>400000</v>
      </c>
    </row>
    <row r="45056" spans="26:26" x14ac:dyDescent="0.25">
      <c r="Z45056">
        <v>400000</v>
      </c>
    </row>
    <row r="45057" spans="26:26" x14ac:dyDescent="0.25">
      <c r="Z45057">
        <v>400000</v>
      </c>
    </row>
    <row r="45058" spans="26:26" x14ac:dyDescent="0.25">
      <c r="Z45058">
        <v>400000</v>
      </c>
    </row>
    <row r="45059" spans="26:26" x14ac:dyDescent="0.25">
      <c r="Z45059">
        <v>400000</v>
      </c>
    </row>
    <row r="45060" spans="26:26" x14ac:dyDescent="0.25">
      <c r="Z45060">
        <v>400000</v>
      </c>
    </row>
    <row r="45061" spans="26:26" x14ac:dyDescent="0.25">
      <c r="Z45061">
        <v>400000</v>
      </c>
    </row>
    <row r="45062" spans="26:26" x14ac:dyDescent="0.25">
      <c r="Z45062">
        <v>400000</v>
      </c>
    </row>
    <row r="45063" spans="26:26" x14ac:dyDescent="0.25">
      <c r="Z45063">
        <v>400000</v>
      </c>
    </row>
    <row r="45064" spans="26:26" x14ac:dyDescent="0.25">
      <c r="Z45064">
        <v>400000</v>
      </c>
    </row>
    <row r="45065" spans="26:26" x14ac:dyDescent="0.25">
      <c r="Z45065">
        <v>400000</v>
      </c>
    </row>
    <row r="45066" spans="26:26" x14ac:dyDescent="0.25">
      <c r="Z45066">
        <v>400000</v>
      </c>
    </row>
    <row r="45067" spans="26:26" x14ac:dyDescent="0.25">
      <c r="Z45067">
        <v>400000</v>
      </c>
    </row>
    <row r="45068" spans="26:26" x14ac:dyDescent="0.25">
      <c r="Z45068">
        <v>400000</v>
      </c>
    </row>
    <row r="45069" spans="26:26" x14ac:dyDescent="0.25">
      <c r="Z45069">
        <v>400000</v>
      </c>
    </row>
    <row r="45070" spans="26:26" x14ac:dyDescent="0.25">
      <c r="Z45070">
        <v>400000</v>
      </c>
    </row>
    <row r="45071" spans="26:26" x14ac:dyDescent="0.25">
      <c r="Z45071">
        <v>400000</v>
      </c>
    </row>
    <row r="45072" spans="26:26" x14ac:dyDescent="0.25">
      <c r="Z45072">
        <v>400000</v>
      </c>
    </row>
    <row r="45073" spans="26:26" x14ac:dyDescent="0.25">
      <c r="Z45073">
        <v>400000</v>
      </c>
    </row>
    <row r="45074" spans="26:26" x14ac:dyDescent="0.25">
      <c r="Z45074">
        <v>400000</v>
      </c>
    </row>
    <row r="45075" spans="26:26" x14ac:dyDescent="0.25">
      <c r="Z45075">
        <v>400000</v>
      </c>
    </row>
    <row r="45076" spans="26:26" x14ac:dyDescent="0.25">
      <c r="Z45076">
        <v>400000</v>
      </c>
    </row>
    <row r="45077" spans="26:26" x14ac:dyDescent="0.25">
      <c r="Z45077">
        <v>400000</v>
      </c>
    </row>
    <row r="45078" spans="26:26" x14ac:dyDescent="0.25">
      <c r="Z45078">
        <v>400000</v>
      </c>
    </row>
    <row r="45079" spans="26:26" x14ac:dyDescent="0.25">
      <c r="Z45079">
        <v>400000</v>
      </c>
    </row>
    <row r="45080" spans="26:26" x14ac:dyDescent="0.25">
      <c r="Z45080">
        <v>400000</v>
      </c>
    </row>
    <row r="45081" spans="26:26" x14ac:dyDescent="0.25">
      <c r="Z45081">
        <v>400000</v>
      </c>
    </row>
    <row r="45082" spans="26:26" x14ac:dyDescent="0.25">
      <c r="Z45082">
        <v>400000</v>
      </c>
    </row>
    <row r="45083" spans="26:26" x14ac:dyDescent="0.25">
      <c r="Z45083">
        <v>400000</v>
      </c>
    </row>
    <row r="45084" spans="26:26" x14ac:dyDescent="0.25">
      <c r="Z45084">
        <v>400000</v>
      </c>
    </row>
    <row r="45085" spans="26:26" x14ac:dyDescent="0.25">
      <c r="Z45085">
        <v>400000</v>
      </c>
    </row>
    <row r="45086" spans="26:26" x14ac:dyDescent="0.25">
      <c r="Z45086">
        <v>400000</v>
      </c>
    </row>
    <row r="45087" spans="26:26" x14ac:dyDescent="0.25">
      <c r="Z45087">
        <v>400000</v>
      </c>
    </row>
    <row r="45088" spans="26:26" x14ac:dyDescent="0.25">
      <c r="Z45088">
        <v>400000</v>
      </c>
    </row>
    <row r="45089" spans="26:26" x14ac:dyDescent="0.25">
      <c r="Z45089">
        <v>400000</v>
      </c>
    </row>
    <row r="45090" spans="26:26" x14ac:dyDescent="0.25">
      <c r="Z45090">
        <v>400000</v>
      </c>
    </row>
    <row r="45091" spans="26:26" x14ac:dyDescent="0.25">
      <c r="Z45091">
        <v>400000</v>
      </c>
    </row>
    <row r="45092" spans="26:26" x14ac:dyDescent="0.25">
      <c r="Z45092">
        <v>400000</v>
      </c>
    </row>
    <row r="45093" spans="26:26" x14ac:dyDescent="0.25">
      <c r="Z45093">
        <v>400000</v>
      </c>
    </row>
    <row r="45094" spans="26:26" x14ac:dyDescent="0.25">
      <c r="Z45094">
        <v>400000</v>
      </c>
    </row>
    <row r="45095" spans="26:26" x14ac:dyDescent="0.25">
      <c r="Z45095">
        <v>400000</v>
      </c>
    </row>
    <row r="45096" spans="26:26" x14ac:dyDescent="0.25">
      <c r="Z45096">
        <v>400000</v>
      </c>
    </row>
    <row r="45097" spans="26:26" x14ac:dyDescent="0.25">
      <c r="Z45097">
        <v>400000</v>
      </c>
    </row>
    <row r="45098" spans="26:26" x14ac:dyDescent="0.25">
      <c r="Z45098">
        <v>400000</v>
      </c>
    </row>
    <row r="45099" spans="26:26" x14ac:dyDescent="0.25">
      <c r="Z45099">
        <v>400000</v>
      </c>
    </row>
    <row r="45100" spans="26:26" x14ac:dyDescent="0.25">
      <c r="Z45100">
        <v>400000</v>
      </c>
    </row>
    <row r="45101" spans="26:26" x14ac:dyDescent="0.25">
      <c r="Z45101">
        <v>400000</v>
      </c>
    </row>
    <row r="45102" spans="26:26" x14ac:dyDescent="0.25">
      <c r="Z45102">
        <v>400000</v>
      </c>
    </row>
    <row r="45103" spans="26:26" x14ac:dyDescent="0.25">
      <c r="Z45103">
        <v>400000</v>
      </c>
    </row>
    <row r="45104" spans="26:26" x14ac:dyDescent="0.25">
      <c r="Z45104">
        <v>400000</v>
      </c>
    </row>
    <row r="45105" spans="26:26" x14ac:dyDescent="0.25">
      <c r="Z45105">
        <v>400000</v>
      </c>
    </row>
    <row r="45106" spans="26:26" x14ac:dyDescent="0.25">
      <c r="Z45106">
        <v>400000</v>
      </c>
    </row>
    <row r="45107" spans="26:26" x14ac:dyDescent="0.25">
      <c r="Z45107">
        <v>400000</v>
      </c>
    </row>
    <row r="45108" spans="26:26" x14ac:dyDescent="0.25">
      <c r="Z45108">
        <v>400000</v>
      </c>
    </row>
    <row r="45109" spans="26:26" x14ac:dyDescent="0.25">
      <c r="Z45109">
        <v>400000</v>
      </c>
    </row>
    <row r="45110" spans="26:26" x14ac:dyDescent="0.25">
      <c r="Z45110">
        <v>400000</v>
      </c>
    </row>
    <row r="45111" spans="26:26" x14ac:dyDescent="0.25">
      <c r="Z45111">
        <v>400000</v>
      </c>
    </row>
    <row r="45112" spans="26:26" x14ac:dyDescent="0.25">
      <c r="Z45112">
        <v>400000</v>
      </c>
    </row>
    <row r="45113" spans="26:26" x14ac:dyDescent="0.25">
      <c r="Z45113">
        <v>400000</v>
      </c>
    </row>
    <row r="45114" spans="26:26" x14ac:dyDescent="0.25">
      <c r="Z45114">
        <v>400000</v>
      </c>
    </row>
    <row r="45115" spans="26:26" x14ac:dyDescent="0.25">
      <c r="Z45115">
        <v>400000</v>
      </c>
    </row>
    <row r="45116" spans="26:26" x14ac:dyDescent="0.25">
      <c r="Z45116">
        <v>400000</v>
      </c>
    </row>
    <row r="45117" spans="26:26" x14ac:dyDescent="0.25">
      <c r="Z45117">
        <v>400000</v>
      </c>
    </row>
    <row r="45118" spans="26:26" x14ac:dyDescent="0.25">
      <c r="Z45118">
        <v>400000</v>
      </c>
    </row>
    <row r="45119" spans="26:26" x14ac:dyDescent="0.25">
      <c r="Z45119">
        <v>400000</v>
      </c>
    </row>
    <row r="45120" spans="26:26" x14ac:dyDescent="0.25">
      <c r="Z45120">
        <v>400000</v>
      </c>
    </row>
    <row r="45121" spans="26:26" x14ac:dyDescent="0.25">
      <c r="Z45121">
        <v>400000</v>
      </c>
    </row>
    <row r="45122" spans="26:26" x14ac:dyDescent="0.25">
      <c r="Z45122">
        <v>400000</v>
      </c>
    </row>
    <row r="45123" spans="26:26" x14ac:dyDescent="0.25">
      <c r="Z45123">
        <v>400000</v>
      </c>
    </row>
    <row r="45124" spans="26:26" x14ac:dyDescent="0.25">
      <c r="Z45124">
        <v>400000</v>
      </c>
    </row>
    <row r="45125" spans="26:26" x14ac:dyDescent="0.25">
      <c r="Z45125">
        <v>400000</v>
      </c>
    </row>
    <row r="45126" spans="26:26" x14ac:dyDescent="0.25">
      <c r="Z45126">
        <v>400000</v>
      </c>
    </row>
    <row r="45127" spans="26:26" x14ac:dyDescent="0.25">
      <c r="Z45127">
        <v>400000</v>
      </c>
    </row>
    <row r="45128" spans="26:26" x14ac:dyDescent="0.25">
      <c r="Z45128">
        <v>400000</v>
      </c>
    </row>
    <row r="45129" spans="26:26" x14ac:dyDescent="0.25">
      <c r="Z45129">
        <v>400000</v>
      </c>
    </row>
    <row r="45130" spans="26:26" x14ac:dyDescent="0.25">
      <c r="Z45130">
        <v>400000</v>
      </c>
    </row>
    <row r="45131" spans="26:26" x14ac:dyDescent="0.25">
      <c r="Z45131">
        <v>400000</v>
      </c>
    </row>
    <row r="45132" spans="26:26" x14ac:dyDescent="0.25">
      <c r="Z45132">
        <v>400000</v>
      </c>
    </row>
    <row r="45133" spans="26:26" x14ac:dyDescent="0.25">
      <c r="Z45133">
        <v>400000</v>
      </c>
    </row>
    <row r="45134" spans="26:26" x14ac:dyDescent="0.25">
      <c r="Z45134">
        <v>400000</v>
      </c>
    </row>
    <row r="45135" spans="26:26" x14ac:dyDescent="0.25">
      <c r="Z45135">
        <v>400000</v>
      </c>
    </row>
    <row r="45136" spans="26:26" x14ac:dyDescent="0.25">
      <c r="Z45136">
        <v>400000</v>
      </c>
    </row>
    <row r="45137" spans="26:26" x14ac:dyDescent="0.25">
      <c r="Z45137">
        <v>400000</v>
      </c>
    </row>
    <row r="45138" spans="26:26" x14ac:dyDescent="0.25">
      <c r="Z45138">
        <v>400000</v>
      </c>
    </row>
    <row r="45139" spans="26:26" x14ac:dyDescent="0.25">
      <c r="Z45139">
        <v>400000</v>
      </c>
    </row>
    <row r="45140" spans="26:26" x14ac:dyDescent="0.25">
      <c r="Z45140">
        <v>400000</v>
      </c>
    </row>
    <row r="45141" spans="26:26" x14ac:dyDescent="0.25">
      <c r="Z45141">
        <v>400000</v>
      </c>
    </row>
    <row r="45142" spans="26:26" x14ac:dyDescent="0.25">
      <c r="Z45142">
        <v>400000</v>
      </c>
    </row>
    <row r="45143" spans="26:26" x14ac:dyDescent="0.25">
      <c r="Z45143">
        <v>400000</v>
      </c>
    </row>
    <row r="45144" spans="26:26" x14ac:dyDescent="0.25">
      <c r="Z45144">
        <v>400000</v>
      </c>
    </row>
    <row r="45145" spans="26:26" x14ac:dyDescent="0.25">
      <c r="Z45145">
        <v>400000</v>
      </c>
    </row>
    <row r="45146" spans="26:26" x14ac:dyDescent="0.25">
      <c r="Z45146">
        <v>400000</v>
      </c>
    </row>
    <row r="45147" spans="26:26" x14ac:dyDescent="0.25">
      <c r="Z45147">
        <v>400000</v>
      </c>
    </row>
    <row r="45148" spans="26:26" x14ac:dyDescent="0.25">
      <c r="Z45148">
        <v>400000</v>
      </c>
    </row>
    <row r="45149" spans="26:26" x14ac:dyDescent="0.25">
      <c r="Z45149">
        <v>400000</v>
      </c>
    </row>
    <row r="45150" spans="26:26" x14ac:dyDescent="0.25">
      <c r="Z45150">
        <v>400000</v>
      </c>
    </row>
    <row r="45151" spans="26:26" x14ac:dyDescent="0.25">
      <c r="Z45151">
        <v>400000</v>
      </c>
    </row>
    <row r="45152" spans="26:26" x14ac:dyDescent="0.25">
      <c r="Z45152">
        <v>400000</v>
      </c>
    </row>
    <row r="45153" spans="26:26" x14ac:dyDescent="0.25">
      <c r="Z45153">
        <v>400000</v>
      </c>
    </row>
    <row r="45154" spans="26:26" x14ac:dyDescent="0.25">
      <c r="Z45154">
        <v>400000</v>
      </c>
    </row>
    <row r="45155" spans="26:26" x14ac:dyDescent="0.25">
      <c r="Z45155">
        <v>400000</v>
      </c>
    </row>
    <row r="45156" spans="26:26" x14ac:dyDescent="0.25">
      <c r="Z45156">
        <v>400000</v>
      </c>
    </row>
    <row r="45157" spans="26:26" x14ac:dyDescent="0.25">
      <c r="Z45157">
        <v>400000</v>
      </c>
    </row>
    <row r="45158" spans="26:26" x14ac:dyDescent="0.25">
      <c r="Z45158">
        <v>400000</v>
      </c>
    </row>
    <row r="45159" spans="26:26" x14ac:dyDescent="0.25">
      <c r="Z45159">
        <v>400000</v>
      </c>
    </row>
    <row r="45160" spans="26:26" x14ac:dyDescent="0.25">
      <c r="Z45160">
        <v>400000</v>
      </c>
    </row>
    <row r="45161" spans="26:26" x14ac:dyDescent="0.25">
      <c r="Z45161">
        <v>400000</v>
      </c>
    </row>
    <row r="45162" spans="26:26" x14ac:dyDescent="0.25">
      <c r="Z45162">
        <v>400000</v>
      </c>
    </row>
    <row r="45163" spans="26:26" x14ac:dyDescent="0.25">
      <c r="Z45163">
        <v>400000</v>
      </c>
    </row>
    <row r="45164" spans="26:26" x14ac:dyDescent="0.25">
      <c r="Z45164">
        <v>400000</v>
      </c>
    </row>
    <row r="45165" spans="26:26" x14ac:dyDescent="0.25">
      <c r="Z45165">
        <v>400000</v>
      </c>
    </row>
    <row r="45166" spans="26:26" x14ac:dyDescent="0.25">
      <c r="Z45166">
        <v>400000</v>
      </c>
    </row>
    <row r="45167" spans="26:26" x14ac:dyDescent="0.25">
      <c r="Z45167">
        <v>400000</v>
      </c>
    </row>
    <row r="45168" spans="26:26" x14ac:dyDescent="0.25">
      <c r="Z45168">
        <v>400000</v>
      </c>
    </row>
    <row r="45169" spans="26:26" x14ac:dyDescent="0.25">
      <c r="Z45169">
        <v>400000</v>
      </c>
    </row>
    <row r="45170" spans="26:26" x14ac:dyDescent="0.25">
      <c r="Z45170">
        <v>400000</v>
      </c>
    </row>
    <row r="45171" spans="26:26" x14ac:dyDescent="0.25">
      <c r="Z45171">
        <v>400000</v>
      </c>
    </row>
    <row r="45172" spans="26:26" x14ac:dyDescent="0.25">
      <c r="Z45172">
        <v>400000</v>
      </c>
    </row>
    <row r="45173" spans="26:26" x14ac:dyDescent="0.25">
      <c r="Z45173">
        <v>400000</v>
      </c>
    </row>
    <row r="45174" spans="26:26" x14ac:dyDescent="0.25">
      <c r="Z45174">
        <v>400000</v>
      </c>
    </row>
    <row r="45175" spans="26:26" x14ac:dyDescent="0.25">
      <c r="Z45175">
        <v>400000</v>
      </c>
    </row>
    <row r="45176" spans="26:26" x14ac:dyDescent="0.25">
      <c r="Z45176">
        <v>400000</v>
      </c>
    </row>
    <row r="45177" spans="26:26" x14ac:dyDescent="0.25">
      <c r="Z45177">
        <v>400000</v>
      </c>
    </row>
    <row r="45178" spans="26:26" x14ac:dyDescent="0.25">
      <c r="Z45178">
        <v>400000</v>
      </c>
    </row>
    <row r="45179" spans="26:26" x14ac:dyDescent="0.25">
      <c r="Z45179">
        <v>400000</v>
      </c>
    </row>
    <row r="45180" spans="26:26" x14ac:dyDescent="0.25">
      <c r="Z45180">
        <v>400000</v>
      </c>
    </row>
    <row r="45181" spans="26:26" x14ac:dyDescent="0.25">
      <c r="Z45181">
        <v>400000</v>
      </c>
    </row>
    <row r="45182" spans="26:26" x14ac:dyDescent="0.25">
      <c r="Z45182">
        <v>400000</v>
      </c>
    </row>
    <row r="45183" spans="26:26" x14ac:dyDescent="0.25">
      <c r="Z45183">
        <v>400000</v>
      </c>
    </row>
    <row r="45184" spans="26:26" x14ac:dyDescent="0.25">
      <c r="Z45184">
        <v>400000</v>
      </c>
    </row>
    <row r="45185" spans="26:26" x14ac:dyDescent="0.25">
      <c r="Z45185">
        <v>400000</v>
      </c>
    </row>
    <row r="45186" spans="26:26" x14ac:dyDescent="0.25">
      <c r="Z45186">
        <v>400000</v>
      </c>
    </row>
    <row r="45187" spans="26:26" x14ac:dyDescent="0.25">
      <c r="Z45187">
        <v>400000</v>
      </c>
    </row>
    <row r="45188" spans="26:26" x14ac:dyDescent="0.25">
      <c r="Z45188">
        <v>400000</v>
      </c>
    </row>
    <row r="45189" spans="26:26" x14ac:dyDescent="0.25">
      <c r="Z45189">
        <v>400000</v>
      </c>
    </row>
    <row r="45190" spans="26:26" x14ac:dyDescent="0.25">
      <c r="Z45190">
        <v>400000</v>
      </c>
    </row>
    <row r="45191" spans="26:26" x14ac:dyDescent="0.25">
      <c r="Z45191">
        <v>400000</v>
      </c>
    </row>
    <row r="45192" spans="26:26" x14ac:dyDescent="0.25">
      <c r="Z45192">
        <v>400000</v>
      </c>
    </row>
    <row r="45193" spans="26:26" x14ac:dyDescent="0.25">
      <c r="Z45193">
        <v>400000</v>
      </c>
    </row>
    <row r="45194" spans="26:26" x14ac:dyDescent="0.25">
      <c r="Z45194">
        <v>400000</v>
      </c>
    </row>
    <row r="45195" spans="26:26" x14ac:dyDescent="0.25">
      <c r="Z45195">
        <v>400000</v>
      </c>
    </row>
    <row r="45196" spans="26:26" x14ac:dyDescent="0.25">
      <c r="Z45196">
        <v>400000</v>
      </c>
    </row>
    <row r="45197" spans="26:26" x14ac:dyDescent="0.25">
      <c r="Z45197">
        <v>400000</v>
      </c>
    </row>
    <row r="45198" spans="26:26" x14ac:dyDescent="0.25">
      <c r="Z45198">
        <v>400000</v>
      </c>
    </row>
    <row r="45199" spans="26:26" x14ac:dyDescent="0.25">
      <c r="Z45199">
        <v>400000</v>
      </c>
    </row>
    <row r="45200" spans="26:26" x14ac:dyDescent="0.25">
      <c r="Z45200">
        <v>400000</v>
      </c>
    </row>
    <row r="45201" spans="26:26" x14ac:dyDescent="0.25">
      <c r="Z45201">
        <v>400000</v>
      </c>
    </row>
    <row r="45202" spans="26:26" x14ac:dyDescent="0.25">
      <c r="Z45202">
        <v>400000</v>
      </c>
    </row>
    <row r="45203" spans="26:26" x14ac:dyDescent="0.25">
      <c r="Z45203">
        <v>400000</v>
      </c>
    </row>
    <row r="45204" spans="26:26" x14ac:dyDescent="0.25">
      <c r="Z45204">
        <v>400000</v>
      </c>
    </row>
    <row r="45205" spans="26:26" x14ac:dyDescent="0.25">
      <c r="Z45205">
        <v>400000</v>
      </c>
    </row>
    <row r="45206" spans="26:26" x14ac:dyDescent="0.25">
      <c r="Z45206">
        <v>400000</v>
      </c>
    </row>
    <row r="45207" spans="26:26" x14ac:dyDescent="0.25">
      <c r="Z45207">
        <v>400000</v>
      </c>
    </row>
    <row r="45208" spans="26:26" x14ac:dyDescent="0.25">
      <c r="Z45208">
        <v>400000</v>
      </c>
    </row>
    <row r="45209" spans="26:26" x14ac:dyDescent="0.25">
      <c r="Z45209">
        <v>400000</v>
      </c>
    </row>
    <row r="45210" spans="26:26" x14ac:dyDescent="0.25">
      <c r="Z45210">
        <v>400000</v>
      </c>
    </row>
    <row r="45211" spans="26:26" x14ac:dyDescent="0.25">
      <c r="Z45211">
        <v>400000</v>
      </c>
    </row>
    <row r="45212" spans="26:26" x14ac:dyDescent="0.25">
      <c r="Z45212">
        <v>400000</v>
      </c>
    </row>
    <row r="45213" spans="26:26" x14ac:dyDescent="0.25">
      <c r="Z45213">
        <v>400000</v>
      </c>
    </row>
    <row r="45214" spans="26:26" x14ac:dyDescent="0.25">
      <c r="Z45214">
        <v>400000</v>
      </c>
    </row>
    <row r="45215" spans="26:26" x14ac:dyDescent="0.25">
      <c r="Z45215">
        <v>400000</v>
      </c>
    </row>
    <row r="45216" spans="26:26" x14ac:dyDescent="0.25">
      <c r="Z45216">
        <v>400000</v>
      </c>
    </row>
    <row r="45217" spans="26:26" x14ac:dyDescent="0.25">
      <c r="Z45217">
        <v>400000</v>
      </c>
    </row>
    <row r="45218" spans="26:26" x14ac:dyDescent="0.25">
      <c r="Z45218">
        <v>400000</v>
      </c>
    </row>
    <row r="45219" spans="26:26" x14ac:dyDescent="0.25">
      <c r="Z45219">
        <v>400000</v>
      </c>
    </row>
    <row r="45220" spans="26:26" x14ac:dyDescent="0.25">
      <c r="Z45220">
        <v>400000</v>
      </c>
    </row>
    <row r="45221" spans="26:26" x14ac:dyDescent="0.25">
      <c r="Z45221">
        <v>400000</v>
      </c>
    </row>
    <row r="45222" spans="26:26" x14ac:dyDescent="0.25">
      <c r="Z45222">
        <v>400000</v>
      </c>
    </row>
    <row r="45223" spans="26:26" x14ac:dyDescent="0.25">
      <c r="Z45223">
        <v>400000</v>
      </c>
    </row>
    <row r="45224" spans="26:26" x14ac:dyDescent="0.25">
      <c r="Z45224">
        <v>400000</v>
      </c>
    </row>
    <row r="45225" spans="26:26" x14ac:dyDescent="0.25">
      <c r="Z45225">
        <v>400000</v>
      </c>
    </row>
    <row r="45226" spans="26:26" x14ac:dyDescent="0.25">
      <c r="Z45226">
        <v>400000</v>
      </c>
    </row>
    <row r="45227" spans="26:26" x14ac:dyDescent="0.25">
      <c r="Z45227">
        <v>400000</v>
      </c>
    </row>
    <row r="45228" spans="26:26" x14ac:dyDescent="0.25">
      <c r="Z45228">
        <v>400000</v>
      </c>
    </row>
    <row r="45229" spans="26:26" x14ac:dyDescent="0.25">
      <c r="Z45229">
        <v>400000</v>
      </c>
    </row>
    <row r="45230" spans="26:26" x14ac:dyDescent="0.25">
      <c r="Z45230">
        <v>400000</v>
      </c>
    </row>
    <row r="45231" spans="26:26" x14ac:dyDescent="0.25">
      <c r="Z45231">
        <v>400000</v>
      </c>
    </row>
    <row r="45232" spans="26:26" x14ac:dyDescent="0.25">
      <c r="Z45232">
        <v>400000</v>
      </c>
    </row>
    <row r="45233" spans="26:26" x14ac:dyDescent="0.25">
      <c r="Z45233">
        <v>400000</v>
      </c>
    </row>
    <row r="45234" spans="26:26" x14ac:dyDescent="0.25">
      <c r="Z45234">
        <v>400000</v>
      </c>
    </row>
    <row r="45235" spans="26:26" x14ac:dyDescent="0.25">
      <c r="Z45235">
        <v>400000</v>
      </c>
    </row>
    <row r="45236" spans="26:26" x14ac:dyDescent="0.25">
      <c r="Z45236">
        <v>400000</v>
      </c>
    </row>
    <row r="45237" spans="26:26" x14ac:dyDescent="0.25">
      <c r="Z45237">
        <v>400000</v>
      </c>
    </row>
    <row r="45238" spans="26:26" x14ac:dyDescent="0.25">
      <c r="Z45238">
        <v>400000</v>
      </c>
    </row>
    <row r="45239" spans="26:26" x14ac:dyDescent="0.25">
      <c r="Z45239">
        <v>400000</v>
      </c>
    </row>
    <row r="45240" spans="26:26" x14ac:dyDescent="0.25">
      <c r="Z45240">
        <v>400000</v>
      </c>
    </row>
    <row r="45241" spans="26:26" x14ac:dyDescent="0.25">
      <c r="Z45241">
        <v>400000</v>
      </c>
    </row>
    <row r="45242" spans="26:26" x14ac:dyDescent="0.25">
      <c r="Z45242">
        <v>400000</v>
      </c>
    </row>
    <row r="45243" spans="26:26" x14ac:dyDescent="0.25">
      <c r="Z45243">
        <v>400000</v>
      </c>
    </row>
    <row r="45244" spans="26:26" x14ac:dyDescent="0.25">
      <c r="Z45244">
        <v>400000</v>
      </c>
    </row>
    <row r="45245" spans="26:26" x14ac:dyDescent="0.25">
      <c r="Z45245">
        <v>400000</v>
      </c>
    </row>
    <row r="45246" spans="26:26" x14ac:dyDescent="0.25">
      <c r="Z45246">
        <v>400000</v>
      </c>
    </row>
    <row r="45247" spans="26:26" x14ac:dyDescent="0.25">
      <c r="Z45247">
        <v>400000</v>
      </c>
    </row>
    <row r="45248" spans="26:26" x14ac:dyDescent="0.25">
      <c r="Z45248">
        <v>400000</v>
      </c>
    </row>
    <row r="45249" spans="26:26" x14ac:dyDescent="0.25">
      <c r="Z45249">
        <v>400000</v>
      </c>
    </row>
    <row r="45250" spans="26:26" x14ac:dyDescent="0.25">
      <c r="Z45250">
        <v>400000</v>
      </c>
    </row>
    <row r="45251" spans="26:26" x14ac:dyDescent="0.25">
      <c r="Z45251">
        <v>400000</v>
      </c>
    </row>
    <row r="45252" spans="26:26" x14ac:dyDescent="0.25">
      <c r="Z45252">
        <v>400000</v>
      </c>
    </row>
    <row r="45253" spans="26:26" x14ac:dyDescent="0.25">
      <c r="Z45253">
        <v>400000</v>
      </c>
    </row>
    <row r="45254" spans="26:26" x14ac:dyDescent="0.25">
      <c r="Z45254">
        <v>400000</v>
      </c>
    </row>
    <row r="45255" spans="26:26" x14ac:dyDescent="0.25">
      <c r="Z45255">
        <v>400000</v>
      </c>
    </row>
    <row r="45256" spans="26:26" x14ac:dyDescent="0.25">
      <c r="Z45256">
        <v>400000</v>
      </c>
    </row>
    <row r="45257" spans="26:26" x14ac:dyDescent="0.25">
      <c r="Z45257">
        <v>400000</v>
      </c>
    </row>
    <row r="45258" spans="26:26" x14ac:dyDescent="0.25">
      <c r="Z45258">
        <v>400000</v>
      </c>
    </row>
    <row r="45259" spans="26:26" x14ac:dyDescent="0.25">
      <c r="Z45259">
        <v>400000</v>
      </c>
    </row>
    <row r="45260" spans="26:26" x14ac:dyDescent="0.25">
      <c r="Z45260">
        <v>400000</v>
      </c>
    </row>
    <row r="45261" spans="26:26" x14ac:dyDescent="0.25">
      <c r="Z45261">
        <v>400000</v>
      </c>
    </row>
    <row r="45262" spans="26:26" x14ac:dyDescent="0.25">
      <c r="Z45262">
        <v>400000</v>
      </c>
    </row>
    <row r="45263" spans="26:26" x14ac:dyDescent="0.25">
      <c r="Z45263">
        <v>400000</v>
      </c>
    </row>
    <row r="45264" spans="26:26" x14ac:dyDescent="0.25">
      <c r="Z45264">
        <v>400000</v>
      </c>
    </row>
    <row r="45265" spans="26:26" x14ac:dyDescent="0.25">
      <c r="Z45265">
        <v>400000</v>
      </c>
    </row>
    <row r="45266" spans="26:26" x14ac:dyDescent="0.25">
      <c r="Z45266">
        <v>400000</v>
      </c>
    </row>
    <row r="45267" spans="26:26" x14ac:dyDescent="0.25">
      <c r="Z45267">
        <v>400000</v>
      </c>
    </row>
    <row r="45268" spans="26:26" x14ac:dyDescent="0.25">
      <c r="Z45268">
        <v>400000</v>
      </c>
    </row>
    <row r="45269" spans="26:26" x14ac:dyDescent="0.25">
      <c r="Z45269">
        <v>400000</v>
      </c>
    </row>
    <row r="45270" spans="26:26" x14ac:dyDescent="0.25">
      <c r="Z45270">
        <v>400000</v>
      </c>
    </row>
    <row r="45271" spans="26:26" x14ac:dyDescent="0.25">
      <c r="Z45271">
        <v>400000</v>
      </c>
    </row>
    <row r="45272" spans="26:26" x14ac:dyDescent="0.25">
      <c r="Z45272">
        <v>400000</v>
      </c>
    </row>
    <row r="45273" spans="26:26" x14ac:dyDescent="0.25">
      <c r="Z45273">
        <v>400000</v>
      </c>
    </row>
    <row r="45274" spans="26:26" x14ac:dyDescent="0.25">
      <c r="Z45274">
        <v>400000</v>
      </c>
    </row>
    <row r="45275" spans="26:26" x14ac:dyDescent="0.25">
      <c r="Z45275">
        <v>400000</v>
      </c>
    </row>
    <row r="45276" spans="26:26" x14ac:dyDescent="0.25">
      <c r="Z45276">
        <v>400000</v>
      </c>
    </row>
    <row r="45277" spans="26:26" x14ac:dyDescent="0.25">
      <c r="Z45277">
        <v>400000</v>
      </c>
    </row>
    <row r="45278" spans="26:26" x14ac:dyDescent="0.25">
      <c r="Z45278">
        <v>400000</v>
      </c>
    </row>
    <row r="45279" spans="26:26" x14ac:dyDescent="0.25">
      <c r="Z45279">
        <v>400000</v>
      </c>
    </row>
    <row r="45280" spans="26:26" x14ac:dyDescent="0.25">
      <c r="Z45280">
        <v>400000</v>
      </c>
    </row>
    <row r="45281" spans="26:26" x14ac:dyDescent="0.25">
      <c r="Z45281">
        <v>400000</v>
      </c>
    </row>
    <row r="45282" spans="26:26" x14ac:dyDescent="0.25">
      <c r="Z45282">
        <v>400000</v>
      </c>
    </row>
    <row r="45283" spans="26:26" x14ac:dyDescent="0.25">
      <c r="Z45283">
        <v>400000</v>
      </c>
    </row>
    <row r="45284" spans="26:26" x14ac:dyDescent="0.25">
      <c r="Z45284">
        <v>400000</v>
      </c>
    </row>
    <row r="45285" spans="26:26" x14ac:dyDescent="0.25">
      <c r="Z45285">
        <v>400000</v>
      </c>
    </row>
    <row r="45286" spans="26:26" x14ac:dyDescent="0.25">
      <c r="Z45286">
        <v>400000</v>
      </c>
    </row>
    <row r="45287" spans="26:26" x14ac:dyDescent="0.25">
      <c r="Z45287">
        <v>400000</v>
      </c>
    </row>
    <row r="45288" spans="26:26" x14ac:dyDescent="0.25">
      <c r="Z45288">
        <v>400000</v>
      </c>
    </row>
    <row r="45289" spans="26:26" x14ac:dyDescent="0.25">
      <c r="Z45289">
        <v>400000</v>
      </c>
    </row>
    <row r="45290" spans="26:26" x14ac:dyDescent="0.25">
      <c r="Z45290">
        <v>400000</v>
      </c>
    </row>
    <row r="45291" spans="26:26" x14ac:dyDescent="0.25">
      <c r="Z45291">
        <v>400000</v>
      </c>
    </row>
    <row r="45292" spans="26:26" x14ac:dyDescent="0.25">
      <c r="Z45292">
        <v>400000</v>
      </c>
    </row>
    <row r="45293" spans="26:26" x14ac:dyDescent="0.25">
      <c r="Z45293">
        <v>400000</v>
      </c>
    </row>
    <row r="45294" spans="26:26" x14ac:dyDescent="0.25">
      <c r="Z45294">
        <v>400000</v>
      </c>
    </row>
    <row r="45295" spans="26:26" x14ac:dyDescent="0.25">
      <c r="Z45295">
        <v>400000</v>
      </c>
    </row>
    <row r="45296" spans="26:26" x14ac:dyDescent="0.25">
      <c r="Z45296">
        <v>400000</v>
      </c>
    </row>
    <row r="45297" spans="26:26" x14ac:dyDescent="0.25">
      <c r="Z45297">
        <v>400000</v>
      </c>
    </row>
    <row r="45298" spans="26:26" x14ac:dyDescent="0.25">
      <c r="Z45298">
        <v>400000</v>
      </c>
    </row>
    <row r="45299" spans="26:26" x14ac:dyDescent="0.25">
      <c r="Z45299">
        <v>400000</v>
      </c>
    </row>
    <row r="45300" spans="26:26" x14ac:dyDescent="0.25">
      <c r="Z45300">
        <v>400000</v>
      </c>
    </row>
    <row r="45301" spans="26:26" x14ac:dyDescent="0.25">
      <c r="Z45301">
        <v>400000</v>
      </c>
    </row>
    <row r="45302" spans="26:26" x14ac:dyDescent="0.25">
      <c r="Z45302">
        <v>400000</v>
      </c>
    </row>
    <row r="45303" spans="26:26" x14ac:dyDescent="0.25">
      <c r="Z45303">
        <v>400000</v>
      </c>
    </row>
    <row r="45304" spans="26:26" x14ac:dyDescent="0.25">
      <c r="Z45304">
        <v>400000</v>
      </c>
    </row>
    <row r="45305" spans="26:26" x14ac:dyDescent="0.25">
      <c r="Z45305">
        <v>400000</v>
      </c>
    </row>
    <row r="45306" spans="26:26" x14ac:dyDescent="0.25">
      <c r="Z45306">
        <v>400000</v>
      </c>
    </row>
    <row r="45307" spans="26:26" x14ac:dyDescent="0.25">
      <c r="Z45307">
        <v>400000</v>
      </c>
    </row>
    <row r="45308" spans="26:26" x14ac:dyDescent="0.25">
      <c r="Z45308">
        <v>400000</v>
      </c>
    </row>
    <row r="45309" spans="26:26" x14ac:dyDescent="0.25">
      <c r="Z45309">
        <v>400000</v>
      </c>
    </row>
    <row r="45310" spans="26:26" x14ac:dyDescent="0.25">
      <c r="Z45310">
        <v>400000</v>
      </c>
    </row>
    <row r="45311" spans="26:26" x14ac:dyDescent="0.25">
      <c r="Z45311">
        <v>400000</v>
      </c>
    </row>
    <row r="45312" spans="26:26" x14ac:dyDescent="0.25">
      <c r="Z45312">
        <v>400000</v>
      </c>
    </row>
    <row r="45313" spans="26:26" x14ac:dyDescent="0.25">
      <c r="Z45313">
        <v>400000</v>
      </c>
    </row>
    <row r="45314" spans="26:26" x14ac:dyDescent="0.25">
      <c r="Z45314">
        <v>400000</v>
      </c>
    </row>
    <row r="45315" spans="26:26" x14ac:dyDescent="0.25">
      <c r="Z45315">
        <v>400000</v>
      </c>
    </row>
    <row r="45316" spans="26:26" x14ac:dyDescent="0.25">
      <c r="Z45316">
        <v>400000</v>
      </c>
    </row>
    <row r="45317" spans="26:26" x14ac:dyDescent="0.25">
      <c r="Z45317">
        <v>400000</v>
      </c>
    </row>
    <row r="45318" spans="26:26" x14ac:dyDescent="0.25">
      <c r="Z45318">
        <v>400000</v>
      </c>
    </row>
    <row r="45319" spans="26:26" x14ac:dyDescent="0.25">
      <c r="Z45319">
        <v>400000</v>
      </c>
    </row>
    <row r="45320" spans="26:26" x14ac:dyDescent="0.25">
      <c r="Z45320">
        <v>400000</v>
      </c>
    </row>
    <row r="45321" spans="26:26" x14ac:dyDescent="0.25">
      <c r="Z45321">
        <v>400000</v>
      </c>
    </row>
    <row r="45322" spans="26:26" x14ac:dyDescent="0.25">
      <c r="Z45322">
        <v>400000</v>
      </c>
    </row>
    <row r="45323" spans="26:26" x14ac:dyDescent="0.25">
      <c r="Z45323">
        <v>400000</v>
      </c>
    </row>
    <row r="45324" spans="26:26" x14ac:dyDescent="0.25">
      <c r="Z45324">
        <v>400000</v>
      </c>
    </row>
    <row r="45325" spans="26:26" x14ac:dyDescent="0.25">
      <c r="Z45325">
        <v>400000</v>
      </c>
    </row>
    <row r="45326" spans="26:26" x14ac:dyDescent="0.25">
      <c r="Z45326">
        <v>400000</v>
      </c>
    </row>
    <row r="45327" spans="26:26" x14ac:dyDescent="0.25">
      <c r="Z45327">
        <v>400000</v>
      </c>
    </row>
    <row r="45328" spans="26:26" x14ac:dyDescent="0.25">
      <c r="Z45328">
        <v>400000</v>
      </c>
    </row>
    <row r="45329" spans="26:26" x14ac:dyDescent="0.25">
      <c r="Z45329">
        <v>400000</v>
      </c>
    </row>
    <row r="45330" spans="26:26" x14ac:dyDescent="0.25">
      <c r="Z45330">
        <v>400000</v>
      </c>
    </row>
    <row r="45331" spans="26:26" x14ac:dyDescent="0.25">
      <c r="Z45331">
        <v>400000</v>
      </c>
    </row>
    <row r="45332" spans="26:26" x14ac:dyDescent="0.25">
      <c r="Z45332">
        <v>400000</v>
      </c>
    </row>
    <row r="45333" spans="26:26" x14ac:dyDescent="0.25">
      <c r="Z45333">
        <v>400000</v>
      </c>
    </row>
    <row r="45334" spans="26:26" x14ac:dyDescent="0.25">
      <c r="Z45334">
        <v>400000</v>
      </c>
    </row>
    <row r="45335" spans="26:26" x14ac:dyDescent="0.25">
      <c r="Z45335">
        <v>400000</v>
      </c>
    </row>
    <row r="45336" spans="26:26" x14ac:dyDescent="0.25">
      <c r="Z45336">
        <v>400000</v>
      </c>
    </row>
    <row r="45337" spans="26:26" x14ac:dyDescent="0.25">
      <c r="Z45337">
        <v>400000</v>
      </c>
    </row>
    <row r="45338" spans="26:26" x14ac:dyDescent="0.25">
      <c r="Z45338">
        <v>400000</v>
      </c>
    </row>
    <row r="45339" spans="26:26" x14ac:dyDescent="0.25">
      <c r="Z45339">
        <v>400000</v>
      </c>
    </row>
    <row r="45340" spans="26:26" x14ac:dyDescent="0.25">
      <c r="Z45340">
        <v>400000</v>
      </c>
    </row>
    <row r="45341" spans="26:26" x14ac:dyDescent="0.25">
      <c r="Z45341">
        <v>400000</v>
      </c>
    </row>
    <row r="45342" spans="26:26" x14ac:dyDescent="0.25">
      <c r="Z45342">
        <v>400000</v>
      </c>
    </row>
    <row r="45343" spans="26:26" x14ac:dyDescent="0.25">
      <c r="Z45343">
        <v>400000</v>
      </c>
    </row>
    <row r="45344" spans="26:26" x14ac:dyDescent="0.25">
      <c r="Z45344">
        <v>400000</v>
      </c>
    </row>
    <row r="45345" spans="26:26" x14ac:dyDescent="0.25">
      <c r="Z45345">
        <v>400000</v>
      </c>
    </row>
    <row r="45346" spans="26:26" x14ac:dyDescent="0.25">
      <c r="Z45346">
        <v>400000</v>
      </c>
    </row>
    <row r="45347" spans="26:26" x14ac:dyDescent="0.25">
      <c r="Z45347">
        <v>400000</v>
      </c>
    </row>
    <row r="45348" spans="26:26" x14ac:dyDescent="0.25">
      <c r="Z45348">
        <v>400000</v>
      </c>
    </row>
    <row r="45349" spans="26:26" x14ac:dyDescent="0.25">
      <c r="Z45349">
        <v>400000</v>
      </c>
    </row>
    <row r="45350" spans="26:26" x14ac:dyDescent="0.25">
      <c r="Z45350">
        <v>400000</v>
      </c>
    </row>
    <row r="45351" spans="26:26" x14ac:dyDescent="0.25">
      <c r="Z45351">
        <v>400000</v>
      </c>
    </row>
    <row r="45352" spans="26:26" x14ac:dyDescent="0.25">
      <c r="Z45352">
        <v>400000</v>
      </c>
    </row>
    <row r="45353" spans="26:26" x14ac:dyDescent="0.25">
      <c r="Z45353">
        <v>400000</v>
      </c>
    </row>
    <row r="45354" spans="26:26" x14ac:dyDescent="0.25">
      <c r="Z45354">
        <v>400000</v>
      </c>
    </row>
    <row r="45355" spans="26:26" x14ac:dyDescent="0.25">
      <c r="Z45355">
        <v>400000</v>
      </c>
    </row>
    <row r="45356" spans="26:26" x14ac:dyDescent="0.25">
      <c r="Z45356">
        <v>400000</v>
      </c>
    </row>
    <row r="45357" spans="26:26" x14ac:dyDescent="0.25">
      <c r="Z45357">
        <v>400000</v>
      </c>
    </row>
    <row r="45358" spans="26:26" x14ac:dyDescent="0.25">
      <c r="Z45358">
        <v>400000</v>
      </c>
    </row>
    <row r="45359" spans="26:26" x14ac:dyDescent="0.25">
      <c r="Z45359">
        <v>400000</v>
      </c>
    </row>
    <row r="45360" spans="26:26" x14ac:dyDescent="0.25">
      <c r="Z45360">
        <v>400000</v>
      </c>
    </row>
    <row r="45361" spans="26:26" x14ac:dyDescent="0.25">
      <c r="Z45361">
        <v>400000</v>
      </c>
    </row>
    <row r="45362" spans="26:26" x14ac:dyDescent="0.25">
      <c r="Z45362">
        <v>400000</v>
      </c>
    </row>
    <row r="45363" spans="26:26" x14ac:dyDescent="0.25">
      <c r="Z45363">
        <v>400000</v>
      </c>
    </row>
    <row r="45364" spans="26:26" x14ac:dyDescent="0.25">
      <c r="Z45364">
        <v>400000</v>
      </c>
    </row>
    <row r="45365" spans="26:26" x14ac:dyDescent="0.25">
      <c r="Z45365">
        <v>400000</v>
      </c>
    </row>
    <row r="45366" spans="26:26" x14ac:dyDescent="0.25">
      <c r="Z45366">
        <v>400000</v>
      </c>
    </row>
    <row r="45367" spans="26:26" x14ac:dyDescent="0.25">
      <c r="Z45367">
        <v>400000</v>
      </c>
    </row>
    <row r="45368" spans="26:26" x14ac:dyDescent="0.25">
      <c r="Z45368">
        <v>400000</v>
      </c>
    </row>
    <row r="45369" spans="26:26" x14ac:dyDescent="0.25">
      <c r="Z45369">
        <v>400000</v>
      </c>
    </row>
    <row r="45370" spans="26:26" x14ac:dyDescent="0.25">
      <c r="Z45370">
        <v>400000</v>
      </c>
    </row>
    <row r="45371" spans="26:26" x14ac:dyDescent="0.25">
      <c r="Z45371">
        <v>400000</v>
      </c>
    </row>
    <row r="45372" spans="26:26" x14ac:dyDescent="0.25">
      <c r="Z45372">
        <v>400000</v>
      </c>
    </row>
    <row r="45373" spans="26:26" x14ac:dyDescent="0.25">
      <c r="Z45373">
        <v>400000</v>
      </c>
    </row>
    <row r="45374" spans="26:26" x14ac:dyDescent="0.25">
      <c r="Z45374">
        <v>400000</v>
      </c>
    </row>
    <row r="45375" spans="26:26" x14ac:dyDescent="0.25">
      <c r="Z45375">
        <v>400000</v>
      </c>
    </row>
    <row r="45376" spans="26:26" x14ac:dyDescent="0.25">
      <c r="Z45376">
        <v>400000</v>
      </c>
    </row>
    <row r="45377" spans="26:26" x14ac:dyDescent="0.25">
      <c r="Z45377">
        <v>400000</v>
      </c>
    </row>
    <row r="45378" spans="26:26" x14ac:dyDescent="0.25">
      <c r="Z45378">
        <v>400000</v>
      </c>
    </row>
    <row r="45379" spans="26:26" x14ac:dyDescent="0.25">
      <c r="Z45379">
        <v>400000</v>
      </c>
    </row>
    <row r="45380" spans="26:26" x14ac:dyDescent="0.25">
      <c r="Z45380">
        <v>400000</v>
      </c>
    </row>
    <row r="45381" spans="26:26" x14ac:dyDescent="0.25">
      <c r="Z45381">
        <v>400000</v>
      </c>
    </row>
    <row r="45382" spans="26:26" x14ac:dyDescent="0.25">
      <c r="Z45382">
        <v>400000</v>
      </c>
    </row>
    <row r="45383" spans="26:26" x14ac:dyDescent="0.25">
      <c r="Z45383">
        <v>400000</v>
      </c>
    </row>
    <row r="45384" spans="26:26" x14ac:dyDescent="0.25">
      <c r="Z45384">
        <v>400000</v>
      </c>
    </row>
    <row r="45385" spans="26:26" x14ac:dyDescent="0.25">
      <c r="Z45385">
        <v>400000</v>
      </c>
    </row>
    <row r="45386" spans="26:26" x14ac:dyDescent="0.25">
      <c r="Z45386">
        <v>400000</v>
      </c>
    </row>
    <row r="45387" spans="26:26" x14ac:dyDescent="0.25">
      <c r="Z45387">
        <v>400000</v>
      </c>
    </row>
    <row r="45388" spans="26:26" x14ac:dyDescent="0.25">
      <c r="Z45388">
        <v>400000</v>
      </c>
    </row>
    <row r="45389" spans="26:26" x14ac:dyDescent="0.25">
      <c r="Z45389">
        <v>400000</v>
      </c>
    </row>
    <row r="45390" spans="26:26" x14ac:dyDescent="0.25">
      <c r="Z45390">
        <v>400000</v>
      </c>
    </row>
    <row r="45391" spans="26:26" x14ac:dyDescent="0.25">
      <c r="Z45391">
        <v>400000</v>
      </c>
    </row>
    <row r="45392" spans="26:26" x14ac:dyDescent="0.25">
      <c r="Z45392">
        <v>400000</v>
      </c>
    </row>
    <row r="45393" spans="26:26" x14ac:dyDescent="0.25">
      <c r="Z45393">
        <v>400000</v>
      </c>
    </row>
    <row r="45394" spans="26:26" x14ac:dyDescent="0.25">
      <c r="Z45394">
        <v>400000</v>
      </c>
    </row>
    <row r="45395" spans="26:26" x14ac:dyDescent="0.25">
      <c r="Z45395">
        <v>400000</v>
      </c>
    </row>
    <row r="45396" spans="26:26" x14ac:dyDescent="0.25">
      <c r="Z45396">
        <v>400000</v>
      </c>
    </row>
    <row r="45397" spans="26:26" x14ac:dyDescent="0.25">
      <c r="Z45397">
        <v>400000</v>
      </c>
    </row>
    <row r="45398" spans="26:26" x14ac:dyDescent="0.25">
      <c r="Z45398">
        <v>400000</v>
      </c>
    </row>
    <row r="45399" spans="26:26" x14ac:dyDescent="0.25">
      <c r="Z45399">
        <v>400000</v>
      </c>
    </row>
    <row r="45400" spans="26:26" x14ac:dyDescent="0.25">
      <c r="Z45400">
        <v>400000</v>
      </c>
    </row>
    <row r="45401" spans="26:26" x14ac:dyDescent="0.25">
      <c r="Z45401">
        <v>400000</v>
      </c>
    </row>
    <row r="45402" spans="26:26" x14ac:dyDescent="0.25">
      <c r="Z45402">
        <v>400000</v>
      </c>
    </row>
    <row r="45403" spans="26:26" x14ac:dyDescent="0.25">
      <c r="Z45403">
        <v>400000</v>
      </c>
    </row>
    <row r="45404" spans="26:26" x14ac:dyDescent="0.25">
      <c r="Z45404">
        <v>400000</v>
      </c>
    </row>
    <row r="45405" spans="26:26" x14ac:dyDescent="0.25">
      <c r="Z45405">
        <v>400000</v>
      </c>
    </row>
    <row r="45406" spans="26:26" x14ac:dyDescent="0.25">
      <c r="Z45406">
        <v>400000</v>
      </c>
    </row>
    <row r="45407" spans="26:26" x14ac:dyDescent="0.25">
      <c r="Z45407">
        <v>400000</v>
      </c>
    </row>
    <row r="45408" spans="26:26" x14ac:dyDescent="0.25">
      <c r="Z45408">
        <v>400000</v>
      </c>
    </row>
    <row r="45409" spans="26:26" x14ac:dyDescent="0.25">
      <c r="Z45409">
        <v>400000</v>
      </c>
    </row>
    <row r="45410" spans="26:26" x14ac:dyDescent="0.25">
      <c r="Z45410">
        <v>400000</v>
      </c>
    </row>
    <row r="45411" spans="26:26" x14ac:dyDescent="0.25">
      <c r="Z45411">
        <v>400000</v>
      </c>
    </row>
    <row r="45412" spans="26:26" x14ac:dyDescent="0.25">
      <c r="Z45412">
        <v>400000</v>
      </c>
    </row>
    <row r="45413" spans="26:26" x14ac:dyDescent="0.25">
      <c r="Z45413">
        <v>400000</v>
      </c>
    </row>
    <row r="45414" spans="26:26" x14ac:dyDescent="0.25">
      <c r="Z45414">
        <v>400000</v>
      </c>
    </row>
    <row r="45415" spans="26:26" x14ac:dyDescent="0.25">
      <c r="Z45415">
        <v>400000</v>
      </c>
    </row>
    <row r="45416" spans="26:26" x14ac:dyDescent="0.25">
      <c r="Z45416">
        <v>400000</v>
      </c>
    </row>
    <row r="45417" spans="26:26" x14ac:dyDescent="0.25">
      <c r="Z45417">
        <v>400000</v>
      </c>
    </row>
    <row r="45418" spans="26:26" x14ac:dyDescent="0.25">
      <c r="Z45418">
        <v>400000</v>
      </c>
    </row>
    <row r="45419" spans="26:26" x14ac:dyDescent="0.25">
      <c r="Z45419">
        <v>400000</v>
      </c>
    </row>
    <row r="45420" spans="26:26" x14ac:dyDescent="0.25">
      <c r="Z45420">
        <v>400000</v>
      </c>
    </row>
    <row r="45421" spans="26:26" x14ac:dyDescent="0.25">
      <c r="Z45421">
        <v>400000</v>
      </c>
    </row>
    <row r="45422" spans="26:26" x14ac:dyDescent="0.25">
      <c r="Z45422">
        <v>400000</v>
      </c>
    </row>
    <row r="45423" spans="26:26" x14ac:dyDescent="0.25">
      <c r="Z45423">
        <v>400000</v>
      </c>
    </row>
    <row r="45424" spans="26:26" x14ac:dyDescent="0.25">
      <c r="Z45424">
        <v>400000</v>
      </c>
    </row>
    <row r="45425" spans="26:26" x14ac:dyDescent="0.25">
      <c r="Z45425">
        <v>400000</v>
      </c>
    </row>
    <row r="45426" spans="26:26" x14ac:dyDescent="0.25">
      <c r="Z45426">
        <v>400000</v>
      </c>
    </row>
    <row r="45427" spans="26:26" x14ac:dyDescent="0.25">
      <c r="Z45427">
        <v>400000</v>
      </c>
    </row>
    <row r="45428" spans="26:26" x14ac:dyDescent="0.25">
      <c r="Z45428">
        <v>400000</v>
      </c>
    </row>
    <row r="45429" spans="26:26" x14ac:dyDescent="0.25">
      <c r="Z45429">
        <v>400000</v>
      </c>
    </row>
    <row r="45430" spans="26:26" x14ac:dyDescent="0.25">
      <c r="Z45430">
        <v>400000</v>
      </c>
    </row>
    <row r="45431" spans="26:26" x14ac:dyDescent="0.25">
      <c r="Z45431">
        <v>400000</v>
      </c>
    </row>
    <row r="45432" spans="26:26" x14ac:dyDescent="0.25">
      <c r="Z45432">
        <v>400000</v>
      </c>
    </row>
    <row r="45433" spans="26:26" x14ac:dyDescent="0.25">
      <c r="Z45433">
        <v>400000</v>
      </c>
    </row>
    <row r="45434" spans="26:26" x14ac:dyDescent="0.25">
      <c r="Z45434">
        <v>400000</v>
      </c>
    </row>
    <row r="45435" spans="26:26" x14ac:dyDescent="0.25">
      <c r="Z45435">
        <v>400000</v>
      </c>
    </row>
    <row r="45436" spans="26:26" x14ac:dyDescent="0.25">
      <c r="Z45436">
        <v>400000</v>
      </c>
    </row>
    <row r="45437" spans="26:26" x14ac:dyDescent="0.25">
      <c r="Z45437">
        <v>400000</v>
      </c>
    </row>
    <row r="45438" spans="26:26" x14ac:dyDescent="0.25">
      <c r="Z45438">
        <v>400000</v>
      </c>
    </row>
    <row r="45439" spans="26:26" x14ac:dyDescent="0.25">
      <c r="Z45439">
        <v>400000</v>
      </c>
    </row>
    <row r="45440" spans="26:26" x14ac:dyDescent="0.25">
      <c r="Z45440">
        <v>400000</v>
      </c>
    </row>
    <row r="45441" spans="26:26" x14ac:dyDescent="0.25">
      <c r="Z45441">
        <v>400000</v>
      </c>
    </row>
    <row r="45442" spans="26:26" x14ac:dyDescent="0.25">
      <c r="Z45442">
        <v>400000</v>
      </c>
    </row>
    <row r="45443" spans="26:26" x14ac:dyDescent="0.25">
      <c r="Z45443">
        <v>400000</v>
      </c>
    </row>
    <row r="45444" spans="26:26" x14ac:dyDescent="0.25">
      <c r="Z45444">
        <v>400000</v>
      </c>
    </row>
    <row r="45445" spans="26:26" x14ac:dyDescent="0.25">
      <c r="Z45445">
        <v>400000</v>
      </c>
    </row>
    <row r="45446" spans="26:26" x14ac:dyDescent="0.25">
      <c r="Z45446">
        <v>400000</v>
      </c>
    </row>
    <row r="45447" spans="26:26" x14ac:dyDescent="0.25">
      <c r="Z45447">
        <v>400000</v>
      </c>
    </row>
    <row r="45448" spans="26:26" x14ac:dyDescent="0.25">
      <c r="Z45448">
        <v>400000</v>
      </c>
    </row>
    <row r="45449" spans="26:26" x14ac:dyDescent="0.25">
      <c r="Z45449">
        <v>400000</v>
      </c>
    </row>
    <row r="45450" spans="26:26" x14ac:dyDescent="0.25">
      <c r="Z45450">
        <v>400000</v>
      </c>
    </row>
    <row r="45451" spans="26:26" x14ac:dyDescent="0.25">
      <c r="Z45451">
        <v>400000</v>
      </c>
    </row>
    <row r="45452" spans="26:26" x14ac:dyDescent="0.25">
      <c r="Z45452">
        <v>400000</v>
      </c>
    </row>
    <row r="45453" spans="26:26" x14ac:dyDescent="0.25">
      <c r="Z45453">
        <v>400000</v>
      </c>
    </row>
    <row r="45454" spans="26:26" x14ac:dyDescent="0.25">
      <c r="Z45454">
        <v>400000</v>
      </c>
    </row>
    <row r="45455" spans="26:26" x14ac:dyDescent="0.25">
      <c r="Z45455">
        <v>400000</v>
      </c>
    </row>
    <row r="45456" spans="26:26" x14ac:dyDescent="0.25">
      <c r="Z45456">
        <v>400000</v>
      </c>
    </row>
    <row r="45457" spans="26:26" x14ac:dyDescent="0.25">
      <c r="Z45457">
        <v>400000</v>
      </c>
    </row>
    <row r="45458" spans="26:26" x14ac:dyDescent="0.25">
      <c r="Z45458">
        <v>400000</v>
      </c>
    </row>
    <row r="45459" spans="26:26" x14ac:dyDescent="0.25">
      <c r="Z45459">
        <v>400000</v>
      </c>
    </row>
    <row r="45460" spans="26:26" x14ac:dyDescent="0.25">
      <c r="Z45460">
        <v>400000</v>
      </c>
    </row>
    <row r="45461" spans="26:26" x14ac:dyDescent="0.25">
      <c r="Z45461">
        <v>400000</v>
      </c>
    </row>
    <row r="45462" spans="26:26" x14ac:dyDescent="0.25">
      <c r="Z45462">
        <v>400000</v>
      </c>
    </row>
    <row r="45463" spans="26:26" x14ac:dyDescent="0.25">
      <c r="Z45463">
        <v>400000</v>
      </c>
    </row>
    <row r="45464" spans="26:26" x14ac:dyDescent="0.25">
      <c r="Z45464">
        <v>400000</v>
      </c>
    </row>
    <row r="45465" spans="26:26" x14ac:dyDescent="0.25">
      <c r="Z45465">
        <v>400000</v>
      </c>
    </row>
    <row r="45466" spans="26:26" x14ac:dyDescent="0.25">
      <c r="Z45466">
        <v>400000</v>
      </c>
    </row>
    <row r="45467" spans="26:26" x14ac:dyDescent="0.25">
      <c r="Z45467">
        <v>400000</v>
      </c>
    </row>
    <row r="45468" spans="26:26" x14ac:dyDescent="0.25">
      <c r="Z45468">
        <v>400000</v>
      </c>
    </row>
    <row r="45469" spans="26:26" x14ac:dyDescent="0.25">
      <c r="Z45469">
        <v>400000</v>
      </c>
    </row>
    <row r="45470" spans="26:26" x14ac:dyDescent="0.25">
      <c r="Z45470">
        <v>400000</v>
      </c>
    </row>
    <row r="45471" spans="26:26" x14ac:dyDescent="0.25">
      <c r="Z45471">
        <v>400000</v>
      </c>
    </row>
    <row r="45472" spans="26:26" x14ac:dyDescent="0.25">
      <c r="Z45472">
        <v>400000</v>
      </c>
    </row>
    <row r="45473" spans="26:26" x14ac:dyDescent="0.25">
      <c r="Z45473">
        <v>400000</v>
      </c>
    </row>
    <row r="45474" spans="26:26" x14ac:dyDescent="0.25">
      <c r="Z45474">
        <v>400000</v>
      </c>
    </row>
    <row r="45475" spans="26:26" x14ac:dyDescent="0.25">
      <c r="Z45475">
        <v>400000</v>
      </c>
    </row>
    <row r="45476" spans="26:26" x14ac:dyDescent="0.25">
      <c r="Z45476">
        <v>400000</v>
      </c>
    </row>
    <row r="45477" spans="26:26" x14ac:dyDescent="0.25">
      <c r="Z45477">
        <v>400000</v>
      </c>
    </row>
    <row r="45478" spans="26:26" x14ac:dyDescent="0.25">
      <c r="Z45478">
        <v>400000</v>
      </c>
    </row>
    <row r="45479" spans="26:26" x14ac:dyDescent="0.25">
      <c r="Z45479">
        <v>400000</v>
      </c>
    </row>
    <row r="45480" spans="26:26" x14ac:dyDescent="0.25">
      <c r="Z45480">
        <v>400000</v>
      </c>
    </row>
    <row r="45481" spans="26:26" x14ac:dyDescent="0.25">
      <c r="Z45481">
        <v>400000</v>
      </c>
    </row>
    <row r="45482" spans="26:26" x14ac:dyDescent="0.25">
      <c r="Z45482">
        <v>400000</v>
      </c>
    </row>
    <row r="45483" spans="26:26" x14ac:dyDescent="0.25">
      <c r="Z45483">
        <v>400000</v>
      </c>
    </row>
    <row r="45484" spans="26:26" x14ac:dyDescent="0.25">
      <c r="Z45484">
        <v>400000</v>
      </c>
    </row>
    <row r="45485" spans="26:26" x14ac:dyDescent="0.25">
      <c r="Z45485">
        <v>400000</v>
      </c>
    </row>
    <row r="45486" spans="26:26" x14ac:dyDescent="0.25">
      <c r="Z45486">
        <v>400000</v>
      </c>
    </row>
    <row r="45487" spans="26:26" x14ac:dyDescent="0.25">
      <c r="Z45487">
        <v>400000</v>
      </c>
    </row>
    <row r="45488" spans="26:26" x14ac:dyDescent="0.25">
      <c r="Z45488">
        <v>400000</v>
      </c>
    </row>
    <row r="45489" spans="26:26" x14ac:dyDescent="0.25">
      <c r="Z45489">
        <v>400000</v>
      </c>
    </row>
    <row r="45490" spans="26:26" x14ac:dyDescent="0.25">
      <c r="Z45490">
        <v>400000</v>
      </c>
    </row>
    <row r="45491" spans="26:26" x14ac:dyDescent="0.25">
      <c r="Z45491">
        <v>400000</v>
      </c>
    </row>
    <row r="45492" spans="26:26" x14ac:dyDescent="0.25">
      <c r="Z45492">
        <v>400000</v>
      </c>
    </row>
    <row r="45493" spans="26:26" x14ac:dyDescent="0.25">
      <c r="Z45493">
        <v>400000</v>
      </c>
    </row>
    <row r="45494" spans="26:26" x14ac:dyDescent="0.25">
      <c r="Z45494">
        <v>400000</v>
      </c>
    </row>
    <row r="45495" spans="26:26" x14ac:dyDescent="0.25">
      <c r="Z45495">
        <v>400000</v>
      </c>
    </row>
    <row r="45496" spans="26:26" x14ac:dyDescent="0.25">
      <c r="Z45496">
        <v>400000</v>
      </c>
    </row>
    <row r="45497" spans="26:26" x14ac:dyDescent="0.25">
      <c r="Z45497">
        <v>400000</v>
      </c>
    </row>
    <row r="45498" spans="26:26" x14ac:dyDescent="0.25">
      <c r="Z45498">
        <v>400000</v>
      </c>
    </row>
    <row r="45499" spans="26:26" x14ac:dyDescent="0.25">
      <c r="Z45499">
        <v>400000</v>
      </c>
    </row>
    <row r="45500" spans="26:26" x14ac:dyDescent="0.25">
      <c r="Z45500">
        <v>400000</v>
      </c>
    </row>
    <row r="45501" spans="26:26" x14ac:dyDescent="0.25">
      <c r="Z45501">
        <v>400000</v>
      </c>
    </row>
    <row r="45502" spans="26:26" x14ac:dyDescent="0.25">
      <c r="Z45502">
        <v>400000</v>
      </c>
    </row>
    <row r="45503" spans="26:26" x14ac:dyDescent="0.25">
      <c r="Z45503">
        <v>400000</v>
      </c>
    </row>
    <row r="45504" spans="26:26" x14ac:dyDescent="0.25">
      <c r="Z45504">
        <v>400000</v>
      </c>
    </row>
    <row r="45505" spans="26:26" x14ac:dyDescent="0.25">
      <c r="Z45505">
        <v>400000</v>
      </c>
    </row>
    <row r="45506" spans="26:26" x14ac:dyDescent="0.25">
      <c r="Z45506">
        <v>400000</v>
      </c>
    </row>
    <row r="45507" spans="26:26" x14ac:dyDescent="0.25">
      <c r="Z45507">
        <v>400000</v>
      </c>
    </row>
    <row r="45508" spans="26:26" x14ac:dyDescent="0.25">
      <c r="Z45508">
        <v>400000</v>
      </c>
    </row>
    <row r="45509" spans="26:26" x14ac:dyDescent="0.25">
      <c r="Z45509">
        <v>400000</v>
      </c>
    </row>
    <row r="45510" spans="26:26" x14ac:dyDescent="0.25">
      <c r="Z45510">
        <v>400000</v>
      </c>
    </row>
    <row r="45511" spans="26:26" x14ac:dyDescent="0.25">
      <c r="Z45511">
        <v>400000</v>
      </c>
    </row>
    <row r="45512" spans="26:26" x14ac:dyDescent="0.25">
      <c r="Z45512">
        <v>400000</v>
      </c>
    </row>
    <row r="45513" spans="26:26" x14ac:dyDescent="0.25">
      <c r="Z45513">
        <v>400000</v>
      </c>
    </row>
    <row r="45514" spans="26:26" x14ac:dyDescent="0.25">
      <c r="Z45514">
        <v>400000</v>
      </c>
    </row>
    <row r="45515" spans="26:26" x14ac:dyDescent="0.25">
      <c r="Z45515">
        <v>400000</v>
      </c>
    </row>
    <row r="45516" spans="26:26" x14ac:dyDescent="0.25">
      <c r="Z45516">
        <v>400000</v>
      </c>
    </row>
    <row r="45517" spans="26:26" x14ac:dyDescent="0.25">
      <c r="Z45517">
        <v>400000</v>
      </c>
    </row>
    <row r="45518" spans="26:26" x14ac:dyDescent="0.25">
      <c r="Z45518">
        <v>400000</v>
      </c>
    </row>
    <row r="45519" spans="26:26" x14ac:dyDescent="0.25">
      <c r="Z45519">
        <v>400000</v>
      </c>
    </row>
    <row r="45520" spans="26:26" x14ac:dyDescent="0.25">
      <c r="Z45520">
        <v>400000</v>
      </c>
    </row>
    <row r="45521" spans="26:26" x14ac:dyDescent="0.25">
      <c r="Z45521">
        <v>400000</v>
      </c>
    </row>
    <row r="45522" spans="26:26" x14ac:dyDescent="0.25">
      <c r="Z45522">
        <v>400000</v>
      </c>
    </row>
    <row r="45523" spans="26:26" x14ac:dyDescent="0.25">
      <c r="Z45523">
        <v>400000</v>
      </c>
    </row>
    <row r="45524" spans="26:26" x14ac:dyDescent="0.25">
      <c r="Z45524">
        <v>400000</v>
      </c>
    </row>
    <row r="45525" spans="26:26" x14ac:dyDescent="0.25">
      <c r="Z45525">
        <v>400000</v>
      </c>
    </row>
    <row r="45526" spans="26:26" x14ac:dyDescent="0.25">
      <c r="Z45526">
        <v>400000</v>
      </c>
    </row>
    <row r="45527" spans="26:26" x14ac:dyDescent="0.25">
      <c r="Z45527">
        <v>400000</v>
      </c>
    </row>
    <row r="45528" spans="26:26" x14ac:dyDescent="0.25">
      <c r="Z45528">
        <v>400000</v>
      </c>
    </row>
    <row r="45529" spans="26:26" x14ac:dyDescent="0.25">
      <c r="Z45529">
        <v>400000</v>
      </c>
    </row>
    <row r="45530" spans="26:26" x14ac:dyDescent="0.25">
      <c r="Z45530">
        <v>400000</v>
      </c>
    </row>
    <row r="45531" spans="26:26" x14ac:dyDescent="0.25">
      <c r="Z45531">
        <v>400000</v>
      </c>
    </row>
    <row r="45532" spans="26:26" x14ac:dyDescent="0.25">
      <c r="Z45532">
        <v>400000</v>
      </c>
    </row>
    <row r="45533" spans="26:26" x14ac:dyDescent="0.25">
      <c r="Z45533">
        <v>400000</v>
      </c>
    </row>
    <row r="45534" spans="26:26" x14ac:dyDescent="0.25">
      <c r="Z45534">
        <v>400000</v>
      </c>
    </row>
    <row r="45535" spans="26:26" x14ac:dyDescent="0.25">
      <c r="Z45535">
        <v>400000</v>
      </c>
    </row>
    <row r="45536" spans="26:26" x14ac:dyDescent="0.25">
      <c r="Z45536">
        <v>400000</v>
      </c>
    </row>
    <row r="45537" spans="26:26" x14ac:dyDescent="0.25">
      <c r="Z45537">
        <v>400000</v>
      </c>
    </row>
    <row r="45538" spans="26:26" x14ac:dyDescent="0.25">
      <c r="Z45538">
        <v>400000</v>
      </c>
    </row>
    <row r="45539" spans="26:26" x14ac:dyDescent="0.25">
      <c r="Z45539">
        <v>400000</v>
      </c>
    </row>
    <row r="45540" spans="26:26" x14ac:dyDescent="0.25">
      <c r="Z45540">
        <v>400000</v>
      </c>
    </row>
    <row r="45541" spans="26:26" x14ac:dyDescent="0.25">
      <c r="Z45541">
        <v>400000</v>
      </c>
    </row>
    <row r="45542" spans="26:26" x14ac:dyDescent="0.25">
      <c r="Z45542">
        <v>400000</v>
      </c>
    </row>
    <row r="45543" spans="26:26" x14ac:dyDescent="0.25">
      <c r="Z45543">
        <v>400000</v>
      </c>
    </row>
    <row r="45544" spans="26:26" x14ac:dyDescent="0.25">
      <c r="Z45544">
        <v>400000</v>
      </c>
    </row>
    <row r="45545" spans="26:26" x14ac:dyDescent="0.25">
      <c r="Z45545">
        <v>400000</v>
      </c>
    </row>
    <row r="45546" spans="26:26" x14ac:dyDescent="0.25">
      <c r="Z45546">
        <v>400000</v>
      </c>
    </row>
    <row r="45547" spans="26:26" x14ac:dyDescent="0.25">
      <c r="Z45547">
        <v>400000</v>
      </c>
    </row>
    <row r="45548" spans="26:26" x14ac:dyDescent="0.25">
      <c r="Z45548">
        <v>400000</v>
      </c>
    </row>
    <row r="45549" spans="26:26" x14ac:dyDescent="0.25">
      <c r="Z45549">
        <v>400000</v>
      </c>
    </row>
    <row r="45550" spans="26:26" x14ac:dyDescent="0.25">
      <c r="Z45550">
        <v>400000</v>
      </c>
    </row>
    <row r="45551" spans="26:26" x14ac:dyDescent="0.25">
      <c r="Z45551">
        <v>400000</v>
      </c>
    </row>
    <row r="45552" spans="26:26" x14ac:dyDescent="0.25">
      <c r="Z45552">
        <v>400000</v>
      </c>
    </row>
    <row r="45553" spans="26:26" x14ac:dyDescent="0.25">
      <c r="Z45553">
        <v>400000</v>
      </c>
    </row>
    <row r="45554" spans="26:26" x14ac:dyDescent="0.25">
      <c r="Z45554">
        <v>400000</v>
      </c>
    </row>
    <row r="45555" spans="26:26" x14ac:dyDescent="0.25">
      <c r="Z45555">
        <v>400000</v>
      </c>
    </row>
    <row r="45556" spans="26:26" x14ac:dyDescent="0.25">
      <c r="Z45556">
        <v>400000</v>
      </c>
    </row>
    <row r="45557" spans="26:26" x14ac:dyDescent="0.25">
      <c r="Z45557">
        <v>400000</v>
      </c>
    </row>
    <row r="45558" spans="26:26" x14ac:dyDescent="0.25">
      <c r="Z45558">
        <v>400000</v>
      </c>
    </row>
    <row r="45559" spans="26:26" x14ac:dyDescent="0.25">
      <c r="Z45559">
        <v>400000</v>
      </c>
    </row>
    <row r="45560" spans="26:26" x14ac:dyDescent="0.25">
      <c r="Z45560">
        <v>400000</v>
      </c>
    </row>
    <row r="45561" spans="26:26" x14ac:dyDescent="0.25">
      <c r="Z45561">
        <v>400000</v>
      </c>
    </row>
    <row r="45562" spans="26:26" x14ac:dyDescent="0.25">
      <c r="Z45562">
        <v>400000</v>
      </c>
    </row>
    <row r="45563" spans="26:26" x14ac:dyDescent="0.25">
      <c r="Z45563">
        <v>400000</v>
      </c>
    </row>
    <row r="45564" spans="26:26" x14ac:dyDescent="0.25">
      <c r="Z45564">
        <v>400000</v>
      </c>
    </row>
    <row r="45565" spans="26:26" x14ac:dyDescent="0.25">
      <c r="Z45565">
        <v>400000</v>
      </c>
    </row>
    <row r="45566" spans="26:26" x14ac:dyDescent="0.25">
      <c r="Z45566">
        <v>400000</v>
      </c>
    </row>
    <row r="45567" spans="26:26" x14ac:dyDescent="0.25">
      <c r="Z45567">
        <v>400000</v>
      </c>
    </row>
    <row r="45568" spans="26:26" x14ac:dyDescent="0.25">
      <c r="Z45568">
        <v>400000</v>
      </c>
    </row>
    <row r="45569" spans="26:26" x14ac:dyDescent="0.25">
      <c r="Z45569">
        <v>400000</v>
      </c>
    </row>
    <row r="45570" spans="26:26" x14ac:dyDescent="0.25">
      <c r="Z45570">
        <v>400000</v>
      </c>
    </row>
    <row r="45571" spans="26:26" x14ac:dyDescent="0.25">
      <c r="Z45571">
        <v>400000</v>
      </c>
    </row>
    <row r="45572" spans="26:26" x14ac:dyDescent="0.25">
      <c r="Z45572">
        <v>400000</v>
      </c>
    </row>
    <row r="45573" spans="26:26" x14ac:dyDescent="0.25">
      <c r="Z45573">
        <v>400000</v>
      </c>
    </row>
    <row r="45574" spans="26:26" x14ac:dyDescent="0.25">
      <c r="Z45574">
        <v>400000</v>
      </c>
    </row>
    <row r="45575" spans="26:26" x14ac:dyDescent="0.25">
      <c r="Z45575">
        <v>400000</v>
      </c>
    </row>
    <row r="45576" spans="26:26" x14ac:dyDescent="0.25">
      <c r="Z45576">
        <v>400000</v>
      </c>
    </row>
    <row r="45577" spans="26:26" x14ac:dyDescent="0.25">
      <c r="Z45577">
        <v>400000</v>
      </c>
    </row>
    <row r="45578" spans="26:26" x14ac:dyDescent="0.25">
      <c r="Z45578">
        <v>400000</v>
      </c>
    </row>
    <row r="45579" spans="26:26" x14ac:dyDescent="0.25">
      <c r="Z45579">
        <v>400000</v>
      </c>
    </row>
    <row r="45580" spans="26:26" x14ac:dyDescent="0.25">
      <c r="Z45580">
        <v>400000</v>
      </c>
    </row>
    <row r="45581" spans="26:26" x14ac:dyDescent="0.25">
      <c r="Z45581">
        <v>400000</v>
      </c>
    </row>
    <row r="45582" spans="26:26" x14ac:dyDescent="0.25">
      <c r="Z45582">
        <v>400000</v>
      </c>
    </row>
    <row r="45583" spans="26:26" x14ac:dyDescent="0.25">
      <c r="Z45583">
        <v>400000</v>
      </c>
    </row>
    <row r="45584" spans="26:26" x14ac:dyDescent="0.25">
      <c r="Z45584">
        <v>400000</v>
      </c>
    </row>
    <row r="45585" spans="26:26" x14ac:dyDescent="0.25">
      <c r="Z45585">
        <v>400000</v>
      </c>
    </row>
    <row r="45586" spans="26:26" x14ac:dyDescent="0.25">
      <c r="Z45586">
        <v>400000</v>
      </c>
    </row>
    <row r="45587" spans="26:26" x14ac:dyDescent="0.25">
      <c r="Z45587">
        <v>400000</v>
      </c>
    </row>
    <row r="45588" spans="26:26" x14ac:dyDescent="0.25">
      <c r="Z45588">
        <v>400000</v>
      </c>
    </row>
    <row r="45589" spans="26:26" x14ac:dyDescent="0.25">
      <c r="Z45589">
        <v>400000</v>
      </c>
    </row>
    <row r="45590" spans="26:26" x14ac:dyDescent="0.25">
      <c r="Z45590">
        <v>400000</v>
      </c>
    </row>
    <row r="45591" spans="26:26" x14ac:dyDescent="0.25">
      <c r="Z45591">
        <v>400000</v>
      </c>
    </row>
    <row r="45592" spans="26:26" x14ac:dyDescent="0.25">
      <c r="Z45592">
        <v>400000</v>
      </c>
    </row>
    <row r="45593" spans="26:26" x14ac:dyDescent="0.25">
      <c r="Z45593">
        <v>400000</v>
      </c>
    </row>
    <row r="45594" spans="26:26" x14ac:dyDescent="0.25">
      <c r="Z45594">
        <v>400000</v>
      </c>
    </row>
    <row r="45595" spans="26:26" x14ac:dyDescent="0.25">
      <c r="Z45595">
        <v>400000</v>
      </c>
    </row>
    <row r="45596" spans="26:26" x14ac:dyDescent="0.25">
      <c r="Z45596">
        <v>400000</v>
      </c>
    </row>
    <row r="45597" spans="26:26" x14ac:dyDescent="0.25">
      <c r="Z45597">
        <v>400000</v>
      </c>
    </row>
    <row r="45598" spans="26:26" x14ac:dyDescent="0.25">
      <c r="Z45598">
        <v>400000</v>
      </c>
    </row>
    <row r="45599" spans="26:26" x14ac:dyDescent="0.25">
      <c r="Z45599">
        <v>400000</v>
      </c>
    </row>
    <row r="45600" spans="26:26" x14ac:dyDescent="0.25">
      <c r="Z45600">
        <v>400000</v>
      </c>
    </row>
    <row r="45601" spans="26:26" x14ac:dyDescent="0.25">
      <c r="Z45601">
        <v>400000</v>
      </c>
    </row>
    <row r="45602" spans="26:26" x14ac:dyDescent="0.25">
      <c r="Z45602">
        <v>400000</v>
      </c>
    </row>
    <row r="45603" spans="26:26" x14ac:dyDescent="0.25">
      <c r="Z45603">
        <v>400000</v>
      </c>
    </row>
    <row r="45604" spans="26:26" x14ac:dyDescent="0.25">
      <c r="Z45604">
        <v>400000</v>
      </c>
    </row>
    <row r="45605" spans="26:26" x14ac:dyDescent="0.25">
      <c r="Z45605">
        <v>400000</v>
      </c>
    </row>
    <row r="45606" spans="26:26" x14ac:dyDescent="0.25">
      <c r="Z45606">
        <v>400000</v>
      </c>
    </row>
    <row r="45607" spans="26:26" x14ac:dyDescent="0.25">
      <c r="Z45607">
        <v>400000</v>
      </c>
    </row>
    <row r="45608" spans="26:26" x14ac:dyDescent="0.25">
      <c r="Z45608">
        <v>400000</v>
      </c>
    </row>
    <row r="45609" spans="26:26" x14ac:dyDescent="0.25">
      <c r="Z45609">
        <v>400000</v>
      </c>
    </row>
    <row r="45610" spans="26:26" x14ac:dyDescent="0.25">
      <c r="Z45610">
        <v>400000</v>
      </c>
    </row>
    <row r="45611" spans="26:26" x14ac:dyDescent="0.25">
      <c r="Z45611">
        <v>400000</v>
      </c>
    </row>
    <row r="45612" spans="26:26" x14ac:dyDescent="0.25">
      <c r="Z45612">
        <v>400000</v>
      </c>
    </row>
    <row r="45613" spans="26:26" x14ac:dyDescent="0.25">
      <c r="Z45613">
        <v>400000</v>
      </c>
    </row>
    <row r="45614" spans="26:26" x14ac:dyDescent="0.25">
      <c r="Z45614">
        <v>400000</v>
      </c>
    </row>
    <row r="45615" spans="26:26" x14ac:dyDescent="0.25">
      <c r="Z45615">
        <v>400000</v>
      </c>
    </row>
    <row r="45616" spans="26:26" x14ac:dyDescent="0.25">
      <c r="Z45616">
        <v>400000</v>
      </c>
    </row>
    <row r="45617" spans="26:26" x14ac:dyDescent="0.25">
      <c r="Z45617">
        <v>400000</v>
      </c>
    </row>
    <row r="45618" spans="26:26" x14ac:dyDescent="0.25">
      <c r="Z45618">
        <v>400000</v>
      </c>
    </row>
    <row r="45619" spans="26:26" x14ac:dyDescent="0.25">
      <c r="Z45619">
        <v>400000</v>
      </c>
    </row>
    <row r="45620" spans="26:26" x14ac:dyDescent="0.25">
      <c r="Z45620">
        <v>400000</v>
      </c>
    </row>
    <row r="45621" spans="26:26" x14ac:dyDescent="0.25">
      <c r="Z45621">
        <v>400000</v>
      </c>
    </row>
    <row r="45622" spans="26:26" x14ac:dyDescent="0.25">
      <c r="Z45622">
        <v>400000</v>
      </c>
    </row>
    <row r="45623" spans="26:26" x14ac:dyDescent="0.25">
      <c r="Z45623">
        <v>400000</v>
      </c>
    </row>
    <row r="45624" spans="26:26" x14ac:dyDescent="0.25">
      <c r="Z45624">
        <v>400000</v>
      </c>
    </row>
    <row r="45625" spans="26:26" x14ac:dyDescent="0.25">
      <c r="Z45625">
        <v>400000</v>
      </c>
    </row>
    <row r="45626" spans="26:26" x14ac:dyDescent="0.25">
      <c r="Z45626">
        <v>400000</v>
      </c>
    </row>
    <row r="45627" spans="26:26" x14ac:dyDescent="0.25">
      <c r="Z45627">
        <v>400000</v>
      </c>
    </row>
    <row r="45628" spans="26:26" x14ac:dyDescent="0.25">
      <c r="Z45628">
        <v>400000</v>
      </c>
    </row>
    <row r="45629" spans="26:26" x14ac:dyDescent="0.25">
      <c r="Z45629">
        <v>400000</v>
      </c>
    </row>
    <row r="45630" spans="26:26" x14ac:dyDescent="0.25">
      <c r="Z45630">
        <v>400000</v>
      </c>
    </row>
    <row r="45631" spans="26:26" x14ac:dyDescent="0.25">
      <c r="Z45631">
        <v>400000</v>
      </c>
    </row>
    <row r="45632" spans="26:26" x14ac:dyDescent="0.25">
      <c r="Z45632">
        <v>400000</v>
      </c>
    </row>
    <row r="45633" spans="26:26" x14ac:dyDescent="0.25">
      <c r="Z45633">
        <v>400000</v>
      </c>
    </row>
    <row r="45634" spans="26:26" x14ac:dyDescent="0.25">
      <c r="Z45634">
        <v>400000</v>
      </c>
    </row>
    <row r="45635" spans="26:26" x14ac:dyDescent="0.25">
      <c r="Z45635">
        <v>400000</v>
      </c>
    </row>
    <row r="45636" spans="26:26" x14ac:dyDescent="0.25">
      <c r="Z45636">
        <v>400000</v>
      </c>
    </row>
    <row r="45637" spans="26:26" x14ac:dyDescent="0.25">
      <c r="Z45637">
        <v>400000</v>
      </c>
    </row>
    <row r="45638" spans="26:26" x14ac:dyDescent="0.25">
      <c r="Z45638">
        <v>400000</v>
      </c>
    </row>
    <row r="45639" spans="26:26" x14ac:dyDescent="0.25">
      <c r="Z45639">
        <v>400000</v>
      </c>
    </row>
    <row r="45640" spans="26:26" x14ac:dyDescent="0.25">
      <c r="Z45640">
        <v>400000</v>
      </c>
    </row>
    <row r="45641" spans="26:26" x14ac:dyDescent="0.25">
      <c r="Z45641">
        <v>400000</v>
      </c>
    </row>
    <row r="45642" spans="26:26" x14ac:dyDescent="0.25">
      <c r="Z45642">
        <v>400000</v>
      </c>
    </row>
    <row r="45643" spans="26:26" x14ac:dyDescent="0.25">
      <c r="Z45643">
        <v>400000</v>
      </c>
    </row>
    <row r="45644" spans="26:26" x14ac:dyDescent="0.25">
      <c r="Z45644">
        <v>400000</v>
      </c>
    </row>
    <row r="45645" spans="26:26" x14ac:dyDescent="0.25">
      <c r="Z45645">
        <v>400000</v>
      </c>
    </row>
    <row r="45646" spans="26:26" x14ac:dyDescent="0.25">
      <c r="Z45646">
        <v>400000</v>
      </c>
    </row>
    <row r="45647" spans="26:26" x14ac:dyDescent="0.25">
      <c r="Z45647">
        <v>400000</v>
      </c>
    </row>
    <row r="45648" spans="26:26" x14ac:dyDescent="0.25">
      <c r="Z45648">
        <v>400000</v>
      </c>
    </row>
    <row r="45649" spans="26:26" x14ac:dyDescent="0.25">
      <c r="Z45649">
        <v>400000</v>
      </c>
    </row>
    <row r="45650" spans="26:26" x14ac:dyDescent="0.25">
      <c r="Z45650">
        <v>400000</v>
      </c>
    </row>
    <row r="45651" spans="26:26" x14ac:dyDescent="0.25">
      <c r="Z45651">
        <v>400000</v>
      </c>
    </row>
    <row r="45652" spans="26:26" x14ac:dyDescent="0.25">
      <c r="Z45652">
        <v>400000</v>
      </c>
    </row>
    <row r="45653" spans="26:26" x14ac:dyDescent="0.25">
      <c r="Z45653">
        <v>400000</v>
      </c>
    </row>
    <row r="45654" spans="26:26" x14ac:dyDescent="0.25">
      <c r="Z45654">
        <v>400000</v>
      </c>
    </row>
    <row r="45655" spans="26:26" x14ac:dyDescent="0.25">
      <c r="Z45655">
        <v>400000</v>
      </c>
    </row>
    <row r="45656" spans="26:26" x14ac:dyDescent="0.25">
      <c r="Z45656">
        <v>400000</v>
      </c>
    </row>
    <row r="45657" spans="26:26" x14ac:dyDescent="0.25">
      <c r="Z45657">
        <v>400000</v>
      </c>
    </row>
    <row r="45658" spans="26:26" x14ac:dyDescent="0.25">
      <c r="Z45658">
        <v>400000</v>
      </c>
    </row>
    <row r="45659" spans="26:26" x14ac:dyDescent="0.25">
      <c r="Z45659">
        <v>400000</v>
      </c>
    </row>
    <row r="45660" spans="26:26" x14ac:dyDescent="0.25">
      <c r="Z45660">
        <v>400000</v>
      </c>
    </row>
    <row r="45661" spans="26:26" x14ac:dyDescent="0.25">
      <c r="Z45661">
        <v>400000</v>
      </c>
    </row>
    <row r="45662" spans="26:26" x14ac:dyDescent="0.25">
      <c r="Z45662">
        <v>400000</v>
      </c>
    </row>
    <row r="45663" spans="26:26" x14ac:dyDescent="0.25">
      <c r="Z45663">
        <v>400000</v>
      </c>
    </row>
    <row r="45664" spans="26:26" x14ac:dyDescent="0.25">
      <c r="Z45664">
        <v>400000</v>
      </c>
    </row>
    <row r="45665" spans="26:26" x14ac:dyDescent="0.25">
      <c r="Z45665">
        <v>400000</v>
      </c>
    </row>
    <row r="45666" spans="26:26" x14ac:dyDescent="0.25">
      <c r="Z45666">
        <v>400000</v>
      </c>
    </row>
    <row r="45667" spans="26:26" x14ac:dyDescent="0.25">
      <c r="Z45667">
        <v>400000</v>
      </c>
    </row>
    <row r="45668" spans="26:26" x14ac:dyDescent="0.25">
      <c r="Z45668">
        <v>400000</v>
      </c>
    </row>
    <row r="45669" spans="26:26" x14ac:dyDescent="0.25">
      <c r="Z45669">
        <v>400000</v>
      </c>
    </row>
    <row r="45670" spans="26:26" x14ac:dyDescent="0.25">
      <c r="Z45670">
        <v>400000</v>
      </c>
    </row>
    <row r="45671" spans="26:26" x14ac:dyDescent="0.25">
      <c r="Z45671">
        <v>400000</v>
      </c>
    </row>
    <row r="45672" spans="26:26" x14ac:dyDescent="0.25">
      <c r="Z45672">
        <v>400000</v>
      </c>
    </row>
    <row r="45673" spans="26:26" x14ac:dyDescent="0.25">
      <c r="Z45673">
        <v>400000</v>
      </c>
    </row>
    <row r="45674" spans="26:26" x14ac:dyDescent="0.25">
      <c r="Z45674">
        <v>400000</v>
      </c>
    </row>
    <row r="45675" spans="26:26" x14ac:dyDescent="0.25">
      <c r="Z45675">
        <v>400000</v>
      </c>
    </row>
    <row r="45676" spans="26:26" x14ac:dyDescent="0.25">
      <c r="Z45676">
        <v>400000</v>
      </c>
    </row>
    <row r="45677" spans="26:26" x14ac:dyDescent="0.25">
      <c r="Z45677">
        <v>400000</v>
      </c>
    </row>
    <row r="45678" spans="26:26" x14ac:dyDescent="0.25">
      <c r="Z45678">
        <v>400000</v>
      </c>
    </row>
    <row r="45679" spans="26:26" x14ac:dyDescent="0.25">
      <c r="Z45679">
        <v>400000</v>
      </c>
    </row>
    <row r="45680" spans="26:26" x14ac:dyDescent="0.25">
      <c r="Z45680">
        <v>400000</v>
      </c>
    </row>
    <row r="45681" spans="26:26" x14ac:dyDescent="0.25">
      <c r="Z45681">
        <v>400000</v>
      </c>
    </row>
    <row r="45682" spans="26:26" x14ac:dyDescent="0.25">
      <c r="Z45682">
        <v>400000</v>
      </c>
    </row>
    <row r="45683" spans="26:26" x14ac:dyDescent="0.25">
      <c r="Z45683">
        <v>400000</v>
      </c>
    </row>
    <row r="45684" spans="26:26" x14ac:dyDescent="0.25">
      <c r="Z45684">
        <v>400000</v>
      </c>
    </row>
    <row r="45685" spans="26:26" x14ac:dyDescent="0.25">
      <c r="Z45685">
        <v>400000</v>
      </c>
    </row>
    <row r="45686" spans="26:26" x14ac:dyDescent="0.25">
      <c r="Z45686">
        <v>400000</v>
      </c>
    </row>
    <row r="45687" spans="26:26" x14ac:dyDescent="0.25">
      <c r="Z45687">
        <v>400000</v>
      </c>
    </row>
    <row r="45688" spans="26:26" x14ac:dyDescent="0.25">
      <c r="Z45688">
        <v>400000</v>
      </c>
    </row>
    <row r="45689" spans="26:26" x14ac:dyDescent="0.25">
      <c r="Z45689">
        <v>400000</v>
      </c>
    </row>
    <row r="45690" spans="26:26" x14ac:dyDescent="0.25">
      <c r="Z45690">
        <v>400000</v>
      </c>
    </row>
    <row r="45691" spans="26:26" x14ac:dyDescent="0.25">
      <c r="Z45691">
        <v>400000</v>
      </c>
    </row>
    <row r="45692" spans="26:26" x14ac:dyDescent="0.25">
      <c r="Z45692">
        <v>400000</v>
      </c>
    </row>
    <row r="45693" spans="26:26" x14ac:dyDescent="0.25">
      <c r="Z45693">
        <v>400000</v>
      </c>
    </row>
    <row r="45694" spans="26:26" x14ac:dyDescent="0.25">
      <c r="Z45694">
        <v>400000</v>
      </c>
    </row>
    <row r="45695" spans="26:26" x14ac:dyDescent="0.25">
      <c r="Z45695">
        <v>400000</v>
      </c>
    </row>
    <row r="45696" spans="26:26" x14ac:dyDescent="0.25">
      <c r="Z45696">
        <v>400000</v>
      </c>
    </row>
    <row r="45697" spans="26:26" x14ac:dyDescent="0.25">
      <c r="Z45697">
        <v>400000</v>
      </c>
    </row>
    <row r="45698" spans="26:26" x14ac:dyDescent="0.25">
      <c r="Z45698">
        <v>400000</v>
      </c>
    </row>
    <row r="45699" spans="26:26" x14ac:dyDescent="0.25">
      <c r="Z45699">
        <v>400000</v>
      </c>
    </row>
    <row r="45700" spans="26:26" x14ac:dyDescent="0.25">
      <c r="Z45700">
        <v>400000</v>
      </c>
    </row>
    <row r="45701" spans="26:26" x14ac:dyDescent="0.25">
      <c r="Z45701">
        <v>400000</v>
      </c>
    </row>
    <row r="45702" spans="26:26" x14ac:dyDescent="0.25">
      <c r="Z45702">
        <v>400000</v>
      </c>
    </row>
    <row r="45703" spans="26:26" x14ac:dyDescent="0.25">
      <c r="Z45703">
        <v>400000</v>
      </c>
    </row>
    <row r="45704" spans="26:26" x14ac:dyDescent="0.25">
      <c r="Z45704">
        <v>400000</v>
      </c>
    </row>
    <row r="45705" spans="26:26" x14ac:dyDescent="0.25">
      <c r="Z45705">
        <v>400000</v>
      </c>
    </row>
    <row r="45706" spans="26:26" x14ac:dyDescent="0.25">
      <c r="Z45706">
        <v>400000</v>
      </c>
    </row>
    <row r="45707" spans="26:26" x14ac:dyDescent="0.25">
      <c r="Z45707">
        <v>400000</v>
      </c>
    </row>
    <row r="45708" spans="26:26" x14ac:dyDescent="0.25">
      <c r="Z45708">
        <v>400000</v>
      </c>
    </row>
    <row r="45709" spans="26:26" x14ac:dyDescent="0.25">
      <c r="Z45709">
        <v>400000</v>
      </c>
    </row>
    <row r="45710" spans="26:26" x14ac:dyDescent="0.25">
      <c r="Z45710">
        <v>400000</v>
      </c>
    </row>
    <row r="45711" spans="26:26" x14ac:dyDescent="0.25">
      <c r="Z45711">
        <v>400000</v>
      </c>
    </row>
    <row r="45712" spans="26:26" x14ac:dyDescent="0.25">
      <c r="Z45712">
        <v>400000</v>
      </c>
    </row>
    <row r="45713" spans="26:26" x14ac:dyDescent="0.25">
      <c r="Z45713">
        <v>400000</v>
      </c>
    </row>
    <row r="45714" spans="26:26" x14ac:dyDescent="0.25">
      <c r="Z45714">
        <v>400000</v>
      </c>
    </row>
    <row r="45715" spans="26:26" x14ac:dyDescent="0.25">
      <c r="Z45715">
        <v>400000</v>
      </c>
    </row>
    <row r="45716" spans="26:26" x14ac:dyDescent="0.25">
      <c r="Z45716">
        <v>400000</v>
      </c>
    </row>
    <row r="45717" spans="26:26" x14ac:dyDescent="0.25">
      <c r="Z45717">
        <v>400000</v>
      </c>
    </row>
    <row r="45718" spans="26:26" x14ac:dyDescent="0.25">
      <c r="Z45718">
        <v>400000</v>
      </c>
    </row>
    <row r="45719" spans="26:26" x14ac:dyDescent="0.25">
      <c r="Z45719">
        <v>400000</v>
      </c>
    </row>
    <row r="45720" spans="26:26" x14ac:dyDescent="0.25">
      <c r="Z45720">
        <v>400000</v>
      </c>
    </row>
    <row r="45721" spans="26:26" x14ac:dyDescent="0.25">
      <c r="Z45721">
        <v>400000</v>
      </c>
    </row>
    <row r="45722" spans="26:26" x14ac:dyDescent="0.25">
      <c r="Z45722">
        <v>400000</v>
      </c>
    </row>
    <row r="45723" spans="26:26" x14ac:dyDescent="0.25">
      <c r="Z45723">
        <v>400000</v>
      </c>
    </row>
    <row r="45724" spans="26:26" x14ac:dyDescent="0.25">
      <c r="Z45724">
        <v>400000</v>
      </c>
    </row>
    <row r="45725" spans="26:26" x14ac:dyDescent="0.25">
      <c r="Z45725">
        <v>400000</v>
      </c>
    </row>
    <row r="45726" spans="26:26" x14ac:dyDescent="0.25">
      <c r="Z45726">
        <v>400000</v>
      </c>
    </row>
    <row r="45727" spans="26:26" x14ac:dyDescent="0.25">
      <c r="Z45727">
        <v>400000</v>
      </c>
    </row>
    <row r="45728" spans="26:26" x14ac:dyDescent="0.25">
      <c r="Z45728">
        <v>400000</v>
      </c>
    </row>
    <row r="45729" spans="26:26" x14ac:dyDescent="0.25">
      <c r="Z45729">
        <v>400000</v>
      </c>
    </row>
    <row r="45730" spans="26:26" x14ac:dyDescent="0.25">
      <c r="Z45730">
        <v>400000</v>
      </c>
    </row>
    <row r="45731" spans="26:26" x14ac:dyDescent="0.25">
      <c r="Z45731">
        <v>400000</v>
      </c>
    </row>
    <row r="45732" spans="26:26" x14ac:dyDescent="0.25">
      <c r="Z45732">
        <v>400000</v>
      </c>
    </row>
    <row r="45733" spans="26:26" x14ac:dyDescent="0.25">
      <c r="Z45733">
        <v>400000</v>
      </c>
    </row>
    <row r="45734" spans="26:26" x14ac:dyDescent="0.25">
      <c r="Z45734">
        <v>400000</v>
      </c>
    </row>
    <row r="45735" spans="26:26" x14ac:dyDescent="0.25">
      <c r="Z45735">
        <v>400000</v>
      </c>
    </row>
    <row r="45736" spans="26:26" x14ac:dyDescent="0.25">
      <c r="Z45736">
        <v>400000</v>
      </c>
    </row>
    <row r="45737" spans="26:26" x14ac:dyDescent="0.25">
      <c r="Z45737">
        <v>400000</v>
      </c>
    </row>
    <row r="45738" spans="26:26" x14ac:dyDescent="0.25">
      <c r="Z45738">
        <v>400000</v>
      </c>
    </row>
    <row r="45739" spans="26:26" x14ac:dyDescent="0.25">
      <c r="Z45739">
        <v>400000</v>
      </c>
    </row>
    <row r="45740" spans="26:26" x14ac:dyDescent="0.25">
      <c r="Z45740">
        <v>400000</v>
      </c>
    </row>
    <row r="45741" spans="26:26" x14ac:dyDescent="0.25">
      <c r="Z45741">
        <v>400000</v>
      </c>
    </row>
    <row r="45742" spans="26:26" x14ac:dyDescent="0.25">
      <c r="Z45742">
        <v>400000</v>
      </c>
    </row>
    <row r="45743" spans="26:26" x14ac:dyDescent="0.25">
      <c r="Z45743">
        <v>400000</v>
      </c>
    </row>
    <row r="45744" spans="26:26" x14ac:dyDescent="0.25">
      <c r="Z45744">
        <v>400000</v>
      </c>
    </row>
    <row r="45745" spans="26:26" x14ac:dyDescent="0.25">
      <c r="Z45745">
        <v>400000</v>
      </c>
    </row>
    <row r="45746" spans="26:26" x14ac:dyDescent="0.25">
      <c r="Z45746">
        <v>400000</v>
      </c>
    </row>
    <row r="45747" spans="26:26" x14ac:dyDescent="0.25">
      <c r="Z45747">
        <v>400000</v>
      </c>
    </row>
    <row r="45748" spans="26:26" x14ac:dyDescent="0.25">
      <c r="Z45748">
        <v>400000</v>
      </c>
    </row>
    <row r="45749" spans="26:26" x14ac:dyDescent="0.25">
      <c r="Z45749">
        <v>400000</v>
      </c>
    </row>
    <row r="45750" spans="26:26" x14ac:dyDescent="0.25">
      <c r="Z45750">
        <v>400000</v>
      </c>
    </row>
    <row r="45751" spans="26:26" x14ac:dyDescent="0.25">
      <c r="Z45751">
        <v>400000</v>
      </c>
    </row>
    <row r="45752" spans="26:26" x14ac:dyDescent="0.25">
      <c r="Z45752">
        <v>400000</v>
      </c>
    </row>
    <row r="45753" spans="26:26" x14ac:dyDescent="0.25">
      <c r="Z45753">
        <v>400000</v>
      </c>
    </row>
    <row r="45754" spans="26:26" x14ac:dyDescent="0.25">
      <c r="Z45754">
        <v>400000</v>
      </c>
    </row>
    <row r="45755" spans="26:26" x14ac:dyDescent="0.25">
      <c r="Z45755">
        <v>400000</v>
      </c>
    </row>
    <row r="45756" spans="26:26" x14ac:dyDescent="0.25">
      <c r="Z45756">
        <v>400000</v>
      </c>
    </row>
    <row r="45757" spans="26:26" x14ac:dyDescent="0.25">
      <c r="Z45757">
        <v>400000</v>
      </c>
    </row>
    <row r="45758" spans="26:26" x14ac:dyDescent="0.25">
      <c r="Z45758">
        <v>400000</v>
      </c>
    </row>
    <row r="45759" spans="26:26" x14ac:dyDescent="0.25">
      <c r="Z45759">
        <v>400000</v>
      </c>
    </row>
    <row r="45760" spans="26:26" x14ac:dyDescent="0.25">
      <c r="Z45760">
        <v>400000</v>
      </c>
    </row>
    <row r="45761" spans="26:26" x14ac:dyDescent="0.25">
      <c r="Z45761">
        <v>400000</v>
      </c>
    </row>
    <row r="45762" spans="26:26" x14ac:dyDescent="0.25">
      <c r="Z45762">
        <v>400000</v>
      </c>
    </row>
    <row r="45763" spans="26:26" x14ac:dyDescent="0.25">
      <c r="Z45763">
        <v>400000</v>
      </c>
    </row>
    <row r="45764" spans="26:26" x14ac:dyDescent="0.25">
      <c r="Z45764">
        <v>400000</v>
      </c>
    </row>
    <row r="45765" spans="26:26" x14ac:dyDescent="0.25">
      <c r="Z45765">
        <v>400000</v>
      </c>
    </row>
    <row r="45766" spans="26:26" x14ac:dyDescent="0.25">
      <c r="Z45766">
        <v>400000</v>
      </c>
    </row>
    <row r="45767" spans="26:26" x14ac:dyDescent="0.25">
      <c r="Z45767">
        <v>400000</v>
      </c>
    </row>
    <row r="45768" spans="26:26" x14ac:dyDescent="0.25">
      <c r="Z45768">
        <v>400000</v>
      </c>
    </row>
    <row r="45769" spans="26:26" x14ac:dyDescent="0.25">
      <c r="Z45769">
        <v>400000</v>
      </c>
    </row>
    <row r="45770" spans="26:26" x14ac:dyDescent="0.25">
      <c r="Z45770">
        <v>400000</v>
      </c>
    </row>
    <row r="45771" spans="26:26" x14ac:dyDescent="0.25">
      <c r="Z45771">
        <v>400000</v>
      </c>
    </row>
    <row r="45772" spans="26:26" x14ac:dyDescent="0.25">
      <c r="Z45772">
        <v>400000</v>
      </c>
    </row>
    <row r="45773" spans="26:26" x14ac:dyDescent="0.25">
      <c r="Z45773">
        <v>400000</v>
      </c>
    </row>
    <row r="45774" spans="26:26" x14ac:dyDescent="0.25">
      <c r="Z45774">
        <v>400000</v>
      </c>
    </row>
    <row r="45775" spans="26:26" x14ac:dyDescent="0.25">
      <c r="Z45775">
        <v>400000</v>
      </c>
    </row>
    <row r="45776" spans="26:26" x14ac:dyDescent="0.25">
      <c r="Z45776">
        <v>400000</v>
      </c>
    </row>
    <row r="45777" spans="26:26" x14ac:dyDescent="0.25">
      <c r="Z45777">
        <v>400000</v>
      </c>
    </row>
    <row r="45778" spans="26:26" x14ac:dyDescent="0.25">
      <c r="Z45778">
        <v>400000</v>
      </c>
    </row>
    <row r="45779" spans="26:26" x14ac:dyDescent="0.25">
      <c r="Z45779">
        <v>400000</v>
      </c>
    </row>
    <row r="45780" spans="26:26" x14ac:dyDescent="0.25">
      <c r="Z45780">
        <v>400000</v>
      </c>
    </row>
    <row r="45781" spans="26:26" x14ac:dyDescent="0.25">
      <c r="Z45781">
        <v>400000</v>
      </c>
    </row>
    <row r="45782" spans="26:26" x14ac:dyDescent="0.25">
      <c r="Z45782">
        <v>400000</v>
      </c>
    </row>
    <row r="45783" spans="26:26" x14ac:dyDescent="0.25">
      <c r="Z45783">
        <v>400000</v>
      </c>
    </row>
    <row r="45784" spans="26:26" x14ac:dyDescent="0.25">
      <c r="Z45784">
        <v>400000</v>
      </c>
    </row>
    <row r="45785" spans="26:26" x14ac:dyDescent="0.25">
      <c r="Z45785">
        <v>400000</v>
      </c>
    </row>
    <row r="45786" spans="26:26" x14ac:dyDescent="0.25">
      <c r="Z45786">
        <v>400000</v>
      </c>
    </row>
    <row r="45787" spans="26:26" x14ac:dyDescent="0.25">
      <c r="Z45787">
        <v>400000</v>
      </c>
    </row>
    <row r="45788" spans="26:26" x14ac:dyDescent="0.25">
      <c r="Z45788">
        <v>400000</v>
      </c>
    </row>
    <row r="45789" spans="26:26" x14ac:dyDescent="0.25">
      <c r="Z45789">
        <v>400000</v>
      </c>
    </row>
    <row r="45790" spans="26:26" x14ac:dyDescent="0.25">
      <c r="Z45790">
        <v>400000</v>
      </c>
    </row>
    <row r="45791" spans="26:26" x14ac:dyDescent="0.25">
      <c r="Z45791">
        <v>400000</v>
      </c>
    </row>
    <row r="45792" spans="26:26" x14ac:dyDescent="0.25">
      <c r="Z45792">
        <v>400000</v>
      </c>
    </row>
    <row r="45793" spans="26:26" x14ac:dyDescent="0.25">
      <c r="Z45793">
        <v>400000</v>
      </c>
    </row>
    <row r="45794" spans="26:26" x14ac:dyDescent="0.25">
      <c r="Z45794">
        <v>400000</v>
      </c>
    </row>
    <row r="45795" spans="26:26" x14ac:dyDescent="0.25">
      <c r="Z45795">
        <v>400000</v>
      </c>
    </row>
    <row r="45796" spans="26:26" x14ac:dyDescent="0.25">
      <c r="Z45796">
        <v>400000</v>
      </c>
    </row>
    <row r="45797" spans="26:26" x14ac:dyDescent="0.25">
      <c r="Z45797">
        <v>400000</v>
      </c>
    </row>
    <row r="45798" spans="26:26" x14ac:dyDescent="0.25">
      <c r="Z45798">
        <v>400000</v>
      </c>
    </row>
    <row r="45799" spans="26:26" x14ac:dyDescent="0.25">
      <c r="Z45799">
        <v>400000</v>
      </c>
    </row>
    <row r="45800" spans="26:26" x14ac:dyDescent="0.25">
      <c r="Z45800">
        <v>400000</v>
      </c>
    </row>
    <row r="45801" spans="26:26" x14ac:dyDescent="0.25">
      <c r="Z45801">
        <v>400000</v>
      </c>
    </row>
    <row r="45802" spans="26:26" x14ac:dyDescent="0.25">
      <c r="Z45802">
        <v>400000</v>
      </c>
    </row>
    <row r="45803" spans="26:26" x14ac:dyDescent="0.25">
      <c r="Z45803">
        <v>400000</v>
      </c>
    </row>
    <row r="45804" spans="26:26" x14ac:dyDescent="0.25">
      <c r="Z45804">
        <v>400000</v>
      </c>
    </row>
    <row r="45805" spans="26:26" x14ac:dyDescent="0.25">
      <c r="Z45805">
        <v>400000</v>
      </c>
    </row>
    <row r="45806" spans="26:26" x14ac:dyDescent="0.25">
      <c r="Z45806">
        <v>400000</v>
      </c>
    </row>
    <row r="45807" spans="26:26" x14ac:dyDescent="0.25">
      <c r="Z45807">
        <v>400000</v>
      </c>
    </row>
    <row r="45808" spans="26:26" x14ac:dyDescent="0.25">
      <c r="Z45808">
        <v>400000</v>
      </c>
    </row>
    <row r="45809" spans="26:26" x14ac:dyDescent="0.25">
      <c r="Z45809">
        <v>400000</v>
      </c>
    </row>
    <row r="45810" spans="26:26" x14ac:dyDescent="0.25">
      <c r="Z45810">
        <v>400000</v>
      </c>
    </row>
    <row r="45811" spans="26:26" x14ac:dyDescent="0.25">
      <c r="Z45811">
        <v>400000</v>
      </c>
    </row>
    <row r="45812" spans="26:26" x14ac:dyDescent="0.25">
      <c r="Z45812">
        <v>400000</v>
      </c>
    </row>
    <row r="45813" spans="26:26" x14ac:dyDescent="0.25">
      <c r="Z45813">
        <v>400000</v>
      </c>
    </row>
    <row r="45814" spans="26:26" x14ac:dyDescent="0.25">
      <c r="Z45814">
        <v>400000</v>
      </c>
    </row>
    <row r="45815" spans="26:26" x14ac:dyDescent="0.25">
      <c r="Z45815">
        <v>400000</v>
      </c>
    </row>
    <row r="45816" spans="26:26" x14ac:dyDescent="0.25">
      <c r="Z45816">
        <v>400000</v>
      </c>
    </row>
    <row r="45817" spans="26:26" x14ac:dyDescent="0.25">
      <c r="Z45817">
        <v>400000</v>
      </c>
    </row>
    <row r="45818" spans="26:26" x14ac:dyDescent="0.25">
      <c r="Z45818">
        <v>400000</v>
      </c>
    </row>
    <row r="45819" spans="26:26" x14ac:dyDescent="0.25">
      <c r="Z45819">
        <v>400000</v>
      </c>
    </row>
    <row r="45820" spans="26:26" x14ac:dyDescent="0.25">
      <c r="Z45820">
        <v>400000</v>
      </c>
    </row>
    <row r="45821" spans="26:26" x14ac:dyDescent="0.25">
      <c r="Z45821">
        <v>400000</v>
      </c>
    </row>
    <row r="45822" spans="26:26" x14ac:dyDescent="0.25">
      <c r="Z45822">
        <v>400000</v>
      </c>
    </row>
    <row r="45823" spans="26:26" x14ac:dyDescent="0.25">
      <c r="Z45823">
        <v>400000</v>
      </c>
    </row>
    <row r="45824" spans="26:26" x14ac:dyDescent="0.25">
      <c r="Z45824">
        <v>400000</v>
      </c>
    </row>
    <row r="45825" spans="26:26" x14ac:dyDescent="0.25">
      <c r="Z45825">
        <v>400000</v>
      </c>
    </row>
    <row r="45826" spans="26:26" x14ac:dyDescent="0.25">
      <c r="Z45826">
        <v>400000</v>
      </c>
    </row>
    <row r="45827" spans="26:26" x14ac:dyDescent="0.25">
      <c r="Z45827">
        <v>400000</v>
      </c>
    </row>
    <row r="45828" spans="26:26" x14ac:dyDescent="0.25">
      <c r="Z45828">
        <v>400000</v>
      </c>
    </row>
    <row r="45829" spans="26:26" x14ac:dyDescent="0.25">
      <c r="Z45829">
        <v>400000</v>
      </c>
    </row>
    <row r="45830" spans="26:26" x14ac:dyDescent="0.25">
      <c r="Z45830">
        <v>400000</v>
      </c>
    </row>
    <row r="45831" spans="26:26" x14ac:dyDescent="0.25">
      <c r="Z45831">
        <v>400000</v>
      </c>
    </row>
    <row r="45832" spans="26:26" x14ac:dyDescent="0.25">
      <c r="Z45832">
        <v>400000</v>
      </c>
    </row>
    <row r="45833" spans="26:26" x14ac:dyDescent="0.25">
      <c r="Z45833">
        <v>400000</v>
      </c>
    </row>
    <row r="45834" spans="26:26" x14ac:dyDescent="0.25">
      <c r="Z45834">
        <v>400000</v>
      </c>
    </row>
    <row r="45835" spans="26:26" x14ac:dyDescent="0.25">
      <c r="Z45835">
        <v>400000</v>
      </c>
    </row>
    <row r="45836" spans="26:26" x14ac:dyDescent="0.25">
      <c r="Z45836">
        <v>400000</v>
      </c>
    </row>
    <row r="45837" spans="26:26" x14ac:dyDescent="0.25">
      <c r="Z45837">
        <v>400000</v>
      </c>
    </row>
    <row r="45838" spans="26:26" x14ac:dyDescent="0.25">
      <c r="Z45838">
        <v>400000</v>
      </c>
    </row>
    <row r="45839" spans="26:26" x14ac:dyDescent="0.25">
      <c r="Z45839">
        <v>400000</v>
      </c>
    </row>
    <row r="45840" spans="26:26" x14ac:dyDescent="0.25">
      <c r="Z45840">
        <v>400000</v>
      </c>
    </row>
    <row r="45841" spans="26:26" x14ac:dyDescent="0.25">
      <c r="Z45841">
        <v>400000</v>
      </c>
    </row>
    <row r="45842" spans="26:26" x14ac:dyDescent="0.25">
      <c r="Z45842">
        <v>400000</v>
      </c>
    </row>
    <row r="45843" spans="26:26" x14ac:dyDescent="0.25">
      <c r="Z45843">
        <v>400000</v>
      </c>
    </row>
    <row r="45844" spans="26:26" x14ac:dyDescent="0.25">
      <c r="Z45844">
        <v>400000</v>
      </c>
    </row>
    <row r="45845" spans="26:26" x14ac:dyDescent="0.25">
      <c r="Z45845">
        <v>400000</v>
      </c>
    </row>
    <row r="45846" spans="26:26" x14ac:dyDescent="0.25">
      <c r="Z45846">
        <v>400000</v>
      </c>
    </row>
    <row r="45847" spans="26:26" x14ac:dyDescent="0.25">
      <c r="Z45847">
        <v>400000</v>
      </c>
    </row>
    <row r="45848" spans="26:26" x14ac:dyDescent="0.25">
      <c r="Z45848">
        <v>400000</v>
      </c>
    </row>
    <row r="45849" spans="26:26" x14ac:dyDescent="0.25">
      <c r="Z45849">
        <v>400000</v>
      </c>
    </row>
    <row r="45850" spans="26:26" x14ac:dyDescent="0.25">
      <c r="Z45850">
        <v>400000</v>
      </c>
    </row>
    <row r="45851" spans="26:26" x14ac:dyDescent="0.25">
      <c r="Z45851">
        <v>400000</v>
      </c>
    </row>
    <row r="45852" spans="26:26" x14ac:dyDescent="0.25">
      <c r="Z45852">
        <v>400000</v>
      </c>
    </row>
    <row r="45853" spans="26:26" x14ac:dyDescent="0.25">
      <c r="Z45853">
        <v>400000</v>
      </c>
    </row>
    <row r="45854" spans="26:26" x14ac:dyDescent="0.25">
      <c r="Z45854">
        <v>400000</v>
      </c>
    </row>
    <row r="45855" spans="26:26" x14ac:dyDescent="0.25">
      <c r="Z45855">
        <v>400000</v>
      </c>
    </row>
    <row r="45856" spans="26:26" x14ac:dyDescent="0.25">
      <c r="Z45856">
        <v>400000</v>
      </c>
    </row>
    <row r="45857" spans="26:26" x14ac:dyDescent="0.25">
      <c r="Z45857">
        <v>400000</v>
      </c>
    </row>
    <row r="45858" spans="26:26" x14ac:dyDescent="0.25">
      <c r="Z45858">
        <v>400000</v>
      </c>
    </row>
    <row r="45859" spans="26:26" x14ac:dyDescent="0.25">
      <c r="Z45859">
        <v>400000</v>
      </c>
    </row>
    <row r="45860" spans="26:26" x14ac:dyDescent="0.25">
      <c r="Z45860">
        <v>400000</v>
      </c>
    </row>
    <row r="45861" spans="26:26" x14ac:dyDescent="0.25">
      <c r="Z45861">
        <v>400000</v>
      </c>
    </row>
    <row r="45862" spans="26:26" x14ac:dyDescent="0.25">
      <c r="Z45862">
        <v>400000</v>
      </c>
    </row>
    <row r="45863" spans="26:26" x14ac:dyDescent="0.25">
      <c r="Z45863">
        <v>400000</v>
      </c>
    </row>
    <row r="45864" spans="26:26" x14ac:dyDescent="0.25">
      <c r="Z45864">
        <v>400000</v>
      </c>
    </row>
    <row r="45865" spans="26:26" x14ac:dyDescent="0.25">
      <c r="Z45865">
        <v>400000</v>
      </c>
    </row>
    <row r="45866" spans="26:26" x14ac:dyDescent="0.25">
      <c r="Z45866">
        <v>400000</v>
      </c>
    </row>
    <row r="45867" spans="26:26" x14ac:dyDescent="0.25">
      <c r="Z45867">
        <v>400000</v>
      </c>
    </row>
    <row r="45868" spans="26:26" x14ac:dyDescent="0.25">
      <c r="Z45868">
        <v>400000</v>
      </c>
    </row>
    <row r="45869" spans="26:26" x14ac:dyDescent="0.25">
      <c r="Z45869">
        <v>400000</v>
      </c>
    </row>
    <row r="45870" spans="26:26" x14ac:dyDescent="0.25">
      <c r="Z45870">
        <v>400000</v>
      </c>
    </row>
    <row r="45871" spans="26:26" x14ac:dyDescent="0.25">
      <c r="Z45871">
        <v>400000</v>
      </c>
    </row>
    <row r="45872" spans="26:26" x14ac:dyDescent="0.25">
      <c r="Z45872">
        <v>400000</v>
      </c>
    </row>
    <row r="45873" spans="26:26" x14ac:dyDescent="0.25">
      <c r="Z45873">
        <v>400000</v>
      </c>
    </row>
    <row r="45874" spans="26:26" x14ac:dyDescent="0.25">
      <c r="Z45874">
        <v>400000</v>
      </c>
    </row>
    <row r="45875" spans="26:26" x14ac:dyDescent="0.25">
      <c r="Z45875">
        <v>400000</v>
      </c>
    </row>
    <row r="45876" spans="26:26" x14ac:dyDescent="0.25">
      <c r="Z45876">
        <v>400000</v>
      </c>
    </row>
    <row r="45877" spans="26:26" x14ac:dyDescent="0.25">
      <c r="Z45877">
        <v>400000</v>
      </c>
    </row>
    <row r="45878" spans="26:26" x14ac:dyDescent="0.25">
      <c r="Z45878">
        <v>400000</v>
      </c>
    </row>
    <row r="45879" spans="26:26" x14ac:dyDescent="0.25">
      <c r="Z45879">
        <v>400000</v>
      </c>
    </row>
    <row r="45880" spans="26:26" x14ac:dyDescent="0.25">
      <c r="Z45880">
        <v>400000</v>
      </c>
    </row>
    <row r="45881" spans="26:26" x14ac:dyDescent="0.25">
      <c r="Z45881">
        <v>400000</v>
      </c>
    </row>
    <row r="45882" spans="26:26" x14ac:dyDescent="0.25">
      <c r="Z45882">
        <v>400000</v>
      </c>
    </row>
    <row r="45883" spans="26:26" x14ac:dyDescent="0.25">
      <c r="Z45883">
        <v>400000</v>
      </c>
    </row>
    <row r="45884" spans="26:26" x14ac:dyDescent="0.25">
      <c r="Z45884">
        <v>400000</v>
      </c>
    </row>
    <row r="45885" spans="26:26" x14ac:dyDescent="0.25">
      <c r="Z45885">
        <v>400000</v>
      </c>
    </row>
    <row r="45886" spans="26:26" x14ac:dyDescent="0.25">
      <c r="Z45886">
        <v>400000</v>
      </c>
    </row>
    <row r="45887" spans="26:26" x14ac:dyDescent="0.25">
      <c r="Z45887">
        <v>400000</v>
      </c>
    </row>
    <row r="45888" spans="26:26" x14ac:dyDescent="0.25">
      <c r="Z45888">
        <v>400000</v>
      </c>
    </row>
    <row r="45889" spans="26:26" x14ac:dyDescent="0.25">
      <c r="Z45889">
        <v>400000</v>
      </c>
    </row>
    <row r="45890" spans="26:26" x14ac:dyDescent="0.25">
      <c r="Z45890">
        <v>400000</v>
      </c>
    </row>
    <row r="45891" spans="26:26" x14ac:dyDescent="0.25">
      <c r="Z45891">
        <v>400000</v>
      </c>
    </row>
    <row r="45892" spans="26:26" x14ac:dyDescent="0.25">
      <c r="Z45892">
        <v>400000</v>
      </c>
    </row>
    <row r="45893" spans="26:26" x14ac:dyDescent="0.25">
      <c r="Z45893">
        <v>400000</v>
      </c>
    </row>
    <row r="45894" spans="26:26" x14ac:dyDescent="0.25">
      <c r="Z45894">
        <v>400000</v>
      </c>
    </row>
    <row r="45895" spans="26:26" x14ac:dyDescent="0.25">
      <c r="Z45895">
        <v>400000</v>
      </c>
    </row>
    <row r="45896" spans="26:26" x14ac:dyDescent="0.25">
      <c r="Z45896">
        <v>400000</v>
      </c>
    </row>
    <row r="45897" spans="26:26" x14ac:dyDescent="0.25">
      <c r="Z45897">
        <v>400000</v>
      </c>
    </row>
    <row r="45898" spans="26:26" x14ac:dyDescent="0.25">
      <c r="Z45898">
        <v>400000</v>
      </c>
    </row>
    <row r="45899" spans="26:26" x14ac:dyDescent="0.25">
      <c r="Z45899">
        <v>400000</v>
      </c>
    </row>
    <row r="45900" spans="26:26" x14ac:dyDescent="0.25">
      <c r="Z45900">
        <v>400000</v>
      </c>
    </row>
    <row r="45901" spans="26:26" x14ac:dyDescent="0.25">
      <c r="Z45901">
        <v>400000</v>
      </c>
    </row>
    <row r="45902" spans="26:26" x14ac:dyDescent="0.25">
      <c r="Z45902">
        <v>400000</v>
      </c>
    </row>
    <row r="45903" spans="26:26" x14ac:dyDescent="0.25">
      <c r="Z45903">
        <v>400000</v>
      </c>
    </row>
    <row r="45904" spans="26:26" x14ac:dyDescent="0.25">
      <c r="Z45904">
        <v>400000</v>
      </c>
    </row>
    <row r="45905" spans="26:26" x14ac:dyDescent="0.25">
      <c r="Z45905">
        <v>400000</v>
      </c>
    </row>
    <row r="45906" spans="26:26" x14ac:dyDescent="0.25">
      <c r="Z45906">
        <v>400000</v>
      </c>
    </row>
    <row r="45907" spans="26:26" x14ac:dyDescent="0.25">
      <c r="Z45907">
        <v>400000</v>
      </c>
    </row>
    <row r="45908" spans="26:26" x14ac:dyDescent="0.25">
      <c r="Z45908">
        <v>400000</v>
      </c>
    </row>
    <row r="45909" spans="26:26" x14ac:dyDescent="0.25">
      <c r="Z45909">
        <v>400000</v>
      </c>
    </row>
    <row r="45910" spans="26:26" x14ac:dyDescent="0.25">
      <c r="Z45910">
        <v>400000</v>
      </c>
    </row>
    <row r="45911" spans="26:26" x14ac:dyDescent="0.25">
      <c r="Z45911">
        <v>400000</v>
      </c>
    </row>
    <row r="45912" spans="26:26" x14ac:dyDescent="0.25">
      <c r="Z45912">
        <v>400000</v>
      </c>
    </row>
    <row r="45913" spans="26:26" x14ac:dyDescent="0.25">
      <c r="Z45913">
        <v>400000</v>
      </c>
    </row>
    <row r="45914" spans="26:26" x14ac:dyDescent="0.25">
      <c r="Z45914">
        <v>400000</v>
      </c>
    </row>
    <row r="45915" spans="26:26" x14ac:dyDescent="0.25">
      <c r="Z45915">
        <v>400000</v>
      </c>
    </row>
    <row r="45916" spans="26:26" x14ac:dyDescent="0.25">
      <c r="Z45916">
        <v>400000</v>
      </c>
    </row>
    <row r="45917" spans="26:26" x14ac:dyDescent="0.25">
      <c r="Z45917">
        <v>400000</v>
      </c>
    </row>
    <row r="45918" spans="26:26" x14ac:dyDescent="0.25">
      <c r="Z45918">
        <v>400000</v>
      </c>
    </row>
    <row r="45919" spans="26:26" x14ac:dyDescent="0.25">
      <c r="Z45919">
        <v>400000</v>
      </c>
    </row>
    <row r="45920" spans="26:26" x14ac:dyDescent="0.25">
      <c r="Z45920">
        <v>400000</v>
      </c>
    </row>
    <row r="45921" spans="26:26" x14ac:dyDescent="0.25">
      <c r="Z45921">
        <v>400000</v>
      </c>
    </row>
    <row r="45922" spans="26:26" x14ac:dyDescent="0.25">
      <c r="Z45922">
        <v>400000</v>
      </c>
    </row>
    <row r="45923" spans="26:26" x14ac:dyDescent="0.25">
      <c r="Z45923">
        <v>400000</v>
      </c>
    </row>
    <row r="45924" spans="26:26" x14ac:dyDescent="0.25">
      <c r="Z45924">
        <v>400000</v>
      </c>
    </row>
    <row r="45925" spans="26:26" x14ac:dyDescent="0.25">
      <c r="Z45925">
        <v>400000</v>
      </c>
    </row>
    <row r="45926" spans="26:26" x14ac:dyDescent="0.25">
      <c r="Z45926">
        <v>400000</v>
      </c>
    </row>
    <row r="45927" spans="26:26" x14ac:dyDescent="0.25">
      <c r="Z45927">
        <v>400000</v>
      </c>
    </row>
    <row r="45928" spans="26:26" x14ac:dyDescent="0.25">
      <c r="Z45928">
        <v>400000</v>
      </c>
    </row>
    <row r="45929" spans="26:26" x14ac:dyDescent="0.25">
      <c r="Z45929">
        <v>400000</v>
      </c>
    </row>
    <row r="45930" spans="26:26" x14ac:dyDescent="0.25">
      <c r="Z45930">
        <v>400000</v>
      </c>
    </row>
    <row r="45931" spans="26:26" x14ac:dyDescent="0.25">
      <c r="Z45931">
        <v>400000</v>
      </c>
    </row>
    <row r="45932" spans="26:26" x14ac:dyDescent="0.25">
      <c r="Z45932">
        <v>400000</v>
      </c>
    </row>
    <row r="45933" spans="26:26" x14ac:dyDescent="0.25">
      <c r="Z45933">
        <v>400000</v>
      </c>
    </row>
    <row r="45934" spans="26:26" x14ac:dyDescent="0.25">
      <c r="Z45934">
        <v>400000</v>
      </c>
    </row>
    <row r="45935" spans="26:26" x14ac:dyDescent="0.25">
      <c r="Z45935">
        <v>400000</v>
      </c>
    </row>
    <row r="45936" spans="26:26" x14ac:dyDescent="0.25">
      <c r="Z45936">
        <v>400000</v>
      </c>
    </row>
    <row r="45937" spans="26:26" x14ac:dyDescent="0.25">
      <c r="Z45937">
        <v>400000</v>
      </c>
    </row>
    <row r="45938" spans="26:26" x14ac:dyDescent="0.25">
      <c r="Z45938">
        <v>400000</v>
      </c>
    </row>
    <row r="45939" spans="26:26" x14ac:dyDescent="0.25">
      <c r="Z45939">
        <v>400000</v>
      </c>
    </row>
    <row r="45940" spans="26:26" x14ac:dyDescent="0.25">
      <c r="Z45940">
        <v>400000</v>
      </c>
    </row>
    <row r="45941" spans="26:26" x14ac:dyDescent="0.25">
      <c r="Z45941">
        <v>400000</v>
      </c>
    </row>
    <row r="45942" spans="26:26" x14ac:dyDescent="0.25">
      <c r="Z45942">
        <v>400000</v>
      </c>
    </row>
    <row r="45943" spans="26:26" x14ac:dyDescent="0.25">
      <c r="Z45943">
        <v>400000</v>
      </c>
    </row>
    <row r="45944" spans="26:26" x14ac:dyDescent="0.25">
      <c r="Z45944">
        <v>400000</v>
      </c>
    </row>
    <row r="45945" spans="26:26" x14ac:dyDescent="0.25">
      <c r="Z45945">
        <v>400000</v>
      </c>
    </row>
    <row r="45946" spans="26:26" x14ac:dyDescent="0.25">
      <c r="Z45946">
        <v>400000</v>
      </c>
    </row>
    <row r="45947" spans="26:26" x14ac:dyDescent="0.25">
      <c r="Z45947">
        <v>400000</v>
      </c>
    </row>
    <row r="45948" spans="26:26" x14ac:dyDescent="0.25">
      <c r="Z45948">
        <v>400000</v>
      </c>
    </row>
    <row r="45949" spans="26:26" x14ac:dyDescent="0.25">
      <c r="Z45949">
        <v>400000</v>
      </c>
    </row>
    <row r="45950" spans="26:26" x14ac:dyDescent="0.25">
      <c r="Z45950">
        <v>400000</v>
      </c>
    </row>
    <row r="45951" spans="26:26" x14ac:dyDescent="0.25">
      <c r="Z45951">
        <v>400000</v>
      </c>
    </row>
    <row r="45952" spans="26:26" x14ac:dyDescent="0.25">
      <c r="Z45952">
        <v>400000</v>
      </c>
    </row>
    <row r="45953" spans="26:26" x14ac:dyDescent="0.25">
      <c r="Z45953">
        <v>400000</v>
      </c>
    </row>
    <row r="45954" spans="26:26" x14ac:dyDescent="0.25">
      <c r="Z45954">
        <v>400000</v>
      </c>
    </row>
    <row r="45955" spans="26:26" x14ac:dyDescent="0.25">
      <c r="Z45955">
        <v>400000</v>
      </c>
    </row>
    <row r="45956" spans="26:26" x14ac:dyDescent="0.25">
      <c r="Z45956">
        <v>400000</v>
      </c>
    </row>
    <row r="45957" spans="26:26" x14ac:dyDescent="0.25">
      <c r="Z45957">
        <v>400000</v>
      </c>
    </row>
    <row r="45958" spans="26:26" x14ac:dyDescent="0.25">
      <c r="Z45958">
        <v>400000</v>
      </c>
    </row>
    <row r="45959" spans="26:26" x14ac:dyDescent="0.25">
      <c r="Z45959">
        <v>400000</v>
      </c>
    </row>
    <row r="45960" spans="26:26" x14ac:dyDescent="0.25">
      <c r="Z45960">
        <v>400000</v>
      </c>
    </row>
    <row r="45961" spans="26:26" x14ac:dyDescent="0.25">
      <c r="Z45961">
        <v>400000</v>
      </c>
    </row>
    <row r="45962" spans="26:26" x14ac:dyDescent="0.25">
      <c r="Z45962">
        <v>400000</v>
      </c>
    </row>
    <row r="45963" spans="26:26" x14ac:dyDescent="0.25">
      <c r="Z45963">
        <v>400000</v>
      </c>
    </row>
    <row r="45964" spans="26:26" x14ac:dyDescent="0.25">
      <c r="Z45964">
        <v>400000</v>
      </c>
    </row>
    <row r="45965" spans="26:26" x14ac:dyDescent="0.25">
      <c r="Z45965">
        <v>400000</v>
      </c>
    </row>
    <row r="45966" spans="26:26" x14ac:dyDescent="0.25">
      <c r="Z45966">
        <v>400000</v>
      </c>
    </row>
    <row r="45967" spans="26:26" x14ac:dyDescent="0.25">
      <c r="Z45967">
        <v>400000</v>
      </c>
    </row>
    <row r="45968" spans="26:26" x14ac:dyDescent="0.25">
      <c r="Z45968">
        <v>400000</v>
      </c>
    </row>
    <row r="45969" spans="26:26" x14ac:dyDescent="0.25">
      <c r="Z45969">
        <v>400000</v>
      </c>
    </row>
    <row r="45970" spans="26:26" x14ac:dyDescent="0.25">
      <c r="Z45970">
        <v>400000</v>
      </c>
    </row>
    <row r="45971" spans="26:26" x14ac:dyDescent="0.25">
      <c r="Z45971">
        <v>400000</v>
      </c>
    </row>
    <row r="45972" spans="26:26" x14ac:dyDescent="0.25">
      <c r="Z45972">
        <v>400000</v>
      </c>
    </row>
    <row r="45973" spans="26:26" x14ac:dyDescent="0.25">
      <c r="Z45973">
        <v>400000</v>
      </c>
    </row>
    <row r="45974" spans="26:26" x14ac:dyDescent="0.25">
      <c r="Z45974">
        <v>400000</v>
      </c>
    </row>
    <row r="45975" spans="26:26" x14ac:dyDescent="0.25">
      <c r="Z45975">
        <v>400000</v>
      </c>
    </row>
    <row r="45976" spans="26:26" x14ac:dyDescent="0.25">
      <c r="Z45976">
        <v>400000</v>
      </c>
    </row>
    <row r="45977" spans="26:26" x14ac:dyDescent="0.25">
      <c r="Z45977">
        <v>400000</v>
      </c>
    </row>
    <row r="45978" spans="26:26" x14ac:dyDescent="0.25">
      <c r="Z45978">
        <v>400000</v>
      </c>
    </row>
    <row r="45979" spans="26:26" x14ac:dyDescent="0.25">
      <c r="Z45979">
        <v>400000</v>
      </c>
    </row>
    <row r="45980" spans="26:26" x14ac:dyDescent="0.25">
      <c r="Z45980">
        <v>400000</v>
      </c>
    </row>
    <row r="45981" spans="26:26" x14ac:dyDescent="0.25">
      <c r="Z45981">
        <v>400000</v>
      </c>
    </row>
    <row r="45982" spans="26:26" x14ac:dyDescent="0.25">
      <c r="Z45982">
        <v>400000</v>
      </c>
    </row>
    <row r="45983" spans="26:26" x14ac:dyDescent="0.25">
      <c r="Z45983">
        <v>400000</v>
      </c>
    </row>
    <row r="45984" spans="26:26" x14ac:dyDescent="0.25">
      <c r="Z45984">
        <v>400000</v>
      </c>
    </row>
    <row r="45985" spans="26:26" x14ac:dyDescent="0.25">
      <c r="Z45985">
        <v>400000</v>
      </c>
    </row>
    <row r="45986" spans="26:26" x14ac:dyDescent="0.25">
      <c r="Z45986">
        <v>400000</v>
      </c>
    </row>
    <row r="45987" spans="26:26" x14ac:dyDescent="0.25">
      <c r="Z45987">
        <v>400000</v>
      </c>
    </row>
    <row r="45988" spans="26:26" x14ac:dyDescent="0.25">
      <c r="Z45988">
        <v>400000</v>
      </c>
    </row>
    <row r="45989" spans="26:26" x14ac:dyDescent="0.25">
      <c r="Z45989">
        <v>400000</v>
      </c>
    </row>
    <row r="45990" spans="26:26" x14ac:dyDescent="0.25">
      <c r="Z45990">
        <v>400000</v>
      </c>
    </row>
    <row r="45991" spans="26:26" x14ac:dyDescent="0.25">
      <c r="Z45991">
        <v>400000</v>
      </c>
    </row>
    <row r="45992" spans="26:26" x14ac:dyDescent="0.25">
      <c r="Z45992">
        <v>400000</v>
      </c>
    </row>
    <row r="45993" spans="26:26" x14ac:dyDescent="0.25">
      <c r="Z45993">
        <v>400000</v>
      </c>
    </row>
    <row r="45994" spans="26:26" x14ac:dyDescent="0.25">
      <c r="Z45994">
        <v>400000</v>
      </c>
    </row>
    <row r="45995" spans="26:26" x14ac:dyDescent="0.25">
      <c r="Z45995">
        <v>400000</v>
      </c>
    </row>
    <row r="45996" spans="26:26" x14ac:dyDescent="0.25">
      <c r="Z45996">
        <v>400000</v>
      </c>
    </row>
    <row r="45997" spans="26:26" x14ac:dyDescent="0.25">
      <c r="Z45997">
        <v>400000</v>
      </c>
    </row>
    <row r="45998" spans="26:26" x14ac:dyDescent="0.25">
      <c r="Z45998">
        <v>400000</v>
      </c>
    </row>
    <row r="45999" spans="26:26" x14ac:dyDescent="0.25">
      <c r="Z45999">
        <v>400000</v>
      </c>
    </row>
    <row r="46000" spans="26:26" x14ac:dyDescent="0.25">
      <c r="Z46000">
        <v>400000</v>
      </c>
    </row>
    <row r="46001" spans="26:26" x14ac:dyDescent="0.25">
      <c r="Z46001">
        <v>400000</v>
      </c>
    </row>
    <row r="46002" spans="26:26" x14ac:dyDescent="0.25">
      <c r="Z46002">
        <v>400000</v>
      </c>
    </row>
    <row r="46003" spans="26:26" x14ac:dyDescent="0.25">
      <c r="Z46003">
        <v>400000</v>
      </c>
    </row>
    <row r="46004" spans="26:26" x14ac:dyDescent="0.25">
      <c r="Z46004">
        <v>400000</v>
      </c>
    </row>
    <row r="46005" spans="26:26" x14ac:dyDescent="0.25">
      <c r="Z46005">
        <v>400000</v>
      </c>
    </row>
    <row r="46006" spans="26:26" x14ac:dyDescent="0.25">
      <c r="Z46006">
        <v>400000</v>
      </c>
    </row>
    <row r="46007" spans="26:26" x14ac:dyDescent="0.25">
      <c r="Z46007">
        <v>400000</v>
      </c>
    </row>
    <row r="46008" spans="26:26" x14ac:dyDescent="0.25">
      <c r="Z46008">
        <v>400000</v>
      </c>
    </row>
    <row r="46009" spans="26:26" x14ac:dyDescent="0.25">
      <c r="Z46009">
        <v>400000</v>
      </c>
    </row>
    <row r="46010" spans="26:26" x14ac:dyDescent="0.25">
      <c r="Z46010">
        <v>400000</v>
      </c>
    </row>
    <row r="46011" spans="26:26" x14ac:dyDescent="0.25">
      <c r="Z46011">
        <v>400000</v>
      </c>
    </row>
    <row r="46012" spans="26:26" x14ac:dyDescent="0.25">
      <c r="Z46012">
        <v>400000</v>
      </c>
    </row>
    <row r="46013" spans="26:26" x14ac:dyDescent="0.25">
      <c r="Z46013">
        <v>400000</v>
      </c>
    </row>
    <row r="46014" spans="26:26" x14ac:dyDescent="0.25">
      <c r="Z46014">
        <v>400000</v>
      </c>
    </row>
    <row r="46015" spans="26:26" x14ac:dyDescent="0.25">
      <c r="Z46015">
        <v>400000</v>
      </c>
    </row>
    <row r="46016" spans="26:26" x14ac:dyDescent="0.25">
      <c r="Z46016">
        <v>400000</v>
      </c>
    </row>
    <row r="46017" spans="26:26" x14ac:dyDescent="0.25">
      <c r="Z46017">
        <v>400000</v>
      </c>
    </row>
    <row r="46018" spans="26:26" x14ac:dyDescent="0.25">
      <c r="Z46018">
        <v>400000</v>
      </c>
    </row>
    <row r="46019" spans="26:26" x14ac:dyDescent="0.25">
      <c r="Z46019">
        <v>400000</v>
      </c>
    </row>
    <row r="46020" spans="26:26" x14ac:dyDescent="0.25">
      <c r="Z46020">
        <v>400000</v>
      </c>
    </row>
    <row r="46021" spans="26:26" x14ac:dyDescent="0.25">
      <c r="Z46021">
        <v>400000</v>
      </c>
    </row>
    <row r="46022" spans="26:26" x14ac:dyDescent="0.25">
      <c r="Z46022">
        <v>400000</v>
      </c>
    </row>
    <row r="46023" spans="26:26" x14ac:dyDescent="0.25">
      <c r="Z46023">
        <v>400000</v>
      </c>
    </row>
    <row r="46024" spans="26:26" x14ac:dyDescent="0.25">
      <c r="Z46024">
        <v>400000</v>
      </c>
    </row>
    <row r="46025" spans="26:26" x14ac:dyDescent="0.25">
      <c r="Z46025">
        <v>400000</v>
      </c>
    </row>
    <row r="46026" spans="26:26" x14ac:dyDescent="0.25">
      <c r="Z46026">
        <v>400000</v>
      </c>
    </row>
    <row r="46027" spans="26:26" x14ac:dyDescent="0.25">
      <c r="Z46027">
        <v>400000</v>
      </c>
    </row>
    <row r="46028" spans="26:26" x14ac:dyDescent="0.25">
      <c r="Z46028">
        <v>400000</v>
      </c>
    </row>
    <row r="46029" spans="26:26" x14ac:dyDescent="0.25">
      <c r="Z46029">
        <v>400000</v>
      </c>
    </row>
    <row r="46030" spans="26:26" x14ac:dyDescent="0.25">
      <c r="Z46030">
        <v>400000</v>
      </c>
    </row>
    <row r="46031" spans="26:26" x14ac:dyDescent="0.25">
      <c r="Z46031">
        <v>400000</v>
      </c>
    </row>
    <row r="46032" spans="26:26" x14ac:dyDescent="0.25">
      <c r="Z46032">
        <v>400000</v>
      </c>
    </row>
    <row r="46033" spans="26:26" x14ac:dyDescent="0.25">
      <c r="Z46033">
        <v>400000</v>
      </c>
    </row>
    <row r="46034" spans="26:26" x14ac:dyDescent="0.25">
      <c r="Z46034">
        <v>400000</v>
      </c>
    </row>
    <row r="46035" spans="26:26" x14ac:dyDescent="0.25">
      <c r="Z46035">
        <v>400000</v>
      </c>
    </row>
    <row r="46036" spans="26:26" x14ac:dyDescent="0.25">
      <c r="Z46036">
        <v>400000</v>
      </c>
    </row>
    <row r="46037" spans="26:26" x14ac:dyDescent="0.25">
      <c r="Z46037">
        <v>400000</v>
      </c>
    </row>
    <row r="46038" spans="26:26" x14ac:dyDescent="0.25">
      <c r="Z46038">
        <v>400000</v>
      </c>
    </row>
    <row r="46039" spans="26:26" x14ac:dyDescent="0.25">
      <c r="Z46039">
        <v>400000</v>
      </c>
    </row>
    <row r="46040" spans="26:26" x14ac:dyDescent="0.25">
      <c r="Z46040">
        <v>400000</v>
      </c>
    </row>
    <row r="46041" spans="26:26" x14ac:dyDescent="0.25">
      <c r="Z46041">
        <v>400000</v>
      </c>
    </row>
    <row r="46042" spans="26:26" x14ac:dyDescent="0.25">
      <c r="Z46042">
        <v>400000</v>
      </c>
    </row>
    <row r="46043" spans="26:26" x14ac:dyDescent="0.25">
      <c r="Z46043">
        <v>400000</v>
      </c>
    </row>
    <row r="46044" spans="26:26" x14ac:dyDescent="0.25">
      <c r="Z46044">
        <v>400000</v>
      </c>
    </row>
    <row r="46045" spans="26:26" x14ac:dyDescent="0.25">
      <c r="Z46045">
        <v>400000</v>
      </c>
    </row>
    <row r="46046" spans="26:26" x14ac:dyDescent="0.25">
      <c r="Z46046">
        <v>400000</v>
      </c>
    </row>
    <row r="46047" spans="26:26" x14ac:dyDescent="0.25">
      <c r="Z46047">
        <v>400000</v>
      </c>
    </row>
    <row r="46048" spans="26:26" x14ac:dyDescent="0.25">
      <c r="Z46048">
        <v>400000</v>
      </c>
    </row>
    <row r="46049" spans="26:26" x14ac:dyDescent="0.25">
      <c r="Z46049">
        <v>400000</v>
      </c>
    </row>
    <row r="46050" spans="26:26" x14ac:dyDescent="0.25">
      <c r="Z46050">
        <v>400000</v>
      </c>
    </row>
    <row r="46051" spans="26:26" x14ac:dyDescent="0.25">
      <c r="Z46051">
        <v>400000</v>
      </c>
    </row>
    <row r="46052" spans="26:26" x14ac:dyDescent="0.25">
      <c r="Z46052">
        <v>400000</v>
      </c>
    </row>
    <row r="46053" spans="26:26" x14ac:dyDescent="0.25">
      <c r="Z46053">
        <v>400000</v>
      </c>
    </row>
    <row r="46054" spans="26:26" x14ac:dyDescent="0.25">
      <c r="Z46054">
        <v>400000</v>
      </c>
    </row>
    <row r="46055" spans="26:26" x14ac:dyDescent="0.25">
      <c r="Z46055">
        <v>400000</v>
      </c>
    </row>
    <row r="46056" spans="26:26" x14ac:dyDescent="0.25">
      <c r="Z46056">
        <v>400000</v>
      </c>
    </row>
    <row r="46057" spans="26:26" x14ac:dyDescent="0.25">
      <c r="Z46057">
        <v>400000</v>
      </c>
    </row>
    <row r="46058" spans="26:26" x14ac:dyDescent="0.25">
      <c r="Z46058">
        <v>400000</v>
      </c>
    </row>
    <row r="46059" spans="26:26" x14ac:dyDescent="0.25">
      <c r="Z46059">
        <v>400000</v>
      </c>
    </row>
    <row r="46060" spans="26:26" x14ac:dyDescent="0.25">
      <c r="Z46060">
        <v>400000</v>
      </c>
    </row>
    <row r="46061" spans="26:26" x14ac:dyDescent="0.25">
      <c r="Z46061">
        <v>400000</v>
      </c>
    </row>
    <row r="46062" spans="26:26" x14ac:dyDescent="0.25">
      <c r="Z46062">
        <v>400000</v>
      </c>
    </row>
    <row r="46063" spans="26:26" x14ac:dyDescent="0.25">
      <c r="Z46063">
        <v>400000</v>
      </c>
    </row>
    <row r="46064" spans="26:26" x14ac:dyDescent="0.25">
      <c r="Z46064">
        <v>400000</v>
      </c>
    </row>
    <row r="46065" spans="26:26" x14ac:dyDescent="0.25">
      <c r="Z46065">
        <v>400000</v>
      </c>
    </row>
    <row r="46066" spans="26:26" x14ac:dyDescent="0.25">
      <c r="Z46066">
        <v>400000</v>
      </c>
    </row>
    <row r="46067" spans="26:26" x14ac:dyDescent="0.25">
      <c r="Z46067">
        <v>400000</v>
      </c>
    </row>
    <row r="46068" spans="26:26" x14ac:dyDescent="0.25">
      <c r="Z46068">
        <v>400000</v>
      </c>
    </row>
    <row r="46069" spans="26:26" x14ac:dyDescent="0.25">
      <c r="Z46069">
        <v>400000</v>
      </c>
    </row>
    <row r="46070" spans="26:26" x14ac:dyDescent="0.25">
      <c r="Z46070">
        <v>400000</v>
      </c>
    </row>
    <row r="46071" spans="26:26" x14ac:dyDescent="0.25">
      <c r="Z46071">
        <v>400000</v>
      </c>
    </row>
    <row r="46072" spans="26:26" x14ac:dyDescent="0.25">
      <c r="Z46072">
        <v>400000</v>
      </c>
    </row>
    <row r="46073" spans="26:26" x14ac:dyDescent="0.25">
      <c r="Z46073">
        <v>400000</v>
      </c>
    </row>
    <row r="46074" spans="26:26" x14ac:dyDescent="0.25">
      <c r="Z46074">
        <v>400000</v>
      </c>
    </row>
    <row r="46075" spans="26:26" x14ac:dyDescent="0.25">
      <c r="Z46075">
        <v>400000</v>
      </c>
    </row>
    <row r="46076" spans="26:26" x14ac:dyDescent="0.25">
      <c r="Z46076">
        <v>400000</v>
      </c>
    </row>
    <row r="46077" spans="26:26" x14ac:dyDescent="0.25">
      <c r="Z46077">
        <v>400000</v>
      </c>
    </row>
    <row r="46078" spans="26:26" x14ac:dyDescent="0.25">
      <c r="Z46078">
        <v>400000</v>
      </c>
    </row>
    <row r="46079" spans="26:26" x14ac:dyDescent="0.25">
      <c r="Z46079">
        <v>400000</v>
      </c>
    </row>
    <row r="46080" spans="26:26" x14ac:dyDescent="0.25">
      <c r="Z46080">
        <v>400000</v>
      </c>
    </row>
    <row r="46081" spans="26:26" x14ac:dyDescent="0.25">
      <c r="Z46081">
        <v>400000</v>
      </c>
    </row>
    <row r="46082" spans="26:26" x14ac:dyDescent="0.25">
      <c r="Z46082">
        <v>400000</v>
      </c>
    </row>
    <row r="46083" spans="26:26" x14ac:dyDescent="0.25">
      <c r="Z46083">
        <v>400000</v>
      </c>
    </row>
    <row r="46084" spans="26:26" x14ac:dyDescent="0.25">
      <c r="Z46084">
        <v>400000</v>
      </c>
    </row>
    <row r="46085" spans="26:26" x14ac:dyDescent="0.25">
      <c r="Z46085">
        <v>400000</v>
      </c>
    </row>
    <row r="46086" spans="26:26" x14ac:dyDescent="0.25">
      <c r="Z46086">
        <v>400000</v>
      </c>
    </row>
    <row r="46087" spans="26:26" x14ac:dyDescent="0.25">
      <c r="Z46087">
        <v>400000</v>
      </c>
    </row>
    <row r="46088" spans="26:26" x14ac:dyDescent="0.25">
      <c r="Z46088">
        <v>400000</v>
      </c>
    </row>
    <row r="46089" spans="26:26" x14ac:dyDescent="0.25">
      <c r="Z46089">
        <v>400000</v>
      </c>
    </row>
    <row r="46090" spans="26:26" x14ac:dyDescent="0.25">
      <c r="Z46090">
        <v>400000</v>
      </c>
    </row>
    <row r="46091" spans="26:26" x14ac:dyDescent="0.25">
      <c r="Z46091">
        <v>400000</v>
      </c>
    </row>
    <row r="46092" spans="26:26" x14ac:dyDescent="0.25">
      <c r="Z46092">
        <v>400000</v>
      </c>
    </row>
    <row r="46093" spans="26:26" x14ac:dyDescent="0.25">
      <c r="Z46093">
        <v>400000</v>
      </c>
    </row>
    <row r="46094" spans="26:26" x14ac:dyDescent="0.25">
      <c r="Z46094">
        <v>400000</v>
      </c>
    </row>
    <row r="46095" spans="26:26" x14ac:dyDescent="0.25">
      <c r="Z46095">
        <v>400000</v>
      </c>
    </row>
    <row r="46096" spans="26:26" x14ac:dyDescent="0.25">
      <c r="Z46096">
        <v>400000</v>
      </c>
    </row>
    <row r="46097" spans="26:26" x14ac:dyDescent="0.25">
      <c r="Z46097">
        <v>400000</v>
      </c>
    </row>
    <row r="46098" spans="26:26" x14ac:dyDescent="0.25">
      <c r="Z46098">
        <v>400000</v>
      </c>
    </row>
    <row r="46099" spans="26:26" x14ac:dyDescent="0.25">
      <c r="Z46099">
        <v>400000</v>
      </c>
    </row>
    <row r="46100" spans="26:26" x14ac:dyDescent="0.25">
      <c r="Z46100">
        <v>400000</v>
      </c>
    </row>
    <row r="46101" spans="26:26" x14ac:dyDescent="0.25">
      <c r="Z46101">
        <v>400000</v>
      </c>
    </row>
    <row r="46102" spans="26:26" x14ac:dyDescent="0.25">
      <c r="Z46102">
        <v>400000</v>
      </c>
    </row>
    <row r="46103" spans="26:26" x14ac:dyDescent="0.25">
      <c r="Z46103">
        <v>400000</v>
      </c>
    </row>
    <row r="46104" spans="26:26" x14ac:dyDescent="0.25">
      <c r="Z46104">
        <v>400000</v>
      </c>
    </row>
    <row r="46105" spans="26:26" x14ac:dyDescent="0.25">
      <c r="Z46105">
        <v>400000</v>
      </c>
    </row>
    <row r="46106" spans="26:26" x14ac:dyDescent="0.25">
      <c r="Z46106">
        <v>400000</v>
      </c>
    </row>
    <row r="46107" spans="26:26" x14ac:dyDescent="0.25">
      <c r="Z46107">
        <v>400000</v>
      </c>
    </row>
    <row r="46108" spans="26:26" x14ac:dyDescent="0.25">
      <c r="Z46108">
        <v>400000</v>
      </c>
    </row>
    <row r="46109" spans="26:26" x14ac:dyDescent="0.25">
      <c r="Z46109">
        <v>400000</v>
      </c>
    </row>
    <row r="46110" spans="26:26" x14ac:dyDescent="0.25">
      <c r="Z46110">
        <v>400000</v>
      </c>
    </row>
    <row r="46111" spans="26:26" x14ac:dyDescent="0.25">
      <c r="Z46111">
        <v>400000</v>
      </c>
    </row>
    <row r="46112" spans="26:26" x14ac:dyDescent="0.25">
      <c r="Z46112">
        <v>400000</v>
      </c>
    </row>
    <row r="46113" spans="26:26" x14ac:dyDescent="0.25">
      <c r="Z46113">
        <v>400000</v>
      </c>
    </row>
    <row r="46114" spans="26:26" x14ac:dyDescent="0.25">
      <c r="Z46114">
        <v>400000</v>
      </c>
    </row>
    <row r="46115" spans="26:26" x14ac:dyDescent="0.25">
      <c r="Z46115">
        <v>400000</v>
      </c>
    </row>
    <row r="46116" spans="26:26" x14ac:dyDescent="0.25">
      <c r="Z46116">
        <v>400000</v>
      </c>
    </row>
    <row r="46117" spans="26:26" x14ac:dyDescent="0.25">
      <c r="Z46117">
        <v>400000</v>
      </c>
    </row>
    <row r="46118" spans="26:26" x14ac:dyDescent="0.25">
      <c r="Z46118">
        <v>400000</v>
      </c>
    </row>
    <row r="46119" spans="26:26" x14ac:dyDescent="0.25">
      <c r="Z46119">
        <v>400000</v>
      </c>
    </row>
    <row r="46120" spans="26:26" x14ac:dyDescent="0.25">
      <c r="Z46120">
        <v>400000</v>
      </c>
    </row>
    <row r="46121" spans="26:26" x14ac:dyDescent="0.25">
      <c r="Z46121">
        <v>400000</v>
      </c>
    </row>
    <row r="46122" spans="26:26" x14ac:dyDescent="0.25">
      <c r="Z46122">
        <v>400000</v>
      </c>
    </row>
    <row r="46123" spans="26:26" x14ac:dyDescent="0.25">
      <c r="Z46123">
        <v>400000</v>
      </c>
    </row>
    <row r="46124" spans="26:26" x14ac:dyDescent="0.25">
      <c r="Z46124">
        <v>400000</v>
      </c>
    </row>
    <row r="46125" spans="26:26" x14ac:dyDescent="0.25">
      <c r="Z46125">
        <v>400000</v>
      </c>
    </row>
    <row r="46126" spans="26:26" x14ac:dyDescent="0.25">
      <c r="Z46126">
        <v>400000</v>
      </c>
    </row>
    <row r="46127" spans="26:26" x14ac:dyDescent="0.25">
      <c r="Z46127">
        <v>400000</v>
      </c>
    </row>
    <row r="46128" spans="26:26" x14ac:dyDescent="0.25">
      <c r="Z46128">
        <v>400000</v>
      </c>
    </row>
    <row r="46129" spans="26:26" x14ac:dyDescent="0.25">
      <c r="Z46129">
        <v>400000</v>
      </c>
    </row>
    <row r="46130" spans="26:26" x14ac:dyDescent="0.25">
      <c r="Z46130">
        <v>400000</v>
      </c>
    </row>
    <row r="46131" spans="26:26" x14ac:dyDescent="0.25">
      <c r="Z46131">
        <v>400000</v>
      </c>
    </row>
    <row r="46132" spans="26:26" x14ac:dyDescent="0.25">
      <c r="Z46132">
        <v>400000</v>
      </c>
    </row>
    <row r="46133" spans="26:26" x14ac:dyDescent="0.25">
      <c r="Z46133">
        <v>400000</v>
      </c>
    </row>
    <row r="46134" spans="26:26" x14ac:dyDescent="0.25">
      <c r="Z46134">
        <v>400000</v>
      </c>
    </row>
    <row r="46135" spans="26:26" x14ac:dyDescent="0.25">
      <c r="Z46135">
        <v>400000</v>
      </c>
    </row>
    <row r="46136" spans="26:26" x14ac:dyDescent="0.25">
      <c r="Z46136">
        <v>400000</v>
      </c>
    </row>
    <row r="46137" spans="26:26" x14ac:dyDescent="0.25">
      <c r="Z46137">
        <v>400000</v>
      </c>
    </row>
    <row r="46138" spans="26:26" x14ac:dyDescent="0.25">
      <c r="Z46138">
        <v>400000</v>
      </c>
    </row>
    <row r="46139" spans="26:26" x14ac:dyDescent="0.25">
      <c r="Z46139">
        <v>400000</v>
      </c>
    </row>
    <row r="46140" spans="26:26" x14ac:dyDescent="0.25">
      <c r="Z46140">
        <v>400000</v>
      </c>
    </row>
    <row r="46141" spans="26:26" x14ac:dyDescent="0.25">
      <c r="Z46141">
        <v>400000</v>
      </c>
    </row>
    <row r="46142" spans="26:26" x14ac:dyDescent="0.25">
      <c r="Z46142">
        <v>400000</v>
      </c>
    </row>
    <row r="46143" spans="26:26" x14ac:dyDescent="0.25">
      <c r="Z46143">
        <v>400000</v>
      </c>
    </row>
    <row r="46144" spans="26:26" x14ac:dyDescent="0.25">
      <c r="Z46144">
        <v>400000</v>
      </c>
    </row>
    <row r="46145" spans="26:26" x14ac:dyDescent="0.25">
      <c r="Z46145">
        <v>400000</v>
      </c>
    </row>
    <row r="46146" spans="26:26" x14ac:dyDescent="0.25">
      <c r="Z46146">
        <v>400000</v>
      </c>
    </row>
    <row r="46147" spans="26:26" x14ac:dyDescent="0.25">
      <c r="Z46147">
        <v>400000</v>
      </c>
    </row>
    <row r="46148" spans="26:26" x14ac:dyDescent="0.25">
      <c r="Z46148">
        <v>400000</v>
      </c>
    </row>
    <row r="46149" spans="26:26" x14ac:dyDescent="0.25">
      <c r="Z46149">
        <v>400000</v>
      </c>
    </row>
    <row r="46150" spans="26:26" x14ac:dyDescent="0.25">
      <c r="Z46150">
        <v>400000</v>
      </c>
    </row>
    <row r="46151" spans="26:26" x14ac:dyDescent="0.25">
      <c r="Z46151">
        <v>400000</v>
      </c>
    </row>
    <row r="46152" spans="26:26" x14ac:dyDescent="0.25">
      <c r="Z46152">
        <v>400000</v>
      </c>
    </row>
    <row r="46153" spans="26:26" x14ac:dyDescent="0.25">
      <c r="Z46153">
        <v>400000</v>
      </c>
    </row>
    <row r="46154" spans="26:26" x14ac:dyDescent="0.25">
      <c r="Z46154">
        <v>400000</v>
      </c>
    </row>
    <row r="46155" spans="26:26" x14ac:dyDescent="0.25">
      <c r="Z46155">
        <v>400000</v>
      </c>
    </row>
    <row r="46156" spans="26:26" x14ac:dyDescent="0.25">
      <c r="Z46156">
        <v>400000</v>
      </c>
    </row>
    <row r="46157" spans="26:26" x14ac:dyDescent="0.25">
      <c r="Z46157">
        <v>400000</v>
      </c>
    </row>
    <row r="46158" spans="26:26" x14ac:dyDescent="0.25">
      <c r="Z46158">
        <v>400000</v>
      </c>
    </row>
    <row r="46159" spans="26:26" x14ac:dyDescent="0.25">
      <c r="Z46159">
        <v>400000</v>
      </c>
    </row>
    <row r="46160" spans="26:26" x14ac:dyDescent="0.25">
      <c r="Z46160">
        <v>400000</v>
      </c>
    </row>
    <row r="46161" spans="26:26" x14ac:dyDescent="0.25">
      <c r="Z46161">
        <v>400000</v>
      </c>
    </row>
    <row r="46162" spans="26:26" x14ac:dyDescent="0.25">
      <c r="Z46162">
        <v>400000</v>
      </c>
    </row>
    <row r="46163" spans="26:26" x14ac:dyDescent="0.25">
      <c r="Z46163">
        <v>400000</v>
      </c>
    </row>
    <row r="46164" spans="26:26" x14ac:dyDescent="0.25">
      <c r="Z46164">
        <v>400000</v>
      </c>
    </row>
    <row r="46165" spans="26:26" x14ac:dyDescent="0.25">
      <c r="Z46165">
        <v>400000</v>
      </c>
    </row>
    <row r="46166" spans="26:26" x14ac:dyDescent="0.25">
      <c r="Z46166">
        <v>400000</v>
      </c>
    </row>
    <row r="46167" spans="26:26" x14ac:dyDescent="0.25">
      <c r="Z46167">
        <v>400000</v>
      </c>
    </row>
    <row r="46168" spans="26:26" x14ac:dyDescent="0.25">
      <c r="Z46168">
        <v>400000</v>
      </c>
    </row>
    <row r="46169" spans="26:26" x14ac:dyDescent="0.25">
      <c r="Z46169">
        <v>400000</v>
      </c>
    </row>
    <row r="46170" spans="26:26" x14ac:dyDescent="0.25">
      <c r="Z46170">
        <v>400000</v>
      </c>
    </row>
    <row r="46171" spans="26:26" x14ac:dyDescent="0.25">
      <c r="Z46171">
        <v>400000</v>
      </c>
    </row>
    <row r="46172" spans="26:26" x14ac:dyDescent="0.25">
      <c r="Z46172">
        <v>400000</v>
      </c>
    </row>
    <row r="46173" spans="26:26" x14ac:dyDescent="0.25">
      <c r="Z46173">
        <v>400000</v>
      </c>
    </row>
    <row r="46174" spans="26:26" x14ac:dyDescent="0.25">
      <c r="Z46174">
        <v>400000</v>
      </c>
    </row>
    <row r="46175" spans="26:26" x14ac:dyDescent="0.25">
      <c r="Z46175">
        <v>400000</v>
      </c>
    </row>
    <row r="46176" spans="26:26" x14ac:dyDescent="0.25">
      <c r="Z46176">
        <v>400000</v>
      </c>
    </row>
    <row r="46177" spans="26:26" x14ac:dyDescent="0.25">
      <c r="Z46177">
        <v>400000</v>
      </c>
    </row>
    <row r="46178" spans="26:26" x14ac:dyDescent="0.25">
      <c r="Z46178">
        <v>400000</v>
      </c>
    </row>
    <row r="46179" spans="26:26" x14ac:dyDescent="0.25">
      <c r="Z46179">
        <v>400000</v>
      </c>
    </row>
    <row r="46180" spans="26:26" x14ac:dyDescent="0.25">
      <c r="Z46180">
        <v>400000</v>
      </c>
    </row>
    <row r="46181" spans="26:26" x14ac:dyDescent="0.25">
      <c r="Z46181">
        <v>400000</v>
      </c>
    </row>
    <row r="46182" spans="26:26" x14ac:dyDescent="0.25">
      <c r="Z46182">
        <v>400000</v>
      </c>
    </row>
    <row r="46183" spans="26:26" x14ac:dyDescent="0.25">
      <c r="Z46183">
        <v>400000</v>
      </c>
    </row>
    <row r="46184" spans="26:26" x14ac:dyDescent="0.25">
      <c r="Z46184">
        <v>400000</v>
      </c>
    </row>
    <row r="46185" spans="26:26" x14ac:dyDescent="0.25">
      <c r="Z46185">
        <v>400000</v>
      </c>
    </row>
    <row r="46186" spans="26:26" x14ac:dyDescent="0.25">
      <c r="Z46186">
        <v>400000</v>
      </c>
    </row>
    <row r="46187" spans="26:26" x14ac:dyDescent="0.25">
      <c r="Z46187">
        <v>400000</v>
      </c>
    </row>
    <row r="46188" spans="26:26" x14ac:dyDescent="0.25">
      <c r="Z46188">
        <v>400000</v>
      </c>
    </row>
    <row r="46189" spans="26:26" x14ac:dyDescent="0.25">
      <c r="Z46189">
        <v>400000</v>
      </c>
    </row>
    <row r="46190" spans="26:26" x14ac:dyDescent="0.25">
      <c r="Z46190">
        <v>400000</v>
      </c>
    </row>
    <row r="46191" spans="26:26" x14ac:dyDescent="0.25">
      <c r="Z46191">
        <v>400000</v>
      </c>
    </row>
    <row r="46192" spans="26:26" x14ac:dyDescent="0.25">
      <c r="Z46192">
        <v>400000</v>
      </c>
    </row>
    <row r="46193" spans="26:26" x14ac:dyDescent="0.25">
      <c r="Z46193">
        <v>400000</v>
      </c>
    </row>
    <row r="46194" spans="26:26" x14ac:dyDescent="0.25">
      <c r="Z46194">
        <v>400000</v>
      </c>
    </row>
    <row r="46195" spans="26:26" x14ac:dyDescent="0.25">
      <c r="Z46195">
        <v>400000</v>
      </c>
    </row>
    <row r="46196" spans="26:26" x14ac:dyDescent="0.25">
      <c r="Z46196">
        <v>400000</v>
      </c>
    </row>
    <row r="46197" spans="26:26" x14ac:dyDescent="0.25">
      <c r="Z46197">
        <v>400000</v>
      </c>
    </row>
    <row r="46198" spans="26:26" x14ac:dyDescent="0.25">
      <c r="Z46198">
        <v>400000</v>
      </c>
    </row>
    <row r="46199" spans="26:26" x14ac:dyDescent="0.25">
      <c r="Z46199">
        <v>400000</v>
      </c>
    </row>
    <row r="46200" spans="26:26" x14ac:dyDescent="0.25">
      <c r="Z46200">
        <v>400000</v>
      </c>
    </row>
    <row r="46201" spans="26:26" x14ac:dyDescent="0.25">
      <c r="Z46201">
        <v>400000</v>
      </c>
    </row>
    <row r="46202" spans="26:26" x14ac:dyDescent="0.25">
      <c r="Z46202">
        <v>400000</v>
      </c>
    </row>
    <row r="46203" spans="26:26" x14ac:dyDescent="0.25">
      <c r="Z46203">
        <v>400000</v>
      </c>
    </row>
    <row r="46204" spans="26:26" x14ac:dyDescent="0.25">
      <c r="Z46204">
        <v>400000</v>
      </c>
    </row>
    <row r="46205" spans="26:26" x14ac:dyDescent="0.25">
      <c r="Z46205">
        <v>400000</v>
      </c>
    </row>
    <row r="46206" spans="26:26" x14ac:dyDescent="0.25">
      <c r="Z46206">
        <v>400000</v>
      </c>
    </row>
    <row r="46207" spans="26:26" x14ac:dyDescent="0.25">
      <c r="Z46207">
        <v>400000</v>
      </c>
    </row>
    <row r="46208" spans="26:26" x14ac:dyDescent="0.25">
      <c r="Z46208">
        <v>400000</v>
      </c>
    </row>
    <row r="46209" spans="26:26" x14ac:dyDescent="0.25">
      <c r="Z46209">
        <v>400000</v>
      </c>
    </row>
    <row r="46210" spans="26:26" x14ac:dyDescent="0.25">
      <c r="Z46210">
        <v>400000</v>
      </c>
    </row>
    <row r="46211" spans="26:26" x14ac:dyDescent="0.25">
      <c r="Z46211">
        <v>400000</v>
      </c>
    </row>
    <row r="46212" spans="26:26" x14ac:dyDescent="0.25">
      <c r="Z46212">
        <v>400000</v>
      </c>
    </row>
    <row r="46213" spans="26:26" x14ac:dyDescent="0.25">
      <c r="Z46213">
        <v>400000</v>
      </c>
    </row>
    <row r="46214" spans="26:26" x14ac:dyDescent="0.25">
      <c r="Z46214">
        <v>400000</v>
      </c>
    </row>
    <row r="46215" spans="26:26" x14ac:dyDescent="0.25">
      <c r="Z46215">
        <v>400000</v>
      </c>
    </row>
    <row r="46216" spans="26:26" x14ac:dyDescent="0.25">
      <c r="Z46216">
        <v>400000</v>
      </c>
    </row>
    <row r="46217" spans="26:26" x14ac:dyDescent="0.25">
      <c r="Z46217">
        <v>400000</v>
      </c>
    </row>
    <row r="46218" spans="26:26" x14ac:dyDescent="0.25">
      <c r="Z46218">
        <v>400000</v>
      </c>
    </row>
    <row r="46219" spans="26:26" x14ac:dyDescent="0.25">
      <c r="Z46219">
        <v>400000</v>
      </c>
    </row>
    <row r="46220" spans="26:26" x14ac:dyDescent="0.25">
      <c r="Z46220">
        <v>400000</v>
      </c>
    </row>
    <row r="46221" spans="26:26" x14ac:dyDescent="0.25">
      <c r="Z46221">
        <v>400000</v>
      </c>
    </row>
    <row r="46222" spans="26:26" x14ac:dyDescent="0.25">
      <c r="Z46222">
        <v>400000</v>
      </c>
    </row>
    <row r="46223" spans="26:26" x14ac:dyDescent="0.25">
      <c r="Z46223">
        <v>400000</v>
      </c>
    </row>
    <row r="46224" spans="26:26" x14ac:dyDescent="0.25">
      <c r="Z46224">
        <v>400000</v>
      </c>
    </row>
    <row r="46225" spans="26:26" x14ac:dyDescent="0.25">
      <c r="Z46225">
        <v>400000</v>
      </c>
    </row>
    <row r="46226" spans="26:26" x14ac:dyDescent="0.25">
      <c r="Z46226">
        <v>400000</v>
      </c>
    </row>
    <row r="46227" spans="26:26" x14ac:dyDescent="0.25">
      <c r="Z46227">
        <v>400000</v>
      </c>
    </row>
    <row r="46228" spans="26:26" x14ac:dyDescent="0.25">
      <c r="Z46228">
        <v>400000</v>
      </c>
    </row>
    <row r="46229" spans="26:26" x14ac:dyDescent="0.25">
      <c r="Z46229">
        <v>400000</v>
      </c>
    </row>
    <row r="46230" spans="26:26" x14ac:dyDescent="0.25">
      <c r="Z46230">
        <v>400000</v>
      </c>
    </row>
    <row r="46231" spans="26:26" x14ac:dyDescent="0.25">
      <c r="Z46231">
        <v>400000</v>
      </c>
    </row>
    <row r="46232" spans="26:26" x14ac:dyDescent="0.25">
      <c r="Z46232">
        <v>400000</v>
      </c>
    </row>
    <row r="46233" spans="26:26" x14ac:dyDescent="0.25">
      <c r="Z46233">
        <v>400000</v>
      </c>
    </row>
    <row r="46234" spans="26:26" x14ac:dyDescent="0.25">
      <c r="Z46234">
        <v>400000</v>
      </c>
    </row>
    <row r="46235" spans="26:26" x14ac:dyDescent="0.25">
      <c r="Z46235">
        <v>400000</v>
      </c>
    </row>
    <row r="46236" spans="26:26" x14ac:dyDescent="0.25">
      <c r="Z46236">
        <v>400000</v>
      </c>
    </row>
    <row r="46237" spans="26:26" x14ac:dyDescent="0.25">
      <c r="Z46237">
        <v>400000</v>
      </c>
    </row>
    <row r="46238" spans="26:26" x14ac:dyDescent="0.25">
      <c r="Z46238">
        <v>400000</v>
      </c>
    </row>
    <row r="46239" spans="26:26" x14ac:dyDescent="0.25">
      <c r="Z46239">
        <v>400000</v>
      </c>
    </row>
    <row r="46240" spans="26:26" x14ac:dyDescent="0.25">
      <c r="Z46240">
        <v>400000</v>
      </c>
    </row>
    <row r="46241" spans="26:26" x14ac:dyDescent="0.25">
      <c r="Z46241">
        <v>400000</v>
      </c>
    </row>
    <row r="46242" spans="26:26" x14ac:dyDescent="0.25">
      <c r="Z46242">
        <v>400000</v>
      </c>
    </row>
    <row r="46243" spans="26:26" x14ac:dyDescent="0.25">
      <c r="Z46243">
        <v>400000</v>
      </c>
    </row>
    <row r="46244" spans="26:26" x14ac:dyDescent="0.25">
      <c r="Z46244">
        <v>400000</v>
      </c>
    </row>
    <row r="46245" spans="26:26" x14ac:dyDescent="0.25">
      <c r="Z46245">
        <v>400000</v>
      </c>
    </row>
    <row r="46246" spans="26:26" x14ac:dyDescent="0.25">
      <c r="Z46246">
        <v>400000</v>
      </c>
    </row>
    <row r="46247" spans="26:26" x14ac:dyDescent="0.25">
      <c r="Z46247">
        <v>400000</v>
      </c>
    </row>
    <row r="46248" spans="26:26" x14ac:dyDescent="0.25">
      <c r="Z46248">
        <v>400000</v>
      </c>
    </row>
    <row r="46249" spans="26:26" x14ac:dyDescent="0.25">
      <c r="Z46249">
        <v>400000</v>
      </c>
    </row>
    <row r="46250" spans="26:26" x14ac:dyDescent="0.25">
      <c r="Z46250">
        <v>400000</v>
      </c>
    </row>
    <row r="46251" spans="26:26" x14ac:dyDescent="0.25">
      <c r="Z46251">
        <v>400000</v>
      </c>
    </row>
    <row r="46252" spans="26:26" x14ac:dyDescent="0.25">
      <c r="Z46252">
        <v>400000</v>
      </c>
    </row>
    <row r="46253" spans="26:26" x14ac:dyDescent="0.25">
      <c r="Z46253">
        <v>400000</v>
      </c>
    </row>
    <row r="46254" spans="26:26" x14ac:dyDescent="0.25">
      <c r="Z46254">
        <v>400000</v>
      </c>
    </row>
    <row r="46255" spans="26:26" x14ac:dyDescent="0.25">
      <c r="Z46255">
        <v>400000</v>
      </c>
    </row>
    <row r="46256" spans="26:26" x14ac:dyDescent="0.25">
      <c r="Z46256">
        <v>400000</v>
      </c>
    </row>
    <row r="46257" spans="26:26" x14ac:dyDescent="0.25">
      <c r="Z46257">
        <v>400000</v>
      </c>
    </row>
    <row r="46258" spans="26:26" x14ac:dyDescent="0.25">
      <c r="Z46258">
        <v>400000</v>
      </c>
    </row>
    <row r="46259" spans="26:26" x14ac:dyDescent="0.25">
      <c r="Z46259">
        <v>400000</v>
      </c>
    </row>
    <row r="46260" spans="26:26" x14ac:dyDescent="0.25">
      <c r="Z46260">
        <v>400000</v>
      </c>
    </row>
    <row r="46261" spans="26:26" x14ac:dyDescent="0.25">
      <c r="Z46261">
        <v>400000</v>
      </c>
    </row>
    <row r="46262" spans="26:26" x14ac:dyDescent="0.25">
      <c r="Z46262">
        <v>400000</v>
      </c>
    </row>
    <row r="46263" spans="26:26" x14ac:dyDescent="0.25">
      <c r="Z46263">
        <v>400000</v>
      </c>
    </row>
    <row r="46264" spans="26:26" x14ac:dyDescent="0.25">
      <c r="Z46264">
        <v>400000</v>
      </c>
    </row>
    <row r="46265" spans="26:26" x14ac:dyDescent="0.25">
      <c r="Z46265">
        <v>400000</v>
      </c>
    </row>
    <row r="46266" spans="26:26" x14ac:dyDescent="0.25">
      <c r="Z46266">
        <v>400000</v>
      </c>
    </row>
    <row r="46267" spans="26:26" x14ac:dyDescent="0.25">
      <c r="Z46267">
        <v>400000</v>
      </c>
    </row>
    <row r="46268" spans="26:26" x14ac:dyDescent="0.25">
      <c r="Z46268">
        <v>400000</v>
      </c>
    </row>
    <row r="46269" spans="26:26" x14ac:dyDescent="0.25">
      <c r="Z46269">
        <v>400000</v>
      </c>
    </row>
    <row r="46270" spans="26:26" x14ac:dyDescent="0.25">
      <c r="Z46270">
        <v>400000</v>
      </c>
    </row>
    <row r="46271" spans="26:26" x14ac:dyDescent="0.25">
      <c r="Z46271">
        <v>400000</v>
      </c>
    </row>
    <row r="46272" spans="26:26" x14ac:dyDescent="0.25">
      <c r="Z46272">
        <v>400000</v>
      </c>
    </row>
    <row r="46273" spans="26:26" x14ac:dyDescent="0.25">
      <c r="Z46273">
        <v>400000</v>
      </c>
    </row>
    <row r="46274" spans="26:26" x14ac:dyDescent="0.25">
      <c r="Z46274">
        <v>400000</v>
      </c>
    </row>
    <row r="46275" spans="26:26" x14ac:dyDescent="0.25">
      <c r="Z46275">
        <v>400000</v>
      </c>
    </row>
    <row r="46276" spans="26:26" x14ac:dyDescent="0.25">
      <c r="Z46276">
        <v>400000</v>
      </c>
    </row>
    <row r="46277" spans="26:26" x14ac:dyDescent="0.25">
      <c r="Z46277">
        <v>400000</v>
      </c>
    </row>
    <row r="46278" spans="26:26" x14ac:dyDescent="0.25">
      <c r="Z46278">
        <v>400000</v>
      </c>
    </row>
    <row r="46279" spans="26:26" x14ac:dyDescent="0.25">
      <c r="Z46279">
        <v>400000</v>
      </c>
    </row>
    <row r="46280" spans="26:26" x14ac:dyDescent="0.25">
      <c r="Z46280">
        <v>400000</v>
      </c>
    </row>
    <row r="46281" spans="26:26" x14ac:dyDescent="0.25">
      <c r="Z46281">
        <v>400000</v>
      </c>
    </row>
    <row r="46282" spans="26:26" x14ac:dyDescent="0.25">
      <c r="Z46282">
        <v>400000</v>
      </c>
    </row>
    <row r="46283" spans="26:26" x14ac:dyDescent="0.25">
      <c r="Z46283">
        <v>400000</v>
      </c>
    </row>
    <row r="46284" spans="26:26" x14ac:dyDescent="0.25">
      <c r="Z46284">
        <v>400000</v>
      </c>
    </row>
    <row r="46285" spans="26:26" x14ac:dyDescent="0.25">
      <c r="Z46285">
        <v>400000</v>
      </c>
    </row>
    <row r="46286" spans="26:26" x14ac:dyDescent="0.25">
      <c r="Z46286">
        <v>400000</v>
      </c>
    </row>
    <row r="46287" spans="26:26" x14ac:dyDescent="0.25">
      <c r="Z46287">
        <v>400000</v>
      </c>
    </row>
    <row r="46288" spans="26:26" x14ac:dyDescent="0.25">
      <c r="Z46288">
        <v>400000</v>
      </c>
    </row>
    <row r="46289" spans="26:26" x14ac:dyDescent="0.25">
      <c r="Z46289">
        <v>400000</v>
      </c>
    </row>
    <row r="46290" spans="26:26" x14ac:dyDescent="0.25">
      <c r="Z46290">
        <v>400000</v>
      </c>
    </row>
    <row r="46291" spans="26:26" x14ac:dyDescent="0.25">
      <c r="Z46291">
        <v>400000</v>
      </c>
    </row>
    <row r="46292" spans="26:26" x14ac:dyDescent="0.25">
      <c r="Z46292">
        <v>400000</v>
      </c>
    </row>
    <row r="46293" spans="26:26" x14ac:dyDescent="0.25">
      <c r="Z46293">
        <v>400000</v>
      </c>
    </row>
    <row r="46294" spans="26:26" x14ac:dyDescent="0.25">
      <c r="Z46294">
        <v>400000</v>
      </c>
    </row>
    <row r="46295" spans="26:26" x14ac:dyDescent="0.25">
      <c r="Z46295">
        <v>400000</v>
      </c>
    </row>
    <row r="46296" spans="26:26" x14ac:dyDescent="0.25">
      <c r="Z46296">
        <v>400000</v>
      </c>
    </row>
    <row r="46297" spans="26:26" x14ac:dyDescent="0.25">
      <c r="Z46297">
        <v>400000</v>
      </c>
    </row>
    <row r="46298" spans="26:26" x14ac:dyDescent="0.25">
      <c r="Z46298">
        <v>400000</v>
      </c>
    </row>
    <row r="46299" spans="26:26" x14ac:dyDescent="0.25">
      <c r="Z46299">
        <v>400000</v>
      </c>
    </row>
    <row r="46300" spans="26:26" x14ac:dyDescent="0.25">
      <c r="Z46300">
        <v>400000</v>
      </c>
    </row>
    <row r="46301" spans="26:26" x14ac:dyDescent="0.25">
      <c r="Z46301">
        <v>400000</v>
      </c>
    </row>
    <row r="46302" spans="26:26" x14ac:dyDescent="0.25">
      <c r="Z46302">
        <v>400000</v>
      </c>
    </row>
    <row r="46303" spans="26:26" x14ac:dyDescent="0.25">
      <c r="Z46303">
        <v>400000</v>
      </c>
    </row>
    <row r="46304" spans="26:26" x14ac:dyDescent="0.25">
      <c r="Z46304">
        <v>400000</v>
      </c>
    </row>
    <row r="46305" spans="26:26" x14ac:dyDescent="0.25">
      <c r="Z46305">
        <v>400000</v>
      </c>
    </row>
    <row r="46306" spans="26:26" x14ac:dyDescent="0.25">
      <c r="Z46306">
        <v>400000</v>
      </c>
    </row>
    <row r="46307" spans="26:26" x14ac:dyDescent="0.25">
      <c r="Z46307">
        <v>400000</v>
      </c>
    </row>
    <row r="46308" spans="26:26" x14ac:dyDescent="0.25">
      <c r="Z46308">
        <v>400000</v>
      </c>
    </row>
    <row r="46309" spans="26:26" x14ac:dyDescent="0.25">
      <c r="Z46309">
        <v>400000</v>
      </c>
    </row>
    <row r="46310" spans="26:26" x14ac:dyDescent="0.25">
      <c r="Z46310">
        <v>400000</v>
      </c>
    </row>
    <row r="46311" spans="26:26" x14ac:dyDescent="0.25">
      <c r="Z46311">
        <v>400000</v>
      </c>
    </row>
    <row r="46312" spans="26:26" x14ac:dyDescent="0.25">
      <c r="Z46312">
        <v>400000</v>
      </c>
    </row>
    <row r="46313" spans="26:26" x14ac:dyDescent="0.25">
      <c r="Z46313">
        <v>400000</v>
      </c>
    </row>
    <row r="46314" spans="26:26" x14ac:dyDescent="0.25">
      <c r="Z46314">
        <v>400000</v>
      </c>
    </row>
    <row r="46315" spans="26:26" x14ac:dyDescent="0.25">
      <c r="Z46315">
        <v>400000</v>
      </c>
    </row>
    <row r="46316" spans="26:26" x14ac:dyDescent="0.25">
      <c r="Z46316">
        <v>400000</v>
      </c>
    </row>
    <row r="46317" spans="26:26" x14ac:dyDescent="0.25">
      <c r="Z46317">
        <v>400000</v>
      </c>
    </row>
    <row r="46318" spans="26:26" x14ac:dyDescent="0.25">
      <c r="Z46318">
        <v>400000</v>
      </c>
    </row>
    <row r="46319" spans="26:26" x14ac:dyDescent="0.25">
      <c r="Z46319">
        <v>400000</v>
      </c>
    </row>
    <row r="46320" spans="26:26" x14ac:dyDescent="0.25">
      <c r="Z46320">
        <v>400000</v>
      </c>
    </row>
    <row r="46321" spans="26:26" x14ac:dyDescent="0.25">
      <c r="Z46321">
        <v>400000</v>
      </c>
    </row>
    <row r="46322" spans="26:26" x14ac:dyDescent="0.25">
      <c r="Z46322">
        <v>400000</v>
      </c>
    </row>
    <row r="46323" spans="26:26" x14ac:dyDescent="0.25">
      <c r="Z46323">
        <v>400000</v>
      </c>
    </row>
    <row r="46324" spans="26:26" x14ac:dyDescent="0.25">
      <c r="Z46324">
        <v>400000</v>
      </c>
    </row>
    <row r="46325" spans="26:26" x14ac:dyDescent="0.25">
      <c r="Z46325">
        <v>400000</v>
      </c>
    </row>
    <row r="46326" spans="26:26" x14ac:dyDescent="0.25">
      <c r="Z46326">
        <v>400000</v>
      </c>
    </row>
    <row r="46327" spans="26:26" x14ac:dyDescent="0.25">
      <c r="Z46327">
        <v>400000</v>
      </c>
    </row>
    <row r="46328" spans="26:26" x14ac:dyDescent="0.25">
      <c r="Z46328">
        <v>400000</v>
      </c>
    </row>
    <row r="46329" spans="26:26" x14ac:dyDescent="0.25">
      <c r="Z46329">
        <v>400000</v>
      </c>
    </row>
    <row r="46330" spans="26:26" x14ac:dyDescent="0.25">
      <c r="Z46330">
        <v>400000</v>
      </c>
    </row>
    <row r="46331" spans="26:26" x14ac:dyDescent="0.25">
      <c r="Z46331">
        <v>400000</v>
      </c>
    </row>
    <row r="46332" spans="26:26" x14ac:dyDescent="0.25">
      <c r="Z46332">
        <v>400000</v>
      </c>
    </row>
    <row r="46333" spans="26:26" x14ac:dyDescent="0.25">
      <c r="Z46333">
        <v>400000</v>
      </c>
    </row>
    <row r="46334" spans="26:26" x14ac:dyDescent="0.25">
      <c r="Z46334">
        <v>400000</v>
      </c>
    </row>
    <row r="46335" spans="26:26" x14ac:dyDescent="0.25">
      <c r="Z46335">
        <v>400000</v>
      </c>
    </row>
    <row r="46336" spans="26:26" x14ac:dyDescent="0.25">
      <c r="Z46336">
        <v>400000</v>
      </c>
    </row>
    <row r="46337" spans="26:26" x14ac:dyDescent="0.25">
      <c r="Z46337">
        <v>400000</v>
      </c>
    </row>
    <row r="46338" spans="26:26" x14ac:dyDescent="0.25">
      <c r="Z46338">
        <v>400000</v>
      </c>
    </row>
    <row r="46339" spans="26:26" x14ac:dyDescent="0.25">
      <c r="Z46339">
        <v>400000</v>
      </c>
    </row>
    <row r="46340" spans="26:26" x14ac:dyDescent="0.25">
      <c r="Z46340">
        <v>400000</v>
      </c>
    </row>
    <row r="46341" spans="26:26" x14ac:dyDescent="0.25">
      <c r="Z46341">
        <v>400000</v>
      </c>
    </row>
    <row r="46342" spans="26:26" x14ac:dyDescent="0.25">
      <c r="Z46342">
        <v>400000</v>
      </c>
    </row>
    <row r="46343" spans="26:26" x14ac:dyDescent="0.25">
      <c r="Z46343">
        <v>400000</v>
      </c>
    </row>
    <row r="46344" spans="26:26" x14ac:dyDescent="0.25">
      <c r="Z46344">
        <v>400000</v>
      </c>
    </row>
    <row r="46345" spans="26:26" x14ac:dyDescent="0.25">
      <c r="Z46345">
        <v>400000</v>
      </c>
    </row>
    <row r="46346" spans="26:26" x14ac:dyDescent="0.25">
      <c r="Z46346">
        <v>400000</v>
      </c>
    </row>
    <row r="46347" spans="26:26" x14ac:dyDescent="0.25">
      <c r="Z46347">
        <v>400000</v>
      </c>
    </row>
    <row r="46348" spans="26:26" x14ac:dyDescent="0.25">
      <c r="Z46348">
        <v>400000</v>
      </c>
    </row>
    <row r="46349" spans="26:26" x14ac:dyDescent="0.25">
      <c r="Z46349">
        <v>400000</v>
      </c>
    </row>
    <row r="46350" spans="26:26" x14ac:dyDescent="0.25">
      <c r="Z46350">
        <v>400000</v>
      </c>
    </row>
    <row r="46351" spans="26:26" x14ac:dyDescent="0.25">
      <c r="Z46351">
        <v>400000</v>
      </c>
    </row>
    <row r="46352" spans="26:26" x14ac:dyDescent="0.25">
      <c r="Z46352">
        <v>400000</v>
      </c>
    </row>
    <row r="46353" spans="26:26" x14ac:dyDescent="0.25">
      <c r="Z46353">
        <v>400000</v>
      </c>
    </row>
    <row r="46354" spans="26:26" x14ac:dyDescent="0.25">
      <c r="Z46354">
        <v>400000</v>
      </c>
    </row>
    <row r="46355" spans="26:26" x14ac:dyDescent="0.25">
      <c r="Z46355">
        <v>400000</v>
      </c>
    </row>
    <row r="46356" spans="26:26" x14ac:dyDescent="0.25">
      <c r="Z46356">
        <v>400000</v>
      </c>
    </row>
    <row r="46357" spans="26:26" x14ac:dyDescent="0.25">
      <c r="Z46357">
        <v>400000</v>
      </c>
    </row>
    <row r="46358" spans="26:26" x14ac:dyDescent="0.25">
      <c r="Z46358">
        <v>400000</v>
      </c>
    </row>
    <row r="46359" spans="26:26" x14ac:dyDescent="0.25">
      <c r="Z46359">
        <v>400000</v>
      </c>
    </row>
    <row r="46360" spans="26:26" x14ac:dyDescent="0.25">
      <c r="Z46360">
        <v>400000</v>
      </c>
    </row>
    <row r="46361" spans="26:26" x14ac:dyDescent="0.25">
      <c r="Z46361">
        <v>400000</v>
      </c>
    </row>
    <row r="46362" spans="26:26" x14ac:dyDescent="0.25">
      <c r="Z46362">
        <v>400000</v>
      </c>
    </row>
    <row r="46363" spans="26:26" x14ac:dyDescent="0.25">
      <c r="Z46363">
        <v>400000</v>
      </c>
    </row>
    <row r="46364" spans="26:26" x14ac:dyDescent="0.25">
      <c r="Z46364">
        <v>400000</v>
      </c>
    </row>
    <row r="46365" spans="26:26" x14ac:dyDescent="0.25">
      <c r="Z46365">
        <v>400000</v>
      </c>
    </row>
    <row r="46366" spans="26:26" x14ac:dyDescent="0.25">
      <c r="Z46366">
        <v>400000</v>
      </c>
    </row>
    <row r="46367" spans="26:26" x14ac:dyDescent="0.25">
      <c r="Z46367">
        <v>400000</v>
      </c>
    </row>
    <row r="46368" spans="26:26" x14ac:dyDescent="0.25">
      <c r="Z46368">
        <v>400000</v>
      </c>
    </row>
    <row r="46369" spans="26:26" x14ac:dyDescent="0.25">
      <c r="Z46369">
        <v>400000</v>
      </c>
    </row>
    <row r="46370" spans="26:26" x14ac:dyDescent="0.25">
      <c r="Z46370">
        <v>400000</v>
      </c>
    </row>
    <row r="46371" spans="26:26" x14ac:dyDescent="0.25">
      <c r="Z46371">
        <v>400000</v>
      </c>
    </row>
    <row r="46372" spans="26:26" x14ac:dyDescent="0.25">
      <c r="Z46372">
        <v>400000</v>
      </c>
    </row>
    <row r="46373" spans="26:26" x14ac:dyDescent="0.25">
      <c r="Z46373">
        <v>400000</v>
      </c>
    </row>
    <row r="46374" spans="26:26" x14ac:dyDescent="0.25">
      <c r="Z46374">
        <v>400000</v>
      </c>
    </row>
    <row r="46375" spans="26:26" x14ac:dyDescent="0.25">
      <c r="Z46375">
        <v>400000</v>
      </c>
    </row>
    <row r="46376" spans="26:26" x14ac:dyDescent="0.25">
      <c r="Z46376">
        <v>400000</v>
      </c>
    </row>
    <row r="46377" spans="26:26" x14ac:dyDescent="0.25">
      <c r="Z46377">
        <v>400000</v>
      </c>
    </row>
    <row r="46378" spans="26:26" x14ac:dyDescent="0.25">
      <c r="Z46378">
        <v>400000</v>
      </c>
    </row>
    <row r="46379" spans="26:26" x14ac:dyDescent="0.25">
      <c r="Z46379">
        <v>400000</v>
      </c>
    </row>
    <row r="46380" spans="26:26" x14ac:dyDescent="0.25">
      <c r="Z46380">
        <v>400000</v>
      </c>
    </row>
    <row r="46381" spans="26:26" x14ac:dyDescent="0.25">
      <c r="Z46381">
        <v>400000</v>
      </c>
    </row>
    <row r="46382" spans="26:26" x14ac:dyDescent="0.25">
      <c r="Z46382">
        <v>400000</v>
      </c>
    </row>
    <row r="46383" spans="26:26" x14ac:dyDescent="0.25">
      <c r="Z46383">
        <v>400000</v>
      </c>
    </row>
    <row r="46384" spans="26:26" x14ac:dyDescent="0.25">
      <c r="Z46384">
        <v>400000</v>
      </c>
    </row>
    <row r="46385" spans="26:26" x14ac:dyDescent="0.25">
      <c r="Z46385">
        <v>400000</v>
      </c>
    </row>
    <row r="46386" spans="26:26" x14ac:dyDescent="0.25">
      <c r="Z46386">
        <v>400000</v>
      </c>
    </row>
    <row r="46387" spans="26:26" x14ac:dyDescent="0.25">
      <c r="Z46387">
        <v>400000</v>
      </c>
    </row>
    <row r="46388" spans="26:26" x14ac:dyDescent="0.25">
      <c r="Z46388">
        <v>400000</v>
      </c>
    </row>
    <row r="46389" spans="26:26" x14ac:dyDescent="0.25">
      <c r="Z46389">
        <v>400000</v>
      </c>
    </row>
    <row r="46390" spans="26:26" x14ac:dyDescent="0.25">
      <c r="Z46390">
        <v>400000</v>
      </c>
    </row>
    <row r="46391" spans="26:26" x14ac:dyDescent="0.25">
      <c r="Z46391">
        <v>400000</v>
      </c>
    </row>
    <row r="46392" spans="26:26" x14ac:dyDescent="0.25">
      <c r="Z46392">
        <v>400000</v>
      </c>
    </row>
    <row r="46393" spans="26:26" x14ac:dyDescent="0.25">
      <c r="Z46393">
        <v>400000</v>
      </c>
    </row>
    <row r="46394" spans="26:26" x14ac:dyDescent="0.25">
      <c r="Z46394">
        <v>400000</v>
      </c>
    </row>
    <row r="46395" spans="26:26" x14ac:dyDescent="0.25">
      <c r="Z46395">
        <v>400000</v>
      </c>
    </row>
    <row r="46396" spans="26:26" x14ac:dyDescent="0.25">
      <c r="Z46396">
        <v>400000</v>
      </c>
    </row>
    <row r="46397" spans="26:26" x14ac:dyDescent="0.25">
      <c r="Z46397">
        <v>400000</v>
      </c>
    </row>
    <row r="46398" spans="26:26" x14ac:dyDescent="0.25">
      <c r="Z46398">
        <v>400000</v>
      </c>
    </row>
    <row r="46399" spans="26:26" x14ac:dyDescent="0.25">
      <c r="Z46399">
        <v>400000</v>
      </c>
    </row>
    <row r="46400" spans="26:26" x14ac:dyDescent="0.25">
      <c r="Z46400">
        <v>400000</v>
      </c>
    </row>
    <row r="46401" spans="26:26" x14ac:dyDescent="0.25">
      <c r="Z46401">
        <v>400000</v>
      </c>
    </row>
    <row r="46402" spans="26:26" x14ac:dyDescent="0.25">
      <c r="Z46402">
        <v>400000</v>
      </c>
    </row>
    <row r="46403" spans="26:26" x14ac:dyDescent="0.25">
      <c r="Z46403">
        <v>400000</v>
      </c>
    </row>
    <row r="46404" spans="26:26" x14ac:dyDescent="0.25">
      <c r="Z46404">
        <v>400000</v>
      </c>
    </row>
    <row r="46405" spans="26:26" x14ac:dyDescent="0.25">
      <c r="Z46405">
        <v>400000</v>
      </c>
    </row>
    <row r="46406" spans="26:26" x14ac:dyDescent="0.25">
      <c r="Z46406">
        <v>400000</v>
      </c>
    </row>
    <row r="46407" spans="26:26" x14ac:dyDescent="0.25">
      <c r="Z46407">
        <v>400000</v>
      </c>
    </row>
    <row r="46408" spans="26:26" x14ac:dyDescent="0.25">
      <c r="Z46408">
        <v>400000</v>
      </c>
    </row>
    <row r="46409" spans="26:26" x14ac:dyDescent="0.25">
      <c r="Z46409">
        <v>400000</v>
      </c>
    </row>
    <row r="46410" spans="26:26" x14ac:dyDescent="0.25">
      <c r="Z46410">
        <v>400000</v>
      </c>
    </row>
    <row r="46411" spans="26:26" x14ac:dyDescent="0.25">
      <c r="Z46411">
        <v>400000</v>
      </c>
    </row>
    <row r="46412" spans="26:26" x14ac:dyDescent="0.25">
      <c r="Z46412">
        <v>400000</v>
      </c>
    </row>
    <row r="46413" spans="26:26" x14ac:dyDescent="0.25">
      <c r="Z46413">
        <v>400000</v>
      </c>
    </row>
    <row r="46414" spans="26:26" x14ac:dyDescent="0.25">
      <c r="Z46414">
        <v>400000</v>
      </c>
    </row>
    <row r="46415" spans="26:26" x14ac:dyDescent="0.25">
      <c r="Z46415">
        <v>400000</v>
      </c>
    </row>
    <row r="46416" spans="26:26" x14ac:dyDescent="0.25">
      <c r="Z46416">
        <v>400000</v>
      </c>
    </row>
    <row r="46417" spans="26:26" x14ac:dyDescent="0.25">
      <c r="Z46417">
        <v>400000</v>
      </c>
    </row>
    <row r="46418" spans="26:26" x14ac:dyDescent="0.25">
      <c r="Z46418">
        <v>400000</v>
      </c>
    </row>
    <row r="46419" spans="26:26" x14ac:dyDescent="0.25">
      <c r="Z46419">
        <v>400000</v>
      </c>
    </row>
    <row r="46420" spans="26:26" x14ac:dyDescent="0.25">
      <c r="Z46420">
        <v>400000</v>
      </c>
    </row>
    <row r="46421" spans="26:26" x14ac:dyDescent="0.25">
      <c r="Z46421">
        <v>400000</v>
      </c>
    </row>
    <row r="46422" spans="26:26" x14ac:dyDescent="0.25">
      <c r="Z46422">
        <v>400000</v>
      </c>
    </row>
    <row r="46423" spans="26:26" x14ac:dyDescent="0.25">
      <c r="Z46423">
        <v>400000</v>
      </c>
    </row>
    <row r="46424" spans="26:26" x14ac:dyDescent="0.25">
      <c r="Z46424">
        <v>400000</v>
      </c>
    </row>
    <row r="46425" spans="26:26" x14ac:dyDescent="0.25">
      <c r="Z46425">
        <v>400000</v>
      </c>
    </row>
    <row r="46426" spans="26:26" x14ac:dyDescent="0.25">
      <c r="Z46426">
        <v>400000</v>
      </c>
    </row>
    <row r="46427" spans="26:26" x14ac:dyDescent="0.25">
      <c r="Z46427">
        <v>400000</v>
      </c>
    </row>
    <row r="46428" spans="26:26" x14ac:dyDescent="0.25">
      <c r="Z46428">
        <v>400000</v>
      </c>
    </row>
    <row r="46429" spans="26:26" x14ac:dyDescent="0.25">
      <c r="Z46429">
        <v>400000</v>
      </c>
    </row>
    <row r="46430" spans="26:26" x14ac:dyDescent="0.25">
      <c r="Z46430">
        <v>400000</v>
      </c>
    </row>
    <row r="46431" spans="26:26" x14ac:dyDescent="0.25">
      <c r="Z46431">
        <v>400000</v>
      </c>
    </row>
    <row r="46432" spans="26:26" x14ac:dyDescent="0.25">
      <c r="Z46432">
        <v>400000</v>
      </c>
    </row>
    <row r="46433" spans="26:26" x14ac:dyDescent="0.25">
      <c r="Z46433">
        <v>400000</v>
      </c>
    </row>
    <row r="46434" spans="26:26" x14ac:dyDescent="0.25">
      <c r="Z46434">
        <v>400000</v>
      </c>
    </row>
    <row r="46435" spans="26:26" x14ac:dyDescent="0.25">
      <c r="Z46435">
        <v>400000</v>
      </c>
    </row>
    <row r="46436" spans="26:26" x14ac:dyDescent="0.25">
      <c r="Z46436">
        <v>400000</v>
      </c>
    </row>
    <row r="46437" spans="26:26" x14ac:dyDescent="0.25">
      <c r="Z46437">
        <v>400000</v>
      </c>
    </row>
    <row r="46438" spans="26:26" x14ac:dyDescent="0.25">
      <c r="Z46438">
        <v>400000</v>
      </c>
    </row>
    <row r="46439" spans="26:26" x14ac:dyDescent="0.25">
      <c r="Z46439">
        <v>400000</v>
      </c>
    </row>
    <row r="46440" spans="26:26" x14ac:dyDescent="0.25">
      <c r="Z46440">
        <v>400000</v>
      </c>
    </row>
    <row r="46441" spans="26:26" x14ac:dyDescent="0.25">
      <c r="Z46441">
        <v>400000</v>
      </c>
    </row>
    <row r="46442" spans="26:26" x14ac:dyDescent="0.25">
      <c r="Z46442">
        <v>400000</v>
      </c>
    </row>
    <row r="46443" spans="26:26" x14ac:dyDescent="0.25">
      <c r="Z46443">
        <v>400000</v>
      </c>
    </row>
    <row r="46444" spans="26:26" x14ac:dyDescent="0.25">
      <c r="Z46444">
        <v>400000</v>
      </c>
    </row>
    <row r="46445" spans="26:26" x14ac:dyDescent="0.25">
      <c r="Z46445">
        <v>400000</v>
      </c>
    </row>
    <row r="46446" spans="26:26" x14ac:dyDescent="0.25">
      <c r="Z46446">
        <v>400000</v>
      </c>
    </row>
    <row r="46447" spans="26:26" x14ac:dyDescent="0.25">
      <c r="Z46447">
        <v>400000</v>
      </c>
    </row>
    <row r="46448" spans="26:26" x14ac:dyDescent="0.25">
      <c r="Z46448">
        <v>400000</v>
      </c>
    </row>
    <row r="46449" spans="26:26" x14ac:dyDescent="0.25">
      <c r="Z46449">
        <v>400000</v>
      </c>
    </row>
    <row r="46450" spans="26:26" x14ac:dyDescent="0.25">
      <c r="Z46450">
        <v>400000</v>
      </c>
    </row>
    <row r="46451" spans="26:26" x14ac:dyDescent="0.25">
      <c r="Z46451">
        <v>400000</v>
      </c>
    </row>
    <row r="46452" spans="26:26" x14ac:dyDescent="0.25">
      <c r="Z46452">
        <v>400000</v>
      </c>
    </row>
    <row r="46453" spans="26:26" x14ac:dyDescent="0.25">
      <c r="Z46453">
        <v>400000</v>
      </c>
    </row>
    <row r="46454" spans="26:26" x14ac:dyDescent="0.25">
      <c r="Z46454">
        <v>400000</v>
      </c>
    </row>
    <row r="46455" spans="26:26" x14ac:dyDescent="0.25">
      <c r="Z46455">
        <v>400000</v>
      </c>
    </row>
    <row r="46456" spans="26:26" x14ac:dyDescent="0.25">
      <c r="Z46456">
        <v>400000</v>
      </c>
    </row>
    <row r="46457" spans="26:26" x14ac:dyDescent="0.25">
      <c r="Z46457">
        <v>400000</v>
      </c>
    </row>
    <row r="46458" spans="26:26" x14ac:dyDescent="0.25">
      <c r="Z46458">
        <v>400000</v>
      </c>
    </row>
    <row r="46459" spans="26:26" x14ac:dyDescent="0.25">
      <c r="Z46459">
        <v>400000</v>
      </c>
    </row>
    <row r="46460" spans="26:26" x14ac:dyDescent="0.25">
      <c r="Z46460">
        <v>400000</v>
      </c>
    </row>
    <row r="46461" spans="26:26" x14ac:dyDescent="0.25">
      <c r="Z46461">
        <v>400000</v>
      </c>
    </row>
    <row r="46462" spans="26:26" x14ac:dyDescent="0.25">
      <c r="Z46462">
        <v>400000</v>
      </c>
    </row>
    <row r="46463" spans="26:26" x14ac:dyDescent="0.25">
      <c r="Z46463">
        <v>400000</v>
      </c>
    </row>
    <row r="46464" spans="26:26" x14ac:dyDescent="0.25">
      <c r="Z46464">
        <v>400000</v>
      </c>
    </row>
    <row r="46465" spans="26:26" x14ac:dyDescent="0.25">
      <c r="Z46465">
        <v>400000</v>
      </c>
    </row>
    <row r="46466" spans="26:26" x14ac:dyDescent="0.25">
      <c r="Z46466">
        <v>400000</v>
      </c>
    </row>
    <row r="46467" spans="26:26" x14ac:dyDescent="0.25">
      <c r="Z46467">
        <v>400000</v>
      </c>
    </row>
    <row r="46468" spans="26:26" x14ac:dyDescent="0.25">
      <c r="Z46468">
        <v>400000</v>
      </c>
    </row>
    <row r="46469" spans="26:26" x14ac:dyDescent="0.25">
      <c r="Z46469">
        <v>400000</v>
      </c>
    </row>
    <row r="46470" spans="26:26" x14ac:dyDescent="0.25">
      <c r="Z46470">
        <v>400000</v>
      </c>
    </row>
    <row r="46471" spans="26:26" x14ac:dyDescent="0.25">
      <c r="Z46471">
        <v>400000</v>
      </c>
    </row>
    <row r="46472" spans="26:26" x14ac:dyDescent="0.25">
      <c r="Z46472">
        <v>400000</v>
      </c>
    </row>
    <row r="46473" spans="26:26" x14ac:dyDescent="0.25">
      <c r="Z46473">
        <v>400000</v>
      </c>
    </row>
    <row r="46474" spans="26:26" x14ac:dyDescent="0.25">
      <c r="Z46474">
        <v>400000</v>
      </c>
    </row>
    <row r="46475" spans="26:26" x14ac:dyDescent="0.25">
      <c r="Z46475">
        <v>400000</v>
      </c>
    </row>
    <row r="46476" spans="26:26" x14ac:dyDescent="0.25">
      <c r="Z46476">
        <v>400000</v>
      </c>
    </row>
    <row r="46477" spans="26:26" x14ac:dyDescent="0.25">
      <c r="Z46477">
        <v>400000</v>
      </c>
    </row>
    <row r="46478" spans="26:26" x14ac:dyDescent="0.25">
      <c r="Z46478">
        <v>400000</v>
      </c>
    </row>
    <row r="46479" spans="26:26" x14ac:dyDescent="0.25">
      <c r="Z46479">
        <v>400000</v>
      </c>
    </row>
    <row r="46480" spans="26:26" x14ac:dyDescent="0.25">
      <c r="Z46480">
        <v>400000</v>
      </c>
    </row>
    <row r="46481" spans="26:26" x14ac:dyDescent="0.25">
      <c r="Z46481">
        <v>400000</v>
      </c>
    </row>
    <row r="46482" spans="26:26" x14ac:dyDescent="0.25">
      <c r="Z46482">
        <v>400000</v>
      </c>
    </row>
    <row r="46483" spans="26:26" x14ac:dyDescent="0.25">
      <c r="Z46483">
        <v>400000</v>
      </c>
    </row>
    <row r="46484" spans="26:26" x14ac:dyDescent="0.25">
      <c r="Z46484">
        <v>400000</v>
      </c>
    </row>
    <row r="46485" spans="26:26" x14ac:dyDescent="0.25">
      <c r="Z46485">
        <v>400000</v>
      </c>
    </row>
    <row r="46486" spans="26:26" x14ac:dyDescent="0.25">
      <c r="Z46486">
        <v>400000</v>
      </c>
    </row>
    <row r="46487" spans="26:26" x14ac:dyDescent="0.25">
      <c r="Z46487">
        <v>400000</v>
      </c>
    </row>
    <row r="46488" spans="26:26" x14ac:dyDescent="0.25">
      <c r="Z46488">
        <v>400000</v>
      </c>
    </row>
    <row r="46489" spans="26:26" x14ac:dyDescent="0.25">
      <c r="Z46489">
        <v>400000</v>
      </c>
    </row>
    <row r="46490" spans="26:26" x14ac:dyDescent="0.25">
      <c r="Z46490">
        <v>400000</v>
      </c>
    </row>
    <row r="46491" spans="26:26" x14ac:dyDescent="0.25">
      <c r="Z46491">
        <v>400000</v>
      </c>
    </row>
    <row r="46492" spans="26:26" x14ac:dyDescent="0.25">
      <c r="Z46492">
        <v>400000</v>
      </c>
    </row>
    <row r="46493" spans="26:26" x14ac:dyDescent="0.25">
      <c r="Z46493">
        <v>400000</v>
      </c>
    </row>
    <row r="46494" spans="26:26" x14ac:dyDescent="0.25">
      <c r="Z46494">
        <v>400000</v>
      </c>
    </row>
    <row r="46495" spans="26:26" x14ac:dyDescent="0.25">
      <c r="Z46495">
        <v>400000</v>
      </c>
    </row>
    <row r="46496" spans="26:26" x14ac:dyDescent="0.25">
      <c r="Z46496">
        <v>400000</v>
      </c>
    </row>
    <row r="46497" spans="26:26" x14ac:dyDescent="0.25">
      <c r="Z46497">
        <v>400000</v>
      </c>
    </row>
    <row r="46498" spans="26:26" x14ac:dyDescent="0.25">
      <c r="Z46498">
        <v>400000</v>
      </c>
    </row>
    <row r="46499" spans="26:26" x14ac:dyDescent="0.25">
      <c r="Z46499">
        <v>400000</v>
      </c>
    </row>
    <row r="46500" spans="26:26" x14ac:dyDescent="0.25">
      <c r="Z46500">
        <v>400000</v>
      </c>
    </row>
    <row r="46501" spans="26:26" x14ac:dyDescent="0.25">
      <c r="Z46501">
        <v>400000</v>
      </c>
    </row>
    <row r="46502" spans="26:26" x14ac:dyDescent="0.25">
      <c r="Z46502">
        <v>400000</v>
      </c>
    </row>
    <row r="46503" spans="26:26" x14ac:dyDescent="0.25">
      <c r="Z46503">
        <v>400000</v>
      </c>
    </row>
    <row r="46504" spans="26:26" x14ac:dyDescent="0.25">
      <c r="Z46504">
        <v>400000</v>
      </c>
    </row>
    <row r="46505" spans="26:26" x14ac:dyDescent="0.25">
      <c r="Z46505">
        <v>400000</v>
      </c>
    </row>
    <row r="46506" spans="26:26" x14ac:dyDescent="0.25">
      <c r="Z46506">
        <v>400000</v>
      </c>
    </row>
    <row r="46507" spans="26:26" x14ac:dyDescent="0.25">
      <c r="Z46507">
        <v>400000</v>
      </c>
    </row>
    <row r="46508" spans="26:26" x14ac:dyDescent="0.25">
      <c r="Z46508">
        <v>400000</v>
      </c>
    </row>
    <row r="46509" spans="26:26" x14ac:dyDescent="0.25">
      <c r="Z46509">
        <v>400000</v>
      </c>
    </row>
    <row r="46510" spans="26:26" x14ac:dyDescent="0.25">
      <c r="Z46510">
        <v>400000</v>
      </c>
    </row>
    <row r="46511" spans="26:26" x14ac:dyDescent="0.25">
      <c r="Z46511">
        <v>400000</v>
      </c>
    </row>
    <row r="46512" spans="26:26" x14ac:dyDescent="0.25">
      <c r="Z46512">
        <v>400000</v>
      </c>
    </row>
    <row r="46513" spans="26:26" x14ac:dyDescent="0.25">
      <c r="Z46513">
        <v>400000</v>
      </c>
    </row>
    <row r="46514" spans="26:26" x14ac:dyDescent="0.25">
      <c r="Z46514">
        <v>400000</v>
      </c>
    </row>
    <row r="46515" spans="26:26" x14ac:dyDescent="0.25">
      <c r="Z46515">
        <v>400000</v>
      </c>
    </row>
    <row r="46516" spans="26:26" x14ac:dyDescent="0.25">
      <c r="Z46516">
        <v>400000</v>
      </c>
    </row>
    <row r="46517" spans="26:26" x14ac:dyDescent="0.25">
      <c r="Z46517">
        <v>400000</v>
      </c>
    </row>
    <row r="46518" spans="26:26" x14ac:dyDescent="0.25">
      <c r="Z46518">
        <v>400000</v>
      </c>
    </row>
    <row r="46519" spans="26:26" x14ac:dyDescent="0.25">
      <c r="Z46519">
        <v>400000</v>
      </c>
    </row>
    <row r="46520" spans="26:26" x14ac:dyDescent="0.25">
      <c r="Z46520">
        <v>400000</v>
      </c>
    </row>
    <row r="46521" spans="26:26" x14ac:dyDescent="0.25">
      <c r="Z46521">
        <v>400000</v>
      </c>
    </row>
    <row r="46522" spans="26:26" x14ac:dyDescent="0.25">
      <c r="Z46522">
        <v>400000</v>
      </c>
    </row>
    <row r="46523" spans="26:26" x14ac:dyDescent="0.25">
      <c r="Z46523">
        <v>400000</v>
      </c>
    </row>
    <row r="46524" spans="26:26" x14ac:dyDescent="0.25">
      <c r="Z46524">
        <v>400000</v>
      </c>
    </row>
    <row r="46525" spans="26:26" x14ac:dyDescent="0.25">
      <c r="Z46525">
        <v>400000</v>
      </c>
    </row>
    <row r="46526" spans="26:26" x14ac:dyDescent="0.25">
      <c r="Z46526">
        <v>400000</v>
      </c>
    </row>
    <row r="46527" spans="26:26" x14ac:dyDescent="0.25">
      <c r="Z46527">
        <v>400000</v>
      </c>
    </row>
    <row r="46528" spans="26:26" x14ac:dyDescent="0.25">
      <c r="Z46528">
        <v>400000</v>
      </c>
    </row>
    <row r="46529" spans="26:26" x14ac:dyDescent="0.25">
      <c r="Z46529">
        <v>400000</v>
      </c>
    </row>
    <row r="46530" spans="26:26" x14ac:dyDescent="0.25">
      <c r="Z46530">
        <v>400000</v>
      </c>
    </row>
    <row r="46531" spans="26:26" x14ac:dyDescent="0.25">
      <c r="Z46531">
        <v>400000</v>
      </c>
    </row>
    <row r="46532" spans="26:26" x14ac:dyDescent="0.25">
      <c r="Z46532">
        <v>400000</v>
      </c>
    </row>
    <row r="46533" spans="26:26" x14ac:dyDescent="0.25">
      <c r="Z46533">
        <v>400000</v>
      </c>
    </row>
    <row r="46534" spans="26:26" x14ac:dyDescent="0.25">
      <c r="Z46534">
        <v>400000</v>
      </c>
    </row>
    <row r="46535" spans="26:26" x14ac:dyDescent="0.25">
      <c r="Z46535">
        <v>400000</v>
      </c>
    </row>
    <row r="46536" spans="26:26" x14ac:dyDescent="0.25">
      <c r="Z46536">
        <v>400000</v>
      </c>
    </row>
    <row r="46537" spans="26:26" x14ac:dyDescent="0.25">
      <c r="Z46537">
        <v>400000</v>
      </c>
    </row>
    <row r="46538" spans="26:26" x14ac:dyDescent="0.25">
      <c r="Z46538">
        <v>400000</v>
      </c>
    </row>
    <row r="46539" spans="26:26" x14ac:dyDescent="0.25">
      <c r="Z46539">
        <v>400000</v>
      </c>
    </row>
    <row r="46540" spans="26:26" x14ac:dyDescent="0.25">
      <c r="Z46540">
        <v>400000</v>
      </c>
    </row>
    <row r="46541" spans="26:26" x14ac:dyDescent="0.25">
      <c r="Z46541">
        <v>400000</v>
      </c>
    </row>
    <row r="46542" spans="26:26" x14ac:dyDescent="0.25">
      <c r="Z46542">
        <v>400000</v>
      </c>
    </row>
    <row r="46543" spans="26:26" x14ac:dyDescent="0.25">
      <c r="Z46543">
        <v>400000</v>
      </c>
    </row>
    <row r="46544" spans="26:26" x14ac:dyDescent="0.25">
      <c r="Z46544">
        <v>400000</v>
      </c>
    </row>
    <row r="46545" spans="26:26" x14ac:dyDescent="0.25">
      <c r="Z46545">
        <v>400000</v>
      </c>
    </row>
    <row r="46546" spans="26:26" x14ac:dyDescent="0.25">
      <c r="Z46546">
        <v>400000</v>
      </c>
    </row>
    <row r="46547" spans="26:26" x14ac:dyDescent="0.25">
      <c r="Z46547">
        <v>400000</v>
      </c>
    </row>
    <row r="46548" spans="26:26" x14ac:dyDescent="0.25">
      <c r="Z46548">
        <v>400000</v>
      </c>
    </row>
    <row r="46549" spans="26:26" x14ac:dyDescent="0.25">
      <c r="Z46549">
        <v>400000</v>
      </c>
    </row>
    <row r="46550" spans="26:26" x14ac:dyDescent="0.25">
      <c r="Z46550">
        <v>400000</v>
      </c>
    </row>
    <row r="46551" spans="26:26" x14ac:dyDescent="0.25">
      <c r="Z46551">
        <v>400000</v>
      </c>
    </row>
    <row r="46552" spans="26:26" x14ac:dyDescent="0.25">
      <c r="Z46552">
        <v>400000</v>
      </c>
    </row>
    <row r="46553" spans="26:26" x14ac:dyDescent="0.25">
      <c r="Z46553">
        <v>400000</v>
      </c>
    </row>
    <row r="46554" spans="26:26" x14ac:dyDescent="0.25">
      <c r="Z46554">
        <v>400000</v>
      </c>
    </row>
    <row r="46555" spans="26:26" x14ac:dyDescent="0.25">
      <c r="Z46555">
        <v>400000</v>
      </c>
    </row>
    <row r="46556" spans="26:26" x14ac:dyDescent="0.25">
      <c r="Z46556">
        <v>400000</v>
      </c>
    </row>
    <row r="46557" spans="26:26" x14ac:dyDescent="0.25">
      <c r="Z46557">
        <v>400000</v>
      </c>
    </row>
    <row r="46558" spans="26:26" x14ac:dyDescent="0.25">
      <c r="Z46558">
        <v>400000</v>
      </c>
    </row>
    <row r="46559" spans="26:26" x14ac:dyDescent="0.25">
      <c r="Z46559">
        <v>400000</v>
      </c>
    </row>
    <row r="46560" spans="26:26" x14ac:dyDescent="0.25">
      <c r="Z46560">
        <v>400000</v>
      </c>
    </row>
    <row r="46561" spans="26:26" x14ac:dyDescent="0.25">
      <c r="Z46561">
        <v>400000</v>
      </c>
    </row>
    <row r="46562" spans="26:26" x14ac:dyDescent="0.25">
      <c r="Z46562">
        <v>400000</v>
      </c>
    </row>
    <row r="46563" spans="26:26" x14ac:dyDescent="0.25">
      <c r="Z46563">
        <v>400000</v>
      </c>
    </row>
    <row r="46564" spans="26:26" x14ac:dyDescent="0.25">
      <c r="Z46564">
        <v>400000</v>
      </c>
    </row>
    <row r="46565" spans="26:26" x14ac:dyDescent="0.25">
      <c r="Z46565">
        <v>400000</v>
      </c>
    </row>
    <row r="46566" spans="26:26" x14ac:dyDescent="0.25">
      <c r="Z46566">
        <v>400000</v>
      </c>
    </row>
    <row r="46567" spans="26:26" x14ac:dyDescent="0.25">
      <c r="Z46567">
        <v>400000</v>
      </c>
    </row>
    <row r="46568" spans="26:26" x14ac:dyDescent="0.25">
      <c r="Z46568">
        <v>400000</v>
      </c>
    </row>
    <row r="46569" spans="26:26" x14ac:dyDescent="0.25">
      <c r="Z46569">
        <v>400000</v>
      </c>
    </row>
    <row r="46570" spans="26:26" x14ac:dyDescent="0.25">
      <c r="Z46570">
        <v>400000</v>
      </c>
    </row>
    <row r="46571" spans="26:26" x14ac:dyDescent="0.25">
      <c r="Z46571">
        <v>400000</v>
      </c>
    </row>
    <row r="46572" spans="26:26" x14ac:dyDescent="0.25">
      <c r="Z46572">
        <v>400000</v>
      </c>
    </row>
    <row r="46573" spans="26:26" x14ac:dyDescent="0.25">
      <c r="Z46573">
        <v>400000</v>
      </c>
    </row>
    <row r="46574" spans="26:26" x14ac:dyDescent="0.25">
      <c r="Z46574">
        <v>400000</v>
      </c>
    </row>
    <row r="46575" spans="26:26" x14ac:dyDescent="0.25">
      <c r="Z46575">
        <v>400000</v>
      </c>
    </row>
    <row r="46576" spans="26:26" x14ac:dyDescent="0.25">
      <c r="Z46576">
        <v>400000</v>
      </c>
    </row>
    <row r="46577" spans="26:26" x14ac:dyDescent="0.25">
      <c r="Z46577">
        <v>400000</v>
      </c>
    </row>
    <row r="46578" spans="26:26" x14ac:dyDescent="0.25">
      <c r="Z46578">
        <v>400000</v>
      </c>
    </row>
    <row r="46579" spans="26:26" x14ac:dyDescent="0.25">
      <c r="Z46579">
        <v>400000</v>
      </c>
    </row>
    <row r="46580" spans="26:26" x14ac:dyDescent="0.25">
      <c r="Z46580">
        <v>400000</v>
      </c>
    </row>
    <row r="46581" spans="26:26" x14ac:dyDescent="0.25">
      <c r="Z46581">
        <v>400000</v>
      </c>
    </row>
    <row r="46582" spans="26:26" x14ac:dyDescent="0.25">
      <c r="Z46582">
        <v>400000</v>
      </c>
    </row>
    <row r="46583" spans="26:26" x14ac:dyDescent="0.25">
      <c r="Z46583">
        <v>400000</v>
      </c>
    </row>
    <row r="46584" spans="26:26" x14ac:dyDescent="0.25">
      <c r="Z46584">
        <v>400000</v>
      </c>
    </row>
    <row r="46585" spans="26:26" x14ac:dyDescent="0.25">
      <c r="Z46585">
        <v>400000</v>
      </c>
    </row>
    <row r="46586" spans="26:26" x14ac:dyDescent="0.25">
      <c r="Z46586">
        <v>400000</v>
      </c>
    </row>
    <row r="46587" spans="26:26" x14ac:dyDescent="0.25">
      <c r="Z46587">
        <v>400000</v>
      </c>
    </row>
    <row r="46588" spans="26:26" x14ac:dyDescent="0.25">
      <c r="Z46588">
        <v>400000</v>
      </c>
    </row>
    <row r="46589" spans="26:26" x14ac:dyDescent="0.25">
      <c r="Z46589">
        <v>400000</v>
      </c>
    </row>
    <row r="46590" spans="26:26" x14ac:dyDescent="0.25">
      <c r="Z46590">
        <v>400000</v>
      </c>
    </row>
    <row r="46591" spans="26:26" x14ac:dyDescent="0.25">
      <c r="Z46591">
        <v>400000</v>
      </c>
    </row>
    <row r="46592" spans="26:26" x14ac:dyDescent="0.25">
      <c r="Z46592">
        <v>400000</v>
      </c>
    </row>
    <row r="46593" spans="26:26" x14ac:dyDescent="0.25">
      <c r="Z46593">
        <v>400000</v>
      </c>
    </row>
    <row r="46594" spans="26:26" x14ac:dyDescent="0.25">
      <c r="Z46594">
        <v>400000</v>
      </c>
    </row>
    <row r="46595" spans="26:26" x14ac:dyDescent="0.25">
      <c r="Z46595">
        <v>400000</v>
      </c>
    </row>
    <row r="46596" spans="26:26" x14ac:dyDescent="0.25">
      <c r="Z46596">
        <v>400000</v>
      </c>
    </row>
    <row r="46597" spans="26:26" x14ac:dyDescent="0.25">
      <c r="Z46597">
        <v>400000</v>
      </c>
    </row>
    <row r="46598" spans="26:26" x14ac:dyDescent="0.25">
      <c r="Z46598">
        <v>400000</v>
      </c>
    </row>
    <row r="46599" spans="26:26" x14ac:dyDescent="0.25">
      <c r="Z46599">
        <v>400000</v>
      </c>
    </row>
    <row r="46600" spans="26:26" x14ac:dyDescent="0.25">
      <c r="Z46600">
        <v>400000</v>
      </c>
    </row>
    <row r="46601" spans="26:26" x14ac:dyDescent="0.25">
      <c r="Z46601">
        <v>400000</v>
      </c>
    </row>
    <row r="46602" spans="26:26" x14ac:dyDescent="0.25">
      <c r="Z46602">
        <v>400000</v>
      </c>
    </row>
    <row r="46603" spans="26:26" x14ac:dyDescent="0.25">
      <c r="Z46603">
        <v>400000</v>
      </c>
    </row>
    <row r="46604" spans="26:26" x14ac:dyDescent="0.25">
      <c r="Z46604">
        <v>400000</v>
      </c>
    </row>
    <row r="46605" spans="26:26" x14ac:dyDescent="0.25">
      <c r="Z46605">
        <v>400000</v>
      </c>
    </row>
    <row r="46606" spans="26:26" x14ac:dyDescent="0.25">
      <c r="Z46606">
        <v>400000</v>
      </c>
    </row>
    <row r="46607" spans="26:26" x14ac:dyDescent="0.25">
      <c r="Z46607">
        <v>400000</v>
      </c>
    </row>
    <row r="46608" spans="26:26" x14ac:dyDescent="0.25">
      <c r="Z46608">
        <v>400000</v>
      </c>
    </row>
    <row r="46609" spans="26:26" x14ac:dyDescent="0.25">
      <c r="Z46609">
        <v>400000</v>
      </c>
    </row>
    <row r="46610" spans="26:26" x14ac:dyDescent="0.25">
      <c r="Z46610">
        <v>400000</v>
      </c>
    </row>
    <row r="46611" spans="26:26" x14ac:dyDescent="0.25">
      <c r="Z46611">
        <v>400000</v>
      </c>
    </row>
    <row r="46612" spans="26:26" x14ac:dyDescent="0.25">
      <c r="Z46612">
        <v>400000</v>
      </c>
    </row>
    <row r="46613" spans="26:26" x14ac:dyDescent="0.25">
      <c r="Z46613">
        <v>400000</v>
      </c>
    </row>
    <row r="46614" spans="26:26" x14ac:dyDescent="0.25">
      <c r="Z46614">
        <v>400000</v>
      </c>
    </row>
    <row r="46615" spans="26:26" x14ac:dyDescent="0.25">
      <c r="Z46615">
        <v>400000</v>
      </c>
    </row>
    <row r="46616" spans="26:26" x14ac:dyDescent="0.25">
      <c r="Z46616">
        <v>400000</v>
      </c>
    </row>
    <row r="46617" spans="26:26" x14ac:dyDescent="0.25">
      <c r="Z46617">
        <v>400000</v>
      </c>
    </row>
    <row r="46618" spans="26:26" x14ac:dyDescent="0.25">
      <c r="Z46618">
        <v>400000</v>
      </c>
    </row>
    <row r="46619" spans="26:26" x14ac:dyDescent="0.25">
      <c r="Z46619">
        <v>400000</v>
      </c>
    </row>
    <row r="46620" spans="26:26" x14ac:dyDescent="0.25">
      <c r="Z46620">
        <v>400000</v>
      </c>
    </row>
    <row r="46621" spans="26:26" x14ac:dyDescent="0.25">
      <c r="Z46621">
        <v>400000</v>
      </c>
    </row>
    <row r="46622" spans="26:26" x14ac:dyDescent="0.25">
      <c r="Z46622">
        <v>400000</v>
      </c>
    </row>
    <row r="46623" spans="26:26" x14ac:dyDescent="0.25">
      <c r="Z46623">
        <v>400000</v>
      </c>
    </row>
    <row r="46624" spans="26:26" x14ac:dyDescent="0.25">
      <c r="Z46624">
        <v>400000</v>
      </c>
    </row>
    <row r="46625" spans="26:26" x14ac:dyDescent="0.25">
      <c r="Z46625">
        <v>400000</v>
      </c>
    </row>
    <row r="46626" spans="26:26" x14ac:dyDescent="0.25">
      <c r="Z46626">
        <v>400000</v>
      </c>
    </row>
    <row r="46627" spans="26:26" x14ac:dyDescent="0.25">
      <c r="Z46627">
        <v>400000</v>
      </c>
    </row>
    <row r="46628" spans="26:26" x14ac:dyDescent="0.25">
      <c r="Z46628">
        <v>400000</v>
      </c>
    </row>
    <row r="46629" spans="26:26" x14ac:dyDescent="0.25">
      <c r="Z46629">
        <v>400000</v>
      </c>
    </row>
    <row r="46630" spans="26:26" x14ac:dyDescent="0.25">
      <c r="Z46630">
        <v>400000</v>
      </c>
    </row>
    <row r="46631" spans="26:26" x14ac:dyDescent="0.25">
      <c r="Z46631">
        <v>400000</v>
      </c>
    </row>
    <row r="46632" spans="26:26" x14ac:dyDescent="0.25">
      <c r="Z46632">
        <v>400000</v>
      </c>
    </row>
    <row r="46633" spans="26:26" x14ac:dyDescent="0.25">
      <c r="Z46633">
        <v>400000</v>
      </c>
    </row>
    <row r="46634" spans="26:26" x14ac:dyDescent="0.25">
      <c r="Z46634">
        <v>400000</v>
      </c>
    </row>
    <row r="46635" spans="26:26" x14ac:dyDescent="0.25">
      <c r="Z46635">
        <v>400000</v>
      </c>
    </row>
    <row r="46636" spans="26:26" x14ac:dyDescent="0.25">
      <c r="Z46636">
        <v>400000</v>
      </c>
    </row>
    <row r="46637" spans="26:26" x14ac:dyDescent="0.25">
      <c r="Z46637">
        <v>400000</v>
      </c>
    </row>
    <row r="46638" spans="26:26" x14ac:dyDescent="0.25">
      <c r="Z46638">
        <v>400000</v>
      </c>
    </row>
    <row r="46639" spans="26:26" x14ac:dyDescent="0.25">
      <c r="Z46639">
        <v>400000</v>
      </c>
    </row>
    <row r="46640" spans="26:26" x14ac:dyDescent="0.25">
      <c r="Z46640">
        <v>400000</v>
      </c>
    </row>
    <row r="46641" spans="26:26" x14ac:dyDescent="0.25">
      <c r="Z46641">
        <v>400000</v>
      </c>
    </row>
    <row r="46642" spans="26:26" x14ac:dyDescent="0.25">
      <c r="Z46642">
        <v>400000</v>
      </c>
    </row>
    <row r="46643" spans="26:26" x14ac:dyDescent="0.25">
      <c r="Z46643">
        <v>400000</v>
      </c>
    </row>
    <row r="46644" spans="26:26" x14ac:dyDescent="0.25">
      <c r="Z46644">
        <v>400000</v>
      </c>
    </row>
    <row r="46645" spans="26:26" x14ac:dyDescent="0.25">
      <c r="Z46645">
        <v>400000</v>
      </c>
    </row>
    <row r="46646" spans="26:26" x14ac:dyDescent="0.25">
      <c r="Z46646">
        <v>400000</v>
      </c>
    </row>
    <row r="46647" spans="26:26" x14ac:dyDescent="0.25">
      <c r="Z46647">
        <v>400000</v>
      </c>
    </row>
    <row r="46648" spans="26:26" x14ac:dyDescent="0.25">
      <c r="Z46648">
        <v>400000</v>
      </c>
    </row>
    <row r="46649" spans="26:26" x14ac:dyDescent="0.25">
      <c r="Z46649">
        <v>400000</v>
      </c>
    </row>
    <row r="46650" spans="26:26" x14ac:dyDescent="0.25">
      <c r="Z46650">
        <v>400000</v>
      </c>
    </row>
    <row r="46651" spans="26:26" x14ac:dyDescent="0.25">
      <c r="Z46651">
        <v>400000</v>
      </c>
    </row>
    <row r="46652" spans="26:26" x14ac:dyDescent="0.25">
      <c r="Z46652">
        <v>400000</v>
      </c>
    </row>
    <row r="46653" spans="26:26" x14ac:dyDescent="0.25">
      <c r="Z46653">
        <v>400000</v>
      </c>
    </row>
    <row r="46654" spans="26:26" x14ac:dyDescent="0.25">
      <c r="Z46654">
        <v>400000</v>
      </c>
    </row>
    <row r="46655" spans="26:26" x14ac:dyDescent="0.25">
      <c r="Z46655">
        <v>400000</v>
      </c>
    </row>
    <row r="46656" spans="26:26" x14ac:dyDescent="0.25">
      <c r="Z46656">
        <v>400000</v>
      </c>
    </row>
    <row r="46657" spans="26:26" x14ac:dyDescent="0.25">
      <c r="Z46657">
        <v>400000</v>
      </c>
    </row>
    <row r="46658" spans="26:26" x14ac:dyDescent="0.25">
      <c r="Z46658">
        <v>400000</v>
      </c>
    </row>
    <row r="46659" spans="26:26" x14ac:dyDescent="0.25">
      <c r="Z46659">
        <v>400000</v>
      </c>
    </row>
    <row r="46660" spans="26:26" x14ac:dyDescent="0.25">
      <c r="Z46660">
        <v>400000</v>
      </c>
    </row>
    <row r="46661" spans="26:26" x14ac:dyDescent="0.25">
      <c r="Z46661">
        <v>400000</v>
      </c>
    </row>
    <row r="46662" spans="26:26" x14ac:dyDescent="0.25">
      <c r="Z46662">
        <v>400000</v>
      </c>
    </row>
    <row r="46663" spans="26:26" x14ac:dyDescent="0.25">
      <c r="Z46663">
        <v>400000</v>
      </c>
    </row>
    <row r="46664" spans="26:26" x14ac:dyDescent="0.25">
      <c r="Z46664">
        <v>400000</v>
      </c>
    </row>
    <row r="46665" spans="26:26" x14ac:dyDescent="0.25">
      <c r="Z46665">
        <v>400000</v>
      </c>
    </row>
    <row r="46666" spans="26:26" x14ac:dyDescent="0.25">
      <c r="Z46666">
        <v>400000</v>
      </c>
    </row>
    <row r="46667" spans="26:26" x14ac:dyDescent="0.25">
      <c r="Z46667">
        <v>400000</v>
      </c>
    </row>
    <row r="46668" spans="26:26" x14ac:dyDescent="0.25">
      <c r="Z46668">
        <v>400000</v>
      </c>
    </row>
    <row r="46669" spans="26:26" x14ac:dyDescent="0.25">
      <c r="Z46669">
        <v>400000</v>
      </c>
    </row>
    <row r="46670" spans="26:26" x14ac:dyDescent="0.25">
      <c r="Z46670">
        <v>400000</v>
      </c>
    </row>
    <row r="46671" spans="26:26" x14ac:dyDescent="0.25">
      <c r="Z46671">
        <v>400000</v>
      </c>
    </row>
    <row r="46672" spans="26:26" x14ac:dyDescent="0.25">
      <c r="Z46672">
        <v>400000</v>
      </c>
    </row>
    <row r="46673" spans="26:26" x14ac:dyDescent="0.25">
      <c r="Z46673">
        <v>400000</v>
      </c>
    </row>
    <row r="46674" spans="26:26" x14ac:dyDescent="0.25">
      <c r="Z46674">
        <v>400000</v>
      </c>
    </row>
    <row r="46675" spans="26:26" x14ac:dyDescent="0.25">
      <c r="Z46675">
        <v>400000</v>
      </c>
    </row>
    <row r="46676" spans="26:26" x14ac:dyDescent="0.25">
      <c r="Z46676">
        <v>400000</v>
      </c>
    </row>
    <row r="46677" spans="26:26" x14ac:dyDescent="0.25">
      <c r="Z46677">
        <v>400000</v>
      </c>
    </row>
    <row r="46678" spans="26:26" x14ac:dyDescent="0.25">
      <c r="Z46678">
        <v>400000</v>
      </c>
    </row>
    <row r="46679" spans="26:26" x14ac:dyDescent="0.25">
      <c r="Z46679">
        <v>400000</v>
      </c>
    </row>
    <row r="46680" spans="26:26" x14ac:dyDescent="0.25">
      <c r="Z46680">
        <v>400000</v>
      </c>
    </row>
    <row r="46681" spans="26:26" x14ac:dyDescent="0.25">
      <c r="Z46681">
        <v>400000</v>
      </c>
    </row>
    <row r="46682" spans="26:26" x14ac:dyDescent="0.25">
      <c r="Z46682">
        <v>400000</v>
      </c>
    </row>
    <row r="46683" spans="26:26" x14ac:dyDescent="0.25">
      <c r="Z46683">
        <v>400000</v>
      </c>
    </row>
    <row r="46684" spans="26:26" x14ac:dyDescent="0.25">
      <c r="Z46684">
        <v>400000</v>
      </c>
    </row>
    <row r="46685" spans="26:26" x14ac:dyDescent="0.25">
      <c r="Z46685">
        <v>400000</v>
      </c>
    </row>
    <row r="46686" spans="26:26" x14ac:dyDescent="0.25">
      <c r="Z46686">
        <v>400000</v>
      </c>
    </row>
    <row r="46687" spans="26:26" x14ac:dyDescent="0.25">
      <c r="Z46687">
        <v>400000</v>
      </c>
    </row>
    <row r="46688" spans="26:26" x14ac:dyDescent="0.25">
      <c r="Z46688">
        <v>400000</v>
      </c>
    </row>
    <row r="46689" spans="26:26" x14ac:dyDescent="0.25">
      <c r="Z46689">
        <v>400000</v>
      </c>
    </row>
    <row r="46690" spans="26:26" x14ac:dyDescent="0.25">
      <c r="Z46690">
        <v>400000</v>
      </c>
    </row>
    <row r="46691" spans="26:26" x14ac:dyDescent="0.25">
      <c r="Z46691">
        <v>400000</v>
      </c>
    </row>
    <row r="46692" spans="26:26" x14ac:dyDescent="0.25">
      <c r="Z46692">
        <v>400000</v>
      </c>
    </row>
    <row r="46693" spans="26:26" x14ac:dyDescent="0.25">
      <c r="Z46693">
        <v>400000</v>
      </c>
    </row>
    <row r="46694" spans="26:26" x14ac:dyDescent="0.25">
      <c r="Z46694">
        <v>400000</v>
      </c>
    </row>
    <row r="46695" spans="26:26" x14ac:dyDescent="0.25">
      <c r="Z46695">
        <v>400000</v>
      </c>
    </row>
    <row r="46696" spans="26:26" x14ac:dyDescent="0.25">
      <c r="Z46696">
        <v>400000</v>
      </c>
    </row>
    <row r="46697" spans="26:26" x14ac:dyDescent="0.25">
      <c r="Z46697">
        <v>400000</v>
      </c>
    </row>
    <row r="46698" spans="26:26" x14ac:dyDescent="0.25">
      <c r="Z46698">
        <v>400000</v>
      </c>
    </row>
    <row r="46699" spans="26:26" x14ac:dyDescent="0.25">
      <c r="Z46699">
        <v>400000</v>
      </c>
    </row>
    <row r="46700" spans="26:26" x14ac:dyDescent="0.25">
      <c r="Z46700">
        <v>400000</v>
      </c>
    </row>
    <row r="46701" spans="26:26" x14ac:dyDescent="0.25">
      <c r="Z46701">
        <v>400000</v>
      </c>
    </row>
    <row r="46702" spans="26:26" x14ac:dyDescent="0.25">
      <c r="Z46702">
        <v>400000</v>
      </c>
    </row>
    <row r="46703" spans="26:26" x14ac:dyDescent="0.25">
      <c r="Z46703">
        <v>400000</v>
      </c>
    </row>
    <row r="46704" spans="26:26" x14ac:dyDescent="0.25">
      <c r="Z46704">
        <v>400000</v>
      </c>
    </row>
    <row r="46705" spans="26:26" x14ac:dyDescent="0.25">
      <c r="Z46705">
        <v>400000</v>
      </c>
    </row>
    <row r="46706" spans="26:26" x14ac:dyDescent="0.25">
      <c r="Z46706">
        <v>400000</v>
      </c>
    </row>
    <row r="46707" spans="26:26" x14ac:dyDescent="0.25">
      <c r="Z46707">
        <v>400000</v>
      </c>
    </row>
    <row r="46708" spans="26:26" x14ac:dyDescent="0.25">
      <c r="Z46708">
        <v>400000</v>
      </c>
    </row>
    <row r="46709" spans="26:26" x14ac:dyDescent="0.25">
      <c r="Z46709">
        <v>400000</v>
      </c>
    </row>
    <row r="46710" spans="26:26" x14ac:dyDescent="0.25">
      <c r="Z46710">
        <v>400000</v>
      </c>
    </row>
    <row r="46711" spans="26:26" x14ac:dyDescent="0.25">
      <c r="Z46711">
        <v>400000</v>
      </c>
    </row>
    <row r="46712" spans="26:26" x14ac:dyDescent="0.25">
      <c r="Z46712">
        <v>400000</v>
      </c>
    </row>
    <row r="46713" spans="26:26" x14ac:dyDescent="0.25">
      <c r="Z46713">
        <v>400000</v>
      </c>
    </row>
    <row r="46714" spans="26:26" x14ac:dyDescent="0.25">
      <c r="Z46714">
        <v>400000</v>
      </c>
    </row>
    <row r="46715" spans="26:26" x14ac:dyDescent="0.25">
      <c r="Z46715">
        <v>400000</v>
      </c>
    </row>
    <row r="46716" spans="26:26" x14ac:dyDescent="0.25">
      <c r="Z46716">
        <v>400000</v>
      </c>
    </row>
    <row r="46717" spans="26:26" x14ac:dyDescent="0.25">
      <c r="Z46717">
        <v>400000</v>
      </c>
    </row>
    <row r="46718" spans="26:26" x14ac:dyDescent="0.25">
      <c r="Z46718">
        <v>400000</v>
      </c>
    </row>
    <row r="46719" spans="26:26" x14ac:dyDescent="0.25">
      <c r="Z46719">
        <v>400000</v>
      </c>
    </row>
    <row r="46720" spans="26:26" x14ac:dyDescent="0.25">
      <c r="Z46720">
        <v>400000</v>
      </c>
    </row>
    <row r="46721" spans="26:26" x14ac:dyDescent="0.25">
      <c r="Z46721">
        <v>400000</v>
      </c>
    </row>
    <row r="46722" spans="26:26" x14ac:dyDescent="0.25">
      <c r="Z46722">
        <v>400000</v>
      </c>
    </row>
    <row r="46723" spans="26:26" x14ac:dyDescent="0.25">
      <c r="Z46723">
        <v>400000</v>
      </c>
    </row>
    <row r="46724" spans="26:26" x14ac:dyDescent="0.25">
      <c r="Z46724">
        <v>400000</v>
      </c>
    </row>
    <row r="46725" spans="26:26" x14ac:dyDescent="0.25">
      <c r="Z46725">
        <v>400000</v>
      </c>
    </row>
    <row r="46726" spans="26:26" x14ac:dyDescent="0.25">
      <c r="Z46726">
        <v>400000</v>
      </c>
    </row>
    <row r="46727" spans="26:26" x14ac:dyDescent="0.25">
      <c r="Z46727">
        <v>400000</v>
      </c>
    </row>
    <row r="46728" spans="26:26" x14ac:dyDescent="0.25">
      <c r="Z46728">
        <v>400000</v>
      </c>
    </row>
    <row r="46729" spans="26:26" x14ac:dyDescent="0.25">
      <c r="Z46729">
        <v>400000</v>
      </c>
    </row>
    <row r="46730" spans="26:26" x14ac:dyDescent="0.25">
      <c r="Z46730">
        <v>400000</v>
      </c>
    </row>
    <row r="46731" spans="26:26" x14ac:dyDescent="0.25">
      <c r="Z46731">
        <v>400000</v>
      </c>
    </row>
    <row r="46732" spans="26:26" x14ac:dyDescent="0.25">
      <c r="Z46732">
        <v>400000</v>
      </c>
    </row>
    <row r="46733" spans="26:26" x14ac:dyDescent="0.25">
      <c r="Z46733">
        <v>400000</v>
      </c>
    </row>
    <row r="46734" spans="26:26" x14ac:dyDescent="0.25">
      <c r="Z46734">
        <v>400000</v>
      </c>
    </row>
    <row r="46735" spans="26:26" x14ac:dyDescent="0.25">
      <c r="Z46735">
        <v>400000</v>
      </c>
    </row>
    <row r="46736" spans="26:26" x14ac:dyDescent="0.25">
      <c r="Z46736">
        <v>400000</v>
      </c>
    </row>
    <row r="46737" spans="26:26" x14ac:dyDescent="0.25">
      <c r="Z46737">
        <v>400000</v>
      </c>
    </row>
    <row r="46738" spans="26:26" x14ac:dyDescent="0.25">
      <c r="Z46738">
        <v>400000</v>
      </c>
    </row>
    <row r="46739" spans="26:26" x14ac:dyDescent="0.25">
      <c r="Z46739">
        <v>400000</v>
      </c>
    </row>
    <row r="46740" spans="26:26" x14ac:dyDescent="0.25">
      <c r="Z46740">
        <v>400000</v>
      </c>
    </row>
    <row r="46741" spans="26:26" x14ac:dyDescent="0.25">
      <c r="Z46741">
        <v>400000</v>
      </c>
    </row>
    <row r="46742" spans="26:26" x14ac:dyDescent="0.25">
      <c r="Z46742">
        <v>400000</v>
      </c>
    </row>
    <row r="46743" spans="26:26" x14ac:dyDescent="0.25">
      <c r="Z46743">
        <v>400000</v>
      </c>
    </row>
    <row r="46744" spans="26:26" x14ac:dyDescent="0.25">
      <c r="Z46744">
        <v>400000</v>
      </c>
    </row>
    <row r="46745" spans="26:26" x14ac:dyDescent="0.25">
      <c r="Z46745">
        <v>400000</v>
      </c>
    </row>
    <row r="46746" spans="26:26" x14ac:dyDescent="0.25">
      <c r="Z46746">
        <v>400000</v>
      </c>
    </row>
    <row r="46747" spans="26:26" x14ac:dyDescent="0.25">
      <c r="Z46747">
        <v>400000</v>
      </c>
    </row>
    <row r="46748" spans="26:26" x14ac:dyDescent="0.25">
      <c r="Z46748">
        <v>400000</v>
      </c>
    </row>
    <row r="46749" spans="26:26" x14ac:dyDescent="0.25">
      <c r="Z46749">
        <v>400000</v>
      </c>
    </row>
    <row r="46750" spans="26:26" x14ac:dyDescent="0.25">
      <c r="Z46750">
        <v>400000</v>
      </c>
    </row>
    <row r="46751" spans="26:26" x14ac:dyDescent="0.25">
      <c r="Z46751">
        <v>400000</v>
      </c>
    </row>
    <row r="46752" spans="26:26" x14ac:dyDescent="0.25">
      <c r="Z46752">
        <v>400000</v>
      </c>
    </row>
    <row r="46753" spans="26:26" x14ac:dyDescent="0.25">
      <c r="Z46753">
        <v>400000</v>
      </c>
    </row>
    <row r="46754" spans="26:26" x14ac:dyDescent="0.25">
      <c r="Z46754">
        <v>400000</v>
      </c>
    </row>
    <row r="46755" spans="26:26" x14ac:dyDescent="0.25">
      <c r="Z46755">
        <v>400000</v>
      </c>
    </row>
    <row r="46756" spans="26:26" x14ac:dyDescent="0.25">
      <c r="Z46756">
        <v>400000</v>
      </c>
    </row>
    <row r="46757" spans="26:26" x14ac:dyDescent="0.25">
      <c r="Z46757">
        <v>400000</v>
      </c>
    </row>
    <row r="46758" spans="26:26" x14ac:dyDescent="0.25">
      <c r="Z46758">
        <v>400000</v>
      </c>
    </row>
    <row r="46759" spans="26:26" x14ac:dyDescent="0.25">
      <c r="Z46759">
        <v>400000</v>
      </c>
    </row>
    <row r="46760" spans="26:26" x14ac:dyDescent="0.25">
      <c r="Z46760">
        <v>400000</v>
      </c>
    </row>
    <row r="46761" spans="26:26" x14ac:dyDescent="0.25">
      <c r="Z46761">
        <v>400000</v>
      </c>
    </row>
    <row r="46762" spans="26:26" x14ac:dyDescent="0.25">
      <c r="Z46762">
        <v>400000</v>
      </c>
    </row>
    <row r="46763" spans="26:26" x14ac:dyDescent="0.25">
      <c r="Z46763">
        <v>400000</v>
      </c>
    </row>
    <row r="46764" spans="26:26" x14ac:dyDescent="0.25">
      <c r="Z46764">
        <v>400000</v>
      </c>
    </row>
    <row r="46765" spans="26:26" x14ac:dyDescent="0.25">
      <c r="Z46765">
        <v>400000</v>
      </c>
    </row>
    <row r="46766" spans="26:26" x14ac:dyDescent="0.25">
      <c r="Z46766">
        <v>400000</v>
      </c>
    </row>
    <row r="46767" spans="26:26" x14ac:dyDescent="0.25">
      <c r="Z46767">
        <v>400000</v>
      </c>
    </row>
    <row r="46768" spans="26:26" x14ac:dyDescent="0.25">
      <c r="Z46768">
        <v>400000</v>
      </c>
    </row>
    <row r="46769" spans="26:26" x14ac:dyDescent="0.25">
      <c r="Z46769">
        <v>400000</v>
      </c>
    </row>
    <row r="46770" spans="26:26" x14ac:dyDescent="0.25">
      <c r="Z46770">
        <v>400000</v>
      </c>
    </row>
    <row r="46771" spans="26:26" x14ac:dyDescent="0.25">
      <c r="Z46771">
        <v>400000</v>
      </c>
    </row>
    <row r="46772" spans="26:26" x14ac:dyDescent="0.25">
      <c r="Z46772">
        <v>400000</v>
      </c>
    </row>
    <row r="46773" spans="26:26" x14ac:dyDescent="0.25">
      <c r="Z46773">
        <v>400000</v>
      </c>
    </row>
    <row r="46774" spans="26:26" x14ac:dyDescent="0.25">
      <c r="Z46774">
        <v>400000</v>
      </c>
    </row>
    <row r="46775" spans="26:26" x14ac:dyDescent="0.25">
      <c r="Z46775">
        <v>400000</v>
      </c>
    </row>
    <row r="46776" spans="26:26" x14ac:dyDescent="0.25">
      <c r="Z46776">
        <v>400000</v>
      </c>
    </row>
    <row r="46777" spans="26:26" x14ac:dyDescent="0.25">
      <c r="Z46777">
        <v>400000</v>
      </c>
    </row>
    <row r="46778" spans="26:26" x14ac:dyDescent="0.25">
      <c r="Z46778">
        <v>400000</v>
      </c>
    </row>
    <row r="46779" spans="26:26" x14ac:dyDescent="0.25">
      <c r="Z46779">
        <v>400000</v>
      </c>
    </row>
    <row r="46780" spans="26:26" x14ac:dyDescent="0.25">
      <c r="Z46780">
        <v>400000</v>
      </c>
    </row>
    <row r="46781" spans="26:26" x14ac:dyDescent="0.25">
      <c r="Z46781">
        <v>400000</v>
      </c>
    </row>
    <row r="46782" spans="26:26" x14ac:dyDescent="0.25">
      <c r="Z46782">
        <v>400000</v>
      </c>
    </row>
    <row r="46783" spans="26:26" x14ac:dyDescent="0.25">
      <c r="Z46783">
        <v>400000</v>
      </c>
    </row>
    <row r="46784" spans="26:26" x14ac:dyDescent="0.25">
      <c r="Z46784">
        <v>400000</v>
      </c>
    </row>
    <row r="46785" spans="26:26" x14ac:dyDescent="0.25">
      <c r="Z46785">
        <v>400000</v>
      </c>
    </row>
    <row r="46786" spans="26:26" x14ac:dyDescent="0.25">
      <c r="Z46786">
        <v>400000</v>
      </c>
    </row>
    <row r="46787" spans="26:26" x14ac:dyDescent="0.25">
      <c r="Z46787">
        <v>400000</v>
      </c>
    </row>
    <row r="46788" spans="26:26" x14ac:dyDescent="0.25">
      <c r="Z46788">
        <v>400000</v>
      </c>
    </row>
    <row r="46789" spans="26:26" x14ac:dyDescent="0.25">
      <c r="Z46789">
        <v>400000</v>
      </c>
    </row>
    <row r="46790" spans="26:26" x14ac:dyDescent="0.25">
      <c r="Z46790">
        <v>400000</v>
      </c>
    </row>
    <row r="46791" spans="26:26" x14ac:dyDescent="0.25">
      <c r="Z46791">
        <v>400000</v>
      </c>
    </row>
    <row r="46792" spans="26:26" x14ac:dyDescent="0.25">
      <c r="Z46792">
        <v>400000</v>
      </c>
    </row>
    <row r="46793" spans="26:26" x14ac:dyDescent="0.25">
      <c r="Z46793">
        <v>400000</v>
      </c>
    </row>
    <row r="46794" spans="26:26" x14ac:dyDescent="0.25">
      <c r="Z46794">
        <v>400000</v>
      </c>
    </row>
    <row r="46795" spans="26:26" x14ac:dyDescent="0.25">
      <c r="Z46795">
        <v>400000</v>
      </c>
    </row>
    <row r="46796" spans="26:26" x14ac:dyDescent="0.25">
      <c r="Z46796">
        <v>400000</v>
      </c>
    </row>
    <row r="46797" spans="26:26" x14ac:dyDescent="0.25">
      <c r="Z46797">
        <v>400000</v>
      </c>
    </row>
    <row r="46798" spans="26:26" x14ac:dyDescent="0.25">
      <c r="Z46798">
        <v>400000</v>
      </c>
    </row>
    <row r="46799" spans="26:26" x14ac:dyDescent="0.25">
      <c r="Z46799">
        <v>400000</v>
      </c>
    </row>
    <row r="46800" spans="26:26" x14ac:dyDescent="0.25">
      <c r="Z46800">
        <v>400000</v>
      </c>
    </row>
    <row r="46801" spans="26:26" x14ac:dyDescent="0.25">
      <c r="Z46801">
        <v>400000</v>
      </c>
    </row>
    <row r="46802" spans="26:26" x14ac:dyDescent="0.25">
      <c r="Z46802">
        <v>400000</v>
      </c>
    </row>
    <row r="46803" spans="26:26" x14ac:dyDescent="0.25">
      <c r="Z46803">
        <v>400000</v>
      </c>
    </row>
    <row r="46804" spans="26:26" x14ac:dyDescent="0.25">
      <c r="Z46804">
        <v>400000</v>
      </c>
    </row>
    <row r="46805" spans="26:26" x14ac:dyDescent="0.25">
      <c r="Z46805">
        <v>400000</v>
      </c>
    </row>
    <row r="46806" spans="26:26" x14ac:dyDescent="0.25">
      <c r="Z46806">
        <v>400000</v>
      </c>
    </row>
    <row r="46807" spans="26:26" x14ac:dyDescent="0.25">
      <c r="Z46807">
        <v>400000</v>
      </c>
    </row>
    <row r="46808" spans="26:26" x14ac:dyDescent="0.25">
      <c r="Z46808">
        <v>400000</v>
      </c>
    </row>
    <row r="46809" spans="26:26" x14ac:dyDescent="0.25">
      <c r="Z46809">
        <v>400000</v>
      </c>
    </row>
    <row r="46810" spans="26:26" x14ac:dyDescent="0.25">
      <c r="Z46810">
        <v>400000</v>
      </c>
    </row>
    <row r="46811" spans="26:26" x14ac:dyDescent="0.25">
      <c r="Z46811">
        <v>400000</v>
      </c>
    </row>
    <row r="46812" spans="26:26" x14ac:dyDescent="0.25">
      <c r="Z46812">
        <v>400000</v>
      </c>
    </row>
    <row r="46813" spans="26:26" x14ac:dyDescent="0.25">
      <c r="Z46813">
        <v>400000</v>
      </c>
    </row>
    <row r="46814" spans="26:26" x14ac:dyDescent="0.25">
      <c r="Z46814">
        <v>400000</v>
      </c>
    </row>
    <row r="46815" spans="26:26" x14ac:dyDescent="0.25">
      <c r="Z46815">
        <v>400000</v>
      </c>
    </row>
    <row r="46816" spans="26:26" x14ac:dyDescent="0.25">
      <c r="Z46816">
        <v>400000</v>
      </c>
    </row>
    <row r="46817" spans="26:26" x14ac:dyDescent="0.25">
      <c r="Z46817">
        <v>400000</v>
      </c>
    </row>
    <row r="46818" spans="26:26" x14ac:dyDescent="0.25">
      <c r="Z46818">
        <v>400000</v>
      </c>
    </row>
    <row r="46819" spans="26:26" x14ac:dyDescent="0.25">
      <c r="Z46819">
        <v>400000</v>
      </c>
    </row>
    <row r="46820" spans="26:26" x14ac:dyDescent="0.25">
      <c r="Z46820">
        <v>400000</v>
      </c>
    </row>
    <row r="46821" spans="26:26" x14ac:dyDescent="0.25">
      <c r="Z46821">
        <v>400000</v>
      </c>
    </row>
    <row r="46822" spans="26:26" x14ac:dyDescent="0.25">
      <c r="Z46822">
        <v>400000</v>
      </c>
    </row>
    <row r="46823" spans="26:26" x14ac:dyDescent="0.25">
      <c r="Z46823">
        <v>400000</v>
      </c>
    </row>
    <row r="46824" spans="26:26" x14ac:dyDescent="0.25">
      <c r="Z46824">
        <v>400000</v>
      </c>
    </row>
    <row r="46825" spans="26:26" x14ac:dyDescent="0.25">
      <c r="Z46825">
        <v>400000</v>
      </c>
    </row>
    <row r="46826" spans="26:26" x14ac:dyDescent="0.25">
      <c r="Z46826">
        <v>400000</v>
      </c>
    </row>
    <row r="46827" spans="26:26" x14ac:dyDescent="0.25">
      <c r="Z46827">
        <v>400000</v>
      </c>
    </row>
    <row r="46828" spans="26:26" x14ac:dyDescent="0.25">
      <c r="Z46828">
        <v>400000</v>
      </c>
    </row>
    <row r="46829" spans="26:26" x14ac:dyDescent="0.25">
      <c r="Z46829">
        <v>400000</v>
      </c>
    </row>
    <row r="46830" spans="26:26" x14ac:dyDescent="0.25">
      <c r="Z46830">
        <v>400000</v>
      </c>
    </row>
    <row r="46831" spans="26:26" x14ac:dyDescent="0.25">
      <c r="Z46831">
        <v>400000</v>
      </c>
    </row>
    <row r="46832" spans="26:26" x14ac:dyDescent="0.25">
      <c r="Z46832">
        <v>400000</v>
      </c>
    </row>
    <row r="46833" spans="26:26" x14ac:dyDescent="0.25">
      <c r="Z46833">
        <v>400000</v>
      </c>
    </row>
    <row r="46834" spans="26:26" x14ac:dyDescent="0.25">
      <c r="Z46834">
        <v>400000</v>
      </c>
    </row>
    <row r="46835" spans="26:26" x14ac:dyDescent="0.25">
      <c r="Z46835">
        <v>400000</v>
      </c>
    </row>
    <row r="46836" spans="26:26" x14ac:dyDescent="0.25">
      <c r="Z46836">
        <v>400000</v>
      </c>
    </row>
    <row r="46837" spans="26:26" x14ac:dyDescent="0.25">
      <c r="Z46837">
        <v>400000</v>
      </c>
    </row>
    <row r="46838" spans="26:26" x14ac:dyDescent="0.25">
      <c r="Z46838">
        <v>400000</v>
      </c>
    </row>
    <row r="46839" spans="26:26" x14ac:dyDescent="0.25">
      <c r="Z46839">
        <v>400000</v>
      </c>
    </row>
    <row r="46840" spans="26:26" x14ac:dyDescent="0.25">
      <c r="Z46840">
        <v>400000</v>
      </c>
    </row>
    <row r="46841" spans="26:26" x14ac:dyDescent="0.25">
      <c r="Z46841">
        <v>400000</v>
      </c>
    </row>
    <row r="46842" spans="26:26" x14ac:dyDescent="0.25">
      <c r="Z46842">
        <v>400000</v>
      </c>
    </row>
    <row r="46843" spans="26:26" x14ac:dyDescent="0.25">
      <c r="Z46843">
        <v>400000</v>
      </c>
    </row>
    <row r="46844" spans="26:26" x14ac:dyDescent="0.25">
      <c r="Z46844">
        <v>400000</v>
      </c>
    </row>
    <row r="46845" spans="26:26" x14ac:dyDescent="0.25">
      <c r="Z46845">
        <v>400000</v>
      </c>
    </row>
    <row r="46846" spans="26:26" x14ac:dyDescent="0.25">
      <c r="Z46846">
        <v>400000</v>
      </c>
    </row>
    <row r="46847" spans="26:26" x14ac:dyDescent="0.25">
      <c r="Z46847">
        <v>400000</v>
      </c>
    </row>
    <row r="46848" spans="26:26" x14ac:dyDescent="0.25">
      <c r="Z46848">
        <v>400000</v>
      </c>
    </row>
    <row r="46849" spans="26:26" x14ac:dyDescent="0.25">
      <c r="Z46849">
        <v>400000</v>
      </c>
    </row>
    <row r="46850" spans="26:26" x14ac:dyDescent="0.25">
      <c r="Z46850">
        <v>400000</v>
      </c>
    </row>
    <row r="46851" spans="26:26" x14ac:dyDescent="0.25">
      <c r="Z46851">
        <v>400000</v>
      </c>
    </row>
    <row r="46852" spans="26:26" x14ac:dyDescent="0.25">
      <c r="Z46852">
        <v>400000</v>
      </c>
    </row>
    <row r="46853" spans="26:26" x14ac:dyDescent="0.25">
      <c r="Z46853">
        <v>400000</v>
      </c>
    </row>
    <row r="46854" spans="26:26" x14ac:dyDescent="0.25">
      <c r="Z46854">
        <v>400000</v>
      </c>
    </row>
    <row r="46855" spans="26:26" x14ac:dyDescent="0.25">
      <c r="Z46855">
        <v>400000</v>
      </c>
    </row>
    <row r="46856" spans="26:26" x14ac:dyDescent="0.25">
      <c r="Z46856">
        <v>400000</v>
      </c>
    </row>
    <row r="46857" spans="26:26" x14ac:dyDescent="0.25">
      <c r="Z46857">
        <v>400000</v>
      </c>
    </row>
    <row r="46858" spans="26:26" x14ac:dyDescent="0.25">
      <c r="Z46858">
        <v>400000</v>
      </c>
    </row>
    <row r="46859" spans="26:26" x14ac:dyDescent="0.25">
      <c r="Z46859">
        <v>400000</v>
      </c>
    </row>
    <row r="46860" spans="26:26" x14ac:dyDescent="0.25">
      <c r="Z46860">
        <v>400000</v>
      </c>
    </row>
    <row r="46861" spans="26:26" x14ac:dyDescent="0.25">
      <c r="Z46861">
        <v>400000</v>
      </c>
    </row>
    <row r="46862" spans="26:26" x14ac:dyDescent="0.25">
      <c r="Z46862">
        <v>400000</v>
      </c>
    </row>
    <row r="46863" spans="26:26" x14ac:dyDescent="0.25">
      <c r="Z46863">
        <v>400000</v>
      </c>
    </row>
    <row r="46864" spans="26:26" x14ac:dyDescent="0.25">
      <c r="Z46864">
        <v>400000</v>
      </c>
    </row>
    <row r="46865" spans="26:26" x14ac:dyDescent="0.25">
      <c r="Z46865">
        <v>400000</v>
      </c>
    </row>
    <row r="46866" spans="26:26" x14ac:dyDescent="0.25">
      <c r="Z46866">
        <v>400000</v>
      </c>
    </row>
    <row r="46867" spans="26:26" x14ac:dyDescent="0.25">
      <c r="Z46867">
        <v>400000</v>
      </c>
    </row>
    <row r="46868" spans="26:26" x14ac:dyDescent="0.25">
      <c r="Z46868">
        <v>400000</v>
      </c>
    </row>
    <row r="46869" spans="26:26" x14ac:dyDescent="0.25">
      <c r="Z46869">
        <v>400000</v>
      </c>
    </row>
    <row r="46870" spans="26:26" x14ac:dyDescent="0.25">
      <c r="Z46870">
        <v>400000</v>
      </c>
    </row>
    <row r="46871" spans="26:26" x14ac:dyDescent="0.25">
      <c r="Z46871">
        <v>400000</v>
      </c>
    </row>
    <row r="46872" spans="26:26" x14ac:dyDescent="0.25">
      <c r="Z46872">
        <v>400000</v>
      </c>
    </row>
    <row r="46873" spans="26:26" x14ac:dyDescent="0.25">
      <c r="Z46873">
        <v>400000</v>
      </c>
    </row>
    <row r="46874" spans="26:26" x14ac:dyDescent="0.25">
      <c r="Z46874">
        <v>400000</v>
      </c>
    </row>
    <row r="46875" spans="26:26" x14ac:dyDescent="0.25">
      <c r="Z46875">
        <v>400000</v>
      </c>
    </row>
    <row r="46876" spans="26:26" x14ac:dyDescent="0.25">
      <c r="Z46876">
        <v>400000</v>
      </c>
    </row>
    <row r="46877" spans="26:26" x14ac:dyDescent="0.25">
      <c r="Z46877">
        <v>400000</v>
      </c>
    </row>
    <row r="46878" spans="26:26" x14ac:dyDescent="0.25">
      <c r="Z46878">
        <v>400000</v>
      </c>
    </row>
    <row r="46879" spans="26:26" x14ac:dyDescent="0.25">
      <c r="Z46879">
        <v>400000</v>
      </c>
    </row>
    <row r="46880" spans="26:26" x14ac:dyDescent="0.25">
      <c r="Z46880">
        <v>400000</v>
      </c>
    </row>
    <row r="46881" spans="26:26" x14ac:dyDescent="0.25">
      <c r="Z46881">
        <v>400000</v>
      </c>
    </row>
    <row r="46882" spans="26:26" x14ac:dyDescent="0.25">
      <c r="Z46882">
        <v>400000</v>
      </c>
    </row>
    <row r="46883" spans="26:26" x14ac:dyDescent="0.25">
      <c r="Z46883">
        <v>400000</v>
      </c>
    </row>
    <row r="46884" spans="26:26" x14ac:dyDescent="0.25">
      <c r="Z46884">
        <v>400000</v>
      </c>
    </row>
    <row r="46885" spans="26:26" x14ac:dyDescent="0.25">
      <c r="Z46885">
        <v>400000</v>
      </c>
    </row>
    <row r="46886" spans="26:26" x14ac:dyDescent="0.25">
      <c r="Z46886">
        <v>400000</v>
      </c>
    </row>
    <row r="46887" spans="26:26" x14ac:dyDescent="0.25">
      <c r="Z46887">
        <v>400000</v>
      </c>
    </row>
    <row r="46888" spans="26:26" x14ac:dyDescent="0.25">
      <c r="Z46888">
        <v>400000</v>
      </c>
    </row>
    <row r="46889" spans="26:26" x14ac:dyDescent="0.25">
      <c r="Z46889">
        <v>400000</v>
      </c>
    </row>
    <row r="46890" spans="26:26" x14ac:dyDescent="0.25">
      <c r="Z46890">
        <v>400000</v>
      </c>
    </row>
    <row r="46891" spans="26:26" x14ac:dyDescent="0.25">
      <c r="Z46891">
        <v>400000</v>
      </c>
    </row>
    <row r="46892" spans="26:26" x14ac:dyDescent="0.25">
      <c r="Z46892">
        <v>400000</v>
      </c>
    </row>
    <row r="46893" spans="26:26" x14ac:dyDescent="0.25">
      <c r="Z46893">
        <v>400000</v>
      </c>
    </row>
    <row r="46894" spans="26:26" x14ac:dyDescent="0.25">
      <c r="Z46894">
        <v>400000</v>
      </c>
    </row>
    <row r="46895" spans="26:26" x14ac:dyDescent="0.25">
      <c r="Z46895">
        <v>400000</v>
      </c>
    </row>
    <row r="46896" spans="26:26" x14ac:dyDescent="0.25">
      <c r="Z46896">
        <v>400000</v>
      </c>
    </row>
    <row r="46897" spans="26:26" x14ac:dyDescent="0.25">
      <c r="Z46897">
        <v>400000</v>
      </c>
    </row>
    <row r="46898" spans="26:26" x14ac:dyDescent="0.25">
      <c r="Z46898">
        <v>400000</v>
      </c>
    </row>
    <row r="46899" spans="26:26" x14ac:dyDescent="0.25">
      <c r="Z46899">
        <v>400000</v>
      </c>
    </row>
    <row r="46900" spans="26:26" x14ac:dyDescent="0.25">
      <c r="Z46900">
        <v>400000</v>
      </c>
    </row>
    <row r="46901" spans="26:26" x14ac:dyDescent="0.25">
      <c r="Z46901">
        <v>400000</v>
      </c>
    </row>
    <row r="46902" spans="26:26" x14ac:dyDescent="0.25">
      <c r="Z46902">
        <v>400000</v>
      </c>
    </row>
    <row r="46903" spans="26:26" x14ac:dyDescent="0.25">
      <c r="Z46903">
        <v>400000</v>
      </c>
    </row>
    <row r="46904" spans="26:26" x14ac:dyDescent="0.25">
      <c r="Z46904">
        <v>400000</v>
      </c>
    </row>
    <row r="46905" spans="26:26" x14ac:dyDescent="0.25">
      <c r="Z46905">
        <v>400000</v>
      </c>
    </row>
    <row r="46906" spans="26:26" x14ac:dyDescent="0.25">
      <c r="Z46906">
        <v>400000</v>
      </c>
    </row>
    <row r="46907" spans="26:26" x14ac:dyDescent="0.25">
      <c r="Z46907">
        <v>400000</v>
      </c>
    </row>
    <row r="46908" spans="26:26" x14ac:dyDescent="0.25">
      <c r="Z46908">
        <v>400000</v>
      </c>
    </row>
    <row r="46909" spans="26:26" x14ac:dyDescent="0.25">
      <c r="Z46909">
        <v>400000</v>
      </c>
    </row>
    <row r="46910" spans="26:26" x14ac:dyDescent="0.25">
      <c r="Z46910">
        <v>400000</v>
      </c>
    </row>
    <row r="46911" spans="26:26" x14ac:dyDescent="0.25">
      <c r="Z46911">
        <v>400000</v>
      </c>
    </row>
    <row r="46912" spans="26:26" x14ac:dyDescent="0.25">
      <c r="Z46912">
        <v>400000</v>
      </c>
    </row>
    <row r="46913" spans="26:26" x14ac:dyDescent="0.25">
      <c r="Z46913">
        <v>400000</v>
      </c>
    </row>
    <row r="46914" spans="26:26" x14ac:dyDescent="0.25">
      <c r="Z46914">
        <v>400000</v>
      </c>
    </row>
    <row r="46915" spans="26:26" x14ac:dyDescent="0.25">
      <c r="Z46915">
        <v>400000</v>
      </c>
    </row>
    <row r="46916" spans="26:26" x14ac:dyDescent="0.25">
      <c r="Z46916">
        <v>400000</v>
      </c>
    </row>
    <row r="46917" spans="26:26" x14ac:dyDescent="0.25">
      <c r="Z46917">
        <v>400000</v>
      </c>
    </row>
    <row r="46918" spans="26:26" x14ac:dyDescent="0.25">
      <c r="Z46918">
        <v>400000</v>
      </c>
    </row>
    <row r="46919" spans="26:26" x14ac:dyDescent="0.25">
      <c r="Z46919">
        <v>400000</v>
      </c>
    </row>
    <row r="46920" spans="26:26" x14ac:dyDescent="0.25">
      <c r="Z46920">
        <v>400000</v>
      </c>
    </row>
    <row r="46921" spans="26:26" x14ac:dyDescent="0.25">
      <c r="Z46921">
        <v>400000</v>
      </c>
    </row>
    <row r="46922" spans="26:26" x14ac:dyDescent="0.25">
      <c r="Z46922">
        <v>400000</v>
      </c>
    </row>
    <row r="46923" spans="26:26" x14ac:dyDescent="0.25">
      <c r="Z46923">
        <v>400000</v>
      </c>
    </row>
    <row r="46924" spans="26:26" x14ac:dyDescent="0.25">
      <c r="Z46924">
        <v>400000</v>
      </c>
    </row>
    <row r="46925" spans="26:26" x14ac:dyDescent="0.25">
      <c r="Z46925">
        <v>400000</v>
      </c>
    </row>
    <row r="46926" spans="26:26" x14ac:dyDescent="0.25">
      <c r="Z46926">
        <v>400000</v>
      </c>
    </row>
    <row r="46927" spans="26:26" x14ac:dyDescent="0.25">
      <c r="Z46927">
        <v>400000</v>
      </c>
    </row>
    <row r="46928" spans="26:26" x14ac:dyDescent="0.25">
      <c r="Z46928">
        <v>400000</v>
      </c>
    </row>
    <row r="46929" spans="26:26" x14ac:dyDescent="0.25">
      <c r="Z46929">
        <v>400000</v>
      </c>
    </row>
    <row r="46930" spans="26:26" x14ac:dyDescent="0.25">
      <c r="Z46930">
        <v>400000</v>
      </c>
    </row>
    <row r="46931" spans="26:26" x14ac:dyDescent="0.25">
      <c r="Z46931">
        <v>400000</v>
      </c>
    </row>
    <row r="46932" spans="26:26" x14ac:dyDescent="0.25">
      <c r="Z46932">
        <v>400000</v>
      </c>
    </row>
    <row r="46933" spans="26:26" x14ac:dyDescent="0.25">
      <c r="Z46933">
        <v>400000</v>
      </c>
    </row>
    <row r="46934" spans="26:26" x14ac:dyDescent="0.25">
      <c r="Z46934">
        <v>400000</v>
      </c>
    </row>
    <row r="46935" spans="26:26" x14ac:dyDescent="0.25">
      <c r="Z46935">
        <v>400000</v>
      </c>
    </row>
    <row r="46936" spans="26:26" x14ac:dyDescent="0.25">
      <c r="Z46936">
        <v>400000</v>
      </c>
    </row>
    <row r="46937" spans="26:26" x14ac:dyDescent="0.25">
      <c r="Z46937">
        <v>400000</v>
      </c>
    </row>
    <row r="46938" spans="26:26" x14ac:dyDescent="0.25">
      <c r="Z46938">
        <v>400000</v>
      </c>
    </row>
    <row r="46939" spans="26:26" x14ac:dyDescent="0.25">
      <c r="Z46939">
        <v>400000</v>
      </c>
    </row>
    <row r="46940" spans="26:26" x14ac:dyDescent="0.25">
      <c r="Z46940">
        <v>400000</v>
      </c>
    </row>
    <row r="46941" spans="26:26" x14ac:dyDescent="0.25">
      <c r="Z46941">
        <v>400000</v>
      </c>
    </row>
    <row r="46942" spans="26:26" x14ac:dyDescent="0.25">
      <c r="Z46942">
        <v>400000</v>
      </c>
    </row>
    <row r="46943" spans="26:26" x14ac:dyDescent="0.25">
      <c r="Z46943">
        <v>400000</v>
      </c>
    </row>
    <row r="46944" spans="26:26" x14ac:dyDescent="0.25">
      <c r="Z46944">
        <v>400000</v>
      </c>
    </row>
    <row r="46945" spans="26:26" x14ac:dyDescent="0.25">
      <c r="Z46945">
        <v>400000</v>
      </c>
    </row>
    <row r="46946" spans="26:26" x14ac:dyDescent="0.25">
      <c r="Z46946">
        <v>400000</v>
      </c>
    </row>
    <row r="46947" spans="26:26" x14ac:dyDescent="0.25">
      <c r="Z46947">
        <v>400000</v>
      </c>
    </row>
    <row r="46948" spans="26:26" x14ac:dyDescent="0.25">
      <c r="Z46948">
        <v>400000</v>
      </c>
    </row>
    <row r="46949" spans="26:26" x14ac:dyDescent="0.25">
      <c r="Z46949">
        <v>400000</v>
      </c>
    </row>
    <row r="46950" spans="26:26" x14ac:dyDescent="0.25">
      <c r="Z46950">
        <v>400000</v>
      </c>
    </row>
    <row r="46951" spans="26:26" x14ac:dyDescent="0.25">
      <c r="Z46951">
        <v>400000</v>
      </c>
    </row>
    <row r="46952" spans="26:26" x14ac:dyDescent="0.25">
      <c r="Z46952">
        <v>400000</v>
      </c>
    </row>
    <row r="46953" spans="26:26" x14ac:dyDescent="0.25">
      <c r="Z46953">
        <v>400000</v>
      </c>
    </row>
    <row r="46954" spans="26:26" x14ac:dyDescent="0.25">
      <c r="Z46954">
        <v>400000</v>
      </c>
    </row>
    <row r="46955" spans="26:26" x14ac:dyDescent="0.25">
      <c r="Z46955">
        <v>400000</v>
      </c>
    </row>
    <row r="46956" spans="26:26" x14ac:dyDescent="0.25">
      <c r="Z46956">
        <v>400000</v>
      </c>
    </row>
    <row r="46957" spans="26:26" x14ac:dyDescent="0.25">
      <c r="Z46957">
        <v>400000</v>
      </c>
    </row>
    <row r="46958" spans="26:26" x14ac:dyDescent="0.25">
      <c r="Z46958">
        <v>400000</v>
      </c>
    </row>
    <row r="46959" spans="26:26" x14ac:dyDescent="0.25">
      <c r="Z46959">
        <v>400000</v>
      </c>
    </row>
    <row r="46960" spans="26:26" x14ac:dyDescent="0.25">
      <c r="Z46960">
        <v>400000</v>
      </c>
    </row>
    <row r="46961" spans="26:26" x14ac:dyDescent="0.25">
      <c r="Z46961">
        <v>400000</v>
      </c>
    </row>
    <row r="46962" spans="26:26" x14ac:dyDescent="0.25">
      <c r="Z46962">
        <v>400000</v>
      </c>
    </row>
    <row r="46963" spans="26:26" x14ac:dyDescent="0.25">
      <c r="Z46963">
        <v>400000</v>
      </c>
    </row>
    <row r="46964" spans="26:26" x14ac:dyDescent="0.25">
      <c r="Z46964">
        <v>400000</v>
      </c>
    </row>
    <row r="46965" spans="26:26" x14ac:dyDescent="0.25">
      <c r="Z46965">
        <v>400000</v>
      </c>
    </row>
    <row r="46966" spans="26:26" x14ac:dyDescent="0.25">
      <c r="Z46966">
        <v>400000</v>
      </c>
    </row>
    <row r="46967" spans="26:26" x14ac:dyDescent="0.25">
      <c r="Z46967">
        <v>400000</v>
      </c>
    </row>
    <row r="46968" spans="26:26" x14ac:dyDescent="0.25">
      <c r="Z46968">
        <v>400000</v>
      </c>
    </row>
    <row r="46969" spans="26:26" x14ac:dyDescent="0.25">
      <c r="Z46969">
        <v>400000</v>
      </c>
    </row>
    <row r="46970" spans="26:26" x14ac:dyDescent="0.25">
      <c r="Z46970">
        <v>400000</v>
      </c>
    </row>
    <row r="46971" spans="26:26" x14ac:dyDescent="0.25">
      <c r="Z46971">
        <v>400000</v>
      </c>
    </row>
    <row r="46972" spans="26:26" x14ac:dyDescent="0.25">
      <c r="Z46972">
        <v>400000</v>
      </c>
    </row>
    <row r="46973" spans="26:26" x14ac:dyDescent="0.25">
      <c r="Z46973">
        <v>400000</v>
      </c>
    </row>
    <row r="46974" spans="26:26" x14ac:dyDescent="0.25">
      <c r="Z46974">
        <v>400000</v>
      </c>
    </row>
    <row r="46975" spans="26:26" x14ac:dyDescent="0.25">
      <c r="Z46975">
        <v>400000</v>
      </c>
    </row>
    <row r="46976" spans="26:26" x14ac:dyDescent="0.25">
      <c r="Z46976">
        <v>400000</v>
      </c>
    </row>
    <row r="46977" spans="26:26" x14ac:dyDescent="0.25">
      <c r="Z46977">
        <v>400000</v>
      </c>
    </row>
    <row r="46978" spans="26:26" x14ac:dyDescent="0.25">
      <c r="Z46978">
        <v>400000</v>
      </c>
    </row>
    <row r="46979" spans="26:26" x14ac:dyDescent="0.25">
      <c r="Z46979">
        <v>400000</v>
      </c>
    </row>
    <row r="46980" spans="26:26" x14ac:dyDescent="0.25">
      <c r="Z46980">
        <v>400000</v>
      </c>
    </row>
    <row r="46981" spans="26:26" x14ac:dyDescent="0.25">
      <c r="Z46981">
        <v>400000</v>
      </c>
    </row>
    <row r="46982" spans="26:26" x14ac:dyDescent="0.25">
      <c r="Z46982">
        <v>400000</v>
      </c>
    </row>
    <row r="46983" spans="26:26" x14ac:dyDescent="0.25">
      <c r="Z46983">
        <v>400000</v>
      </c>
    </row>
    <row r="46984" spans="26:26" x14ac:dyDescent="0.25">
      <c r="Z46984">
        <v>400000</v>
      </c>
    </row>
    <row r="46985" spans="26:26" x14ac:dyDescent="0.25">
      <c r="Z46985">
        <v>400000</v>
      </c>
    </row>
    <row r="46986" spans="26:26" x14ac:dyDescent="0.25">
      <c r="Z46986">
        <v>400000</v>
      </c>
    </row>
    <row r="46987" spans="26:26" x14ac:dyDescent="0.25">
      <c r="Z46987">
        <v>400000</v>
      </c>
    </row>
    <row r="46988" spans="26:26" x14ac:dyDescent="0.25">
      <c r="Z46988">
        <v>400000</v>
      </c>
    </row>
    <row r="46989" spans="26:26" x14ac:dyDescent="0.25">
      <c r="Z46989">
        <v>400000</v>
      </c>
    </row>
    <row r="46990" spans="26:26" x14ac:dyDescent="0.25">
      <c r="Z46990">
        <v>400000</v>
      </c>
    </row>
    <row r="46991" spans="26:26" x14ac:dyDescent="0.25">
      <c r="Z46991">
        <v>400000</v>
      </c>
    </row>
    <row r="46992" spans="26:26" x14ac:dyDescent="0.25">
      <c r="Z46992">
        <v>400000</v>
      </c>
    </row>
    <row r="46993" spans="26:26" x14ac:dyDescent="0.25">
      <c r="Z46993">
        <v>400000</v>
      </c>
    </row>
    <row r="46994" spans="26:26" x14ac:dyDescent="0.25">
      <c r="Z46994">
        <v>400000</v>
      </c>
    </row>
    <row r="46995" spans="26:26" x14ac:dyDescent="0.25">
      <c r="Z46995">
        <v>400000</v>
      </c>
    </row>
    <row r="46996" spans="26:26" x14ac:dyDescent="0.25">
      <c r="Z46996">
        <v>400000</v>
      </c>
    </row>
    <row r="46997" spans="26:26" x14ac:dyDescent="0.25">
      <c r="Z46997">
        <v>400000</v>
      </c>
    </row>
    <row r="46998" spans="26:26" x14ac:dyDescent="0.25">
      <c r="Z46998">
        <v>400000</v>
      </c>
    </row>
    <row r="46999" spans="26:26" x14ac:dyDescent="0.25">
      <c r="Z46999">
        <v>400000</v>
      </c>
    </row>
    <row r="47000" spans="26:26" x14ac:dyDescent="0.25">
      <c r="Z47000">
        <v>400000</v>
      </c>
    </row>
    <row r="47001" spans="26:26" x14ac:dyDescent="0.25">
      <c r="Z47001">
        <v>400000</v>
      </c>
    </row>
    <row r="47002" spans="26:26" x14ac:dyDescent="0.25">
      <c r="Z47002">
        <v>400000</v>
      </c>
    </row>
    <row r="47003" spans="26:26" x14ac:dyDescent="0.25">
      <c r="Z47003">
        <v>400000</v>
      </c>
    </row>
    <row r="47004" spans="26:26" x14ac:dyDescent="0.25">
      <c r="Z47004">
        <v>400000</v>
      </c>
    </row>
    <row r="47005" spans="26:26" x14ac:dyDescent="0.25">
      <c r="Z47005">
        <v>400000</v>
      </c>
    </row>
    <row r="47006" spans="26:26" x14ac:dyDescent="0.25">
      <c r="Z47006">
        <v>400000</v>
      </c>
    </row>
    <row r="47007" spans="26:26" x14ac:dyDescent="0.25">
      <c r="Z47007">
        <v>400000</v>
      </c>
    </row>
    <row r="47008" spans="26:26" x14ac:dyDescent="0.25">
      <c r="Z47008">
        <v>400000</v>
      </c>
    </row>
    <row r="47009" spans="26:26" x14ac:dyDescent="0.25">
      <c r="Z47009">
        <v>400000</v>
      </c>
    </row>
    <row r="47010" spans="26:26" x14ac:dyDescent="0.25">
      <c r="Z47010">
        <v>400000</v>
      </c>
    </row>
    <row r="47011" spans="26:26" x14ac:dyDescent="0.25">
      <c r="Z47011">
        <v>400000</v>
      </c>
    </row>
    <row r="47012" spans="26:26" x14ac:dyDescent="0.25">
      <c r="Z47012">
        <v>400000</v>
      </c>
    </row>
    <row r="47013" spans="26:26" x14ac:dyDescent="0.25">
      <c r="Z47013">
        <v>400000</v>
      </c>
    </row>
    <row r="47014" spans="26:26" x14ac:dyDescent="0.25">
      <c r="Z47014">
        <v>400000</v>
      </c>
    </row>
    <row r="47015" spans="26:26" x14ac:dyDescent="0.25">
      <c r="Z47015">
        <v>400000</v>
      </c>
    </row>
    <row r="47016" spans="26:26" x14ac:dyDescent="0.25">
      <c r="Z47016">
        <v>400000</v>
      </c>
    </row>
    <row r="47017" spans="26:26" x14ac:dyDescent="0.25">
      <c r="Z47017">
        <v>400000</v>
      </c>
    </row>
    <row r="47018" spans="26:26" x14ac:dyDescent="0.25">
      <c r="Z47018">
        <v>400000</v>
      </c>
    </row>
    <row r="47019" spans="26:26" x14ac:dyDescent="0.25">
      <c r="Z47019">
        <v>400000</v>
      </c>
    </row>
    <row r="47020" spans="26:26" x14ac:dyDescent="0.25">
      <c r="Z47020">
        <v>400000</v>
      </c>
    </row>
    <row r="47021" spans="26:26" x14ac:dyDescent="0.25">
      <c r="Z47021">
        <v>400000</v>
      </c>
    </row>
    <row r="47022" spans="26:26" x14ac:dyDescent="0.25">
      <c r="Z47022">
        <v>400000</v>
      </c>
    </row>
    <row r="47023" spans="26:26" x14ac:dyDescent="0.25">
      <c r="Z47023">
        <v>400000</v>
      </c>
    </row>
    <row r="47024" spans="26:26" x14ac:dyDescent="0.25">
      <c r="Z47024">
        <v>400000</v>
      </c>
    </row>
    <row r="47025" spans="26:26" x14ac:dyDescent="0.25">
      <c r="Z47025">
        <v>400000</v>
      </c>
    </row>
    <row r="47026" spans="26:26" x14ac:dyDescent="0.25">
      <c r="Z47026">
        <v>400000</v>
      </c>
    </row>
    <row r="47027" spans="26:26" x14ac:dyDescent="0.25">
      <c r="Z47027">
        <v>400000</v>
      </c>
    </row>
    <row r="47028" spans="26:26" x14ac:dyDescent="0.25">
      <c r="Z47028">
        <v>400000</v>
      </c>
    </row>
    <row r="47029" spans="26:26" x14ac:dyDescent="0.25">
      <c r="Z47029">
        <v>400000</v>
      </c>
    </row>
    <row r="47030" spans="26:26" x14ac:dyDescent="0.25">
      <c r="Z47030">
        <v>400000</v>
      </c>
    </row>
    <row r="47031" spans="26:26" x14ac:dyDescent="0.25">
      <c r="Z47031">
        <v>400000</v>
      </c>
    </row>
    <row r="47032" spans="26:26" x14ac:dyDescent="0.25">
      <c r="Z47032">
        <v>400000</v>
      </c>
    </row>
    <row r="47033" spans="26:26" x14ac:dyDescent="0.25">
      <c r="Z47033">
        <v>400000</v>
      </c>
    </row>
    <row r="47034" spans="26:26" x14ac:dyDescent="0.25">
      <c r="Z47034">
        <v>400000</v>
      </c>
    </row>
    <row r="47035" spans="26:26" x14ac:dyDescent="0.25">
      <c r="Z47035">
        <v>400000</v>
      </c>
    </row>
    <row r="47036" spans="26:26" x14ac:dyDescent="0.25">
      <c r="Z47036">
        <v>400000</v>
      </c>
    </row>
    <row r="47037" spans="26:26" x14ac:dyDescent="0.25">
      <c r="Z47037">
        <v>400000</v>
      </c>
    </row>
    <row r="47038" spans="26:26" x14ac:dyDescent="0.25">
      <c r="Z47038">
        <v>400000</v>
      </c>
    </row>
    <row r="47039" spans="26:26" x14ac:dyDescent="0.25">
      <c r="Z47039">
        <v>400000</v>
      </c>
    </row>
    <row r="47040" spans="26:26" x14ac:dyDescent="0.25">
      <c r="Z47040">
        <v>400000</v>
      </c>
    </row>
    <row r="47041" spans="26:26" x14ac:dyDescent="0.25">
      <c r="Z47041">
        <v>400000</v>
      </c>
    </row>
    <row r="47042" spans="26:26" x14ac:dyDescent="0.25">
      <c r="Z47042">
        <v>400000</v>
      </c>
    </row>
    <row r="47043" spans="26:26" x14ac:dyDescent="0.25">
      <c r="Z47043">
        <v>400000</v>
      </c>
    </row>
    <row r="47044" spans="26:26" x14ac:dyDescent="0.25">
      <c r="Z47044">
        <v>400000</v>
      </c>
    </row>
    <row r="47045" spans="26:26" x14ac:dyDescent="0.25">
      <c r="Z47045">
        <v>400000</v>
      </c>
    </row>
    <row r="47046" spans="26:26" x14ac:dyDescent="0.25">
      <c r="Z47046">
        <v>400000</v>
      </c>
    </row>
    <row r="47047" spans="26:26" x14ac:dyDescent="0.25">
      <c r="Z47047">
        <v>400000</v>
      </c>
    </row>
    <row r="47048" spans="26:26" x14ac:dyDescent="0.25">
      <c r="Z47048">
        <v>400000</v>
      </c>
    </row>
    <row r="47049" spans="26:26" x14ac:dyDescent="0.25">
      <c r="Z47049">
        <v>400000</v>
      </c>
    </row>
    <row r="47050" spans="26:26" x14ac:dyDescent="0.25">
      <c r="Z47050">
        <v>400000</v>
      </c>
    </row>
    <row r="47051" spans="26:26" x14ac:dyDescent="0.25">
      <c r="Z47051">
        <v>400000</v>
      </c>
    </row>
    <row r="47052" spans="26:26" x14ac:dyDescent="0.25">
      <c r="Z47052">
        <v>400000</v>
      </c>
    </row>
    <row r="47053" spans="26:26" x14ac:dyDescent="0.25">
      <c r="Z47053">
        <v>400000</v>
      </c>
    </row>
    <row r="47054" spans="26:26" x14ac:dyDescent="0.25">
      <c r="Z47054">
        <v>400000</v>
      </c>
    </row>
    <row r="47055" spans="26:26" x14ac:dyDescent="0.25">
      <c r="Z47055">
        <v>400000</v>
      </c>
    </row>
    <row r="47056" spans="26:26" x14ac:dyDescent="0.25">
      <c r="Z47056">
        <v>400000</v>
      </c>
    </row>
    <row r="47057" spans="26:26" x14ac:dyDescent="0.25">
      <c r="Z47057">
        <v>400000</v>
      </c>
    </row>
    <row r="47058" spans="26:26" x14ac:dyDescent="0.25">
      <c r="Z47058">
        <v>400000</v>
      </c>
    </row>
    <row r="47059" spans="26:26" x14ac:dyDescent="0.25">
      <c r="Z47059">
        <v>400000</v>
      </c>
    </row>
    <row r="47060" spans="26:26" x14ac:dyDescent="0.25">
      <c r="Z47060">
        <v>400000</v>
      </c>
    </row>
    <row r="47061" spans="26:26" x14ac:dyDescent="0.25">
      <c r="Z47061">
        <v>400000</v>
      </c>
    </row>
    <row r="47062" spans="26:26" x14ac:dyDescent="0.25">
      <c r="Z47062">
        <v>400000</v>
      </c>
    </row>
    <row r="47063" spans="26:26" x14ac:dyDescent="0.25">
      <c r="Z47063">
        <v>400000</v>
      </c>
    </row>
    <row r="47064" spans="26:26" x14ac:dyDescent="0.25">
      <c r="Z47064">
        <v>400000</v>
      </c>
    </row>
    <row r="47065" spans="26:26" x14ac:dyDescent="0.25">
      <c r="Z47065">
        <v>400000</v>
      </c>
    </row>
    <row r="47066" spans="26:26" x14ac:dyDescent="0.25">
      <c r="Z47066">
        <v>400000</v>
      </c>
    </row>
    <row r="47067" spans="26:26" x14ac:dyDescent="0.25">
      <c r="Z47067">
        <v>400000</v>
      </c>
    </row>
    <row r="47068" spans="26:26" x14ac:dyDescent="0.25">
      <c r="Z47068">
        <v>400000</v>
      </c>
    </row>
    <row r="47069" spans="26:26" x14ac:dyDescent="0.25">
      <c r="Z47069">
        <v>400000</v>
      </c>
    </row>
    <row r="47070" spans="26:26" x14ac:dyDescent="0.25">
      <c r="Z47070">
        <v>400000</v>
      </c>
    </row>
    <row r="47071" spans="26:26" x14ac:dyDescent="0.25">
      <c r="Z47071">
        <v>400000</v>
      </c>
    </row>
    <row r="47072" spans="26:26" x14ac:dyDescent="0.25">
      <c r="Z47072">
        <v>400000</v>
      </c>
    </row>
    <row r="47073" spans="26:26" x14ac:dyDescent="0.25">
      <c r="Z47073">
        <v>400000</v>
      </c>
    </row>
    <row r="47074" spans="26:26" x14ac:dyDescent="0.25">
      <c r="Z47074">
        <v>400000</v>
      </c>
    </row>
    <row r="47075" spans="26:26" x14ac:dyDescent="0.25">
      <c r="Z47075">
        <v>400000</v>
      </c>
    </row>
    <row r="47076" spans="26:26" x14ac:dyDescent="0.25">
      <c r="Z47076">
        <v>400000</v>
      </c>
    </row>
    <row r="47077" spans="26:26" x14ac:dyDescent="0.25">
      <c r="Z47077">
        <v>400000</v>
      </c>
    </row>
    <row r="47078" spans="26:26" x14ac:dyDescent="0.25">
      <c r="Z47078">
        <v>400000</v>
      </c>
    </row>
    <row r="47079" spans="26:26" x14ac:dyDescent="0.25">
      <c r="Z47079">
        <v>400000</v>
      </c>
    </row>
    <row r="47080" spans="26:26" x14ac:dyDescent="0.25">
      <c r="Z47080">
        <v>400000</v>
      </c>
    </row>
    <row r="47081" spans="26:26" x14ac:dyDescent="0.25">
      <c r="Z47081">
        <v>400000</v>
      </c>
    </row>
    <row r="47082" spans="26:26" x14ac:dyDescent="0.25">
      <c r="Z47082">
        <v>400000</v>
      </c>
    </row>
    <row r="47083" spans="26:26" x14ac:dyDescent="0.25">
      <c r="Z47083">
        <v>400000</v>
      </c>
    </row>
    <row r="47084" spans="26:26" x14ac:dyDescent="0.25">
      <c r="Z47084">
        <v>400000</v>
      </c>
    </row>
    <row r="47085" spans="26:26" x14ac:dyDescent="0.25">
      <c r="Z47085">
        <v>400000</v>
      </c>
    </row>
    <row r="47086" spans="26:26" x14ac:dyDescent="0.25">
      <c r="Z47086">
        <v>400000</v>
      </c>
    </row>
    <row r="47087" spans="26:26" x14ac:dyDescent="0.25">
      <c r="Z47087">
        <v>400000</v>
      </c>
    </row>
    <row r="47088" spans="26:26" x14ac:dyDescent="0.25">
      <c r="Z47088">
        <v>400000</v>
      </c>
    </row>
    <row r="47089" spans="26:26" x14ac:dyDescent="0.25">
      <c r="Z47089">
        <v>400000</v>
      </c>
    </row>
    <row r="47090" spans="26:26" x14ac:dyDescent="0.25">
      <c r="Z47090">
        <v>400000</v>
      </c>
    </row>
    <row r="47091" spans="26:26" x14ac:dyDescent="0.25">
      <c r="Z47091">
        <v>400000</v>
      </c>
    </row>
    <row r="47092" spans="26:26" x14ac:dyDescent="0.25">
      <c r="Z47092">
        <v>400000</v>
      </c>
    </row>
    <row r="47093" spans="26:26" x14ac:dyDescent="0.25">
      <c r="Z47093">
        <v>400000</v>
      </c>
    </row>
    <row r="47094" spans="26:26" x14ac:dyDescent="0.25">
      <c r="Z47094">
        <v>400000</v>
      </c>
    </row>
    <row r="47095" spans="26:26" x14ac:dyDescent="0.25">
      <c r="Z47095">
        <v>400000</v>
      </c>
    </row>
    <row r="47096" spans="26:26" x14ac:dyDescent="0.25">
      <c r="Z47096">
        <v>400000</v>
      </c>
    </row>
    <row r="47097" spans="26:26" x14ac:dyDescent="0.25">
      <c r="Z47097">
        <v>400000</v>
      </c>
    </row>
    <row r="47098" spans="26:26" x14ac:dyDescent="0.25">
      <c r="Z47098">
        <v>400000</v>
      </c>
    </row>
    <row r="47099" spans="26:26" x14ac:dyDescent="0.25">
      <c r="Z47099">
        <v>400000</v>
      </c>
    </row>
    <row r="47100" spans="26:26" x14ac:dyDescent="0.25">
      <c r="Z47100">
        <v>400000</v>
      </c>
    </row>
    <row r="47101" spans="26:26" x14ac:dyDescent="0.25">
      <c r="Z47101">
        <v>400000</v>
      </c>
    </row>
    <row r="47102" spans="26:26" x14ac:dyDescent="0.25">
      <c r="Z47102">
        <v>400000</v>
      </c>
    </row>
    <row r="47103" spans="26:26" x14ac:dyDescent="0.25">
      <c r="Z47103">
        <v>400000</v>
      </c>
    </row>
    <row r="47104" spans="26:26" x14ac:dyDescent="0.25">
      <c r="Z47104">
        <v>400000</v>
      </c>
    </row>
    <row r="47105" spans="26:26" x14ac:dyDescent="0.25">
      <c r="Z47105">
        <v>400000</v>
      </c>
    </row>
    <row r="47106" spans="26:26" x14ac:dyDescent="0.25">
      <c r="Z47106">
        <v>400000</v>
      </c>
    </row>
    <row r="47107" spans="26:26" x14ac:dyDescent="0.25">
      <c r="Z47107">
        <v>400000</v>
      </c>
    </row>
    <row r="47108" spans="26:26" x14ac:dyDescent="0.25">
      <c r="Z47108">
        <v>400000</v>
      </c>
    </row>
    <row r="47109" spans="26:26" x14ac:dyDescent="0.25">
      <c r="Z47109">
        <v>400000</v>
      </c>
    </row>
    <row r="47110" spans="26:26" x14ac:dyDescent="0.25">
      <c r="Z47110">
        <v>400000</v>
      </c>
    </row>
    <row r="47111" spans="26:26" x14ac:dyDescent="0.25">
      <c r="Z47111">
        <v>400000</v>
      </c>
    </row>
    <row r="47112" spans="26:26" x14ac:dyDescent="0.25">
      <c r="Z47112">
        <v>400000</v>
      </c>
    </row>
    <row r="47113" spans="26:26" x14ac:dyDescent="0.25">
      <c r="Z47113">
        <v>400000</v>
      </c>
    </row>
    <row r="47114" spans="26:26" x14ac:dyDescent="0.25">
      <c r="Z47114">
        <v>400000</v>
      </c>
    </row>
    <row r="47115" spans="26:26" x14ac:dyDescent="0.25">
      <c r="Z47115">
        <v>400000</v>
      </c>
    </row>
    <row r="47116" spans="26:26" x14ac:dyDescent="0.25">
      <c r="Z47116">
        <v>400000</v>
      </c>
    </row>
    <row r="47117" spans="26:26" x14ac:dyDescent="0.25">
      <c r="Z47117">
        <v>400000</v>
      </c>
    </row>
    <row r="47118" spans="26:26" x14ac:dyDescent="0.25">
      <c r="Z47118">
        <v>400000</v>
      </c>
    </row>
    <row r="47119" spans="26:26" x14ac:dyDescent="0.25">
      <c r="Z47119">
        <v>400000</v>
      </c>
    </row>
    <row r="47120" spans="26:26" x14ac:dyDescent="0.25">
      <c r="Z47120">
        <v>400000</v>
      </c>
    </row>
    <row r="47121" spans="26:26" x14ac:dyDescent="0.25">
      <c r="Z47121">
        <v>400000</v>
      </c>
    </row>
    <row r="47122" spans="26:26" x14ac:dyDescent="0.25">
      <c r="Z47122">
        <v>400000</v>
      </c>
    </row>
    <row r="47123" spans="26:26" x14ac:dyDescent="0.25">
      <c r="Z47123">
        <v>400000</v>
      </c>
    </row>
    <row r="47124" spans="26:26" x14ac:dyDescent="0.25">
      <c r="Z47124">
        <v>400000</v>
      </c>
    </row>
    <row r="47125" spans="26:26" x14ac:dyDescent="0.25">
      <c r="Z47125">
        <v>400000</v>
      </c>
    </row>
    <row r="47126" spans="26:26" x14ac:dyDescent="0.25">
      <c r="Z47126">
        <v>400000</v>
      </c>
    </row>
    <row r="47127" spans="26:26" x14ac:dyDescent="0.25">
      <c r="Z47127">
        <v>400000</v>
      </c>
    </row>
    <row r="47128" spans="26:26" x14ac:dyDescent="0.25">
      <c r="Z47128">
        <v>400000</v>
      </c>
    </row>
    <row r="47129" spans="26:26" x14ac:dyDescent="0.25">
      <c r="Z47129">
        <v>400000</v>
      </c>
    </row>
    <row r="47130" spans="26:26" x14ac:dyDescent="0.25">
      <c r="Z47130">
        <v>400000</v>
      </c>
    </row>
    <row r="47131" spans="26:26" x14ac:dyDescent="0.25">
      <c r="Z47131">
        <v>400000</v>
      </c>
    </row>
    <row r="47132" spans="26:26" x14ac:dyDescent="0.25">
      <c r="Z47132">
        <v>400000</v>
      </c>
    </row>
    <row r="47133" spans="26:26" x14ac:dyDescent="0.25">
      <c r="Z47133">
        <v>400000</v>
      </c>
    </row>
    <row r="47134" spans="26:26" x14ac:dyDescent="0.25">
      <c r="Z47134">
        <v>400000</v>
      </c>
    </row>
    <row r="47135" spans="26:26" x14ac:dyDescent="0.25">
      <c r="Z47135">
        <v>400000</v>
      </c>
    </row>
    <row r="47136" spans="26:26" x14ac:dyDescent="0.25">
      <c r="Z47136">
        <v>400000</v>
      </c>
    </row>
    <row r="47137" spans="26:26" x14ac:dyDescent="0.25">
      <c r="Z47137">
        <v>400000</v>
      </c>
    </row>
    <row r="47138" spans="26:26" x14ac:dyDescent="0.25">
      <c r="Z47138">
        <v>400000</v>
      </c>
    </row>
    <row r="47139" spans="26:26" x14ac:dyDescent="0.25">
      <c r="Z47139">
        <v>400000</v>
      </c>
    </row>
    <row r="47140" spans="26:26" x14ac:dyDescent="0.25">
      <c r="Z47140">
        <v>400000</v>
      </c>
    </row>
    <row r="47141" spans="26:26" x14ac:dyDescent="0.25">
      <c r="Z47141">
        <v>400000</v>
      </c>
    </row>
    <row r="47142" spans="26:26" x14ac:dyDescent="0.25">
      <c r="Z47142">
        <v>400000</v>
      </c>
    </row>
    <row r="47143" spans="26:26" x14ac:dyDescent="0.25">
      <c r="Z47143">
        <v>400000</v>
      </c>
    </row>
    <row r="47144" spans="26:26" x14ac:dyDescent="0.25">
      <c r="Z47144">
        <v>400000</v>
      </c>
    </row>
    <row r="47145" spans="26:26" x14ac:dyDescent="0.25">
      <c r="Z47145">
        <v>400000</v>
      </c>
    </row>
    <row r="47146" spans="26:26" x14ac:dyDescent="0.25">
      <c r="Z47146">
        <v>400000</v>
      </c>
    </row>
    <row r="47147" spans="26:26" x14ac:dyDescent="0.25">
      <c r="Z47147">
        <v>400000</v>
      </c>
    </row>
    <row r="47148" spans="26:26" x14ac:dyDescent="0.25">
      <c r="Z47148">
        <v>400000</v>
      </c>
    </row>
    <row r="47149" spans="26:26" x14ac:dyDescent="0.25">
      <c r="Z47149">
        <v>400000</v>
      </c>
    </row>
    <row r="47150" spans="26:26" x14ac:dyDescent="0.25">
      <c r="Z47150">
        <v>400000</v>
      </c>
    </row>
    <row r="47151" spans="26:26" x14ac:dyDescent="0.25">
      <c r="Z47151">
        <v>400000</v>
      </c>
    </row>
    <row r="47152" spans="26:26" x14ac:dyDescent="0.25">
      <c r="Z47152">
        <v>400000</v>
      </c>
    </row>
    <row r="47153" spans="26:26" x14ac:dyDescent="0.25">
      <c r="Z47153">
        <v>400000</v>
      </c>
    </row>
    <row r="47154" spans="26:26" x14ac:dyDescent="0.25">
      <c r="Z47154">
        <v>400000</v>
      </c>
    </row>
    <row r="47155" spans="26:26" x14ac:dyDescent="0.25">
      <c r="Z47155">
        <v>400000</v>
      </c>
    </row>
    <row r="47156" spans="26:26" x14ac:dyDescent="0.25">
      <c r="Z47156">
        <v>400000</v>
      </c>
    </row>
    <row r="47157" spans="26:26" x14ac:dyDescent="0.25">
      <c r="Z47157">
        <v>400000</v>
      </c>
    </row>
    <row r="47158" spans="26:26" x14ac:dyDescent="0.25">
      <c r="Z47158">
        <v>400000</v>
      </c>
    </row>
    <row r="47159" spans="26:26" x14ac:dyDescent="0.25">
      <c r="Z47159">
        <v>400000</v>
      </c>
    </row>
    <row r="47160" spans="26:26" x14ac:dyDescent="0.25">
      <c r="Z47160">
        <v>400000</v>
      </c>
    </row>
    <row r="47161" spans="26:26" x14ac:dyDescent="0.25">
      <c r="Z47161">
        <v>400000</v>
      </c>
    </row>
    <row r="47162" spans="26:26" x14ac:dyDescent="0.25">
      <c r="Z47162">
        <v>400000</v>
      </c>
    </row>
    <row r="47163" spans="26:26" x14ac:dyDescent="0.25">
      <c r="Z47163">
        <v>400000</v>
      </c>
    </row>
    <row r="47164" spans="26:26" x14ac:dyDescent="0.25">
      <c r="Z47164">
        <v>400000</v>
      </c>
    </row>
    <row r="47165" spans="26:26" x14ac:dyDescent="0.25">
      <c r="Z47165">
        <v>400000</v>
      </c>
    </row>
    <row r="47166" spans="26:26" x14ac:dyDescent="0.25">
      <c r="Z47166">
        <v>400000</v>
      </c>
    </row>
    <row r="47167" spans="26:26" x14ac:dyDescent="0.25">
      <c r="Z47167">
        <v>400000</v>
      </c>
    </row>
    <row r="47168" spans="26:26" x14ac:dyDescent="0.25">
      <c r="Z47168">
        <v>400000</v>
      </c>
    </row>
    <row r="47169" spans="26:26" x14ac:dyDescent="0.25">
      <c r="Z47169">
        <v>400000</v>
      </c>
    </row>
    <row r="47170" spans="26:26" x14ac:dyDescent="0.25">
      <c r="Z47170">
        <v>400000</v>
      </c>
    </row>
    <row r="47171" spans="26:26" x14ac:dyDescent="0.25">
      <c r="Z47171">
        <v>400000</v>
      </c>
    </row>
    <row r="47172" spans="26:26" x14ac:dyDescent="0.25">
      <c r="Z47172">
        <v>400000</v>
      </c>
    </row>
    <row r="47173" spans="26:26" x14ac:dyDescent="0.25">
      <c r="Z47173">
        <v>400000</v>
      </c>
    </row>
    <row r="47174" spans="26:26" x14ac:dyDescent="0.25">
      <c r="Z47174">
        <v>400000</v>
      </c>
    </row>
    <row r="47175" spans="26:26" x14ac:dyDescent="0.25">
      <c r="Z47175">
        <v>400000</v>
      </c>
    </row>
    <row r="47176" spans="26:26" x14ac:dyDescent="0.25">
      <c r="Z47176">
        <v>400000</v>
      </c>
    </row>
    <row r="47177" spans="26:26" x14ac:dyDescent="0.25">
      <c r="Z47177">
        <v>400000</v>
      </c>
    </row>
    <row r="47178" spans="26:26" x14ac:dyDescent="0.25">
      <c r="Z47178">
        <v>400000</v>
      </c>
    </row>
    <row r="47179" spans="26:26" x14ac:dyDescent="0.25">
      <c r="Z47179">
        <v>400000</v>
      </c>
    </row>
    <row r="47180" spans="26:26" x14ac:dyDescent="0.25">
      <c r="Z47180">
        <v>400000</v>
      </c>
    </row>
    <row r="47181" spans="26:26" x14ac:dyDescent="0.25">
      <c r="Z47181">
        <v>400000</v>
      </c>
    </row>
    <row r="47182" spans="26:26" x14ac:dyDescent="0.25">
      <c r="Z47182">
        <v>400000</v>
      </c>
    </row>
    <row r="47183" spans="26:26" x14ac:dyDescent="0.25">
      <c r="Z47183">
        <v>400000</v>
      </c>
    </row>
    <row r="47184" spans="26:26" x14ac:dyDescent="0.25">
      <c r="Z47184">
        <v>400000</v>
      </c>
    </row>
    <row r="47185" spans="26:26" x14ac:dyDescent="0.25">
      <c r="Z47185">
        <v>400000</v>
      </c>
    </row>
    <row r="47186" spans="26:26" x14ac:dyDescent="0.25">
      <c r="Z47186">
        <v>400000</v>
      </c>
    </row>
    <row r="47187" spans="26:26" x14ac:dyDescent="0.25">
      <c r="Z47187">
        <v>400000</v>
      </c>
    </row>
    <row r="47188" spans="26:26" x14ac:dyDescent="0.25">
      <c r="Z47188">
        <v>400000</v>
      </c>
    </row>
    <row r="47189" spans="26:26" x14ac:dyDescent="0.25">
      <c r="Z47189">
        <v>400000</v>
      </c>
    </row>
    <row r="47190" spans="26:26" x14ac:dyDescent="0.25">
      <c r="Z47190">
        <v>400000</v>
      </c>
    </row>
    <row r="47191" spans="26:26" x14ac:dyDescent="0.25">
      <c r="Z47191">
        <v>400000</v>
      </c>
    </row>
    <row r="47192" spans="26:26" x14ac:dyDescent="0.25">
      <c r="Z47192">
        <v>400000</v>
      </c>
    </row>
    <row r="47193" spans="26:26" x14ac:dyDescent="0.25">
      <c r="Z47193">
        <v>400000</v>
      </c>
    </row>
    <row r="47194" spans="26:26" x14ac:dyDescent="0.25">
      <c r="Z47194">
        <v>400000</v>
      </c>
    </row>
    <row r="47195" spans="26:26" x14ac:dyDescent="0.25">
      <c r="Z47195">
        <v>400000</v>
      </c>
    </row>
    <row r="47196" spans="26:26" x14ac:dyDescent="0.25">
      <c r="Z47196">
        <v>400000</v>
      </c>
    </row>
    <row r="47197" spans="26:26" x14ac:dyDescent="0.25">
      <c r="Z47197">
        <v>400000</v>
      </c>
    </row>
    <row r="47198" spans="26:26" x14ac:dyDescent="0.25">
      <c r="Z47198">
        <v>400000</v>
      </c>
    </row>
    <row r="47199" spans="26:26" x14ac:dyDescent="0.25">
      <c r="Z47199">
        <v>400000</v>
      </c>
    </row>
    <row r="47200" spans="26:26" x14ac:dyDescent="0.25">
      <c r="Z47200">
        <v>400000</v>
      </c>
    </row>
    <row r="47201" spans="26:26" x14ac:dyDescent="0.25">
      <c r="Z47201">
        <v>400000</v>
      </c>
    </row>
    <row r="47202" spans="26:26" x14ac:dyDescent="0.25">
      <c r="Z47202">
        <v>400000</v>
      </c>
    </row>
    <row r="47203" spans="26:26" x14ac:dyDescent="0.25">
      <c r="Z47203">
        <v>400000</v>
      </c>
    </row>
    <row r="47204" spans="26:26" x14ac:dyDescent="0.25">
      <c r="Z47204">
        <v>400000</v>
      </c>
    </row>
    <row r="47205" spans="26:26" x14ac:dyDescent="0.25">
      <c r="Z47205">
        <v>400000</v>
      </c>
    </row>
    <row r="47206" spans="26:26" x14ac:dyDescent="0.25">
      <c r="Z47206">
        <v>400000</v>
      </c>
    </row>
    <row r="47207" spans="26:26" x14ac:dyDescent="0.25">
      <c r="Z47207">
        <v>400000</v>
      </c>
    </row>
    <row r="47208" spans="26:26" x14ac:dyDescent="0.25">
      <c r="Z47208">
        <v>400000</v>
      </c>
    </row>
    <row r="47209" spans="26:26" x14ac:dyDescent="0.25">
      <c r="Z47209">
        <v>400000</v>
      </c>
    </row>
    <row r="47210" spans="26:26" x14ac:dyDescent="0.25">
      <c r="Z47210">
        <v>400000</v>
      </c>
    </row>
    <row r="47211" spans="26:26" x14ac:dyDescent="0.25">
      <c r="Z47211">
        <v>400000</v>
      </c>
    </row>
    <row r="47212" spans="26:26" x14ac:dyDescent="0.25">
      <c r="Z47212">
        <v>400000</v>
      </c>
    </row>
    <row r="47213" spans="26:26" x14ac:dyDescent="0.25">
      <c r="Z47213">
        <v>400000</v>
      </c>
    </row>
    <row r="47214" spans="26:26" x14ac:dyDescent="0.25">
      <c r="Z47214">
        <v>400000</v>
      </c>
    </row>
    <row r="47215" spans="26:26" x14ac:dyDescent="0.25">
      <c r="Z47215">
        <v>400000</v>
      </c>
    </row>
    <row r="47216" spans="26:26" x14ac:dyDescent="0.25">
      <c r="Z47216">
        <v>400000</v>
      </c>
    </row>
    <row r="47217" spans="26:26" x14ac:dyDescent="0.25">
      <c r="Z47217">
        <v>400000</v>
      </c>
    </row>
    <row r="47218" spans="26:26" x14ac:dyDescent="0.25">
      <c r="Z47218">
        <v>400000</v>
      </c>
    </row>
    <row r="47219" spans="26:26" x14ac:dyDescent="0.25">
      <c r="Z47219">
        <v>400000</v>
      </c>
    </row>
    <row r="47220" spans="26:26" x14ac:dyDescent="0.25">
      <c r="Z47220">
        <v>400000</v>
      </c>
    </row>
    <row r="47221" spans="26:26" x14ac:dyDescent="0.25">
      <c r="Z47221">
        <v>400000</v>
      </c>
    </row>
    <row r="47222" spans="26:26" x14ac:dyDescent="0.25">
      <c r="Z47222">
        <v>400000</v>
      </c>
    </row>
    <row r="47223" spans="26:26" x14ac:dyDescent="0.25">
      <c r="Z47223">
        <v>400000</v>
      </c>
    </row>
    <row r="47224" spans="26:26" x14ac:dyDescent="0.25">
      <c r="Z47224">
        <v>400000</v>
      </c>
    </row>
    <row r="47225" spans="26:26" x14ac:dyDescent="0.25">
      <c r="Z47225">
        <v>400000</v>
      </c>
    </row>
    <row r="47226" spans="26:26" x14ac:dyDescent="0.25">
      <c r="Z47226">
        <v>400000</v>
      </c>
    </row>
    <row r="47227" spans="26:26" x14ac:dyDescent="0.25">
      <c r="Z47227">
        <v>400000</v>
      </c>
    </row>
    <row r="47228" spans="26:26" x14ac:dyDescent="0.25">
      <c r="Z47228">
        <v>400000</v>
      </c>
    </row>
    <row r="47229" spans="26:26" x14ac:dyDescent="0.25">
      <c r="Z47229">
        <v>400000</v>
      </c>
    </row>
    <row r="47230" spans="26:26" x14ac:dyDescent="0.25">
      <c r="Z47230">
        <v>400000</v>
      </c>
    </row>
    <row r="47231" spans="26:26" x14ac:dyDescent="0.25">
      <c r="Z47231">
        <v>400000</v>
      </c>
    </row>
    <row r="47232" spans="26:26" x14ac:dyDescent="0.25">
      <c r="Z47232">
        <v>400000</v>
      </c>
    </row>
    <row r="47233" spans="26:26" x14ac:dyDescent="0.25">
      <c r="Z47233">
        <v>400000</v>
      </c>
    </row>
    <row r="47234" spans="26:26" x14ac:dyDescent="0.25">
      <c r="Z47234">
        <v>400000</v>
      </c>
    </row>
    <row r="47235" spans="26:26" x14ac:dyDescent="0.25">
      <c r="Z47235">
        <v>400000</v>
      </c>
    </row>
    <row r="47236" spans="26:26" x14ac:dyDescent="0.25">
      <c r="Z47236">
        <v>400000</v>
      </c>
    </row>
    <row r="47237" spans="26:26" x14ac:dyDescent="0.25">
      <c r="Z47237">
        <v>400000</v>
      </c>
    </row>
    <row r="47238" spans="26:26" x14ac:dyDescent="0.25">
      <c r="Z47238">
        <v>400000</v>
      </c>
    </row>
    <row r="47239" spans="26:26" x14ac:dyDescent="0.25">
      <c r="Z47239">
        <v>400000</v>
      </c>
    </row>
    <row r="47240" spans="26:26" x14ac:dyDescent="0.25">
      <c r="Z47240">
        <v>400000</v>
      </c>
    </row>
    <row r="47241" spans="26:26" x14ac:dyDescent="0.25">
      <c r="Z47241">
        <v>400000</v>
      </c>
    </row>
    <row r="47242" spans="26:26" x14ac:dyDescent="0.25">
      <c r="Z47242">
        <v>400000</v>
      </c>
    </row>
    <row r="47243" spans="26:26" x14ac:dyDescent="0.25">
      <c r="Z47243">
        <v>400000</v>
      </c>
    </row>
    <row r="47244" spans="26:26" x14ac:dyDescent="0.25">
      <c r="Z47244">
        <v>400000</v>
      </c>
    </row>
    <row r="47245" spans="26:26" x14ac:dyDescent="0.25">
      <c r="Z47245">
        <v>400000</v>
      </c>
    </row>
    <row r="47246" spans="26:26" x14ac:dyDescent="0.25">
      <c r="Z47246">
        <v>400000</v>
      </c>
    </row>
    <row r="47247" spans="26:26" x14ac:dyDescent="0.25">
      <c r="Z47247">
        <v>400000</v>
      </c>
    </row>
    <row r="47248" spans="26:26" x14ac:dyDescent="0.25">
      <c r="Z47248">
        <v>400000</v>
      </c>
    </row>
    <row r="47249" spans="26:26" x14ac:dyDescent="0.25">
      <c r="Z47249">
        <v>400000</v>
      </c>
    </row>
    <row r="47250" spans="26:26" x14ac:dyDescent="0.25">
      <c r="Z47250">
        <v>400000</v>
      </c>
    </row>
    <row r="47251" spans="26:26" x14ac:dyDescent="0.25">
      <c r="Z47251">
        <v>400000</v>
      </c>
    </row>
    <row r="47252" spans="26:26" x14ac:dyDescent="0.25">
      <c r="Z47252">
        <v>400000</v>
      </c>
    </row>
    <row r="47253" spans="26:26" x14ac:dyDescent="0.25">
      <c r="Z47253">
        <v>400000</v>
      </c>
    </row>
    <row r="47254" spans="26:26" x14ac:dyDescent="0.25">
      <c r="Z47254">
        <v>400000</v>
      </c>
    </row>
    <row r="47255" spans="26:26" x14ac:dyDescent="0.25">
      <c r="Z47255">
        <v>400000</v>
      </c>
    </row>
    <row r="47256" spans="26:26" x14ac:dyDescent="0.25">
      <c r="Z47256">
        <v>400000</v>
      </c>
    </row>
    <row r="47257" spans="26:26" x14ac:dyDescent="0.25">
      <c r="Z47257">
        <v>400000</v>
      </c>
    </row>
    <row r="47258" spans="26:26" x14ac:dyDescent="0.25">
      <c r="Z47258">
        <v>400000</v>
      </c>
    </row>
    <row r="47259" spans="26:26" x14ac:dyDescent="0.25">
      <c r="Z47259">
        <v>400000</v>
      </c>
    </row>
    <row r="47260" spans="26:26" x14ac:dyDescent="0.25">
      <c r="Z47260">
        <v>400000</v>
      </c>
    </row>
    <row r="47261" spans="26:26" x14ac:dyDescent="0.25">
      <c r="Z47261">
        <v>400000</v>
      </c>
    </row>
    <row r="47262" spans="26:26" x14ac:dyDescent="0.25">
      <c r="Z47262">
        <v>400000</v>
      </c>
    </row>
    <row r="47263" spans="26:26" x14ac:dyDescent="0.25">
      <c r="Z47263">
        <v>400000</v>
      </c>
    </row>
    <row r="47264" spans="26:26" x14ac:dyDescent="0.25">
      <c r="Z47264">
        <v>400000</v>
      </c>
    </row>
    <row r="47265" spans="26:26" x14ac:dyDescent="0.25">
      <c r="Z47265">
        <v>400000</v>
      </c>
    </row>
    <row r="47266" spans="26:26" x14ac:dyDescent="0.25">
      <c r="Z47266">
        <v>400000</v>
      </c>
    </row>
    <row r="47267" spans="26:26" x14ac:dyDescent="0.25">
      <c r="Z47267">
        <v>400000</v>
      </c>
    </row>
    <row r="47268" spans="26:26" x14ac:dyDescent="0.25">
      <c r="Z47268">
        <v>400000</v>
      </c>
    </row>
    <row r="47269" spans="26:26" x14ac:dyDescent="0.25">
      <c r="Z47269">
        <v>400000</v>
      </c>
    </row>
    <row r="47270" spans="26:26" x14ac:dyDescent="0.25">
      <c r="Z47270">
        <v>400000</v>
      </c>
    </row>
    <row r="47271" spans="26:26" x14ac:dyDescent="0.25">
      <c r="Z47271">
        <v>400000</v>
      </c>
    </row>
    <row r="47272" spans="26:26" x14ac:dyDescent="0.25">
      <c r="Z47272">
        <v>400000</v>
      </c>
    </row>
    <row r="47273" spans="26:26" x14ac:dyDescent="0.25">
      <c r="Z47273">
        <v>400000</v>
      </c>
    </row>
    <row r="47274" spans="26:26" x14ac:dyDescent="0.25">
      <c r="Z47274">
        <v>400000</v>
      </c>
    </row>
    <row r="47275" spans="26:26" x14ac:dyDescent="0.25">
      <c r="Z47275">
        <v>400000</v>
      </c>
    </row>
    <row r="47276" spans="26:26" x14ac:dyDescent="0.25">
      <c r="Z47276">
        <v>400000</v>
      </c>
    </row>
    <row r="47277" spans="26:26" x14ac:dyDescent="0.25">
      <c r="Z47277">
        <v>400000</v>
      </c>
    </row>
    <row r="47278" spans="26:26" x14ac:dyDescent="0.25">
      <c r="Z47278">
        <v>400000</v>
      </c>
    </row>
    <row r="47279" spans="26:26" x14ac:dyDescent="0.25">
      <c r="Z47279">
        <v>400000</v>
      </c>
    </row>
    <row r="47280" spans="26:26" x14ac:dyDescent="0.25">
      <c r="Z47280">
        <v>400000</v>
      </c>
    </row>
    <row r="47281" spans="26:26" x14ac:dyDescent="0.25">
      <c r="Z47281">
        <v>400000</v>
      </c>
    </row>
    <row r="47282" spans="26:26" x14ac:dyDescent="0.25">
      <c r="Z47282">
        <v>400000</v>
      </c>
    </row>
    <row r="47283" spans="26:26" x14ac:dyDescent="0.25">
      <c r="Z47283">
        <v>400000</v>
      </c>
    </row>
    <row r="47284" spans="26:26" x14ac:dyDescent="0.25">
      <c r="Z47284">
        <v>400000</v>
      </c>
    </row>
    <row r="47285" spans="26:26" x14ac:dyDescent="0.25">
      <c r="Z47285">
        <v>400000</v>
      </c>
    </row>
    <row r="47286" spans="26:26" x14ac:dyDescent="0.25">
      <c r="Z47286">
        <v>400000</v>
      </c>
    </row>
    <row r="47287" spans="26:26" x14ac:dyDescent="0.25">
      <c r="Z47287">
        <v>400000</v>
      </c>
    </row>
    <row r="47288" spans="26:26" x14ac:dyDescent="0.25">
      <c r="Z47288">
        <v>400000</v>
      </c>
    </row>
    <row r="47289" spans="26:26" x14ac:dyDescent="0.25">
      <c r="Z47289">
        <v>400000</v>
      </c>
    </row>
    <row r="47290" spans="26:26" x14ac:dyDescent="0.25">
      <c r="Z47290">
        <v>400000</v>
      </c>
    </row>
    <row r="47291" spans="26:26" x14ac:dyDescent="0.25">
      <c r="Z47291">
        <v>400000</v>
      </c>
    </row>
    <row r="47292" spans="26:26" x14ac:dyDescent="0.25">
      <c r="Z47292">
        <v>400000</v>
      </c>
    </row>
    <row r="47293" spans="26:26" x14ac:dyDescent="0.25">
      <c r="Z47293">
        <v>400000</v>
      </c>
    </row>
    <row r="47294" spans="26:26" x14ac:dyDescent="0.25">
      <c r="Z47294">
        <v>400000</v>
      </c>
    </row>
    <row r="47295" spans="26:26" x14ac:dyDescent="0.25">
      <c r="Z47295">
        <v>400000</v>
      </c>
    </row>
    <row r="47296" spans="26:26" x14ac:dyDescent="0.25">
      <c r="Z47296">
        <v>400000</v>
      </c>
    </row>
    <row r="47297" spans="26:26" x14ac:dyDescent="0.25">
      <c r="Z47297">
        <v>400000</v>
      </c>
    </row>
    <row r="47298" spans="26:26" x14ac:dyDescent="0.25">
      <c r="Z47298">
        <v>400000</v>
      </c>
    </row>
    <row r="47299" spans="26:26" x14ac:dyDescent="0.25">
      <c r="Z47299">
        <v>400000</v>
      </c>
    </row>
    <row r="47300" spans="26:26" x14ac:dyDescent="0.25">
      <c r="Z47300">
        <v>400000</v>
      </c>
    </row>
    <row r="47301" spans="26:26" x14ac:dyDescent="0.25">
      <c r="Z47301">
        <v>400000</v>
      </c>
    </row>
    <row r="47302" spans="26:26" x14ac:dyDescent="0.25">
      <c r="Z47302">
        <v>400000</v>
      </c>
    </row>
    <row r="47303" spans="26:26" x14ac:dyDescent="0.25">
      <c r="Z47303">
        <v>400000</v>
      </c>
    </row>
    <row r="47304" spans="26:26" x14ac:dyDescent="0.25">
      <c r="Z47304">
        <v>400000</v>
      </c>
    </row>
    <row r="47305" spans="26:26" x14ac:dyDescent="0.25">
      <c r="Z47305">
        <v>400000</v>
      </c>
    </row>
    <row r="47306" spans="26:26" x14ac:dyDescent="0.25">
      <c r="Z47306">
        <v>400000</v>
      </c>
    </row>
    <row r="47307" spans="26:26" x14ac:dyDescent="0.25">
      <c r="Z47307">
        <v>400000</v>
      </c>
    </row>
    <row r="47308" spans="26:26" x14ac:dyDescent="0.25">
      <c r="Z47308">
        <v>400000</v>
      </c>
    </row>
    <row r="47309" spans="26:26" x14ac:dyDescent="0.25">
      <c r="Z47309">
        <v>400000</v>
      </c>
    </row>
    <row r="47310" spans="26:26" x14ac:dyDescent="0.25">
      <c r="Z47310">
        <v>400000</v>
      </c>
    </row>
    <row r="47311" spans="26:26" x14ac:dyDescent="0.25">
      <c r="Z47311">
        <v>400000</v>
      </c>
    </row>
    <row r="47312" spans="26:26" x14ac:dyDescent="0.25">
      <c r="Z47312">
        <v>400000</v>
      </c>
    </row>
    <row r="47313" spans="26:26" x14ac:dyDescent="0.25">
      <c r="Z47313">
        <v>400000</v>
      </c>
    </row>
    <row r="47314" spans="26:26" x14ac:dyDescent="0.25">
      <c r="Z47314">
        <v>400000</v>
      </c>
    </row>
    <row r="47315" spans="26:26" x14ac:dyDescent="0.25">
      <c r="Z47315">
        <v>400000</v>
      </c>
    </row>
    <row r="47316" spans="26:26" x14ac:dyDescent="0.25">
      <c r="Z47316">
        <v>400000</v>
      </c>
    </row>
    <row r="47317" spans="26:26" x14ac:dyDescent="0.25">
      <c r="Z47317">
        <v>400000</v>
      </c>
    </row>
    <row r="47318" spans="26:26" x14ac:dyDescent="0.25">
      <c r="Z47318">
        <v>400000</v>
      </c>
    </row>
    <row r="47319" spans="26:26" x14ac:dyDescent="0.25">
      <c r="Z47319">
        <v>400000</v>
      </c>
    </row>
    <row r="47320" spans="26:26" x14ac:dyDescent="0.25">
      <c r="Z47320">
        <v>400000</v>
      </c>
    </row>
    <row r="47321" spans="26:26" x14ac:dyDescent="0.25">
      <c r="Z47321">
        <v>400000</v>
      </c>
    </row>
    <row r="47322" spans="26:26" x14ac:dyDescent="0.25">
      <c r="Z47322">
        <v>400000</v>
      </c>
    </row>
    <row r="47323" spans="26:26" x14ac:dyDescent="0.25">
      <c r="Z47323">
        <v>400000</v>
      </c>
    </row>
    <row r="47324" spans="26:26" x14ac:dyDescent="0.25">
      <c r="Z47324">
        <v>400000</v>
      </c>
    </row>
    <row r="47325" spans="26:26" x14ac:dyDescent="0.25">
      <c r="Z47325">
        <v>400000</v>
      </c>
    </row>
    <row r="47326" spans="26:26" x14ac:dyDescent="0.25">
      <c r="Z47326">
        <v>400000</v>
      </c>
    </row>
    <row r="47327" spans="26:26" x14ac:dyDescent="0.25">
      <c r="Z47327">
        <v>400000</v>
      </c>
    </row>
    <row r="47328" spans="26:26" x14ac:dyDescent="0.25">
      <c r="Z47328">
        <v>400000</v>
      </c>
    </row>
    <row r="47329" spans="26:26" x14ac:dyDescent="0.25">
      <c r="Z47329">
        <v>400000</v>
      </c>
    </row>
    <row r="47330" spans="26:26" x14ac:dyDescent="0.25">
      <c r="Z47330">
        <v>400000</v>
      </c>
    </row>
    <row r="47331" spans="26:26" x14ac:dyDescent="0.25">
      <c r="Z47331">
        <v>400000</v>
      </c>
    </row>
    <row r="47332" spans="26:26" x14ac:dyDescent="0.25">
      <c r="Z47332">
        <v>400000</v>
      </c>
    </row>
    <row r="47333" spans="26:26" x14ac:dyDescent="0.25">
      <c r="Z47333">
        <v>400000</v>
      </c>
    </row>
    <row r="47334" spans="26:26" x14ac:dyDescent="0.25">
      <c r="Z47334">
        <v>400000</v>
      </c>
    </row>
    <row r="47335" spans="26:26" x14ac:dyDescent="0.25">
      <c r="Z47335">
        <v>400000</v>
      </c>
    </row>
    <row r="47336" spans="26:26" x14ac:dyDescent="0.25">
      <c r="Z47336">
        <v>400000</v>
      </c>
    </row>
    <row r="47337" spans="26:26" x14ac:dyDescent="0.25">
      <c r="Z47337">
        <v>400000</v>
      </c>
    </row>
    <row r="47338" spans="26:26" x14ac:dyDescent="0.25">
      <c r="Z47338">
        <v>400000</v>
      </c>
    </row>
    <row r="47339" spans="26:26" x14ac:dyDescent="0.25">
      <c r="Z47339">
        <v>400000</v>
      </c>
    </row>
    <row r="47340" spans="26:26" x14ac:dyDescent="0.25">
      <c r="Z47340">
        <v>400000</v>
      </c>
    </row>
    <row r="47341" spans="26:26" x14ac:dyDescent="0.25">
      <c r="Z47341">
        <v>400000</v>
      </c>
    </row>
    <row r="47342" spans="26:26" x14ac:dyDescent="0.25">
      <c r="Z47342">
        <v>400000</v>
      </c>
    </row>
    <row r="47343" spans="26:26" x14ac:dyDescent="0.25">
      <c r="Z47343">
        <v>400000</v>
      </c>
    </row>
    <row r="47344" spans="26:26" x14ac:dyDescent="0.25">
      <c r="Z47344">
        <v>400000</v>
      </c>
    </row>
    <row r="47345" spans="26:26" x14ac:dyDescent="0.25">
      <c r="Z47345">
        <v>400000</v>
      </c>
    </row>
    <row r="47346" spans="26:26" x14ac:dyDescent="0.25">
      <c r="Z47346">
        <v>400000</v>
      </c>
    </row>
    <row r="47347" spans="26:26" x14ac:dyDescent="0.25">
      <c r="Z47347">
        <v>400000</v>
      </c>
    </row>
    <row r="47348" spans="26:26" x14ac:dyDescent="0.25">
      <c r="Z47348">
        <v>400000</v>
      </c>
    </row>
    <row r="47349" spans="26:26" x14ac:dyDescent="0.25">
      <c r="Z47349">
        <v>400000</v>
      </c>
    </row>
    <row r="47350" spans="26:26" x14ac:dyDescent="0.25">
      <c r="Z47350">
        <v>400000</v>
      </c>
    </row>
    <row r="47351" spans="26:26" x14ac:dyDescent="0.25">
      <c r="Z47351">
        <v>400000</v>
      </c>
    </row>
    <row r="47352" spans="26:26" x14ac:dyDescent="0.25">
      <c r="Z47352">
        <v>400000</v>
      </c>
    </row>
    <row r="47353" spans="26:26" x14ac:dyDescent="0.25">
      <c r="Z47353">
        <v>400000</v>
      </c>
    </row>
    <row r="47354" spans="26:26" x14ac:dyDescent="0.25">
      <c r="Z47354">
        <v>400000</v>
      </c>
    </row>
    <row r="47355" spans="26:26" x14ac:dyDescent="0.25">
      <c r="Z47355">
        <v>400000</v>
      </c>
    </row>
    <row r="47356" spans="26:26" x14ac:dyDescent="0.25">
      <c r="Z47356">
        <v>400000</v>
      </c>
    </row>
    <row r="47357" spans="26:26" x14ac:dyDescent="0.25">
      <c r="Z47357">
        <v>400000</v>
      </c>
    </row>
    <row r="47358" spans="26:26" x14ac:dyDescent="0.25">
      <c r="Z47358">
        <v>400000</v>
      </c>
    </row>
    <row r="47359" spans="26:26" x14ac:dyDescent="0.25">
      <c r="Z47359">
        <v>400000</v>
      </c>
    </row>
    <row r="47360" spans="26:26" x14ac:dyDescent="0.25">
      <c r="Z47360">
        <v>400000</v>
      </c>
    </row>
    <row r="47361" spans="26:26" x14ac:dyDescent="0.25">
      <c r="Z47361">
        <v>400000</v>
      </c>
    </row>
    <row r="47362" spans="26:26" x14ac:dyDescent="0.25">
      <c r="Z47362">
        <v>400000</v>
      </c>
    </row>
    <row r="47363" spans="26:26" x14ac:dyDescent="0.25">
      <c r="Z47363">
        <v>400000</v>
      </c>
    </row>
    <row r="47364" spans="26:26" x14ac:dyDescent="0.25">
      <c r="Z47364">
        <v>400000</v>
      </c>
    </row>
    <row r="47365" spans="26:26" x14ac:dyDescent="0.25">
      <c r="Z47365">
        <v>400000</v>
      </c>
    </row>
    <row r="47366" spans="26:26" x14ac:dyDescent="0.25">
      <c r="Z47366">
        <v>400000</v>
      </c>
    </row>
    <row r="47367" spans="26:26" x14ac:dyDescent="0.25">
      <c r="Z47367">
        <v>400000</v>
      </c>
    </row>
    <row r="47368" spans="26:26" x14ac:dyDescent="0.25">
      <c r="Z47368">
        <v>400000</v>
      </c>
    </row>
    <row r="47369" spans="26:26" x14ac:dyDescent="0.25">
      <c r="Z47369">
        <v>400000</v>
      </c>
    </row>
    <row r="47370" spans="26:26" x14ac:dyDescent="0.25">
      <c r="Z47370">
        <v>400000</v>
      </c>
    </row>
    <row r="47371" spans="26:26" x14ac:dyDescent="0.25">
      <c r="Z47371">
        <v>400000</v>
      </c>
    </row>
    <row r="47372" spans="26:26" x14ac:dyDescent="0.25">
      <c r="Z47372">
        <v>400000</v>
      </c>
    </row>
    <row r="47373" spans="26:26" x14ac:dyDescent="0.25">
      <c r="Z47373">
        <v>400000</v>
      </c>
    </row>
    <row r="47374" spans="26:26" x14ac:dyDescent="0.25">
      <c r="Z47374">
        <v>400000</v>
      </c>
    </row>
    <row r="47375" spans="26:26" x14ac:dyDescent="0.25">
      <c r="Z47375">
        <v>400000</v>
      </c>
    </row>
    <row r="47376" spans="26:26" x14ac:dyDescent="0.25">
      <c r="Z47376">
        <v>400000</v>
      </c>
    </row>
    <row r="47377" spans="26:26" x14ac:dyDescent="0.25">
      <c r="Z47377">
        <v>400000</v>
      </c>
    </row>
    <row r="47378" spans="26:26" x14ac:dyDescent="0.25">
      <c r="Z47378">
        <v>400000</v>
      </c>
    </row>
    <row r="47379" spans="26:26" x14ac:dyDescent="0.25">
      <c r="Z47379">
        <v>400000</v>
      </c>
    </row>
    <row r="47380" spans="26:26" x14ac:dyDescent="0.25">
      <c r="Z47380">
        <v>400000</v>
      </c>
    </row>
    <row r="47381" spans="26:26" x14ac:dyDescent="0.25">
      <c r="Z47381">
        <v>400000</v>
      </c>
    </row>
    <row r="47382" spans="26:26" x14ac:dyDescent="0.25">
      <c r="Z47382">
        <v>400000</v>
      </c>
    </row>
    <row r="47383" spans="26:26" x14ac:dyDescent="0.25">
      <c r="Z47383">
        <v>400000</v>
      </c>
    </row>
    <row r="47384" spans="26:26" x14ac:dyDescent="0.25">
      <c r="Z47384">
        <v>400000</v>
      </c>
    </row>
    <row r="47385" spans="26:26" x14ac:dyDescent="0.25">
      <c r="Z47385">
        <v>400000</v>
      </c>
    </row>
    <row r="47386" spans="26:26" x14ac:dyDescent="0.25">
      <c r="Z47386">
        <v>400000</v>
      </c>
    </row>
    <row r="47387" spans="26:26" x14ac:dyDescent="0.25">
      <c r="Z47387">
        <v>400000</v>
      </c>
    </row>
    <row r="47388" spans="26:26" x14ac:dyDescent="0.25">
      <c r="Z47388">
        <v>400000</v>
      </c>
    </row>
    <row r="47389" spans="26:26" x14ac:dyDescent="0.25">
      <c r="Z47389">
        <v>400000</v>
      </c>
    </row>
    <row r="47390" spans="26:26" x14ac:dyDescent="0.25">
      <c r="Z47390">
        <v>400000</v>
      </c>
    </row>
    <row r="47391" spans="26:26" x14ac:dyDescent="0.25">
      <c r="Z47391">
        <v>400000</v>
      </c>
    </row>
    <row r="47392" spans="26:26" x14ac:dyDescent="0.25">
      <c r="Z47392">
        <v>400000</v>
      </c>
    </row>
    <row r="47393" spans="26:26" x14ac:dyDescent="0.25">
      <c r="Z47393">
        <v>400000</v>
      </c>
    </row>
    <row r="47394" spans="26:26" x14ac:dyDescent="0.25">
      <c r="Z47394">
        <v>400000</v>
      </c>
    </row>
    <row r="47395" spans="26:26" x14ac:dyDescent="0.25">
      <c r="Z47395">
        <v>400000</v>
      </c>
    </row>
    <row r="47396" spans="26:26" x14ac:dyDescent="0.25">
      <c r="Z47396">
        <v>400000</v>
      </c>
    </row>
    <row r="47397" spans="26:26" x14ac:dyDescent="0.25">
      <c r="Z47397">
        <v>400000</v>
      </c>
    </row>
    <row r="47398" spans="26:26" x14ac:dyDescent="0.25">
      <c r="Z47398">
        <v>400000</v>
      </c>
    </row>
    <row r="47399" spans="26:26" x14ac:dyDescent="0.25">
      <c r="Z47399">
        <v>400000</v>
      </c>
    </row>
    <row r="47400" spans="26:26" x14ac:dyDescent="0.25">
      <c r="Z47400">
        <v>400000</v>
      </c>
    </row>
    <row r="47401" spans="26:26" x14ac:dyDescent="0.25">
      <c r="Z47401">
        <v>400000</v>
      </c>
    </row>
    <row r="47402" spans="26:26" x14ac:dyDescent="0.25">
      <c r="Z47402">
        <v>400000</v>
      </c>
    </row>
    <row r="47403" spans="26:26" x14ac:dyDescent="0.25">
      <c r="Z47403">
        <v>400000</v>
      </c>
    </row>
    <row r="47404" spans="26:26" x14ac:dyDescent="0.25">
      <c r="Z47404">
        <v>400000</v>
      </c>
    </row>
    <row r="47405" spans="26:26" x14ac:dyDescent="0.25">
      <c r="Z47405">
        <v>400000</v>
      </c>
    </row>
    <row r="47406" spans="26:26" x14ac:dyDescent="0.25">
      <c r="Z47406">
        <v>400000</v>
      </c>
    </row>
    <row r="47407" spans="26:26" x14ac:dyDescent="0.25">
      <c r="Z47407">
        <v>400000</v>
      </c>
    </row>
    <row r="47408" spans="26:26" x14ac:dyDescent="0.25">
      <c r="Z47408">
        <v>400000</v>
      </c>
    </row>
    <row r="47409" spans="26:26" x14ac:dyDescent="0.25">
      <c r="Z47409">
        <v>400000</v>
      </c>
    </row>
    <row r="47410" spans="26:26" x14ac:dyDescent="0.25">
      <c r="Z47410">
        <v>400000</v>
      </c>
    </row>
    <row r="47411" spans="26:26" x14ac:dyDescent="0.25">
      <c r="Z47411">
        <v>400000</v>
      </c>
    </row>
    <row r="47412" spans="26:26" x14ac:dyDescent="0.25">
      <c r="Z47412">
        <v>400000</v>
      </c>
    </row>
    <row r="47413" spans="26:26" x14ac:dyDescent="0.25">
      <c r="Z47413">
        <v>400000</v>
      </c>
    </row>
    <row r="47414" spans="26:26" x14ac:dyDescent="0.25">
      <c r="Z47414">
        <v>400000</v>
      </c>
    </row>
    <row r="47415" spans="26:26" x14ac:dyDescent="0.25">
      <c r="Z47415">
        <v>400000</v>
      </c>
    </row>
    <row r="47416" spans="26:26" x14ac:dyDescent="0.25">
      <c r="Z47416">
        <v>400000</v>
      </c>
    </row>
    <row r="47417" spans="26:26" x14ac:dyDescent="0.25">
      <c r="Z47417">
        <v>400000</v>
      </c>
    </row>
    <row r="47418" spans="26:26" x14ac:dyDescent="0.25">
      <c r="Z47418">
        <v>400000</v>
      </c>
    </row>
    <row r="47419" spans="26:26" x14ac:dyDescent="0.25">
      <c r="Z47419">
        <v>400000</v>
      </c>
    </row>
    <row r="47420" spans="26:26" x14ac:dyDescent="0.25">
      <c r="Z47420">
        <v>400000</v>
      </c>
    </row>
    <row r="47421" spans="26:26" x14ac:dyDescent="0.25">
      <c r="Z47421">
        <v>400000</v>
      </c>
    </row>
    <row r="47422" spans="26:26" x14ac:dyDescent="0.25">
      <c r="Z47422">
        <v>400000</v>
      </c>
    </row>
    <row r="47423" spans="26:26" x14ac:dyDescent="0.25">
      <c r="Z47423">
        <v>400000</v>
      </c>
    </row>
    <row r="47424" spans="26:26" x14ac:dyDescent="0.25">
      <c r="Z47424">
        <v>400000</v>
      </c>
    </row>
    <row r="47425" spans="26:26" x14ac:dyDescent="0.25">
      <c r="Z47425">
        <v>400000</v>
      </c>
    </row>
    <row r="47426" spans="26:26" x14ac:dyDescent="0.25">
      <c r="Z47426">
        <v>400000</v>
      </c>
    </row>
    <row r="47427" spans="26:26" x14ac:dyDescent="0.25">
      <c r="Z47427">
        <v>400000</v>
      </c>
    </row>
    <row r="47428" spans="26:26" x14ac:dyDescent="0.25">
      <c r="Z47428">
        <v>400000</v>
      </c>
    </row>
    <row r="47429" spans="26:26" x14ac:dyDescent="0.25">
      <c r="Z47429">
        <v>400000</v>
      </c>
    </row>
    <row r="47430" spans="26:26" x14ac:dyDescent="0.25">
      <c r="Z47430">
        <v>400000</v>
      </c>
    </row>
    <row r="47431" spans="26:26" x14ac:dyDescent="0.25">
      <c r="Z47431">
        <v>400000</v>
      </c>
    </row>
    <row r="47432" spans="26:26" x14ac:dyDescent="0.25">
      <c r="Z47432">
        <v>400000</v>
      </c>
    </row>
    <row r="47433" spans="26:26" x14ac:dyDescent="0.25">
      <c r="Z47433">
        <v>400000</v>
      </c>
    </row>
    <row r="47434" spans="26:26" x14ac:dyDescent="0.25">
      <c r="Z47434">
        <v>400000</v>
      </c>
    </row>
    <row r="47435" spans="26:26" x14ac:dyDescent="0.25">
      <c r="Z47435">
        <v>400000</v>
      </c>
    </row>
    <row r="47436" spans="26:26" x14ac:dyDescent="0.25">
      <c r="Z47436">
        <v>400000</v>
      </c>
    </row>
    <row r="47437" spans="26:26" x14ac:dyDescent="0.25">
      <c r="Z47437">
        <v>400000</v>
      </c>
    </row>
    <row r="47438" spans="26:26" x14ac:dyDescent="0.25">
      <c r="Z47438">
        <v>400000</v>
      </c>
    </row>
    <row r="47439" spans="26:26" x14ac:dyDescent="0.25">
      <c r="Z47439">
        <v>400000</v>
      </c>
    </row>
    <row r="47440" spans="26:26" x14ac:dyDescent="0.25">
      <c r="Z47440">
        <v>400000</v>
      </c>
    </row>
    <row r="47441" spans="26:26" x14ac:dyDescent="0.25">
      <c r="Z47441">
        <v>400000</v>
      </c>
    </row>
    <row r="47442" spans="26:26" x14ac:dyDescent="0.25">
      <c r="Z47442">
        <v>400000</v>
      </c>
    </row>
    <row r="47443" spans="26:26" x14ac:dyDescent="0.25">
      <c r="Z47443">
        <v>400000</v>
      </c>
    </row>
    <row r="47444" spans="26:26" x14ac:dyDescent="0.25">
      <c r="Z47444">
        <v>400000</v>
      </c>
    </row>
    <row r="47445" spans="26:26" x14ac:dyDescent="0.25">
      <c r="Z47445">
        <v>400000</v>
      </c>
    </row>
    <row r="47446" spans="26:26" x14ac:dyDescent="0.25">
      <c r="Z47446">
        <v>400000</v>
      </c>
    </row>
    <row r="47447" spans="26:26" x14ac:dyDescent="0.25">
      <c r="Z47447">
        <v>400000</v>
      </c>
    </row>
    <row r="47448" spans="26:26" x14ac:dyDescent="0.25">
      <c r="Z47448">
        <v>400000</v>
      </c>
    </row>
    <row r="47449" spans="26:26" x14ac:dyDescent="0.25">
      <c r="Z47449">
        <v>400000</v>
      </c>
    </row>
    <row r="47450" spans="26:26" x14ac:dyDescent="0.25">
      <c r="Z47450">
        <v>400000</v>
      </c>
    </row>
    <row r="47451" spans="26:26" x14ac:dyDescent="0.25">
      <c r="Z47451">
        <v>400000</v>
      </c>
    </row>
    <row r="47452" spans="26:26" x14ac:dyDescent="0.25">
      <c r="Z47452">
        <v>400000</v>
      </c>
    </row>
    <row r="47453" spans="26:26" x14ac:dyDescent="0.25">
      <c r="Z47453">
        <v>400000</v>
      </c>
    </row>
    <row r="47454" spans="26:26" x14ac:dyDescent="0.25">
      <c r="Z47454">
        <v>400000</v>
      </c>
    </row>
    <row r="47455" spans="26:26" x14ac:dyDescent="0.25">
      <c r="Z47455">
        <v>400000</v>
      </c>
    </row>
    <row r="47456" spans="26:26" x14ac:dyDescent="0.25">
      <c r="Z47456">
        <v>400000</v>
      </c>
    </row>
    <row r="47457" spans="26:26" x14ac:dyDescent="0.25">
      <c r="Z47457">
        <v>400000</v>
      </c>
    </row>
    <row r="47458" spans="26:26" x14ac:dyDescent="0.25">
      <c r="Z47458">
        <v>400000</v>
      </c>
    </row>
    <row r="47459" spans="26:26" x14ac:dyDescent="0.25">
      <c r="Z47459">
        <v>400000</v>
      </c>
    </row>
    <row r="47460" spans="26:26" x14ac:dyDescent="0.25">
      <c r="Z47460">
        <v>400000</v>
      </c>
    </row>
    <row r="47461" spans="26:26" x14ac:dyDescent="0.25">
      <c r="Z47461">
        <v>400000</v>
      </c>
    </row>
    <row r="47462" spans="26:26" x14ac:dyDescent="0.25">
      <c r="Z47462">
        <v>400000</v>
      </c>
    </row>
    <row r="47463" spans="26:26" x14ac:dyDescent="0.25">
      <c r="Z47463">
        <v>400000</v>
      </c>
    </row>
    <row r="47464" spans="26:26" x14ac:dyDescent="0.25">
      <c r="Z47464">
        <v>400000</v>
      </c>
    </row>
    <row r="47465" spans="26:26" x14ac:dyDescent="0.25">
      <c r="Z47465">
        <v>400000</v>
      </c>
    </row>
    <row r="47466" spans="26:26" x14ac:dyDescent="0.25">
      <c r="Z47466">
        <v>400000</v>
      </c>
    </row>
    <row r="47467" spans="26:26" x14ac:dyDescent="0.25">
      <c r="Z47467">
        <v>400000</v>
      </c>
    </row>
    <row r="47468" spans="26:26" x14ac:dyDescent="0.25">
      <c r="Z47468">
        <v>400000</v>
      </c>
    </row>
    <row r="47469" spans="26:26" x14ac:dyDescent="0.25">
      <c r="Z47469">
        <v>400000</v>
      </c>
    </row>
    <row r="47470" spans="26:26" x14ac:dyDescent="0.25">
      <c r="Z47470">
        <v>400000</v>
      </c>
    </row>
    <row r="47471" spans="26:26" x14ac:dyDescent="0.25">
      <c r="Z47471">
        <v>400000</v>
      </c>
    </row>
    <row r="47472" spans="26:26" x14ac:dyDescent="0.25">
      <c r="Z47472">
        <v>400000</v>
      </c>
    </row>
    <row r="47473" spans="26:26" x14ac:dyDescent="0.25">
      <c r="Z47473">
        <v>400000</v>
      </c>
    </row>
    <row r="47474" spans="26:26" x14ac:dyDescent="0.25">
      <c r="Z47474">
        <v>400000</v>
      </c>
    </row>
    <row r="47475" spans="26:26" x14ac:dyDescent="0.25">
      <c r="Z47475">
        <v>400000</v>
      </c>
    </row>
    <row r="47476" spans="26:26" x14ac:dyDescent="0.25">
      <c r="Z47476">
        <v>400000</v>
      </c>
    </row>
    <row r="47477" spans="26:26" x14ac:dyDescent="0.25">
      <c r="Z47477">
        <v>400000</v>
      </c>
    </row>
    <row r="47478" spans="26:26" x14ac:dyDescent="0.25">
      <c r="Z47478">
        <v>400000</v>
      </c>
    </row>
    <row r="47479" spans="26:26" x14ac:dyDescent="0.25">
      <c r="Z47479">
        <v>400000</v>
      </c>
    </row>
    <row r="47480" spans="26:26" x14ac:dyDescent="0.25">
      <c r="Z47480">
        <v>400000</v>
      </c>
    </row>
    <row r="47481" spans="26:26" x14ac:dyDescent="0.25">
      <c r="Z47481">
        <v>400000</v>
      </c>
    </row>
    <row r="47482" spans="26:26" x14ac:dyDescent="0.25">
      <c r="Z47482">
        <v>400000</v>
      </c>
    </row>
    <row r="47483" spans="26:26" x14ac:dyDescent="0.25">
      <c r="Z47483">
        <v>400000</v>
      </c>
    </row>
    <row r="47484" spans="26:26" x14ac:dyDescent="0.25">
      <c r="Z47484">
        <v>400000</v>
      </c>
    </row>
    <row r="47485" spans="26:26" x14ac:dyDescent="0.25">
      <c r="Z47485">
        <v>400000</v>
      </c>
    </row>
    <row r="47486" spans="26:26" x14ac:dyDescent="0.25">
      <c r="Z47486">
        <v>400000</v>
      </c>
    </row>
    <row r="47487" spans="26:26" x14ac:dyDescent="0.25">
      <c r="Z47487">
        <v>400000</v>
      </c>
    </row>
    <row r="47488" spans="26:26" x14ac:dyDescent="0.25">
      <c r="Z47488">
        <v>400000</v>
      </c>
    </row>
    <row r="47489" spans="26:26" x14ac:dyDescent="0.25">
      <c r="Z47489">
        <v>400000</v>
      </c>
    </row>
    <row r="47490" spans="26:26" x14ac:dyDescent="0.25">
      <c r="Z47490">
        <v>400000</v>
      </c>
    </row>
    <row r="47491" spans="26:26" x14ac:dyDescent="0.25">
      <c r="Z47491">
        <v>400000</v>
      </c>
    </row>
    <row r="47492" spans="26:26" x14ac:dyDescent="0.25">
      <c r="Z47492">
        <v>400000</v>
      </c>
    </row>
    <row r="47493" spans="26:26" x14ac:dyDescent="0.25">
      <c r="Z47493">
        <v>400000</v>
      </c>
    </row>
    <row r="47494" spans="26:26" x14ac:dyDescent="0.25">
      <c r="Z47494">
        <v>400000</v>
      </c>
    </row>
    <row r="47495" spans="26:26" x14ac:dyDescent="0.25">
      <c r="Z47495">
        <v>400000</v>
      </c>
    </row>
    <row r="47496" spans="26:26" x14ac:dyDescent="0.25">
      <c r="Z47496">
        <v>400000</v>
      </c>
    </row>
    <row r="47497" spans="26:26" x14ac:dyDescent="0.25">
      <c r="Z47497">
        <v>400000</v>
      </c>
    </row>
    <row r="47498" spans="26:26" x14ac:dyDescent="0.25">
      <c r="Z47498">
        <v>400000</v>
      </c>
    </row>
    <row r="47499" spans="26:26" x14ac:dyDescent="0.25">
      <c r="Z47499">
        <v>400000</v>
      </c>
    </row>
    <row r="47500" spans="26:26" x14ac:dyDescent="0.25">
      <c r="Z47500">
        <v>400000</v>
      </c>
    </row>
    <row r="47501" spans="26:26" x14ac:dyDescent="0.25">
      <c r="Z47501">
        <v>400000</v>
      </c>
    </row>
    <row r="47502" spans="26:26" x14ac:dyDescent="0.25">
      <c r="Z47502">
        <v>400000</v>
      </c>
    </row>
    <row r="47503" spans="26:26" x14ac:dyDescent="0.25">
      <c r="Z47503">
        <v>400000</v>
      </c>
    </row>
    <row r="47504" spans="26:26" x14ac:dyDescent="0.25">
      <c r="Z47504">
        <v>400000</v>
      </c>
    </row>
    <row r="47505" spans="26:26" x14ac:dyDescent="0.25">
      <c r="Z47505">
        <v>400000</v>
      </c>
    </row>
    <row r="47506" spans="26:26" x14ac:dyDescent="0.25">
      <c r="Z47506">
        <v>400000</v>
      </c>
    </row>
    <row r="47507" spans="26:26" x14ac:dyDescent="0.25">
      <c r="Z47507">
        <v>400000</v>
      </c>
    </row>
    <row r="47508" spans="26:26" x14ac:dyDescent="0.25">
      <c r="Z47508">
        <v>400000</v>
      </c>
    </row>
    <row r="47509" spans="26:26" x14ac:dyDescent="0.25">
      <c r="Z47509">
        <v>400000</v>
      </c>
    </row>
    <row r="47510" spans="26:26" x14ac:dyDescent="0.25">
      <c r="Z47510">
        <v>400000</v>
      </c>
    </row>
    <row r="47511" spans="26:26" x14ac:dyDescent="0.25">
      <c r="Z47511">
        <v>400000</v>
      </c>
    </row>
    <row r="47512" spans="26:26" x14ac:dyDescent="0.25">
      <c r="Z47512">
        <v>400000</v>
      </c>
    </row>
    <row r="47513" spans="26:26" x14ac:dyDescent="0.25">
      <c r="Z47513">
        <v>400000</v>
      </c>
    </row>
    <row r="47514" spans="26:26" x14ac:dyDescent="0.25">
      <c r="Z47514">
        <v>400000</v>
      </c>
    </row>
    <row r="47515" spans="26:26" x14ac:dyDescent="0.25">
      <c r="Z47515">
        <v>400000</v>
      </c>
    </row>
    <row r="47516" spans="26:26" x14ac:dyDescent="0.25">
      <c r="Z47516">
        <v>400000</v>
      </c>
    </row>
    <row r="47517" spans="26:26" x14ac:dyDescent="0.25">
      <c r="Z47517">
        <v>400000</v>
      </c>
    </row>
    <row r="47518" spans="26:26" x14ac:dyDescent="0.25">
      <c r="Z47518">
        <v>400000</v>
      </c>
    </row>
    <row r="47519" spans="26:26" x14ac:dyDescent="0.25">
      <c r="Z47519">
        <v>400000</v>
      </c>
    </row>
    <row r="47520" spans="26:26" x14ac:dyDescent="0.25">
      <c r="Z47520">
        <v>400000</v>
      </c>
    </row>
    <row r="47521" spans="26:26" x14ac:dyDescent="0.25">
      <c r="Z47521">
        <v>400000</v>
      </c>
    </row>
    <row r="47522" spans="26:26" x14ac:dyDescent="0.25">
      <c r="Z47522">
        <v>400000</v>
      </c>
    </row>
    <row r="47523" spans="26:26" x14ac:dyDescent="0.25">
      <c r="Z47523">
        <v>400000</v>
      </c>
    </row>
    <row r="47524" spans="26:26" x14ac:dyDescent="0.25">
      <c r="Z47524">
        <v>400000</v>
      </c>
    </row>
    <row r="47525" spans="26:26" x14ac:dyDescent="0.25">
      <c r="Z47525">
        <v>400000</v>
      </c>
    </row>
    <row r="47526" spans="26:26" x14ac:dyDescent="0.25">
      <c r="Z47526">
        <v>400000</v>
      </c>
    </row>
    <row r="47527" spans="26:26" x14ac:dyDescent="0.25">
      <c r="Z47527">
        <v>400000</v>
      </c>
    </row>
    <row r="47528" spans="26:26" x14ac:dyDescent="0.25">
      <c r="Z47528">
        <v>400000</v>
      </c>
    </row>
    <row r="47529" spans="26:26" x14ac:dyDescent="0.25">
      <c r="Z47529">
        <v>400000</v>
      </c>
    </row>
    <row r="47530" spans="26:26" x14ac:dyDescent="0.25">
      <c r="Z47530">
        <v>400000</v>
      </c>
    </row>
    <row r="47531" spans="26:26" x14ac:dyDescent="0.25">
      <c r="Z47531">
        <v>400000</v>
      </c>
    </row>
    <row r="47532" spans="26:26" x14ac:dyDescent="0.25">
      <c r="Z47532">
        <v>400000</v>
      </c>
    </row>
    <row r="47533" spans="26:26" x14ac:dyDescent="0.25">
      <c r="Z47533">
        <v>400000</v>
      </c>
    </row>
    <row r="47534" spans="26:26" x14ac:dyDescent="0.25">
      <c r="Z47534">
        <v>400000</v>
      </c>
    </row>
    <row r="47535" spans="26:26" x14ac:dyDescent="0.25">
      <c r="Z47535">
        <v>400000</v>
      </c>
    </row>
    <row r="47536" spans="26:26" x14ac:dyDescent="0.25">
      <c r="Z47536">
        <v>400000</v>
      </c>
    </row>
    <row r="47537" spans="26:26" x14ac:dyDescent="0.25">
      <c r="Z47537">
        <v>400000</v>
      </c>
    </row>
    <row r="47538" spans="26:26" x14ac:dyDescent="0.25">
      <c r="Z47538">
        <v>400000</v>
      </c>
    </row>
    <row r="47539" spans="26:26" x14ac:dyDescent="0.25">
      <c r="Z47539">
        <v>400000</v>
      </c>
    </row>
    <row r="47540" spans="26:26" x14ac:dyDescent="0.25">
      <c r="Z47540">
        <v>400000</v>
      </c>
    </row>
    <row r="47541" spans="26:26" x14ac:dyDescent="0.25">
      <c r="Z47541">
        <v>400000</v>
      </c>
    </row>
    <row r="47542" spans="26:26" x14ac:dyDescent="0.25">
      <c r="Z47542">
        <v>400000</v>
      </c>
    </row>
    <row r="47543" spans="26:26" x14ac:dyDescent="0.25">
      <c r="Z47543">
        <v>400000</v>
      </c>
    </row>
    <row r="47544" spans="26:26" x14ac:dyDescent="0.25">
      <c r="Z47544">
        <v>400000</v>
      </c>
    </row>
    <row r="47545" spans="26:26" x14ac:dyDescent="0.25">
      <c r="Z47545">
        <v>400000</v>
      </c>
    </row>
    <row r="47546" spans="26:26" x14ac:dyDescent="0.25">
      <c r="Z47546">
        <v>400000</v>
      </c>
    </row>
    <row r="47547" spans="26:26" x14ac:dyDescent="0.25">
      <c r="Z47547">
        <v>400000</v>
      </c>
    </row>
    <row r="47548" spans="26:26" x14ac:dyDescent="0.25">
      <c r="Z47548">
        <v>400000</v>
      </c>
    </row>
    <row r="47549" spans="26:26" x14ac:dyDescent="0.25">
      <c r="Z47549">
        <v>400000</v>
      </c>
    </row>
    <row r="47550" spans="26:26" x14ac:dyDescent="0.25">
      <c r="Z47550">
        <v>400000</v>
      </c>
    </row>
    <row r="47551" spans="26:26" x14ac:dyDescent="0.25">
      <c r="Z47551">
        <v>400000</v>
      </c>
    </row>
    <row r="47552" spans="26:26" x14ac:dyDescent="0.25">
      <c r="Z47552">
        <v>400000</v>
      </c>
    </row>
    <row r="47553" spans="26:26" x14ac:dyDescent="0.25">
      <c r="Z47553">
        <v>400000</v>
      </c>
    </row>
    <row r="47554" spans="26:26" x14ac:dyDescent="0.25">
      <c r="Z47554">
        <v>400000</v>
      </c>
    </row>
    <row r="47555" spans="26:26" x14ac:dyDescent="0.25">
      <c r="Z47555">
        <v>400000</v>
      </c>
    </row>
    <row r="47556" spans="26:26" x14ac:dyDescent="0.25">
      <c r="Z47556">
        <v>400000</v>
      </c>
    </row>
    <row r="47557" spans="26:26" x14ac:dyDescent="0.25">
      <c r="Z47557">
        <v>400000</v>
      </c>
    </row>
    <row r="47558" spans="26:26" x14ac:dyDescent="0.25">
      <c r="Z47558">
        <v>400000</v>
      </c>
    </row>
    <row r="47559" spans="26:26" x14ac:dyDescent="0.25">
      <c r="Z47559">
        <v>400000</v>
      </c>
    </row>
    <row r="47560" spans="26:26" x14ac:dyDescent="0.25">
      <c r="Z47560">
        <v>400000</v>
      </c>
    </row>
    <row r="47561" spans="26:26" x14ac:dyDescent="0.25">
      <c r="Z47561">
        <v>400000</v>
      </c>
    </row>
    <row r="47562" spans="26:26" x14ac:dyDescent="0.25">
      <c r="Z47562">
        <v>400000</v>
      </c>
    </row>
    <row r="47563" spans="26:26" x14ac:dyDescent="0.25">
      <c r="Z47563">
        <v>400000</v>
      </c>
    </row>
    <row r="47564" spans="26:26" x14ac:dyDescent="0.25">
      <c r="Z47564">
        <v>400000</v>
      </c>
    </row>
    <row r="47565" spans="26:26" x14ac:dyDescent="0.25">
      <c r="Z47565">
        <v>400000</v>
      </c>
    </row>
    <row r="47566" spans="26:26" x14ac:dyDescent="0.25">
      <c r="Z47566">
        <v>400000</v>
      </c>
    </row>
    <row r="47567" spans="26:26" x14ac:dyDescent="0.25">
      <c r="Z47567">
        <v>400000</v>
      </c>
    </row>
    <row r="47568" spans="26:26" x14ac:dyDescent="0.25">
      <c r="Z47568">
        <v>400000</v>
      </c>
    </row>
    <row r="47569" spans="26:26" x14ac:dyDescent="0.25">
      <c r="Z47569">
        <v>400000</v>
      </c>
    </row>
    <row r="47570" spans="26:26" x14ac:dyDescent="0.25">
      <c r="Z47570">
        <v>400000</v>
      </c>
    </row>
    <row r="47571" spans="26:26" x14ac:dyDescent="0.25">
      <c r="Z47571">
        <v>400000</v>
      </c>
    </row>
    <row r="47572" spans="26:26" x14ac:dyDescent="0.25">
      <c r="Z47572">
        <v>400000</v>
      </c>
    </row>
    <row r="47573" spans="26:26" x14ac:dyDescent="0.25">
      <c r="Z47573">
        <v>400000</v>
      </c>
    </row>
    <row r="47574" spans="26:26" x14ac:dyDescent="0.25">
      <c r="Z47574">
        <v>400000</v>
      </c>
    </row>
    <row r="47575" spans="26:26" x14ac:dyDescent="0.25">
      <c r="Z47575">
        <v>400000</v>
      </c>
    </row>
    <row r="47576" spans="26:26" x14ac:dyDescent="0.25">
      <c r="Z47576">
        <v>400000</v>
      </c>
    </row>
    <row r="47577" spans="26:26" x14ac:dyDescent="0.25">
      <c r="Z47577">
        <v>400000</v>
      </c>
    </row>
    <row r="47578" spans="26:26" x14ac:dyDescent="0.25">
      <c r="Z47578">
        <v>400000</v>
      </c>
    </row>
    <row r="47579" spans="26:26" x14ac:dyDescent="0.25">
      <c r="Z47579">
        <v>400000</v>
      </c>
    </row>
    <row r="47580" spans="26:26" x14ac:dyDescent="0.25">
      <c r="Z47580">
        <v>400000</v>
      </c>
    </row>
    <row r="47581" spans="26:26" x14ac:dyDescent="0.25">
      <c r="Z47581">
        <v>400000</v>
      </c>
    </row>
    <row r="47582" spans="26:26" x14ac:dyDescent="0.25">
      <c r="Z47582">
        <v>400000</v>
      </c>
    </row>
    <row r="47583" spans="26:26" x14ac:dyDescent="0.25">
      <c r="Z47583">
        <v>400000</v>
      </c>
    </row>
    <row r="47584" spans="26:26" x14ac:dyDescent="0.25">
      <c r="Z47584">
        <v>400000</v>
      </c>
    </row>
    <row r="47585" spans="26:26" x14ac:dyDescent="0.25">
      <c r="Z47585">
        <v>400000</v>
      </c>
    </row>
    <row r="47586" spans="26:26" x14ac:dyDescent="0.25">
      <c r="Z47586">
        <v>400000</v>
      </c>
    </row>
    <row r="47587" spans="26:26" x14ac:dyDescent="0.25">
      <c r="Z47587">
        <v>400000</v>
      </c>
    </row>
    <row r="47588" spans="26:26" x14ac:dyDescent="0.25">
      <c r="Z47588">
        <v>400000</v>
      </c>
    </row>
    <row r="47589" spans="26:26" x14ac:dyDescent="0.25">
      <c r="Z47589">
        <v>400000</v>
      </c>
    </row>
    <row r="47590" spans="26:26" x14ac:dyDescent="0.25">
      <c r="Z47590">
        <v>400000</v>
      </c>
    </row>
    <row r="47591" spans="26:26" x14ac:dyDescent="0.25">
      <c r="Z47591">
        <v>400000</v>
      </c>
    </row>
    <row r="47592" spans="26:26" x14ac:dyDescent="0.25">
      <c r="Z47592">
        <v>400000</v>
      </c>
    </row>
    <row r="47593" spans="26:26" x14ac:dyDescent="0.25">
      <c r="Z47593">
        <v>400000</v>
      </c>
    </row>
    <row r="47594" spans="26:26" x14ac:dyDescent="0.25">
      <c r="Z47594">
        <v>400000</v>
      </c>
    </row>
    <row r="47595" spans="26:26" x14ac:dyDescent="0.25">
      <c r="Z47595">
        <v>400000</v>
      </c>
    </row>
    <row r="47596" spans="26:26" x14ac:dyDescent="0.25">
      <c r="Z47596">
        <v>400000</v>
      </c>
    </row>
    <row r="47597" spans="26:26" x14ac:dyDescent="0.25">
      <c r="Z47597">
        <v>400000</v>
      </c>
    </row>
    <row r="47598" spans="26:26" x14ac:dyDescent="0.25">
      <c r="Z47598">
        <v>400000</v>
      </c>
    </row>
    <row r="47599" spans="26:26" x14ac:dyDescent="0.25">
      <c r="Z47599">
        <v>400000</v>
      </c>
    </row>
    <row r="47600" spans="26:26" x14ac:dyDescent="0.25">
      <c r="Z47600">
        <v>400000</v>
      </c>
    </row>
    <row r="47601" spans="26:26" x14ac:dyDescent="0.25">
      <c r="Z47601">
        <v>400000</v>
      </c>
    </row>
    <row r="47602" spans="26:26" x14ac:dyDescent="0.25">
      <c r="Z47602">
        <v>400000</v>
      </c>
    </row>
    <row r="47603" spans="26:26" x14ac:dyDescent="0.25">
      <c r="Z47603">
        <v>400000</v>
      </c>
    </row>
    <row r="47604" spans="26:26" x14ac:dyDescent="0.25">
      <c r="Z47604">
        <v>400000</v>
      </c>
    </row>
    <row r="47605" spans="26:26" x14ac:dyDescent="0.25">
      <c r="Z47605">
        <v>400000</v>
      </c>
    </row>
    <row r="47606" spans="26:26" x14ac:dyDescent="0.25">
      <c r="Z47606">
        <v>400000</v>
      </c>
    </row>
    <row r="47607" spans="26:26" x14ac:dyDescent="0.25">
      <c r="Z47607">
        <v>400000</v>
      </c>
    </row>
    <row r="47608" spans="26:26" x14ac:dyDescent="0.25">
      <c r="Z47608">
        <v>400000</v>
      </c>
    </row>
    <row r="47609" spans="26:26" x14ac:dyDescent="0.25">
      <c r="Z47609">
        <v>400000</v>
      </c>
    </row>
    <row r="47610" spans="26:26" x14ac:dyDescent="0.25">
      <c r="Z47610">
        <v>400000</v>
      </c>
    </row>
    <row r="47611" spans="26:26" x14ac:dyDescent="0.25">
      <c r="Z47611">
        <v>400000</v>
      </c>
    </row>
    <row r="47612" spans="26:26" x14ac:dyDescent="0.25">
      <c r="Z47612">
        <v>400000</v>
      </c>
    </row>
    <row r="47613" spans="26:26" x14ac:dyDescent="0.25">
      <c r="Z47613">
        <v>400000</v>
      </c>
    </row>
    <row r="47614" spans="26:26" x14ac:dyDescent="0.25">
      <c r="Z47614">
        <v>400000</v>
      </c>
    </row>
    <row r="47615" spans="26:26" x14ac:dyDescent="0.25">
      <c r="Z47615">
        <v>400000</v>
      </c>
    </row>
    <row r="47616" spans="26:26" x14ac:dyDescent="0.25">
      <c r="Z47616">
        <v>400000</v>
      </c>
    </row>
    <row r="47617" spans="26:26" x14ac:dyDescent="0.25">
      <c r="Z47617">
        <v>400000</v>
      </c>
    </row>
    <row r="47618" spans="26:26" x14ac:dyDescent="0.25">
      <c r="Z47618">
        <v>400000</v>
      </c>
    </row>
    <row r="47619" spans="26:26" x14ac:dyDescent="0.25">
      <c r="Z47619">
        <v>400000</v>
      </c>
    </row>
    <row r="47620" spans="26:26" x14ac:dyDescent="0.25">
      <c r="Z47620">
        <v>400000</v>
      </c>
    </row>
    <row r="47621" spans="26:26" x14ac:dyDescent="0.25">
      <c r="Z47621">
        <v>400000</v>
      </c>
    </row>
    <row r="47622" spans="26:26" x14ac:dyDescent="0.25">
      <c r="Z47622">
        <v>400000</v>
      </c>
    </row>
    <row r="47623" spans="26:26" x14ac:dyDescent="0.25">
      <c r="Z47623">
        <v>400000</v>
      </c>
    </row>
    <row r="47624" spans="26:26" x14ac:dyDescent="0.25">
      <c r="Z47624">
        <v>400000</v>
      </c>
    </row>
    <row r="47625" spans="26:26" x14ac:dyDescent="0.25">
      <c r="Z47625">
        <v>400000</v>
      </c>
    </row>
    <row r="47626" spans="26:26" x14ac:dyDescent="0.25">
      <c r="Z47626">
        <v>400000</v>
      </c>
    </row>
    <row r="47627" spans="26:26" x14ac:dyDescent="0.25">
      <c r="Z47627">
        <v>400000</v>
      </c>
    </row>
    <row r="47628" spans="26:26" x14ac:dyDescent="0.25">
      <c r="Z47628">
        <v>400000</v>
      </c>
    </row>
    <row r="47629" spans="26:26" x14ac:dyDescent="0.25">
      <c r="Z47629">
        <v>400000</v>
      </c>
    </row>
    <row r="47630" spans="26:26" x14ac:dyDescent="0.25">
      <c r="Z47630">
        <v>400000</v>
      </c>
    </row>
    <row r="47631" spans="26:26" x14ac:dyDescent="0.25">
      <c r="Z47631">
        <v>400000</v>
      </c>
    </row>
    <row r="47632" spans="26:26" x14ac:dyDescent="0.25">
      <c r="Z47632">
        <v>400000</v>
      </c>
    </row>
    <row r="47633" spans="26:26" x14ac:dyDescent="0.25">
      <c r="Z47633">
        <v>400000</v>
      </c>
    </row>
    <row r="47634" spans="26:26" x14ac:dyDescent="0.25">
      <c r="Z47634">
        <v>400000</v>
      </c>
    </row>
    <row r="47635" spans="26:26" x14ac:dyDescent="0.25">
      <c r="Z47635">
        <v>400000</v>
      </c>
    </row>
    <row r="47636" spans="26:26" x14ac:dyDescent="0.25">
      <c r="Z47636">
        <v>400000</v>
      </c>
    </row>
    <row r="47637" spans="26:26" x14ac:dyDescent="0.25">
      <c r="Z47637">
        <v>400000</v>
      </c>
    </row>
    <row r="47638" spans="26:26" x14ac:dyDescent="0.25">
      <c r="Z47638">
        <v>400000</v>
      </c>
    </row>
    <row r="47639" spans="26:26" x14ac:dyDescent="0.25">
      <c r="Z47639">
        <v>400000</v>
      </c>
    </row>
    <row r="47640" spans="26:26" x14ac:dyDescent="0.25">
      <c r="Z47640">
        <v>400000</v>
      </c>
    </row>
    <row r="47641" spans="26:26" x14ac:dyDescent="0.25">
      <c r="Z47641">
        <v>400000</v>
      </c>
    </row>
    <row r="47642" spans="26:26" x14ac:dyDescent="0.25">
      <c r="Z47642">
        <v>400000</v>
      </c>
    </row>
    <row r="47643" spans="26:26" x14ac:dyDescent="0.25">
      <c r="Z47643">
        <v>400000</v>
      </c>
    </row>
    <row r="47644" spans="26:26" x14ac:dyDescent="0.25">
      <c r="Z47644">
        <v>400000</v>
      </c>
    </row>
    <row r="47645" spans="26:26" x14ac:dyDescent="0.25">
      <c r="Z47645">
        <v>400000</v>
      </c>
    </row>
    <row r="47646" spans="26:26" x14ac:dyDescent="0.25">
      <c r="Z47646">
        <v>400000</v>
      </c>
    </row>
    <row r="47647" spans="26:26" x14ac:dyDescent="0.25">
      <c r="Z47647">
        <v>400000</v>
      </c>
    </row>
    <row r="47648" spans="26:26" x14ac:dyDescent="0.25">
      <c r="Z47648">
        <v>400000</v>
      </c>
    </row>
    <row r="47649" spans="26:26" x14ac:dyDescent="0.25">
      <c r="Z47649">
        <v>400000</v>
      </c>
    </row>
    <row r="47650" spans="26:26" x14ac:dyDescent="0.25">
      <c r="Z47650">
        <v>400000</v>
      </c>
    </row>
    <row r="47651" spans="26:26" x14ac:dyDescent="0.25">
      <c r="Z47651">
        <v>400000</v>
      </c>
    </row>
    <row r="47652" spans="26:26" x14ac:dyDescent="0.25">
      <c r="Z47652">
        <v>400000</v>
      </c>
    </row>
    <row r="47653" spans="26:26" x14ac:dyDescent="0.25">
      <c r="Z47653">
        <v>400000</v>
      </c>
    </row>
    <row r="47654" spans="26:26" x14ac:dyDescent="0.25">
      <c r="Z47654">
        <v>400000</v>
      </c>
    </row>
    <row r="47655" spans="26:26" x14ac:dyDescent="0.25">
      <c r="Z47655">
        <v>400000</v>
      </c>
    </row>
    <row r="47656" spans="26:26" x14ac:dyDescent="0.25">
      <c r="Z47656">
        <v>400000</v>
      </c>
    </row>
    <row r="47657" spans="26:26" x14ac:dyDescent="0.25">
      <c r="Z47657">
        <v>400000</v>
      </c>
    </row>
    <row r="47658" spans="26:26" x14ac:dyDescent="0.25">
      <c r="Z47658">
        <v>400000</v>
      </c>
    </row>
    <row r="47659" spans="26:26" x14ac:dyDescent="0.25">
      <c r="Z47659">
        <v>400000</v>
      </c>
    </row>
    <row r="47660" spans="26:26" x14ac:dyDescent="0.25">
      <c r="Z47660">
        <v>400000</v>
      </c>
    </row>
    <row r="47661" spans="26:26" x14ac:dyDescent="0.25">
      <c r="Z47661">
        <v>400000</v>
      </c>
    </row>
    <row r="47662" spans="26:26" x14ac:dyDescent="0.25">
      <c r="Z47662">
        <v>400000</v>
      </c>
    </row>
    <row r="47663" spans="26:26" x14ac:dyDescent="0.25">
      <c r="Z47663">
        <v>400000</v>
      </c>
    </row>
    <row r="47664" spans="26:26" x14ac:dyDescent="0.25">
      <c r="Z47664">
        <v>400000</v>
      </c>
    </row>
    <row r="47665" spans="26:26" x14ac:dyDescent="0.25">
      <c r="Z47665">
        <v>400000</v>
      </c>
    </row>
    <row r="47666" spans="26:26" x14ac:dyDescent="0.25">
      <c r="Z47666">
        <v>400000</v>
      </c>
    </row>
    <row r="47667" spans="26:26" x14ac:dyDescent="0.25">
      <c r="Z47667">
        <v>400000</v>
      </c>
    </row>
    <row r="47668" spans="26:26" x14ac:dyDescent="0.25">
      <c r="Z47668">
        <v>400000</v>
      </c>
    </row>
    <row r="47669" spans="26:26" x14ac:dyDescent="0.25">
      <c r="Z47669">
        <v>400000</v>
      </c>
    </row>
    <row r="47670" spans="26:26" x14ac:dyDescent="0.25">
      <c r="Z47670">
        <v>400000</v>
      </c>
    </row>
    <row r="47671" spans="26:26" x14ac:dyDescent="0.25">
      <c r="Z47671">
        <v>400000</v>
      </c>
    </row>
    <row r="47672" spans="26:26" x14ac:dyDescent="0.25">
      <c r="Z47672">
        <v>400000</v>
      </c>
    </row>
    <row r="47673" spans="26:26" x14ac:dyDescent="0.25">
      <c r="Z47673">
        <v>400000</v>
      </c>
    </row>
    <row r="47674" spans="26:26" x14ac:dyDescent="0.25">
      <c r="Z47674">
        <v>400000</v>
      </c>
    </row>
    <row r="47675" spans="26:26" x14ac:dyDescent="0.25">
      <c r="Z47675">
        <v>400000</v>
      </c>
    </row>
    <row r="47676" spans="26:26" x14ac:dyDescent="0.25">
      <c r="Z47676">
        <v>400000</v>
      </c>
    </row>
    <row r="47677" spans="26:26" x14ac:dyDescent="0.25">
      <c r="Z47677">
        <v>400000</v>
      </c>
    </row>
    <row r="47678" spans="26:26" x14ac:dyDescent="0.25">
      <c r="Z47678">
        <v>400000</v>
      </c>
    </row>
    <row r="47679" spans="26:26" x14ac:dyDescent="0.25">
      <c r="Z47679">
        <v>400000</v>
      </c>
    </row>
    <row r="47680" spans="26:26" x14ac:dyDescent="0.25">
      <c r="Z47680">
        <v>400000</v>
      </c>
    </row>
    <row r="47681" spans="26:26" x14ac:dyDescent="0.25">
      <c r="Z47681">
        <v>400000</v>
      </c>
    </row>
    <row r="47682" spans="26:26" x14ac:dyDescent="0.25">
      <c r="Z47682">
        <v>400000</v>
      </c>
    </row>
    <row r="47683" spans="26:26" x14ac:dyDescent="0.25">
      <c r="Z47683">
        <v>400000</v>
      </c>
    </row>
    <row r="47684" spans="26:26" x14ac:dyDescent="0.25">
      <c r="Z47684">
        <v>400000</v>
      </c>
    </row>
    <row r="47685" spans="26:26" x14ac:dyDescent="0.25">
      <c r="Z47685">
        <v>400000</v>
      </c>
    </row>
    <row r="47686" spans="26:26" x14ac:dyDescent="0.25">
      <c r="Z47686">
        <v>400000</v>
      </c>
    </row>
    <row r="47687" spans="26:26" x14ac:dyDescent="0.25">
      <c r="Z47687">
        <v>400000</v>
      </c>
    </row>
    <row r="47688" spans="26:26" x14ac:dyDescent="0.25">
      <c r="Z47688">
        <v>400000</v>
      </c>
    </row>
    <row r="47689" spans="26:26" x14ac:dyDescent="0.25">
      <c r="Z47689">
        <v>400000</v>
      </c>
    </row>
    <row r="47690" spans="26:26" x14ac:dyDescent="0.25">
      <c r="Z47690">
        <v>400000</v>
      </c>
    </row>
    <row r="47691" spans="26:26" x14ac:dyDescent="0.25">
      <c r="Z47691">
        <v>400000</v>
      </c>
    </row>
    <row r="47692" spans="26:26" x14ac:dyDescent="0.25">
      <c r="Z47692">
        <v>400000</v>
      </c>
    </row>
    <row r="47693" spans="26:26" x14ac:dyDescent="0.25">
      <c r="Z47693">
        <v>400000</v>
      </c>
    </row>
    <row r="47694" spans="26:26" x14ac:dyDescent="0.25">
      <c r="Z47694">
        <v>400000</v>
      </c>
    </row>
    <row r="47695" spans="26:26" x14ac:dyDescent="0.25">
      <c r="Z47695">
        <v>400000</v>
      </c>
    </row>
    <row r="47696" spans="26:26" x14ac:dyDescent="0.25">
      <c r="Z47696">
        <v>400000</v>
      </c>
    </row>
    <row r="47697" spans="26:26" x14ac:dyDescent="0.25">
      <c r="Z47697">
        <v>400000</v>
      </c>
    </row>
    <row r="47698" spans="26:26" x14ac:dyDescent="0.25">
      <c r="Z47698">
        <v>400000</v>
      </c>
    </row>
    <row r="47699" spans="26:26" x14ac:dyDescent="0.25">
      <c r="Z47699">
        <v>400000</v>
      </c>
    </row>
    <row r="47700" spans="26:26" x14ac:dyDescent="0.25">
      <c r="Z47700">
        <v>400000</v>
      </c>
    </row>
    <row r="47701" spans="26:26" x14ac:dyDescent="0.25">
      <c r="Z47701">
        <v>400000</v>
      </c>
    </row>
    <row r="47702" spans="26:26" x14ac:dyDescent="0.25">
      <c r="Z47702">
        <v>400000</v>
      </c>
    </row>
    <row r="47703" spans="26:26" x14ac:dyDescent="0.25">
      <c r="Z47703">
        <v>400000</v>
      </c>
    </row>
    <row r="47704" spans="26:26" x14ac:dyDescent="0.25">
      <c r="Z47704">
        <v>400000</v>
      </c>
    </row>
    <row r="47705" spans="26:26" x14ac:dyDescent="0.25">
      <c r="Z47705">
        <v>400000</v>
      </c>
    </row>
    <row r="47706" spans="26:26" x14ac:dyDescent="0.25">
      <c r="Z47706">
        <v>400000</v>
      </c>
    </row>
    <row r="47707" spans="26:26" x14ac:dyDescent="0.25">
      <c r="Z47707">
        <v>400000</v>
      </c>
    </row>
    <row r="47708" spans="26:26" x14ac:dyDescent="0.25">
      <c r="Z47708">
        <v>400000</v>
      </c>
    </row>
    <row r="47709" spans="26:26" x14ac:dyDescent="0.25">
      <c r="Z47709">
        <v>400000</v>
      </c>
    </row>
    <row r="47710" spans="26:26" x14ac:dyDescent="0.25">
      <c r="Z47710">
        <v>400000</v>
      </c>
    </row>
    <row r="47711" spans="26:26" x14ac:dyDescent="0.25">
      <c r="Z47711">
        <v>400000</v>
      </c>
    </row>
    <row r="47712" spans="26:26" x14ac:dyDescent="0.25">
      <c r="Z47712">
        <v>400000</v>
      </c>
    </row>
    <row r="47713" spans="26:26" x14ac:dyDescent="0.25">
      <c r="Z47713">
        <v>400000</v>
      </c>
    </row>
    <row r="47714" spans="26:26" x14ac:dyDescent="0.25">
      <c r="Z47714">
        <v>400000</v>
      </c>
    </row>
    <row r="47715" spans="26:26" x14ac:dyDescent="0.25">
      <c r="Z47715">
        <v>400000</v>
      </c>
    </row>
    <row r="47716" spans="26:26" x14ac:dyDescent="0.25">
      <c r="Z47716">
        <v>400000</v>
      </c>
    </row>
    <row r="47717" spans="26:26" x14ac:dyDescent="0.25">
      <c r="Z47717">
        <v>400000</v>
      </c>
    </row>
    <row r="47718" spans="26:26" x14ac:dyDescent="0.25">
      <c r="Z47718">
        <v>400000</v>
      </c>
    </row>
    <row r="47719" spans="26:26" x14ac:dyDescent="0.25">
      <c r="Z47719">
        <v>400000</v>
      </c>
    </row>
    <row r="47720" spans="26:26" x14ac:dyDescent="0.25">
      <c r="Z47720">
        <v>400000</v>
      </c>
    </row>
    <row r="47721" spans="26:26" x14ac:dyDescent="0.25">
      <c r="Z47721">
        <v>400000</v>
      </c>
    </row>
    <row r="47722" spans="26:26" x14ac:dyDescent="0.25">
      <c r="Z47722">
        <v>400000</v>
      </c>
    </row>
    <row r="47723" spans="26:26" x14ac:dyDescent="0.25">
      <c r="Z47723">
        <v>400000</v>
      </c>
    </row>
    <row r="47724" spans="26:26" x14ac:dyDescent="0.25">
      <c r="Z47724">
        <v>400000</v>
      </c>
    </row>
    <row r="47725" spans="26:26" x14ac:dyDescent="0.25">
      <c r="Z47725">
        <v>400000</v>
      </c>
    </row>
    <row r="47726" spans="26:26" x14ac:dyDescent="0.25">
      <c r="Z47726">
        <v>400000</v>
      </c>
    </row>
    <row r="47727" spans="26:26" x14ac:dyDescent="0.25">
      <c r="Z47727">
        <v>400000</v>
      </c>
    </row>
    <row r="47728" spans="26:26" x14ac:dyDescent="0.25">
      <c r="Z47728">
        <v>400000</v>
      </c>
    </row>
    <row r="47729" spans="26:26" x14ac:dyDescent="0.25">
      <c r="Z47729">
        <v>400000</v>
      </c>
    </row>
    <row r="47730" spans="26:26" x14ac:dyDescent="0.25">
      <c r="Z47730">
        <v>400000</v>
      </c>
    </row>
    <row r="47731" spans="26:26" x14ac:dyDescent="0.25">
      <c r="Z47731">
        <v>400000</v>
      </c>
    </row>
    <row r="47732" spans="26:26" x14ac:dyDescent="0.25">
      <c r="Z47732">
        <v>400000</v>
      </c>
    </row>
    <row r="47733" spans="26:26" x14ac:dyDescent="0.25">
      <c r="Z47733">
        <v>400000</v>
      </c>
    </row>
    <row r="47734" spans="26:26" x14ac:dyDescent="0.25">
      <c r="Z47734">
        <v>400000</v>
      </c>
    </row>
    <row r="47735" spans="26:26" x14ac:dyDescent="0.25">
      <c r="Z47735">
        <v>400000</v>
      </c>
    </row>
    <row r="47736" spans="26:26" x14ac:dyDescent="0.25">
      <c r="Z47736">
        <v>400000</v>
      </c>
    </row>
    <row r="47737" spans="26:26" x14ac:dyDescent="0.25">
      <c r="Z47737">
        <v>400000</v>
      </c>
    </row>
    <row r="47738" spans="26:26" x14ac:dyDescent="0.25">
      <c r="Z47738">
        <v>400000</v>
      </c>
    </row>
    <row r="47739" spans="26:26" x14ac:dyDescent="0.25">
      <c r="Z47739">
        <v>400000</v>
      </c>
    </row>
    <row r="47740" spans="26:26" x14ac:dyDescent="0.25">
      <c r="Z47740">
        <v>400000</v>
      </c>
    </row>
    <row r="47741" spans="26:26" x14ac:dyDescent="0.25">
      <c r="Z47741">
        <v>400000</v>
      </c>
    </row>
    <row r="47742" spans="26:26" x14ac:dyDescent="0.25">
      <c r="Z47742">
        <v>400000</v>
      </c>
    </row>
    <row r="47743" spans="26:26" x14ac:dyDescent="0.25">
      <c r="Z47743">
        <v>400000</v>
      </c>
    </row>
    <row r="47744" spans="26:26" x14ac:dyDescent="0.25">
      <c r="Z47744">
        <v>400000</v>
      </c>
    </row>
    <row r="47745" spans="26:26" x14ac:dyDescent="0.25">
      <c r="Z47745">
        <v>400000</v>
      </c>
    </row>
    <row r="47746" spans="26:26" x14ac:dyDescent="0.25">
      <c r="Z47746">
        <v>400000</v>
      </c>
    </row>
    <row r="47747" spans="26:26" x14ac:dyDescent="0.25">
      <c r="Z47747">
        <v>400000</v>
      </c>
    </row>
    <row r="47748" spans="26:26" x14ac:dyDescent="0.25">
      <c r="Z47748">
        <v>400000</v>
      </c>
    </row>
    <row r="47749" spans="26:26" x14ac:dyDescent="0.25">
      <c r="Z47749">
        <v>400000</v>
      </c>
    </row>
    <row r="47750" spans="26:26" x14ac:dyDescent="0.25">
      <c r="Z47750">
        <v>400000</v>
      </c>
    </row>
    <row r="47751" spans="26:26" x14ac:dyDescent="0.25">
      <c r="Z47751">
        <v>400000</v>
      </c>
    </row>
    <row r="47752" spans="26:26" x14ac:dyDescent="0.25">
      <c r="Z47752">
        <v>400000</v>
      </c>
    </row>
    <row r="47753" spans="26:26" x14ac:dyDescent="0.25">
      <c r="Z47753">
        <v>400000</v>
      </c>
    </row>
    <row r="47754" spans="26:26" x14ac:dyDescent="0.25">
      <c r="Z47754">
        <v>400000</v>
      </c>
    </row>
    <row r="47755" spans="26:26" x14ac:dyDescent="0.25">
      <c r="Z47755">
        <v>400000</v>
      </c>
    </row>
    <row r="47756" spans="26:26" x14ac:dyDescent="0.25">
      <c r="Z47756">
        <v>400000</v>
      </c>
    </row>
    <row r="47757" spans="26:26" x14ac:dyDescent="0.25">
      <c r="Z47757">
        <v>400000</v>
      </c>
    </row>
    <row r="47758" spans="26:26" x14ac:dyDescent="0.25">
      <c r="Z47758">
        <v>400000</v>
      </c>
    </row>
    <row r="47759" spans="26:26" x14ac:dyDescent="0.25">
      <c r="Z47759">
        <v>400000</v>
      </c>
    </row>
    <row r="47760" spans="26:26" x14ac:dyDescent="0.25">
      <c r="Z47760">
        <v>400000</v>
      </c>
    </row>
    <row r="47761" spans="26:26" x14ac:dyDescent="0.25">
      <c r="Z47761">
        <v>400000</v>
      </c>
    </row>
    <row r="47762" spans="26:26" x14ac:dyDescent="0.25">
      <c r="Z47762">
        <v>400000</v>
      </c>
    </row>
    <row r="47763" spans="26:26" x14ac:dyDescent="0.25">
      <c r="Z47763">
        <v>400000</v>
      </c>
    </row>
    <row r="47764" spans="26:26" x14ac:dyDescent="0.25">
      <c r="Z47764">
        <v>400000</v>
      </c>
    </row>
    <row r="47765" spans="26:26" x14ac:dyDescent="0.25">
      <c r="Z47765">
        <v>400000</v>
      </c>
    </row>
    <row r="47766" spans="26:26" x14ac:dyDescent="0.25">
      <c r="Z47766">
        <v>400000</v>
      </c>
    </row>
    <row r="47767" spans="26:26" x14ac:dyDescent="0.25">
      <c r="Z47767">
        <v>400000</v>
      </c>
    </row>
    <row r="47768" spans="26:26" x14ac:dyDescent="0.25">
      <c r="Z47768">
        <v>400000</v>
      </c>
    </row>
    <row r="47769" spans="26:26" x14ac:dyDescent="0.25">
      <c r="Z47769">
        <v>400000</v>
      </c>
    </row>
    <row r="47770" spans="26:26" x14ac:dyDescent="0.25">
      <c r="Z47770">
        <v>400000</v>
      </c>
    </row>
    <row r="47771" spans="26:26" x14ac:dyDescent="0.25">
      <c r="Z47771">
        <v>400000</v>
      </c>
    </row>
    <row r="47772" spans="26:26" x14ac:dyDescent="0.25">
      <c r="Z47772">
        <v>400000</v>
      </c>
    </row>
    <row r="47773" spans="26:26" x14ac:dyDescent="0.25">
      <c r="Z47773">
        <v>400000</v>
      </c>
    </row>
    <row r="47774" spans="26:26" x14ac:dyDescent="0.25">
      <c r="Z47774">
        <v>400000</v>
      </c>
    </row>
    <row r="47775" spans="26:26" x14ac:dyDescent="0.25">
      <c r="Z47775">
        <v>400000</v>
      </c>
    </row>
    <row r="47776" spans="26:26" x14ac:dyDescent="0.25">
      <c r="Z47776">
        <v>400000</v>
      </c>
    </row>
    <row r="47777" spans="26:26" x14ac:dyDescent="0.25">
      <c r="Z47777">
        <v>400000</v>
      </c>
    </row>
    <row r="47778" spans="26:26" x14ac:dyDescent="0.25">
      <c r="Z47778">
        <v>400000</v>
      </c>
    </row>
    <row r="47779" spans="26:26" x14ac:dyDescent="0.25">
      <c r="Z47779">
        <v>400000</v>
      </c>
    </row>
    <row r="47780" spans="26:26" x14ac:dyDescent="0.25">
      <c r="Z47780">
        <v>400000</v>
      </c>
    </row>
    <row r="47781" spans="26:26" x14ac:dyDescent="0.25">
      <c r="Z47781">
        <v>400000</v>
      </c>
    </row>
    <row r="47782" spans="26:26" x14ac:dyDescent="0.25">
      <c r="Z47782">
        <v>400000</v>
      </c>
    </row>
    <row r="47783" spans="26:26" x14ac:dyDescent="0.25">
      <c r="Z47783">
        <v>400000</v>
      </c>
    </row>
    <row r="47784" spans="26:26" x14ac:dyDescent="0.25">
      <c r="Z47784">
        <v>400000</v>
      </c>
    </row>
    <row r="47785" spans="26:26" x14ac:dyDescent="0.25">
      <c r="Z47785">
        <v>400000</v>
      </c>
    </row>
    <row r="47786" spans="26:26" x14ac:dyDescent="0.25">
      <c r="Z47786">
        <v>400000</v>
      </c>
    </row>
    <row r="47787" spans="26:26" x14ac:dyDescent="0.25">
      <c r="Z47787">
        <v>400000</v>
      </c>
    </row>
    <row r="47788" spans="26:26" x14ac:dyDescent="0.25">
      <c r="Z47788">
        <v>400000</v>
      </c>
    </row>
    <row r="47789" spans="26:26" x14ac:dyDescent="0.25">
      <c r="Z47789">
        <v>400000</v>
      </c>
    </row>
    <row r="47790" spans="26:26" x14ac:dyDescent="0.25">
      <c r="Z47790">
        <v>400000</v>
      </c>
    </row>
    <row r="47791" spans="26:26" x14ac:dyDescent="0.25">
      <c r="Z47791">
        <v>400000</v>
      </c>
    </row>
    <row r="47792" spans="26:26" x14ac:dyDescent="0.25">
      <c r="Z47792">
        <v>400000</v>
      </c>
    </row>
    <row r="47793" spans="26:26" x14ac:dyDescent="0.25">
      <c r="Z47793">
        <v>400000</v>
      </c>
    </row>
    <row r="47794" spans="26:26" x14ac:dyDescent="0.25">
      <c r="Z47794">
        <v>400000</v>
      </c>
    </row>
    <row r="47795" spans="26:26" x14ac:dyDescent="0.25">
      <c r="Z47795">
        <v>400000</v>
      </c>
    </row>
    <row r="47796" spans="26:26" x14ac:dyDescent="0.25">
      <c r="Z47796">
        <v>400000</v>
      </c>
    </row>
    <row r="47797" spans="26:26" x14ac:dyDescent="0.25">
      <c r="Z47797">
        <v>400000</v>
      </c>
    </row>
    <row r="47798" spans="26:26" x14ac:dyDescent="0.25">
      <c r="Z47798">
        <v>400000</v>
      </c>
    </row>
    <row r="47799" spans="26:26" x14ac:dyDescent="0.25">
      <c r="Z47799">
        <v>400000</v>
      </c>
    </row>
    <row r="47800" spans="26:26" x14ac:dyDescent="0.25">
      <c r="Z47800">
        <v>400000</v>
      </c>
    </row>
    <row r="47801" spans="26:26" x14ac:dyDescent="0.25">
      <c r="Z47801">
        <v>400000</v>
      </c>
    </row>
    <row r="47802" spans="26:26" x14ac:dyDescent="0.25">
      <c r="Z47802">
        <v>400000</v>
      </c>
    </row>
    <row r="47803" spans="26:26" x14ac:dyDescent="0.25">
      <c r="Z47803">
        <v>400000</v>
      </c>
    </row>
    <row r="47804" spans="26:26" x14ac:dyDescent="0.25">
      <c r="Z47804">
        <v>400000</v>
      </c>
    </row>
    <row r="47805" spans="26:26" x14ac:dyDescent="0.25">
      <c r="Z47805">
        <v>400000</v>
      </c>
    </row>
    <row r="47806" spans="26:26" x14ac:dyDescent="0.25">
      <c r="Z47806">
        <v>400000</v>
      </c>
    </row>
    <row r="47807" spans="26:26" x14ac:dyDescent="0.25">
      <c r="Z47807">
        <v>400000</v>
      </c>
    </row>
    <row r="47808" spans="26:26" x14ac:dyDescent="0.25">
      <c r="Z47808">
        <v>400000</v>
      </c>
    </row>
    <row r="47809" spans="26:26" x14ac:dyDescent="0.25">
      <c r="Z47809">
        <v>400000</v>
      </c>
    </row>
    <row r="47810" spans="26:26" x14ac:dyDescent="0.25">
      <c r="Z47810">
        <v>400000</v>
      </c>
    </row>
    <row r="47811" spans="26:26" x14ac:dyDescent="0.25">
      <c r="Z47811">
        <v>400000</v>
      </c>
    </row>
    <row r="47812" spans="26:26" x14ac:dyDescent="0.25">
      <c r="Z47812">
        <v>400000</v>
      </c>
    </row>
    <row r="47813" spans="26:26" x14ac:dyDescent="0.25">
      <c r="Z47813">
        <v>400000</v>
      </c>
    </row>
    <row r="47814" spans="26:26" x14ac:dyDescent="0.25">
      <c r="Z47814">
        <v>400000</v>
      </c>
    </row>
    <row r="47815" spans="26:26" x14ac:dyDescent="0.25">
      <c r="Z47815">
        <v>400000</v>
      </c>
    </row>
    <row r="47816" spans="26:26" x14ac:dyDescent="0.25">
      <c r="Z47816">
        <v>400000</v>
      </c>
    </row>
    <row r="47817" spans="26:26" x14ac:dyDescent="0.25">
      <c r="Z47817">
        <v>400000</v>
      </c>
    </row>
    <row r="47818" spans="26:26" x14ac:dyDescent="0.25">
      <c r="Z47818">
        <v>400000</v>
      </c>
    </row>
    <row r="47819" spans="26:26" x14ac:dyDescent="0.25">
      <c r="Z47819">
        <v>400000</v>
      </c>
    </row>
    <row r="47820" spans="26:26" x14ac:dyDescent="0.25">
      <c r="Z47820">
        <v>400000</v>
      </c>
    </row>
    <row r="47821" spans="26:26" x14ac:dyDescent="0.25">
      <c r="Z47821">
        <v>400000</v>
      </c>
    </row>
    <row r="47822" spans="26:26" x14ac:dyDescent="0.25">
      <c r="Z47822">
        <v>400000</v>
      </c>
    </row>
    <row r="47823" spans="26:26" x14ac:dyDescent="0.25">
      <c r="Z47823">
        <v>400000</v>
      </c>
    </row>
    <row r="47824" spans="26:26" x14ac:dyDescent="0.25">
      <c r="Z47824">
        <v>400000</v>
      </c>
    </row>
    <row r="47825" spans="26:26" x14ac:dyDescent="0.25">
      <c r="Z47825">
        <v>400000</v>
      </c>
    </row>
    <row r="47826" spans="26:26" x14ac:dyDescent="0.25">
      <c r="Z47826">
        <v>400000</v>
      </c>
    </row>
    <row r="47827" spans="26:26" x14ac:dyDescent="0.25">
      <c r="Z47827">
        <v>400000</v>
      </c>
    </row>
    <row r="47828" spans="26:26" x14ac:dyDescent="0.25">
      <c r="Z47828">
        <v>400000</v>
      </c>
    </row>
    <row r="47829" spans="26:26" x14ac:dyDescent="0.25">
      <c r="Z47829">
        <v>400000</v>
      </c>
    </row>
    <row r="47830" spans="26:26" x14ac:dyDescent="0.25">
      <c r="Z47830">
        <v>400000</v>
      </c>
    </row>
    <row r="47831" spans="26:26" x14ac:dyDescent="0.25">
      <c r="Z47831">
        <v>400000</v>
      </c>
    </row>
    <row r="47832" spans="26:26" x14ac:dyDescent="0.25">
      <c r="Z47832">
        <v>400000</v>
      </c>
    </row>
    <row r="47833" spans="26:26" x14ac:dyDescent="0.25">
      <c r="Z47833">
        <v>400000</v>
      </c>
    </row>
    <row r="47834" spans="26:26" x14ac:dyDescent="0.25">
      <c r="Z47834">
        <v>400000</v>
      </c>
    </row>
    <row r="47835" spans="26:26" x14ac:dyDescent="0.25">
      <c r="Z47835">
        <v>400000</v>
      </c>
    </row>
    <row r="47836" spans="26:26" x14ac:dyDescent="0.25">
      <c r="Z47836">
        <v>400000</v>
      </c>
    </row>
    <row r="47837" spans="26:26" x14ac:dyDescent="0.25">
      <c r="Z47837">
        <v>400000</v>
      </c>
    </row>
    <row r="47838" spans="26:26" x14ac:dyDescent="0.25">
      <c r="Z47838">
        <v>400000</v>
      </c>
    </row>
    <row r="47839" spans="26:26" x14ac:dyDescent="0.25">
      <c r="Z47839">
        <v>400000</v>
      </c>
    </row>
    <row r="47840" spans="26:26" x14ac:dyDescent="0.25">
      <c r="Z47840">
        <v>400000</v>
      </c>
    </row>
    <row r="47841" spans="26:26" x14ac:dyDescent="0.25">
      <c r="Z47841">
        <v>400000</v>
      </c>
    </row>
    <row r="47842" spans="26:26" x14ac:dyDescent="0.25">
      <c r="Z47842">
        <v>400000</v>
      </c>
    </row>
    <row r="47843" spans="26:26" x14ac:dyDescent="0.25">
      <c r="Z47843">
        <v>400000</v>
      </c>
    </row>
    <row r="47844" spans="26:26" x14ac:dyDescent="0.25">
      <c r="Z47844">
        <v>400000</v>
      </c>
    </row>
    <row r="47845" spans="26:26" x14ac:dyDescent="0.25">
      <c r="Z47845">
        <v>400000</v>
      </c>
    </row>
    <row r="47846" spans="26:26" x14ac:dyDescent="0.25">
      <c r="Z47846">
        <v>400000</v>
      </c>
    </row>
    <row r="47847" spans="26:26" x14ac:dyDescent="0.25">
      <c r="Z47847">
        <v>400000</v>
      </c>
    </row>
    <row r="47848" spans="26:26" x14ac:dyDescent="0.25">
      <c r="Z47848">
        <v>400000</v>
      </c>
    </row>
    <row r="47849" spans="26:26" x14ac:dyDescent="0.25">
      <c r="Z47849">
        <v>400000</v>
      </c>
    </row>
    <row r="47850" spans="26:26" x14ac:dyDescent="0.25">
      <c r="Z47850">
        <v>400000</v>
      </c>
    </row>
    <row r="47851" spans="26:26" x14ac:dyDescent="0.25">
      <c r="Z47851">
        <v>400000</v>
      </c>
    </row>
    <row r="47852" spans="26:26" x14ac:dyDescent="0.25">
      <c r="Z47852">
        <v>400000</v>
      </c>
    </row>
    <row r="47853" spans="26:26" x14ac:dyDescent="0.25">
      <c r="Z47853">
        <v>400000</v>
      </c>
    </row>
    <row r="47854" spans="26:26" x14ac:dyDescent="0.25">
      <c r="Z47854">
        <v>400000</v>
      </c>
    </row>
    <row r="47855" spans="26:26" x14ac:dyDescent="0.25">
      <c r="Z47855">
        <v>400000</v>
      </c>
    </row>
    <row r="47856" spans="26:26" x14ac:dyDescent="0.25">
      <c r="Z47856">
        <v>400000</v>
      </c>
    </row>
    <row r="47857" spans="26:26" x14ac:dyDescent="0.25">
      <c r="Z47857">
        <v>400000</v>
      </c>
    </row>
    <row r="47858" spans="26:26" x14ac:dyDescent="0.25">
      <c r="Z47858">
        <v>400000</v>
      </c>
    </row>
    <row r="47859" spans="26:26" x14ac:dyDescent="0.25">
      <c r="Z47859">
        <v>400000</v>
      </c>
    </row>
    <row r="47860" spans="26:26" x14ac:dyDescent="0.25">
      <c r="Z47860">
        <v>400000</v>
      </c>
    </row>
    <row r="47861" spans="26:26" x14ac:dyDescent="0.25">
      <c r="Z47861">
        <v>400000</v>
      </c>
    </row>
    <row r="47862" spans="26:26" x14ac:dyDescent="0.25">
      <c r="Z47862">
        <v>400000</v>
      </c>
    </row>
    <row r="47863" spans="26:26" x14ac:dyDescent="0.25">
      <c r="Z47863">
        <v>400000</v>
      </c>
    </row>
    <row r="47864" spans="26:26" x14ac:dyDescent="0.25">
      <c r="Z47864">
        <v>400000</v>
      </c>
    </row>
    <row r="47865" spans="26:26" x14ac:dyDescent="0.25">
      <c r="Z47865">
        <v>400000</v>
      </c>
    </row>
    <row r="47866" spans="26:26" x14ac:dyDescent="0.25">
      <c r="Z47866">
        <v>400000</v>
      </c>
    </row>
    <row r="47867" spans="26:26" x14ac:dyDescent="0.25">
      <c r="Z47867">
        <v>400000</v>
      </c>
    </row>
    <row r="47868" spans="26:26" x14ac:dyDescent="0.25">
      <c r="Z47868">
        <v>400000</v>
      </c>
    </row>
    <row r="47869" spans="26:26" x14ac:dyDescent="0.25">
      <c r="Z47869">
        <v>400000</v>
      </c>
    </row>
    <row r="47870" spans="26:26" x14ac:dyDescent="0.25">
      <c r="Z47870">
        <v>400000</v>
      </c>
    </row>
    <row r="47871" spans="26:26" x14ac:dyDescent="0.25">
      <c r="Z47871">
        <v>400000</v>
      </c>
    </row>
    <row r="47872" spans="26:26" x14ac:dyDescent="0.25">
      <c r="Z47872">
        <v>400000</v>
      </c>
    </row>
    <row r="47873" spans="26:26" x14ac:dyDescent="0.25">
      <c r="Z47873">
        <v>400000</v>
      </c>
    </row>
    <row r="47874" spans="26:26" x14ac:dyDescent="0.25">
      <c r="Z47874">
        <v>400000</v>
      </c>
    </row>
    <row r="47875" spans="26:26" x14ac:dyDescent="0.25">
      <c r="Z47875">
        <v>400000</v>
      </c>
    </row>
    <row r="47876" spans="26:26" x14ac:dyDescent="0.25">
      <c r="Z47876">
        <v>400000</v>
      </c>
    </row>
    <row r="47877" spans="26:26" x14ac:dyDescent="0.25">
      <c r="Z47877">
        <v>400000</v>
      </c>
    </row>
    <row r="47878" spans="26:26" x14ac:dyDescent="0.25">
      <c r="Z47878">
        <v>400000</v>
      </c>
    </row>
    <row r="47879" spans="26:26" x14ac:dyDescent="0.25">
      <c r="Z47879">
        <v>400000</v>
      </c>
    </row>
    <row r="47880" spans="26:26" x14ac:dyDescent="0.25">
      <c r="Z47880">
        <v>400000</v>
      </c>
    </row>
    <row r="47881" spans="26:26" x14ac:dyDescent="0.25">
      <c r="Z47881">
        <v>400000</v>
      </c>
    </row>
    <row r="47882" spans="26:26" x14ac:dyDescent="0.25">
      <c r="Z47882">
        <v>400000</v>
      </c>
    </row>
    <row r="47883" spans="26:26" x14ac:dyDescent="0.25">
      <c r="Z47883">
        <v>400000</v>
      </c>
    </row>
    <row r="47884" spans="26:26" x14ac:dyDescent="0.25">
      <c r="Z47884">
        <v>400000</v>
      </c>
    </row>
    <row r="47885" spans="26:26" x14ac:dyDescent="0.25">
      <c r="Z47885">
        <v>400000</v>
      </c>
    </row>
    <row r="47886" spans="26:26" x14ac:dyDescent="0.25">
      <c r="Z47886">
        <v>400000</v>
      </c>
    </row>
    <row r="47887" spans="26:26" x14ac:dyDescent="0.25">
      <c r="Z47887">
        <v>400000</v>
      </c>
    </row>
    <row r="47888" spans="26:26" x14ac:dyDescent="0.25">
      <c r="Z47888">
        <v>400000</v>
      </c>
    </row>
    <row r="47889" spans="26:26" x14ac:dyDescent="0.25">
      <c r="Z47889">
        <v>400000</v>
      </c>
    </row>
    <row r="47890" spans="26:26" x14ac:dyDescent="0.25">
      <c r="Z47890">
        <v>400000</v>
      </c>
    </row>
    <row r="47891" spans="26:26" x14ac:dyDescent="0.25">
      <c r="Z47891">
        <v>400000</v>
      </c>
    </row>
    <row r="47892" spans="26:26" x14ac:dyDescent="0.25">
      <c r="Z47892">
        <v>400000</v>
      </c>
    </row>
    <row r="47893" spans="26:26" x14ac:dyDescent="0.25">
      <c r="Z47893">
        <v>400000</v>
      </c>
    </row>
    <row r="47894" spans="26:26" x14ac:dyDescent="0.25">
      <c r="Z47894">
        <v>400000</v>
      </c>
    </row>
    <row r="47895" spans="26:26" x14ac:dyDescent="0.25">
      <c r="Z47895">
        <v>400000</v>
      </c>
    </row>
    <row r="47896" spans="26:26" x14ac:dyDescent="0.25">
      <c r="Z47896">
        <v>400000</v>
      </c>
    </row>
    <row r="47897" spans="26:26" x14ac:dyDescent="0.25">
      <c r="Z47897">
        <v>400000</v>
      </c>
    </row>
    <row r="47898" spans="26:26" x14ac:dyDescent="0.25">
      <c r="Z47898">
        <v>400000</v>
      </c>
    </row>
    <row r="47899" spans="26:26" x14ac:dyDescent="0.25">
      <c r="Z47899">
        <v>400000</v>
      </c>
    </row>
    <row r="47900" spans="26:26" x14ac:dyDescent="0.25">
      <c r="Z47900">
        <v>400000</v>
      </c>
    </row>
    <row r="47901" spans="26:26" x14ac:dyDescent="0.25">
      <c r="Z47901">
        <v>400000</v>
      </c>
    </row>
    <row r="47902" spans="26:26" x14ac:dyDescent="0.25">
      <c r="Z47902">
        <v>400000</v>
      </c>
    </row>
    <row r="47903" spans="26:26" x14ac:dyDescent="0.25">
      <c r="Z47903">
        <v>400000</v>
      </c>
    </row>
    <row r="47904" spans="26:26" x14ac:dyDescent="0.25">
      <c r="Z47904">
        <v>400000</v>
      </c>
    </row>
    <row r="47905" spans="26:26" x14ac:dyDescent="0.25">
      <c r="Z47905">
        <v>400000</v>
      </c>
    </row>
    <row r="47906" spans="26:26" x14ac:dyDescent="0.25">
      <c r="Z47906">
        <v>400000</v>
      </c>
    </row>
    <row r="47907" spans="26:26" x14ac:dyDescent="0.25">
      <c r="Z47907">
        <v>400000</v>
      </c>
    </row>
    <row r="47908" spans="26:26" x14ac:dyDescent="0.25">
      <c r="Z47908">
        <v>400000</v>
      </c>
    </row>
    <row r="47909" spans="26:26" x14ac:dyDescent="0.25">
      <c r="Z47909">
        <v>400000</v>
      </c>
    </row>
    <row r="47910" spans="26:26" x14ac:dyDescent="0.25">
      <c r="Z47910">
        <v>400000</v>
      </c>
    </row>
    <row r="47911" spans="26:26" x14ac:dyDescent="0.25">
      <c r="Z47911">
        <v>400000</v>
      </c>
    </row>
    <row r="47912" spans="26:26" x14ac:dyDescent="0.25">
      <c r="Z47912">
        <v>400000</v>
      </c>
    </row>
    <row r="47913" spans="26:26" x14ac:dyDescent="0.25">
      <c r="Z47913">
        <v>400000</v>
      </c>
    </row>
    <row r="47914" spans="26:26" x14ac:dyDescent="0.25">
      <c r="Z47914">
        <v>400000</v>
      </c>
    </row>
    <row r="47915" spans="26:26" x14ac:dyDescent="0.25">
      <c r="Z47915">
        <v>400000</v>
      </c>
    </row>
    <row r="47916" spans="26:26" x14ac:dyDescent="0.25">
      <c r="Z47916">
        <v>400000</v>
      </c>
    </row>
    <row r="47917" spans="26:26" x14ac:dyDescent="0.25">
      <c r="Z47917">
        <v>400000</v>
      </c>
    </row>
    <row r="47918" spans="26:26" x14ac:dyDescent="0.25">
      <c r="Z47918">
        <v>400000</v>
      </c>
    </row>
    <row r="47919" spans="26:26" x14ac:dyDescent="0.25">
      <c r="Z47919">
        <v>400000</v>
      </c>
    </row>
    <row r="47920" spans="26:26" x14ac:dyDescent="0.25">
      <c r="Z47920">
        <v>400000</v>
      </c>
    </row>
    <row r="47921" spans="26:26" x14ac:dyDescent="0.25">
      <c r="Z47921">
        <v>400000</v>
      </c>
    </row>
    <row r="47922" spans="26:26" x14ac:dyDescent="0.25">
      <c r="Z47922">
        <v>400000</v>
      </c>
    </row>
    <row r="47923" spans="26:26" x14ac:dyDescent="0.25">
      <c r="Z47923">
        <v>400000</v>
      </c>
    </row>
    <row r="47924" spans="26:26" x14ac:dyDescent="0.25">
      <c r="Z47924">
        <v>400000</v>
      </c>
    </row>
    <row r="47925" spans="26:26" x14ac:dyDescent="0.25">
      <c r="Z47925">
        <v>400000</v>
      </c>
    </row>
    <row r="47926" spans="26:26" x14ac:dyDescent="0.25">
      <c r="Z47926">
        <v>400000</v>
      </c>
    </row>
    <row r="47927" spans="26:26" x14ac:dyDescent="0.25">
      <c r="Z47927">
        <v>400000</v>
      </c>
    </row>
    <row r="47928" spans="26:26" x14ac:dyDescent="0.25">
      <c r="Z47928">
        <v>400000</v>
      </c>
    </row>
    <row r="47929" spans="26:26" x14ac:dyDescent="0.25">
      <c r="Z47929">
        <v>400000</v>
      </c>
    </row>
    <row r="47930" spans="26:26" x14ac:dyDescent="0.25">
      <c r="Z47930">
        <v>400000</v>
      </c>
    </row>
    <row r="47931" spans="26:26" x14ac:dyDescent="0.25">
      <c r="Z47931">
        <v>400000</v>
      </c>
    </row>
    <row r="47932" spans="26:26" x14ac:dyDescent="0.25">
      <c r="Z47932">
        <v>400000</v>
      </c>
    </row>
    <row r="47933" spans="26:26" x14ac:dyDescent="0.25">
      <c r="Z47933">
        <v>400000</v>
      </c>
    </row>
    <row r="47934" spans="26:26" x14ac:dyDescent="0.25">
      <c r="Z47934">
        <v>400000</v>
      </c>
    </row>
    <row r="47935" spans="26:26" x14ac:dyDescent="0.25">
      <c r="Z47935">
        <v>400000</v>
      </c>
    </row>
    <row r="47936" spans="26:26" x14ac:dyDescent="0.25">
      <c r="Z47936">
        <v>400000</v>
      </c>
    </row>
    <row r="47937" spans="26:26" x14ac:dyDescent="0.25">
      <c r="Z47937">
        <v>400000</v>
      </c>
    </row>
    <row r="47938" spans="26:26" x14ac:dyDescent="0.25">
      <c r="Z47938">
        <v>400000</v>
      </c>
    </row>
    <row r="47939" spans="26:26" x14ac:dyDescent="0.25">
      <c r="Z47939">
        <v>400000</v>
      </c>
    </row>
    <row r="47940" spans="26:26" x14ac:dyDescent="0.25">
      <c r="Z47940">
        <v>400000</v>
      </c>
    </row>
    <row r="47941" spans="26:26" x14ac:dyDescent="0.25">
      <c r="Z47941">
        <v>400000</v>
      </c>
    </row>
    <row r="47942" spans="26:26" x14ac:dyDescent="0.25">
      <c r="Z47942">
        <v>400000</v>
      </c>
    </row>
    <row r="47943" spans="26:26" x14ac:dyDescent="0.25">
      <c r="Z47943">
        <v>400000</v>
      </c>
    </row>
    <row r="47944" spans="26:26" x14ac:dyDescent="0.25">
      <c r="Z47944">
        <v>400000</v>
      </c>
    </row>
    <row r="47945" spans="26:26" x14ac:dyDescent="0.25">
      <c r="Z47945">
        <v>400000</v>
      </c>
    </row>
    <row r="47946" spans="26:26" x14ac:dyDescent="0.25">
      <c r="Z47946">
        <v>400000</v>
      </c>
    </row>
    <row r="47947" spans="26:26" x14ac:dyDescent="0.25">
      <c r="Z47947">
        <v>400000</v>
      </c>
    </row>
    <row r="47948" spans="26:26" x14ac:dyDescent="0.25">
      <c r="Z47948">
        <v>400000</v>
      </c>
    </row>
    <row r="47949" spans="26:26" x14ac:dyDescent="0.25">
      <c r="Z47949">
        <v>400000</v>
      </c>
    </row>
    <row r="47950" spans="26:26" x14ac:dyDescent="0.25">
      <c r="Z47950">
        <v>400000</v>
      </c>
    </row>
    <row r="47951" spans="26:26" x14ac:dyDescent="0.25">
      <c r="Z47951">
        <v>400000</v>
      </c>
    </row>
    <row r="47952" spans="26:26" x14ac:dyDescent="0.25">
      <c r="Z47952">
        <v>400000</v>
      </c>
    </row>
    <row r="47953" spans="26:26" x14ac:dyDescent="0.25">
      <c r="Z47953">
        <v>400000</v>
      </c>
    </row>
    <row r="47954" spans="26:26" x14ac:dyDescent="0.25">
      <c r="Z47954">
        <v>400000</v>
      </c>
    </row>
    <row r="47955" spans="26:26" x14ac:dyDescent="0.25">
      <c r="Z47955">
        <v>400000</v>
      </c>
    </row>
    <row r="47956" spans="26:26" x14ac:dyDescent="0.25">
      <c r="Z47956">
        <v>400000</v>
      </c>
    </row>
    <row r="47957" spans="26:26" x14ac:dyDescent="0.25">
      <c r="Z47957">
        <v>400000</v>
      </c>
    </row>
    <row r="47958" spans="26:26" x14ac:dyDescent="0.25">
      <c r="Z47958">
        <v>400000</v>
      </c>
    </row>
    <row r="47959" spans="26:26" x14ac:dyDescent="0.25">
      <c r="Z47959">
        <v>400000</v>
      </c>
    </row>
    <row r="47960" spans="26:26" x14ac:dyDescent="0.25">
      <c r="Z47960">
        <v>400000</v>
      </c>
    </row>
    <row r="47961" spans="26:26" x14ac:dyDescent="0.25">
      <c r="Z47961">
        <v>400000</v>
      </c>
    </row>
    <row r="47962" spans="26:26" x14ac:dyDescent="0.25">
      <c r="Z47962">
        <v>400000</v>
      </c>
    </row>
    <row r="47963" spans="26:26" x14ac:dyDescent="0.25">
      <c r="Z47963">
        <v>400000</v>
      </c>
    </row>
    <row r="47964" spans="26:26" x14ac:dyDescent="0.25">
      <c r="Z47964">
        <v>400000</v>
      </c>
    </row>
    <row r="47965" spans="26:26" x14ac:dyDescent="0.25">
      <c r="Z47965">
        <v>400000</v>
      </c>
    </row>
    <row r="47966" spans="26:26" x14ac:dyDescent="0.25">
      <c r="Z47966">
        <v>400000</v>
      </c>
    </row>
    <row r="47967" spans="26:26" x14ac:dyDescent="0.25">
      <c r="Z47967">
        <v>400000</v>
      </c>
    </row>
    <row r="47968" spans="26:26" x14ac:dyDescent="0.25">
      <c r="Z47968">
        <v>400000</v>
      </c>
    </row>
    <row r="47969" spans="26:26" x14ac:dyDescent="0.25">
      <c r="Z47969">
        <v>400000</v>
      </c>
    </row>
    <row r="47970" spans="26:26" x14ac:dyDescent="0.25">
      <c r="Z47970">
        <v>400000</v>
      </c>
    </row>
    <row r="47971" spans="26:26" x14ac:dyDescent="0.25">
      <c r="Z47971">
        <v>400000</v>
      </c>
    </row>
    <row r="47972" spans="26:26" x14ac:dyDescent="0.25">
      <c r="Z47972">
        <v>400000</v>
      </c>
    </row>
    <row r="47973" spans="26:26" x14ac:dyDescent="0.25">
      <c r="Z47973">
        <v>400000</v>
      </c>
    </row>
    <row r="47974" spans="26:26" x14ac:dyDescent="0.25">
      <c r="Z47974">
        <v>400000</v>
      </c>
    </row>
    <row r="47975" spans="26:26" x14ac:dyDescent="0.25">
      <c r="Z47975">
        <v>400000</v>
      </c>
    </row>
    <row r="47976" spans="26:26" x14ac:dyDescent="0.25">
      <c r="Z47976">
        <v>400000</v>
      </c>
    </row>
    <row r="47977" spans="26:26" x14ac:dyDescent="0.25">
      <c r="Z47977">
        <v>400000</v>
      </c>
    </row>
    <row r="47978" spans="26:26" x14ac:dyDescent="0.25">
      <c r="Z47978">
        <v>400000</v>
      </c>
    </row>
    <row r="47979" spans="26:26" x14ac:dyDescent="0.25">
      <c r="Z47979">
        <v>400000</v>
      </c>
    </row>
    <row r="47980" spans="26:26" x14ac:dyDescent="0.25">
      <c r="Z47980">
        <v>400000</v>
      </c>
    </row>
    <row r="47981" spans="26:26" x14ac:dyDescent="0.25">
      <c r="Z47981">
        <v>400000</v>
      </c>
    </row>
    <row r="47982" spans="26:26" x14ac:dyDescent="0.25">
      <c r="Z47982">
        <v>400000</v>
      </c>
    </row>
    <row r="47983" spans="26:26" x14ac:dyDescent="0.25">
      <c r="Z47983">
        <v>400000</v>
      </c>
    </row>
    <row r="47984" spans="26:26" x14ac:dyDescent="0.25">
      <c r="Z47984">
        <v>400000</v>
      </c>
    </row>
    <row r="47985" spans="26:26" x14ac:dyDescent="0.25">
      <c r="Z47985">
        <v>400000</v>
      </c>
    </row>
    <row r="47986" spans="26:26" x14ac:dyDescent="0.25">
      <c r="Z47986">
        <v>400000</v>
      </c>
    </row>
    <row r="47987" spans="26:26" x14ac:dyDescent="0.25">
      <c r="Z47987">
        <v>400000</v>
      </c>
    </row>
    <row r="47988" spans="26:26" x14ac:dyDescent="0.25">
      <c r="Z47988">
        <v>400000</v>
      </c>
    </row>
    <row r="47989" spans="26:26" x14ac:dyDescent="0.25">
      <c r="Z47989">
        <v>400000</v>
      </c>
    </row>
    <row r="47990" spans="26:26" x14ac:dyDescent="0.25">
      <c r="Z47990">
        <v>400000</v>
      </c>
    </row>
    <row r="47991" spans="26:26" x14ac:dyDescent="0.25">
      <c r="Z47991">
        <v>400000</v>
      </c>
    </row>
    <row r="47992" spans="26:26" x14ac:dyDescent="0.25">
      <c r="Z47992">
        <v>400000</v>
      </c>
    </row>
    <row r="47993" spans="26:26" x14ac:dyDescent="0.25">
      <c r="Z47993">
        <v>400000</v>
      </c>
    </row>
    <row r="47994" spans="26:26" x14ac:dyDescent="0.25">
      <c r="Z47994">
        <v>400000</v>
      </c>
    </row>
    <row r="47995" spans="26:26" x14ac:dyDescent="0.25">
      <c r="Z47995">
        <v>400000</v>
      </c>
    </row>
    <row r="47996" spans="26:26" x14ac:dyDescent="0.25">
      <c r="Z47996">
        <v>400000</v>
      </c>
    </row>
    <row r="47997" spans="26:26" x14ac:dyDescent="0.25">
      <c r="Z47997">
        <v>400000</v>
      </c>
    </row>
    <row r="47998" spans="26:26" x14ac:dyDescent="0.25">
      <c r="Z47998">
        <v>400000</v>
      </c>
    </row>
    <row r="47999" spans="26:26" x14ac:dyDescent="0.25">
      <c r="Z47999">
        <v>400000</v>
      </c>
    </row>
    <row r="48000" spans="26:26" x14ac:dyDescent="0.25">
      <c r="Z48000">
        <v>400000</v>
      </c>
    </row>
    <row r="48001" spans="26:26" x14ac:dyDescent="0.25">
      <c r="Z48001">
        <v>400000</v>
      </c>
    </row>
    <row r="48002" spans="26:26" x14ac:dyDescent="0.25">
      <c r="Z48002">
        <v>400000</v>
      </c>
    </row>
    <row r="48003" spans="26:26" x14ac:dyDescent="0.25">
      <c r="Z48003">
        <v>400000</v>
      </c>
    </row>
    <row r="48004" spans="26:26" x14ac:dyDescent="0.25">
      <c r="Z48004">
        <v>400000</v>
      </c>
    </row>
    <row r="48005" spans="26:26" x14ac:dyDescent="0.25">
      <c r="Z48005">
        <v>400000</v>
      </c>
    </row>
    <row r="48006" spans="26:26" x14ac:dyDescent="0.25">
      <c r="Z48006">
        <v>400000</v>
      </c>
    </row>
    <row r="48007" spans="26:26" x14ac:dyDescent="0.25">
      <c r="Z48007">
        <v>400000</v>
      </c>
    </row>
    <row r="48008" spans="26:26" x14ac:dyDescent="0.25">
      <c r="Z48008">
        <v>400000</v>
      </c>
    </row>
    <row r="48009" spans="26:26" x14ac:dyDescent="0.25">
      <c r="Z48009">
        <v>400000</v>
      </c>
    </row>
    <row r="48010" spans="26:26" x14ac:dyDescent="0.25">
      <c r="Z48010">
        <v>400000</v>
      </c>
    </row>
    <row r="48011" spans="26:26" x14ac:dyDescent="0.25">
      <c r="Z48011">
        <v>400000</v>
      </c>
    </row>
    <row r="48012" spans="26:26" x14ac:dyDescent="0.25">
      <c r="Z48012">
        <v>400000</v>
      </c>
    </row>
    <row r="48013" spans="26:26" x14ac:dyDescent="0.25">
      <c r="Z48013">
        <v>400000</v>
      </c>
    </row>
    <row r="48014" spans="26:26" x14ac:dyDescent="0.25">
      <c r="Z48014">
        <v>400000</v>
      </c>
    </row>
    <row r="48015" spans="26:26" x14ac:dyDescent="0.25">
      <c r="Z48015">
        <v>400000</v>
      </c>
    </row>
    <row r="48016" spans="26:26" x14ac:dyDescent="0.25">
      <c r="Z48016">
        <v>400000</v>
      </c>
    </row>
    <row r="48017" spans="26:26" x14ac:dyDescent="0.25">
      <c r="Z48017">
        <v>400000</v>
      </c>
    </row>
    <row r="48018" spans="26:26" x14ac:dyDescent="0.25">
      <c r="Z48018">
        <v>400000</v>
      </c>
    </row>
    <row r="48019" spans="26:26" x14ac:dyDescent="0.25">
      <c r="Z48019">
        <v>400000</v>
      </c>
    </row>
    <row r="48020" spans="26:26" x14ac:dyDescent="0.25">
      <c r="Z48020">
        <v>400000</v>
      </c>
    </row>
    <row r="48021" spans="26:26" x14ac:dyDescent="0.25">
      <c r="Z48021">
        <v>400000</v>
      </c>
    </row>
    <row r="48022" spans="26:26" x14ac:dyDescent="0.25">
      <c r="Z48022">
        <v>400000</v>
      </c>
    </row>
    <row r="48023" spans="26:26" x14ac:dyDescent="0.25">
      <c r="Z48023">
        <v>400000</v>
      </c>
    </row>
    <row r="48024" spans="26:26" x14ac:dyDescent="0.25">
      <c r="Z48024">
        <v>400000</v>
      </c>
    </row>
    <row r="48025" spans="26:26" x14ac:dyDescent="0.25">
      <c r="Z48025">
        <v>400000</v>
      </c>
    </row>
    <row r="48026" spans="26:26" x14ac:dyDescent="0.25">
      <c r="Z48026">
        <v>400000</v>
      </c>
    </row>
    <row r="48027" spans="26:26" x14ac:dyDescent="0.25">
      <c r="Z48027">
        <v>400000</v>
      </c>
    </row>
    <row r="48028" spans="26:26" x14ac:dyDescent="0.25">
      <c r="Z48028">
        <v>400000</v>
      </c>
    </row>
    <row r="48029" spans="26:26" x14ac:dyDescent="0.25">
      <c r="Z48029">
        <v>400000</v>
      </c>
    </row>
    <row r="48030" spans="26:26" x14ac:dyDescent="0.25">
      <c r="Z48030">
        <v>400000</v>
      </c>
    </row>
    <row r="48031" spans="26:26" x14ac:dyDescent="0.25">
      <c r="Z48031">
        <v>400000</v>
      </c>
    </row>
    <row r="48032" spans="26:26" x14ac:dyDescent="0.25">
      <c r="Z48032">
        <v>400000</v>
      </c>
    </row>
    <row r="48033" spans="26:26" x14ac:dyDescent="0.25">
      <c r="Z48033">
        <v>400000</v>
      </c>
    </row>
    <row r="48034" spans="26:26" x14ac:dyDescent="0.25">
      <c r="Z48034">
        <v>400000</v>
      </c>
    </row>
    <row r="48035" spans="26:26" x14ac:dyDescent="0.25">
      <c r="Z48035">
        <v>400000</v>
      </c>
    </row>
    <row r="48036" spans="26:26" x14ac:dyDescent="0.25">
      <c r="Z48036">
        <v>400000</v>
      </c>
    </row>
    <row r="48037" spans="26:26" x14ac:dyDescent="0.25">
      <c r="Z48037">
        <v>400000</v>
      </c>
    </row>
    <row r="48038" spans="26:26" x14ac:dyDescent="0.25">
      <c r="Z48038">
        <v>400000</v>
      </c>
    </row>
    <row r="48039" spans="26:26" x14ac:dyDescent="0.25">
      <c r="Z48039">
        <v>400000</v>
      </c>
    </row>
    <row r="48040" spans="26:26" x14ac:dyDescent="0.25">
      <c r="Z48040">
        <v>400000</v>
      </c>
    </row>
    <row r="48041" spans="26:26" x14ac:dyDescent="0.25">
      <c r="Z48041">
        <v>400000</v>
      </c>
    </row>
    <row r="48042" spans="26:26" x14ac:dyDescent="0.25">
      <c r="Z48042">
        <v>400000</v>
      </c>
    </row>
    <row r="48043" spans="26:26" x14ac:dyDescent="0.25">
      <c r="Z48043">
        <v>400000</v>
      </c>
    </row>
    <row r="48044" spans="26:26" x14ac:dyDescent="0.25">
      <c r="Z48044">
        <v>400000</v>
      </c>
    </row>
    <row r="48045" spans="26:26" x14ac:dyDescent="0.25">
      <c r="Z48045">
        <v>400000</v>
      </c>
    </row>
    <row r="48046" spans="26:26" x14ac:dyDescent="0.25">
      <c r="Z48046">
        <v>400000</v>
      </c>
    </row>
    <row r="48047" spans="26:26" x14ac:dyDescent="0.25">
      <c r="Z48047">
        <v>400000</v>
      </c>
    </row>
    <row r="48048" spans="26:26" x14ac:dyDescent="0.25">
      <c r="Z48048">
        <v>400000</v>
      </c>
    </row>
    <row r="48049" spans="26:26" x14ac:dyDescent="0.25">
      <c r="Z48049">
        <v>400000</v>
      </c>
    </row>
    <row r="48050" spans="26:26" x14ac:dyDescent="0.25">
      <c r="Z48050">
        <v>400000</v>
      </c>
    </row>
    <row r="48051" spans="26:26" x14ac:dyDescent="0.25">
      <c r="Z48051">
        <v>400000</v>
      </c>
    </row>
    <row r="48052" spans="26:26" x14ac:dyDescent="0.25">
      <c r="Z48052">
        <v>400000</v>
      </c>
    </row>
    <row r="48053" spans="26:26" x14ac:dyDescent="0.25">
      <c r="Z48053">
        <v>400000</v>
      </c>
    </row>
    <row r="48054" spans="26:26" x14ac:dyDescent="0.25">
      <c r="Z48054">
        <v>400000</v>
      </c>
    </row>
    <row r="48055" spans="26:26" x14ac:dyDescent="0.25">
      <c r="Z48055">
        <v>400000</v>
      </c>
    </row>
    <row r="48056" spans="26:26" x14ac:dyDescent="0.25">
      <c r="Z48056">
        <v>400000</v>
      </c>
    </row>
    <row r="48057" spans="26:26" x14ac:dyDescent="0.25">
      <c r="Z48057">
        <v>400000</v>
      </c>
    </row>
    <row r="48058" spans="26:26" x14ac:dyDescent="0.25">
      <c r="Z48058">
        <v>400000</v>
      </c>
    </row>
    <row r="48059" spans="26:26" x14ac:dyDescent="0.25">
      <c r="Z48059">
        <v>400000</v>
      </c>
    </row>
    <row r="48060" spans="26:26" x14ac:dyDescent="0.25">
      <c r="Z48060">
        <v>400000</v>
      </c>
    </row>
    <row r="48061" spans="26:26" x14ac:dyDescent="0.25">
      <c r="Z48061">
        <v>400000</v>
      </c>
    </row>
    <row r="48062" spans="26:26" x14ac:dyDescent="0.25">
      <c r="Z48062">
        <v>400000</v>
      </c>
    </row>
    <row r="48063" spans="26:26" x14ac:dyDescent="0.25">
      <c r="Z48063">
        <v>400000</v>
      </c>
    </row>
    <row r="48064" spans="26:26" x14ac:dyDescent="0.25">
      <c r="Z48064">
        <v>400000</v>
      </c>
    </row>
    <row r="48065" spans="26:26" x14ac:dyDescent="0.25">
      <c r="Z48065">
        <v>400000</v>
      </c>
    </row>
    <row r="48066" spans="26:26" x14ac:dyDescent="0.25">
      <c r="Z48066">
        <v>400000</v>
      </c>
    </row>
    <row r="48067" spans="26:26" x14ac:dyDescent="0.25">
      <c r="Z48067">
        <v>400000</v>
      </c>
    </row>
    <row r="48068" spans="26:26" x14ac:dyDescent="0.25">
      <c r="Z48068">
        <v>400000</v>
      </c>
    </row>
    <row r="48069" spans="26:26" x14ac:dyDescent="0.25">
      <c r="Z48069">
        <v>400000</v>
      </c>
    </row>
    <row r="48070" spans="26:26" x14ac:dyDescent="0.25">
      <c r="Z48070">
        <v>400000</v>
      </c>
    </row>
    <row r="48071" spans="26:26" x14ac:dyDescent="0.25">
      <c r="Z48071">
        <v>400000</v>
      </c>
    </row>
    <row r="48072" spans="26:26" x14ac:dyDescent="0.25">
      <c r="Z48072">
        <v>400000</v>
      </c>
    </row>
    <row r="48073" spans="26:26" x14ac:dyDescent="0.25">
      <c r="Z48073">
        <v>400000</v>
      </c>
    </row>
    <row r="48074" spans="26:26" x14ac:dyDescent="0.25">
      <c r="Z48074">
        <v>400000</v>
      </c>
    </row>
    <row r="48075" spans="26:26" x14ac:dyDescent="0.25">
      <c r="Z48075">
        <v>400000</v>
      </c>
    </row>
    <row r="48076" spans="26:26" x14ac:dyDescent="0.25">
      <c r="Z48076">
        <v>400000</v>
      </c>
    </row>
    <row r="48077" spans="26:26" x14ac:dyDescent="0.25">
      <c r="Z48077">
        <v>400000</v>
      </c>
    </row>
    <row r="48078" spans="26:26" x14ac:dyDescent="0.25">
      <c r="Z48078">
        <v>400000</v>
      </c>
    </row>
    <row r="48079" spans="26:26" x14ac:dyDescent="0.25">
      <c r="Z48079">
        <v>400000</v>
      </c>
    </row>
    <row r="48080" spans="26:26" x14ac:dyDescent="0.25">
      <c r="Z48080">
        <v>400000</v>
      </c>
    </row>
    <row r="48081" spans="26:26" x14ac:dyDescent="0.25">
      <c r="Z48081">
        <v>400000</v>
      </c>
    </row>
    <row r="48082" spans="26:26" x14ac:dyDescent="0.25">
      <c r="Z48082">
        <v>400000</v>
      </c>
    </row>
    <row r="48083" spans="26:26" x14ac:dyDescent="0.25">
      <c r="Z48083">
        <v>400000</v>
      </c>
    </row>
    <row r="48084" spans="26:26" x14ac:dyDescent="0.25">
      <c r="Z48084">
        <v>400000</v>
      </c>
    </row>
    <row r="48085" spans="26:26" x14ac:dyDescent="0.25">
      <c r="Z48085">
        <v>400000</v>
      </c>
    </row>
    <row r="48086" spans="26:26" x14ac:dyDescent="0.25">
      <c r="Z48086">
        <v>400000</v>
      </c>
    </row>
    <row r="48087" spans="26:26" x14ac:dyDescent="0.25">
      <c r="Z48087">
        <v>400000</v>
      </c>
    </row>
    <row r="48088" spans="26:26" x14ac:dyDescent="0.25">
      <c r="Z48088">
        <v>400000</v>
      </c>
    </row>
    <row r="48089" spans="26:26" x14ac:dyDescent="0.25">
      <c r="Z48089">
        <v>400000</v>
      </c>
    </row>
    <row r="48090" spans="26:26" x14ac:dyDescent="0.25">
      <c r="Z48090">
        <v>400000</v>
      </c>
    </row>
    <row r="48091" spans="26:26" x14ac:dyDescent="0.25">
      <c r="Z48091">
        <v>400000</v>
      </c>
    </row>
    <row r="48092" spans="26:26" x14ac:dyDescent="0.25">
      <c r="Z48092">
        <v>400000</v>
      </c>
    </row>
    <row r="48093" spans="26:26" x14ac:dyDescent="0.25">
      <c r="Z48093">
        <v>400000</v>
      </c>
    </row>
    <row r="48094" spans="26:26" x14ac:dyDescent="0.25">
      <c r="Z48094">
        <v>400000</v>
      </c>
    </row>
    <row r="48095" spans="26:26" x14ac:dyDescent="0.25">
      <c r="Z48095">
        <v>400000</v>
      </c>
    </row>
    <row r="48096" spans="26:26" x14ac:dyDescent="0.25">
      <c r="Z48096">
        <v>400000</v>
      </c>
    </row>
    <row r="48097" spans="26:26" x14ac:dyDescent="0.25">
      <c r="Z48097">
        <v>400000</v>
      </c>
    </row>
    <row r="48098" spans="26:26" x14ac:dyDescent="0.25">
      <c r="Z48098">
        <v>400000</v>
      </c>
    </row>
    <row r="48099" spans="26:26" x14ac:dyDescent="0.25">
      <c r="Z48099">
        <v>400000</v>
      </c>
    </row>
    <row r="48100" spans="26:26" x14ac:dyDescent="0.25">
      <c r="Z48100">
        <v>400000</v>
      </c>
    </row>
    <row r="48101" spans="26:26" x14ac:dyDescent="0.25">
      <c r="Z48101">
        <v>400000</v>
      </c>
    </row>
    <row r="48102" spans="26:26" x14ac:dyDescent="0.25">
      <c r="Z48102">
        <v>400000</v>
      </c>
    </row>
    <row r="48103" spans="26:26" x14ac:dyDescent="0.25">
      <c r="Z48103">
        <v>400000</v>
      </c>
    </row>
    <row r="48104" spans="26:26" x14ac:dyDescent="0.25">
      <c r="Z48104">
        <v>400000</v>
      </c>
    </row>
    <row r="48105" spans="26:26" x14ac:dyDescent="0.25">
      <c r="Z48105">
        <v>400000</v>
      </c>
    </row>
    <row r="48106" spans="26:26" x14ac:dyDescent="0.25">
      <c r="Z48106">
        <v>400000</v>
      </c>
    </row>
    <row r="48107" spans="26:26" x14ac:dyDescent="0.25">
      <c r="Z48107">
        <v>400000</v>
      </c>
    </row>
    <row r="48108" spans="26:26" x14ac:dyDescent="0.25">
      <c r="Z48108">
        <v>400000</v>
      </c>
    </row>
    <row r="48109" spans="26:26" x14ac:dyDescent="0.25">
      <c r="Z48109">
        <v>400000</v>
      </c>
    </row>
    <row r="48110" spans="26:26" x14ac:dyDescent="0.25">
      <c r="Z48110">
        <v>400000</v>
      </c>
    </row>
    <row r="48111" spans="26:26" x14ac:dyDescent="0.25">
      <c r="Z48111">
        <v>400000</v>
      </c>
    </row>
    <row r="48112" spans="26:26" x14ac:dyDescent="0.25">
      <c r="Z48112">
        <v>400000</v>
      </c>
    </row>
    <row r="48113" spans="26:26" x14ac:dyDescent="0.25">
      <c r="Z48113">
        <v>400000</v>
      </c>
    </row>
    <row r="48114" spans="26:26" x14ac:dyDescent="0.25">
      <c r="Z48114">
        <v>400000</v>
      </c>
    </row>
    <row r="48115" spans="26:26" x14ac:dyDescent="0.25">
      <c r="Z48115">
        <v>400000</v>
      </c>
    </row>
    <row r="48116" spans="26:26" x14ac:dyDescent="0.25">
      <c r="Z48116">
        <v>400000</v>
      </c>
    </row>
    <row r="48117" spans="26:26" x14ac:dyDescent="0.25">
      <c r="Z48117">
        <v>400000</v>
      </c>
    </row>
    <row r="48118" spans="26:26" x14ac:dyDescent="0.25">
      <c r="Z48118">
        <v>400000</v>
      </c>
    </row>
    <row r="48119" spans="26:26" x14ac:dyDescent="0.25">
      <c r="Z48119">
        <v>400000</v>
      </c>
    </row>
    <row r="48120" spans="26:26" x14ac:dyDescent="0.25">
      <c r="Z48120">
        <v>400000</v>
      </c>
    </row>
    <row r="48121" spans="26:26" x14ac:dyDescent="0.25">
      <c r="Z48121">
        <v>400000</v>
      </c>
    </row>
    <row r="48122" spans="26:26" x14ac:dyDescent="0.25">
      <c r="Z48122">
        <v>400000</v>
      </c>
    </row>
    <row r="48123" spans="26:26" x14ac:dyDescent="0.25">
      <c r="Z48123">
        <v>400000</v>
      </c>
    </row>
    <row r="48124" spans="26:26" x14ac:dyDescent="0.25">
      <c r="Z48124">
        <v>400000</v>
      </c>
    </row>
    <row r="48125" spans="26:26" x14ac:dyDescent="0.25">
      <c r="Z48125">
        <v>400000</v>
      </c>
    </row>
    <row r="48126" spans="26:26" x14ac:dyDescent="0.25">
      <c r="Z48126">
        <v>400000</v>
      </c>
    </row>
    <row r="48127" spans="26:26" x14ac:dyDescent="0.25">
      <c r="Z48127">
        <v>400000</v>
      </c>
    </row>
    <row r="48128" spans="26:26" x14ac:dyDescent="0.25">
      <c r="Z48128">
        <v>400000</v>
      </c>
    </row>
    <row r="48129" spans="26:26" x14ac:dyDescent="0.25">
      <c r="Z48129">
        <v>400000</v>
      </c>
    </row>
    <row r="48130" spans="26:26" x14ac:dyDescent="0.25">
      <c r="Z48130">
        <v>400000</v>
      </c>
    </row>
    <row r="48131" spans="26:26" x14ac:dyDescent="0.25">
      <c r="Z48131">
        <v>400000</v>
      </c>
    </row>
    <row r="48132" spans="26:26" x14ac:dyDescent="0.25">
      <c r="Z48132">
        <v>400000</v>
      </c>
    </row>
    <row r="48133" spans="26:26" x14ac:dyDescent="0.25">
      <c r="Z48133">
        <v>400000</v>
      </c>
    </row>
    <row r="48134" spans="26:26" x14ac:dyDescent="0.25">
      <c r="Z48134">
        <v>400000</v>
      </c>
    </row>
    <row r="48135" spans="26:26" x14ac:dyDescent="0.25">
      <c r="Z48135">
        <v>400000</v>
      </c>
    </row>
    <row r="48136" spans="26:26" x14ac:dyDescent="0.25">
      <c r="Z48136">
        <v>400000</v>
      </c>
    </row>
    <row r="48137" spans="26:26" x14ac:dyDescent="0.25">
      <c r="Z48137">
        <v>400000</v>
      </c>
    </row>
    <row r="48138" spans="26:26" x14ac:dyDescent="0.25">
      <c r="Z48138">
        <v>400000</v>
      </c>
    </row>
    <row r="48139" spans="26:26" x14ac:dyDescent="0.25">
      <c r="Z48139">
        <v>400000</v>
      </c>
    </row>
    <row r="48140" spans="26:26" x14ac:dyDescent="0.25">
      <c r="Z48140">
        <v>400000</v>
      </c>
    </row>
    <row r="48141" spans="26:26" x14ac:dyDescent="0.25">
      <c r="Z48141">
        <v>400000</v>
      </c>
    </row>
    <row r="48142" spans="26:26" x14ac:dyDescent="0.25">
      <c r="Z48142">
        <v>400000</v>
      </c>
    </row>
    <row r="48143" spans="26:26" x14ac:dyDescent="0.25">
      <c r="Z48143">
        <v>400000</v>
      </c>
    </row>
    <row r="48144" spans="26:26" x14ac:dyDescent="0.25">
      <c r="Z48144">
        <v>400000</v>
      </c>
    </row>
    <row r="48145" spans="26:26" x14ac:dyDescent="0.25">
      <c r="Z48145">
        <v>400000</v>
      </c>
    </row>
    <row r="48146" spans="26:26" x14ac:dyDescent="0.25">
      <c r="Z48146">
        <v>400000</v>
      </c>
    </row>
    <row r="48147" spans="26:26" x14ac:dyDescent="0.25">
      <c r="Z48147">
        <v>400000</v>
      </c>
    </row>
    <row r="48148" spans="26:26" x14ac:dyDescent="0.25">
      <c r="Z48148">
        <v>400000</v>
      </c>
    </row>
    <row r="48149" spans="26:26" x14ac:dyDescent="0.25">
      <c r="Z48149">
        <v>400000</v>
      </c>
    </row>
    <row r="48150" spans="26:26" x14ac:dyDescent="0.25">
      <c r="Z48150">
        <v>400000</v>
      </c>
    </row>
    <row r="48151" spans="26:26" x14ac:dyDescent="0.25">
      <c r="Z48151">
        <v>400000</v>
      </c>
    </row>
    <row r="48152" spans="26:26" x14ac:dyDescent="0.25">
      <c r="Z48152">
        <v>400000</v>
      </c>
    </row>
    <row r="48153" spans="26:26" x14ac:dyDescent="0.25">
      <c r="Z48153">
        <v>400000</v>
      </c>
    </row>
    <row r="48154" spans="26:26" x14ac:dyDescent="0.25">
      <c r="Z48154">
        <v>400000</v>
      </c>
    </row>
    <row r="48155" spans="26:26" x14ac:dyDescent="0.25">
      <c r="Z48155">
        <v>400000</v>
      </c>
    </row>
    <row r="48156" spans="26:26" x14ac:dyDescent="0.25">
      <c r="Z48156">
        <v>400000</v>
      </c>
    </row>
    <row r="48157" spans="26:26" x14ac:dyDescent="0.25">
      <c r="Z48157">
        <v>400000</v>
      </c>
    </row>
    <row r="48158" spans="26:26" x14ac:dyDescent="0.25">
      <c r="Z48158">
        <v>400000</v>
      </c>
    </row>
    <row r="48159" spans="26:26" x14ac:dyDescent="0.25">
      <c r="Z48159">
        <v>400000</v>
      </c>
    </row>
    <row r="48160" spans="26:26" x14ac:dyDescent="0.25">
      <c r="Z48160">
        <v>400000</v>
      </c>
    </row>
    <row r="48161" spans="26:26" x14ac:dyDescent="0.25">
      <c r="Z48161">
        <v>400000</v>
      </c>
    </row>
    <row r="48162" spans="26:26" x14ac:dyDescent="0.25">
      <c r="Z48162">
        <v>400000</v>
      </c>
    </row>
    <row r="48163" spans="26:26" x14ac:dyDescent="0.25">
      <c r="Z48163">
        <v>400000</v>
      </c>
    </row>
    <row r="48164" spans="26:26" x14ac:dyDescent="0.25">
      <c r="Z48164">
        <v>400000</v>
      </c>
    </row>
    <row r="48165" spans="26:26" x14ac:dyDescent="0.25">
      <c r="Z48165">
        <v>400000</v>
      </c>
    </row>
    <row r="48166" spans="26:26" x14ac:dyDescent="0.25">
      <c r="Z48166">
        <v>400000</v>
      </c>
    </row>
    <row r="48167" spans="26:26" x14ac:dyDescent="0.25">
      <c r="Z48167">
        <v>400000</v>
      </c>
    </row>
    <row r="48168" spans="26:26" x14ac:dyDescent="0.25">
      <c r="Z48168">
        <v>400000</v>
      </c>
    </row>
    <row r="48169" spans="26:26" x14ac:dyDescent="0.25">
      <c r="Z48169">
        <v>400000</v>
      </c>
    </row>
    <row r="48170" spans="26:26" x14ac:dyDescent="0.25">
      <c r="Z48170">
        <v>400000</v>
      </c>
    </row>
    <row r="48171" spans="26:26" x14ac:dyDescent="0.25">
      <c r="Z48171">
        <v>400000</v>
      </c>
    </row>
    <row r="48172" spans="26:26" x14ac:dyDescent="0.25">
      <c r="Z48172">
        <v>400000</v>
      </c>
    </row>
    <row r="48173" spans="26:26" x14ac:dyDescent="0.25">
      <c r="Z48173">
        <v>400000</v>
      </c>
    </row>
    <row r="48174" spans="26:26" x14ac:dyDescent="0.25">
      <c r="Z48174">
        <v>400000</v>
      </c>
    </row>
    <row r="48175" spans="26:26" x14ac:dyDescent="0.25">
      <c r="Z48175">
        <v>400000</v>
      </c>
    </row>
    <row r="48176" spans="26:26" x14ac:dyDescent="0.25">
      <c r="Z48176">
        <v>400000</v>
      </c>
    </row>
    <row r="48177" spans="26:26" x14ac:dyDescent="0.25">
      <c r="Z48177">
        <v>400000</v>
      </c>
    </row>
    <row r="48178" spans="26:26" x14ac:dyDescent="0.25">
      <c r="Z48178">
        <v>400000</v>
      </c>
    </row>
    <row r="48179" spans="26:26" x14ac:dyDescent="0.25">
      <c r="Z48179">
        <v>400000</v>
      </c>
    </row>
    <row r="48180" spans="26:26" x14ac:dyDescent="0.25">
      <c r="Z48180">
        <v>400000</v>
      </c>
    </row>
    <row r="48181" spans="26:26" x14ac:dyDescent="0.25">
      <c r="Z48181">
        <v>400000</v>
      </c>
    </row>
    <row r="48182" spans="26:26" x14ac:dyDescent="0.25">
      <c r="Z48182">
        <v>400000</v>
      </c>
    </row>
    <row r="48183" spans="26:26" x14ac:dyDescent="0.25">
      <c r="Z48183">
        <v>400000</v>
      </c>
    </row>
    <row r="48184" spans="26:26" x14ac:dyDescent="0.25">
      <c r="Z48184">
        <v>400000</v>
      </c>
    </row>
    <row r="48185" spans="26:26" x14ac:dyDescent="0.25">
      <c r="Z48185">
        <v>400000</v>
      </c>
    </row>
    <row r="48186" spans="26:26" x14ac:dyDescent="0.25">
      <c r="Z48186">
        <v>400000</v>
      </c>
    </row>
    <row r="48187" spans="26:26" x14ac:dyDescent="0.25">
      <c r="Z48187">
        <v>400000</v>
      </c>
    </row>
    <row r="48188" spans="26:26" x14ac:dyDescent="0.25">
      <c r="Z48188">
        <v>400000</v>
      </c>
    </row>
    <row r="48189" spans="26:26" x14ac:dyDescent="0.25">
      <c r="Z48189">
        <v>400000</v>
      </c>
    </row>
    <row r="48190" spans="26:26" x14ac:dyDescent="0.25">
      <c r="Z48190">
        <v>400000</v>
      </c>
    </row>
    <row r="48191" spans="26:26" x14ac:dyDescent="0.25">
      <c r="Z48191">
        <v>400000</v>
      </c>
    </row>
    <row r="48192" spans="26:26" x14ac:dyDescent="0.25">
      <c r="Z48192">
        <v>400000</v>
      </c>
    </row>
    <row r="48193" spans="26:26" x14ac:dyDescent="0.25">
      <c r="Z48193">
        <v>400000</v>
      </c>
    </row>
    <row r="48194" spans="26:26" x14ac:dyDescent="0.25">
      <c r="Z48194">
        <v>400000</v>
      </c>
    </row>
    <row r="48195" spans="26:26" x14ac:dyDescent="0.25">
      <c r="Z48195">
        <v>400000</v>
      </c>
    </row>
    <row r="48196" spans="26:26" x14ac:dyDescent="0.25">
      <c r="Z48196">
        <v>400000</v>
      </c>
    </row>
    <row r="48197" spans="26:26" x14ac:dyDescent="0.25">
      <c r="Z48197">
        <v>400000</v>
      </c>
    </row>
    <row r="48198" spans="26:26" x14ac:dyDescent="0.25">
      <c r="Z48198">
        <v>400000</v>
      </c>
    </row>
    <row r="48199" spans="26:26" x14ac:dyDescent="0.25">
      <c r="Z48199">
        <v>400000</v>
      </c>
    </row>
    <row r="48200" spans="26:26" x14ac:dyDescent="0.25">
      <c r="Z48200">
        <v>400000</v>
      </c>
    </row>
    <row r="48201" spans="26:26" x14ac:dyDescent="0.25">
      <c r="Z48201">
        <v>400000</v>
      </c>
    </row>
    <row r="48202" spans="26:26" x14ac:dyDescent="0.25">
      <c r="Z48202">
        <v>400000</v>
      </c>
    </row>
    <row r="48203" spans="26:26" x14ac:dyDescent="0.25">
      <c r="Z48203">
        <v>400000</v>
      </c>
    </row>
    <row r="48204" spans="26:26" x14ac:dyDescent="0.25">
      <c r="Z48204">
        <v>400000</v>
      </c>
    </row>
    <row r="48205" spans="26:26" x14ac:dyDescent="0.25">
      <c r="Z48205">
        <v>400000</v>
      </c>
    </row>
    <row r="48206" spans="26:26" x14ac:dyDescent="0.25">
      <c r="Z48206">
        <v>400000</v>
      </c>
    </row>
    <row r="48207" spans="26:26" x14ac:dyDescent="0.25">
      <c r="Z48207">
        <v>400000</v>
      </c>
    </row>
    <row r="48208" spans="26:26" x14ac:dyDescent="0.25">
      <c r="Z48208">
        <v>400000</v>
      </c>
    </row>
    <row r="48209" spans="26:26" x14ac:dyDescent="0.25">
      <c r="Z48209">
        <v>400000</v>
      </c>
    </row>
    <row r="48210" spans="26:26" x14ac:dyDescent="0.25">
      <c r="Z48210">
        <v>400000</v>
      </c>
    </row>
    <row r="48211" spans="26:26" x14ac:dyDescent="0.25">
      <c r="Z48211">
        <v>400000</v>
      </c>
    </row>
    <row r="48212" spans="26:26" x14ac:dyDescent="0.25">
      <c r="Z48212">
        <v>400000</v>
      </c>
    </row>
    <row r="48213" spans="26:26" x14ac:dyDescent="0.25">
      <c r="Z48213">
        <v>400000</v>
      </c>
    </row>
    <row r="48214" spans="26:26" x14ac:dyDescent="0.25">
      <c r="Z48214">
        <v>400000</v>
      </c>
    </row>
    <row r="48215" spans="26:26" x14ac:dyDescent="0.25">
      <c r="Z48215">
        <v>400000</v>
      </c>
    </row>
    <row r="48216" spans="26:26" x14ac:dyDescent="0.25">
      <c r="Z48216">
        <v>400000</v>
      </c>
    </row>
    <row r="48217" spans="26:26" x14ac:dyDescent="0.25">
      <c r="Z48217">
        <v>400000</v>
      </c>
    </row>
    <row r="48218" spans="26:26" x14ac:dyDescent="0.25">
      <c r="Z48218">
        <v>400000</v>
      </c>
    </row>
    <row r="48219" spans="26:26" x14ac:dyDescent="0.25">
      <c r="Z48219">
        <v>400000</v>
      </c>
    </row>
    <row r="48220" spans="26:26" x14ac:dyDescent="0.25">
      <c r="Z48220">
        <v>400000</v>
      </c>
    </row>
    <row r="48221" spans="26:26" x14ac:dyDescent="0.25">
      <c r="Z48221">
        <v>400000</v>
      </c>
    </row>
    <row r="48222" spans="26:26" x14ac:dyDescent="0.25">
      <c r="Z48222">
        <v>400000</v>
      </c>
    </row>
    <row r="48223" spans="26:26" x14ac:dyDescent="0.25">
      <c r="Z48223">
        <v>400000</v>
      </c>
    </row>
    <row r="48224" spans="26:26" x14ac:dyDescent="0.25">
      <c r="Z48224">
        <v>400000</v>
      </c>
    </row>
    <row r="48225" spans="26:26" x14ac:dyDescent="0.25">
      <c r="Z48225">
        <v>400000</v>
      </c>
    </row>
    <row r="48226" spans="26:26" x14ac:dyDescent="0.25">
      <c r="Z48226">
        <v>400000</v>
      </c>
    </row>
    <row r="48227" spans="26:26" x14ac:dyDescent="0.25">
      <c r="Z48227">
        <v>400000</v>
      </c>
    </row>
    <row r="48228" spans="26:26" x14ac:dyDescent="0.25">
      <c r="Z48228">
        <v>400000</v>
      </c>
    </row>
    <row r="48229" spans="26:26" x14ac:dyDescent="0.25">
      <c r="Z48229">
        <v>400000</v>
      </c>
    </row>
    <row r="48230" spans="26:26" x14ac:dyDescent="0.25">
      <c r="Z48230">
        <v>400000</v>
      </c>
    </row>
    <row r="48231" spans="26:26" x14ac:dyDescent="0.25">
      <c r="Z48231">
        <v>400000</v>
      </c>
    </row>
    <row r="48232" spans="26:26" x14ac:dyDescent="0.25">
      <c r="Z48232">
        <v>400000</v>
      </c>
    </row>
    <row r="48233" spans="26:26" x14ac:dyDescent="0.25">
      <c r="Z48233">
        <v>400000</v>
      </c>
    </row>
    <row r="48234" spans="26:26" x14ac:dyDescent="0.25">
      <c r="Z48234">
        <v>400000</v>
      </c>
    </row>
    <row r="48235" spans="26:26" x14ac:dyDescent="0.25">
      <c r="Z48235">
        <v>400000</v>
      </c>
    </row>
    <row r="48236" spans="26:26" x14ac:dyDescent="0.25">
      <c r="Z48236">
        <v>400000</v>
      </c>
    </row>
    <row r="48237" spans="26:26" x14ac:dyDescent="0.25">
      <c r="Z48237">
        <v>400000</v>
      </c>
    </row>
    <row r="48238" spans="26:26" x14ac:dyDescent="0.25">
      <c r="Z48238">
        <v>400000</v>
      </c>
    </row>
    <row r="48239" spans="26:26" x14ac:dyDescent="0.25">
      <c r="Z48239">
        <v>400000</v>
      </c>
    </row>
    <row r="48240" spans="26:26" x14ac:dyDescent="0.25">
      <c r="Z48240">
        <v>400000</v>
      </c>
    </row>
    <row r="48241" spans="26:26" x14ac:dyDescent="0.25">
      <c r="Z48241">
        <v>400000</v>
      </c>
    </row>
    <row r="48242" spans="26:26" x14ac:dyDescent="0.25">
      <c r="Z48242">
        <v>400000</v>
      </c>
    </row>
    <row r="48243" spans="26:26" x14ac:dyDescent="0.25">
      <c r="Z48243">
        <v>400000</v>
      </c>
    </row>
    <row r="48244" spans="26:26" x14ac:dyDescent="0.25">
      <c r="Z48244">
        <v>400000</v>
      </c>
    </row>
    <row r="48245" spans="26:26" x14ac:dyDescent="0.25">
      <c r="Z48245">
        <v>400000</v>
      </c>
    </row>
    <row r="48246" spans="26:26" x14ac:dyDescent="0.25">
      <c r="Z48246">
        <v>400000</v>
      </c>
    </row>
    <row r="48247" spans="26:26" x14ac:dyDescent="0.25">
      <c r="Z48247">
        <v>400000</v>
      </c>
    </row>
    <row r="48248" spans="26:26" x14ac:dyDescent="0.25">
      <c r="Z48248">
        <v>400000</v>
      </c>
    </row>
    <row r="48249" spans="26:26" x14ac:dyDescent="0.25">
      <c r="Z48249">
        <v>400000</v>
      </c>
    </row>
    <row r="48250" spans="26:26" x14ac:dyDescent="0.25">
      <c r="Z48250">
        <v>400000</v>
      </c>
    </row>
    <row r="48251" spans="26:26" x14ac:dyDescent="0.25">
      <c r="Z48251">
        <v>400000</v>
      </c>
    </row>
    <row r="48252" spans="26:26" x14ac:dyDescent="0.25">
      <c r="Z48252">
        <v>400000</v>
      </c>
    </row>
    <row r="48253" spans="26:26" x14ac:dyDescent="0.25">
      <c r="Z48253">
        <v>400000</v>
      </c>
    </row>
    <row r="48254" spans="26:26" x14ac:dyDescent="0.25">
      <c r="Z48254">
        <v>400000</v>
      </c>
    </row>
    <row r="48255" spans="26:26" x14ac:dyDescent="0.25">
      <c r="Z48255">
        <v>400000</v>
      </c>
    </row>
    <row r="48256" spans="26:26" x14ac:dyDescent="0.25">
      <c r="Z48256">
        <v>400000</v>
      </c>
    </row>
    <row r="48257" spans="26:26" x14ac:dyDescent="0.25">
      <c r="Z48257">
        <v>400000</v>
      </c>
    </row>
    <row r="48258" spans="26:26" x14ac:dyDescent="0.25">
      <c r="Z48258">
        <v>400000</v>
      </c>
    </row>
    <row r="48259" spans="26:26" x14ac:dyDescent="0.25">
      <c r="Z48259">
        <v>400000</v>
      </c>
    </row>
    <row r="48260" spans="26:26" x14ac:dyDescent="0.25">
      <c r="Z48260">
        <v>400000</v>
      </c>
    </row>
    <row r="48261" spans="26:26" x14ac:dyDescent="0.25">
      <c r="Z48261">
        <v>400000</v>
      </c>
    </row>
    <row r="48262" spans="26:26" x14ac:dyDescent="0.25">
      <c r="Z48262">
        <v>400000</v>
      </c>
    </row>
    <row r="48263" spans="26:26" x14ac:dyDescent="0.25">
      <c r="Z48263">
        <v>400000</v>
      </c>
    </row>
    <row r="48264" spans="26:26" x14ac:dyDescent="0.25">
      <c r="Z48264">
        <v>400000</v>
      </c>
    </row>
    <row r="48265" spans="26:26" x14ac:dyDescent="0.25">
      <c r="Z48265">
        <v>400000</v>
      </c>
    </row>
    <row r="48266" spans="26:26" x14ac:dyDescent="0.25">
      <c r="Z48266">
        <v>400000</v>
      </c>
    </row>
    <row r="48267" spans="26:26" x14ac:dyDescent="0.25">
      <c r="Z48267">
        <v>400000</v>
      </c>
    </row>
    <row r="48268" spans="26:26" x14ac:dyDescent="0.25">
      <c r="Z48268">
        <v>400000</v>
      </c>
    </row>
    <row r="48269" spans="26:26" x14ac:dyDescent="0.25">
      <c r="Z48269">
        <v>400000</v>
      </c>
    </row>
    <row r="48270" spans="26:26" x14ac:dyDescent="0.25">
      <c r="Z48270">
        <v>400000</v>
      </c>
    </row>
    <row r="48271" spans="26:26" x14ac:dyDescent="0.25">
      <c r="Z48271">
        <v>400000</v>
      </c>
    </row>
    <row r="48272" spans="26:26" x14ac:dyDescent="0.25">
      <c r="Z48272">
        <v>400000</v>
      </c>
    </row>
    <row r="48273" spans="26:26" x14ac:dyDescent="0.25">
      <c r="Z48273">
        <v>400000</v>
      </c>
    </row>
    <row r="48274" spans="26:26" x14ac:dyDescent="0.25">
      <c r="Z48274">
        <v>400000</v>
      </c>
    </row>
    <row r="48275" spans="26:26" x14ac:dyDescent="0.25">
      <c r="Z48275">
        <v>400000</v>
      </c>
    </row>
    <row r="48276" spans="26:26" x14ac:dyDescent="0.25">
      <c r="Z48276">
        <v>400000</v>
      </c>
    </row>
    <row r="48277" spans="26:26" x14ac:dyDescent="0.25">
      <c r="Z48277">
        <v>400000</v>
      </c>
    </row>
    <row r="48278" spans="26:26" x14ac:dyDescent="0.25">
      <c r="Z48278">
        <v>400000</v>
      </c>
    </row>
    <row r="48279" spans="26:26" x14ac:dyDescent="0.25">
      <c r="Z48279">
        <v>400000</v>
      </c>
    </row>
    <row r="48280" spans="26:26" x14ac:dyDescent="0.25">
      <c r="Z48280">
        <v>400000</v>
      </c>
    </row>
    <row r="48281" spans="26:26" x14ac:dyDescent="0.25">
      <c r="Z48281">
        <v>400000</v>
      </c>
    </row>
    <row r="48282" spans="26:26" x14ac:dyDescent="0.25">
      <c r="Z48282">
        <v>400000</v>
      </c>
    </row>
    <row r="48283" spans="26:26" x14ac:dyDescent="0.25">
      <c r="Z48283">
        <v>400000</v>
      </c>
    </row>
    <row r="48284" spans="26:26" x14ac:dyDescent="0.25">
      <c r="Z48284">
        <v>400000</v>
      </c>
    </row>
    <row r="48285" spans="26:26" x14ac:dyDescent="0.25">
      <c r="Z48285">
        <v>400000</v>
      </c>
    </row>
    <row r="48286" spans="26:26" x14ac:dyDescent="0.25">
      <c r="Z48286">
        <v>400000</v>
      </c>
    </row>
    <row r="48287" spans="26:26" x14ac:dyDescent="0.25">
      <c r="Z48287">
        <v>400000</v>
      </c>
    </row>
    <row r="48288" spans="26:26" x14ac:dyDescent="0.25">
      <c r="Z48288">
        <v>400000</v>
      </c>
    </row>
    <row r="48289" spans="26:26" x14ac:dyDescent="0.25">
      <c r="Z48289">
        <v>400000</v>
      </c>
    </row>
    <row r="48290" spans="26:26" x14ac:dyDescent="0.25">
      <c r="Z48290">
        <v>400000</v>
      </c>
    </row>
    <row r="48291" spans="26:26" x14ac:dyDescent="0.25">
      <c r="Z48291">
        <v>400000</v>
      </c>
    </row>
    <row r="48292" spans="26:26" x14ac:dyDescent="0.25">
      <c r="Z48292">
        <v>400000</v>
      </c>
    </row>
    <row r="48293" spans="26:26" x14ac:dyDescent="0.25">
      <c r="Z48293">
        <v>400000</v>
      </c>
    </row>
    <row r="48294" spans="26:26" x14ac:dyDescent="0.25">
      <c r="Z48294">
        <v>400000</v>
      </c>
    </row>
    <row r="48295" spans="26:26" x14ac:dyDescent="0.25">
      <c r="Z48295">
        <v>400000</v>
      </c>
    </row>
    <row r="48296" spans="26:26" x14ac:dyDescent="0.25">
      <c r="Z48296">
        <v>400000</v>
      </c>
    </row>
    <row r="48297" spans="26:26" x14ac:dyDescent="0.25">
      <c r="Z48297">
        <v>400000</v>
      </c>
    </row>
    <row r="48298" spans="26:26" x14ac:dyDescent="0.25">
      <c r="Z48298">
        <v>400000</v>
      </c>
    </row>
    <row r="48299" spans="26:26" x14ac:dyDescent="0.25">
      <c r="Z48299">
        <v>400000</v>
      </c>
    </row>
    <row r="48300" spans="26:26" x14ac:dyDescent="0.25">
      <c r="Z48300">
        <v>400000</v>
      </c>
    </row>
    <row r="48301" spans="26:26" x14ac:dyDescent="0.25">
      <c r="Z48301">
        <v>400000</v>
      </c>
    </row>
    <row r="48302" spans="26:26" x14ac:dyDescent="0.25">
      <c r="Z48302">
        <v>400000</v>
      </c>
    </row>
    <row r="48303" spans="26:26" x14ac:dyDescent="0.25">
      <c r="Z48303">
        <v>400000</v>
      </c>
    </row>
    <row r="48304" spans="26:26" x14ac:dyDescent="0.25">
      <c r="Z48304">
        <v>400000</v>
      </c>
    </row>
    <row r="48305" spans="26:26" x14ac:dyDescent="0.25">
      <c r="Z48305">
        <v>400000</v>
      </c>
    </row>
    <row r="48306" spans="26:26" x14ac:dyDescent="0.25">
      <c r="Z48306">
        <v>400000</v>
      </c>
    </row>
    <row r="48307" spans="26:26" x14ac:dyDescent="0.25">
      <c r="Z48307">
        <v>400000</v>
      </c>
    </row>
    <row r="48308" spans="26:26" x14ac:dyDescent="0.25">
      <c r="Z48308">
        <v>400000</v>
      </c>
    </row>
    <row r="48309" spans="26:26" x14ac:dyDescent="0.25">
      <c r="Z48309">
        <v>400000</v>
      </c>
    </row>
    <row r="48310" spans="26:26" x14ac:dyDescent="0.25">
      <c r="Z48310">
        <v>400000</v>
      </c>
    </row>
    <row r="48311" spans="26:26" x14ac:dyDescent="0.25">
      <c r="Z48311">
        <v>400000</v>
      </c>
    </row>
    <row r="48312" spans="26:26" x14ac:dyDescent="0.25">
      <c r="Z48312">
        <v>400000</v>
      </c>
    </row>
    <row r="48313" spans="26:26" x14ac:dyDescent="0.25">
      <c r="Z48313">
        <v>400000</v>
      </c>
    </row>
    <row r="48314" spans="26:26" x14ac:dyDescent="0.25">
      <c r="Z48314">
        <v>400000</v>
      </c>
    </row>
    <row r="48315" spans="26:26" x14ac:dyDescent="0.25">
      <c r="Z48315">
        <v>400000</v>
      </c>
    </row>
    <row r="48316" spans="26:26" x14ac:dyDescent="0.25">
      <c r="Z48316">
        <v>400000</v>
      </c>
    </row>
    <row r="48317" spans="26:26" x14ac:dyDescent="0.25">
      <c r="Z48317">
        <v>400000</v>
      </c>
    </row>
    <row r="48318" spans="26:26" x14ac:dyDescent="0.25">
      <c r="Z48318">
        <v>400000</v>
      </c>
    </row>
    <row r="48319" spans="26:26" x14ac:dyDescent="0.25">
      <c r="Z48319">
        <v>400000</v>
      </c>
    </row>
    <row r="48320" spans="26:26" x14ac:dyDescent="0.25">
      <c r="Z48320">
        <v>400000</v>
      </c>
    </row>
    <row r="48321" spans="26:26" x14ac:dyDescent="0.25">
      <c r="Z48321">
        <v>400000</v>
      </c>
    </row>
    <row r="48322" spans="26:26" x14ac:dyDescent="0.25">
      <c r="Z48322">
        <v>400000</v>
      </c>
    </row>
    <row r="48323" spans="26:26" x14ac:dyDescent="0.25">
      <c r="Z48323">
        <v>400000</v>
      </c>
    </row>
    <row r="48324" spans="26:26" x14ac:dyDescent="0.25">
      <c r="Z48324">
        <v>400000</v>
      </c>
    </row>
    <row r="48325" spans="26:26" x14ac:dyDescent="0.25">
      <c r="Z48325">
        <v>400000</v>
      </c>
    </row>
    <row r="48326" spans="26:26" x14ac:dyDescent="0.25">
      <c r="Z48326">
        <v>400000</v>
      </c>
    </row>
    <row r="48327" spans="26:26" x14ac:dyDescent="0.25">
      <c r="Z48327">
        <v>400000</v>
      </c>
    </row>
    <row r="48328" spans="26:26" x14ac:dyDescent="0.25">
      <c r="Z48328">
        <v>400000</v>
      </c>
    </row>
    <row r="48329" spans="26:26" x14ac:dyDescent="0.25">
      <c r="Z48329">
        <v>400000</v>
      </c>
    </row>
    <row r="48330" spans="26:26" x14ac:dyDescent="0.25">
      <c r="Z48330">
        <v>400000</v>
      </c>
    </row>
    <row r="48331" spans="26:26" x14ac:dyDescent="0.25">
      <c r="Z48331">
        <v>400000</v>
      </c>
    </row>
    <row r="48332" spans="26:26" x14ac:dyDescent="0.25">
      <c r="Z48332">
        <v>400000</v>
      </c>
    </row>
    <row r="48333" spans="26:26" x14ac:dyDescent="0.25">
      <c r="Z48333">
        <v>400000</v>
      </c>
    </row>
    <row r="48334" spans="26:26" x14ac:dyDescent="0.25">
      <c r="Z48334">
        <v>400000</v>
      </c>
    </row>
    <row r="48335" spans="26:26" x14ac:dyDescent="0.25">
      <c r="Z48335">
        <v>400000</v>
      </c>
    </row>
    <row r="48336" spans="26:26" x14ac:dyDescent="0.25">
      <c r="Z48336">
        <v>400000</v>
      </c>
    </row>
    <row r="48337" spans="26:26" x14ac:dyDescent="0.25">
      <c r="Z48337">
        <v>400000</v>
      </c>
    </row>
    <row r="48338" spans="26:26" x14ac:dyDescent="0.25">
      <c r="Z48338">
        <v>400000</v>
      </c>
    </row>
    <row r="48339" spans="26:26" x14ac:dyDescent="0.25">
      <c r="Z48339">
        <v>400000</v>
      </c>
    </row>
    <row r="48340" spans="26:26" x14ac:dyDescent="0.25">
      <c r="Z48340">
        <v>400000</v>
      </c>
    </row>
    <row r="48341" spans="26:26" x14ac:dyDescent="0.25">
      <c r="Z48341">
        <v>400000</v>
      </c>
    </row>
    <row r="48342" spans="26:26" x14ac:dyDescent="0.25">
      <c r="Z48342">
        <v>400000</v>
      </c>
    </row>
    <row r="48343" spans="26:26" x14ac:dyDescent="0.25">
      <c r="Z48343">
        <v>400000</v>
      </c>
    </row>
    <row r="48344" spans="26:26" x14ac:dyDescent="0.25">
      <c r="Z48344">
        <v>400000</v>
      </c>
    </row>
    <row r="48345" spans="26:26" x14ac:dyDescent="0.25">
      <c r="Z48345">
        <v>400000</v>
      </c>
    </row>
    <row r="48346" spans="26:26" x14ac:dyDescent="0.25">
      <c r="Z48346">
        <v>400000</v>
      </c>
    </row>
    <row r="48347" spans="26:26" x14ac:dyDescent="0.25">
      <c r="Z48347">
        <v>400000</v>
      </c>
    </row>
    <row r="48348" spans="26:26" x14ac:dyDescent="0.25">
      <c r="Z48348">
        <v>400000</v>
      </c>
    </row>
    <row r="48349" spans="26:26" x14ac:dyDescent="0.25">
      <c r="Z48349">
        <v>400000</v>
      </c>
    </row>
    <row r="48350" spans="26:26" x14ac:dyDescent="0.25">
      <c r="Z48350">
        <v>400000</v>
      </c>
    </row>
    <row r="48351" spans="26:26" x14ac:dyDescent="0.25">
      <c r="Z48351">
        <v>400000</v>
      </c>
    </row>
    <row r="48352" spans="26:26" x14ac:dyDescent="0.25">
      <c r="Z48352">
        <v>400000</v>
      </c>
    </row>
    <row r="48353" spans="26:26" x14ac:dyDescent="0.25">
      <c r="Z48353">
        <v>400000</v>
      </c>
    </row>
    <row r="48354" spans="26:26" x14ac:dyDescent="0.25">
      <c r="Z48354">
        <v>400000</v>
      </c>
    </row>
    <row r="48355" spans="26:26" x14ac:dyDescent="0.25">
      <c r="Z48355">
        <v>400000</v>
      </c>
    </row>
    <row r="48356" spans="26:26" x14ac:dyDescent="0.25">
      <c r="Z48356">
        <v>400000</v>
      </c>
    </row>
    <row r="48357" spans="26:26" x14ac:dyDescent="0.25">
      <c r="Z48357">
        <v>400000</v>
      </c>
    </row>
    <row r="48358" spans="26:26" x14ac:dyDescent="0.25">
      <c r="Z48358">
        <v>400000</v>
      </c>
    </row>
    <row r="48359" spans="26:26" x14ac:dyDescent="0.25">
      <c r="Z48359">
        <v>400000</v>
      </c>
    </row>
    <row r="48360" spans="26:26" x14ac:dyDescent="0.25">
      <c r="Z48360">
        <v>400000</v>
      </c>
    </row>
    <row r="48361" spans="26:26" x14ac:dyDescent="0.25">
      <c r="Z48361">
        <v>400000</v>
      </c>
    </row>
    <row r="48362" spans="26:26" x14ac:dyDescent="0.25">
      <c r="Z48362">
        <v>400000</v>
      </c>
    </row>
    <row r="48363" spans="26:26" x14ac:dyDescent="0.25">
      <c r="Z48363">
        <v>400000</v>
      </c>
    </row>
    <row r="48364" spans="26:26" x14ac:dyDescent="0.25">
      <c r="Z48364">
        <v>400000</v>
      </c>
    </row>
    <row r="48365" spans="26:26" x14ac:dyDescent="0.25">
      <c r="Z48365">
        <v>400000</v>
      </c>
    </row>
    <row r="48366" spans="26:26" x14ac:dyDescent="0.25">
      <c r="Z48366">
        <v>400000</v>
      </c>
    </row>
    <row r="48367" spans="26:26" x14ac:dyDescent="0.25">
      <c r="Z48367">
        <v>400000</v>
      </c>
    </row>
    <row r="48368" spans="26:26" x14ac:dyDescent="0.25">
      <c r="Z48368">
        <v>400000</v>
      </c>
    </row>
    <row r="48369" spans="26:26" x14ac:dyDescent="0.25">
      <c r="Z48369">
        <v>400000</v>
      </c>
    </row>
    <row r="48370" spans="26:26" x14ac:dyDescent="0.25">
      <c r="Z48370">
        <v>400000</v>
      </c>
    </row>
    <row r="48371" spans="26:26" x14ac:dyDescent="0.25">
      <c r="Z48371">
        <v>400000</v>
      </c>
    </row>
    <row r="48372" spans="26:26" x14ac:dyDescent="0.25">
      <c r="Z48372">
        <v>400000</v>
      </c>
    </row>
    <row r="48373" spans="26:26" x14ac:dyDescent="0.25">
      <c r="Z48373">
        <v>400000</v>
      </c>
    </row>
    <row r="48374" spans="26:26" x14ac:dyDescent="0.25">
      <c r="Z48374">
        <v>400000</v>
      </c>
    </row>
    <row r="48375" spans="26:26" x14ac:dyDescent="0.25">
      <c r="Z48375">
        <v>400000</v>
      </c>
    </row>
    <row r="48376" spans="26:26" x14ac:dyDescent="0.25">
      <c r="Z48376">
        <v>400000</v>
      </c>
    </row>
    <row r="48377" spans="26:26" x14ac:dyDescent="0.25">
      <c r="Z48377">
        <v>400000</v>
      </c>
    </row>
    <row r="48378" spans="26:26" x14ac:dyDescent="0.25">
      <c r="Z48378">
        <v>400000</v>
      </c>
    </row>
    <row r="48379" spans="26:26" x14ac:dyDescent="0.25">
      <c r="Z48379">
        <v>400000</v>
      </c>
    </row>
    <row r="48380" spans="26:26" x14ac:dyDescent="0.25">
      <c r="Z48380">
        <v>400000</v>
      </c>
    </row>
    <row r="48381" spans="26:26" x14ac:dyDescent="0.25">
      <c r="Z48381">
        <v>400000</v>
      </c>
    </row>
    <row r="48382" spans="26:26" x14ac:dyDescent="0.25">
      <c r="Z48382">
        <v>400000</v>
      </c>
    </row>
    <row r="48383" spans="26:26" x14ac:dyDescent="0.25">
      <c r="Z48383">
        <v>400000</v>
      </c>
    </row>
    <row r="48384" spans="26:26" x14ac:dyDescent="0.25">
      <c r="Z48384">
        <v>400000</v>
      </c>
    </row>
    <row r="48385" spans="26:26" x14ac:dyDescent="0.25">
      <c r="Z48385">
        <v>400000</v>
      </c>
    </row>
    <row r="48386" spans="26:26" x14ac:dyDescent="0.25">
      <c r="Z48386">
        <v>400000</v>
      </c>
    </row>
    <row r="48387" spans="26:26" x14ac:dyDescent="0.25">
      <c r="Z48387">
        <v>400000</v>
      </c>
    </row>
    <row r="48388" spans="26:26" x14ac:dyDescent="0.25">
      <c r="Z48388">
        <v>400000</v>
      </c>
    </row>
    <row r="48389" spans="26:26" x14ac:dyDescent="0.25">
      <c r="Z48389">
        <v>400000</v>
      </c>
    </row>
    <row r="48390" spans="26:26" x14ac:dyDescent="0.25">
      <c r="Z48390">
        <v>400000</v>
      </c>
    </row>
    <row r="48391" spans="26:26" x14ac:dyDescent="0.25">
      <c r="Z48391">
        <v>400000</v>
      </c>
    </row>
    <row r="48392" spans="26:26" x14ac:dyDescent="0.25">
      <c r="Z48392">
        <v>400000</v>
      </c>
    </row>
    <row r="48393" spans="26:26" x14ac:dyDescent="0.25">
      <c r="Z48393">
        <v>400000</v>
      </c>
    </row>
    <row r="48394" spans="26:26" x14ac:dyDescent="0.25">
      <c r="Z48394">
        <v>400000</v>
      </c>
    </row>
    <row r="48395" spans="26:26" x14ac:dyDescent="0.25">
      <c r="Z48395">
        <v>400000</v>
      </c>
    </row>
    <row r="48396" spans="26:26" x14ac:dyDescent="0.25">
      <c r="Z48396">
        <v>400000</v>
      </c>
    </row>
    <row r="48397" spans="26:26" x14ac:dyDescent="0.25">
      <c r="Z48397">
        <v>400000</v>
      </c>
    </row>
    <row r="48398" spans="26:26" x14ac:dyDescent="0.25">
      <c r="Z48398">
        <v>400000</v>
      </c>
    </row>
    <row r="48399" spans="26:26" x14ac:dyDescent="0.25">
      <c r="Z48399">
        <v>400000</v>
      </c>
    </row>
    <row r="48400" spans="26:26" x14ac:dyDescent="0.25">
      <c r="Z48400">
        <v>400000</v>
      </c>
    </row>
    <row r="48401" spans="26:26" x14ac:dyDescent="0.25">
      <c r="Z48401">
        <v>400000</v>
      </c>
    </row>
    <row r="48402" spans="26:26" x14ac:dyDescent="0.25">
      <c r="Z48402">
        <v>400000</v>
      </c>
    </row>
    <row r="48403" spans="26:26" x14ac:dyDescent="0.25">
      <c r="Z48403">
        <v>400000</v>
      </c>
    </row>
    <row r="48404" spans="26:26" x14ac:dyDescent="0.25">
      <c r="Z48404">
        <v>400000</v>
      </c>
    </row>
    <row r="48405" spans="26:26" x14ac:dyDescent="0.25">
      <c r="Z48405">
        <v>400000</v>
      </c>
    </row>
    <row r="48406" spans="26:26" x14ac:dyDescent="0.25">
      <c r="Z48406">
        <v>400000</v>
      </c>
    </row>
    <row r="48407" spans="26:26" x14ac:dyDescent="0.25">
      <c r="Z48407">
        <v>400000</v>
      </c>
    </row>
    <row r="48408" spans="26:26" x14ac:dyDescent="0.25">
      <c r="Z48408">
        <v>400000</v>
      </c>
    </row>
    <row r="48409" spans="26:26" x14ac:dyDescent="0.25">
      <c r="Z48409">
        <v>400000</v>
      </c>
    </row>
    <row r="48410" spans="26:26" x14ac:dyDescent="0.25">
      <c r="Z48410">
        <v>400000</v>
      </c>
    </row>
    <row r="48411" spans="26:26" x14ac:dyDescent="0.25">
      <c r="Z48411">
        <v>400000</v>
      </c>
    </row>
    <row r="48412" spans="26:26" x14ac:dyDescent="0.25">
      <c r="Z48412">
        <v>400000</v>
      </c>
    </row>
    <row r="48413" spans="26:26" x14ac:dyDescent="0.25">
      <c r="Z48413">
        <v>400000</v>
      </c>
    </row>
    <row r="48414" spans="26:26" x14ac:dyDescent="0.25">
      <c r="Z48414">
        <v>400000</v>
      </c>
    </row>
    <row r="48415" spans="26:26" x14ac:dyDescent="0.25">
      <c r="Z48415">
        <v>400000</v>
      </c>
    </row>
    <row r="48416" spans="26:26" x14ac:dyDescent="0.25">
      <c r="Z48416">
        <v>400000</v>
      </c>
    </row>
    <row r="48417" spans="26:26" x14ac:dyDescent="0.25">
      <c r="Z48417">
        <v>400000</v>
      </c>
    </row>
    <row r="48418" spans="26:26" x14ac:dyDescent="0.25">
      <c r="Z48418">
        <v>400000</v>
      </c>
    </row>
    <row r="48419" spans="26:26" x14ac:dyDescent="0.25">
      <c r="Z48419">
        <v>400000</v>
      </c>
    </row>
    <row r="48420" spans="26:26" x14ac:dyDescent="0.25">
      <c r="Z48420">
        <v>400000</v>
      </c>
    </row>
    <row r="48421" spans="26:26" x14ac:dyDescent="0.25">
      <c r="Z48421">
        <v>400000</v>
      </c>
    </row>
    <row r="48422" spans="26:26" x14ac:dyDescent="0.25">
      <c r="Z48422">
        <v>400000</v>
      </c>
    </row>
    <row r="48423" spans="26:26" x14ac:dyDescent="0.25">
      <c r="Z48423">
        <v>400000</v>
      </c>
    </row>
    <row r="48424" spans="26:26" x14ac:dyDescent="0.25">
      <c r="Z48424">
        <v>400000</v>
      </c>
    </row>
    <row r="48425" spans="26:26" x14ac:dyDescent="0.25">
      <c r="Z48425">
        <v>400000</v>
      </c>
    </row>
    <row r="48426" spans="26:26" x14ac:dyDescent="0.25">
      <c r="Z48426">
        <v>400000</v>
      </c>
    </row>
    <row r="48427" spans="26:26" x14ac:dyDescent="0.25">
      <c r="Z48427">
        <v>400000</v>
      </c>
    </row>
    <row r="48428" spans="26:26" x14ac:dyDescent="0.25">
      <c r="Z48428">
        <v>400000</v>
      </c>
    </row>
    <row r="48429" spans="26:26" x14ac:dyDescent="0.25">
      <c r="Z48429">
        <v>400000</v>
      </c>
    </row>
    <row r="48430" spans="26:26" x14ac:dyDescent="0.25">
      <c r="Z48430">
        <v>400000</v>
      </c>
    </row>
    <row r="48431" spans="26:26" x14ac:dyDescent="0.25">
      <c r="Z48431">
        <v>400000</v>
      </c>
    </row>
    <row r="48432" spans="26:26" x14ac:dyDescent="0.25">
      <c r="Z48432">
        <v>400000</v>
      </c>
    </row>
    <row r="48433" spans="26:26" x14ac:dyDescent="0.25">
      <c r="Z48433">
        <v>400000</v>
      </c>
    </row>
    <row r="48434" spans="26:26" x14ac:dyDescent="0.25">
      <c r="Z48434">
        <v>400000</v>
      </c>
    </row>
    <row r="48435" spans="26:26" x14ac:dyDescent="0.25">
      <c r="Z48435">
        <v>400000</v>
      </c>
    </row>
    <row r="48436" spans="26:26" x14ac:dyDescent="0.25">
      <c r="Z48436">
        <v>400000</v>
      </c>
    </row>
    <row r="48437" spans="26:26" x14ac:dyDescent="0.25">
      <c r="Z48437">
        <v>400000</v>
      </c>
    </row>
    <row r="48438" spans="26:26" x14ac:dyDescent="0.25">
      <c r="Z48438">
        <v>400000</v>
      </c>
    </row>
    <row r="48439" spans="26:26" x14ac:dyDescent="0.25">
      <c r="Z48439">
        <v>400000</v>
      </c>
    </row>
    <row r="48440" spans="26:26" x14ac:dyDescent="0.25">
      <c r="Z48440">
        <v>400000</v>
      </c>
    </row>
    <row r="48441" spans="26:26" x14ac:dyDescent="0.25">
      <c r="Z48441">
        <v>400000</v>
      </c>
    </row>
    <row r="48442" spans="26:26" x14ac:dyDescent="0.25">
      <c r="Z48442">
        <v>400000</v>
      </c>
    </row>
    <row r="48443" spans="26:26" x14ac:dyDescent="0.25">
      <c r="Z48443">
        <v>400000</v>
      </c>
    </row>
    <row r="48444" spans="26:26" x14ac:dyDescent="0.25">
      <c r="Z48444">
        <v>400000</v>
      </c>
    </row>
    <row r="48445" spans="26:26" x14ac:dyDescent="0.25">
      <c r="Z48445">
        <v>400000</v>
      </c>
    </row>
    <row r="48446" spans="26:26" x14ac:dyDescent="0.25">
      <c r="Z48446">
        <v>400000</v>
      </c>
    </row>
    <row r="48447" spans="26:26" x14ac:dyDescent="0.25">
      <c r="Z48447">
        <v>400000</v>
      </c>
    </row>
    <row r="48448" spans="26:26" x14ac:dyDescent="0.25">
      <c r="Z48448">
        <v>400000</v>
      </c>
    </row>
    <row r="48449" spans="26:26" x14ac:dyDescent="0.25">
      <c r="Z48449">
        <v>400000</v>
      </c>
    </row>
    <row r="48450" spans="26:26" x14ac:dyDescent="0.25">
      <c r="Z48450">
        <v>400000</v>
      </c>
    </row>
    <row r="48451" spans="26:26" x14ac:dyDescent="0.25">
      <c r="Z48451">
        <v>400000</v>
      </c>
    </row>
    <row r="48452" spans="26:26" x14ac:dyDescent="0.25">
      <c r="Z48452">
        <v>400000</v>
      </c>
    </row>
    <row r="48453" spans="26:26" x14ac:dyDescent="0.25">
      <c r="Z48453">
        <v>400000</v>
      </c>
    </row>
    <row r="48454" spans="26:26" x14ac:dyDescent="0.25">
      <c r="Z48454">
        <v>400000</v>
      </c>
    </row>
    <row r="48455" spans="26:26" x14ac:dyDescent="0.25">
      <c r="Z48455">
        <v>400000</v>
      </c>
    </row>
    <row r="48456" spans="26:26" x14ac:dyDescent="0.25">
      <c r="Z48456">
        <v>400000</v>
      </c>
    </row>
    <row r="48457" spans="26:26" x14ac:dyDescent="0.25">
      <c r="Z48457">
        <v>400000</v>
      </c>
    </row>
    <row r="48458" spans="26:26" x14ac:dyDescent="0.25">
      <c r="Z48458">
        <v>400000</v>
      </c>
    </row>
    <row r="48459" spans="26:26" x14ac:dyDescent="0.25">
      <c r="Z48459">
        <v>400000</v>
      </c>
    </row>
    <row r="48460" spans="26:26" x14ac:dyDescent="0.25">
      <c r="Z48460">
        <v>400000</v>
      </c>
    </row>
    <row r="48461" spans="26:26" x14ac:dyDescent="0.25">
      <c r="Z48461">
        <v>400000</v>
      </c>
    </row>
    <row r="48462" spans="26:26" x14ac:dyDescent="0.25">
      <c r="Z48462">
        <v>400000</v>
      </c>
    </row>
    <row r="48463" spans="26:26" x14ac:dyDescent="0.25">
      <c r="Z48463">
        <v>400000</v>
      </c>
    </row>
    <row r="48464" spans="26:26" x14ac:dyDescent="0.25">
      <c r="Z48464">
        <v>400000</v>
      </c>
    </row>
    <row r="48465" spans="26:26" x14ac:dyDescent="0.25">
      <c r="Z48465">
        <v>400000</v>
      </c>
    </row>
    <row r="48466" spans="26:26" x14ac:dyDescent="0.25">
      <c r="Z48466">
        <v>400000</v>
      </c>
    </row>
    <row r="48467" spans="26:26" x14ac:dyDescent="0.25">
      <c r="Z48467">
        <v>400000</v>
      </c>
    </row>
    <row r="48468" spans="26:26" x14ac:dyDescent="0.25">
      <c r="Z48468">
        <v>400000</v>
      </c>
    </row>
    <row r="48469" spans="26:26" x14ac:dyDescent="0.25">
      <c r="Z48469">
        <v>400000</v>
      </c>
    </row>
    <row r="48470" spans="26:26" x14ac:dyDescent="0.25">
      <c r="Z48470">
        <v>400000</v>
      </c>
    </row>
    <row r="48471" spans="26:26" x14ac:dyDescent="0.25">
      <c r="Z48471">
        <v>400000</v>
      </c>
    </row>
    <row r="48472" spans="26:26" x14ac:dyDescent="0.25">
      <c r="Z48472">
        <v>400000</v>
      </c>
    </row>
    <row r="48473" spans="26:26" x14ac:dyDescent="0.25">
      <c r="Z48473">
        <v>400000</v>
      </c>
    </row>
    <row r="48474" spans="26:26" x14ac:dyDescent="0.25">
      <c r="Z48474">
        <v>400000</v>
      </c>
    </row>
    <row r="48475" spans="26:26" x14ac:dyDescent="0.25">
      <c r="Z48475">
        <v>400000</v>
      </c>
    </row>
    <row r="48476" spans="26:26" x14ac:dyDescent="0.25">
      <c r="Z48476">
        <v>400000</v>
      </c>
    </row>
    <row r="48477" spans="26:26" x14ac:dyDescent="0.25">
      <c r="Z48477">
        <v>400000</v>
      </c>
    </row>
    <row r="48478" spans="26:26" x14ac:dyDescent="0.25">
      <c r="Z48478">
        <v>400000</v>
      </c>
    </row>
    <row r="48479" spans="26:26" x14ac:dyDescent="0.25">
      <c r="Z48479">
        <v>400000</v>
      </c>
    </row>
    <row r="48480" spans="26:26" x14ac:dyDescent="0.25">
      <c r="Z48480">
        <v>400000</v>
      </c>
    </row>
    <row r="48481" spans="26:26" x14ac:dyDescent="0.25">
      <c r="Z48481">
        <v>400000</v>
      </c>
    </row>
    <row r="48482" spans="26:26" x14ac:dyDescent="0.25">
      <c r="Z48482">
        <v>400000</v>
      </c>
    </row>
    <row r="48483" spans="26:26" x14ac:dyDescent="0.25">
      <c r="Z48483">
        <v>400000</v>
      </c>
    </row>
    <row r="48484" spans="26:26" x14ac:dyDescent="0.25">
      <c r="Z48484">
        <v>400000</v>
      </c>
    </row>
    <row r="48485" spans="26:26" x14ac:dyDescent="0.25">
      <c r="Z48485">
        <v>400000</v>
      </c>
    </row>
    <row r="48486" spans="26:26" x14ac:dyDescent="0.25">
      <c r="Z48486">
        <v>400000</v>
      </c>
    </row>
    <row r="48487" spans="26:26" x14ac:dyDescent="0.25">
      <c r="Z48487">
        <v>400000</v>
      </c>
    </row>
    <row r="48488" spans="26:26" x14ac:dyDescent="0.25">
      <c r="Z48488">
        <v>400000</v>
      </c>
    </row>
    <row r="48489" spans="26:26" x14ac:dyDescent="0.25">
      <c r="Z48489">
        <v>400000</v>
      </c>
    </row>
    <row r="48490" spans="26:26" x14ac:dyDescent="0.25">
      <c r="Z48490">
        <v>400000</v>
      </c>
    </row>
    <row r="48491" spans="26:26" x14ac:dyDescent="0.25">
      <c r="Z48491">
        <v>400000</v>
      </c>
    </row>
    <row r="48492" spans="26:26" x14ac:dyDescent="0.25">
      <c r="Z48492">
        <v>400000</v>
      </c>
    </row>
    <row r="48493" spans="26:26" x14ac:dyDescent="0.25">
      <c r="Z48493">
        <v>400000</v>
      </c>
    </row>
    <row r="48494" spans="26:26" x14ac:dyDescent="0.25">
      <c r="Z48494">
        <v>400000</v>
      </c>
    </row>
    <row r="48495" spans="26:26" x14ac:dyDescent="0.25">
      <c r="Z48495">
        <v>400000</v>
      </c>
    </row>
    <row r="48496" spans="26:26" x14ac:dyDescent="0.25">
      <c r="Z48496">
        <v>400000</v>
      </c>
    </row>
    <row r="48497" spans="26:26" x14ac:dyDescent="0.25">
      <c r="Z48497">
        <v>400000</v>
      </c>
    </row>
    <row r="48498" spans="26:26" x14ac:dyDescent="0.25">
      <c r="Z48498">
        <v>400000</v>
      </c>
    </row>
    <row r="48499" spans="26:26" x14ac:dyDescent="0.25">
      <c r="Z48499">
        <v>400000</v>
      </c>
    </row>
    <row r="48500" spans="26:26" x14ac:dyDescent="0.25">
      <c r="Z48500">
        <v>400000</v>
      </c>
    </row>
    <row r="48501" spans="26:26" x14ac:dyDescent="0.25">
      <c r="Z48501">
        <v>400000</v>
      </c>
    </row>
    <row r="48502" spans="26:26" x14ac:dyDescent="0.25">
      <c r="Z48502">
        <v>400000</v>
      </c>
    </row>
    <row r="48503" spans="26:26" x14ac:dyDescent="0.25">
      <c r="Z48503">
        <v>400000</v>
      </c>
    </row>
    <row r="48504" spans="26:26" x14ac:dyDescent="0.25">
      <c r="Z48504">
        <v>400000</v>
      </c>
    </row>
    <row r="48505" spans="26:26" x14ac:dyDescent="0.25">
      <c r="Z48505">
        <v>400000</v>
      </c>
    </row>
    <row r="48506" spans="26:26" x14ac:dyDescent="0.25">
      <c r="Z48506">
        <v>400000</v>
      </c>
    </row>
    <row r="48507" spans="26:26" x14ac:dyDescent="0.25">
      <c r="Z48507">
        <v>400000</v>
      </c>
    </row>
    <row r="48508" spans="26:26" x14ac:dyDescent="0.25">
      <c r="Z48508">
        <v>400000</v>
      </c>
    </row>
    <row r="48509" spans="26:26" x14ac:dyDescent="0.25">
      <c r="Z48509">
        <v>400000</v>
      </c>
    </row>
    <row r="48510" spans="26:26" x14ac:dyDescent="0.25">
      <c r="Z48510">
        <v>400000</v>
      </c>
    </row>
    <row r="48511" spans="26:26" x14ac:dyDescent="0.25">
      <c r="Z48511">
        <v>400000</v>
      </c>
    </row>
    <row r="48512" spans="26:26" x14ac:dyDescent="0.25">
      <c r="Z48512">
        <v>400000</v>
      </c>
    </row>
    <row r="48513" spans="26:26" x14ac:dyDescent="0.25">
      <c r="Z48513">
        <v>400000</v>
      </c>
    </row>
    <row r="48514" spans="26:26" x14ac:dyDescent="0.25">
      <c r="Z48514">
        <v>400000</v>
      </c>
    </row>
    <row r="48515" spans="26:26" x14ac:dyDescent="0.25">
      <c r="Z48515">
        <v>400000</v>
      </c>
    </row>
    <row r="48516" spans="26:26" x14ac:dyDescent="0.25">
      <c r="Z48516">
        <v>400000</v>
      </c>
    </row>
    <row r="48517" spans="26:26" x14ac:dyDescent="0.25">
      <c r="Z48517">
        <v>400000</v>
      </c>
    </row>
    <row r="48518" spans="26:26" x14ac:dyDescent="0.25">
      <c r="Z48518">
        <v>400000</v>
      </c>
    </row>
    <row r="48519" spans="26:26" x14ac:dyDescent="0.25">
      <c r="Z48519">
        <v>400000</v>
      </c>
    </row>
    <row r="48520" spans="26:26" x14ac:dyDescent="0.25">
      <c r="Z48520">
        <v>400000</v>
      </c>
    </row>
    <row r="48521" spans="26:26" x14ac:dyDescent="0.25">
      <c r="Z48521">
        <v>400000</v>
      </c>
    </row>
    <row r="48522" spans="26:26" x14ac:dyDescent="0.25">
      <c r="Z48522">
        <v>400000</v>
      </c>
    </row>
    <row r="48523" spans="26:26" x14ac:dyDescent="0.25">
      <c r="Z48523">
        <v>400000</v>
      </c>
    </row>
    <row r="48524" spans="26:26" x14ac:dyDescent="0.25">
      <c r="Z48524">
        <v>400000</v>
      </c>
    </row>
    <row r="48525" spans="26:26" x14ac:dyDescent="0.25">
      <c r="Z48525">
        <v>400000</v>
      </c>
    </row>
    <row r="48526" spans="26:26" x14ac:dyDescent="0.25">
      <c r="Z48526">
        <v>400000</v>
      </c>
    </row>
    <row r="48527" spans="26:26" x14ac:dyDescent="0.25">
      <c r="Z48527">
        <v>400000</v>
      </c>
    </row>
    <row r="48528" spans="26:26" x14ac:dyDescent="0.25">
      <c r="Z48528">
        <v>400000</v>
      </c>
    </row>
    <row r="48529" spans="26:26" x14ac:dyDescent="0.25">
      <c r="Z48529">
        <v>400000</v>
      </c>
    </row>
    <row r="48530" spans="26:26" x14ac:dyDescent="0.25">
      <c r="Z48530">
        <v>400000</v>
      </c>
    </row>
    <row r="48531" spans="26:26" x14ac:dyDescent="0.25">
      <c r="Z48531">
        <v>400000</v>
      </c>
    </row>
    <row r="48532" spans="26:26" x14ac:dyDescent="0.25">
      <c r="Z48532">
        <v>400000</v>
      </c>
    </row>
    <row r="48533" spans="26:26" x14ac:dyDescent="0.25">
      <c r="Z48533">
        <v>400000</v>
      </c>
    </row>
    <row r="48534" spans="26:26" x14ac:dyDescent="0.25">
      <c r="Z48534">
        <v>400000</v>
      </c>
    </row>
    <row r="48535" spans="26:26" x14ac:dyDescent="0.25">
      <c r="Z48535">
        <v>400000</v>
      </c>
    </row>
    <row r="48536" spans="26:26" x14ac:dyDescent="0.25">
      <c r="Z48536">
        <v>400000</v>
      </c>
    </row>
    <row r="48537" spans="26:26" x14ac:dyDescent="0.25">
      <c r="Z48537">
        <v>400000</v>
      </c>
    </row>
    <row r="48538" spans="26:26" x14ac:dyDescent="0.25">
      <c r="Z48538">
        <v>400000</v>
      </c>
    </row>
    <row r="48539" spans="26:26" x14ac:dyDescent="0.25">
      <c r="Z48539">
        <v>400000</v>
      </c>
    </row>
    <row r="48540" spans="26:26" x14ac:dyDescent="0.25">
      <c r="Z48540">
        <v>400000</v>
      </c>
    </row>
    <row r="48541" spans="26:26" x14ac:dyDescent="0.25">
      <c r="Z48541">
        <v>400000</v>
      </c>
    </row>
    <row r="48542" spans="26:26" x14ac:dyDescent="0.25">
      <c r="Z48542">
        <v>400000</v>
      </c>
    </row>
    <row r="48543" spans="26:26" x14ac:dyDescent="0.25">
      <c r="Z48543">
        <v>400000</v>
      </c>
    </row>
    <row r="48544" spans="26:26" x14ac:dyDescent="0.25">
      <c r="Z48544">
        <v>400000</v>
      </c>
    </row>
    <row r="48545" spans="26:26" x14ac:dyDescent="0.25">
      <c r="Z48545">
        <v>400000</v>
      </c>
    </row>
    <row r="48546" spans="26:26" x14ac:dyDescent="0.25">
      <c r="Z48546">
        <v>400000</v>
      </c>
    </row>
    <row r="48547" spans="26:26" x14ac:dyDescent="0.25">
      <c r="Z48547">
        <v>400000</v>
      </c>
    </row>
    <row r="48548" spans="26:26" x14ac:dyDescent="0.25">
      <c r="Z48548">
        <v>400000</v>
      </c>
    </row>
    <row r="48549" spans="26:26" x14ac:dyDescent="0.25">
      <c r="Z48549">
        <v>400000</v>
      </c>
    </row>
    <row r="48550" spans="26:26" x14ac:dyDescent="0.25">
      <c r="Z48550">
        <v>400000</v>
      </c>
    </row>
    <row r="48551" spans="26:26" x14ac:dyDescent="0.25">
      <c r="Z48551">
        <v>400000</v>
      </c>
    </row>
    <row r="48552" spans="26:26" x14ac:dyDescent="0.25">
      <c r="Z48552">
        <v>400000</v>
      </c>
    </row>
    <row r="48553" spans="26:26" x14ac:dyDescent="0.25">
      <c r="Z48553">
        <v>400000</v>
      </c>
    </row>
    <row r="48554" spans="26:26" x14ac:dyDescent="0.25">
      <c r="Z48554">
        <v>400000</v>
      </c>
    </row>
    <row r="48555" spans="26:26" x14ac:dyDescent="0.25">
      <c r="Z48555">
        <v>400000</v>
      </c>
    </row>
    <row r="48556" spans="26:26" x14ac:dyDescent="0.25">
      <c r="Z48556">
        <v>400000</v>
      </c>
    </row>
    <row r="48557" spans="26:26" x14ac:dyDescent="0.25">
      <c r="Z48557">
        <v>400000</v>
      </c>
    </row>
    <row r="48558" spans="26:26" x14ac:dyDescent="0.25">
      <c r="Z48558">
        <v>400000</v>
      </c>
    </row>
    <row r="48559" spans="26:26" x14ac:dyDescent="0.25">
      <c r="Z48559">
        <v>400000</v>
      </c>
    </row>
    <row r="48560" spans="26:26" x14ac:dyDescent="0.25">
      <c r="Z48560">
        <v>400000</v>
      </c>
    </row>
    <row r="48561" spans="26:26" x14ac:dyDescent="0.25">
      <c r="Z48561">
        <v>400000</v>
      </c>
    </row>
    <row r="48562" spans="26:26" x14ac:dyDescent="0.25">
      <c r="Z48562">
        <v>400000</v>
      </c>
    </row>
    <row r="48563" spans="26:26" x14ac:dyDescent="0.25">
      <c r="Z48563">
        <v>400000</v>
      </c>
    </row>
    <row r="48564" spans="26:26" x14ac:dyDescent="0.25">
      <c r="Z48564">
        <v>400000</v>
      </c>
    </row>
    <row r="48565" spans="26:26" x14ac:dyDescent="0.25">
      <c r="Z48565">
        <v>400000</v>
      </c>
    </row>
    <row r="48566" spans="26:26" x14ac:dyDescent="0.25">
      <c r="Z48566">
        <v>400000</v>
      </c>
    </row>
    <row r="48567" spans="26:26" x14ac:dyDescent="0.25">
      <c r="Z48567">
        <v>400000</v>
      </c>
    </row>
    <row r="48568" spans="26:26" x14ac:dyDescent="0.25">
      <c r="Z48568">
        <v>400000</v>
      </c>
    </row>
    <row r="48569" spans="26:26" x14ac:dyDescent="0.25">
      <c r="Z48569">
        <v>400000</v>
      </c>
    </row>
    <row r="48570" spans="26:26" x14ac:dyDescent="0.25">
      <c r="Z48570">
        <v>400000</v>
      </c>
    </row>
    <row r="48571" spans="26:26" x14ac:dyDescent="0.25">
      <c r="Z48571">
        <v>400000</v>
      </c>
    </row>
    <row r="48572" spans="26:26" x14ac:dyDescent="0.25">
      <c r="Z48572">
        <v>400000</v>
      </c>
    </row>
    <row r="48573" spans="26:26" x14ac:dyDescent="0.25">
      <c r="Z48573">
        <v>400000</v>
      </c>
    </row>
    <row r="48574" spans="26:26" x14ac:dyDescent="0.25">
      <c r="Z48574">
        <v>400000</v>
      </c>
    </row>
    <row r="48575" spans="26:26" x14ac:dyDescent="0.25">
      <c r="Z48575">
        <v>400000</v>
      </c>
    </row>
    <row r="48576" spans="26:26" x14ac:dyDescent="0.25">
      <c r="Z48576">
        <v>400000</v>
      </c>
    </row>
    <row r="48577" spans="26:26" x14ac:dyDescent="0.25">
      <c r="Z48577">
        <v>400000</v>
      </c>
    </row>
    <row r="48578" spans="26:26" x14ac:dyDescent="0.25">
      <c r="Z48578">
        <v>400000</v>
      </c>
    </row>
    <row r="48579" spans="26:26" x14ac:dyDescent="0.25">
      <c r="Z48579">
        <v>400000</v>
      </c>
    </row>
    <row r="48580" spans="26:26" x14ac:dyDescent="0.25">
      <c r="Z48580">
        <v>400000</v>
      </c>
    </row>
    <row r="48581" spans="26:26" x14ac:dyDescent="0.25">
      <c r="Z48581">
        <v>400000</v>
      </c>
    </row>
    <row r="48582" spans="26:26" x14ac:dyDescent="0.25">
      <c r="Z48582">
        <v>400000</v>
      </c>
    </row>
    <row r="48583" spans="26:26" x14ac:dyDescent="0.25">
      <c r="Z48583">
        <v>400000</v>
      </c>
    </row>
    <row r="48584" spans="26:26" x14ac:dyDescent="0.25">
      <c r="Z48584">
        <v>400000</v>
      </c>
    </row>
    <row r="48585" spans="26:26" x14ac:dyDescent="0.25">
      <c r="Z48585">
        <v>400000</v>
      </c>
    </row>
    <row r="48586" spans="26:26" x14ac:dyDescent="0.25">
      <c r="Z48586">
        <v>400000</v>
      </c>
    </row>
    <row r="48587" spans="26:26" x14ac:dyDescent="0.25">
      <c r="Z48587">
        <v>400000</v>
      </c>
    </row>
    <row r="48588" spans="26:26" x14ac:dyDescent="0.25">
      <c r="Z48588">
        <v>400000</v>
      </c>
    </row>
    <row r="48589" spans="26:26" x14ac:dyDescent="0.25">
      <c r="Z48589">
        <v>400000</v>
      </c>
    </row>
    <row r="48590" spans="26:26" x14ac:dyDescent="0.25">
      <c r="Z48590">
        <v>400000</v>
      </c>
    </row>
    <row r="48591" spans="26:26" x14ac:dyDescent="0.25">
      <c r="Z48591">
        <v>400000</v>
      </c>
    </row>
    <row r="48592" spans="26:26" x14ac:dyDescent="0.25">
      <c r="Z48592">
        <v>400000</v>
      </c>
    </row>
    <row r="48593" spans="26:26" x14ac:dyDescent="0.25">
      <c r="Z48593">
        <v>400000</v>
      </c>
    </row>
    <row r="48594" spans="26:26" x14ac:dyDescent="0.25">
      <c r="Z48594">
        <v>400000</v>
      </c>
    </row>
    <row r="48595" spans="26:26" x14ac:dyDescent="0.25">
      <c r="Z48595">
        <v>400000</v>
      </c>
    </row>
    <row r="48596" spans="26:26" x14ac:dyDescent="0.25">
      <c r="Z48596">
        <v>400000</v>
      </c>
    </row>
    <row r="48597" spans="26:26" x14ac:dyDescent="0.25">
      <c r="Z48597">
        <v>400000</v>
      </c>
    </row>
    <row r="48598" spans="26:26" x14ac:dyDescent="0.25">
      <c r="Z48598">
        <v>400000</v>
      </c>
    </row>
    <row r="48599" spans="26:26" x14ac:dyDescent="0.25">
      <c r="Z48599">
        <v>400000</v>
      </c>
    </row>
    <row r="48600" spans="26:26" x14ac:dyDescent="0.25">
      <c r="Z48600">
        <v>400000</v>
      </c>
    </row>
    <row r="48601" spans="26:26" x14ac:dyDescent="0.25">
      <c r="Z48601">
        <v>400000</v>
      </c>
    </row>
    <row r="48602" spans="26:26" x14ac:dyDescent="0.25">
      <c r="Z48602">
        <v>400000</v>
      </c>
    </row>
    <row r="48603" spans="26:26" x14ac:dyDescent="0.25">
      <c r="Z48603">
        <v>400000</v>
      </c>
    </row>
    <row r="48604" spans="26:26" x14ac:dyDescent="0.25">
      <c r="Z48604">
        <v>400000</v>
      </c>
    </row>
    <row r="48605" spans="26:26" x14ac:dyDescent="0.25">
      <c r="Z48605">
        <v>400000</v>
      </c>
    </row>
    <row r="48606" spans="26:26" x14ac:dyDescent="0.25">
      <c r="Z48606">
        <v>400000</v>
      </c>
    </row>
    <row r="48607" spans="26:26" x14ac:dyDescent="0.25">
      <c r="Z48607">
        <v>400000</v>
      </c>
    </row>
    <row r="48608" spans="26:26" x14ac:dyDescent="0.25">
      <c r="Z48608">
        <v>400000</v>
      </c>
    </row>
    <row r="48609" spans="26:26" x14ac:dyDescent="0.25">
      <c r="Z48609">
        <v>400000</v>
      </c>
    </row>
    <row r="48610" spans="26:26" x14ac:dyDescent="0.25">
      <c r="Z48610">
        <v>400000</v>
      </c>
    </row>
    <row r="48611" spans="26:26" x14ac:dyDescent="0.25">
      <c r="Z48611">
        <v>400000</v>
      </c>
    </row>
    <row r="48612" spans="26:26" x14ac:dyDescent="0.25">
      <c r="Z48612">
        <v>400000</v>
      </c>
    </row>
    <row r="48613" spans="26:26" x14ac:dyDescent="0.25">
      <c r="Z48613">
        <v>400000</v>
      </c>
    </row>
    <row r="48614" spans="26:26" x14ac:dyDescent="0.25">
      <c r="Z48614">
        <v>400000</v>
      </c>
    </row>
    <row r="48615" spans="26:26" x14ac:dyDescent="0.25">
      <c r="Z48615">
        <v>400000</v>
      </c>
    </row>
    <row r="48616" spans="26:26" x14ac:dyDescent="0.25">
      <c r="Z48616">
        <v>400000</v>
      </c>
    </row>
    <row r="48617" spans="26:26" x14ac:dyDescent="0.25">
      <c r="Z48617">
        <v>400000</v>
      </c>
    </row>
    <row r="48618" spans="26:26" x14ac:dyDescent="0.25">
      <c r="Z48618">
        <v>400000</v>
      </c>
    </row>
    <row r="48619" spans="26:26" x14ac:dyDescent="0.25">
      <c r="Z48619">
        <v>400000</v>
      </c>
    </row>
    <row r="48620" spans="26:26" x14ac:dyDescent="0.25">
      <c r="Z48620">
        <v>400000</v>
      </c>
    </row>
    <row r="48621" spans="26:26" x14ac:dyDescent="0.25">
      <c r="Z48621">
        <v>400000</v>
      </c>
    </row>
    <row r="48622" spans="26:26" x14ac:dyDescent="0.25">
      <c r="Z48622">
        <v>400000</v>
      </c>
    </row>
    <row r="48623" spans="26:26" x14ac:dyDescent="0.25">
      <c r="Z48623">
        <v>400000</v>
      </c>
    </row>
    <row r="48624" spans="26:26" x14ac:dyDescent="0.25">
      <c r="Z48624">
        <v>400000</v>
      </c>
    </row>
    <row r="48625" spans="26:26" x14ac:dyDescent="0.25">
      <c r="Z48625">
        <v>400000</v>
      </c>
    </row>
    <row r="48626" spans="26:26" x14ac:dyDescent="0.25">
      <c r="Z48626">
        <v>400000</v>
      </c>
    </row>
    <row r="48627" spans="26:26" x14ac:dyDescent="0.25">
      <c r="Z48627">
        <v>400000</v>
      </c>
    </row>
    <row r="48628" spans="26:26" x14ac:dyDescent="0.25">
      <c r="Z48628">
        <v>400000</v>
      </c>
    </row>
    <row r="48629" spans="26:26" x14ac:dyDescent="0.25">
      <c r="Z48629">
        <v>400000</v>
      </c>
    </row>
    <row r="48630" spans="26:26" x14ac:dyDescent="0.25">
      <c r="Z48630">
        <v>400000</v>
      </c>
    </row>
    <row r="48631" spans="26:26" x14ac:dyDescent="0.25">
      <c r="Z48631">
        <v>400000</v>
      </c>
    </row>
    <row r="48632" spans="26:26" x14ac:dyDescent="0.25">
      <c r="Z48632">
        <v>400000</v>
      </c>
    </row>
    <row r="48633" spans="26:26" x14ac:dyDescent="0.25">
      <c r="Z48633">
        <v>400000</v>
      </c>
    </row>
    <row r="48634" spans="26:26" x14ac:dyDescent="0.25">
      <c r="Z48634">
        <v>400000</v>
      </c>
    </row>
    <row r="48635" spans="26:26" x14ac:dyDescent="0.25">
      <c r="Z48635">
        <v>400000</v>
      </c>
    </row>
    <row r="48636" spans="26:26" x14ac:dyDescent="0.25">
      <c r="Z48636">
        <v>400000</v>
      </c>
    </row>
    <row r="48637" spans="26:26" x14ac:dyDescent="0.25">
      <c r="Z48637">
        <v>400000</v>
      </c>
    </row>
    <row r="48638" spans="26:26" x14ac:dyDescent="0.25">
      <c r="Z48638">
        <v>400000</v>
      </c>
    </row>
    <row r="48639" spans="26:26" x14ac:dyDescent="0.25">
      <c r="Z48639">
        <v>400000</v>
      </c>
    </row>
    <row r="48640" spans="26:26" x14ac:dyDescent="0.25">
      <c r="Z48640">
        <v>400000</v>
      </c>
    </row>
    <row r="48641" spans="26:26" x14ac:dyDescent="0.25">
      <c r="Z48641">
        <v>400000</v>
      </c>
    </row>
    <row r="48642" spans="26:26" x14ac:dyDescent="0.25">
      <c r="Z48642">
        <v>400000</v>
      </c>
    </row>
    <row r="48643" spans="26:26" x14ac:dyDescent="0.25">
      <c r="Z48643">
        <v>400000</v>
      </c>
    </row>
    <row r="48644" spans="26:26" x14ac:dyDescent="0.25">
      <c r="Z48644">
        <v>400000</v>
      </c>
    </row>
    <row r="48645" spans="26:26" x14ac:dyDescent="0.25">
      <c r="Z48645">
        <v>400000</v>
      </c>
    </row>
    <row r="48646" spans="26:26" x14ac:dyDescent="0.25">
      <c r="Z48646">
        <v>400000</v>
      </c>
    </row>
    <row r="48647" spans="26:26" x14ac:dyDescent="0.25">
      <c r="Z48647">
        <v>400000</v>
      </c>
    </row>
    <row r="48648" spans="26:26" x14ac:dyDescent="0.25">
      <c r="Z48648">
        <v>400000</v>
      </c>
    </row>
    <row r="48649" spans="26:26" x14ac:dyDescent="0.25">
      <c r="Z48649">
        <v>400000</v>
      </c>
    </row>
    <row r="48650" spans="26:26" x14ac:dyDescent="0.25">
      <c r="Z48650">
        <v>400000</v>
      </c>
    </row>
    <row r="48651" spans="26:26" x14ac:dyDescent="0.25">
      <c r="Z48651">
        <v>400000</v>
      </c>
    </row>
    <row r="48652" spans="26:26" x14ac:dyDescent="0.25">
      <c r="Z48652">
        <v>400000</v>
      </c>
    </row>
    <row r="48653" spans="26:26" x14ac:dyDescent="0.25">
      <c r="Z48653">
        <v>400000</v>
      </c>
    </row>
    <row r="48654" spans="26:26" x14ac:dyDescent="0.25">
      <c r="Z48654">
        <v>400000</v>
      </c>
    </row>
    <row r="48655" spans="26:26" x14ac:dyDescent="0.25">
      <c r="Z48655">
        <v>400000</v>
      </c>
    </row>
    <row r="48656" spans="26:26" x14ac:dyDescent="0.25">
      <c r="Z48656">
        <v>400000</v>
      </c>
    </row>
    <row r="48657" spans="26:26" x14ac:dyDescent="0.25">
      <c r="Z48657">
        <v>400000</v>
      </c>
    </row>
    <row r="48658" spans="26:26" x14ac:dyDescent="0.25">
      <c r="Z48658">
        <v>400000</v>
      </c>
    </row>
    <row r="48659" spans="26:26" x14ac:dyDescent="0.25">
      <c r="Z48659">
        <v>400000</v>
      </c>
    </row>
    <row r="48660" spans="26:26" x14ac:dyDescent="0.25">
      <c r="Z48660">
        <v>400000</v>
      </c>
    </row>
    <row r="48661" spans="26:26" x14ac:dyDescent="0.25">
      <c r="Z48661">
        <v>400000</v>
      </c>
    </row>
    <row r="48662" spans="26:26" x14ac:dyDescent="0.25">
      <c r="Z48662">
        <v>400000</v>
      </c>
    </row>
    <row r="48663" spans="26:26" x14ac:dyDescent="0.25">
      <c r="Z48663">
        <v>400000</v>
      </c>
    </row>
    <row r="48664" spans="26:26" x14ac:dyDescent="0.25">
      <c r="Z48664">
        <v>400000</v>
      </c>
    </row>
    <row r="48665" spans="26:26" x14ac:dyDescent="0.25">
      <c r="Z48665">
        <v>400000</v>
      </c>
    </row>
    <row r="48666" spans="26:26" x14ac:dyDescent="0.25">
      <c r="Z48666">
        <v>400000</v>
      </c>
    </row>
    <row r="48667" spans="26:26" x14ac:dyDescent="0.25">
      <c r="Z48667">
        <v>400000</v>
      </c>
    </row>
    <row r="48668" spans="26:26" x14ac:dyDescent="0.25">
      <c r="Z48668">
        <v>400000</v>
      </c>
    </row>
    <row r="48669" spans="26:26" x14ac:dyDescent="0.25">
      <c r="Z48669">
        <v>400000</v>
      </c>
    </row>
    <row r="48670" spans="26:26" x14ac:dyDescent="0.25">
      <c r="Z48670">
        <v>400000</v>
      </c>
    </row>
    <row r="48671" spans="26:26" x14ac:dyDescent="0.25">
      <c r="Z48671">
        <v>400000</v>
      </c>
    </row>
    <row r="48672" spans="26:26" x14ac:dyDescent="0.25">
      <c r="Z48672">
        <v>400000</v>
      </c>
    </row>
    <row r="48673" spans="26:26" x14ac:dyDescent="0.25">
      <c r="Z48673">
        <v>400000</v>
      </c>
    </row>
    <row r="48674" spans="26:26" x14ac:dyDescent="0.25">
      <c r="Z48674">
        <v>400000</v>
      </c>
    </row>
    <row r="48675" spans="26:26" x14ac:dyDescent="0.25">
      <c r="Z48675">
        <v>400000</v>
      </c>
    </row>
    <row r="48676" spans="26:26" x14ac:dyDescent="0.25">
      <c r="Z48676">
        <v>400000</v>
      </c>
    </row>
    <row r="48677" spans="26:26" x14ac:dyDescent="0.25">
      <c r="Z48677">
        <v>400000</v>
      </c>
    </row>
    <row r="48678" spans="26:26" x14ac:dyDescent="0.25">
      <c r="Z48678">
        <v>400000</v>
      </c>
    </row>
    <row r="48679" spans="26:26" x14ac:dyDescent="0.25">
      <c r="Z48679">
        <v>400000</v>
      </c>
    </row>
    <row r="48680" spans="26:26" x14ac:dyDescent="0.25">
      <c r="Z48680">
        <v>400000</v>
      </c>
    </row>
    <row r="48681" spans="26:26" x14ac:dyDescent="0.25">
      <c r="Z48681">
        <v>400000</v>
      </c>
    </row>
    <row r="48682" spans="26:26" x14ac:dyDescent="0.25">
      <c r="Z48682">
        <v>400000</v>
      </c>
    </row>
    <row r="48683" spans="26:26" x14ac:dyDescent="0.25">
      <c r="Z48683">
        <v>400000</v>
      </c>
    </row>
    <row r="48684" spans="26:26" x14ac:dyDescent="0.25">
      <c r="Z48684">
        <v>400000</v>
      </c>
    </row>
    <row r="48685" spans="26:26" x14ac:dyDescent="0.25">
      <c r="Z48685">
        <v>400000</v>
      </c>
    </row>
    <row r="48686" spans="26:26" x14ac:dyDescent="0.25">
      <c r="Z48686">
        <v>400000</v>
      </c>
    </row>
    <row r="48687" spans="26:26" x14ac:dyDescent="0.25">
      <c r="Z48687">
        <v>400000</v>
      </c>
    </row>
    <row r="48688" spans="26:26" x14ac:dyDescent="0.25">
      <c r="Z48688">
        <v>400000</v>
      </c>
    </row>
    <row r="48689" spans="26:26" x14ac:dyDescent="0.25">
      <c r="Z48689">
        <v>400000</v>
      </c>
    </row>
    <row r="48690" spans="26:26" x14ac:dyDescent="0.25">
      <c r="Z48690">
        <v>400000</v>
      </c>
    </row>
    <row r="48691" spans="26:26" x14ac:dyDescent="0.25">
      <c r="Z48691">
        <v>400000</v>
      </c>
    </row>
    <row r="48692" spans="26:26" x14ac:dyDescent="0.25">
      <c r="Z48692">
        <v>400000</v>
      </c>
    </row>
    <row r="48693" spans="26:26" x14ac:dyDescent="0.25">
      <c r="Z48693">
        <v>400000</v>
      </c>
    </row>
    <row r="48694" spans="26:26" x14ac:dyDescent="0.25">
      <c r="Z48694">
        <v>400000</v>
      </c>
    </row>
    <row r="48695" spans="26:26" x14ac:dyDescent="0.25">
      <c r="Z48695">
        <v>400000</v>
      </c>
    </row>
    <row r="48696" spans="26:26" x14ac:dyDescent="0.25">
      <c r="Z48696">
        <v>400000</v>
      </c>
    </row>
    <row r="48697" spans="26:26" x14ac:dyDescent="0.25">
      <c r="Z48697">
        <v>400000</v>
      </c>
    </row>
    <row r="48698" spans="26:26" x14ac:dyDescent="0.25">
      <c r="Z48698">
        <v>400000</v>
      </c>
    </row>
    <row r="48699" spans="26:26" x14ac:dyDescent="0.25">
      <c r="Z48699">
        <v>400000</v>
      </c>
    </row>
    <row r="48700" spans="26:26" x14ac:dyDescent="0.25">
      <c r="Z48700">
        <v>400000</v>
      </c>
    </row>
    <row r="48701" spans="26:26" x14ac:dyDescent="0.25">
      <c r="Z48701">
        <v>400000</v>
      </c>
    </row>
    <row r="48702" spans="26:26" x14ac:dyDescent="0.25">
      <c r="Z48702">
        <v>400000</v>
      </c>
    </row>
    <row r="48703" spans="26:26" x14ac:dyDescent="0.25">
      <c r="Z48703">
        <v>400000</v>
      </c>
    </row>
    <row r="48704" spans="26:26" x14ac:dyDescent="0.25">
      <c r="Z48704">
        <v>400000</v>
      </c>
    </row>
    <row r="48705" spans="26:26" x14ac:dyDescent="0.25">
      <c r="Z48705">
        <v>400000</v>
      </c>
    </row>
    <row r="48706" spans="26:26" x14ac:dyDescent="0.25">
      <c r="Z48706">
        <v>400000</v>
      </c>
    </row>
    <row r="48707" spans="26:26" x14ac:dyDescent="0.25">
      <c r="Z48707">
        <v>400000</v>
      </c>
    </row>
    <row r="48708" spans="26:26" x14ac:dyDescent="0.25">
      <c r="Z48708">
        <v>400000</v>
      </c>
    </row>
    <row r="48709" spans="26:26" x14ac:dyDescent="0.25">
      <c r="Z48709">
        <v>400000</v>
      </c>
    </row>
    <row r="48710" spans="26:26" x14ac:dyDescent="0.25">
      <c r="Z48710">
        <v>400000</v>
      </c>
    </row>
    <row r="48711" spans="26:26" x14ac:dyDescent="0.25">
      <c r="Z48711">
        <v>400000</v>
      </c>
    </row>
    <row r="48712" spans="26:26" x14ac:dyDescent="0.25">
      <c r="Z48712">
        <v>400000</v>
      </c>
    </row>
    <row r="48713" spans="26:26" x14ac:dyDescent="0.25">
      <c r="Z48713">
        <v>400000</v>
      </c>
    </row>
    <row r="48714" spans="26:26" x14ac:dyDescent="0.25">
      <c r="Z48714">
        <v>400000</v>
      </c>
    </row>
    <row r="48715" spans="26:26" x14ac:dyDescent="0.25">
      <c r="Z48715">
        <v>400000</v>
      </c>
    </row>
    <row r="48716" spans="26:26" x14ac:dyDescent="0.25">
      <c r="Z48716">
        <v>400000</v>
      </c>
    </row>
    <row r="48717" spans="26:26" x14ac:dyDescent="0.25">
      <c r="Z48717">
        <v>400000</v>
      </c>
    </row>
    <row r="48718" spans="26:26" x14ac:dyDescent="0.25">
      <c r="Z48718">
        <v>400000</v>
      </c>
    </row>
    <row r="48719" spans="26:26" x14ac:dyDescent="0.25">
      <c r="Z48719">
        <v>400000</v>
      </c>
    </row>
    <row r="48720" spans="26:26" x14ac:dyDescent="0.25">
      <c r="Z48720">
        <v>400000</v>
      </c>
    </row>
    <row r="48721" spans="26:26" x14ac:dyDescent="0.25">
      <c r="Z48721">
        <v>400000</v>
      </c>
    </row>
    <row r="48722" spans="26:26" x14ac:dyDescent="0.25">
      <c r="Z48722">
        <v>400000</v>
      </c>
    </row>
    <row r="48723" spans="26:26" x14ac:dyDescent="0.25">
      <c r="Z48723">
        <v>400000</v>
      </c>
    </row>
    <row r="48724" spans="26:26" x14ac:dyDescent="0.25">
      <c r="Z48724">
        <v>400000</v>
      </c>
    </row>
    <row r="48725" spans="26:26" x14ac:dyDescent="0.25">
      <c r="Z48725">
        <v>400000</v>
      </c>
    </row>
    <row r="48726" spans="26:26" x14ac:dyDescent="0.25">
      <c r="Z48726">
        <v>400000</v>
      </c>
    </row>
    <row r="48727" spans="26:26" x14ac:dyDescent="0.25">
      <c r="Z48727">
        <v>400000</v>
      </c>
    </row>
    <row r="48728" spans="26:26" x14ac:dyDescent="0.25">
      <c r="Z48728">
        <v>400000</v>
      </c>
    </row>
    <row r="48729" spans="26:26" x14ac:dyDescent="0.25">
      <c r="Z48729">
        <v>400000</v>
      </c>
    </row>
    <row r="48730" spans="26:26" x14ac:dyDescent="0.25">
      <c r="Z48730">
        <v>400000</v>
      </c>
    </row>
    <row r="48731" spans="26:26" x14ac:dyDescent="0.25">
      <c r="Z48731">
        <v>400000</v>
      </c>
    </row>
    <row r="48732" spans="26:26" x14ac:dyDescent="0.25">
      <c r="Z48732">
        <v>400000</v>
      </c>
    </row>
    <row r="48733" spans="26:26" x14ac:dyDescent="0.25">
      <c r="Z48733">
        <v>400000</v>
      </c>
    </row>
    <row r="48734" spans="26:26" x14ac:dyDescent="0.25">
      <c r="Z48734">
        <v>400000</v>
      </c>
    </row>
    <row r="48735" spans="26:26" x14ac:dyDescent="0.25">
      <c r="Z48735">
        <v>400000</v>
      </c>
    </row>
    <row r="48736" spans="26:26" x14ac:dyDescent="0.25">
      <c r="Z48736">
        <v>400000</v>
      </c>
    </row>
    <row r="48737" spans="26:26" x14ac:dyDescent="0.25">
      <c r="Z48737">
        <v>400000</v>
      </c>
    </row>
    <row r="48738" spans="26:26" x14ac:dyDescent="0.25">
      <c r="Z48738">
        <v>400000</v>
      </c>
    </row>
    <row r="48739" spans="26:26" x14ac:dyDescent="0.25">
      <c r="Z48739">
        <v>400000</v>
      </c>
    </row>
    <row r="48740" spans="26:26" x14ac:dyDescent="0.25">
      <c r="Z48740">
        <v>400000</v>
      </c>
    </row>
    <row r="48741" spans="26:26" x14ac:dyDescent="0.25">
      <c r="Z48741">
        <v>400000</v>
      </c>
    </row>
    <row r="48742" spans="26:26" x14ac:dyDescent="0.25">
      <c r="Z48742">
        <v>400000</v>
      </c>
    </row>
    <row r="48743" spans="26:26" x14ac:dyDescent="0.25">
      <c r="Z48743">
        <v>400000</v>
      </c>
    </row>
    <row r="48744" spans="26:26" x14ac:dyDescent="0.25">
      <c r="Z48744">
        <v>400000</v>
      </c>
    </row>
    <row r="48745" spans="26:26" x14ac:dyDescent="0.25">
      <c r="Z48745">
        <v>400000</v>
      </c>
    </row>
    <row r="48746" spans="26:26" x14ac:dyDescent="0.25">
      <c r="Z48746">
        <v>400000</v>
      </c>
    </row>
    <row r="48747" spans="26:26" x14ac:dyDescent="0.25">
      <c r="Z48747">
        <v>400000</v>
      </c>
    </row>
    <row r="48748" spans="26:26" x14ac:dyDescent="0.25">
      <c r="Z48748">
        <v>400000</v>
      </c>
    </row>
    <row r="48749" spans="26:26" x14ac:dyDescent="0.25">
      <c r="Z48749">
        <v>400000</v>
      </c>
    </row>
    <row r="48750" spans="26:26" x14ac:dyDescent="0.25">
      <c r="Z48750">
        <v>400000</v>
      </c>
    </row>
    <row r="48751" spans="26:26" x14ac:dyDescent="0.25">
      <c r="Z48751">
        <v>400000</v>
      </c>
    </row>
    <row r="48752" spans="26:26" x14ac:dyDescent="0.25">
      <c r="Z48752">
        <v>400000</v>
      </c>
    </row>
    <row r="48753" spans="26:26" x14ac:dyDescent="0.25">
      <c r="Z48753">
        <v>400000</v>
      </c>
    </row>
    <row r="48754" spans="26:26" x14ac:dyDescent="0.25">
      <c r="Z48754">
        <v>400000</v>
      </c>
    </row>
    <row r="48755" spans="26:26" x14ac:dyDescent="0.25">
      <c r="Z48755">
        <v>400000</v>
      </c>
    </row>
    <row r="48756" spans="26:26" x14ac:dyDescent="0.25">
      <c r="Z48756">
        <v>400000</v>
      </c>
    </row>
    <row r="48757" spans="26:26" x14ac:dyDescent="0.25">
      <c r="Z48757">
        <v>400000</v>
      </c>
    </row>
    <row r="48758" spans="26:26" x14ac:dyDescent="0.25">
      <c r="Z48758">
        <v>400000</v>
      </c>
    </row>
    <row r="48759" spans="26:26" x14ac:dyDescent="0.25">
      <c r="Z48759">
        <v>400000</v>
      </c>
    </row>
    <row r="48760" spans="26:26" x14ac:dyDescent="0.25">
      <c r="Z48760">
        <v>400000</v>
      </c>
    </row>
    <row r="48761" spans="26:26" x14ac:dyDescent="0.25">
      <c r="Z48761">
        <v>400000</v>
      </c>
    </row>
    <row r="48762" spans="26:26" x14ac:dyDescent="0.25">
      <c r="Z48762">
        <v>400000</v>
      </c>
    </row>
    <row r="48763" spans="26:26" x14ac:dyDescent="0.25">
      <c r="Z48763">
        <v>400000</v>
      </c>
    </row>
    <row r="48764" spans="26:26" x14ac:dyDescent="0.25">
      <c r="Z48764">
        <v>400000</v>
      </c>
    </row>
    <row r="48765" spans="26:26" x14ac:dyDescent="0.25">
      <c r="Z48765">
        <v>400000</v>
      </c>
    </row>
    <row r="48766" spans="26:26" x14ac:dyDescent="0.25">
      <c r="Z48766">
        <v>400000</v>
      </c>
    </row>
    <row r="48767" spans="26:26" x14ac:dyDescent="0.25">
      <c r="Z48767">
        <v>400000</v>
      </c>
    </row>
    <row r="48768" spans="26:26" x14ac:dyDescent="0.25">
      <c r="Z48768">
        <v>400000</v>
      </c>
    </row>
    <row r="48769" spans="26:26" x14ac:dyDescent="0.25">
      <c r="Z48769">
        <v>400000</v>
      </c>
    </row>
    <row r="48770" spans="26:26" x14ac:dyDescent="0.25">
      <c r="Z48770">
        <v>400000</v>
      </c>
    </row>
    <row r="48771" spans="26:26" x14ac:dyDescent="0.25">
      <c r="Z48771">
        <v>400000</v>
      </c>
    </row>
    <row r="48772" spans="26:26" x14ac:dyDescent="0.25">
      <c r="Z48772">
        <v>400000</v>
      </c>
    </row>
    <row r="48773" spans="26:26" x14ac:dyDescent="0.25">
      <c r="Z48773">
        <v>400000</v>
      </c>
    </row>
    <row r="48774" spans="26:26" x14ac:dyDescent="0.25">
      <c r="Z48774">
        <v>400000</v>
      </c>
    </row>
    <row r="48775" spans="26:26" x14ac:dyDescent="0.25">
      <c r="Z48775">
        <v>400000</v>
      </c>
    </row>
    <row r="48776" spans="26:26" x14ac:dyDescent="0.25">
      <c r="Z48776">
        <v>400000</v>
      </c>
    </row>
    <row r="48777" spans="26:26" x14ac:dyDescent="0.25">
      <c r="Z48777">
        <v>400000</v>
      </c>
    </row>
    <row r="48778" spans="26:26" x14ac:dyDescent="0.25">
      <c r="Z48778">
        <v>400000</v>
      </c>
    </row>
    <row r="48779" spans="26:26" x14ac:dyDescent="0.25">
      <c r="Z48779">
        <v>400000</v>
      </c>
    </row>
    <row r="48780" spans="26:26" x14ac:dyDescent="0.25">
      <c r="Z48780">
        <v>400000</v>
      </c>
    </row>
    <row r="48781" spans="26:26" x14ac:dyDescent="0.25">
      <c r="Z48781">
        <v>400000</v>
      </c>
    </row>
    <row r="48782" spans="26:26" x14ac:dyDescent="0.25">
      <c r="Z48782">
        <v>400000</v>
      </c>
    </row>
    <row r="48783" spans="26:26" x14ac:dyDescent="0.25">
      <c r="Z48783">
        <v>400000</v>
      </c>
    </row>
    <row r="48784" spans="26:26" x14ac:dyDescent="0.25">
      <c r="Z48784">
        <v>400000</v>
      </c>
    </row>
    <row r="48785" spans="26:26" x14ac:dyDescent="0.25">
      <c r="Z48785">
        <v>400000</v>
      </c>
    </row>
    <row r="48786" spans="26:26" x14ac:dyDescent="0.25">
      <c r="Z48786">
        <v>400000</v>
      </c>
    </row>
    <row r="48787" spans="26:26" x14ac:dyDescent="0.25">
      <c r="Z48787">
        <v>400000</v>
      </c>
    </row>
    <row r="48788" spans="26:26" x14ac:dyDescent="0.25">
      <c r="Z48788">
        <v>400000</v>
      </c>
    </row>
    <row r="48789" spans="26:26" x14ac:dyDescent="0.25">
      <c r="Z48789">
        <v>400000</v>
      </c>
    </row>
    <row r="48790" spans="26:26" x14ac:dyDescent="0.25">
      <c r="Z48790">
        <v>400000</v>
      </c>
    </row>
    <row r="48791" spans="26:26" x14ac:dyDescent="0.25">
      <c r="Z48791">
        <v>400000</v>
      </c>
    </row>
    <row r="48792" spans="26:26" x14ac:dyDescent="0.25">
      <c r="Z48792">
        <v>400000</v>
      </c>
    </row>
    <row r="48793" spans="26:26" x14ac:dyDescent="0.25">
      <c r="Z48793">
        <v>400000</v>
      </c>
    </row>
    <row r="48794" spans="26:26" x14ac:dyDescent="0.25">
      <c r="Z48794">
        <v>400000</v>
      </c>
    </row>
    <row r="48795" spans="26:26" x14ac:dyDescent="0.25">
      <c r="Z48795">
        <v>400000</v>
      </c>
    </row>
    <row r="48796" spans="26:26" x14ac:dyDescent="0.25">
      <c r="Z48796">
        <v>400000</v>
      </c>
    </row>
    <row r="48797" spans="26:26" x14ac:dyDescent="0.25">
      <c r="Z48797">
        <v>400000</v>
      </c>
    </row>
    <row r="48798" spans="26:26" x14ac:dyDescent="0.25">
      <c r="Z48798">
        <v>400000</v>
      </c>
    </row>
    <row r="48799" spans="26:26" x14ac:dyDescent="0.25">
      <c r="Z48799">
        <v>400000</v>
      </c>
    </row>
    <row r="48800" spans="26:26" x14ac:dyDescent="0.25">
      <c r="Z48800">
        <v>400000</v>
      </c>
    </row>
    <row r="48801" spans="26:26" x14ac:dyDescent="0.25">
      <c r="Z48801">
        <v>400000</v>
      </c>
    </row>
    <row r="48802" spans="26:26" x14ac:dyDescent="0.25">
      <c r="Z48802">
        <v>400000</v>
      </c>
    </row>
    <row r="48803" spans="26:26" x14ac:dyDescent="0.25">
      <c r="Z48803">
        <v>400000</v>
      </c>
    </row>
    <row r="48804" spans="26:26" x14ac:dyDescent="0.25">
      <c r="Z48804">
        <v>400000</v>
      </c>
    </row>
    <row r="48805" spans="26:26" x14ac:dyDescent="0.25">
      <c r="Z48805">
        <v>400000</v>
      </c>
    </row>
    <row r="48806" spans="26:26" x14ac:dyDescent="0.25">
      <c r="Z48806">
        <v>400000</v>
      </c>
    </row>
    <row r="48807" spans="26:26" x14ac:dyDescent="0.25">
      <c r="Z48807">
        <v>400000</v>
      </c>
    </row>
    <row r="48808" spans="26:26" x14ac:dyDescent="0.25">
      <c r="Z48808">
        <v>400000</v>
      </c>
    </row>
    <row r="48809" spans="26:26" x14ac:dyDescent="0.25">
      <c r="Z48809">
        <v>400000</v>
      </c>
    </row>
    <row r="48810" spans="26:26" x14ac:dyDescent="0.25">
      <c r="Z48810">
        <v>400000</v>
      </c>
    </row>
    <row r="48811" spans="26:26" x14ac:dyDescent="0.25">
      <c r="Z48811">
        <v>400000</v>
      </c>
    </row>
    <row r="48812" spans="26:26" x14ac:dyDescent="0.25">
      <c r="Z48812">
        <v>400000</v>
      </c>
    </row>
    <row r="48813" spans="26:26" x14ac:dyDescent="0.25">
      <c r="Z48813">
        <v>400000</v>
      </c>
    </row>
    <row r="48814" spans="26:26" x14ac:dyDescent="0.25">
      <c r="Z48814">
        <v>400000</v>
      </c>
    </row>
    <row r="48815" spans="26:26" x14ac:dyDescent="0.25">
      <c r="Z48815">
        <v>400000</v>
      </c>
    </row>
    <row r="48816" spans="26:26" x14ac:dyDescent="0.25">
      <c r="Z48816">
        <v>400000</v>
      </c>
    </row>
    <row r="48817" spans="26:26" x14ac:dyDescent="0.25">
      <c r="Z48817">
        <v>400000</v>
      </c>
    </row>
    <row r="48818" spans="26:26" x14ac:dyDescent="0.25">
      <c r="Z48818">
        <v>400000</v>
      </c>
    </row>
    <row r="48819" spans="26:26" x14ac:dyDescent="0.25">
      <c r="Z48819">
        <v>400000</v>
      </c>
    </row>
    <row r="48820" spans="26:26" x14ac:dyDescent="0.25">
      <c r="Z48820">
        <v>400000</v>
      </c>
    </row>
    <row r="48821" spans="26:26" x14ac:dyDescent="0.25">
      <c r="Z48821">
        <v>400000</v>
      </c>
    </row>
    <row r="48822" spans="26:26" x14ac:dyDescent="0.25">
      <c r="Z48822">
        <v>400000</v>
      </c>
    </row>
    <row r="48823" spans="26:26" x14ac:dyDescent="0.25">
      <c r="Z48823">
        <v>400000</v>
      </c>
    </row>
    <row r="48824" spans="26:26" x14ac:dyDescent="0.25">
      <c r="Z48824">
        <v>400000</v>
      </c>
    </row>
    <row r="48825" spans="26:26" x14ac:dyDescent="0.25">
      <c r="Z48825">
        <v>400000</v>
      </c>
    </row>
    <row r="48826" spans="26:26" x14ac:dyDescent="0.25">
      <c r="Z48826">
        <v>400000</v>
      </c>
    </row>
    <row r="48827" spans="26:26" x14ac:dyDescent="0.25">
      <c r="Z48827">
        <v>400000</v>
      </c>
    </row>
    <row r="48828" spans="26:26" x14ac:dyDescent="0.25">
      <c r="Z48828">
        <v>400000</v>
      </c>
    </row>
    <row r="48829" spans="26:26" x14ac:dyDescent="0.25">
      <c r="Z48829">
        <v>400000</v>
      </c>
    </row>
    <row r="48830" spans="26:26" x14ac:dyDescent="0.25">
      <c r="Z48830">
        <v>400000</v>
      </c>
    </row>
    <row r="48831" spans="26:26" x14ac:dyDescent="0.25">
      <c r="Z48831">
        <v>400000</v>
      </c>
    </row>
    <row r="48832" spans="26:26" x14ac:dyDescent="0.25">
      <c r="Z48832">
        <v>400000</v>
      </c>
    </row>
    <row r="48833" spans="26:26" x14ac:dyDescent="0.25">
      <c r="Z48833">
        <v>400000</v>
      </c>
    </row>
    <row r="48834" spans="26:26" x14ac:dyDescent="0.25">
      <c r="Z48834">
        <v>400000</v>
      </c>
    </row>
    <row r="48835" spans="26:26" x14ac:dyDescent="0.25">
      <c r="Z48835">
        <v>400000</v>
      </c>
    </row>
    <row r="48836" spans="26:26" x14ac:dyDescent="0.25">
      <c r="Z48836">
        <v>400000</v>
      </c>
    </row>
    <row r="48837" spans="26:26" x14ac:dyDescent="0.25">
      <c r="Z48837">
        <v>400000</v>
      </c>
    </row>
    <row r="48838" spans="26:26" x14ac:dyDescent="0.25">
      <c r="Z48838">
        <v>400000</v>
      </c>
    </row>
    <row r="48839" spans="26:26" x14ac:dyDescent="0.25">
      <c r="Z48839">
        <v>400000</v>
      </c>
    </row>
    <row r="48840" spans="26:26" x14ac:dyDescent="0.25">
      <c r="Z48840">
        <v>400000</v>
      </c>
    </row>
    <row r="48841" spans="26:26" x14ac:dyDescent="0.25">
      <c r="Z48841">
        <v>400000</v>
      </c>
    </row>
    <row r="48842" spans="26:26" x14ac:dyDescent="0.25">
      <c r="Z48842">
        <v>400000</v>
      </c>
    </row>
    <row r="48843" spans="26:26" x14ac:dyDescent="0.25">
      <c r="Z48843">
        <v>400000</v>
      </c>
    </row>
    <row r="48844" spans="26:26" x14ac:dyDescent="0.25">
      <c r="Z48844">
        <v>400000</v>
      </c>
    </row>
    <row r="48845" spans="26:26" x14ac:dyDescent="0.25">
      <c r="Z48845">
        <v>400000</v>
      </c>
    </row>
    <row r="48846" spans="26:26" x14ac:dyDescent="0.25">
      <c r="Z48846">
        <v>400000</v>
      </c>
    </row>
    <row r="48847" spans="26:26" x14ac:dyDescent="0.25">
      <c r="Z48847">
        <v>400000</v>
      </c>
    </row>
    <row r="48848" spans="26:26" x14ac:dyDescent="0.25">
      <c r="Z48848">
        <v>400000</v>
      </c>
    </row>
    <row r="48849" spans="26:26" x14ac:dyDescent="0.25">
      <c r="Z48849">
        <v>400000</v>
      </c>
    </row>
    <row r="48850" spans="26:26" x14ac:dyDescent="0.25">
      <c r="Z48850">
        <v>400000</v>
      </c>
    </row>
    <row r="48851" spans="26:26" x14ac:dyDescent="0.25">
      <c r="Z48851">
        <v>400000</v>
      </c>
    </row>
    <row r="48852" spans="26:26" x14ac:dyDescent="0.25">
      <c r="Z48852">
        <v>400000</v>
      </c>
    </row>
    <row r="48853" spans="26:26" x14ac:dyDescent="0.25">
      <c r="Z48853">
        <v>400000</v>
      </c>
    </row>
    <row r="48854" spans="26:26" x14ac:dyDescent="0.25">
      <c r="Z48854">
        <v>400000</v>
      </c>
    </row>
    <row r="48855" spans="26:26" x14ac:dyDescent="0.25">
      <c r="Z48855">
        <v>400000</v>
      </c>
    </row>
    <row r="48856" spans="26:26" x14ac:dyDescent="0.25">
      <c r="Z48856">
        <v>400000</v>
      </c>
    </row>
    <row r="48857" spans="26:26" x14ac:dyDescent="0.25">
      <c r="Z48857">
        <v>400000</v>
      </c>
    </row>
    <row r="48858" spans="26:26" x14ac:dyDescent="0.25">
      <c r="Z48858">
        <v>400000</v>
      </c>
    </row>
    <row r="48859" spans="26:26" x14ac:dyDescent="0.25">
      <c r="Z48859">
        <v>400000</v>
      </c>
    </row>
    <row r="48860" spans="26:26" x14ac:dyDescent="0.25">
      <c r="Z48860">
        <v>400000</v>
      </c>
    </row>
    <row r="48861" spans="26:26" x14ac:dyDescent="0.25">
      <c r="Z48861">
        <v>400000</v>
      </c>
    </row>
    <row r="48862" spans="26:26" x14ac:dyDescent="0.25">
      <c r="Z48862">
        <v>400000</v>
      </c>
    </row>
    <row r="48863" spans="26:26" x14ac:dyDescent="0.25">
      <c r="Z48863">
        <v>400000</v>
      </c>
    </row>
    <row r="48864" spans="26:26" x14ac:dyDescent="0.25">
      <c r="Z48864">
        <v>400000</v>
      </c>
    </row>
    <row r="48865" spans="26:26" x14ac:dyDescent="0.25">
      <c r="Z48865">
        <v>400000</v>
      </c>
    </row>
    <row r="48866" spans="26:26" x14ac:dyDescent="0.25">
      <c r="Z48866">
        <v>400000</v>
      </c>
    </row>
    <row r="48867" spans="26:26" x14ac:dyDescent="0.25">
      <c r="Z48867">
        <v>400000</v>
      </c>
    </row>
    <row r="48868" spans="26:26" x14ac:dyDescent="0.25">
      <c r="Z48868">
        <v>400000</v>
      </c>
    </row>
    <row r="48869" spans="26:26" x14ac:dyDescent="0.25">
      <c r="Z48869">
        <v>400000</v>
      </c>
    </row>
    <row r="48870" spans="26:26" x14ac:dyDescent="0.25">
      <c r="Z48870">
        <v>400000</v>
      </c>
    </row>
    <row r="48871" spans="26:26" x14ac:dyDescent="0.25">
      <c r="Z48871">
        <v>400000</v>
      </c>
    </row>
    <row r="48872" spans="26:26" x14ac:dyDescent="0.25">
      <c r="Z48872">
        <v>400000</v>
      </c>
    </row>
    <row r="48873" spans="26:26" x14ac:dyDescent="0.25">
      <c r="Z48873">
        <v>400000</v>
      </c>
    </row>
    <row r="48874" spans="26:26" x14ac:dyDescent="0.25">
      <c r="Z48874">
        <v>400000</v>
      </c>
    </row>
    <row r="48875" spans="26:26" x14ac:dyDescent="0.25">
      <c r="Z48875">
        <v>400000</v>
      </c>
    </row>
    <row r="48876" spans="26:26" x14ac:dyDescent="0.25">
      <c r="Z48876">
        <v>400000</v>
      </c>
    </row>
    <row r="48877" spans="26:26" x14ac:dyDescent="0.25">
      <c r="Z48877">
        <v>400000</v>
      </c>
    </row>
    <row r="48878" spans="26:26" x14ac:dyDescent="0.25">
      <c r="Z48878">
        <v>400000</v>
      </c>
    </row>
    <row r="48879" spans="26:26" x14ac:dyDescent="0.25">
      <c r="Z48879">
        <v>400000</v>
      </c>
    </row>
    <row r="48880" spans="26:26" x14ac:dyDescent="0.25">
      <c r="Z48880">
        <v>400000</v>
      </c>
    </row>
    <row r="48881" spans="26:26" x14ac:dyDescent="0.25">
      <c r="Z48881">
        <v>400000</v>
      </c>
    </row>
    <row r="48882" spans="26:26" x14ac:dyDescent="0.25">
      <c r="Z48882">
        <v>400000</v>
      </c>
    </row>
    <row r="48883" spans="26:26" x14ac:dyDescent="0.25">
      <c r="Z48883">
        <v>400000</v>
      </c>
    </row>
    <row r="48884" spans="26:26" x14ac:dyDescent="0.25">
      <c r="Z48884">
        <v>400000</v>
      </c>
    </row>
    <row r="48885" spans="26:26" x14ac:dyDescent="0.25">
      <c r="Z48885">
        <v>400000</v>
      </c>
    </row>
    <row r="48886" spans="26:26" x14ac:dyDescent="0.25">
      <c r="Z48886">
        <v>400000</v>
      </c>
    </row>
    <row r="48887" spans="26:26" x14ac:dyDescent="0.25">
      <c r="Z48887">
        <v>400000</v>
      </c>
    </row>
    <row r="48888" spans="26:26" x14ac:dyDescent="0.25">
      <c r="Z48888">
        <v>400000</v>
      </c>
    </row>
    <row r="48889" spans="26:26" x14ac:dyDescent="0.25">
      <c r="Z48889">
        <v>400000</v>
      </c>
    </row>
    <row r="48890" spans="26:26" x14ac:dyDescent="0.25">
      <c r="Z48890">
        <v>400000</v>
      </c>
    </row>
    <row r="48891" spans="26:26" x14ac:dyDescent="0.25">
      <c r="Z48891">
        <v>400000</v>
      </c>
    </row>
    <row r="48892" spans="26:26" x14ac:dyDescent="0.25">
      <c r="Z48892">
        <v>400000</v>
      </c>
    </row>
    <row r="48893" spans="26:26" x14ac:dyDescent="0.25">
      <c r="Z48893">
        <v>400000</v>
      </c>
    </row>
    <row r="48894" spans="26:26" x14ac:dyDescent="0.25">
      <c r="Z48894">
        <v>400000</v>
      </c>
    </row>
    <row r="48895" spans="26:26" x14ac:dyDescent="0.25">
      <c r="Z48895">
        <v>400000</v>
      </c>
    </row>
    <row r="48896" spans="26:26" x14ac:dyDescent="0.25">
      <c r="Z48896">
        <v>400000</v>
      </c>
    </row>
    <row r="48897" spans="26:26" x14ac:dyDescent="0.25">
      <c r="Z48897">
        <v>400000</v>
      </c>
    </row>
    <row r="48898" spans="26:26" x14ac:dyDescent="0.25">
      <c r="Z48898">
        <v>400000</v>
      </c>
    </row>
    <row r="48899" spans="26:26" x14ac:dyDescent="0.25">
      <c r="Z48899">
        <v>400000</v>
      </c>
    </row>
    <row r="48900" spans="26:26" x14ac:dyDescent="0.25">
      <c r="Z48900">
        <v>400000</v>
      </c>
    </row>
    <row r="48901" spans="26:26" x14ac:dyDescent="0.25">
      <c r="Z48901">
        <v>400000</v>
      </c>
    </row>
    <row r="48902" spans="26:26" x14ac:dyDescent="0.25">
      <c r="Z48902">
        <v>400000</v>
      </c>
    </row>
    <row r="48903" spans="26:26" x14ac:dyDescent="0.25">
      <c r="Z48903">
        <v>400000</v>
      </c>
    </row>
    <row r="48904" spans="26:26" x14ac:dyDescent="0.25">
      <c r="Z48904">
        <v>400000</v>
      </c>
    </row>
    <row r="48905" spans="26:26" x14ac:dyDescent="0.25">
      <c r="Z48905">
        <v>400000</v>
      </c>
    </row>
    <row r="48906" spans="26:26" x14ac:dyDescent="0.25">
      <c r="Z48906">
        <v>400000</v>
      </c>
    </row>
    <row r="48907" spans="26:26" x14ac:dyDescent="0.25">
      <c r="Z48907">
        <v>400000</v>
      </c>
    </row>
    <row r="48908" spans="26:26" x14ac:dyDescent="0.25">
      <c r="Z48908">
        <v>400000</v>
      </c>
    </row>
    <row r="48909" spans="26:26" x14ac:dyDescent="0.25">
      <c r="Z48909">
        <v>400000</v>
      </c>
    </row>
    <row r="48910" spans="26:26" x14ac:dyDescent="0.25">
      <c r="Z48910">
        <v>400000</v>
      </c>
    </row>
    <row r="48911" spans="26:26" x14ac:dyDescent="0.25">
      <c r="Z48911">
        <v>400000</v>
      </c>
    </row>
    <row r="48912" spans="26:26" x14ac:dyDescent="0.25">
      <c r="Z48912">
        <v>400000</v>
      </c>
    </row>
    <row r="48913" spans="26:26" x14ac:dyDescent="0.25">
      <c r="Z48913">
        <v>400000</v>
      </c>
    </row>
    <row r="48914" spans="26:26" x14ac:dyDescent="0.25">
      <c r="Z48914">
        <v>400000</v>
      </c>
    </row>
    <row r="48915" spans="26:26" x14ac:dyDescent="0.25">
      <c r="Z48915">
        <v>400000</v>
      </c>
    </row>
    <row r="48916" spans="26:26" x14ac:dyDescent="0.25">
      <c r="Z48916">
        <v>400000</v>
      </c>
    </row>
    <row r="48917" spans="26:26" x14ac:dyDescent="0.25">
      <c r="Z48917">
        <v>400000</v>
      </c>
    </row>
    <row r="48918" spans="26:26" x14ac:dyDescent="0.25">
      <c r="Z48918">
        <v>400000</v>
      </c>
    </row>
    <row r="48919" spans="26:26" x14ac:dyDescent="0.25">
      <c r="Z48919">
        <v>400000</v>
      </c>
    </row>
    <row r="48920" spans="26:26" x14ac:dyDescent="0.25">
      <c r="Z48920">
        <v>400000</v>
      </c>
    </row>
    <row r="48921" spans="26:26" x14ac:dyDescent="0.25">
      <c r="Z48921">
        <v>400000</v>
      </c>
    </row>
    <row r="48922" spans="26:26" x14ac:dyDescent="0.25">
      <c r="Z48922">
        <v>400000</v>
      </c>
    </row>
    <row r="48923" spans="26:26" x14ac:dyDescent="0.25">
      <c r="Z48923">
        <v>400000</v>
      </c>
    </row>
    <row r="48924" spans="26:26" x14ac:dyDescent="0.25">
      <c r="Z48924">
        <v>400000</v>
      </c>
    </row>
    <row r="48925" spans="26:26" x14ac:dyDescent="0.25">
      <c r="Z48925">
        <v>400000</v>
      </c>
    </row>
    <row r="48926" spans="26:26" x14ac:dyDescent="0.25">
      <c r="Z48926">
        <v>400000</v>
      </c>
    </row>
    <row r="48927" spans="26:26" x14ac:dyDescent="0.25">
      <c r="Z48927">
        <v>400000</v>
      </c>
    </row>
    <row r="48928" spans="26:26" x14ac:dyDescent="0.25">
      <c r="Z48928">
        <v>400000</v>
      </c>
    </row>
    <row r="48929" spans="26:26" x14ac:dyDescent="0.25">
      <c r="Z48929">
        <v>400000</v>
      </c>
    </row>
    <row r="48930" spans="26:26" x14ac:dyDescent="0.25">
      <c r="Z48930">
        <v>400000</v>
      </c>
    </row>
    <row r="48931" spans="26:26" x14ac:dyDescent="0.25">
      <c r="Z48931">
        <v>400000</v>
      </c>
    </row>
    <row r="48932" spans="26:26" x14ac:dyDescent="0.25">
      <c r="Z48932">
        <v>400000</v>
      </c>
    </row>
    <row r="48933" spans="26:26" x14ac:dyDescent="0.25">
      <c r="Z48933">
        <v>400000</v>
      </c>
    </row>
    <row r="48934" spans="26:26" x14ac:dyDescent="0.25">
      <c r="Z48934">
        <v>400000</v>
      </c>
    </row>
    <row r="48935" spans="26:26" x14ac:dyDescent="0.25">
      <c r="Z48935">
        <v>400000</v>
      </c>
    </row>
    <row r="48936" spans="26:26" x14ac:dyDescent="0.25">
      <c r="Z48936">
        <v>400000</v>
      </c>
    </row>
    <row r="48937" spans="26:26" x14ac:dyDescent="0.25">
      <c r="Z48937">
        <v>400000</v>
      </c>
    </row>
    <row r="48938" spans="26:26" x14ac:dyDescent="0.25">
      <c r="Z48938">
        <v>400000</v>
      </c>
    </row>
    <row r="48939" spans="26:26" x14ac:dyDescent="0.25">
      <c r="Z48939">
        <v>400000</v>
      </c>
    </row>
    <row r="48940" spans="26:26" x14ac:dyDescent="0.25">
      <c r="Z48940">
        <v>400000</v>
      </c>
    </row>
    <row r="48941" spans="26:26" x14ac:dyDescent="0.25">
      <c r="Z48941">
        <v>400000</v>
      </c>
    </row>
    <row r="48942" spans="26:26" x14ac:dyDescent="0.25">
      <c r="Z48942">
        <v>400000</v>
      </c>
    </row>
    <row r="48943" spans="26:26" x14ac:dyDescent="0.25">
      <c r="Z48943">
        <v>400000</v>
      </c>
    </row>
    <row r="48944" spans="26:26" x14ac:dyDescent="0.25">
      <c r="Z48944">
        <v>400000</v>
      </c>
    </row>
    <row r="48945" spans="26:26" x14ac:dyDescent="0.25">
      <c r="Z48945">
        <v>400000</v>
      </c>
    </row>
    <row r="48946" spans="26:26" x14ac:dyDescent="0.25">
      <c r="Z48946">
        <v>400000</v>
      </c>
    </row>
    <row r="48947" spans="26:26" x14ac:dyDescent="0.25">
      <c r="Z48947">
        <v>400000</v>
      </c>
    </row>
    <row r="48948" spans="26:26" x14ac:dyDescent="0.25">
      <c r="Z48948">
        <v>400000</v>
      </c>
    </row>
    <row r="48949" spans="26:26" x14ac:dyDescent="0.25">
      <c r="Z48949">
        <v>400000</v>
      </c>
    </row>
    <row r="48950" spans="26:26" x14ac:dyDescent="0.25">
      <c r="Z48950">
        <v>400000</v>
      </c>
    </row>
    <row r="48951" spans="26:26" x14ac:dyDescent="0.25">
      <c r="Z48951">
        <v>400000</v>
      </c>
    </row>
    <row r="48952" spans="26:26" x14ac:dyDescent="0.25">
      <c r="Z48952">
        <v>400000</v>
      </c>
    </row>
    <row r="48953" spans="26:26" x14ac:dyDescent="0.25">
      <c r="Z48953">
        <v>400000</v>
      </c>
    </row>
    <row r="48954" spans="26:26" x14ac:dyDescent="0.25">
      <c r="Z48954">
        <v>400000</v>
      </c>
    </row>
    <row r="48955" spans="26:26" x14ac:dyDescent="0.25">
      <c r="Z48955">
        <v>400000</v>
      </c>
    </row>
    <row r="48956" spans="26:26" x14ac:dyDescent="0.25">
      <c r="Z48956">
        <v>400000</v>
      </c>
    </row>
    <row r="48957" spans="26:26" x14ac:dyDescent="0.25">
      <c r="Z48957">
        <v>400000</v>
      </c>
    </row>
    <row r="48958" spans="26:26" x14ac:dyDescent="0.25">
      <c r="Z48958">
        <v>400000</v>
      </c>
    </row>
    <row r="48959" spans="26:26" x14ac:dyDescent="0.25">
      <c r="Z48959">
        <v>400000</v>
      </c>
    </row>
    <row r="48960" spans="26:26" x14ac:dyDescent="0.25">
      <c r="Z48960">
        <v>400000</v>
      </c>
    </row>
    <row r="48961" spans="26:26" x14ac:dyDescent="0.25">
      <c r="Z48961">
        <v>400000</v>
      </c>
    </row>
    <row r="48962" spans="26:26" x14ac:dyDescent="0.25">
      <c r="Z48962">
        <v>400000</v>
      </c>
    </row>
    <row r="48963" spans="26:26" x14ac:dyDescent="0.25">
      <c r="Z48963">
        <v>400000</v>
      </c>
    </row>
    <row r="48964" spans="26:26" x14ac:dyDescent="0.25">
      <c r="Z48964">
        <v>400000</v>
      </c>
    </row>
    <row r="48965" spans="26:26" x14ac:dyDescent="0.25">
      <c r="Z48965">
        <v>400000</v>
      </c>
    </row>
    <row r="48966" spans="26:26" x14ac:dyDescent="0.25">
      <c r="Z48966">
        <v>400000</v>
      </c>
    </row>
    <row r="48967" spans="26:26" x14ac:dyDescent="0.25">
      <c r="Z48967">
        <v>400000</v>
      </c>
    </row>
    <row r="48968" spans="26:26" x14ac:dyDescent="0.25">
      <c r="Z48968">
        <v>400000</v>
      </c>
    </row>
    <row r="48969" spans="26:26" x14ac:dyDescent="0.25">
      <c r="Z48969">
        <v>400000</v>
      </c>
    </row>
    <row r="48970" spans="26:26" x14ac:dyDescent="0.25">
      <c r="Z48970">
        <v>400000</v>
      </c>
    </row>
    <row r="48971" spans="26:26" x14ac:dyDescent="0.25">
      <c r="Z48971">
        <v>400000</v>
      </c>
    </row>
    <row r="48972" spans="26:26" x14ac:dyDescent="0.25">
      <c r="Z48972">
        <v>400000</v>
      </c>
    </row>
    <row r="48973" spans="26:26" x14ac:dyDescent="0.25">
      <c r="Z48973">
        <v>400000</v>
      </c>
    </row>
    <row r="48974" spans="26:26" x14ac:dyDescent="0.25">
      <c r="Z48974">
        <v>400000</v>
      </c>
    </row>
    <row r="48975" spans="26:26" x14ac:dyDescent="0.25">
      <c r="Z48975">
        <v>400000</v>
      </c>
    </row>
    <row r="48976" spans="26:26" x14ac:dyDescent="0.25">
      <c r="Z48976">
        <v>400000</v>
      </c>
    </row>
    <row r="48977" spans="26:26" x14ac:dyDescent="0.25">
      <c r="Z48977">
        <v>400000</v>
      </c>
    </row>
    <row r="48978" spans="26:26" x14ac:dyDescent="0.25">
      <c r="Z48978">
        <v>400000</v>
      </c>
    </row>
    <row r="48979" spans="26:26" x14ac:dyDescent="0.25">
      <c r="Z48979">
        <v>400000</v>
      </c>
    </row>
    <row r="48980" spans="26:26" x14ac:dyDescent="0.25">
      <c r="Z48980">
        <v>400000</v>
      </c>
    </row>
    <row r="48981" spans="26:26" x14ac:dyDescent="0.25">
      <c r="Z48981">
        <v>400000</v>
      </c>
    </row>
    <row r="48982" spans="26:26" x14ac:dyDescent="0.25">
      <c r="Z48982">
        <v>400000</v>
      </c>
    </row>
    <row r="48983" spans="26:26" x14ac:dyDescent="0.25">
      <c r="Z48983">
        <v>400000</v>
      </c>
    </row>
    <row r="48984" spans="26:26" x14ac:dyDescent="0.25">
      <c r="Z48984">
        <v>400000</v>
      </c>
    </row>
    <row r="48985" spans="26:26" x14ac:dyDescent="0.25">
      <c r="Z48985">
        <v>400000</v>
      </c>
    </row>
    <row r="48986" spans="26:26" x14ac:dyDescent="0.25">
      <c r="Z48986">
        <v>400000</v>
      </c>
    </row>
    <row r="48987" spans="26:26" x14ac:dyDescent="0.25">
      <c r="Z48987">
        <v>400000</v>
      </c>
    </row>
    <row r="48988" spans="26:26" x14ac:dyDescent="0.25">
      <c r="Z48988">
        <v>400000</v>
      </c>
    </row>
    <row r="48989" spans="26:26" x14ac:dyDescent="0.25">
      <c r="Z48989">
        <v>400000</v>
      </c>
    </row>
    <row r="48990" spans="26:26" x14ac:dyDescent="0.25">
      <c r="Z48990">
        <v>400000</v>
      </c>
    </row>
    <row r="48991" spans="26:26" x14ac:dyDescent="0.25">
      <c r="Z48991">
        <v>400000</v>
      </c>
    </row>
    <row r="48992" spans="26:26" x14ac:dyDescent="0.25">
      <c r="Z48992">
        <v>400000</v>
      </c>
    </row>
    <row r="48993" spans="26:26" x14ac:dyDescent="0.25">
      <c r="Z48993">
        <v>400000</v>
      </c>
    </row>
    <row r="48994" spans="26:26" x14ac:dyDescent="0.25">
      <c r="Z48994">
        <v>400000</v>
      </c>
    </row>
    <row r="48995" spans="26:26" x14ac:dyDescent="0.25">
      <c r="Z48995">
        <v>400000</v>
      </c>
    </row>
    <row r="48996" spans="26:26" x14ac:dyDescent="0.25">
      <c r="Z48996">
        <v>400000</v>
      </c>
    </row>
    <row r="48997" spans="26:26" x14ac:dyDescent="0.25">
      <c r="Z48997">
        <v>400000</v>
      </c>
    </row>
    <row r="48998" spans="26:26" x14ac:dyDescent="0.25">
      <c r="Z48998">
        <v>400000</v>
      </c>
    </row>
    <row r="48999" spans="26:26" x14ac:dyDescent="0.25">
      <c r="Z48999">
        <v>400000</v>
      </c>
    </row>
    <row r="49000" spans="26:26" x14ac:dyDescent="0.25">
      <c r="Z49000">
        <v>400000</v>
      </c>
    </row>
    <row r="49001" spans="26:26" x14ac:dyDescent="0.25">
      <c r="Z49001">
        <v>400000</v>
      </c>
    </row>
    <row r="49002" spans="26:26" x14ac:dyDescent="0.25">
      <c r="Z49002">
        <v>400000</v>
      </c>
    </row>
    <row r="49003" spans="26:26" x14ac:dyDescent="0.25">
      <c r="Z49003">
        <v>400000</v>
      </c>
    </row>
    <row r="49004" spans="26:26" x14ac:dyDescent="0.25">
      <c r="Z49004">
        <v>400000</v>
      </c>
    </row>
    <row r="49005" spans="26:26" x14ac:dyDescent="0.25">
      <c r="Z49005">
        <v>400000</v>
      </c>
    </row>
    <row r="49006" spans="26:26" x14ac:dyDescent="0.25">
      <c r="Z49006">
        <v>400000</v>
      </c>
    </row>
    <row r="49007" spans="26:26" x14ac:dyDescent="0.25">
      <c r="Z49007">
        <v>400000</v>
      </c>
    </row>
    <row r="49008" spans="26:26" x14ac:dyDescent="0.25">
      <c r="Z49008">
        <v>400000</v>
      </c>
    </row>
    <row r="49009" spans="26:26" x14ac:dyDescent="0.25">
      <c r="Z49009">
        <v>400000</v>
      </c>
    </row>
    <row r="49010" spans="26:26" x14ac:dyDescent="0.25">
      <c r="Z49010">
        <v>400000</v>
      </c>
    </row>
    <row r="49011" spans="26:26" x14ac:dyDescent="0.25">
      <c r="Z49011">
        <v>400000</v>
      </c>
    </row>
    <row r="49012" spans="26:26" x14ac:dyDescent="0.25">
      <c r="Z49012">
        <v>400000</v>
      </c>
    </row>
    <row r="49013" spans="26:26" x14ac:dyDescent="0.25">
      <c r="Z49013">
        <v>400000</v>
      </c>
    </row>
    <row r="49014" spans="26:26" x14ac:dyDescent="0.25">
      <c r="Z49014">
        <v>400000</v>
      </c>
    </row>
    <row r="49015" spans="26:26" x14ac:dyDescent="0.25">
      <c r="Z49015">
        <v>400000</v>
      </c>
    </row>
    <row r="49016" spans="26:26" x14ac:dyDescent="0.25">
      <c r="Z49016">
        <v>400000</v>
      </c>
    </row>
    <row r="49017" spans="26:26" x14ac:dyDescent="0.25">
      <c r="Z49017">
        <v>400000</v>
      </c>
    </row>
    <row r="49018" spans="26:26" x14ac:dyDescent="0.25">
      <c r="Z49018">
        <v>400000</v>
      </c>
    </row>
    <row r="49019" spans="26:26" x14ac:dyDescent="0.25">
      <c r="Z49019">
        <v>400000</v>
      </c>
    </row>
    <row r="49020" spans="26:26" x14ac:dyDescent="0.25">
      <c r="Z49020">
        <v>400000</v>
      </c>
    </row>
    <row r="49021" spans="26:26" x14ac:dyDescent="0.25">
      <c r="Z49021">
        <v>400000</v>
      </c>
    </row>
    <row r="49022" spans="26:26" x14ac:dyDescent="0.25">
      <c r="Z49022">
        <v>400000</v>
      </c>
    </row>
    <row r="49023" spans="26:26" x14ac:dyDescent="0.25">
      <c r="Z49023">
        <v>400000</v>
      </c>
    </row>
    <row r="49024" spans="26:26" x14ac:dyDescent="0.25">
      <c r="Z49024">
        <v>400000</v>
      </c>
    </row>
    <row r="49025" spans="26:26" x14ac:dyDescent="0.25">
      <c r="Z49025">
        <v>400000</v>
      </c>
    </row>
    <row r="49026" spans="26:26" x14ac:dyDescent="0.25">
      <c r="Z49026">
        <v>400000</v>
      </c>
    </row>
    <row r="49027" spans="26:26" x14ac:dyDescent="0.25">
      <c r="Z49027">
        <v>400000</v>
      </c>
    </row>
    <row r="49028" spans="26:26" x14ac:dyDescent="0.25">
      <c r="Z49028">
        <v>400000</v>
      </c>
    </row>
    <row r="49029" spans="26:26" x14ac:dyDescent="0.25">
      <c r="Z49029">
        <v>400000</v>
      </c>
    </row>
    <row r="49030" spans="26:26" x14ac:dyDescent="0.25">
      <c r="Z49030">
        <v>400000</v>
      </c>
    </row>
    <row r="49031" spans="26:26" x14ac:dyDescent="0.25">
      <c r="Z49031">
        <v>400000</v>
      </c>
    </row>
    <row r="49032" spans="26:26" x14ac:dyDescent="0.25">
      <c r="Z49032">
        <v>400000</v>
      </c>
    </row>
    <row r="49033" spans="26:26" x14ac:dyDescent="0.25">
      <c r="Z49033">
        <v>400000</v>
      </c>
    </row>
    <row r="49034" spans="26:26" x14ac:dyDescent="0.25">
      <c r="Z49034">
        <v>400000</v>
      </c>
    </row>
    <row r="49035" spans="26:26" x14ac:dyDescent="0.25">
      <c r="Z49035">
        <v>400000</v>
      </c>
    </row>
    <row r="49036" spans="26:26" x14ac:dyDescent="0.25">
      <c r="Z49036">
        <v>400000</v>
      </c>
    </row>
    <row r="49037" spans="26:26" x14ac:dyDescent="0.25">
      <c r="Z49037">
        <v>400000</v>
      </c>
    </row>
    <row r="49038" spans="26:26" x14ac:dyDescent="0.25">
      <c r="Z49038">
        <v>400000</v>
      </c>
    </row>
    <row r="49039" spans="26:26" x14ac:dyDescent="0.25">
      <c r="Z49039">
        <v>400000</v>
      </c>
    </row>
    <row r="49040" spans="26:26" x14ac:dyDescent="0.25">
      <c r="Z49040">
        <v>400000</v>
      </c>
    </row>
    <row r="49041" spans="26:26" x14ac:dyDescent="0.25">
      <c r="Z49041">
        <v>400000</v>
      </c>
    </row>
    <row r="49042" spans="26:26" x14ac:dyDescent="0.25">
      <c r="Z49042">
        <v>400000</v>
      </c>
    </row>
    <row r="49043" spans="26:26" x14ac:dyDescent="0.25">
      <c r="Z49043">
        <v>400000</v>
      </c>
    </row>
    <row r="49044" spans="26:26" x14ac:dyDescent="0.25">
      <c r="Z49044">
        <v>400000</v>
      </c>
    </row>
    <row r="49045" spans="26:26" x14ac:dyDescent="0.25">
      <c r="Z49045">
        <v>400000</v>
      </c>
    </row>
    <row r="49046" spans="26:26" x14ac:dyDescent="0.25">
      <c r="Z49046">
        <v>400000</v>
      </c>
    </row>
    <row r="49047" spans="26:26" x14ac:dyDescent="0.25">
      <c r="Z49047">
        <v>400000</v>
      </c>
    </row>
    <row r="49048" spans="26:26" x14ac:dyDescent="0.25">
      <c r="Z49048">
        <v>400000</v>
      </c>
    </row>
    <row r="49049" spans="26:26" x14ac:dyDescent="0.25">
      <c r="Z49049">
        <v>400000</v>
      </c>
    </row>
    <row r="49050" spans="26:26" x14ac:dyDescent="0.25">
      <c r="Z49050">
        <v>400000</v>
      </c>
    </row>
    <row r="49051" spans="26:26" x14ac:dyDescent="0.25">
      <c r="Z49051">
        <v>400000</v>
      </c>
    </row>
    <row r="49052" spans="26:26" x14ac:dyDescent="0.25">
      <c r="Z49052">
        <v>400000</v>
      </c>
    </row>
    <row r="49053" spans="26:26" x14ac:dyDescent="0.25">
      <c r="Z49053">
        <v>400000</v>
      </c>
    </row>
    <row r="49054" spans="26:26" x14ac:dyDescent="0.25">
      <c r="Z49054">
        <v>400000</v>
      </c>
    </row>
    <row r="49055" spans="26:26" x14ac:dyDescent="0.25">
      <c r="Z49055">
        <v>400000</v>
      </c>
    </row>
    <row r="49056" spans="26:26" x14ac:dyDescent="0.25">
      <c r="Z49056">
        <v>400000</v>
      </c>
    </row>
    <row r="49057" spans="26:26" x14ac:dyDescent="0.25">
      <c r="Z49057">
        <v>400000</v>
      </c>
    </row>
    <row r="49058" spans="26:26" x14ac:dyDescent="0.25">
      <c r="Z49058">
        <v>400000</v>
      </c>
    </row>
    <row r="49059" spans="26:26" x14ac:dyDescent="0.25">
      <c r="Z49059">
        <v>400000</v>
      </c>
    </row>
    <row r="49060" spans="26:26" x14ac:dyDescent="0.25">
      <c r="Z49060">
        <v>400000</v>
      </c>
    </row>
    <row r="49061" spans="26:26" x14ac:dyDescent="0.25">
      <c r="Z49061">
        <v>400000</v>
      </c>
    </row>
    <row r="49062" spans="26:26" x14ac:dyDescent="0.25">
      <c r="Z49062">
        <v>400000</v>
      </c>
    </row>
    <row r="49063" spans="26:26" x14ac:dyDescent="0.25">
      <c r="Z49063">
        <v>400000</v>
      </c>
    </row>
    <row r="49064" spans="26:26" x14ac:dyDescent="0.25">
      <c r="Z49064">
        <v>400000</v>
      </c>
    </row>
    <row r="49065" spans="26:26" x14ac:dyDescent="0.25">
      <c r="Z49065">
        <v>400000</v>
      </c>
    </row>
    <row r="49066" spans="26:26" x14ac:dyDescent="0.25">
      <c r="Z49066">
        <v>400000</v>
      </c>
    </row>
    <row r="49067" spans="26:26" x14ac:dyDescent="0.25">
      <c r="Z49067">
        <v>400000</v>
      </c>
    </row>
    <row r="49068" spans="26:26" x14ac:dyDescent="0.25">
      <c r="Z49068">
        <v>400000</v>
      </c>
    </row>
    <row r="49069" spans="26:26" x14ac:dyDescent="0.25">
      <c r="Z49069">
        <v>400000</v>
      </c>
    </row>
    <row r="49070" spans="26:26" x14ac:dyDescent="0.25">
      <c r="Z49070">
        <v>400000</v>
      </c>
    </row>
    <row r="49071" spans="26:26" x14ac:dyDescent="0.25">
      <c r="Z49071">
        <v>400000</v>
      </c>
    </row>
    <row r="49072" spans="26:26" x14ac:dyDescent="0.25">
      <c r="Z49072">
        <v>400000</v>
      </c>
    </row>
    <row r="49073" spans="26:26" x14ac:dyDescent="0.25">
      <c r="Z49073">
        <v>400000</v>
      </c>
    </row>
    <row r="49074" spans="26:26" x14ac:dyDescent="0.25">
      <c r="Z49074">
        <v>400000</v>
      </c>
    </row>
    <row r="49075" spans="26:26" x14ac:dyDescent="0.25">
      <c r="Z49075">
        <v>400000</v>
      </c>
    </row>
    <row r="49076" spans="26:26" x14ac:dyDescent="0.25">
      <c r="Z49076">
        <v>400000</v>
      </c>
    </row>
    <row r="49077" spans="26:26" x14ac:dyDescent="0.25">
      <c r="Z49077">
        <v>400000</v>
      </c>
    </row>
    <row r="49078" spans="26:26" x14ac:dyDescent="0.25">
      <c r="Z49078">
        <v>400000</v>
      </c>
    </row>
    <row r="49079" spans="26:26" x14ac:dyDescent="0.25">
      <c r="Z49079">
        <v>400000</v>
      </c>
    </row>
    <row r="49080" spans="26:26" x14ac:dyDescent="0.25">
      <c r="Z49080">
        <v>400000</v>
      </c>
    </row>
    <row r="49081" spans="26:26" x14ac:dyDescent="0.25">
      <c r="Z49081">
        <v>400000</v>
      </c>
    </row>
    <row r="49082" spans="26:26" x14ac:dyDescent="0.25">
      <c r="Z49082">
        <v>400000</v>
      </c>
    </row>
    <row r="49083" spans="26:26" x14ac:dyDescent="0.25">
      <c r="Z49083">
        <v>400000</v>
      </c>
    </row>
    <row r="49084" spans="26:26" x14ac:dyDescent="0.25">
      <c r="Z49084">
        <v>400000</v>
      </c>
    </row>
    <row r="49085" spans="26:26" x14ac:dyDescent="0.25">
      <c r="Z49085">
        <v>400000</v>
      </c>
    </row>
    <row r="49086" spans="26:26" x14ac:dyDescent="0.25">
      <c r="Z49086">
        <v>400000</v>
      </c>
    </row>
    <row r="49087" spans="26:26" x14ac:dyDescent="0.25">
      <c r="Z49087">
        <v>400000</v>
      </c>
    </row>
    <row r="49088" spans="26:26" x14ac:dyDescent="0.25">
      <c r="Z49088">
        <v>400000</v>
      </c>
    </row>
    <row r="49089" spans="26:26" x14ac:dyDescent="0.25">
      <c r="Z49089">
        <v>400000</v>
      </c>
    </row>
    <row r="49090" spans="26:26" x14ac:dyDescent="0.25">
      <c r="Z49090">
        <v>400000</v>
      </c>
    </row>
    <row r="49091" spans="26:26" x14ac:dyDescent="0.25">
      <c r="Z49091">
        <v>400000</v>
      </c>
    </row>
    <row r="49092" spans="26:26" x14ac:dyDescent="0.25">
      <c r="Z49092">
        <v>400000</v>
      </c>
    </row>
    <row r="49093" spans="26:26" x14ac:dyDescent="0.25">
      <c r="Z49093">
        <v>400000</v>
      </c>
    </row>
    <row r="49094" spans="26:26" x14ac:dyDescent="0.25">
      <c r="Z49094">
        <v>400000</v>
      </c>
    </row>
    <row r="49095" spans="26:26" x14ac:dyDescent="0.25">
      <c r="Z49095">
        <v>400000</v>
      </c>
    </row>
    <row r="49096" spans="26:26" x14ac:dyDescent="0.25">
      <c r="Z49096">
        <v>400000</v>
      </c>
    </row>
    <row r="49097" spans="26:26" x14ac:dyDescent="0.25">
      <c r="Z49097">
        <v>400000</v>
      </c>
    </row>
    <row r="49098" spans="26:26" x14ac:dyDescent="0.25">
      <c r="Z49098">
        <v>400000</v>
      </c>
    </row>
    <row r="49099" spans="26:26" x14ac:dyDescent="0.25">
      <c r="Z49099">
        <v>400000</v>
      </c>
    </row>
    <row r="49100" spans="26:26" x14ac:dyDescent="0.25">
      <c r="Z49100">
        <v>400000</v>
      </c>
    </row>
    <row r="49101" spans="26:26" x14ac:dyDescent="0.25">
      <c r="Z49101">
        <v>400000</v>
      </c>
    </row>
    <row r="49102" spans="26:26" x14ac:dyDescent="0.25">
      <c r="Z49102">
        <v>400000</v>
      </c>
    </row>
    <row r="49103" spans="26:26" x14ac:dyDescent="0.25">
      <c r="Z49103">
        <v>400000</v>
      </c>
    </row>
    <row r="49104" spans="26:26" x14ac:dyDescent="0.25">
      <c r="Z49104">
        <v>400000</v>
      </c>
    </row>
    <row r="49105" spans="26:26" x14ac:dyDescent="0.25">
      <c r="Z49105">
        <v>400000</v>
      </c>
    </row>
    <row r="49106" spans="26:26" x14ac:dyDescent="0.25">
      <c r="Z49106">
        <v>400000</v>
      </c>
    </row>
    <row r="49107" spans="26:26" x14ac:dyDescent="0.25">
      <c r="Z49107">
        <v>400000</v>
      </c>
    </row>
    <row r="49108" spans="26:26" x14ac:dyDescent="0.25">
      <c r="Z49108">
        <v>400000</v>
      </c>
    </row>
    <row r="49109" spans="26:26" x14ac:dyDescent="0.25">
      <c r="Z49109">
        <v>400000</v>
      </c>
    </row>
    <row r="49110" spans="26:26" x14ac:dyDescent="0.25">
      <c r="Z49110">
        <v>400000</v>
      </c>
    </row>
    <row r="49111" spans="26:26" x14ac:dyDescent="0.25">
      <c r="Z49111">
        <v>400000</v>
      </c>
    </row>
    <row r="49112" spans="26:26" x14ac:dyDescent="0.25">
      <c r="Z49112">
        <v>400000</v>
      </c>
    </row>
    <row r="49113" spans="26:26" x14ac:dyDescent="0.25">
      <c r="Z49113">
        <v>400000</v>
      </c>
    </row>
    <row r="49114" spans="26:26" x14ac:dyDescent="0.25">
      <c r="Z49114">
        <v>400000</v>
      </c>
    </row>
    <row r="49115" spans="26:26" x14ac:dyDescent="0.25">
      <c r="Z49115">
        <v>400000</v>
      </c>
    </row>
    <row r="49116" spans="26:26" x14ac:dyDescent="0.25">
      <c r="Z49116">
        <v>400000</v>
      </c>
    </row>
    <row r="49117" spans="26:26" x14ac:dyDescent="0.25">
      <c r="Z49117">
        <v>400000</v>
      </c>
    </row>
    <row r="49118" spans="26:26" x14ac:dyDescent="0.25">
      <c r="Z49118">
        <v>400000</v>
      </c>
    </row>
    <row r="49119" spans="26:26" x14ac:dyDescent="0.25">
      <c r="Z49119">
        <v>400000</v>
      </c>
    </row>
    <row r="49120" spans="26:26" x14ac:dyDescent="0.25">
      <c r="Z49120">
        <v>400000</v>
      </c>
    </row>
    <row r="49121" spans="26:26" x14ac:dyDescent="0.25">
      <c r="Z49121">
        <v>400000</v>
      </c>
    </row>
    <row r="49122" spans="26:26" x14ac:dyDescent="0.25">
      <c r="Z49122">
        <v>400000</v>
      </c>
    </row>
    <row r="49123" spans="26:26" x14ac:dyDescent="0.25">
      <c r="Z49123">
        <v>400000</v>
      </c>
    </row>
    <row r="49124" spans="26:26" x14ac:dyDescent="0.25">
      <c r="Z49124">
        <v>400000</v>
      </c>
    </row>
    <row r="49125" spans="26:26" x14ac:dyDescent="0.25">
      <c r="Z49125">
        <v>400000</v>
      </c>
    </row>
    <row r="49126" spans="26:26" x14ac:dyDescent="0.25">
      <c r="Z49126">
        <v>400000</v>
      </c>
    </row>
    <row r="49127" spans="26:26" x14ac:dyDescent="0.25">
      <c r="Z49127">
        <v>400000</v>
      </c>
    </row>
    <row r="49128" spans="26:26" x14ac:dyDescent="0.25">
      <c r="Z49128">
        <v>400000</v>
      </c>
    </row>
    <row r="49129" spans="26:26" x14ac:dyDescent="0.25">
      <c r="Z49129">
        <v>400000</v>
      </c>
    </row>
    <row r="49130" spans="26:26" x14ac:dyDescent="0.25">
      <c r="Z49130">
        <v>400000</v>
      </c>
    </row>
    <row r="49131" spans="26:26" x14ac:dyDescent="0.25">
      <c r="Z49131">
        <v>400000</v>
      </c>
    </row>
    <row r="49132" spans="26:26" x14ac:dyDescent="0.25">
      <c r="Z49132">
        <v>400000</v>
      </c>
    </row>
    <row r="49133" spans="26:26" x14ac:dyDescent="0.25">
      <c r="Z49133">
        <v>400000</v>
      </c>
    </row>
    <row r="49134" spans="26:26" x14ac:dyDescent="0.25">
      <c r="Z49134">
        <v>400000</v>
      </c>
    </row>
    <row r="49135" spans="26:26" x14ac:dyDescent="0.25">
      <c r="Z49135">
        <v>400000</v>
      </c>
    </row>
    <row r="49136" spans="26:26" x14ac:dyDescent="0.25">
      <c r="Z49136">
        <v>400000</v>
      </c>
    </row>
    <row r="49137" spans="26:26" x14ac:dyDescent="0.25">
      <c r="Z49137">
        <v>400000</v>
      </c>
    </row>
    <row r="49138" spans="26:26" x14ac:dyDescent="0.25">
      <c r="Z49138">
        <v>400000</v>
      </c>
    </row>
    <row r="49139" spans="26:26" x14ac:dyDescent="0.25">
      <c r="Z49139">
        <v>400000</v>
      </c>
    </row>
    <row r="49140" spans="26:26" x14ac:dyDescent="0.25">
      <c r="Z49140">
        <v>400000</v>
      </c>
    </row>
    <row r="49141" spans="26:26" x14ac:dyDescent="0.25">
      <c r="Z49141">
        <v>400000</v>
      </c>
    </row>
    <row r="49142" spans="26:26" x14ac:dyDescent="0.25">
      <c r="Z49142">
        <v>400000</v>
      </c>
    </row>
    <row r="49143" spans="26:26" x14ac:dyDescent="0.25">
      <c r="Z49143">
        <v>400000</v>
      </c>
    </row>
    <row r="49144" spans="26:26" x14ac:dyDescent="0.25">
      <c r="Z49144">
        <v>400000</v>
      </c>
    </row>
    <row r="49145" spans="26:26" x14ac:dyDescent="0.25">
      <c r="Z49145">
        <v>400000</v>
      </c>
    </row>
    <row r="49146" spans="26:26" x14ac:dyDescent="0.25">
      <c r="Z49146">
        <v>400000</v>
      </c>
    </row>
    <row r="49147" spans="26:26" x14ac:dyDescent="0.25">
      <c r="Z49147">
        <v>400000</v>
      </c>
    </row>
    <row r="49148" spans="26:26" x14ac:dyDescent="0.25">
      <c r="Z49148">
        <v>400000</v>
      </c>
    </row>
    <row r="49149" spans="26:26" x14ac:dyDescent="0.25">
      <c r="Z49149">
        <v>400000</v>
      </c>
    </row>
    <row r="49150" spans="26:26" x14ac:dyDescent="0.25">
      <c r="Z49150">
        <v>400000</v>
      </c>
    </row>
    <row r="49151" spans="26:26" x14ac:dyDescent="0.25">
      <c r="Z49151">
        <v>400000</v>
      </c>
    </row>
    <row r="49152" spans="26:26" x14ac:dyDescent="0.25">
      <c r="Z49152">
        <v>400000</v>
      </c>
    </row>
    <row r="49153" spans="26:26" x14ac:dyDescent="0.25">
      <c r="Z49153">
        <v>400000</v>
      </c>
    </row>
    <row r="49154" spans="26:26" x14ac:dyDescent="0.25">
      <c r="Z49154">
        <v>400000</v>
      </c>
    </row>
    <row r="49155" spans="26:26" x14ac:dyDescent="0.25">
      <c r="Z49155">
        <v>400000</v>
      </c>
    </row>
    <row r="49156" spans="26:26" x14ac:dyDescent="0.25">
      <c r="Z49156">
        <v>400000</v>
      </c>
    </row>
    <row r="49157" spans="26:26" x14ac:dyDescent="0.25">
      <c r="Z49157">
        <v>400000</v>
      </c>
    </row>
    <row r="49158" spans="26:26" x14ac:dyDescent="0.25">
      <c r="Z49158">
        <v>400000</v>
      </c>
    </row>
    <row r="49159" spans="26:26" x14ac:dyDescent="0.25">
      <c r="Z49159">
        <v>400000</v>
      </c>
    </row>
    <row r="49160" spans="26:26" x14ac:dyDescent="0.25">
      <c r="Z49160">
        <v>400000</v>
      </c>
    </row>
    <row r="49161" spans="26:26" x14ac:dyDescent="0.25">
      <c r="Z49161">
        <v>400000</v>
      </c>
    </row>
    <row r="49162" spans="26:26" x14ac:dyDescent="0.25">
      <c r="Z49162">
        <v>400000</v>
      </c>
    </row>
    <row r="49163" spans="26:26" x14ac:dyDescent="0.25">
      <c r="Z49163">
        <v>400000</v>
      </c>
    </row>
    <row r="49164" spans="26:26" x14ac:dyDescent="0.25">
      <c r="Z49164">
        <v>400000</v>
      </c>
    </row>
    <row r="49165" spans="26:26" x14ac:dyDescent="0.25">
      <c r="Z49165">
        <v>400000</v>
      </c>
    </row>
    <row r="49166" spans="26:26" x14ac:dyDescent="0.25">
      <c r="Z49166">
        <v>400000</v>
      </c>
    </row>
    <row r="49167" spans="26:26" x14ac:dyDescent="0.25">
      <c r="Z49167">
        <v>400000</v>
      </c>
    </row>
    <row r="49168" spans="26:26" x14ac:dyDescent="0.25">
      <c r="Z49168">
        <v>400000</v>
      </c>
    </row>
    <row r="49169" spans="26:26" x14ac:dyDescent="0.25">
      <c r="Z49169">
        <v>400000</v>
      </c>
    </row>
    <row r="49170" spans="26:26" x14ac:dyDescent="0.25">
      <c r="Z49170">
        <v>400000</v>
      </c>
    </row>
    <row r="49171" spans="26:26" x14ac:dyDescent="0.25">
      <c r="Z49171">
        <v>400000</v>
      </c>
    </row>
    <row r="49172" spans="26:26" x14ac:dyDescent="0.25">
      <c r="Z49172">
        <v>400000</v>
      </c>
    </row>
    <row r="49173" spans="26:26" x14ac:dyDescent="0.25">
      <c r="Z49173">
        <v>400000</v>
      </c>
    </row>
    <row r="49174" spans="26:26" x14ac:dyDescent="0.25">
      <c r="Z49174">
        <v>400000</v>
      </c>
    </row>
    <row r="49175" spans="26:26" x14ac:dyDescent="0.25">
      <c r="Z49175">
        <v>400000</v>
      </c>
    </row>
    <row r="49176" spans="26:26" x14ac:dyDescent="0.25">
      <c r="Z49176">
        <v>400000</v>
      </c>
    </row>
    <row r="49177" spans="26:26" x14ac:dyDescent="0.25">
      <c r="Z49177">
        <v>400000</v>
      </c>
    </row>
    <row r="49178" spans="26:26" x14ac:dyDescent="0.25">
      <c r="Z49178">
        <v>400000</v>
      </c>
    </row>
    <row r="49179" spans="26:26" x14ac:dyDescent="0.25">
      <c r="Z49179">
        <v>400000</v>
      </c>
    </row>
    <row r="49180" spans="26:26" x14ac:dyDescent="0.25">
      <c r="Z49180">
        <v>400000</v>
      </c>
    </row>
    <row r="49181" spans="26:26" x14ac:dyDescent="0.25">
      <c r="Z49181">
        <v>400000</v>
      </c>
    </row>
    <row r="49182" spans="26:26" x14ac:dyDescent="0.25">
      <c r="Z49182">
        <v>400000</v>
      </c>
    </row>
    <row r="49183" spans="26:26" x14ac:dyDescent="0.25">
      <c r="Z49183">
        <v>400000</v>
      </c>
    </row>
    <row r="49184" spans="26:26" x14ac:dyDescent="0.25">
      <c r="Z49184">
        <v>400000</v>
      </c>
    </row>
    <row r="49185" spans="26:26" x14ac:dyDescent="0.25">
      <c r="Z49185">
        <v>400000</v>
      </c>
    </row>
    <row r="49186" spans="26:26" x14ac:dyDescent="0.25">
      <c r="Z49186">
        <v>400000</v>
      </c>
    </row>
    <row r="49187" spans="26:26" x14ac:dyDescent="0.25">
      <c r="Z49187">
        <v>400000</v>
      </c>
    </row>
    <row r="49188" spans="26:26" x14ac:dyDescent="0.25">
      <c r="Z49188">
        <v>400000</v>
      </c>
    </row>
    <row r="49189" spans="26:26" x14ac:dyDescent="0.25">
      <c r="Z49189">
        <v>400000</v>
      </c>
    </row>
    <row r="49190" spans="26:26" x14ac:dyDescent="0.25">
      <c r="Z49190">
        <v>400000</v>
      </c>
    </row>
    <row r="49191" spans="26:26" x14ac:dyDescent="0.25">
      <c r="Z49191">
        <v>400000</v>
      </c>
    </row>
    <row r="49192" spans="26:26" x14ac:dyDescent="0.25">
      <c r="Z49192">
        <v>400000</v>
      </c>
    </row>
    <row r="49193" spans="26:26" x14ac:dyDescent="0.25">
      <c r="Z49193">
        <v>400000</v>
      </c>
    </row>
    <row r="49194" spans="26:26" x14ac:dyDescent="0.25">
      <c r="Z49194">
        <v>400000</v>
      </c>
    </row>
    <row r="49195" spans="26:26" x14ac:dyDescent="0.25">
      <c r="Z49195">
        <v>400000</v>
      </c>
    </row>
    <row r="49196" spans="26:26" x14ac:dyDescent="0.25">
      <c r="Z49196">
        <v>400000</v>
      </c>
    </row>
    <row r="49197" spans="26:26" x14ac:dyDescent="0.25">
      <c r="Z49197">
        <v>400000</v>
      </c>
    </row>
    <row r="49198" spans="26:26" x14ac:dyDescent="0.25">
      <c r="Z49198">
        <v>400000</v>
      </c>
    </row>
    <row r="49199" spans="26:26" x14ac:dyDescent="0.25">
      <c r="Z49199">
        <v>400000</v>
      </c>
    </row>
    <row r="49200" spans="26:26" x14ac:dyDescent="0.25">
      <c r="Z49200">
        <v>400000</v>
      </c>
    </row>
    <row r="49201" spans="26:26" x14ac:dyDescent="0.25">
      <c r="Z49201">
        <v>400000</v>
      </c>
    </row>
    <row r="49202" spans="26:26" x14ac:dyDescent="0.25">
      <c r="Z49202">
        <v>400000</v>
      </c>
    </row>
    <row r="49203" spans="26:26" x14ac:dyDescent="0.25">
      <c r="Z49203">
        <v>400000</v>
      </c>
    </row>
    <row r="49204" spans="26:26" x14ac:dyDescent="0.25">
      <c r="Z49204">
        <v>400000</v>
      </c>
    </row>
    <row r="49205" spans="26:26" x14ac:dyDescent="0.25">
      <c r="Z49205">
        <v>400000</v>
      </c>
    </row>
    <row r="49206" spans="26:26" x14ac:dyDescent="0.25">
      <c r="Z49206">
        <v>400000</v>
      </c>
    </row>
    <row r="49207" spans="26:26" x14ac:dyDescent="0.25">
      <c r="Z49207">
        <v>400000</v>
      </c>
    </row>
    <row r="49208" spans="26:26" x14ac:dyDescent="0.25">
      <c r="Z49208">
        <v>400000</v>
      </c>
    </row>
    <row r="49209" spans="26:26" x14ac:dyDescent="0.25">
      <c r="Z49209">
        <v>400000</v>
      </c>
    </row>
    <row r="49210" spans="26:26" x14ac:dyDescent="0.25">
      <c r="Z49210">
        <v>400000</v>
      </c>
    </row>
    <row r="49211" spans="26:26" x14ac:dyDescent="0.25">
      <c r="Z49211">
        <v>400000</v>
      </c>
    </row>
    <row r="49212" spans="26:26" x14ac:dyDescent="0.25">
      <c r="Z49212">
        <v>400000</v>
      </c>
    </row>
    <row r="49213" spans="26:26" x14ac:dyDescent="0.25">
      <c r="Z49213">
        <v>400000</v>
      </c>
    </row>
    <row r="49214" spans="26:26" x14ac:dyDescent="0.25">
      <c r="Z49214">
        <v>400000</v>
      </c>
    </row>
    <row r="49215" spans="26:26" x14ac:dyDescent="0.25">
      <c r="Z49215">
        <v>400000</v>
      </c>
    </row>
    <row r="49216" spans="26:26" x14ac:dyDescent="0.25">
      <c r="Z49216">
        <v>400000</v>
      </c>
    </row>
    <row r="49217" spans="26:26" x14ac:dyDescent="0.25">
      <c r="Z49217">
        <v>400000</v>
      </c>
    </row>
    <row r="49218" spans="26:26" x14ac:dyDescent="0.25">
      <c r="Z49218">
        <v>400000</v>
      </c>
    </row>
    <row r="49219" spans="26:26" x14ac:dyDescent="0.25">
      <c r="Z49219">
        <v>400000</v>
      </c>
    </row>
    <row r="49220" spans="26:26" x14ac:dyDescent="0.25">
      <c r="Z49220">
        <v>400000</v>
      </c>
    </row>
    <row r="49221" spans="26:26" x14ac:dyDescent="0.25">
      <c r="Z49221">
        <v>400000</v>
      </c>
    </row>
    <row r="49222" spans="26:26" x14ac:dyDescent="0.25">
      <c r="Z49222">
        <v>400000</v>
      </c>
    </row>
    <row r="49223" spans="26:26" x14ac:dyDescent="0.25">
      <c r="Z49223">
        <v>400000</v>
      </c>
    </row>
    <row r="49224" spans="26:26" x14ac:dyDescent="0.25">
      <c r="Z49224">
        <v>400000</v>
      </c>
    </row>
    <row r="49225" spans="26:26" x14ac:dyDescent="0.25">
      <c r="Z49225">
        <v>400000</v>
      </c>
    </row>
    <row r="49226" spans="26:26" x14ac:dyDescent="0.25">
      <c r="Z49226">
        <v>400000</v>
      </c>
    </row>
    <row r="49227" spans="26:26" x14ac:dyDescent="0.25">
      <c r="Z49227">
        <v>400000</v>
      </c>
    </row>
    <row r="49228" spans="26:26" x14ac:dyDescent="0.25">
      <c r="Z49228">
        <v>400000</v>
      </c>
    </row>
    <row r="49229" spans="26:26" x14ac:dyDescent="0.25">
      <c r="Z49229">
        <v>400000</v>
      </c>
    </row>
    <row r="49230" spans="26:26" x14ac:dyDescent="0.25">
      <c r="Z49230">
        <v>400000</v>
      </c>
    </row>
    <row r="49231" spans="26:26" x14ac:dyDescent="0.25">
      <c r="Z49231">
        <v>400000</v>
      </c>
    </row>
    <row r="49232" spans="26:26" x14ac:dyDescent="0.25">
      <c r="Z49232">
        <v>400000</v>
      </c>
    </row>
    <row r="49233" spans="26:26" x14ac:dyDescent="0.25">
      <c r="Z49233">
        <v>400000</v>
      </c>
    </row>
    <row r="49234" spans="26:26" x14ac:dyDescent="0.25">
      <c r="Z49234">
        <v>400000</v>
      </c>
    </row>
    <row r="49235" spans="26:26" x14ac:dyDescent="0.25">
      <c r="Z49235">
        <v>400000</v>
      </c>
    </row>
    <row r="49236" spans="26:26" x14ac:dyDescent="0.25">
      <c r="Z49236">
        <v>400000</v>
      </c>
    </row>
    <row r="49237" spans="26:26" x14ac:dyDescent="0.25">
      <c r="Z49237">
        <v>400000</v>
      </c>
    </row>
    <row r="49238" spans="26:26" x14ac:dyDescent="0.25">
      <c r="Z49238">
        <v>400000</v>
      </c>
    </row>
    <row r="49239" spans="26:26" x14ac:dyDescent="0.25">
      <c r="Z49239">
        <v>400000</v>
      </c>
    </row>
    <row r="49240" spans="26:26" x14ac:dyDescent="0.25">
      <c r="Z49240">
        <v>400000</v>
      </c>
    </row>
    <row r="49241" spans="26:26" x14ac:dyDescent="0.25">
      <c r="Z49241">
        <v>400000</v>
      </c>
    </row>
    <row r="49242" spans="26:26" x14ac:dyDescent="0.25">
      <c r="Z49242">
        <v>400000</v>
      </c>
    </row>
    <row r="49243" spans="26:26" x14ac:dyDescent="0.25">
      <c r="Z49243">
        <v>400000</v>
      </c>
    </row>
    <row r="49244" spans="26:26" x14ac:dyDescent="0.25">
      <c r="Z49244">
        <v>400000</v>
      </c>
    </row>
    <row r="49245" spans="26:26" x14ac:dyDescent="0.25">
      <c r="Z49245">
        <v>400000</v>
      </c>
    </row>
    <row r="49246" spans="26:26" x14ac:dyDescent="0.25">
      <c r="Z49246">
        <v>400000</v>
      </c>
    </row>
    <row r="49247" spans="26:26" x14ac:dyDescent="0.25">
      <c r="Z49247">
        <v>400000</v>
      </c>
    </row>
    <row r="49248" spans="26:26" x14ac:dyDescent="0.25">
      <c r="Z49248">
        <v>400000</v>
      </c>
    </row>
    <row r="49249" spans="26:26" x14ac:dyDescent="0.25">
      <c r="Z49249">
        <v>400000</v>
      </c>
    </row>
    <row r="49250" spans="26:26" x14ac:dyDescent="0.25">
      <c r="Z49250">
        <v>400000</v>
      </c>
    </row>
    <row r="49251" spans="26:26" x14ac:dyDescent="0.25">
      <c r="Z49251">
        <v>400000</v>
      </c>
    </row>
    <row r="49252" spans="26:26" x14ac:dyDescent="0.25">
      <c r="Z49252">
        <v>400000</v>
      </c>
    </row>
    <row r="49253" spans="26:26" x14ac:dyDescent="0.25">
      <c r="Z49253">
        <v>400000</v>
      </c>
    </row>
    <row r="49254" spans="26:26" x14ac:dyDescent="0.25">
      <c r="Z49254">
        <v>400000</v>
      </c>
    </row>
    <row r="49255" spans="26:26" x14ac:dyDescent="0.25">
      <c r="Z49255">
        <v>400000</v>
      </c>
    </row>
    <row r="49256" spans="26:26" x14ac:dyDescent="0.25">
      <c r="Z49256">
        <v>400000</v>
      </c>
    </row>
    <row r="49257" spans="26:26" x14ac:dyDescent="0.25">
      <c r="Z49257">
        <v>400000</v>
      </c>
    </row>
    <row r="49258" spans="26:26" x14ac:dyDescent="0.25">
      <c r="Z49258">
        <v>400000</v>
      </c>
    </row>
    <row r="49259" spans="26:26" x14ac:dyDescent="0.25">
      <c r="Z49259">
        <v>400000</v>
      </c>
    </row>
    <row r="49260" spans="26:26" x14ac:dyDescent="0.25">
      <c r="Z49260">
        <v>400000</v>
      </c>
    </row>
    <row r="49261" spans="26:26" x14ac:dyDescent="0.25">
      <c r="Z49261">
        <v>400000</v>
      </c>
    </row>
    <row r="49262" spans="26:26" x14ac:dyDescent="0.25">
      <c r="Z49262">
        <v>400000</v>
      </c>
    </row>
    <row r="49263" spans="26:26" x14ac:dyDescent="0.25">
      <c r="Z49263">
        <v>400000</v>
      </c>
    </row>
    <row r="49264" spans="26:26" x14ac:dyDescent="0.25">
      <c r="Z49264">
        <v>400000</v>
      </c>
    </row>
    <row r="49265" spans="26:26" x14ac:dyDescent="0.25">
      <c r="Z49265">
        <v>400000</v>
      </c>
    </row>
    <row r="49266" spans="26:26" x14ac:dyDescent="0.25">
      <c r="Z49266">
        <v>400000</v>
      </c>
    </row>
    <row r="49267" spans="26:26" x14ac:dyDescent="0.25">
      <c r="Z49267">
        <v>400000</v>
      </c>
    </row>
    <row r="49268" spans="26:26" x14ac:dyDescent="0.25">
      <c r="Z49268">
        <v>400000</v>
      </c>
    </row>
    <row r="49269" spans="26:26" x14ac:dyDescent="0.25">
      <c r="Z49269">
        <v>400000</v>
      </c>
    </row>
    <row r="49270" spans="26:26" x14ac:dyDescent="0.25">
      <c r="Z49270">
        <v>400000</v>
      </c>
    </row>
    <row r="49271" spans="26:26" x14ac:dyDescent="0.25">
      <c r="Z49271">
        <v>400000</v>
      </c>
    </row>
    <row r="49272" spans="26:26" x14ac:dyDescent="0.25">
      <c r="Z49272">
        <v>400000</v>
      </c>
    </row>
    <row r="49273" spans="26:26" x14ac:dyDescent="0.25">
      <c r="Z49273">
        <v>400000</v>
      </c>
    </row>
    <row r="49274" spans="26:26" x14ac:dyDescent="0.25">
      <c r="Z49274">
        <v>400000</v>
      </c>
    </row>
    <row r="49275" spans="26:26" x14ac:dyDescent="0.25">
      <c r="Z49275">
        <v>400000</v>
      </c>
    </row>
    <row r="49276" spans="26:26" x14ac:dyDescent="0.25">
      <c r="Z49276">
        <v>400000</v>
      </c>
    </row>
    <row r="49277" spans="26:26" x14ac:dyDescent="0.25">
      <c r="Z49277">
        <v>400000</v>
      </c>
    </row>
    <row r="49278" spans="26:26" x14ac:dyDescent="0.25">
      <c r="Z49278">
        <v>400000</v>
      </c>
    </row>
    <row r="49279" spans="26:26" x14ac:dyDescent="0.25">
      <c r="Z49279">
        <v>400000</v>
      </c>
    </row>
    <row r="49280" spans="26:26" x14ac:dyDescent="0.25">
      <c r="Z49280">
        <v>400000</v>
      </c>
    </row>
    <row r="49281" spans="26:26" x14ac:dyDescent="0.25">
      <c r="Z49281">
        <v>400000</v>
      </c>
    </row>
    <row r="49282" spans="26:26" x14ac:dyDescent="0.25">
      <c r="Z49282">
        <v>400000</v>
      </c>
    </row>
    <row r="49283" spans="26:26" x14ac:dyDescent="0.25">
      <c r="Z49283">
        <v>400000</v>
      </c>
    </row>
    <row r="49284" spans="26:26" x14ac:dyDescent="0.25">
      <c r="Z49284">
        <v>400000</v>
      </c>
    </row>
    <row r="49285" spans="26:26" x14ac:dyDescent="0.25">
      <c r="Z49285">
        <v>400000</v>
      </c>
    </row>
    <row r="49286" spans="26:26" x14ac:dyDescent="0.25">
      <c r="Z49286">
        <v>400000</v>
      </c>
    </row>
    <row r="49287" spans="26:26" x14ac:dyDescent="0.25">
      <c r="Z49287">
        <v>400000</v>
      </c>
    </row>
    <row r="49288" spans="26:26" x14ac:dyDescent="0.25">
      <c r="Z49288">
        <v>400000</v>
      </c>
    </row>
    <row r="49289" spans="26:26" x14ac:dyDescent="0.25">
      <c r="Z49289">
        <v>400000</v>
      </c>
    </row>
    <row r="49290" spans="26:26" x14ac:dyDescent="0.25">
      <c r="Z49290">
        <v>400000</v>
      </c>
    </row>
    <row r="49291" spans="26:26" x14ac:dyDescent="0.25">
      <c r="Z49291">
        <v>400000</v>
      </c>
    </row>
    <row r="49292" spans="26:26" x14ac:dyDescent="0.25">
      <c r="Z49292">
        <v>400000</v>
      </c>
    </row>
    <row r="49293" spans="26:26" x14ac:dyDescent="0.25">
      <c r="Z49293">
        <v>400000</v>
      </c>
    </row>
    <row r="49294" spans="26:26" x14ac:dyDescent="0.25">
      <c r="Z49294">
        <v>400000</v>
      </c>
    </row>
    <row r="49295" spans="26:26" x14ac:dyDescent="0.25">
      <c r="Z49295">
        <v>400000</v>
      </c>
    </row>
    <row r="49296" spans="26:26" x14ac:dyDescent="0.25">
      <c r="Z49296">
        <v>400000</v>
      </c>
    </row>
    <row r="49297" spans="26:26" x14ac:dyDescent="0.25">
      <c r="Z49297">
        <v>400000</v>
      </c>
    </row>
    <row r="49298" spans="26:26" x14ac:dyDescent="0.25">
      <c r="Z49298">
        <v>400000</v>
      </c>
    </row>
    <row r="49299" spans="26:26" x14ac:dyDescent="0.25">
      <c r="Z49299">
        <v>400000</v>
      </c>
    </row>
    <row r="49300" spans="26:26" x14ac:dyDescent="0.25">
      <c r="Z49300">
        <v>400000</v>
      </c>
    </row>
    <row r="49301" spans="26:26" x14ac:dyDescent="0.25">
      <c r="Z49301">
        <v>400000</v>
      </c>
    </row>
    <row r="49302" spans="26:26" x14ac:dyDescent="0.25">
      <c r="Z49302">
        <v>400000</v>
      </c>
    </row>
    <row r="49303" spans="26:26" x14ac:dyDescent="0.25">
      <c r="Z49303">
        <v>400000</v>
      </c>
    </row>
    <row r="49304" spans="26:26" x14ac:dyDescent="0.25">
      <c r="Z49304">
        <v>400000</v>
      </c>
    </row>
    <row r="49305" spans="26:26" x14ac:dyDescent="0.25">
      <c r="Z49305">
        <v>400000</v>
      </c>
    </row>
    <row r="49306" spans="26:26" x14ac:dyDescent="0.25">
      <c r="Z49306">
        <v>400000</v>
      </c>
    </row>
    <row r="49307" spans="26:26" x14ac:dyDescent="0.25">
      <c r="Z49307">
        <v>400000</v>
      </c>
    </row>
    <row r="49308" spans="26:26" x14ac:dyDescent="0.25">
      <c r="Z49308">
        <v>400000</v>
      </c>
    </row>
    <row r="49309" spans="26:26" x14ac:dyDescent="0.25">
      <c r="Z49309">
        <v>400000</v>
      </c>
    </row>
    <row r="49310" spans="26:26" x14ac:dyDescent="0.25">
      <c r="Z49310">
        <v>400000</v>
      </c>
    </row>
    <row r="49311" spans="26:26" x14ac:dyDescent="0.25">
      <c r="Z49311">
        <v>400000</v>
      </c>
    </row>
    <row r="49312" spans="26:26" x14ac:dyDescent="0.25">
      <c r="Z49312">
        <v>400000</v>
      </c>
    </row>
    <row r="49313" spans="26:26" x14ac:dyDescent="0.25">
      <c r="Z49313">
        <v>400000</v>
      </c>
    </row>
    <row r="49314" spans="26:26" x14ac:dyDescent="0.25">
      <c r="Z49314">
        <v>400000</v>
      </c>
    </row>
    <row r="49315" spans="26:26" x14ac:dyDescent="0.25">
      <c r="Z49315">
        <v>400000</v>
      </c>
    </row>
    <row r="49316" spans="26:26" x14ac:dyDescent="0.25">
      <c r="Z49316">
        <v>400000</v>
      </c>
    </row>
    <row r="49317" spans="26:26" x14ac:dyDescent="0.25">
      <c r="Z49317">
        <v>400000</v>
      </c>
    </row>
    <row r="49318" spans="26:26" x14ac:dyDescent="0.25">
      <c r="Z49318">
        <v>400000</v>
      </c>
    </row>
    <row r="49319" spans="26:26" x14ac:dyDescent="0.25">
      <c r="Z49319">
        <v>400000</v>
      </c>
    </row>
    <row r="49320" spans="26:26" x14ac:dyDescent="0.25">
      <c r="Z49320">
        <v>400000</v>
      </c>
    </row>
    <row r="49321" spans="26:26" x14ac:dyDescent="0.25">
      <c r="Z49321">
        <v>400000</v>
      </c>
    </row>
    <row r="49322" spans="26:26" x14ac:dyDescent="0.25">
      <c r="Z49322">
        <v>400000</v>
      </c>
    </row>
    <row r="49323" spans="26:26" x14ac:dyDescent="0.25">
      <c r="Z49323">
        <v>400000</v>
      </c>
    </row>
    <row r="49324" spans="26:26" x14ac:dyDescent="0.25">
      <c r="Z49324">
        <v>400000</v>
      </c>
    </row>
    <row r="49325" spans="26:26" x14ac:dyDescent="0.25">
      <c r="Z49325">
        <v>400000</v>
      </c>
    </row>
    <row r="49326" spans="26:26" x14ac:dyDescent="0.25">
      <c r="Z49326">
        <v>400000</v>
      </c>
    </row>
    <row r="49327" spans="26:26" x14ac:dyDescent="0.25">
      <c r="Z49327">
        <v>400000</v>
      </c>
    </row>
    <row r="49328" spans="26:26" x14ac:dyDescent="0.25">
      <c r="Z49328">
        <v>400000</v>
      </c>
    </row>
    <row r="49329" spans="26:26" x14ac:dyDescent="0.25">
      <c r="Z49329">
        <v>400000</v>
      </c>
    </row>
    <row r="49330" spans="26:26" x14ac:dyDescent="0.25">
      <c r="Z49330">
        <v>400000</v>
      </c>
    </row>
    <row r="49331" spans="26:26" x14ac:dyDescent="0.25">
      <c r="Z49331">
        <v>400000</v>
      </c>
    </row>
    <row r="49332" spans="26:26" x14ac:dyDescent="0.25">
      <c r="Z49332">
        <v>400000</v>
      </c>
    </row>
    <row r="49333" spans="26:26" x14ac:dyDescent="0.25">
      <c r="Z49333">
        <v>400000</v>
      </c>
    </row>
    <row r="49334" spans="26:26" x14ac:dyDescent="0.25">
      <c r="Z49334">
        <v>400000</v>
      </c>
    </row>
    <row r="49335" spans="26:26" x14ac:dyDescent="0.25">
      <c r="Z49335">
        <v>400000</v>
      </c>
    </row>
    <row r="49336" spans="26:26" x14ac:dyDescent="0.25">
      <c r="Z49336">
        <v>400000</v>
      </c>
    </row>
    <row r="49337" spans="26:26" x14ac:dyDescent="0.25">
      <c r="Z49337">
        <v>400000</v>
      </c>
    </row>
    <row r="49338" spans="26:26" x14ac:dyDescent="0.25">
      <c r="Z49338">
        <v>400000</v>
      </c>
    </row>
    <row r="49339" spans="26:26" x14ac:dyDescent="0.25">
      <c r="Z49339">
        <v>400000</v>
      </c>
    </row>
    <row r="49340" spans="26:26" x14ac:dyDescent="0.25">
      <c r="Z49340">
        <v>400000</v>
      </c>
    </row>
    <row r="49341" spans="26:26" x14ac:dyDescent="0.25">
      <c r="Z49341">
        <v>400000</v>
      </c>
    </row>
    <row r="49342" spans="26:26" x14ac:dyDescent="0.25">
      <c r="Z49342">
        <v>400000</v>
      </c>
    </row>
    <row r="49343" spans="26:26" x14ac:dyDescent="0.25">
      <c r="Z49343">
        <v>400000</v>
      </c>
    </row>
    <row r="49344" spans="26:26" x14ac:dyDescent="0.25">
      <c r="Z49344">
        <v>400000</v>
      </c>
    </row>
    <row r="49345" spans="26:26" x14ac:dyDescent="0.25">
      <c r="Z49345">
        <v>400000</v>
      </c>
    </row>
    <row r="49346" spans="26:26" x14ac:dyDescent="0.25">
      <c r="Z49346">
        <v>400000</v>
      </c>
    </row>
    <row r="49347" spans="26:26" x14ac:dyDescent="0.25">
      <c r="Z49347">
        <v>400000</v>
      </c>
    </row>
    <row r="49348" spans="26:26" x14ac:dyDescent="0.25">
      <c r="Z49348">
        <v>400000</v>
      </c>
    </row>
    <row r="49349" spans="26:26" x14ac:dyDescent="0.25">
      <c r="Z49349">
        <v>400000</v>
      </c>
    </row>
    <row r="49350" spans="26:26" x14ac:dyDescent="0.25">
      <c r="Z49350">
        <v>400000</v>
      </c>
    </row>
    <row r="49351" spans="26:26" x14ac:dyDescent="0.25">
      <c r="Z49351">
        <v>400000</v>
      </c>
    </row>
    <row r="49352" spans="26:26" x14ac:dyDescent="0.25">
      <c r="Z49352">
        <v>400000</v>
      </c>
    </row>
    <row r="49353" spans="26:26" x14ac:dyDescent="0.25">
      <c r="Z49353">
        <v>400000</v>
      </c>
    </row>
    <row r="49354" spans="26:26" x14ac:dyDescent="0.25">
      <c r="Z49354">
        <v>400000</v>
      </c>
    </row>
    <row r="49355" spans="26:26" x14ac:dyDescent="0.25">
      <c r="Z49355">
        <v>400000</v>
      </c>
    </row>
    <row r="49356" spans="26:26" x14ac:dyDescent="0.25">
      <c r="Z49356">
        <v>400000</v>
      </c>
    </row>
    <row r="49357" spans="26:26" x14ac:dyDescent="0.25">
      <c r="Z49357">
        <v>400000</v>
      </c>
    </row>
    <row r="49358" spans="26:26" x14ac:dyDescent="0.25">
      <c r="Z49358">
        <v>400000</v>
      </c>
    </row>
    <row r="49359" spans="26:26" x14ac:dyDescent="0.25">
      <c r="Z49359">
        <v>400000</v>
      </c>
    </row>
    <row r="49360" spans="26:26" x14ac:dyDescent="0.25">
      <c r="Z49360">
        <v>400000</v>
      </c>
    </row>
    <row r="49361" spans="26:26" x14ac:dyDescent="0.25">
      <c r="Z49361">
        <v>400000</v>
      </c>
    </row>
    <row r="49362" spans="26:26" x14ac:dyDescent="0.25">
      <c r="Z49362">
        <v>400000</v>
      </c>
    </row>
    <row r="49363" spans="26:26" x14ac:dyDescent="0.25">
      <c r="Z49363">
        <v>400000</v>
      </c>
    </row>
    <row r="49364" spans="26:26" x14ac:dyDescent="0.25">
      <c r="Z49364">
        <v>400000</v>
      </c>
    </row>
    <row r="49365" spans="26:26" x14ac:dyDescent="0.25">
      <c r="Z49365">
        <v>400000</v>
      </c>
    </row>
    <row r="49366" spans="26:26" x14ac:dyDescent="0.25">
      <c r="Z49366">
        <v>400000</v>
      </c>
    </row>
    <row r="49367" spans="26:26" x14ac:dyDescent="0.25">
      <c r="Z49367">
        <v>400000</v>
      </c>
    </row>
    <row r="49368" spans="26:26" x14ac:dyDescent="0.25">
      <c r="Z49368">
        <v>400000</v>
      </c>
    </row>
    <row r="49369" spans="26:26" x14ac:dyDescent="0.25">
      <c r="Z49369">
        <v>400000</v>
      </c>
    </row>
    <row r="49370" spans="26:26" x14ac:dyDescent="0.25">
      <c r="Z49370">
        <v>400000</v>
      </c>
    </row>
    <row r="49371" spans="26:26" x14ac:dyDescent="0.25">
      <c r="Z49371">
        <v>400000</v>
      </c>
    </row>
    <row r="49372" spans="26:26" x14ac:dyDescent="0.25">
      <c r="Z49372">
        <v>400000</v>
      </c>
    </row>
    <row r="49373" spans="26:26" x14ac:dyDescent="0.25">
      <c r="Z49373">
        <v>400000</v>
      </c>
    </row>
    <row r="49374" spans="26:26" x14ac:dyDescent="0.25">
      <c r="Z49374">
        <v>400000</v>
      </c>
    </row>
    <row r="49375" spans="26:26" x14ac:dyDescent="0.25">
      <c r="Z49375">
        <v>400000</v>
      </c>
    </row>
    <row r="49376" spans="26:26" x14ac:dyDescent="0.25">
      <c r="Z49376">
        <v>400000</v>
      </c>
    </row>
    <row r="49377" spans="26:26" x14ac:dyDescent="0.25">
      <c r="Z49377">
        <v>400000</v>
      </c>
    </row>
    <row r="49378" spans="26:26" x14ac:dyDescent="0.25">
      <c r="Z49378">
        <v>400000</v>
      </c>
    </row>
    <row r="49379" spans="26:26" x14ac:dyDescent="0.25">
      <c r="Z49379">
        <v>400000</v>
      </c>
    </row>
    <row r="49380" spans="26:26" x14ac:dyDescent="0.25">
      <c r="Z49380">
        <v>400000</v>
      </c>
    </row>
    <row r="49381" spans="26:26" x14ac:dyDescent="0.25">
      <c r="Z49381">
        <v>400000</v>
      </c>
    </row>
    <row r="49382" spans="26:26" x14ac:dyDescent="0.25">
      <c r="Z49382">
        <v>400000</v>
      </c>
    </row>
    <row r="49383" spans="26:26" x14ac:dyDescent="0.25">
      <c r="Z49383">
        <v>400000</v>
      </c>
    </row>
    <row r="49384" spans="26:26" x14ac:dyDescent="0.25">
      <c r="Z49384">
        <v>400000</v>
      </c>
    </row>
    <row r="49385" spans="26:26" x14ac:dyDescent="0.25">
      <c r="Z49385">
        <v>400000</v>
      </c>
    </row>
    <row r="49386" spans="26:26" x14ac:dyDescent="0.25">
      <c r="Z49386">
        <v>400000</v>
      </c>
    </row>
    <row r="49387" spans="26:26" x14ac:dyDescent="0.25">
      <c r="Z49387">
        <v>400000</v>
      </c>
    </row>
    <row r="49388" spans="26:26" x14ac:dyDescent="0.25">
      <c r="Z49388">
        <v>400000</v>
      </c>
    </row>
    <row r="49389" spans="26:26" x14ac:dyDescent="0.25">
      <c r="Z49389">
        <v>400000</v>
      </c>
    </row>
    <row r="49390" spans="26:26" x14ac:dyDescent="0.25">
      <c r="Z49390">
        <v>400000</v>
      </c>
    </row>
    <row r="49391" spans="26:26" x14ac:dyDescent="0.25">
      <c r="Z49391">
        <v>400000</v>
      </c>
    </row>
    <row r="49392" spans="26:26" x14ac:dyDescent="0.25">
      <c r="Z49392">
        <v>400000</v>
      </c>
    </row>
    <row r="49393" spans="26:26" x14ac:dyDescent="0.25">
      <c r="Z49393">
        <v>400000</v>
      </c>
    </row>
    <row r="49394" spans="26:26" x14ac:dyDescent="0.25">
      <c r="Z49394">
        <v>400000</v>
      </c>
    </row>
    <row r="49395" spans="26:26" x14ac:dyDescent="0.25">
      <c r="Z49395">
        <v>400000</v>
      </c>
    </row>
    <row r="49396" spans="26:26" x14ac:dyDescent="0.25">
      <c r="Z49396">
        <v>400000</v>
      </c>
    </row>
    <row r="49397" spans="26:26" x14ac:dyDescent="0.25">
      <c r="Z49397">
        <v>400000</v>
      </c>
    </row>
    <row r="49398" spans="26:26" x14ac:dyDescent="0.25">
      <c r="Z49398">
        <v>400000</v>
      </c>
    </row>
    <row r="49399" spans="26:26" x14ac:dyDescent="0.25">
      <c r="Z49399">
        <v>400000</v>
      </c>
    </row>
    <row r="49400" spans="26:26" x14ac:dyDescent="0.25">
      <c r="Z49400">
        <v>400000</v>
      </c>
    </row>
    <row r="49401" spans="26:26" x14ac:dyDescent="0.25">
      <c r="Z49401">
        <v>400000</v>
      </c>
    </row>
    <row r="49402" spans="26:26" x14ac:dyDescent="0.25">
      <c r="Z49402">
        <v>400000</v>
      </c>
    </row>
    <row r="49403" spans="26:26" x14ac:dyDescent="0.25">
      <c r="Z49403">
        <v>400000</v>
      </c>
    </row>
    <row r="49404" spans="26:26" x14ac:dyDescent="0.25">
      <c r="Z49404">
        <v>400000</v>
      </c>
    </row>
    <row r="49405" spans="26:26" x14ac:dyDescent="0.25">
      <c r="Z49405">
        <v>400000</v>
      </c>
    </row>
    <row r="49406" spans="26:26" x14ac:dyDescent="0.25">
      <c r="Z49406">
        <v>400000</v>
      </c>
    </row>
    <row r="49407" spans="26:26" x14ac:dyDescent="0.25">
      <c r="Z49407">
        <v>400000</v>
      </c>
    </row>
    <row r="49408" spans="26:26" x14ac:dyDescent="0.25">
      <c r="Z49408">
        <v>400000</v>
      </c>
    </row>
    <row r="49409" spans="26:26" x14ac:dyDescent="0.25">
      <c r="Z49409">
        <v>400000</v>
      </c>
    </row>
    <row r="49410" spans="26:26" x14ac:dyDescent="0.25">
      <c r="Z49410">
        <v>400000</v>
      </c>
    </row>
    <row r="49411" spans="26:26" x14ac:dyDescent="0.25">
      <c r="Z49411">
        <v>400000</v>
      </c>
    </row>
    <row r="49412" spans="26:26" x14ac:dyDescent="0.25">
      <c r="Z49412">
        <v>400000</v>
      </c>
    </row>
    <row r="49413" spans="26:26" x14ac:dyDescent="0.25">
      <c r="Z49413">
        <v>400000</v>
      </c>
    </row>
    <row r="49414" spans="26:26" x14ac:dyDescent="0.25">
      <c r="Z49414">
        <v>400000</v>
      </c>
    </row>
    <row r="49415" spans="26:26" x14ac:dyDescent="0.25">
      <c r="Z49415">
        <v>400000</v>
      </c>
    </row>
    <row r="49416" spans="26:26" x14ac:dyDescent="0.25">
      <c r="Z49416">
        <v>400000</v>
      </c>
    </row>
    <row r="49417" spans="26:26" x14ac:dyDescent="0.25">
      <c r="Z49417">
        <v>400000</v>
      </c>
    </row>
    <row r="49418" spans="26:26" x14ac:dyDescent="0.25">
      <c r="Z49418">
        <v>400000</v>
      </c>
    </row>
    <row r="49419" spans="26:26" x14ac:dyDescent="0.25">
      <c r="Z49419">
        <v>400000</v>
      </c>
    </row>
    <row r="49420" spans="26:26" x14ac:dyDescent="0.25">
      <c r="Z49420">
        <v>400000</v>
      </c>
    </row>
    <row r="49421" spans="26:26" x14ac:dyDescent="0.25">
      <c r="Z49421">
        <v>400000</v>
      </c>
    </row>
    <row r="49422" spans="26:26" x14ac:dyDescent="0.25">
      <c r="Z49422">
        <v>400000</v>
      </c>
    </row>
    <row r="49423" spans="26:26" x14ac:dyDescent="0.25">
      <c r="Z49423">
        <v>400000</v>
      </c>
    </row>
    <row r="49424" spans="26:26" x14ac:dyDescent="0.25">
      <c r="Z49424">
        <v>400000</v>
      </c>
    </row>
    <row r="49425" spans="26:26" x14ac:dyDescent="0.25">
      <c r="Z49425">
        <v>400000</v>
      </c>
    </row>
    <row r="49426" spans="26:26" x14ac:dyDescent="0.25">
      <c r="Z49426">
        <v>400000</v>
      </c>
    </row>
    <row r="49427" spans="26:26" x14ac:dyDescent="0.25">
      <c r="Z49427">
        <v>400000</v>
      </c>
    </row>
    <row r="49428" spans="26:26" x14ac:dyDescent="0.25">
      <c r="Z49428">
        <v>400000</v>
      </c>
    </row>
    <row r="49429" spans="26:26" x14ac:dyDescent="0.25">
      <c r="Z49429">
        <v>400000</v>
      </c>
    </row>
    <row r="49430" spans="26:26" x14ac:dyDescent="0.25">
      <c r="Z49430">
        <v>400000</v>
      </c>
    </row>
    <row r="49431" spans="26:26" x14ac:dyDescent="0.25">
      <c r="Z49431">
        <v>400000</v>
      </c>
    </row>
    <row r="49432" spans="26:26" x14ac:dyDescent="0.25">
      <c r="Z49432">
        <v>400000</v>
      </c>
    </row>
    <row r="49433" spans="26:26" x14ac:dyDescent="0.25">
      <c r="Z49433">
        <v>400000</v>
      </c>
    </row>
    <row r="49434" spans="26:26" x14ac:dyDescent="0.25">
      <c r="Z49434">
        <v>400000</v>
      </c>
    </row>
    <row r="49435" spans="26:26" x14ac:dyDescent="0.25">
      <c r="Z49435">
        <v>400000</v>
      </c>
    </row>
    <row r="49436" spans="26:26" x14ac:dyDescent="0.25">
      <c r="Z49436">
        <v>400000</v>
      </c>
    </row>
    <row r="49437" spans="26:26" x14ac:dyDescent="0.25">
      <c r="Z49437">
        <v>400000</v>
      </c>
    </row>
    <row r="49438" spans="26:26" x14ac:dyDescent="0.25">
      <c r="Z49438">
        <v>400000</v>
      </c>
    </row>
    <row r="49439" spans="26:26" x14ac:dyDescent="0.25">
      <c r="Z49439">
        <v>400000</v>
      </c>
    </row>
    <row r="49440" spans="26:26" x14ac:dyDescent="0.25">
      <c r="Z49440">
        <v>400000</v>
      </c>
    </row>
    <row r="49441" spans="26:26" x14ac:dyDescent="0.25">
      <c r="Z49441">
        <v>400000</v>
      </c>
    </row>
    <row r="49442" spans="26:26" x14ac:dyDescent="0.25">
      <c r="Z49442">
        <v>400000</v>
      </c>
    </row>
    <row r="49443" spans="26:26" x14ac:dyDescent="0.25">
      <c r="Z49443">
        <v>400000</v>
      </c>
    </row>
    <row r="49444" spans="26:26" x14ac:dyDescent="0.25">
      <c r="Z49444">
        <v>400000</v>
      </c>
    </row>
    <row r="49445" spans="26:26" x14ac:dyDescent="0.25">
      <c r="Z49445">
        <v>400000</v>
      </c>
    </row>
    <row r="49446" spans="26:26" x14ac:dyDescent="0.25">
      <c r="Z49446">
        <v>400000</v>
      </c>
    </row>
    <row r="49447" spans="26:26" x14ac:dyDescent="0.25">
      <c r="Z49447">
        <v>400000</v>
      </c>
    </row>
    <row r="49448" spans="26:26" x14ac:dyDescent="0.25">
      <c r="Z49448">
        <v>400000</v>
      </c>
    </row>
    <row r="49449" spans="26:26" x14ac:dyDescent="0.25">
      <c r="Z49449">
        <v>400000</v>
      </c>
    </row>
    <row r="49450" spans="26:26" x14ac:dyDescent="0.25">
      <c r="Z49450">
        <v>400000</v>
      </c>
    </row>
    <row r="49451" spans="26:26" x14ac:dyDescent="0.25">
      <c r="Z49451">
        <v>400000</v>
      </c>
    </row>
    <row r="49452" spans="26:26" x14ac:dyDescent="0.25">
      <c r="Z49452">
        <v>400000</v>
      </c>
    </row>
    <row r="49453" spans="26:26" x14ac:dyDescent="0.25">
      <c r="Z49453">
        <v>400000</v>
      </c>
    </row>
    <row r="49454" spans="26:26" x14ac:dyDescent="0.25">
      <c r="Z49454">
        <v>400000</v>
      </c>
    </row>
    <row r="49455" spans="26:26" x14ac:dyDescent="0.25">
      <c r="Z49455">
        <v>400000</v>
      </c>
    </row>
    <row r="49456" spans="26:26" x14ac:dyDescent="0.25">
      <c r="Z49456">
        <v>400000</v>
      </c>
    </row>
    <row r="49457" spans="26:26" x14ac:dyDescent="0.25">
      <c r="Z49457">
        <v>400000</v>
      </c>
    </row>
    <row r="49458" spans="26:26" x14ac:dyDescent="0.25">
      <c r="Z49458">
        <v>400000</v>
      </c>
    </row>
    <row r="49459" spans="26:26" x14ac:dyDescent="0.25">
      <c r="Z49459">
        <v>400000</v>
      </c>
    </row>
    <row r="49460" spans="26:26" x14ac:dyDescent="0.25">
      <c r="Z49460">
        <v>400000</v>
      </c>
    </row>
    <row r="49461" spans="26:26" x14ac:dyDescent="0.25">
      <c r="Z49461">
        <v>400000</v>
      </c>
    </row>
    <row r="49462" spans="26:26" x14ac:dyDescent="0.25">
      <c r="Z49462">
        <v>400000</v>
      </c>
    </row>
    <row r="49463" spans="26:26" x14ac:dyDescent="0.25">
      <c r="Z49463">
        <v>400000</v>
      </c>
    </row>
    <row r="49464" spans="26:26" x14ac:dyDescent="0.25">
      <c r="Z49464">
        <v>400000</v>
      </c>
    </row>
    <row r="49465" spans="26:26" x14ac:dyDescent="0.25">
      <c r="Z49465">
        <v>400000</v>
      </c>
    </row>
    <row r="49466" spans="26:26" x14ac:dyDescent="0.25">
      <c r="Z49466">
        <v>400000</v>
      </c>
    </row>
    <row r="49467" spans="26:26" x14ac:dyDescent="0.25">
      <c r="Z49467">
        <v>400000</v>
      </c>
    </row>
    <row r="49468" spans="26:26" x14ac:dyDescent="0.25">
      <c r="Z49468">
        <v>400000</v>
      </c>
    </row>
    <row r="49469" spans="26:26" x14ac:dyDescent="0.25">
      <c r="Z49469">
        <v>400000</v>
      </c>
    </row>
    <row r="49470" spans="26:26" x14ac:dyDescent="0.25">
      <c r="Z49470">
        <v>400000</v>
      </c>
    </row>
    <row r="49471" spans="26:26" x14ac:dyDescent="0.25">
      <c r="Z49471">
        <v>400000</v>
      </c>
    </row>
    <row r="49472" spans="26:26" x14ac:dyDescent="0.25">
      <c r="Z49472">
        <v>400000</v>
      </c>
    </row>
    <row r="49473" spans="26:26" x14ac:dyDescent="0.25">
      <c r="Z49473">
        <v>400000</v>
      </c>
    </row>
    <row r="49474" spans="26:26" x14ac:dyDescent="0.25">
      <c r="Z49474">
        <v>400000</v>
      </c>
    </row>
    <row r="49475" spans="26:26" x14ac:dyDescent="0.25">
      <c r="Z49475">
        <v>400000</v>
      </c>
    </row>
    <row r="49476" spans="26:26" x14ac:dyDescent="0.25">
      <c r="Z49476">
        <v>400000</v>
      </c>
    </row>
    <row r="49477" spans="26:26" x14ac:dyDescent="0.25">
      <c r="Z49477">
        <v>400000</v>
      </c>
    </row>
    <row r="49478" spans="26:26" x14ac:dyDescent="0.25">
      <c r="Z49478">
        <v>400000</v>
      </c>
    </row>
    <row r="49479" spans="26:26" x14ac:dyDescent="0.25">
      <c r="Z49479">
        <v>400000</v>
      </c>
    </row>
    <row r="49480" spans="26:26" x14ac:dyDescent="0.25">
      <c r="Z49480">
        <v>400000</v>
      </c>
    </row>
    <row r="49481" spans="26:26" x14ac:dyDescent="0.25">
      <c r="Z49481">
        <v>400000</v>
      </c>
    </row>
    <row r="49482" spans="26:26" x14ac:dyDescent="0.25">
      <c r="Z49482">
        <v>400000</v>
      </c>
    </row>
    <row r="49483" spans="26:26" x14ac:dyDescent="0.25">
      <c r="Z49483">
        <v>400000</v>
      </c>
    </row>
    <row r="49484" spans="26:26" x14ac:dyDescent="0.25">
      <c r="Z49484">
        <v>400000</v>
      </c>
    </row>
    <row r="49485" spans="26:26" x14ac:dyDescent="0.25">
      <c r="Z49485">
        <v>400000</v>
      </c>
    </row>
    <row r="49486" spans="26:26" x14ac:dyDescent="0.25">
      <c r="Z49486">
        <v>400000</v>
      </c>
    </row>
    <row r="49487" spans="26:26" x14ac:dyDescent="0.25">
      <c r="Z49487">
        <v>400000</v>
      </c>
    </row>
    <row r="49488" spans="26:26" x14ac:dyDescent="0.25">
      <c r="Z49488">
        <v>400000</v>
      </c>
    </row>
    <row r="49489" spans="26:26" x14ac:dyDescent="0.25">
      <c r="Z49489">
        <v>400000</v>
      </c>
    </row>
    <row r="49490" spans="26:26" x14ac:dyDescent="0.25">
      <c r="Z49490">
        <v>400000</v>
      </c>
    </row>
    <row r="49491" spans="26:26" x14ac:dyDescent="0.25">
      <c r="Z49491">
        <v>400000</v>
      </c>
    </row>
    <row r="49492" spans="26:26" x14ac:dyDescent="0.25">
      <c r="Z49492">
        <v>400000</v>
      </c>
    </row>
    <row r="49493" spans="26:26" x14ac:dyDescent="0.25">
      <c r="Z49493">
        <v>400000</v>
      </c>
    </row>
    <row r="49494" spans="26:26" x14ac:dyDescent="0.25">
      <c r="Z49494">
        <v>400000</v>
      </c>
    </row>
    <row r="49495" spans="26:26" x14ac:dyDescent="0.25">
      <c r="Z49495">
        <v>400000</v>
      </c>
    </row>
    <row r="49496" spans="26:26" x14ac:dyDescent="0.25">
      <c r="Z49496">
        <v>400000</v>
      </c>
    </row>
    <row r="49497" spans="26:26" x14ac:dyDescent="0.25">
      <c r="Z49497">
        <v>400000</v>
      </c>
    </row>
    <row r="49498" spans="26:26" x14ac:dyDescent="0.25">
      <c r="Z49498">
        <v>400000</v>
      </c>
    </row>
    <row r="49499" spans="26:26" x14ac:dyDescent="0.25">
      <c r="Z49499">
        <v>400000</v>
      </c>
    </row>
    <row r="49500" spans="26:26" x14ac:dyDescent="0.25">
      <c r="Z49500">
        <v>400000</v>
      </c>
    </row>
    <row r="49501" spans="26:26" x14ac:dyDescent="0.25">
      <c r="Z49501">
        <v>400000</v>
      </c>
    </row>
    <row r="49502" spans="26:26" x14ac:dyDescent="0.25">
      <c r="Z49502">
        <v>400000</v>
      </c>
    </row>
    <row r="49503" spans="26:26" x14ac:dyDescent="0.25">
      <c r="Z49503">
        <v>400000</v>
      </c>
    </row>
    <row r="49504" spans="26:26" x14ac:dyDescent="0.25">
      <c r="Z49504">
        <v>400000</v>
      </c>
    </row>
    <row r="49505" spans="26:26" x14ac:dyDescent="0.25">
      <c r="Z49505">
        <v>400000</v>
      </c>
    </row>
    <row r="49506" spans="26:26" x14ac:dyDescent="0.25">
      <c r="Z49506">
        <v>400000</v>
      </c>
    </row>
    <row r="49507" spans="26:26" x14ac:dyDescent="0.25">
      <c r="Z49507">
        <v>400000</v>
      </c>
    </row>
    <row r="49508" spans="26:26" x14ac:dyDescent="0.25">
      <c r="Z49508">
        <v>400000</v>
      </c>
    </row>
    <row r="49509" spans="26:26" x14ac:dyDescent="0.25">
      <c r="Z49509">
        <v>400000</v>
      </c>
    </row>
    <row r="49510" spans="26:26" x14ac:dyDescent="0.25">
      <c r="Z49510">
        <v>400000</v>
      </c>
    </row>
    <row r="49511" spans="26:26" x14ac:dyDescent="0.25">
      <c r="Z49511">
        <v>400000</v>
      </c>
    </row>
    <row r="49512" spans="26:26" x14ac:dyDescent="0.25">
      <c r="Z49512">
        <v>400000</v>
      </c>
    </row>
    <row r="49513" spans="26:26" x14ac:dyDescent="0.25">
      <c r="Z49513">
        <v>400000</v>
      </c>
    </row>
    <row r="49514" spans="26:26" x14ac:dyDescent="0.25">
      <c r="Z49514">
        <v>400000</v>
      </c>
    </row>
    <row r="49515" spans="26:26" x14ac:dyDescent="0.25">
      <c r="Z49515">
        <v>400000</v>
      </c>
    </row>
    <row r="49516" spans="26:26" x14ac:dyDescent="0.25">
      <c r="Z49516">
        <v>400000</v>
      </c>
    </row>
    <row r="49517" spans="26:26" x14ac:dyDescent="0.25">
      <c r="Z49517">
        <v>400000</v>
      </c>
    </row>
    <row r="49518" spans="26:26" x14ac:dyDescent="0.25">
      <c r="Z49518">
        <v>400000</v>
      </c>
    </row>
    <row r="49519" spans="26:26" x14ac:dyDescent="0.25">
      <c r="Z49519">
        <v>400000</v>
      </c>
    </row>
    <row r="49520" spans="26:26" x14ac:dyDescent="0.25">
      <c r="Z49520">
        <v>400000</v>
      </c>
    </row>
    <row r="49521" spans="26:26" x14ac:dyDescent="0.25">
      <c r="Z49521">
        <v>400000</v>
      </c>
    </row>
    <row r="49522" spans="26:26" x14ac:dyDescent="0.25">
      <c r="Z49522">
        <v>400000</v>
      </c>
    </row>
    <row r="49523" spans="26:26" x14ac:dyDescent="0.25">
      <c r="Z49523">
        <v>400000</v>
      </c>
    </row>
    <row r="49524" spans="26:26" x14ac:dyDescent="0.25">
      <c r="Z49524">
        <v>400000</v>
      </c>
    </row>
    <row r="49525" spans="26:26" x14ac:dyDescent="0.25">
      <c r="Z49525">
        <v>400000</v>
      </c>
    </row>
    <row r="49526" spans="26:26" x14ac:dyDescent="0.25">
      <c r="Z49526">
        <v>400000</v>
      </c>
    </row>
    <row r="49527" spans="26:26" x14ac:dyDescent="0.25">
      <c r="Z49527">
        <v>400000</v>
      </c>
    </row>
    <row r="49528" spans="26:26" x14ac:dyDescent="0.25">
      <c r="Z49528">
        <v>400000</v>
      </c>
    </row>
    <row r="49529" spans="26:26" x14ac:dyDescent="0.25">
      <c r="Z49529">
        <v>400000</v>
      </c>
    </row>
    <row r="49530" spans="26:26" x14ac:dyDescent="0.25">
      <c r="Z49530">
        <v>400000</v>
      </c>
    </row>
    <row r="49531" spans="26:26" x14ac:dyDescent="0.25">
      <c r="Z49531">
        <v>400000</v>
      </c>
    </row>
    <row r="49532" spans="26:26" x14ac:dyDescent="0.25">
      <c r="Z49532">
        <v>400000</v>
      </c>
    </row>
    <row r="49533" spans="26:26" x14ac:dyDescent="0.25">
      <c r="Z49533">
        <v>400000</v>
      </c>
    </row>
    <row r="49534" spans="26:26" x14ac:dyDescent="0.25">
      <c r="Z49534">
        <v>400000</v>
      </c>
    </row>
    <row r="49535" spans="26:26" x14ac:dyDescent="0.25">
      <c r="Z49535">
        <v>400000</v>
      </c>
    </row>
    <row r="49536" spans="26:26" x14ac:dyDescent="0.25">
      <c r="Z49536">
        <v>400000</v>
      </c>
    </row>
    <row r="49537" spans="26:26" x14ac:dyDescent="0.25">
      <c r="Z49537">
        <v>400000</v>
      </c>
    </row>
    <row r="49538" spans="26:26" x14ac:dyDescent="0.25">
      <c r="Z49538">
        <v>400000</v>
      </c>
    </row>
    <row r="49539" spans="26:26" x14ac:dyDescent="0.25">
      <c r="Z49539">
        <v>400000</v>
      </c>
    </row>
    <row r="49540" spans="26:26" x14ac:dyDescent="0.25">
      <c r="Z49540">
        <v>400000</v>
      </c>
    </row>
    <row r="49541" spans="26:26" x14ac:dyDescent="0.25">
      <c r="Z49541">
        <v>400000</v>
      </c>
    </row>
    <row r="49542" spans="26:26" x14ac:dyDescent="0.25">
      <c r="Z49542">
        <v>400000</v>
      </c>
    </row>
    <row r="49543" spans="26:26" x14ac:dyDescent="0.25">
      <c r="Z49543">
        <v>400000</v>
      </c>
    </row>
    <row r="49544" spans="26:26" x14ac:dyDescent="0.25">
      <c r="Z49544">
        <v>400000</v>
      </c>
    </row>
    <row r="49545" spans="26:26" x14ac:dyDescent="0.25">
      <c r="Z49545">
        <v>400000</v>
      </c>
    </row>
    <row r="49546" spans="26:26" x14ac:dyDescent="0.25">
      <c r="Z49546">
        <v>400000</v>
      </c>
    </row>
    <row r="49547" spans="26:26" x14ac:dyDescent="0.25">
      <c r="Z49547">
        <v>400000</v>
      </c>
    </row>
    <row r="49548" spans="26:26" x14ac:dyDescent="0.25">
      <c r="Z49548">
        <v>400000</v>
      </c>
    </row>
    <row r="49549" spans="26:26" x14ac:dyDescent="0.25">
      <c r="Z49549">
        <v>400000</v>
      </c>
    </row>
    <row r="49550" spans="26:26" x14ac:dyDescent="0.25">
      <c r="Z49550">
        <v>400000</v>
      </c>
    </row>
    <row r="49551" spans="26:26" x14ac:dyDescent="0.25">
      <c r="Z49551">
        <v>400000</v>
      </c>
    </row>
    <row r="49552" spans="26:26" x14ac:dyDescent="0.25">
      <c r="Z49552">
        <v>400000</v>
      </c>
    </row>
    <row r="49553" spans="26:26" x14ac:dyDescent="0.25">
      <c r="Z49553">
        <v>400000</v>
      </c>
    </row>
    <row r="49554" spans="26:26" x14ac:dyDescent="0.25">
      <c r="Z49554">
        <v>400000</v>
      </c>
    </row>
    <row r="49555" spans="26:26" x14ac:dyDescent="0.25">
      <c r="Z49555">
        <v>400000</v>
      </c>
    </row>
    <row r="49556" spans="26:26" x14ac:dyDescent="0.25">
      <c r="Z49556">
        <v>400000</v>
      </c>
    </row>
    <row r="49557" spans="26:26" x14ac:dyDescent="0.25">
      <c r="Z49557">
        <v>400000</v>
      </c>
    </row>
    <row r="49558" spans="26:26" x14ac:dyDescent="0.25">
      <c r="Z49558">
        <v>400000</v>
      </c>
    </row>
    <row r="49559" spans="26:26" x14ac:dyDescent="0.25">
      <c r="Z49559">
        <v>400000</v>
      </c>
    </row>
    <row r="49560" spans="26:26" x14ac:dyDescent="0.25">
      <c r="Z49560">
        <v>400000</v>
      </c>
    </row>
    <row r="49561" spans="26:26" x14ac:dyDescent="0.25">
      <c r="Z49561">
        <v>400000</v>
      </c>
    </row>
    <row r="49562" spans="26:26" x14ac:dyDescent="0.25">
      <c r="Z49562">
        <v>400000</v>
      </c>
    </row>
    <row r="49563" spans="26:26" x14ac:dyDescent="0.25">
      <c r="Z49563">
        <v>400000</v>
      </c>
    </row>
    <row r="49564" spans="26:26" x14ac:dyDescent="0.25">
      <c r="Z49564">
        <v>400000</v>
      </c>
    </row>
    <row r="49565" spans="26:26" x14ac:dyDescent="0.25">
      <c r="Z49565">
        <v>400000</v>
      </c>
    </row>
    <row r="49566" spans="26:26" x14ac:dyDescent="0.25">
      <c r="Z49566">
        <v>400000</v>
      </c>
    </row>
    <row r="49567" spans="26:26" x14ac:dyDescent="0.25">
      <c r="Z49567">
        <v>400000</v>
      </c>
    </row>
    <row r="49568" spans="26:26" x14ac:dyDescent="0.25">
      <c r="Z49568">
        <v>400000</v>
      </c>
    </row>
    <row r="49569" spans="26:26" x14ac:dyDescent="0.25">
      <c r="Z49569">
        <v>400000</v>
      </c>
    </row>
    <row r="49570" spans="26:26" x14ac:dyDescent="0.25">
      <c r="Z49570">
        <v>400000</v>
      </c>
    </row>
    <row r="49571" spans="26:26" x14ac:dyDescent="0.25">
      <c r="Z49571">
        <v>400000</v>
      </c>
    </row>
    <row r="49572" spans="26:26" x14ac:dyDescent="0.25">
      <c r="Z49572">
        <v>400000</v>
      </c>
    </row>
    <row r="49573" spans="26:26" x14ac:dyDescent="0.25">
      <c r="Z49573">
        <v>400000</v>
      </c>
    </row>
    <row r="49574" spans="26:26" x14ac:dyDescent="0.25">
      <c r="Z49574">
        <v>400000</v>
      </c>
    </row>
    <row r="49575" spans="26:26" x14ac:dyDescent="0.25">
      <c r="Z49575">
        <v>400000</v>
      </c>
    </row>
    <row r="49576" spans="26:26" x14ac:dyDescent="0.25">
      <c r="Z49576">
        <v>400000</v>
      </c>
    </row>
    <row r="49577" spans="26:26" x14ac:dyDescent="0.25">
      <c r="Z49577">
        <v>400000</v>
      </c>
    </row>
    <row r="49578" spans="26:26" x14ac:dyDescent="0.25">
      <c r="Z49578">
        <v>400000</v>
      </c>
    </row>
    <row r="49579" spans="26:26" x14ac:dyDescent="0.25">
      <c r="Z49579">
        <v>400000</v>
      </c>
    </row>
    <row r="49580" spans="26:26" x14ac:dyDescent="0.25">
      <c r="Z49580">
        <v>400000</v>
      </c>
    </row>
    <row r="49581" spans="26:26" x14ac:dyDescent="0.25">
      <c r="Z49581">
        <v>400000</v>
      </c>
    </row>
    <row r="49582" spans="26:26" x14ac:dyDescent="0.25">
      <c r="Z49582">
        <v>400000</v>
      </c>
    </row>
    <row r="49583" spans="26:26" x14ac:dyDescent="0.25">
      <c r="Z49583">
        <v>400000</v>
      </c>
    </row>
    <row r="49584" spans="26:26" x14ac:dyDescent="0.25">
      <c r="Z49584">
        <v>400000</v>
      </c>
    </row>
    <row r="49585" spans="26:26" x14ac:dyDescent="0.25">
      <c r="Z49585">
        <v>400000</v>
      </c>
    </row>
    <row r="49586" spans="26:26" x14ac:dyDescent="0.25">
      <c r="Z49586">
        <v>400000</v>
      </c>
    </row>
    <row r="49587" spans="26:26" x14ac:dyDescent="0.25">
      <c r="Z49587">
        <v>400000</v>
      </c>
    </row>
    <row r="49588" spans="26:26" x14ac:dyDescent="0.25">
      <c r="Z49588">
        <v>400000</v>
      </c>
    </row>
    <row r="49589" spans="26:26" x14ac:dyDescent="0.25">
      <c r="Z49589">
        <v>400000</v>
      </c>
    </row>
    <row r="49590" spans="26:26" x14ac:dyDescent="0.25">
      <c r="Z49590">
        <v>400000</v>
      </c>
    </row>
    <row r="49591" spans="26:26" x14ac:dyDescent="0.25">
      <c r="Z49591">
        <v>400000</v>
      </c>
    </row>
    <row r="49592" spans="26:26" x14ac:dyDescent="0.25">
      <c r="Z49592">
        <v>400000</v>
      </c>
    </row>
    <row r="49593" spans="26:26" x14ac:dyDescent="0.25">
      <c r="Z49593">
        <v>400000</v>
      </c>
    </row>
    <row r="49594" spans="26:26" x14ac:dyDescent="0.25">
      <c r="Z49594">
        <v>400000</v>
      </c>
    </row>
    <row r="49595" spans="26:26" x14ac:dyDescent="0.25">
      <c r="Z49595">
        <v>400000</v>
      </c>
    </row>
    <row r="49596" spans="26:26" x14ac:dyDescent="0.25">
      <c r="Z49596">
        <v>400000</v>
      </c>
    </row>
    <row r="49597" spans="26:26" x14ac:dyDescent="0.25">
      <c r="Z49597">
        <v>400000</v>
      </c>
    </row>
    <row r="49598" spans="26:26" x14ac:dyDescent="0.25">
      <c r="Z49598">
        <v>400000</v>
      </c>
    </row>
    <row r="49599" spans="26:26" x14ac:dyDescent="0.25">
      <c r="Z49599">
        <v>400000</v>
      </c>
    </row>
    <row r="49600" spans="26:26" x14ac:dyDescent="0.25">
      <c r="Z49600">
        <v>400000</v>
      </c>
    </row>
    <row r="49601" spans="26:26" x14ac:dyDescent="0.25">
      <c r="Z49601">
        <v>400000</v>
      </c>
    </row>
    <row r="49602" spans="26:26" x14ac:dyDescent="0.25">
      <c r="Z49602">
        <v>400000</v>
      </c>
    </row>
    <row r="49603" spans="26:26" x14ac:dyDescent="0.25">
      <c r="Z49603">
        <v>400000</v>
      </c>
    </row>
    <row r="49604" spans="26:26" x14ac:dyDescent="0.25">
      <c r="Z49604">
        <v>400000</v>
      </c>
    </row>
    <row r="49605" spans="26:26" x14ac:dyDescent="0.25">
      <c r="Z49605">
        <v>400000</v>
      </c>
    </row>
    <row r="49606" spans="26:26" x14ac:dyDescent="0.25">
      <c r="Z49606">
        <v>400000</v>
      </c>
    </row>
    <row r="49607" spans="26:26" x14ac:dyDescent="0.25">
      <c r="Z49607">
        <v>400000</v>
      </c>
    </row>
    <row r="49608" spans="26:26" x14ac:dyDescent="0.25">
      <c r="Z49608">
        <v>400000</v>
      </c>
    </row>
    <row r="49609" spans="26:26" x14ac:dyDescent="0.25">
      <c r="Z49609">
        <v>400000</v>
      </c>
    </row>
    <row r="49610" spans="26:26" x14ac:dyDescent="0.25">
      <c r="Z49610">
        <v>400000</v>
      </c>
    </row>
    <row r="49611" spans="26:26" x14ac:dyDescent="0.25">
      <c r="Z49611">
        <v>400000</v>
      </c>
    </row>
    <row r="49612" spans="26:26" x14ac:dyDescent="0.25">
      <c r="Z49612">
        <v>400000</v>
      </c>
    </row>
    <row r="49613" spans="26:26" x14ac:dyDescent="0.25">
      <c r="Z49613">
        <v>400000</v>
      </c>
    </row>
    <row r="49614" spans="26:26" x14ac:dyDescent="0.25">
      <c r="Z49614">
        <v>400000</v>
      </c>
    </row>
    <row r="49615" spans="26:26" x14ac:dyDescent="0.25">
      <c r="Z49615">
        <v>400000</v>
      </c>
    </row>
    <row r="49616" spans="26:26" x14ac:dyDescent="0.25">
      <c r="Z49616">
        <v>400000</v>
      </c>
    </row>
    <row r="49617" spans="26:26" x14ac:dyDescent="0.25">
      <c r="Z49617">
        <v>400000</v>
      </c>
    </row>
    <row r="49618" spans="26:26" x14ac:dyDescent="0.25">
      <c r="Z49618">
        <v>400000</v>
      </c>
    </row>
    <row r="49619" spans="26:26" x14ac:dyDescent="0.25">
      <c r="Z49619">
        <v>400000</v>
      </c>
    </row>
    <row r="49620" spans="26:26" x14ac:dyDescent="0.25">
      <c r="Z49620">
        <v>400000</v>
      </c>
    </row>
    <row r="49621" spans="26:26" x14ac:dyDescent="0.25">
      <c r="Z49621">
        <v>400000</v>
      </c>
    </row>
    <row r="49622" spans="26:26" x14ac:dyDescent="0.25">
      <c r="Z49622">
        <v>400000</v>
      </c>
    </row>
    <row r="49623" spans="26:26" x14ac:dyDescent="0.25">
      <c r="Z49623">
        <v>400000</v>
      </c>
    </row>
    <row r="49624" spans="26:26" x14ac:dyDescent="0.25">
      <c r="Z49624">
        <v>400000</v>
      </c>
    </row>
    <row r="49625" spans="26:26" x14ac:dyDescent="0.25">
      <c r="Z49625">
        <v>400000</v>
      </c>
    </row>
    <row r="49626" spans="26:26" x14ac:dyDescent="0.25">
      <c r="Z49626">
        <v>400000</v>
      </c>
    </row>
    <row r="49627" spans="26:26" x14ac:dyDescent="0.25">
      <c r="Z49627">
        <v>400000</v>
      </c>
    </row>
    <row r="49628" spans="26:26" x14ac:dyDescent="0.25">
      <c r="Z49628">
        <v>400000</v>
      </c>
    </row>
    <row r="49629" spans="26:26" x14ac:dyDescent="0.25">
      <c r="Z49629">
        <v>400000</v>
      </c>
    </row>
    <row r="49630" spans="26:26" x14ac:dyDescent="0.25">
      <c r="Z49630">
        <v>400000</v>
      </c>
    </row>
    <row r="49631" spans="26:26" x14ac:dyDescent="0.25">
      <c r="Z49631">
        <v>400000</v>
      </c>
    </row>
    <row r="49632" spans="26:26" x14ac:dyDescent="0.25">
      <c r="Z49632">
        <v>400000</v>
      </c>
    </row>
    <row r="49633" spans="26:26" x14ac:dyDescent="0.25">
      <c r="Z49633">
        <v>400000</v>
      </c>
    </row>
    <row r="49634" spans="26:26" x14ac:dyDescent="0.25">
      <c r="Z49634">
        <v>400000</v>
      </c>
    </row>
    <row r="49635" spans="26:26" x14ac:dyDescent="0.25">
      <c r="Z49635">
        <v>400000</v>
      </c>
    </row>
    <row r="49636" spans="26:26" x14ac:dyDescent="0.25">
      <c r="Z49636">
        <v>400000</v>
      </c>
    </row>
    <row r="49637" spans="26:26" x14ac:dyDescent="0.25">
      <c r="Z49637">
        <v>400000</v>
      </c>
    </row>
    <row r="49638" spans="26:26" x14ac:dyDescent="0.25">
      <c r="Z49638">
        <v>400000</v>
      </c>
    </row>
    <row r="49639" spans="26:26" x14ac:dyDescent="0.25">
      <c r="Z49639">
        <v>400000</v>
      </c>
    </row>
    <row r="49640" spans="26:26" x14ac:dyDescent="0.25">
      <c r="Z49640">
        <v>400000</v>
      </c>
    </row>
    <row r="49641" spans="26:26" x14ac:dyDescent="0.25">
      <c r="Z49641">
        <v>400000</v>
      </c>
    </row>
    <row r="49642" spans="26:26" x14ac:dyDescent="0.25">
      <c r="Z49642">
        <v>400000</v>
      </c>
    </row>
    <row r="49643" spans="26:26" x14ac:dyDescent="0.25">
      <c r="Z49643">
        <v>400000</v>
      </c>
    </row>
    <row r="49644" spans="26:26" x14ac:dyDescent="0.25">
      <c r="Z49644">
        <v>400000</v>
      </c>
    </row>
    <row r="49645" spans="26:26" x14ac:dyDescent="0.25">
      <c r="Z49645">
        <v>400000</v>
      </c>
    </row>
    <row r="49646" spans="26:26" x14ac:dyDescent="0.25">
      <c r="Z49646">
        <v>400000</v>
      </c>
    </row>
    <row r="49647" spans="26:26" x14ac:dyDescent="0.25">
      <c r="Z49647">
        <v>400000</v>
      </c>
    </row>
    <row r="49648" spans="26:26" x14ac:dyDescent="0.25">
      <c r="Z49648">
        <v>400000</v>
      </c>
    </row>
    <row r="49649" spans="26:26" x14ac:dyDescent="0.25">
      <c r="Z49649">
        <v>400000</v>
      </c>
    </row>
    <row r="49650" spans="26:26" x14ac:dyDescent="0.25">
      <c r="Z49650">
        <v>400000</v>
      </c>
    </row>
    <row r="49651" spans="26:26" x14ac:dyDescent="0.25">
      <c r="Z49651">
        <v>400000</v>
      </c>
    </row>
    <row r="49652" spans="26:26" x14ac:dyDescent="0.25">
      <c r="Z49652">
        <v>400000</v>
      </c>
    </row>
    <row r="49653" spans="26:26" x14ac:dyDescent="0.25">
      <c r="Z49653">
        <v>400000</v>
      </c>
    </row>
    <row r="49654" spans="26:26" x14ac:dyDescent="0.25">
      <c r="Z49654">
        <v>400000</v>
      </c>
    </row>
    <row r="49655" spans="26:26" x14ac:dyDescent="0.25">
      <c r="Z49655">
        <v>400000</v>
      </c>
    </row>
    <row r="49656" spans="26:26" x14ac:dyDescent="0.25">
      <c r="Z49656">
        <v>400000</v>
      </c>
    </row>
    <row r="49657" spans="26:26" x14ac:dyDescent="0.25">
      <c r="Z49657">
        <v>400000</v>
      </c>
    </row>
    <row r="49658" spans="26:26" x14ac:dyDescent="0.25">
      <c r="Z49658">
        <v>400000</v>
      </c>
    </row>
    <row r="49659" spans="26:26" x14ac:dyDescent="0.25">
      <c r="Z49659">
        <v>400000</v>
      </c>
    </row>
    <row r="49660" spans="26:26" x14ac:dyDescent="0.25">
      <c r="Z49660">
        <v>400000</v>
      </c>
    </row>
    <row r="49661" spans="26:26" x14ac:dyDescent="0.25">
      <c r="Z49661">
        <v>400000</v>
      </c>
    </row>
    <row r="49662" spans="26:26" x14ac:dyDescent="0.25">
      <c r="Z49662">
        <v>400000</v>
      </c>
    </row>
    <row r="49663" spans="26:26" x14ac:dyDescent="0.25">
      <c r="Z49663">
        <v>400000</v>
      </c>
    </row>
    <row r="49664" spans="26:26" x14ac:dyDescent="0.25">
      <c r="Z49664">
        <v>400000</v>
      </c>
    </row>
    <row r="49665" spans="26:26" x14ac:dyDescent="0.25">
      <c r="Z49665">
        <v>400000</v>
      </c>
    </row>
    <row r="49666" spans="26:26" x14ac:dyDescent="0.25">
      <c r="Z49666">
        <v>400000</v>
      </c>
    </row>
    <row r="49667" spans="26:26" x14ac:dyDescent="0.25">
      <c r="Z49667">
        <v>400000</v>
      </c>
    </row>
    <row r="49668" spans="26:26" x14ac:dyDescent="0.25">
      <c r="Z49668">
        <v>400000</v>
      </c>
    </row>
    <row r="49669" spans="26:26" x14ac:dyDescent="0.25">
      <c r="Z49669">
        <v>400000</v>
      </c>
    </row>
    <row r="49670" spans="26:26" x14ac:dyDescent="0.25">
      <c r="Z49670">
        <v>400000</v>
      </c>
    </row>
    <row r="49671" spans="26:26" x14ac:dyDescent="0.25">
      <c r="Z49671">
        <v>400000</v>
      </c>
    </row>
    <row r="49672" spans="26:26" x14ac:dyDescent="0.25">
      <c r="Z49672">
        <v>400000</v>
      </c>
    </row>
    <row r="49673" spans="26:26" x14ac:dyDescent="0.25">
      <c r="Z49673">
        <v>400000</v>
      </c>
    </row>
    <row r="49674" spans="26:26" x14ac:dyDescent="0.25">
      <c r="Z49674">
        <v>400000</v>
      </c>
    </row>
    <row r="49675" spans="26:26" x14ac:dyDescent="0.25">
      <c r="Z49675">
        <v>400000</v>
      </c>
    </row>
    <row r="49676" spans="26:26" x14ac:dyDescent="0.25">
      <c r="Z49676">
        <v>400000</v>
      </c>
    </row>
    <row r="49677" spans="26:26" x14ac:dyDescent="0.25">
      <c r="Z49677">
        <v>400000</v>
      </c>
    </row>
    <row r="49678" spans="26:26" x14ac:dyDescent="0.25">
      <c r="Z49678">
        <v>400000</v>
      </c>
    </row>
    <row r="49679" spans="26:26" x14ac:dyDescent="0.25">
      <c r="Z49679">
        <v>400000</v>
      </c>
    </row>
    <row r="49680" spans="26:26" x14ac:dyDescent="0.25">
      <c r="Z49680">
        <v>400000</v>
      </c>
    </row>
    <row r="49681" spans="26:26" x14ac:dyDescent="0.25">
      <c r="Z49681">
        <v>400000</v>
      </c>
    </row>
    <row r="49682" spans="26:26" x14ac:dyDescent="0.25">
      <c r="Z49682">
        <v>400000</v>
      </c>
    </row>
    <row r="49683" spans="26:26" x14ac:dyDescent="0.25">
      <c r="Z49683">
        <v>400000</v>
      </c>
    </row>
    <row r="49684" spans="26:26" x14ac:dyDescent="0.25">
      <c r="Z49684">
        <v>400000</v>
      </c>
    </row>
    <row r="49685" spans="26:26" x14ac:dyDescent="0.25">
      <c r="Z49685">
        <v>400000</v>
      </c>
    </row>
    <row r="49686" spans="26:26" x14ac:dyDescent="0.25">
      <c r="Z49686">
        <v>400000</v>
      </c>
    </row>
    <row r="49687" spans="26:26" x14ac:dyDescent="0.25">
      <c r="Z49687">
        <v>400000</v>
      </c>
    </row>
    <row r="49688" spans="26:26" x14ac:dyDescent="0.25">
      <c r="Z49688">
        <v>400000</v>
      </c>
    </row>
    <row r="49689" spans="26:26" x14ac:dyDescent="0.25">
      <c r="Z49689">
        <v>400000</v>
      </c>
    </row>
    <row r="49690" spans="26:26" x14ac:dyDescent="0.25">
      <c r="Z49690">
        <v>400000</v>
      </c>
    </row>
    <row r="49691" spans="26:26" x14ac:dyDescent="0.25">
      <c r="Z49691">
        <v>400000</v>
      </c>
    </row>
    <row r="49692" spans="26:26" x14ac:dyDescent="0.25">
      <c r="Z49692">
        <v>400000</v>
      </c>
    </row>
    <row r="49693" spans="26:26" x14ac:dyDescent="0.25">
      <c r="Z49693">
        <v>400000</v>
      </c>
    </row>
    <row r="49694" spans="26:26" x14ac:dyDescent="0.25">
      <c r="Z49694">
        <v>400000</v>
      </c>
    </row>
    <row r="49695" spans="26:26" x14ac:dyDescent="0.25">
      <c r="Z49695">
        <v>400000</v>
      </c>
    </row>
    <row r="49696" spans="26:26" x14ac:dyDescent="0.25">
      <c r="Z49696">
        <v>400000</v>
      </c>
    </row>
    <row r="49697" spans="26:26" x14ac:dyDescent="0.25">
      <c r="Z49697">
        <v>400000</v>
      </c>
    </row>
    <row r="49698" spans="26:26" x14ac:dyDescent="0.25">
      <c r="Z49698">
        <v>400000</v>
      </c>
    </row>
    <row r="49699" spans="26:26" x14ac:dyDescent="0.25">
      <c r="Z49699">
        <v>400000</v>
      </c>
    </row>
    <row r="49700" spans="26:26" x14ac:dyDescent="0.25">
      <c r="Z49700">
        <v>400000</v>
      </c>
    </row>
    <row r="49701" spans="26:26" x14ac:dyDescent="0.25">
      <c r="Z49701">
        <v>400000</v>
      </c>
    </row>
    <row r="49702" spans="26:26" x14ac:dyDescent="0.25">
      <c r="Z49702">
        <v>400000</v>
      </c>
    </row>
    <row r="49703" spans="26:26" x14ac:dyDescent="0.25">
      <c r="Z49703">
        <v>400000</v>
      </c>
    </row>
    <row r="49704" spans="26:26" x14ac:dyDescent="0.25">
      <c r="Z49704">
        <v>400000</v>
      </c>
    </row>
    <row r="49705" spans="26:26" x14ac:dyDescent="0.25">
      <c r="Z49705">
        <v>400000</v>
      </c>
    </row>
    <row r="49706" spans="26:26" x14ac:dyDescent="0.25">
      <c r="Z49706">
        <v>400000</v>
      </c>
    </row>
    <row r="49707" spans="26:26" x14ac:dyDescent="0.25">
      <c r="Z49707">
        <v>400000</v>
      </c>
    </row>
    <row r="49708" spans="26:26" x14ac:dyDescent="0.25">
      <c r="Z49708">
        <v>400000</v>
      </c>
    </row>
    <row r="49709" spans="26:26" x14ac:dyDescent="0.25">
      <c r="Z49709">
        <v>400000</v>
      </c>
    </row>
    <row r="49710" spans="26:26" x14ac:dyDescent="0.25">
      <c r="Z49710">
        <v>400000</v>
      </c>
    </row>
    <row r="49711" spans="26:26" x14ac:dyDescent="0.25">
      <c r="Z49711">
        <v>400000</v>
      </c>
    </row>
    <row r="49712" spans="26:26" x14ac:dyDescent="0.25">
      <c r="Z49712">
        <v>400000</v>
      </c>
    </row>
    <row r="49713" spans="26:26" x14ac:dyDescent="0.25">
      <c r="Z49713">
        <v>400000</v>
      </c>
    </row>
    <row r="49714" spans="26:26" x14ac:dyDescent="0.25">
      <c r="Z49714">
        <v>400000</v>
      </c>
    </row>
    <row r="49715" spans="26:26" x14ac:dyDescent="0.25">
      <c r="Z49715">
        <v>400000</v>
      </c>
    </row>
    <row r="49716" spans="26:26" x14ac:dyDescent="0.25">
      <c r="Z49716">
        <v>400000</v>
      </c>
    </row>
    <row r="49717" spans="26:26" x14ac:dyDescent="0.25">
      <c r="Z49717">
        <v>400000</v>
      </c>
    </row>
    <row r="49718" spans="26:26" x14ac:dyDescent="0.25">
      <c r="Z49718">
        <v>400000</v>
      </c>
    </row>
    <row r="49719" spans="26:26" x14ac:dyDescent="0.25">
      <c r="Z49719">
        <v>400000</v>
      </c>
    </row>
    <row r="49720" spans="26:26" x14ac:dyDescent="0.25">
      <c r="Z49720">
        <v>400000</v>
      </c>
    </row>
    <row r="49721" spans="26:26" x14ac:dyDescent="0.25">
      <c r="Z49721">
        <v>400000</v>
      </c>
    </row>
    <row r="49722" spans="26:26" x14ac:dyDescent="0.25">
      <c r="Z49722">
        <v>400000</v>
      </c>
    </row>
    <row r="49723" spans="26:26" x14ac:dyDescent="0.25">
      <c r="Z49723">
        <v>400000</v>
      </c>
    </row>
    <row r="49724" spans="26:26" x14ac:dyDescent="0.25">
      <c r="Z49724">
        <v>400000</v>
      </c>
    </row>
    <row r="49725" spans="26:26" x14ac:dyDescent="0.25">
      <c r="Z49725">
        <v>400000</v>
      </c>
    </row>
    <row r="49726" spans="26:26" x14ac:dyDescent="0.25">
      <c r="Z49726">
        <v>400000</v>
      </c>
    </row>
    <row r="49727" spans="26:26" x14ac:dyDescent="0.25">
      <c r="Z49727">
        <v>400000</v>
      </c>
    </row>
    <row r="49728" spans="26:26" x14ac:dyDescent="0.25">
      <c r="Z49728">
        <v>400000</v>
      </c>
    </row>
    <row r="49729" spans="26:26" x14ac:dyDescent="0.25">
      <c r="Z49729">
        <v>400000</v>
      </c>
    </row>
    <row r="49730" spans="26:26" x14ac:dyDescent="0.25">
      <c r="Z49730">
        <v>400000</v>
      </c>
    </row>
    <row r="49731" spans="26:26" x14ac:dyDescent="0.25">
      <c r="Z49731">
        <v>400000</v>
      </c>
    </row>
    <row r="49732" spans="26:26" x14ac:dyDescent="0.25">
      <c r="Z49732">
        <v>400000</v>
      </c>
    </row>
    <row r="49733" spans="26:26" x14ac:dyDescent="0.25">
      <c r="Z49733">
        <v>400000</v>
      </c>
    </row>
    <row r="49734" spans="26:26" x14ac:dyDescent="0.25">
      <c r="Z49734">
        <v>400000</v>
      </c>
    </row>
    <row r="49735" spans="26:26" x14ac:dyDescent="0.25">
      <c r="Z49735">
        <v>400000</v>
      </c>
    </row>
    <row r="49736" spans="26:26" x14ac:dyDescent="0.25">
      <c r="Z49736">
        <v>400000</v>
      </c>
    </row>
    <row r="49737" spans="26:26" x14ac:dyDescent="0.25">
      <c r="Z49737">
        <v>400000</v>
      </c>
    </row>
    <row r="49738" spans="26:26" x14ac:dyDescent="0.25">
      <c r="Z49738">
        <v>400000</v>
      </c>
    </row>
    <row r="49739" spans="26:26" x14ac:dyDescent="0.25">
      <c r="Z49739">
        <v>400000</v>
      </c>
    </row>
    <row r="49740" spans="26:26" x14ac:dyDescent="0.25">
      <c r="Z49740">
        <v>400000</v>
      </c>
    </row>
    <row r="49741" spans="26:26" x14ac:dyDescent="0.25">
      <c r="Z49741">
        <v>400000</v>
      </c>
    </row>
    <row r="49742" spans="26:26" x14ac:dyDescent="0.25">
      <c r="Z49742">
        <v>400000</v>
      </c>
    </row>
    <row r="49743" spans="26:26" x14ac:dyDescent="0.25">
      <c r="Z49743">
        <v>400000</v>
      </c>
    </row>
    <row r="49744" spans="26:26" x14ac:dyDescent="0.25">
      <c r="Z49744">
        <v>400000</v>
      </c>
    </row>
    <row r="49745" spans="26:26" x14ac:dyDescent="0.25">
      <c r="Z49745">
        <v>400000</v>
      </c>
    </row>
    <row r="49746" spans="26:26" x14ac:dyDescent="0.25">
      <c r="Z49746">
        <v>400000</v>
      </c>
    </row>
    <row r="49747" spans="26:26" x14ac:dyDescent="0.25">
      <c r="Z49747">
        <v>400000</v>
      </c>
    </row>
    <row r="49748" spans="26:26" x14ac:dyDescent="0.25">
      <c r="Z49748">
        <v>400000</v>
      </c>
    </row>
    <row r="49749" spans="26:26" x14ac:dyDescent="0.25">
      <c r="Z49749">
        <v>400000</v>
      </c>
    </row>
    <row r="49750" spans="26:26" x14ac:dyDescent="0.25">
      <c r="Z49750">
        <v>400000</v>
      </c>
    </row>
    <row r="49751" spans="26:26" x14ac:dyDescent="0.25">
      <c r="Z49751">
        <v>400000</v>
      </c>
    </row>
    <row r="49752" spans="26:26" x14ac:dyDescent="0.25">
      <c r="Z49752">
        <v>400000</v>
      </c>
    </row>
    <row r="49753" spans="26:26" x14ac:dyDescent="0.25">
      <c r="Z49753">
        <v>400000</v>
      </c>
    </row>
    <row r="49754" spans="26:26" x14ac:dyDescent="0.25">
      <c r="Z49754">
        <v>400000</v>
      </c>
    </row>
    <row r="49755" spans="26:26" x14ac:dyDescent="0.25">
      <c r="Z49755">
        <v>400000</v>
      </c>
    </row>
    <row r="49756" spans="26:26" x14ac:dyDescent="0.25">
      <c r="Z49756">
        <v>400000</v>
      </c>
    </row>
    <row r="49757" spans="26:26" x14ac:dyDescent="0.25">
      <c r="Z49757">
        <v>400000</v>
      </c>
    </row>
    <row r="49758" spans="26:26" x14ac:dyDescent="0.25">
      <c r="Z49758">
        <v>400000</v>
      </c>
    </row>
    <row r="49759" spans="26:26" x14ac:dyDescent="0.25">
      <c r="Z49759">
        <v>400000</v>
      </c>
    </row>
    <row r="49760" spans="26:26" x14ac:dyDescent="0.25">
      <c r="Z49760">
        <v>400000</v>
      </c>
    </row>
    <row r="49761" spans="26:26" x14ac:dyDescent="0.25">
      <c r="Z49761">
        <v>400000</v>
      </c>
    </row>
    <row r="49762" spans="26:26" x14ac:dyDescent="0.25">
      <c r="Z49762">
        <v>400000</v>
      </c>
    </row>
    <row r="49763" spans="26:26" x14ac:dyDescent="0.25">
      <c r="Z49763">
        <v>400000</v>
      </c>
    </row>
    <row r="49764" spans="26:26" x14ac:dyDescent="0.25">
      <c r="Z49764">
        <v>400000</v>
      </c>
    </row>
    <row r="49765" spans="26:26" x14ac:dyDescent="0.25">
      <c r="Z49765">
        <v>400000</v>
      </c>
    </row>
    <row r="49766" spans="26:26" x14ac:dyDescent="0.25">
      <c r="Z49766">
        <v>400000</v>
      </c>
    </row>
    <row r="49767" spans="26:26" x14ac:dyDescent="0.25">
      <c r="Z49767">
        <v>400000</v>
      </c>
    </row>
    <row r="49768" spans="26:26" x14ac:dyDescent="0.25">
      <c r="Z49768">
        <v>400000</v>
      </c>
    </row>
    <row r="49769" spans="26:26" x14ac:dyDescent="0.25">
      <c r="Z49769">
        <v>400000</v>
      </c>
    </row>
    <row r="49770" spans="26:26" x14ac:dyDescent="0.25">
      <c r="Z49770">
        <v>400000</v>
      </c>
    </row>
    <row r="49771" spans="26:26" x14ac:dyDescent="0.25">
      <c r="Z49771">
        <v>400000</v>
      </c>
    </row>
    <row r="49772" spans="26:26" x14ac:dyDescent="0.25">
      <c r="Z49772">
        <v>400000</v>
      </c>
    </row>
    <row r="49773" spans="26:26" x14ac:dyDescent="0.25">
      <c r="Z49773">
        <v>400000</v>
      </c>
    </row>
    <row r="49774" spans="26:26" x14ac:dyDescent="0.25">
      <c r="Z49774">
        <v>400000</v>
      </c>
    </row>
    <row r="49775" spans="26:26" x14ac:dyDescent="0.25">
      <c r="Z49775">
        <v>400000</v>
      </c>
    </row>
    <row r="49776" spans="26:26" x14ac:dyDescent="0.25">
      <c r="Z49776">
        <v>400000</v>
      </c>
    </row>
    <row r="49777" spans="26:26" x14ac:dyDescent="0.25">
      <c r="Z49777">
        <v>400000</v>
      </c>
    </row>
    <row r="49778" spans="26:26" x14ac:dyDescent="0.25">
      <c r="Z49778">
        <v>400000</v>
      </c>
    </row>
    <row r="49779" spans="26:26" x14ac:dyDescent="0.25">
      <c r="Z49779">
        <v>400000</v>
      </c>
    </row>
    <row r="49780" spans="26:26" x14ac:dyDescent="0.25">
      <c r="Z49780">
        <v>400000</v>
      </c>
    </row>
    <row r="49781" spans="26:26" x14ac:dyDescent="0.25">
      <c r="Z49781">
        <v>400000</v>
      </c>
    </row>
    <row r="49782" spans="26:26" x14ac:dyDescent="0.25">
      <c r="Z49782">
        <v>400000</v>
      </c>
    </row>
    <row r="49783" spans="26:26" x14ac:dyDescent="0.25">
      <c r="Z49783">
        <v>400000</v>
      </c>
    </row>
    <row r="49784" spans="26:26" x14ac:dyDescent="0.25">
      <c r="Z49784">
        <v>400000</v>
      </c>
    </row>
    <row r="49785" spans="26:26" x14ac:dyDescent="0.25">
      <c r="Z49785">
        <v>400000</v>
      </c>
    </row>
    <row r="49786" spans="26:26" x14ac:dyDescent="0.25">
      <c r="Z49786">
        <v>400000</v>
      </c>
    </row>
    <row r="49787" spans="26:26" x14ac:dyDescent="0.25">
      <c r="Z49787">
        <v>400000</v>
      </c>
    </row>
    <row r="49788" spans="26:26" x14ac:dyDescent="0.25">
      <c r="Z49788">
        <v>400000</v>
      </c>
    </row>
    <row r="49789" spans="26:26" x14ac:dyDescent="0.25">
      <c r="Z49789">
        <v>400000</v>
      </c>
    </row>
    <row r="49790" spans="26:26" x14ac:dyDescent="0.25">
      <c r="Z49790">
        <v>400000</v>
      </c>
    </row>
    <row r="49791" spans="26:26" x14ac:dyDescent="0.25">
      <c r="Z49791">
        <v>400000</v>
      </c>
    </row>
    <row r="49792" spans="26:26" x14ac:dyDescent="0.25">
      <c r="Z49792">
        <v>400000</v>
      </c>
    </row>
    <row r="49793" spans="26:26" x14ac:dyDescent="0.25">
      <c r="Z49793">
        <v>400000</v>
      </c>
    </row>
    <row r="49794" spans="26:26" x14ac:dyDescent="0.25">
      <c r="Z49794">
        <v>400000</v>
      </c>
    </row>
    <row r="49795" spans="26:26" x14ac:dyDescent="0.25">
      <c r="Z49795">
        <v>400000</v>
      </c>
    </row>
    <row r="49796" spans="26:26" x14ac:dyDescent="0.25">
      <c r="Z49796">
        <v>400000</v>
      </c>
    </row>
    <row r="49797" spans="26:26" x14ac:dyDescent="0.25">
      <c r="Z49797">
        <v>400000</v>
      </c>
    </row>
    <row r="49798" spans="26:26" x14ac:dyDescent="0.25">
      <c r="Z49798">
        <v>400000</v>
      </c>
    </row>
    <row r="49799" spans="26:26" x14ac:dyDescent="0.25">
      <c r="Z49799">
        <v>400000</v>
      </c>
    </row>
    <row r="49800" spans="26:26" x14ac:dyDescent="0.25">
      <c r="Z49800">
        <v>400000</v>
      </c>
    </row>
    <row r="49801" spans="26:26" x14ac:dyDescent="0.25">
      <c r="Z49801">
        <v>400000</v>
      </c>
    </row>
    <row r="49802" spans="26:26" x14ac:dyDescent="0.25">
      <c r="Z49802">
        <v>400000</v>
      </c>
    </row>
    <row r="49803" spans="26:26" x14ac:dyDescent="0.25">
      <c r="Z49803">
        <v>400000</v>
      </c>
    </row>
    <row r="49804" spans="26:26" x14ac:dyDescent="0.25">
      <c r="Z49804">
        <v>400000</v>
      </c>
    </row>
    <row r="49805" spans="26:26" x14ac:dyDescent="0.25">
      <c r="Z49805">
        <v>400000</v>
      </c>
    </row>
    <row r="49806" spans="26:26" x14ac:dyDescent="0.25">
      <c r="Z49806">
        <v>400000</v>
      </c>
    </row>
    <row r="49807" spans="26:26" x14ac:dyDescent="0.25">
      <c r="Z49807">
        <v>400000</v>
      </c>
    </row>
    <row r="49808" spans="26:26" x14ac:dyDescent="0.25">
      <c r="Z49808">
        <v>400000</v>
      </c>
    </row>
    <row r="49809" spans="26:26" x14ac:dyDescent="0.25">
      <c r="Z49809">
        <v>400000</v>
      </c>
    </row>
    <row r="49810" spans="26:26" x14ac:dyDescent="0.25">
      <c r="Z49810">
        <v>400000</v>
      </c>
    </row>
    <row r="49811" spans="26:26" x14ac:dyDescent="0.25">
      <c r="Z49811">
        <v>400000</v>
      </c>
    </row>
    <row r="49812" spans="26:26" x14ac:dyDescent="0.25">
      <c r="Z49812">
        <v>400000</v>
      </c>
    </row>
    <row r="49813" spans="26:26" x14ac:dyDescent="0.25">
      <c r="Z49813">
        <v>400000</v>
      </c>
    </row>
    <row r="49814" spans="26:26" x14ac:dyDescent="0.25">
      <c r="Z49814">
        <v>400000</v>
      </c>
    </row>
    <row r="49815" spans="26:26" x14ac:dyDescent="0.25">
      <c r="Z49815">
        <v>400000</v>
      </c>
    </row>
    <row r="49816" spans="26:26" x14ac:dyDescent="0.25">
      <c r="Z49816">
        <v>400000</v>
      </c>
    </row>
    <row r="49817" spans="26:26" x14ac:dyDescent="0.25">
      <c r="Z49817">
        <v>400000</v>
      </c>
    </row>
    <row r="49818" spans="26:26" x14ac:dyDescent="0.25">
      <c r="Z49818">
        <v>400000</v>
      </c>
    </row>
    <row r="49819" spans="26:26" x14ac:dyDescent="0.25">
      <c r="Z49819">
        <v>400000</v>
      </c>
    </row>
    <row r="49820" spans="26:26" x14ac:dyDescent="0.25">
      <c r="Z49820">
        <v>400000</v>
      </c>
    </row>
    <row r="49821" spans="26:26" x14ac:dyDescent="0.25">
      <c r="Z49821">
        <v>400000</v>
      </c>
    </row>
    <row r="49822" spans="26:26" x14ac:dyDescent="0.25">
      <c r="Z49822">
        <v>400000</v>
      </c>
    </row>
    <row r="49823" spans="26:26" x14ac:dyDescent="0.25">
      <c r="Z49823">
        <v>400000</v>
      </c>
    </row>
    <row r="49824" spans="26:26" x14ac:dyDescent="0.25">
      <c r="Z49824">
        <v>400000</v>
      </c>
    </row>
    <row r="49825" spans="26:26" x14ac:dyDescent="0.25">
      <c r="Z49825">
        <v>400000</v>
      </c>
    </row>
    <row r="49826" spans="26:26" x14ac:dyDescent="0.25">
      <c r="Z49826">
        <v>400000</v>
      </c>
    </row>
    <row r="49827" spans="26:26" x14ac:dyDescent="0.25">
      <c r="Z49827">
        <v>400000</v>
      </c>
    </row>
    <row r="49828" spans="26:26" x14ac:dyDescent="0.25">
      <c r="Z49828">
        <v>400000</v>
      </c>
    </row>
    <row r="49829" spans="26:26" x14ac:dyDescent="0.25">
      <c r="Z49829">
        <v>400000</v>
      </c>
    </row>
    <row r="49830" spans="26:26" x14ac:dyDescent="0.25">
      <c r="Z49830">
        <v>400000</v>
      </c>
    </row>
    <row r="49831" spans="26:26" x14ac:dyDescent="0.25">
      <c r="Z49831">
        <v>400000</v>
      </c>
    </row>
    <row r="49832" spans="26:26" x14ac:dyDescent="0.25">
      <c r="Z49832">
        <v>400000</v>
      </c>
    </row>
    <row r="49833" spans="26:26" x14ac:dyDescent="0.25">
      <c r="Z49833">
        <v>400000</v>
      </c>
    </row>
    <row r="49834" spans="26:26" x14ac:dyDescent="0.25">
      <c r="Z49834">
        <v>400000</v>
      </c>
    </row>
    <row r="49835" spans="26:26" x14ac:dyDescent="0.25">
      <c r="Z49835">
        <v>400000</v>
      </c>
    </row>
    <row r="49836" spans="26:26" x14ac:dyDescent="0.25">
      <c r="Z49836">
        <v>400000</v>
      </c>
    </row>
    <row r="49837" spans="26:26" x14ac:dyDescent="0.25">
      <c r="Z49837">
        <v>400000</v>
      </c>
    </row>
    <row r="49838" spans="26:26" x14ac:dyDescent="0.25">
      <c r="Z49838">
        <v>400000</v>
      </c>
    </row>
    <row r="49839" spans="26:26" x14ac:dyDescent="0.25">
      <c r="Z49839">
        <v>400000</v>
      </c>
    </row>
    <row r="49840" spans="26:26" x14ac:dyDescent="0.25">
      <c r="Z49840">
        <v>400000</v>
      </c>
    </row>
    <row r="49841" spans="26:26" x14ac:dyDescent="0.25">
      <c r="Z49841">
        <v>400000</v>
      </c>
    </row>
    <row r="49842" spans="26:26" x14ac:dyDescent="0.25">
      <c r="Z49842">
        <v>400000</v>
      </c>
    </row>
    <row r="49843" spans="26:26" x14ac:dyDescent="0.25">
      <c r="Z49843">
        <v>400000</v>
      </c>
    </row>
    <row r="49844" spans="26:26" x14ac:dyDescent="0.25">
      <c r="Z49844">
        <v>400000</v>
      </c>
    </row>
    <row r="49845" spans="26:26" x14ac:dyDescent="0.25">
      <c r="Z49845">
        <v>400000</v>
      </c>
    </row>
    <row r="49846" spans="26:26" x14ac:dyDescent="0.25">
      <c r="Z49846">
        <v>400000</v>
      </c>
    </row>
    <row r="49847" spans="26:26" x14ac:dyDescent="0.25">
      <c r="Z49847">
        <v>400000</v>
      </c>
    </row>
    <row r="49848" spans="26:26" x14ac:dyDescent="0.25">
      <c r="Z49848">
        <v>400000</v>
      </c>
    </row>
    <row r="49849" spans="26:26" x14ac:dyDescent="0.25">
      <c r="Z49849">
        <v>400000</v>
      </c>
    </row>
    <row r="49850" spans="26:26" x14ac:dyDescent="0.25">
      <c r="Z49850">
        <v>400000</v>
      </c>
    </row>
    <row r="49851" spans="26:26" x14ac:dyDescent="0.25">
      <c r="Z49851">
        <v>400000</v>
      </c>
    </row>
    <row r="49852" spans="26:26" x14ac:dyDescent="0.25">
      <c r="Z49852">
        <v>400000</v>
      </c>
    </row>
    <row r="49853" spans="26:26" x14ac:dyDescent="0.25">
      <c r="Z49853">
        <v>400000</v>
      </c>
    </row>
    <row r="49854" spans="26:26" x14ac:dyDescent="0.25">
      <c r="Z49854">
        <v>400000</v>
      </c>
    </row>
    <row r="49855" spans="26:26" x14ac:dyDescent="0.25">
      <c r="Z49855">
        <v>400000</v>
      </c>
    </row>
    <row r="49856" spans="26:26" x14ac:dyDescent="0.25">
      <c r="Z49856">
        <v>400000</v>
      </c>
    </row>
    <row r="49857" spans="26:26" x14ac:dyDescent="0.25">
      <c r="Z49857">
        <v>400000</v>
      </c>
    </row>
    <row r="49858" spans="26:26" x14ac:dyDescent="0.25">
      <c r="Z49858">
        <v>400000</v>
      </c>
    </row>
    <row r="49859" spans="26:26" x14ac:dyDescent="0.25">
      <c r="Z49859">
        <v>400000</v>
      </c>
    </row>
    <row r="49860" spans="26:26" x14ac:dyDescent="0.25">
      <c r="Z49860">
        <v>400000</v>
      </c>
    </row>
    <row r="49861" spans="26:26" x14ac:dyDescent="0.25">
      <c r="Z49861">
        <v>400000</v>
      </c>
    </row>
    <row r="49862" spans="26:26" x14ac:dyDescent="0.25">
      <c r="Z49862">
        <v>400000</v>
      </c>
    </row>
    <row r="49863" spans="26:26" x14ac:dyDescent="0.25">
      <c r="Z49863">
        <v>400000</v>
      </c>
    </row>
    <row r="49864" spans="26:26" x14ac:dyDescent="0.25">
      <c r="Z49864">
        <v>400000</v>
      </c>
    </row>
    <row r="49865" spans="26:26" x14ac:dyDescent="0.25">
      <c r="Z49865">
        <v>400000</v>
      </c>
    </row>
    <row r="49866" spans="26:26" x14ac:dyDescent="0.25">
      <c r="Z49866">
        <v>400000</v>
      </c>
    </row>
    <row r="49867" spans="26:26" x14ac:dyDescent="0.25">
      <c r="Z49867">
        <v>400000</v>
      </c>
    </row>
    <row r="49868" spans="26:26" x14ac:dyDescent="0.25">
      <c r="Z49868">
        <v>400000</v>
      </c>
    </row>
    <row r="49869" spans="26:26" x14ac:dyDescent="0.25">
      <c r="Z49869">
        <v>400000</v>
      </c>
    </row>
    <row r="49870" spans="26:26" x14ac:dyDescent="0.25">
      <c r="Z49870">
        <v>400000</v>
      </c>
    </row>
    <row r="49871" spans="26:26" x14ac:dyDescent="0.25">
      <c r="Z49871">
        <v>400000</v>
      </c>
    </row>
    <row r="49872" spans="26:26" x14ac:dyDescent="0.25">
      <c r="Z49872">
        <v>400000</v>
      </c>
    </row>
    <row r="49873" spans="26:26" x14ac:dyDescent="0.25">
      <c r="Z49873">
        <v>400000</v>
      </c>
    </row>
    <row r="49874" spans="26:26" x14ac:dyDescent="0.25">
      <c r="Z49874">
        <v>400000</v>
      </c>
    </row>
    <row r="49875" spans="26:26" x14ac:dyDescent="0.25">
      <c r="Z49875">
        <v>400000</v>
      </c>
    </row>
    <row r="49876" spans="26:26" x14ac:dyDescent="0.25">
      <c r="Z49876">
        <v>400000</v>
      </c>
    </row>
    <row r="49877" spans="26:26" x14ac:dyDescent="0.25">
      <c r="Z49877">
        <v>400000</v>
      </c>
    </row>
    <row r="49878" spans="26:26" x14ac:dyDescent="0.25">
      <c r="Z49878">
        <v>400000</v>
      </c>
    </row>
    <row r="49879" spans="26:26" x14ac:dyDescent="0.25">
      <c r="Z49879">
        <v>400000</v>
      </c>
    </row>
    <row r="49880" spans="26:26" x14ac:dyDescent="0.25">
      <c r="Z49880">
        <v>400000</v>
      </c>
    </row>
    <row r="49881" spans="26:26" x14ac:dyDescent="0.25">
      <c r="Z49881">
        <v>400000</v>
      </c>
    </row>
    <row r="49882" spans="26:26" x14ac:dyDescent="0.25">
      <c r="Z49882">
        <v>400000</v>
      </c>
    </row>
    <row r="49883" spans="26:26" x14ac:dyDescent="0.25">
      <c r="Z49883">
        <v>400000</v>
      </c>
    </row>
    <row r="49884" spans="26:26" x14ac:dyDescent="0.25">
      <c r="Z49884">
        <v>400000</v>
      </c>
    </row>
    <row r="49885" spans="26:26" x14ac:dyDescent="0.25">
      <c r="Z49885">
        <v>400000</v>
      </c>
    </row>
    <row r="49886" spans="26:26" x14ac:dyDescent="0.25">
      <c r="Z49886">
        <v>400000</v>
      </c>
    </row>
    <row r="49887" spans="26:26" x14ac:dyDescent="0.25">
      <c r="Z49887">
        <v>400000</v>
      </c>
    </row>
    <row r="49888" spans="26:26" x14ac:dyDescent="0.25">
      <c r="Z49888">
        <v>400000</v>
      </c>
    </row>
    <row r="49889" spans="26:26" x14ac:dyDescent="0.25">
      <c r="Z49889">
        <v>400000</v>
      </c>
    </row>
    <row r="49890" spans="26:26" x14ac:dyDescent="0.25">
      <c r="Z49890">
        <v>400000</v>
      </c>
    </row>
    <row r="49891" spans="26:26" x14ac:dyDescent="0.25">
      <c r="Z49891">
        <v>400000</v>
      </c>
    </row>
    <row r="49892" spans="26:26" x14ac:dyDescent="0.25">
      <c r="Z49892">
        <v>400000</v>
      </c>
    </row>
    <row r="49893" spans="26:26" x14ac:dyDescent="0.25">
      <c r="Z49893">
        <v>400000</v>
      </c>
    </row>
    <row r="49894" spans="26:26" x14ac:dyDescent="0.25">
      <c r="Z49894">
        <v>400000</v>
      </c>
    </row>
    <row r="49895" spans="26:26" x14ac:dyDescent="0.25">
      <c r="Z49895">
        <v>400000</v>
      </c>
    </row>
    <row r="49896" spans="26:26" x14ac:dyDescent="0.25">
      <c r="Z49896">
        <v>400000</v>
      </c>
    </row>
    <row r="49897" spans="26:26" x14ac:dyDescent="0.25">
      <c r="Z49897">
        <v>400000</v>
      </c>
    </row>
    <row r="49898" spans="26:26" x14ac:dyDescent="0.25">
      <c r="Z49898">
        <v>400000</v>
      </c>
    </row>
    <row r="49899" spans="26:26" x14ac:dyDescent="0.25">
      <c r="Z49899">
        <v>400000</v>
      </c>
    </row>
    <row r="49900" spans="26:26" x14ac:dyDescent="0.25">
      <c r="Z49900">
        <v>400000</v>
      </c>
    </row>
    <row r="49901" spans="26:26" x14ac:dyDescent="0.25">
      <c r="Z49901">
        <v>400000</v>
      </c>
    </row>
    <row r="49902" spans="26:26" x14ac:dyDescent="0.25">
      <c r="Z49902">
        <v>400000</v>
      </c>
    </row>
    <row r="49903" spans="26:26" x14ac:dyDescent="0.25">
      <c r="Z49903">
        <v>400000</v>
      </c>
    </row>
    <row r="49904" spans="26:26" x14ac:dyDescent="0.25">
      <c r="Z49904">
        <v>400000</v>
      </c>
    </row>
    <row r="49905" spans="26:26" x14ac:dyDescent="0.25">
      <c r="Z49905">
        <v>400000</v>
      </c>
    </row>
    <row r="49906" spans="26:26" x14ac:dyDescent="0.25">
      <c r="Z49906">
        <v>400000</v>
      </c>
    </row>
    <row r="49907" spans="26:26" x14ac:dyDescent="0.25">
      <c r="Z49907">
        <v>400000</v>
      </c>
    </row>
    <row r="49908" spans="26:26" x14ac:dyDescent="0.25">
      <c r="Z49908">
        <v>400000</v>
      </c>
    </row>
    <row r="49909" spans="26:26" x14ac:dyDescent="0.25">
      <c r="Z49909">
        <v>400000</v>
      </c>
    </row>
    <row r="49910" spans="26:26" x14ac:dyDescent="0.25">
      <c r="Z49910">
        <v>400000</v>
      </c>
    </row>
    <row r="49911" spans="26:26" x14ac:dyDescent="0.25">
      <c r="Z49911">
        <v>400000</v>
      </c>
    </row>
    <row r="49912" spans="26:26" x14ac:dyDescent="0.25">
      <c r="Z49912">
        <v>400000</v>
      </c>
    </row>
    <row r="49913" spans="26:26" x14ac:dyDescent="0.25">
      <c r="Z49913">
        <v>400000</v>
      </c>
    </row>
    <row r="49914" spans="26:26" x14ac:dyDescent="0.25">
      <c r="Z49914">
        <v>400000</v>
      </c>
    </row>
    <row r="49915" spans="26:26" x14ac:dyDescent="0.25">
      <c r="Z49915">
        <v>400000</v>
      </c>
    </row>
    <row r="49916" spans="26:26" x14ac:dyDescent="0.25">
      <c r="Z49916">
        <v>400000</v>
      </c>
    </row>
    <row r="49917" spans="26:26" x14ac:dyDescent="0.25">
      <c r="Z49917">
        <v>400000</v>
      </c>
    </row>
    <row r="49918" spans="26:26" x14ac:dyDescent="0.25">
      <c r="Z49918">
        <v>400000</v>
      </c>
    </row>
    <row r="49919" spans="26:26" x14ac:dyDescent="0.25">
      <c r="Z49919">
        <v>400000</v>
      </c>
    </row>
    <row r="49920" spans="26:26" x14ac:dyDescent="0.25">
      <c r="Z49920">
        <v>400000</v>
      </c>
    </row>
    <row r="49921" spans="26:26" x14ac:dyDescent="0.25">
      <c r="Z49921">
        <v>400000</v>
      </c>
    </row>
    <row r="49922" spans="26:26" x14ac:dyDescent="0.25">
      <c r="Z49922">
        <v>400000</v>
      </c>
    </row>
    <row r="49923" spans="26:26" x14ac:dyDescent="0.25">
      <c r="Z49923">
        <v>400000</v>
      </c>
    </row>
    <row r="49924" spans="26:26" x14ac:dyDescent="0.25">
      <c r="Z49924">
        <v>400000</v>
      </c>
    </row>
    <row r="49925" spans="26:26" x14ac:dyDescent="0.25">
      <c r="Z49925">
        <v>400000</v>
      </c>
    </row>
    <row r="49926" spans="26:26" x14ac:dyDescent="0.25">
      <c r="Z49926">
        <v>400000</v>
      </c>
    </row>
    <row r="49927" spans="26:26" x14ac:dyDescent="0.25">
      <c r="Z49927">
        <v>400000</v>
      </c>
    </row>
    <row r="49928" spans="26:26" x14ac:dyDescent="0.25">
      <c r="Z49928">
        <v>400000</v>
      </c>
    </row>
    <row r="49929" spans="26:26" x14ac:dyDescent="0.25">
      <c r="Z49929">
        <v>400000</v>
      </c>
    </row>
    <row r="49930" spans="26:26" x14ac:dyDescent="0.25">
      <c r="Z49930">
        <v>400000</v>
      </c>
    </row>
    <row r="49931" spans="26:26" x14ac:dyDescent="0.25">
      <c r="Z49931">
        <v>400000</v>
      </c>
    </row>
    <row r="49932" spans="26:26" x14ac:dyDescent="0.25">
      <c r="Z49932">
        <v>400000</v>
      </c>
    </row>
    <row r="49933" spans="26:26" x14ac:dyDescent="0.25">
      <c r="Z49933">
        <v>400000</v>
      </c>
    </row>
    <row r="49934" spans="26:26" x14ac:dyDescent="0.25">
      <c r="Z49934">
        <v>400000</v>
      </c>
    </row>
    <row r="49935" spans="26:26" x14ac:dyDescent="0.25">
      <c r="Z49935">
        <v>400000</v>
      </c>
    </row>
    <row r="49936" spans="26:26" x14ac:dyDescent="0.25">
      <c r="Z49936">
        <v>400000</v>
      </c>
    </row>
    <row r="49937" spans="26:26" x14ac:dyDescent="0.25">
      <c r="Z49937">
        <v>400000</v>
      </c>
    </row>
    <row r="49938" spans="26:26" x14ac:dyDescent="0.25">
      <c r="Z49938">
        <v>400000</v>
      </c>
    </row>
    <row r="49939" spans="26:26" x14ac:dyDescent="0.25">
      <c r="Z49939">
        <v>400000</v>
      </c>
    </row>
    <row r="49940" spans="26:26" x14ac:dyDescent="0.25">
      <c r="Z49940">
        <v>400000</v>
      </c>
    </row>
    <row r="49941" spans="26:26" x14ac:dyDescent="0.25">
      <c r="Z49941">
        <v>400000</v>
      </c>
    </row>
    <row r="49942" spans="26:26" x14ac:dyDescent="0.25">
      <c r="Z49942">
        <v>400000</v>
      </c>
    </row>
    <row r="49943" spans="26:26" x14ac:dyDescent="0.25">
      <c r="Z49943">
        <v>400000</v>
      </c>
    </row>
    <row r="49944" spans="26:26" x14ac:dyDescent="0.25">
      <c r="Z49944">
        <v>400000</v>
      </c>
    </row>
    <row r="49945" spans="26:26" x14ac:dyDescent="0.25">
      <c r="Z49945">
        <v>400000</v>
      </c>
    </row>
    <row r="49946" spans="26:26" x14ac:dyDescent="0.25">
      <c r="Z49946">
        <v>400000</v>
      </c>
    </row>
    <row r="49947" spans="26:26" x14ac:dyDescent="0.25">
      <c r="Z49947">
        <v>400000</v>
      </c>
    </row>
    <row r="49948" spans="26:26" x14ac:dyDescent="0.25">
      <c r="Z49948">
        <v>400000</v>
      </c>
    </row>
    <row r="49949" spans="26:26" x14ac:dyDescent="0.25">
      <c r="Z49949">
        <v>400000</v>
      </c>
    </row>
    <row r="49950" spans="26:26" x14ac:dyDescent="0.25">
      <c r="Z49950">
        <v>400000</v>
      </c>
    </row>
    <row r="49951" spans="26:26" x14ac:dyDescent="0.25">
      <c r="Z49951">
        <v>400000</v>
      </c>
    </row>
    <row r="49952" spans="26:26" x14ac:dyDescent="0.25">
      <c r="Z49952">
        <v>400000</v>
      </c>
    </row>
    <row r="49953" spans="26:26" x14ac:dyDescent="0.25">
      <c r="Z49953">
        <v>400000</v>
      </c>
    </row>
    <row r="49954" spans="26:26" x14ac:dyDescent="0.25">
      <c r="Z49954">
        <v>400000</v>
      </c>
    </row>
    <row r="49955" spans="26:26" x14ac:dyDescent="0.25">
      <c r="Z49955">
        <v>400000</v>
      </c>
    </row>
    <row r="49956" spans="26:26" x14ac:dyDescent="0.25">
      <c r="Z49956">
        <v>400000</v>
      </c>
    </row>
    <row r="49957" spans="26:26" x14ac:dyDescent="0.25">
      <c r="Z49957">
        <v>400000</v>
      </c>
    </row>
    <row r="49958" spans="26:26" x14ac:dyDescent="0.25">
      <c r="Z49958">
        <v>400000</v>
      </c>
    </row>
    <row r="49959" spans="26:26" x14ac:dyDescent="0.25">
      <c r="Z49959">
        <v>400000</v>
      </c>
    </row>
    <row r="49960" spans="26:26" x14ac:dyDescent="0.25">
      <c r="Z49960">
        <v>400000</v>
      </c>
    </row>
    <row r="49961" spans="26:26" x14ac:dyDescent="0.25">
      <c r="Z49961">
        <v>400000</v>
      </c>
    </row>
    <row r="49962" spans="26:26" x14ac:dyDescent="0.25">
      <c r="Z49962">
        <v>400000</v>
      </c>
    </row>
    <row r="49963" spans="26:26" x14ac:dyDescent="0.25">
      <c r="Z49963">
        <v>400000</v>
      </c>
    </row>
    <row r="49964" spans="26:26" x14ac:dyDescent="0.25">
      <c r="Z49964">
        <v>400000</v>
      </c>
    </row>
    <row r="49965" spans="26:26" x14ac:dyDescent="0.25">
      <c r="Z49965">
        <v>400000</v>
      </c>
    </row>
    <row r="49966" spans="26:26" x14ac:dyDescent="0.25">
      <c r="Z49966">
        <v>400000</v>
      </c>
    </row>
    <row r="49967" spans="26:26" x14ac:dyDescent="0.25">
      <c r="Z49967">
        <v>400000</v>
      </c>
    </row>
    <row r="49968" spans="26:26" x14ac:dyDescent="0.25">
      <c r="Z49968">
        <v>400000</v>
      </c>
    </row>
    <row r="49969" spans="26:26" x14ac:dyDescent="0.25">
      <c r="Z49969">
        <v>400000</v>
      </c>
    </row>
    <row r="49970" spans="26:26" x14ac:dyDescent="0.25">
      <c r="Z49970">
        <v>400000</v>
      </c>
    </row>
    <row r="49971" spans="26:26" x14ac:dyDescent="0.25">
      <c r="Z49971">
        <v>400000</v>
      </c>
    </row>
    <row r="49972" spans="26:26" x14ac:dyDescent="0.25">
      <c r="Z49972">
        <v>400000</v>
      </c>
    </row>
    <row r="49973" spans="26:26" x14ac:dyDescent="0.25">
      <c r="Z49973">
        <v>400000</v>
      </c>
    </row>
    <row r="49974" spans="26:26" x14ac:dyDescent="0.25">
      <c r="Z49974">
        <v>400000</v>
      </c>
    </row>
    <row r="49975" spans="26:26" x14ac:dyDescent="0.25">
      <c r="Z49975">
        <v>400000</v>
      </c>
    </row>
    <row r="49976" spans="26:26" x14ac:dyDescent="0.25">
      <c r="Z49976">
        <v>400000</v>
      </c>
    </row>
    <row r="49977" spans="26:26" x14ac:dyDescent="0.25">
      <c r="Z49977">
        <v>400000</v>
      </c>
    </row>
    <row r="49978" spans="26:26" x14ac:dyDescent="0.25">
      <c r="Z49978">
        <v>400000</v>
      </c>
    </row>
    <row r="49979" spans="26:26" x14ac:dyDescent="0.25">
      <c r="Z49979">
        <v>400000</v>
      </c>
    </row>
    <row r="49980" spans="26:26" x14ac:dyDescent="0.25">
      <c r="Z49980">
        <v>400000</v>
      </c>
    </row>
    <row r="49981" spans="26:26" x14ac:dyDescent="0.25">
      <c r="Z49981">
        <v>400000</v>
      </c>
    </row>
    <row r="49982" spans="26:26" x14ac:dyDescent="0.25">
      <c r="Z49982">
        <v>400000</v>
      </c>
    </row>
    <row r="49983" spans="26:26" x14ac:dyDescent="0.25">
      <c r="Z49983">
        <v>400000</v>
      </c>
    </row>
    <row r="49984" spans="26:26" x14ac:dyDescent="0.25">
      <c r="Z49984">
        <v>400000</v>
      </c>
    </row>
    <row r="49985" spans="26:26" x14ac:dyDescent="0.25">
      <c r="Z49985">
        <v>400000</v>
      </c>
    </row>
    <row r="49986" spans="26:26" x14ac:dyDescent="0.25">
      <c r="Z49986">
        <v>400000</v>
      </c>
    </row>
    <row r="49987" spans="26:26" x14ac:dyDescent="0.25">
      <c r="Z49987">
        <v>400000</v>
      </c>
    </row>
    <row r="49988" spans="26:26" x14ac:dyDescent="0.25">
      <c r="Z49988">
        <v>400000</v>
      </c>
    </row>
    <row r="49989" spans="26:26" x14ac:dyDescent="0.25">
      <c r="Z49989">
        <v>400000</v>
      </c>
    </row>
    <row r="49990" spans="26:26" x14ac:dyDescent="0.25">
      <c r="Z49990">
        <v>400000</v>
      </c>
    </row>
    <row r="49991" spans="26:26" x14ac:dyDescent="0.25">
      <c r="Z49991">
        <v>400000</v>
      </c>
    </row>
    <row r="49992" spans="26:26" x14ac:dyDescent="0.25">
      <c r="Z49992">
        <v>400000</v>
      </c>
    </row>
    <row r="49993" spans="26:26" x14ac:dyDescent="0.25">
      <c r="Z49993">
        <v>400000</v>
      </c>
    </row>
    <row r="49994" spans="26:26" x14ac:dyDescent="0.25">
      <c r="Z49994">
        <v>400000</v>
      </c>
    </row>
    <row r="49995" spans="26:26" x14ac:dyDescent="0.25">
      <c r="Z49995">
        <v>400000</v>
      </c>
    </row>
    <row r="49996" spans="26:26" x14ac:dyDescent="0.25">
      <c r="Z49996">
        <v>400000</v>
      </c>
    </row>
    <row r="49997" spans="26:26" x14ac:dyDescent="0.25">
      <c r="Z49997">
        <v>400000</v>
      </c>
    </row>
    <row r="49998" spans="26:26" x14ac:dyDescent="0.25">
      <c r="Z49998">
        <v>400000</v>
      </c>
    </row>
    <row r="49999" spans="26:26" x14ac:dyDescent="0.25">
      <c r="Z49999">
        <v>400000</v>
      </c>
    </row>
    <row r="50000" spans="26:26" x14ac:dyDescent="0.25">
      <c r="Z50000">
        <v>400000</v>
      </c>
    </row>
    <row r="50001" spans="26:26" x14ac:dyDescent="0.25">
      <c r="Z50001">
        <v>400000</v>
      </c>
    </row>
    <row r="50002" spans="26:26" x14ac:dyDescent="0.25">
      <c r="Z50002">
        <v>400000</v>
      </c>
    </row>
    <row r="50003" spans="26:26" x14ac:dyDescent="0.25">
      <c r="Z50003">
        <v>400000</v>
      </c>
    </row>
    <row r="50004" spans="26:26" x14ac:dyDescent="0.25">
      <c r="Z50004">
        <v>400000</v>
      </c>
    </row>
    <row r="50005" spans="26:26" x14ac:dyDescent="0.25">
      <c r="Z50005">
        <v>400000</v>
      </c>
    </row>
    <row r="50006" spans="26:26" x14ac:dyDescent="0.25">
      <c r="Z50006">
        <v>400000</v>
      </c>
    </row>
    <row r="50007" spans="26:26" x14ac:dyDescent="0.25">
      <c r="Z50007">
        <v>400000</v>
      </c>
    </row>
    <row r="50008" spans="26:26" x14ac:dyDescent="0.25">
      <c r="Z50008">
        <v>400000</v>
      </c>
    </row>
    <row r="50009" spans="26:26" x14ac:dyDescent="0.25">
      <c r="Z50009">
        <v>400000</v>
      </c>
    </row>
    <row r="50010" spans="26:26" x14ac:dyDescent="0.25">
      <c r="Z50010">
        <v>400000</v>
      </c>
    </row>
    <row r="50011" spans="26:26" x14ac:dyDescent="0.25">
      <c r="Z50011">
        <v>400000</v>
      </c>
    </row>
    <row r="50012" spans="26:26" x14ac:dyDescent="0.25">
      <c r="Z50012">
        <v>400000</v>
      </c>
    </row>
    <row r="50013" spans="26:26" x14ac:dyDescent="0.25">
      <c r="Z50013">
        <v>400000</v>
      </c>
    </row>
    <row r="50014" spans="26:26" x14ac:dyDescent="0.25">
      <c r="Z50014">
        <v>400000</v>
      </c>
    </row>
    <row r="50015" spans="26:26" x14ac:dyDescent="0.25">
      <c r="Z50015">
        <v>400000</v>
      </c>
    </row>
    <row r="50016" spans="26:26" x14ac:dyDescent="0.25">
      <c r="Z50016">
        <v>400000</v>
      </c>
    </row>
    <row r="50017" spans="26:26" x14ac:dyDescent="0.25">
      <c r="Z50017">
        <v>400000</v>
      </c>
    </row>
    <row r="50018" spans="26:26" x14ac:dyDescent="0.25">
      <c r="Z50018">
        <v>400000</v>
      </c>
    </row>
    <row r="50019" spans="26:26" x14ac:dyDescent="0.25">
      <c r="Z50019">
        <v>400000</v>
      </c>
    </row>
    <row r="50020" spans="26:26" x14ac:dyDescent="0.25">
      <c r="Z50020">
        <v>400000</v>
      </c>
    </row>
    <row r="50021" spans="26:26" x14ac:dyDescent="0.25">
      <c r="Z50021">
        <v>400000</v>
      </c>
    </row>
    <row r="50022" spans="26:26" x14ac:dyDescent="0.25">
      <c r="Z50022">
        <v>400000</v>
      </c>
    </row>
    <row r="50023" spans="26:26" x14ac:dyDescent="0.25">
      <c r="Z50023">
        <v>400000</v>
      </c>
    </row>
    <row r="50024" spans="26:26" x14ac:dyDescent="0.25">
      <c r="Z50024">
        <v>400000</v>
      </c>
    </row>
    <row r="50025" spans="26:26" x14ac:dyDescent="0.25">
      <c r="Z50025">
        <v>400000</v>
      </c>
    </row>
    <row r="50026" spans="26:26" x14ac:dyDescent="0.25">
      <c r="Z50026">
        <v>400000</v>
      </c>
    </row>
    <row r="50027" spans="26:26" x14ac:dyDescent="0.25">
      <c r="Z50027">
        <v>400000</v>
      </c>
    </row>
    <row r="50028" spans="26:26" x14ac:dyDescent="0.25">
      <c r="Z50028">
        <v>400000</v>
      </c>
    </row>
    <row r="50029" spans="26:26" x14ac:dyDescent="0.25">
      <c r="Z50029">
        <v>400000</v>
      </c>
    </row>
    <row r="50030" spans="26:26" x14ac:dyDescent="0.25">
      <c r="Z50030">
        <v>400000</v>
      </c>
    </row>
    <row r="50031" spans="26:26" x14ac:dyDescent="0.25">
      <c r="Z50031">
        <v>400000</v>
      </c>
    </row>
    <row r="50032" spans="26:26" x14ac:dyDescent="0.25">
      <c r="Z50032">
        <v>400000</v>
      </c>
    </row>
    <row r="50033" spans="26:26" x14ac:dyDescent="0.25">
      <c r="Z50033">
        <v>400000</v>
      </c>
    </row>
    <row r="50034" spans="26:26" x14ac:dyDescent="0.25">
      <c r="Z50034">
        <v>400000</v>
      </c>
    </row>
    <row r="50035" spans="26:26" x14ac:dyDescent="0.25">
      <c r="Z50035">
        <v>400000</v>
      </c>
    </row>
    <row r="50036" spans="26:26" x14ac:dyDescent="0.25">
      <c r="Z50036">
        <v>400000</v>
      </c>
    </row>
    <row r="50037" spans="26:26" x14ac:dyDescent="0.25">
      <c r="Z50037">
        <v>400000</v>
      </c>
    </row>
    <row r="50038" spans="26:26" x14ac:dyDescent="0.25">
      <c r="Z50038">
        <v>400000</v>
      </c>
    </row>
    <row r="50039" spans="26:26" x14ac:dyDescent="0.25">
      <c r="Z50039">
        <v>400000</v>
      </c>
    </row>
    <row r="50040" spans="26:26" x14ac:dyDescent="0.25">
      <c r="Z50040">
        <v>400000</v>
      </c>
    </row>
    <row r="50041" spans="26:26" x14ac:dyDescent="0.25">
      <c r="Z50041">
        <v>400000</v>
      </c>
    </row>
    <row r="50042" spans="26:26" x14ac:dyDescent="0.25">
      <c r="Z50042">
        <v>400000</v>
      </c>
    </row>
    <row r="50043" spans="26:26" x14ac:dyDescent="0.25">
      <c r="Z50043">
        <v>400000</v>
      </c>
    </row>
    <row r="50044" spans="26:26" x14ac:dyDescent="0.25">
      <c r="Z50044">
        <v>400000</v>
      </c>
    </row>
    <row r="50045" spans="26:26" x14ac:dyDescent="0.25">
      <c r="Z50045">
        <v>400000</v>
      </c>
    </row>
    <row r="50046" spans="26:26" x14ac:dyDescent="0.25">
      <c r="Z50046">
        <v>400000</v>
      </c>
    </row>
    <row r="50047" spans="26:26" x14ac:dyDescent="0.25">
      <c r="Z50047">
        <v>400000</v>
      </c>
    </row>
    <row r="50048" spans="26:26" x14ac:dyDescent="0.25">
      <c r="Z50048">
        <v>400000</v>
      </c>
    </row>
    <row r="50049" spans="26:26" x14ac:dyDescent="0.25">
      <c r="Z50049">
        <v>400000</v>
      </c>
    </row>
    <row r="50050" spans="26:26" x14ac:dyDescent="0.25">
      <c r="Z50050">
        <v>400000</v>
      </c>
    </row>
    <row r="50051" spans="26:26" x14ac:dyDescent="0.25">
      <c r="Z50051">
        <v>400000</v>
      </c>
    </row>
    <row r="50052" spans="26:26" x14ac:dyDescent="0.25">
      <c r="Z50052">
        <v>400000</v>
      </c>
    </row>
    <row r="50053" spans="26:26" x14ac:dyDescent="0.25">
      <c r="Z50053">
        <v>400000</v>
      </c>
    </row>
    <row r="50054" spans="26:26" x14ac:dyDescent="0.25">
      <c r="Z50054">
        <v>400000</v>
      </c>
    </row>
    <row r="50055" spans="26:26" x14ac:dyDescent="0.25">
      <c r="Z50055">
        <v>400000</v>
      </c>
    </row>
    <row r="50056" spans="26:26" x14ac:dyDescent="0.25">
      <c r="Z50056">
        <v>400000</v>
      </c>
    </row>
    <row r="50057" spans="26:26" x14ac:dyDescent="0.25">
      <c r="Z50057">
        <v>400000</v>
      </c>
    </row>
    <row r="50058" spans="26:26" x14ac:dyDescent="0.25">
      <c r="Z50058">
        <v>400000</v>
      </c>
    </row>
    <row r="50059" spans="26:26" x14ac:dyDescent="0.25">
      <c r="Z50059">
        <v>400000</v>
      </c>
    </row>
    <row r="50060" spans="26:26" x14ac:dyDescent="0.25">
      <c r="Z50060">
        <v>400000</v>
      </c>
    </row>
    <row r="50061" spans="26:26" x14ac:dyDescent="0.25">
      <c r="Z50061">
        <v>400000</v>
      </c>
    </row>
    <row r="50062" spans="26:26" x14ac:dyDescent="0.25">
      <c r="Z50062">
        <v>400000</v>
      </c>
    </row>
    <row r="50063" spans="26:26" x14ac:dyDescent="0.25">
      <c r="Z50063">
        <v>400000</v>
      </c>
    </row>
    <row r="50064" spans="26:26" x14ac:dyDescent="0.25">
      <c r="Z50064">
        <v>400000</v>
      </c>
    </row>
    <row r="50065" spans="26:26" x14ac:dyDescent="0.25">
      <c r="Z50065">
        <v>400000</v>
      </c>
    </row>
    <row r="50066" spans="26:26" x14ac:dyDescent="0.25">
      <c r="Z50066">
        <v>400000</v>
      </c>
    </row>
    <row r="50067" spans="26:26" x14ac:dyDescent="0.25">
      <c r="Z50067">
        <v>400000</v>
      </c>
    </row>
    <row r="50068" spans="26:26" x14ac:dyDescent="0.25">
      <c r="Z50068">
        <v>400000</v>
      </c>
    </row>
    <row r="50069" spans="26:26" x14ac:dyDescent="0.25">
      <c r="Z50069">
        <v>400000</v>
      </c>
    </row>
    <row r="50070" spans="26:26" x14ac:dyDescent="0.25">
      <c r="Z50070">
        <v>400000</v>
      </c>
    </row>
    <row r="50071" spans="26:26" x14ac:dyDescent="0.25">
      <c r="Z50071">
        <v>400000</v>
      </c>
    </row>
    <row r="50072" spans="26:26" x14ac:dyDescent="0.25">
      <c r="Z50072">
        <v>400000</v>
      </c>
    </row>
    <row r="50073" spans="26:26" x14ac:dyDescent="0.25">
      <c r="Z50073">
        <v>400000</v>
      </c>
    </row>
    <row r="50074" spans="26:26" x14ac:dyDescent="0.25">
      <c r="Z50074">
        <v>400000</v>
      </c>
    </row>
    <row r="50075" spans="26:26" x14ac:dyDescent="0.25">
      <c r="Z50075">
        <v>400000</v>
      </c>
    </row>
    <row r="50076" spans="26:26" x14ac:dyDescent="0.25">
      <c r="Z50076">
        <v>400000</v>
      </c>
    </row>
    <row r="50077" spans="26:26" x14ac:dyDescent="0.25">
      <c r="Z50077">
        <v>400000</v>
      </c>
    </row>
    <row r="50078" spans="26:26" x14ac:dyDescent="0.25">
      <c r="Z50078">
        <v>400000</v>
      </c>
    </row>
    <row r="50079" spans="26:26" x14ac:dyDescent="0.25">
      <c r="Z50079">
        <v>400000</v>
      </c>
    </row>
    <row r="50080" spans="26:26" x14ac:dyDescent="0.25">
      <c r="Z50080">
        <v>400000</v>
      </c>
    </row>
    <row r="50081" spans="26:26" x14ac:dyDescent="0.25">
      <c r="Z50081">
        <v>400000</v>
      </c>
    </row>
    <row r="50082" spans="26:26" x14ac:dyDescent="0.25">
      <c r="Z50082">
        <v>400000</v>
      </c>
    </row>
    <row r="50083" spans="26:26" x14ac:dyDescent="0.25">
      <c r="Z50083">
        <v>400000</v>
      </c>
    </row>
    <row r="50084" spans="26:26" x14ac:dyDescent="0.25">
      <c r="Z50084">
        <v>400000</v>
      </c>
    </row>
    <row r="50085" spans="26:26" x14ac:dyDescent="0.25">
      <c r="Z50085">
        <v>400000</v>
      </c>
    </row>
    <row r="50086" spans="26:26" x14ac:dyDescent="0.25">
      <c r="Z50086">
        <v>400000</v>
      </c>
    </row>
    <row r="50087" spans="26:26" x14ac:dyDescent="0.25">
      <c r="Z50087">
        <v>400000</v>
      </c>
    </row>
    <row r="50088" spans="26:26" x14ac:dyDescent="0.25">
      <c r="Z50088">
        <v>400000</v>
      </c>
    </row>
    <row r="50089" spans="26:26" x14ac:dyDescent="0.25">
      <c r="Z50089">
        <v>400000</v>
      </c>
    </row>
    <row r="50090" spans="26:26" x14ac:dyDescent="0.25">
      <c r="Z50090">
        <v>400000</v>
      </c>
    </row>
    <row r="50091" spans="26:26" x14ac:dyDescent="0.25">
      <c r="Z50091">
        <v>400000</v>
      </c>
    </row>
    <row r="50092" spans="26:26" x14ac:dyDescent="0.25">
      <c r="Z50092">
        <v>400000</v>
      </c>
    </row>
    <row r="50093" spans="26:26" x14ac:dyDescent="0.25">
      <c r="Z50093">
        <v>400000</v>
      </c>
    </row>
    <row r="50094" spans="26:26" x14ac:dyDescent="0.25">
      <c r="Z50094">
        <v>400000</v>
      </c>
    </row>
    <row r="50095" spans="26:26" x14ac:dyDescent="0.25">
      <c r="Z50095">
        <v>400000</v>
      </c>
    </row>
    <row r="50096" spans="26:26" x14ac:dyDescent="0.25">
      <c r="Z50096">
        <v>400000</v>
      </c>
    </row>
    <row r="50097" spans="26:26" x14ac:dyDescent="0.25">
      <c r="Z50097">
        <v>400000</v>
      </c>
    </row>
    <row r="50098" spans="26:26" x14ac:dyDescent="0.25">
      <c r="Z50098">
        <v>400000</v>
      </c>
    </row>
    <row r="50099" spans="26:26" x14ac:dyDescent="0.25">
      <c r="Z50099">
        <v>400000</v>
      </c>
    </row>
    <row r="50100" spans="26:26" x14ac:dyDescent="0.25">
      <c r="Z50100">
        <v>400000</v>
      </c>
    </row>
    <row r="50101" spans="26:26" x14ac:dyDescent="0.25">
      <c r="Z50101">
        <v>400000</v>
      </c>
    </row>
    <row r="50102" spans="26:26" x14ac:dyDescent="0.25">
      <c r="Z50102">
        <v>400000</v>
      </c>
    </row>
    <row r="50103" spans="26:26" x14ac:dyDescent="0.25">
      <c r="Z50103">
        <v>400000</v>
      </c>
    </row>
    <row r="50104" spans="26:26" x14ac:dyDescent="0.25">
      <c r="Z50104">
        <v>400000</v>
      </c>
    </row>
    <row r="50105" spans="26:26" x14ac:dyDescent="0.25">
      <c r="Z50105">
        <v>400000</v>
      </c>
    </row>
    <row r="50106" spans="26:26" x14ac:dyDescent="0.25">
      <c r="Z50106">
        <v>400000</v>
      </c>
    </row>
    <row r="50107" spans="26:26" x14ac:dyDescent="0.25">
      <c r="Z50107">
        <v>400000</v>
      </c>
    </row>
    <row r="50108" spans="26:26" x14ac:dyDescent="0.25">
      <c r="Z50108">
        <v>400000</v>
      </c>
    </row>
    <row r="50109" spans="26:26" x14ac:dyDescent="0.25">
      <c r="Z50109">
        <v>400000</v>
      </c>
    </row>
    <row r="50110" spans="26:26" x14ac:dyDescent="0.25">
      <c r="Z50110">
        <v>400000</v>
      </c>
    </row>
    <row r="50111" spans="26:26" x14ac:dyDescent="0.25">
      <c r="Z50111">
        <v>400000</v>
      </c>
    </row>
    <row r="50112" spans="26:26" x14ac:dyDescent="0.25">
      <c r="Z50112">
        <v>400000</v>
      </c>
    </row>
    <row r="50113" spans="26:26" x14ac:dyDescent="0.25">
      <c r="Z50113">
        <v>400000</v>
      </c>
    </row>
    <row r="50114" spans="26:26" x14ac:dyDescent="0.25">
      <c r="Z50114">
        <v>400000</v>
      </c>
    </row>
    <row r="50115" spans="26:26" x14ac:dyDescent="0.25">
      <c r="Z50115">
        <v>400000</v>
      </c>
    </row>
    <row r="50116" spans="26:26" x14ac:dyDescent="0.25">
      <c r="Z50116">
        <v>400000</v>
      </c>
    </row>
    <row r="50117" spans="26:26" x14ac:dyDescent="0.25">
      <c r="Z50117">
        <v>400000</v>
      </c>
    </row>
    <row r="50118" spans="26:26" x14ac:dyDescent="0.25">
      <c r="Z50118">
        <v>400000</v>
      </c>
    </row>
    <row r="50119" spans="26:26" x14ac:dyDescent="0.25">
      <c r="Z50119">
        <v>400000</v>
      </c>
    </row>
    <row r="50120" spans="26:26" x14ac:dyDescent="0.25">
      <c r="Z50120">
        <v>400000</v>
      </c>
    </row>
    <row r="50121" spans="26:26" x14ac:dyDescent="0.25">
      <c r="Z50121">
        <v>400000</v>
      </c>
    </row>
    <row r="50122" spans="26:26" x14ac:dyDescent="0.25">
      <c r="Z50122">
        <v>400000</v>
      </c>
    </row>
    <row r="50123" spans="26:26" x14ac:dyDescent="0.25">
      <c r="Z50123">
        <v>400000</v>
      </c>
    </row>
    <row r="50124" spans="26:26" x14ac:dyDescent="0.25">
      <c r="Z50124">
        <v>400000</v>
      </c>
    </row>
    <row r="50125" spans="26:26" x14ac:dyDescent="0.25">
      <c r="Z50125">
        <v>400000</v>
      </c>
    </row>
    <row r="50126" spans="26:26" x14ac:dyDescent="0.25">
      <c r="Z50126">
        <v>400000</v>
      </c>
    </row>
    <row r="50127" spans="26:26" x14ac:dyDescent="0.25">
      <c r="Z50127">
        <v>400000</v>
      </c>
    </row>
    <row r="50128" spans="26:26" x14ac:dyDescent="0.25">
      <c r="Z50128">
        <v>400000</v>
      </c>
    </row>
    <row r="50129" spans="26:26" x14ac:dyDescent="0.25">
      <c r="Z50129">
        <v>400000</v>
      </c>
    </row>
    <row r="50130" spans="26:26" x14ac:dyDescent="0.25">
      <c r="Z50130">
        <v>400000</v>
      </c>
    </row>
    <row r="50131" spans="26:26" x14ac:dyDescent="0.25">
      <c r="Z50131">
        <v>400000</v>
      </c>
    </row>
    <row r="50132" spans="26:26" x14ac:dyDescent="0.25">
      <c r="Z50132">
        <v>400000</v>
      </c>
    </row>
    <row r="50133" spans="26:26" x14ac:dyDescent="0.25">
      <c r="Z50133">
        <v>400000</v>
      </c>
    </row>
    <row r="50134" spans="26:26" x14ac:dyDescent="0.25">
      <c r="Z50134">
        <v>400000</v>
      </c>
    </row>
    <row r="50135" spans="26:26" x14ac:dyDescent="0.25">
      <c r="Z50135">
        <v>400000</v>
      </c>
    </row>
    <row r="50136" spans="26:26" x14ac:dyDescent="0.25">
      <c r="Z50136">
        <v>400000</v>
      </c>
    </row>
    <row r="50137" spans="26:26" x14ac:dyDescent="0.25">
      <c r="Z50137">
        <v>400000</v>
      </c>
    </row>
    <row r="50138" spans="26:26" x14ac:dyDescent="0.25">
      <c r="Z50138">
        <v>400000</v>
      </c>
    </row>
    <row r="50139" spans="26:26" x14ac:dyDescent="0.25">
      <c r="Z50139">
        <v>400000</v>
      </c>
    </row>
    <row r="50140" spans="26:26" x14ac:dyDescent="0.25">
      <c r="Z50140">
        <v>400000</v>
      </c>
    </row>
    <row r="50141" spans="26:26" x14ac:dyDescent="0.25">
      <c r="Z50141">
        <v>400000</v>
      </c>
    </row>
    <row r="50142" spans="26:26" x14ac:dyDescent="0.25">
      <c r="Z50142">
        <v>400000</v>
      </c>
    </row>
    <row r="50143" spans="26:26" x14ac:dyDescent="0.25">
      <c r="Z50143">
        <v>400000</v>
      </c>
    </row>
    <row r="50144" spans="26:26" x14ac:dyDescent="0.25">
      <c r="Z50144">
        <v>400000</v>
      </c>
    </row>
    <row r="50145" spans="26:26" x14ac:dyDescent="0.25">
      <c r="Z50145">
        <v>400000</v>
      </c>
    </row>
    <row r="50146" spans="26:26" x14ac:dyDescent="0.25">
      <c r="Z50146">
        <v>400000</v>
      </c>
    </row>
    <row r="50147" spans="26:26" x14ac:dyDescent="0.25">
      <c r="Z50147">
        <v>400000</v>
      </c>
    </row>
    <row r="50148" spans="26:26" x14ac:dyDescent="0.25">
      <c r="Z50148">
        <v>400000</v>
      </c>
    </row>
    <row r="50149" spans="26:26" x14ac:dyDescent="0.25">
      <c r="Z50149">
        <v>400000</v>
      </c>
    </row>
    <row r="50150" spans="26:26" x14ac:dyDescent="0.25">
      <c r="Z50150">
        <v>400000</v>
      </c>
    </row>
    <row r="50151" spans="26:26" x14ac:dyDescent="0.25">
      <c r="Z50151">
        <v>400000</v>
      </c>
    </row>
    <row r="50152" spans="26:26" x14ac:dyDescent="0.25">
      <c r="Z50152">
        <v>400000</v>
      </c>
    </row>
    <row r="50153" spans="26:26" x14ac:dyDescent="0.25">
      <c r="Z50153">
        <v>400000</v>
      </c>
    </row>
    <row r="50154" spans="26:26" x14ac:dyDescent="0.25">
      <c r="Z50154">
        <v>400000</v>
      </c>
    </row>
    <row r="50155" spans="26:26" x14ac:dyDescent="0.25">
      <c r="Z50155">
        <v>400000</v>
      </c>
    </row>
    <row r="50156" spans="26:26" x14ac:dyDescent="0.25">
      <c r="Z50156">
        <v>400000</v>
      </c>
    </row>
    <row r="50157" spans="26:26" x14ac:dyDescent="0.25">
      <c r="Z50157">
        <v>400000</v>
      </c>
    </row>
    <row r="50158" spans="26:26" x14ac:dyDescent="0.25">
      <c r="Z50158">
        <v>400000</v>
      </c>
    </row>
    <row r="50159" spans="26:26" x14ac:dyDescent="0.25">
      <c r="Z50159">
        <v>400000</v>
      </c>
    </row>
    <row r="50160" spans="26:26" x14ac:dyDescent="0.25">
      <c r="Z50160">
        <v>400000</v>
      </c>
    </row>
    <row r="50161" spans="26:26" x14ac:dyDescent="0.25">
      <c r="Z50161">
        <v>400000</v>
      </c>
    </row>
    <row r="50162" spans="26:26" x14ac:dyDescent="0.25">
      <c r="Z50162">
        <v>400000</v>
      </c>
    </row>
    <row r="50163" spans="26:26" x14ac:dyDescent="0.25">
      <c r="Z50163">
        <v>400000</v>
      </c>
    </row>
    <row r="50164" spans="26:26" x14ac:dyDescent="0.25">
      <c r="Z50164">
        <v>400000</v>
      </c>
    </row>
    <row r="50165" spans="26:26" x14ac:dyDescent="0.25">
      <c r="Z50165">
        <v>400000</v>
      </c>
    </row>
    <row r="50166" spans="26:26" x14ac:dyDescent="0.25">
      <c r="Z50166">
        <v>400000</v>
      </c>
    </row>
    <row r="50167" spans="26:26" x14ac:dyDescent="0.25">
      <c r="Z50167">
        <v>400000</v>
      </c>
    </row>
    <row r="50168" spans="26:26" x14ac:dyDescent="0.25">
      <c r="Z50168">
        <v>400000</v>
      </c>
    </row>
    <row r="50169" spans="26:26" x14ac:dyDescent="0.25">
      <c r="Z50169">
        <v>400000</v>
      </c>
    </row>
    <row r="50170" spans="26:26" x14ac:dyDescent="0.25">
      <c r="Z50170">
        <v>400000</v>
      </c>
    </row>
    <row r="50171" spans="26:26" x14ac:dyDescent="0.25">
      <c r="Z50171">
        <v>400000</v>
      </c>
    </row>
    <row r="50172" spans="26:26" x14ac:dyDescent="0.25">
      <c r="Z50172">
        <v>400000</v>
      </c>
    </row>
    <row r="50173" spans="26:26" x14ac:dyDescent="0.25">
      <c r="Z50173">
        <v>400000</v>
      </c>
    </row>
    <row r="50174" spans="26:26" x14ac:dyDescent="0.25">
      <c r="Z50174">
        <v>400000</v>
      </c>
    </row>
    <row r="50175" spans="26:26" x14ac:dyDescent="0.25">
      <c r="Z50175">
        <v>400000</v>
      </c>
    </row>
    <row r="50176" spans="26:26" x14ac:dyDescent="0.25">
      <c r="Z50176">
        <v>400000</v>
      </c>
    </row>
    <row r="50177" spans="26:26" x14ac:dyDescent="0.25">
      <c r="Z50177">
        <v>400000</v>
      </c>
    </row>
    <row r="50178" spans="26:26" x14ac:dyDescent="0.25">
      <c r="Z50178">
        <v>400000</v>
      </c>
    </row>
    <row r="50179" spans="26:26" x14ac:dyDescent="0.25">
      <c r="Z50179">
        <v>400000</v>
      </c>
    </row>
    <row r="50180" spans="26:26" x14ac:dyDescent="0.25">
      <c r="Z50180">
        <v>400000</v>
      </c>
    </row>
    <row r="50181" spans="26:26" x14ac:dyDescent="0.25">
      <c r="Z50181">
        <v>400000</v>
      </c>
    </row>
    <row r="50182" spans="26:26" x14ac:dyDescent="0.25">
      <c r="Z50182">
        <v>400000</v>
      </c>
    </row>
    <row r="50183" spans="26:26" x14ac:dyDescent="0.25">
      <c r="Z50183">
        <v>400000</v>
      </c>
    </row>
    <row r="50184" spans="26:26" x14ac:dyDescent="0.25">
      <c r="Z50184">
        <v>400000</v>
      </c>
    </row>
    <row r="50185" spans="26:26" x14ac:dyDescent="0.25">
      <c r="Z50185">
        <v>400000</v>
      </c>
    </row>
    <row r="50186" spans="26:26" x14ac:dyDescent="0.25">
      <c r="Z50186">
        <v>400000</v>
      </c>
    </row>
    <row r="50187" spans="26:26" x14ac:dyDescent="0.25">
      <c r="Z50187">
        <v>400000</v>
      </c>
    </row>
    <row r="50188" spans="26:26" x14ac:dyDescent="0.25">
      <c r="Z50188">
        <v>400000</v>
      </c>
    </row>
    <row r="50189" spans="26:26" x14ac:dyDescent="0.25">
      <c r="Z50189">
        <v>400000</v>
      </c>
    </row>
    <row r="50190" spans="26:26" x14ac:dyDescent="0.25">
      <c r="Z50190">
        <v>400000</v>
      </c>
    </row>
    <row r="50191" spans="26:26" x14ac:dyDescent="0.25">
      <c r="Z50191">
        <v>400000</v>
      </c>
    </row>
    <row r="50192" spans="26:26" x14ac:dyDescent="0.25">
      <c r="Z50192">
        <v>400000</v>
      </c>
    </row>
    <row r="50193" spans="26:26" x14ac:dyDescent="0.25">
      <c r="Z50193">
        <v>400000</v>
      </c>
    </row>
    <row r="50194" spans="26:26" x14ac:dyDescent="0.25">
      <c r="Z50194">
        <v>400000</v>
      </c>
    </row>
    <row r="50195" spans="26:26" x14ac:dyDescent="0.25">
      <c r="Z50195">
        <v>400000</v>
      </c>
    </row>
    <row r="50196" spans="26:26" x14ac:dyDescent="0.25">
      <c r="Z50196">
        <v>400000</v>
      </c>
    </row>
    <row r="50197" spans="26:26" x14ac:dyDescent="0.25">
      <c r="Z50197">
        <v>400000</v>
      </c>
    </row>
    <row r="50198" spans="26:26" x14ac:dyDescent="0.25">
      <c r="Z50198">
        <v>400000</v>
      </c>
    </row>
    <row r="50199" spans="26:26" x14ac:dyDescent="0.25">
      <c r="Z50199">
        <v>400000</v>
      </c>
    </row>
    <row r="50200" spans="26:26" x14ac:dyDescent="0.25">
      <c r="Z50200">
        <v>400000</v>
      </c>
    </row>
    <row r="50201" spans="26:26" x14ac:dyDescent="0.25">
      <c r="Z50201">
        <v>400000</v>
      </c>
    </row>
    <row r="50202" spans="26:26" x14ac:dyDescent="0.25">
      <c r="Z50202">
        <v>400000</v>
      </c>
    </row>
    <row r="50203" spans="26:26" x14ac:dyDescent="0.25">
      <c r="Z50203">
        <v>400000</v>
      </c>
    </row>
    <row r="50204" spans="26:26" x14ac:dyDescent="0.25">
      <c r="Z50204">
        <v>400000</v>
      </c>
    </row>
    <row r="50205" spans="26:26" x14ac:dyDescent="0.25">
      <c r="Z50205">
        <v>400000</v>
      </c>
    </row>
    <row r="50206" spans="26:26" x14ac:dyDescent="0.25">
      <c r="Z50206">
        <v>400000</v>
      </c>
    </row>
    <row r="50207" spans="26:26" x14ac:dyDescent="0.25">
      <c r="Z50207">
        <v>400000</v>
      </c>
    </row>
    <row r="50208" spans="26:26" x14ac:dyDescent="0.25">
      <c r="Z50208">
        <v>400000</v>
      </c>
    </row>
    <row r="50209" spans="26:26" x14ac:dyDescent="0.25">
      <c r="Z50209">
        <v>400000</v>
      </c>
    </row>
    <row r="50210" spans="26:26" x14ac:dyDescent="0.25">
      <c r="Z50210">
        <v>400000</v>
      </c>
    </row>
    <row r="50211" spans="26:26" x14ac:dyDescent="0.25">
      <c r="Z50211">
        <v>400000</v>
      </c>
    </row>
    <row r="50212" spans="26:26" x14ac:dyDescent="0.25">
      <c r="Z50212">
        <v>400000</v>
      </c>
    </row>
    <row r="50213" spans="26:26" x14ac:dyDescent="0.25">
      <c r="Z50213">
        <v>400000</v>
      </c>
    </row>
    <row r="50214" spans="26:26" x14ac:dyDescent="0.25">
      <c r="Z50214">
        <v>400000</v>
      </c>
    </row>
    <row r="50215" spans="26:26" x14ac:dyDescent="0.25">
      <c r="Z50215">
        <v>400000</v>
      </c>
    </row>
    <row r="50216" spans="26:26" x14ac:dyDescent="0.25">
      <c r="Z50216">
        <v>400000</v>
      </c>
    </row>
    <row r="50217" spans="26:26" x14ac:dyDescent="0.25">
      <c r="Z50217">
        <v>400000</v>
      </c>
    </row>
    <row r="50218" spans="26:26" x14ac:dyDescent="0.25">
      <c r="Z50218">
        <v>400000</v>
      </c>
    </row>
    <row r="50219" spans="26:26" x14ac:dyDescent="0.25">
      <c r="Z50219">
        <v>400000</v>
      </c>
    </row>
    <row r="50220" spans="26:26" x14ac:dyDescent="0.25">
      <c r="Z50220">
        <v>400000</v>
      </c>
    </row>
    <row r="50221" spans="26:26" x14ac:dyDescent="0.25">
      <c r="Z50221">
        <v>400000</v>
      </c>
    </row>
    <row r="50222" spans="26:26" x14ac:dyDescent="0.25">
      <c r="Z50222">
        <v>400000</v>
      </c>
    </row>
    <row r="50223" spans="26:26" x14ac:dyDescent="0.25">
      <c r="Z50223">
        <v>400000</v>
      </c>
    </row>
    <row r="50224" spans="26:26" x14ac:dyDescent="0.25">
      <c r="Z50224">
        <v>400000</v>
      </c>
    </row>
    <row r="50225" spans="26:26" x14ac:dyDescent="0.25">
      <c r="Z50225">
        <v>400000</v>
      </c>
    </row>
    <row r="50226" spans="26:26" x14ac:dyDescent="0.25">
      <c r="Z50226">
        <v>400000</v>
      </c>
    </row>
    <row r="50227" spans="26:26" x14ac:dyDescent="0.25">
      <c r="Z50227">
        <v>400000</v>
      </c>
    </row>
    <row r="50228" spans="26:26" x14ac:dyDescent="0.25">
      <c r="Z50228">
        <v>400000</v>
      </c>
    </row>
    <row r="50229" spans="26:26" x14ac:dyDescent="0.25">
      <c r="Z50229">
        <v>400000</v>
      </c>
    </row>
    <row r="50230" spans="26:26" x14ac:dyDescent="0.25">
      <c r="Z50230">
        <v>400000</v>
      </c>
    </row>
    <row r="50231" spans="26:26" x14ac:dyDescent="0.25">
      <c r="Z50231">
        <v>400000</v>
      </c>
    </row>
    <row r="50232" spans="26:26" x14ac:dyDescent="0.25">
      <c r="Z50232">
        <v>400000</v>
      </c>
    </row>
    <row r="50233" spans="26:26" x14ac:dyDescent="0.25">
      <c r="Z50233">
        <v>400000</v>
      </c>
    </row>
    <row r="50234" spans="26:26" x14ac:dyDescent="0.25">
      <c r="Z50234">
        <v>400000</v>
      </c>
    </row>
    <row r="50235" spans="26:26" x14ac:dyDescent="0.25">
      <c r="Z50235">
        <v>400000</v>
      </c>
    </row>
    <row r="50236" spans="26:26" x14ac:dyDescent="0.25">
      <c r="Z50236">
        <v>400000</v>
      </c>
    </row>
    <row r="50237" spans="26:26" x14ac:dyDescent="0.25">
      <c r="Z50237">
        <v>400000</v>
      </c>
    </row>
    <row r="50238" spans="26:26" x14ac:dyDescent="0.25">
      <c r="Z50238">
        <v>400000</v>
      </c>
    </row>
    <row r="50239" spans="26:26" x14ac:dyDescent="0.25">
      <c r="Z50239">
        <v>400000</v>
      </c>
    </row>
    <row r="50240" spans="26:26" x14ac:dyDescent="0.25">
      <c r="Z50240">
        <v>400000</v>
      </c>
    </row>
    <row r="50241" spans="26:26" x14ac:dyDescent="0.25">
      <c r="Z50241">
        <v>400000</v>
      </c>
    </row>
    <row r="50242" spans="26:26" x14ac:dyDescent="0.25">
      <c r="Z50242">
        <v>400000</v>
      </c>
    </row>
    <row r="50243" spans="26:26" x14ac:dyDescent="0.25">
      <c r="Z50243">
        <v>400000</v>
      </c>
    </row>
    <row r="50244" spans="26:26" x14ac:dyDescent="0.25">
      <c r="Z50244">
        <v>400000</v>
      </c>
    </row>
    <row r="50245" spans="26:26" x14ac:dyDescent="0.25">
      <c r="Z50245">
        <v>400000</v>
      </c>
    </row>
    <row r="50246" spans="26:26" x14ac:dyDescent="0.25">
      <c r="Z50246">
        <v>400000</v>
      </c>
    </row>
    <row r="50247" spans="26:26" x14ac:dyDescent="0.25">
      <c r="Z50247">
        <v>400000</v>
      </c>
    </row>
    <row r="50248" spans="26:26" x14ac:dyDescent="0.25">
      <c r="Z50248">
        <v>400000</v>
      </c>
    </row>
    <row r="50249" spans="26:26" x14ac:dyDescent="0.25">
      <c r="Z50249">
        <v>400000</v>
      </c>
    </row>
    <row r="50250" spans="26:26" x14ac:dyDescent="0.25">
      <c r="Z50250">
        <v>400000</v>
      </c>
    </row>
    <row r="50251" spans="26:26" x14ac:dyDescent="0.25">
      <c r="Z50251">
        <v>400000</v>
      </c>
    </row>
    <row r="50252" spans="26:26" x14ac:dyDescent="0.25">
      <c r="Z50252">
        <v>400000</v>
      </c>
    </row>
    <row r="50253" spans="26:26" x14ac:dyDescent="0.25">
      <c r="Z50253">
        <v>400000</v>
      </c>
    </row>
    <row r="50254" spans="26:26" x14ac:dyDescent="0.25">
      <c r="Z50254">
        <v>400000</v>
      </c>
    </row>
    <row r="50255" spans="26:26" x14ac:dyDescent="0.25">
      <c r="Z50255">
        <v>400000</v>
      </c>
    </row>
    <row r="50256" spans="26:26" x14ac:dyDescent="0.25">
      <c r="Z50256">
        <v>400000</v>
      </c>
    </row>
    <row r="50257" spans="26:26" x14ac:dyDescent="0.25">
      <c r="Z50257">
        <v>400000</v>
      </c>
    </row>
    <row r="50258" spans="26:26" x14ac:dyDescent="0.25">
      <c r="Z50258">
        <v>400000</v>
      </c>
    </row>
    <row r="50259" spans="26:26" x14ac:dyDescent="0.25">
      <c r="Z50259">
        <v>400000</v>
      </c>
    </row>
    <row r="50260" spans="26:26" x14ac:dyDescent="0.25">
      <c r="Z50260">
        <v>400000</v>
      </c>
    </row>
    <row r="50261" spans="26:26" x14ac:dyDescent="0.25">
      <c r="Z50261">
        <v>400000</v>
      </c>
    </row>
    <row r="50262" spans="26:26" x14ac:dyDescent="0.25">
      <c r="Z50262">
        <v>400000</v>
      </c>
    </row>
    <row r="50263" spans="26:26" x14ac:dyDescent="0.25">
      <c r="Z50263">
        <v>400000</v>
      </c>
    </row>
    <row r="50264" spans="26:26" x14ac:dyDescent="0.25">
      <c r="Z50264">
        <v>400000</v>
      </c>
    </row>
    <row r="50265" spans="26:26" x14ac:dyDescent="0.25">
      <c r="Z50265">
        <v>400000</v>
      </c>
    </row>
    <row r="50266" spans="26:26" x14ac:dyDescent="0.25">
      <c r="Z50266">
        <v>400000</v>
      </c>
    </row>
    <row r="50267" spans="26:26" x14ac:dyDescent="0.25">
      <c r="Z50267">
        <v>400000</v>
      </c>
    </row>
    <row r="50268" spans="26:26" x14ac:dyDescent="0.25">
      <c r="Z50268">
        <v>400000</v>
      </c>
    </row>
    <row r="50269" spans="26:26" x14ac:dyDescent="0.25">
      <c r="Z50269">
        <v>400000</v>
      </c>
    </row>
    <row r="50270" spans="26:26" x14ac:dyDescent="0.25">
      <c r="Z50270">
        <v>400000</v>
      </c>
    </row>
    <row r="50271" spans="26:26" x14ac:dyDescent="0.25">
      <c r="Z50271">
        <v>400000</v>
      </c>
    </row>
    <row r="50272" spans="26:26" x14ac:dyDescent="0.25">
      <c r="Z50272">
        <v>400000</v>
      </c>
    </row>
    <row r="50273" spans="26:26" x14ac:dyDescent="0.25">
      <c r="Z50273">
        <v>400000</v>
      </c>
    </row>
    <row r="50274" spans="26:26" x14ac:dyDescent="0.25">
      <c r="Z50274">
        <v>400000</v>
      </c>
    </row>
    <row r="50275" spans="26:26" x14ac:dyDescent="0.25">
      <c r="Z50275">
        <v>400000</v>
      </c>
    </row>
    <row r="50276" spans="26:26" x14ac:dyDescent="0.25">
      <c r="Z50276">
        <v>400000</v>
      </c>
    </row>
    <row r="50277" spans="26:26" x14ac:dyDescent="0.25">
      <c r="Z50277">
        <v>400000</v>
      </c>
    </row>
    <row r="50278" spans="26:26" x14ac:dyDescent="0.25">
      <c r="Z50278">
        <v>400000</v>
      </c>
    </row>
    <row r="50279" spans="26:26" x14ac:dyDescent="0.25">
      <c r="Z50279">
        <v>400000</v>
      </c>
    </row>
    <row r="50280" spans="26:26" x14ac:dyDescent="0.25">
      <c r="Z50280">
        <v>400000</v>
      </c>
    </row>
    <row r="50281" spans="26:26" x14ac:dyDescent="0.25">
      <c r="Z50281">
        <v>400000</v>
      </c>
    </row>
    <row r="50282" spans="26:26" x14ac:dyDescent="0.25">
      <c r="Z50282">
        <v>400000</v>
      </c>
    </row>
    <row r="50283" spans="26:26" x14ac:dyDescent="0.25">
      <c r="Z50283">
        <v>400000</v>
      </c>
    </row>
    <row r="50284" spans="26:26" x14ac:dyDescent="0.25">
      <c r="Z50284">
        <v>400000</v>
      </c>
    </row>
    <row r="50285" spans="26:26" x14ac:dyDescent="0.25">
      <c r="Z50285">
        <v>400000</v>
      </c>
    </row>
    <row r="50286" spans="26:26" x14ac:dyDescent="0.25">
      <c r="Z50286">
        <v>400000</v>
      </c>
    </row>
    <row r="50287" spans="26:26" x14ac:dyDescent="0.25">
      <c r="Z50287">
        <v>400000</v>
      </c>
    </row>
    <row r="50288" spans="26:26" x14ac:dyDescent="0.25">
      <c r="Z50288">
        <v>400000</v>
      </c>
    </row>
    <row r="50289" spans="26:26" x14ac:dyDescent="0.25">
      <c r="Z50289">
        <v>400000</v>
      </c>
    </row>
    <row r="50290" spans="26:26" x14ac:dyDescent="0.25">
      <c r="Z50290">
        <v>400000</v>
      </c>
    </row>
    <row r="50291" spans="26:26" x14ac:dyDescent="0.25">
      <c r="Z50291">
        <v>400000</v>
      </c>
    </row>
    <row r="50292" spans="26:26" x14ac:dyDescent="0.25">
      <c r="Z50292">
        <v>400000</v>
      </c>
    </row>
    <row r="50293" spans="26:26" x14ac:dyDescent="0.25">
      <c r="Z50293">
        <v>400000</v>
      </c>
    </row>
    <row r="50294" spans="26:26" x14ac:dyDescent="0.25">
      <c r="Z50294">
        <v>400000</v>
      </c>
    </row>
    <row r="50295" spans="26:26" x14ac:dyDescent="0.25">
      <c r="Z50295">
        <v>400000</v>
      </c>
    </row>
    <row r="50296" spans="26:26" x14ac:dyDescent="0.25">
      <c r="Z50296">
        <v>400000</v>
      </c>
    </row>
    <row r="50297" spans="26:26" x14ac:dyDescent="0.25">
      <c r="Z50297">
        <v>400000</v>
      </c>
    </row>
    <row r="50298" spans="26:26" x14ac:dyDescent="0.25">
      <c r="Z50298">
        <v>400000</v>
      </c>
    </row>
    <row r="50299" spans="26:26" x14ac:dyDescent="0.25">
      <c r="Z50299">
        <v>400000</v>
      </c>
    </row>
    <row r="50300" spans="26:26" x14ac:dyDescent="0.25">
      <c r="Z50300">
        <v>400000</v>
      </c>
    </row>
    <row r="50301" spans="26:26" x14ac:dyDescent="0.25">
      <c r="Z50301">
        <v>400000</v>
      </c>
    </row>
    <row r="50302" spans="26:26" x14ac:dyDescent="0.25">
      <c r="Z50302">
        <v>400000</v>
      </c>
    </row>
    <row r="50303" spans="26:26" x14ac:dyDescent="0.25">
      <c r="Z50303">
        <v>400000</v>
      </c>
    </row>
    <row r="50304" spans="26:26" x14ac:dyDescent="0.25">
      <c r="Z50304">
        <v>400000</v>
      </c>
    </row>
    <row r="50305" spans="26:26" x14ac:dyDescent="0.25">
      <c r="Z50305">
        <v>400000</v>
      </c>
    </row>
    <row r="50306" spans="26:26" x14ac:dyDescent="0.25">
      <c r="Z50306">
        <v>400000</v>
      </c>
    </row>
    <row r="50307" spans="26:26" x14ac:dyDescent="0.25">
      <c r="Z50307">
        <v>400000</v>
      </c>
    </row>
    <row r="50308" spans="26:26" x14ac:dyDescent="0.25">
      <c r="Z50308">
        <v>400000</v>
      </c>
    </row>
    <row r="50309" spans="26:26" x14ac:dyDescent="0.25">
      <c r="Z50309">
        <v>400000</v>
      </c>
    </row>
    <row r="50310" spans="26:26" x14ac:dyDescent="0.25">
      <c r="Z50310">
        <v>400000</v>
      </c>
    </row>
    <row r="50311" spans="26:26" x14ac:dyDescent="0.25">
      <c r="Z50311">
        <v>400000</v>
      </c>
    </row>
    <row r="50312" spans="26:26" x14ac:dyDescent="0.25">
      <c r="Z50312">
        <v>400000</v>
      </c>
    </row>
    <row r="50313" spans="26:26" x14ac:dyDescent="0.25">
      <c r="Z50313">
        <v>400000</v>
      </c>
    </row>
    <row r="50314" spans="26:26" x14ac:dyDescent="0.25">
      <c r="Z50314">
        <v>400000</v>
      </c>
    </row>
    <row r="50315" spans="26:26" x14ac:dyDescent="0.25">
      <c r="Z50315">
        <v>400000</v>
      </c>
    </row>
    <row r="50316" spans="26:26" x14ac:dyDescent="0.25">
      <c r="Z50316">
        <v>400000</v>
      </c>
    </row>
    <row r="50317" spans="26:26" x14ac:dyDescent="0.25">
      <c r="Z50317">
        <v>400000</v>
      </c>
    </row>
    <row r="50318" spans="26:26" x14ac:dyDescent="0.25">
      <c r="Z50318">
        <v>400000</v>
      </c>
    </row>
    <row r="50319" spans="26:26" x14ac:dyDescent="0.25">
      <c r="Z50319">
        <v>400000</v>
      </c>
    </row>
    <row r="50320" spans="26:26" x14ac:dyDescent="0.25">
      <c r="Z50320">
        <v>400000</v>
      </c>
    </row>
    <row r="50321" spans="26:26" x14ac:dyDescent="0.25">
      <c r="Z50321">
        <v>400000</v>
      </c>
    </row>
    <row r="50322" spans="26:26" x14ac:dyDescent="0.25">
      <c r="Z50322">
        <v>400000</v>
      </c>
    </row>
    <row r="50323" spans="26:26" x14ac:dyDescent="0.25">
      <c r="Z50323">
        <v>400000</v>
      </c>
    </row>
    <row r="50324" spans="26:26" x14ac:dyDescent="0.25">
      <c r="Z50324">
        <v>400000</v>
      </c>
    </row>
    <row r="50325" spans="26:26" x14ac:dyDescent="0.25">
      <c r="Z50325">
        <v>400000</v>
      </c>
    </row>
    <row r="50326" spans="26:26" x14ac:dyDescent="0.25">
      <c r="Z50326">
        <v>400000</v>
      </c>
    </row>
    <row r="50327" spans="26:26" x14ac:dyDescent="0.25">
      <c r="Z50327">
        <v>400000</v>
      </c>
    </row>
    <row r="50328" spans="26:26" x14ac:dyDescent="0.25">
      <c r="Z50328">
        <v>400000</v>
      </c>
    </row>
    <row r="50329" spans="26:26" x14ac:dyDescent="0.25">
      <c r="Z50329">
        <v>400000</v>
      </c>
    </row>
    <row r="50330" spans="26:26" x14ac:dyDescent="0.25">
      <c r="Z50330">
        <v>400000</v>
      </c>
    </row>
    <row r="50331" spans="26:26" x14ac:dyDescent="0.25">
      <c r="Z50331">
        <v>400000</v>
      </c>
    </row>
    <row r="50332" spans="26:26" x14ac:dyDescent="0.25">
      <c r="Z50332">
        <v>400000</v>
      </c>
    </row>
    <row r="50333" spans="26:26" x14ac:dyDescent="0.25">
      <c r="Z50333">
        <v>400000</v>
      </c>
    </row>
    <row r="50334" spans="26:26" x14ac:dyDescent="0.25">
      <c r="Z50334">
        <v>400000</v>
      </c>
    </row>
    <row r="50335" spans="26:26" x14ac:dyDescent="0.25">
      <c r="Z50335">
        <v>400000</v>
      </c>
    </row>
    <row r="50336" spans="26:26" x14ac:dyDescent="0.25">
      <c r="Z50336">
        <v>400000</v>
      </c>
    </row>
    <row r="50337" spans="26:26" x14ac:dyDescent="0.25">
      <c r="Z50337">
        <v>400000</v>
      </c>
    </row>
    <row r="50338" spans="26:26" x14ac:dyDescent="0.25">
      <c r="Z50338">
        <v>400000</v>
      </c>
    </row>
    <row r="50339" spans="26:26" x14ac:dyDescent="0.25">
      <c r="Z50339">
        <v>400000</v>
      </c>
    </row>
    <row r="50340" spans="26:26" x14ac:dyDescent="0.25">
      <c r="Z50340">
        <v>400000</v>
      </c>
    </row>
    <row r="50341" spans="26:26" x14ac:dyDescent="0.25">
      <c r="Z50341">
        <v>400000</v>
      </c>
    </row>
    <row r="50342" spans="26:26" x14ac:dyDescent="0.25">
      <c r="Z50342">
        <v>400000</v>
      </c>
    </row>
    <row r="50343" spans="26:26" x14ac:dyDescent="0.25">
      <c r="Z50343">
        <v>400000</v>
      </c>
    </row>
    <row r="50344" spans="26:26" x14ac:dyDescent="0.25">
      <c r="Z50344">
        <v>400000</v>
      </c>
    </row>
    <row r="50345" spans="26:26" x14ac:dyDescent="0.25">
      <c r="Z50345">
        <v>400000</v>
      </c>
    </row>
    <row r="50346" spans="26:26" x14ac:dyDescent="0.25">
      <c r="Z50346">
        <v>400000</v>
      </c>
    </row>
    <row r="50347" spans="26:26" x14ac:dyDescent="0.25">
      <c r="Z50347">
        <v>400000</v>
      </c>
    </row>
    <row r="50348" spans="26:26" x14ac:dyDescent="0.25">
      <c r="Z50348">
        <v>400000</v>
      </c>
    </row>
    <row r="50349" spans="26:26" x14ac:dyDescent="0.25">
      <c r="Z50349">
        <v>400000</v>
      </c>
    </row>
    <row r="50350" spans="26:26" x14ac:dyDescent="0.25">
      <c r="Z50350">
        <v>400000</v>
      </c>
    </row>
    <row r="50351" spans="26:26" x14ac:dyDescent="0.25">
      <c r="Z50351">
        <v>400000</v>
      </c>
    </row>
    <row r="50352" spans="26:26" x14ac:dyDescent="0.25">
      <c r="Z50352">
        <v>400000</v>
      </c>
    </row>
    <row r="50353" spans="26:26" x14ac:dyDescent="0.25">
      <c r="Z50353">
        <v>400000</v>
      </c>
    </row>
    <row r="50354" spans="26:26" x14ac:dyDescent="0.25">
      <c r="Z50354">
        <v>400000</v>
      </c>
    </row>
    <row r="50355" spans="26:26" x14ac:dyDescent="0.25">
      <c r="Z50355">
        <v>400000</v>
      </c>
    </row>
    <row r="50356" spans="26:26" x14ac:dyDescent="0.25">
      <c r="Z50356">
        <v>400000</v>
      </c>
    </row>
    <row r="50357" spans="26:26" x14ac:dyDescent="0.25">
      <c r="Z50357">
        <v>400000</v>
      </c>
    </row>
    <row r="50358" spans="26:26" x14ac:dyDescent="0.25">
      <c r="Z50358">
        <v>400000</v>
      </c>
    </row>
    <row r="50359" spans="26:26" x14ac:dyDescent="0.25">
      <c r="Z50359">
        <v>400000</v>
      </c>
    </row>
    <row r="50360" spans="26:26" x14ac:dyDescent="0.25">
      <c r="Z50360">
        <v>400000</v>
      </c>
    </row>
    <row r="50361" spans="26:26" x14ac:dyDescent="0.25">
      <c r="Z50361">
        <v>400000</v>
      </c>
    </row>
    <row r="50362" spans="26:26" x14ac:dyDescent="0.25">
      <c r="Z50362">
        <v>400000</v>
      </c>
    </row>
    <row r="50363" spans="26:26" x14ac:dyDescent="0.25">
      <c r="Z50363">
        <v>400000</v>
      </c>
    </row>
    <row r="50364" spans="26:26" x14ac:dyDescent="0.25">
      <c r="Z50364">
        <v>400000</v>
      </c>
    </row>
    <row r="50365" spans="26:26" x14ac:dyDescent="0.25">
      <c r="Z50365">
        <v>400000</v>
      </c>
    </row>
    <row r="50366" spans="26:26" x14ac:dyDescent="0.25">
      <c r="Z50366">
        <v>400000</v>
      </c>
    </row>
    <row r="50367" spans="26:26" x14ac:dyDescent="0.25">
      <c r="Z50367">
        <v>400000</v>
      </c>
    </row>
    <row r="50368" spans="26:26" x14ac:dyDescent="0.25">
      <c r="Z50368">
        <v>400000</v>
      </c>
    </row>
    <row r="50369" spans="26:26" x14ac:dyDescent="0.25">
      <c r="Z50369">
        <v>400000</v>
      </c>
    </row>
    <row r="50370" spans="26:26" x14ac:dyDescent="0.25">
      <c r="Z50370">
        <v>400000</v>
      </c>
    </row>
    <row r="50371" spans="26:26" x14ac:dyDescent="0.25">
      <c r="Z50371">
        <v>400000</v>
      </c>
    </row>
    <row r="50372" spans="26:26" x14ac:dyDescent="0.25">
      <c r="Z50372">
        <v>400000</v>
      </c>
    </row>
    <row r="50373" spans="26:26" x14ac:dyDescent="0.25">
      <c r="Z50373">
        <v>400000</v>
      </c>
    </row>
    <row r="50374" spans="26:26" x14ac:dyDescent="0.25">
      <c r="Z50374">
        <v>400000</v>
      </c>
    </row>
    <row r="50375" spans="26:26" x14ac:dyDescent="0.25">
      <c r="Z50375">
        <v>400000</v>
      </c>
    </row>
    <row r="50376" spans="26:26" x14ac:dyDescent="0.25">
      <c r="Z50376">
        <v>400000</v>
      </c>
    </row>
    <row r="50377" spans="26:26" x14ac:dyDescent="0.25">
      <c r="Z50377">
        <v>400000</v>
      </c>
    </row>
    <row r="50378" spans="26:26" x14ac:dyDescent="0.25">
      <c r="Z50378">
        <v>400000</v>
      </c>
    </row>
    <row r="50379" spans="26:26" x14ac:dyDescent="0.25">
      <c r="Z50379">
        <v>400000</v>
      </c>
    </row>
    <row r="50380" spans="26:26" x14ac:dyDescent="0.25">
      <c r="Z50380">
        <v>400000</v>
      </c>
    </row>
    <row r="50381" spans="26:26" x14ac:dyDescent="0.25">
      <c r="Z50381">
        <v>400000</v>
      </c>
    </row>
    <row r="50382" spans="26:26" x14ac:dyDescent="0.25">
      <c r="Z50382">
        <v>400000</v>
      </c>
    </row>
    <row r="50383" spans="26:26" x14ac:dyDescent="0.25">
      <c r="Z50383">
        <v>400000</v>
      </c>
    </row>
    <row r="50384" spans="26:26" x14ac:dyDescent="0.25">
      <c r="Z50384">
        <v>400000</v>
      </c>
    </row>
    <row r="50385" spans="26:26" x14ac:dyDescent="0.25">
      <c r="Z50385">
        <v>400000</v>
      </c>
    </row>
    <row r="50386" spans="26:26" x14ac:dyDescent="0.25">
      <c r="Z50386">
        <v>400000</v>
      </c>
    </row>
    <row r="50387" spans="26:26" x14ac:dyDescent="0.25">
      <c r="Z50387">
        <v>400000</v>
      </c>
    </row>
    <row r="50388" spans="26:26" x14ac:dyDescent="0.25">
      <c r="Z50388">
        <v>400000</v>
      </c>
    </row>
    <row r="50389" spans="26:26" x14ac:dyDescent="0.25">
      <c r="Z50389">
        <v>400000</v>
      </c>
    </row>
    <row r="50390" spans="26:26" x14ac:dyDescent="0.25">
      <c r="Z50390">
        <v>400000</v>
      </c>
    </row>
    <row r="50391" spans="26:26" x14ac:dyDescent="0.25">
      <c r="Z50391">
        <v>400000</v>
      </c>
    </row>
    <row r="50392" spans="26:26" x14ac:dyDescent="0.25">
      <c r="Z50392">
        <v>400000</v>
      </c>
    </row>
    <row r="50393" spans="26:26" x14ac:dyDescent="0.25">
      <c r="Z50393">
        <v>400000</v>
      </c>
    </row>
    <row r="50394" spans="26:26" x14ac:dyDescent="0.25">
      <c r="Z50394">
        <v>400000</v>
      </c>
    </row>
    <row r="50395" spans="26:26" x14ac:dyDescent="0.25">
      <c r="Z50395">
        <v>400000</v>
      </c>
    </row>
    <row r="50396" spans="26:26" x14ac:dyDescent="0.25">
      <c r="Z50396">
        <v>400000</v>
      </c>
    </row>
    <row r="50397" spans="26:26" x14ac:dyDescent="0.25">
      <c r="Z50397">
        <v>400000</v>
      </c>
    </row>
    <row r="50398" spans="26:26" x14ac:dyDescent="0.25">
      <c r="Z50398">
        <v>400000</v>
      </c>
    </row>
    <row r="50399" spans="26:26" x14ac:dyDescent="0.25">
      <c r="Z50399">
        <v>400000</v>
      </c>
    </row>
    <row r="50400" spans="26:26" x14ac:dyDescent="0.25">
      <c r="Z50400">
        <v>400000</v>
      </c>
    </row>
    <row r="50401" spans="26:26" x14ac:dyDescent="0.25">
      <c r="Z50401">
        <v>400000</v>
      </c>
    </row>
    <row r="50402" spans="26:26" x14ac:dyDescent="0.25">
      <c r="Z50402">
        <v>400000</v>
      </c>
    </row>
    <row r="50403" spans="26:26" x14ac:dyDescent="0.25">
      <c r="Z50403">
        <v>400000</v>
      </c>
    </row>
    <row r="50404" spans="26:26" x14ac:dyDescent="0.25">
      <c r="Z50404">
        <v>400000</v>
      </c>
    </row>
    <row r="50405" spans="26:26" x14ac:dyDescent="0.25">
      <c r="Z50405">
        <v>400000</v>
      </c>
    </row>
    <row r="50406" spans="26:26" x14ac:dyDescent="0.25">
      <c r="Z50406">
        <v>400000</v>
      </c>
    </row>
    <row r="50407" spans="26:26" x14ac:dyDescent="0.25">
      <c r="Z50407">
        <v>400000</v>
      </c>
    </row>
    <row r="50408" spans="26:26" x14ac:dyDescent="0.25">
      <c r="Z50408">
        <v>400000</v>
      </c>
    </row>
    <row r="50409" spans="26:26" x14ac:dyDescent="0.25">
      <c r="Z50409">
        <v>400000</v>
      </c>
    </row>
    <row r="50410" spans="26:26" x14ac:dyDescent="0.25">
      <c r="Z50410">
        <v>400000</v>
      </c>
    </row>
    <row r="50411" spans="26:26" x14ac:dyDescent="0.25">
      <c r="Z50411">
        <v>400000</v>
      </c>
    </row>
    <row r="50412" spans="26:26" x14ac:dyDescent="0.25">
      <c r="Z50412">
        <v>400000</v>
      </c>
    </row>
    <row r="50413" spans="26:26" x14ac:dyDescent="0.25">
      <c r="Z50413">
        <v>400000</v>
      </c>
    </row>
    <row r="50414" spans="26:26" x14ac:dyDescent="0.25">
      <c r="Z50414">
        <v>400000</v>
      </c>
    </row>
    <row r="50415" spans="26:26" x14ac:dyDescent="0.25">
      <c r="Z50415">
        <v>400000</v>
      </c>
    </row>
    <row r="50416" spans="26:26" x14ac:dyDescent="0.25">
      <c r="Z50416">
        <v>400000</v>
      </c>
    </row>
    <row r="50417" spans="26:26" x14ac:dyDescent="0.25">
      <c r="Z50417">
        <v>400000</v>
      </c>
    </row>
    <row r="50418" spans="26:26" x14ac:dyDescent="0.25">
      <c r="Z50418">
        <v>400000</v>
      </c>
    </row>
    <row r="50419" spans="26:26" x14ac:dyDescent="0.25">
      <c r="Z50419">
        <v>400000</v>
      </c>
    </row>
    <row r="50420" spans="26:26" x14ac:dyDescent="0.25">
      <c r="Z50420">
        <v>400000</v>
      </c>
    </row>
    <row r="50421" spans="26:26" x14ac:dyDescent="0.25">
      <c r="Z50421">
        <v>400000</v>
      </c>
    </row>
    <row r="50422" spans="26:26" x14ac:dyDescent="0.25">
      <c r="Z50422">
        <v>400000</v>
      </c>
    </row>
    <row r="50423" spans="26:26" x14ac:dyDescent="0.25">
      <c r="Z50423">
        <v>400000</v>
      </c>
    </row>
    <row r="50424" spans="26:26" x14ac:dyDescent="0.25">
      <c r="Z50424">
        <v>400000</v>
      </c>
    </row>
    <row r="50425" spans="26:26" x14ac:dyDescent="0.25">
      <c r="Z50425">
        <v>400000</v>
      </c>
    </row>
    <row r="50426" spans="26:26" x14ac:dyDescent="0.25">
      <c r="Z50426">
        <v>400000</v>
      </c>
    </row>
    <row r="50427" spans="26:26" x14ac:dyDescent="0.25">
      <c r="Z50427">
        <v>400000</v>
      </c>
    </row>
    <row r="50428" spans="26:26" x14ac:dyDescent="0.25">
      <c r="Z50428">
        <v>400000</v>
      </c>
    </row>
    <row r="50429" spans="26:26" x14ac:dyDescent="0.25">
      <c r="Z50429">
        <v>400000</v>
      </c>
    </row>
    <row r="50430" spans="26:26" x14ac:dyDescent="0.25">
      <c r="Z50430">
        <v>400000</v>
      </c>
    </row>
    <row r="50431" spans="26:26" x14ac:dyDescent="0.25">
      <c r="Z50431">
        <v>400000</v>
      </c>
    </row>
    <row r="50432" spans="26:26" x14ac:dyDescent="0.25">
      <c r="Z50432">
        <v>400000</v>
      </c>
    </row>
    <row r="50433" spans="26:26" x14ac:dyDescent="0.25">
      <c r="Z50433">
        <v>400000</v>
      </c>
    </row>
    <row r="50434" spans="26:26" x14ac:dyDescent="0.25">
      <c r="Z50434">
        <v>400000</v>
      </c>
    </row>
    <row r="50435" spans="26:26" x14ac:dyDescent="0.25">
      <c r="Z50435">
        <v>400000</v>
      </c>
    </row>
    <row r="50436" spans="26:26" x14ac:dyDescent="0.25">
      <c r="Z50436">
        <v>400000</v>
      </c>
    </row>
    <row r="50437" spans="26:26" x14ac:dyDescent="0.25">
      <c r="Z50437">
        <v>400000</v>
      </c>
    </row>
    <row r="50438" spans="26:26" x14ac:dyDescent="0.25">
      <c r="Z50438">
        <v>400000</v>
      </c>
    </row>
    <row r="50439" spans="26:26" x14ac:dyDescent="0.25">
      <c r="Z50439">
        <v>400000</v>
      </c>
    </row>
    <row r="50440" spans="26:26" x14ac:dyDescent="0.25">
      <c r="Z50440">
        <v>400000</v>
      </c>
    </row>
    <row r="50441" spans="26:26" x14ac:dyDescent="0.25">
      <c r="Z50441">
        <v>400000</v>
      </c>
    </row>
    <row r="50442" spans="26:26" x14ac:dyDescent="0.25">
      <c r="Z50442">
        <v>400000</v>
      </c>
    </row>
    <row r="50443" spans="26:26" x14ac:dyDescent="0.25">
      <c r="Z50443">
        <v>400000</v>
      </c>
    </row>
    <row r="50444" spans="26:26" x14ac:dyDescent="0.25">
      <c r="Z50444">
        <v>400000</v>
      </c>
    </row>
    <row r="50445" spans="26:26" x14ac:dyDescent="0.25">
      <c r="Z50445">
        <v>400000</v>
      </c>
    </row>
    <row r="50446" spans="26:26" x14ac:dyDescent="0.25">
      <c r="Z50446">
        <v>400000</v>
      </c>
    </row>
    <row r="50447" spans="26:26" x14ac:dyDescent="0.25">
      <c r="Z50447">
        <v>400000</v>
      </c>
    </row>
    <row r="50448" spans="26:26" x14ac:dyDescent="0.25">
      <c r="Z50448">
        <v>400000</v>
      </c>
    </row>
    <row r="50449" spans="26:26" x14ac:dyDescent="0.25">
      <c r="Z50449">
        <v>400000</v>
      </c>
    </row>
    <row r="50450" spans="26:26" x14ac:dyDescent="0.25">
      <c r="Z50450">
        <v>400000</v>
      </c>
    </row>
    <row r="50451" spans="26:26" x14ac:dyDescent="0.25">
      <c r="Z50451">
        <v>400000</v>
      </c>
    </row>
    <row r="50452" spans="26:26" x14ac:dyDescent="0.25">
      <c r="Z50452">
        <v>400000</v>
      </c>
    </row>
    <row r="50453" spans="26:26" x14ac:dyDescent="0.25">
      <c r="Z50453">
        <v>400000</v>
      </c>
    </row>
    <row r="50454" spans="26:26" x14ac:dyDescent="0.25">
      <c r="Z50454">
        <v>400000</v>
      </c>
    </row>
    <row r="50455" spans="26:26" x14ac:dyDescent="0.25">
      <c r="Z50455">
        <v>400000</v>
      </c>
    </row>
    <row r="50456" spans="26:26" x14ac:dyDescent="0.25">
      <c r="Z50456">
        <v>400000</v>
      </c>
    </row>
    <row r="50457" spans="26:26" x14ac:dyDescent="0.25">
      <c r="Z50457">
        <v>400000</v>
      </c>
    </row>
    <row r="50458" spans="26:26" x14ac:dyDescent="0.25">
      <c r="Z50458">
        <v>400000</v>
      </c>
    </row>
    <row r="50459" spans="26:26" x14ac:dyDescent="0.25">
      <c r="Z50459">
        <v>400000</v>
      </c>
    </row>
    <row r="50460" spans="26:26" x14ac:dyDescent="0.25">
      <c r="Z50460">
        <v>400000</v>
      </c>
    </row>
    <row r="50461" spans="26:26" x14ac:dyDescent="0.25">
      <c r="Z50461">
        <v>400000</v>
      </c>
    </row>
    <row r="50462" spans="26:26" x14ac:dyDescent="0.25">
      <c r="Z50462">
        <v>400000</v>
      </c>
    </row>
    <row r="50463" spans="26:26" x14ac:dyDescent="0.25">
      <c r="Z50463">
        <v>400000</v>
      </c>
    </row>
    <row r="50464" spans="26:26" x14ac:dyDescent="0.25">
      <c r="Z50464">
        <v>400000</v>
      </c>
    </row>
    <row r="50465" spans="26:26" x14ac:dyDescent="0.25">
      <c r="Z50465">
        <v>400000</v>
      </c>
    </row>
    <row r="50466" spans="26:26" x14ac:dyDescent="0.25">
      <c r="Z50466">
        <v>400000</v>
      </c>
    </row>
    <row r="50467" spans="26:26" x14ac:dyDescent="0.25">
      <c r="Z50467">
        <v>400000</v>
      </c>
    </row>
    <row r="50468" spans="26:26" x14ac:dyDescent="0.25">
      <c r="Z50468">
        <v>400000</v>
      </c>
    </row>
    <row r="50469" spans="26:26" x14ac:dyDescent="0.25">
      <c r="Z50469">
        <v>400000</v>
      </c>
    </row>
    <row r="50470" spans="26:26" x14ac:dyDescent="0.25">
      <c r="Z50470">
        <v>400000</v>
      </c>
    </row>
    <row r="50471" spans="26:26" x14ac:dyDescent="0.25">
      <c r="Z50471">
        <v>400000</v>
      </c>
    </row>
    <row r="50472" spans="26:26" x14ac:dyDescent="0.25">
      <c r="Z50472">
        <v>400000</v>
      </c>
    </row>
    <row r="50473" spans="26:26" x14ac:dyDescent="0.25">
      <c r="Z50473">
        <v>400000</v>
      </c>
    </row>
    <row r="50474" spans="26:26" x14ac:dyDescent="0.25">
      <c r="Z50474">
        <v>400000</v>
      </c>
    </row>
    <row r="50475" spans="26:26" x14ac:dyDescent="0.25">
      <c r="Z50475">
        <v>400000</v>
      </c>
    </row>
    <row r="50476" spans="26:26" x14ac:dyDescent="0.25">
      <c r="Z50476">
        <v>400000</v>
      </c>
    </row>
    <row r="50477" spans="26:26" x14ac:dyDescent="0.25">
      <c r="Z50477">
        <v>400000</v>
      </c>
    </row>
    <row r="50478" spans="26:26" x14ac:dyDescent="0.25">
      <c r="Z50478">
        <v>400000</v>
      </c>
    </row>
    <row r="50479" spans="26:26" x14ac:dyDescent="0.25">
      <c r="Z50479">
        <v>400000</v>
      </c>
    </row>
    <row r="50480" spans="26:26" x14ac:dyDescent="0.25">
      <c r="Z50480">
        <v>400000</v>
      </c>
    </row>
    <row r="50481" spans="26:26" x14ac:dyDescent="0.25">
      <c r="Z50481">
        <v>400000</v>
      </c>
    </row>
    <row r="50482" spans="26:26" x14ac:dyDescent="0.25">
      <c r="Z50482">
        <v>400000</v>
      </c>
    </row>
    <row r="50483" spans="26:26" x14ac:dyDescent="0.25">
      <c r="Z50483">
        <v>400000</v>
      </c>
    </row>
    <row r="50484" spans="26:26" x14ac:dyDescent="0.25">
      <c r="Z50484">
        <v>400000</v>
      </c>
    </row>
    <row r="50485" spans="26:26" x14ac:dyDescent="0.25">
      <c r="Z50485">
        <v>400000</v>
      </c>
    </row>
    <row r="50486" spans="26:26" x14ac:dyDescent="0.25">
      <c r="Z50486">
        <v>400000</v>
      </c>
    </row>
    <row r="50487" spans="26:26" x14ac:dyDescent="0.25">
      <c r="Z50487">
        <v>400000</v>
      </c>
    </row>
    <row r="50488" spans="26:26" x14ac:dyDescent="0.25">
      <c r="Z50488">
        <v>400000</v>
      </c>
    </row>
    <row r="50489" spans="26:26" x14ac:dyDescent="0.25">
      <c r="Z50489">
        <v>400000</v>
      </c>
    </row>
    <row r="50490" spans="26:26" x14ac:dyDescent="0.25">
      <c r="Z50490">
        <v>400000</v>
      </c>
    </row>
    <row r="50491" spans="26:26" x14ac:dyDescent="0.25">
      <c r="Z50491">
        <v>400000</v>
      </c>
    </row>
    <row r="50492" spans="26:26" x14ac:dyDescent="0.25">
      <c r="Z50492">
        <v>400000</v>
      </c>
    </row>
    <row r="50493" spans="26:26" x14ac:dyDescent="0.25">
      <c r="Z50493">
        <v>400000</v>
      </c>
    </row>
    <row r="50494" spans="26:26" x14ac:dyDescent="0.25">
      <c r="Z50494">
        <v>400000</v>
      </c>
    </row>
    <row r="50495" spans="26:26" x14ac:dyDescent="0.25">
      <c r="Z50495">
        <v>400000</v>
      </c>
    </row>
    <row r="50496" spans="26:26" x14ac:dyDescent="0.25">
      <c r="Z50496">
        <v>400000</v>
      </c>
    </row>
    <row r="50497" spans="26:26" x14ac:dyDescent="0.25">
      <c r="Z50497">
        <v>400000</v>
      </c>
    </row>
    <row r="50498" spans="26:26" x14ac:dyDescent="0.25">
      <c r="Z50498">
        <v>400000</v>
      </c>
    </row>
    <row r="50499" spans="26:26" x14ac:dyDescent="0.25">
      <c r="Z50499">
        <v>400000</v>
      </c>
    </row>
    <row r="50500" spans="26:26" x14ac:dyDescent="0.25">
      <c r="Z50500">
        <v>400000</v>
      </c>
    </row>
    <row r="50501" spans="26:26" x14ac:dyDescent="0.25">
      <c r="Z50501">
        <v>400000</v>
      </c>
    </row>
    <row r="50502" spans="26:26" x14ac:dyDescent="0.25">
      <c r="Z50502">
        <v>400000</v>
      </c>
    </row>
    <row r="50503" spans="26:26" x14ac:dyDescent="0.25">
      <c r="Z50503">
        <v>400000</v>
      </c>
    </row>
    <row r="50504" spans="26:26" x14ac:dyDescent="0.25">
      <c r="Z50504">
        <v>400000</v>
      </c>
    </row>
    <row r="50505" spans="26:26" x14ac:dyDescent="0.25">
      <c r="Z50505">
        <v>400000</v>
      </c>
    </row>
    <row r="50506" spans="26:26" x14ac:dyDescent="0.25">
      <c r="Z50506">
        <v>400000</v>
      </c>
    </row>
    <row r="50507" spans="26:26" x14ac:dyDescent="0.25">
      <c r="Z50507">
        <v>400000</v>
      </c>
    </row>
    <row r="50508" spans="26:26" x14ac:dyDescent="0.25">
      <c r="Z50508">
        <v>400000</v>
      </c>
    </row>
    <row r="50509" spans="26:26" x14ac:dyDescent="0.25">
      <c r="Z50509">
        <v>400000</v>
      </c>
    </row>
    <row r="50510" spans="26:26" x14ac:dyDescent="0.25">
      <c r="Z50510">
        <v>400000</v>
      </c>
    </row>
    <row r="50511" spans="26:26" x14ac:dyDescent="0.25">
      <c r="Z50511">
        <v>400000</v>
      </c>
    </row>
    <row r="50512" spans="26:26" x14ac:dyDescent="0.25">
      <c r="Z50512">
        <v>400000</v>
      </c>
    </row>
    <row r="50513" spans="26:26" x14ac:dyDescent="0.25">
      <c r="Z50513">
        <v>400000</v>
      </c>
    </row>
    <row r="50514" spans="26:26" x14ac:dyDescent="0.25">
      <c r="Z50514">
        <v>400000</v>
      </c>
    </row>
    <row r="50515" spans="26:26" x14ac:dyDescent="0.25">
      <c r="Z50515">
        <v>400000</v>
      </c>
    </row>
    <row r="50516" spans="26:26" x14ac:dyDescent="0.25">
      <c r="Z50516">
        <v>400000</v>
      </c>
    </row>
    <row r="50517" spans="26:26" x14ac:dyDescent="0.25">
      <c r="Z50517">
        <v>400000</v>
      </c>
    </row>
    <row r="50518" spans="26:26" x14ac:dyDescent="0.25">
      <c r="Z50518">
        <v>400000</v>
      </c>
    </row>
    <row r="50519" spans="26:26" x14ac:dyDescent="0.25">
      <c r="Z50519">
        <v>400000</v>
      </c>
    </row>
    <row r="50520" spans="26:26" x14ac:dyDescent="0.25">
      <c r="Z50520">
        <v>400000</v>
      </c>
    </row>
    <row r="50521" spans="26:26" x14ac:dyDescent="0.25">
      <c r="Z50521">
        <v>400000</v>
      </c>
    </row>
    <row r="50522" spans="26:26" x14ac:dyDescent="0.25">
      <c r="Z50522">
        <v>400000</v>
      </c>
    </row>
    <row r="50523" spans="26:26" x14ac:dyDescent="0.25">
      <c r="Z50523">
        <v>400000</v>
      </c>
    </row>
    <row r="50524" spans="26:26" x14ac:dyDescent="0.25">
      <c r="Z50524">
        <v>400000</v>
      </c>
    </row>
    <row r="50525" spans="26:26" x14ac:dyDescent="0.25">
      <c r="Z50525">
        <v>400000</v>
      </c>
    </row>
    <row r="50526" spans="26:26" x14ac:dyDescent="0.25">
      <c r="Z50526">
        <v>400000</v>
      </c>
    </row>
    <row r="50527" spans="26:26" x14ac:dyDescent="0.25">
      <c r="Z50527">
        <v>400000</v>
      </c>
    </row>
    <row r="50528" spans="26:26" x14ac:dyDescent="0.25">
      <c r="Z50528">
        <v>400000</v>
      </c>
    </row>
    <row r="50529" spans="26:26" x14ac:dyDescent="0.25">
      <c r="Z50529">
        <v>400000</v>
      </c>
    </row>
    <row r="50530" spans="26:26" x14ac:dyDescent="0.25">
      <c r="Z50530">
        <v>400000</v>
      </c>
    </row>
    <row r="50531" spans="26:26" x14ac:dyDescent="0.25">
      <c r="Z50531">
        <v>400000</v>
      </c>
    </row>
    <row r="50532" spans="26:26" x14ac:dyDescent="0.25">
      <c r="Z50532">
        <v>400000</v>
      </c>
    </row>
    <row r="50533" spans="26:26" x14ac:dyDescent="0.25">
      <c r="Z50533">
        <v>400000</v>
      </c>
    </row>
    <row r="50534" spans="26:26" x14ac:dyDescent="0.25">
      <c r="Z50534">
        <v>400000</v>
      </c>
    </row>
    <row r="50535" spans="26:26" x14ac:dyDescent="0.25">
      <c r="Z50535">
        <v>400000</v>
      </c>
    </row>
    <row r="50536" spans="26:26" x14ac:dyDescent="0.25">
      <c r="Z50536">
        <v>400000</v>
      </c>
    </row>
    <row r="50537" spans="26:26" x14ac:dyDescent="0.25">
      <c r="Z50537">
        <v>400000</v>
      </c>
    </row>
    <row r="50538" spans="26:26" x14ac:dyDescent="0.25">
      <c r="Z50538">
        <v>400000</v>
      </c>
    </row>
    <row r="50539" spans="26:26" x14ac:dyDescent="0.25">
      <c r="Z50539">
        <v>400000</v>
      </c>
    </row>
    <row r="50540" spans="26:26" x14ac:dyDescent="0.25">
      <c r="Z50540">
        <v>400000</v>
      </c>
    </row>
    <row r="50541" spans="26:26" x14ac:dyDescent="0.25">
      <c r="Z50541">
        <v>400000</v>
      </c>
    </row>
    <row r="50542" spans="26:26" x14ac:dyDescent="0.25">
      <c r="Z50542">
        <v>400000</v>
      </c>
    </row>
    <row r="50543" spans="26:26" x14ac:dyDescent="0.25">
      <c r="Z50543">
        <v>400000</v>
      </c>
    </row>
    <row r="50544" spans="26:26" x14ac:dyDescent="0.25">
      <c r="Z50544">
        <v>400000</v>
      </c>
    </row>
    <row r="50545" spans="26:26" x14ac:dyDescent="0.25">
      <c r="Z50545">
        <v>400000</v>
      </c>
    </row>
    <row r="50546" spans="26:26" x14ac:dyDescent="0.25">
      <c r="Z50546">
        <v>400000</v>
      </c>
    </row>
    <row r="50547" spans="26:26" x14ac:dyDescent="0.25">
      <c r="Z50547">
        <v>400000</v>
      </c>
    </row>
    <row r="50548" spans="26:26" x14ac:dyDescent="0.25">
      <c r="Z50548">
        <v>400000</v>
      </c>
    </row>
    <row r="50549" spans="26:26" x14ac:dyDescent="0.25">
      <c r="Z50549">
        <v>400000</v>
      </c>
    </row>
    <row r="50550" spans="26:26" x14ac:dyDescent="0.25">
      <c r="Z50550">
        <v>400000</v>
      </c>
    </row>
    <row r="50551" spans="26:26" x14ac:dyDescent="0.25">
      <c r="Z50551">
        <v>400000</v>
      </c>
    </row>
    <row r="50552" spans="26:26" x14ac:dyDescent="0.25">
      <c r="Z50552">
        <v>400000</v>
      </c>
    </row>
    <row r="50553" spans="26:26" x14ac:dyDescent="0.25">
      <c r="Z50553">
        <v>400000</v>
      </c>
    </row>
    <row r="50554" spans="26:26" x14ac:dyDescent="0.25">
      <c r="Z50554">
        <v>400000</v>
      </c>
    </row>
    <row r="50555" spans="26:26" x14ac:dyDescent="0.25">
      <c r="Z50555">
        <v>400000</v>
      </c>
    </row>
    <row r="50556" spans="26:26" x14ac:dyDescent="0.25">
      <c r="Z50556">
        <v>400000</v>
      </c>
    </row>
    <row r="50557" spans="26:26" x14ac:dyDescent="0.25">
      <c r="Z50557">
        <v>400000</v>
      </c>
    </row>
    <row r="50558" spans="26:26" x14ac:dyDescent="0.25">
      <c r="Z50558">
        <v>400000</v>
      </c>
    </row>
    <row r="50559" spans="26:26" x14ac:dyDescent="0.25">
      <c r="Z50559">
        <v>400000</v>
      </c>
    </row>
    <row r="50560" spans="26:26" x14ac:dyDescent="0.25">
      <c r="Z50560">
        <v>400000</v>
      </c>
    </row>
    <row r="50561" spans="26:26" x14ac:dyDescent="0.25">
      <c r="Z50561">
        <v>400000</v>
      </c>
    </row>
    <row r="50562" spans="26:26" x14ac:dyDescent="0.25">
      <c r="Z50562">
        <v>400000</v>
      </c>
    </row>
    <row r="50563" spans="26:26" x14ac:dyDescent="0.25">
      <c r="Z50563">
        <v>400000</v>
      </c>
    </row>
    <row r="50564" spans="26:26" x14ac:dyDescent="0.25">
      <c r="Z50564">
        <v>400000</v>
      </c>
    </row>
    <row r="50565" spans="26:26" x14ac:dyDescent="0.25">
      <c r="Z50565">
        <v>400000</v>
      </c>
    </row>
    <row r="50566" spans="26:26" x14ac:dyDescent="0.25">
      <c r="Z50566">
        <v>400000</v>
      </c>
    </row>
    <row r="50567" spans="26:26" x14ac:dyDescent="0.25">
      <c r="Z50567">
        <v>400000</v>
      </c>
    </row>
    <row r="50568" spans="26:26" x14ac:dyDescent="0.25">
      <c r="Z50568">
        <v>400000</v>
      </c>
    </row>
    <row r="50569" spans="26:26" x14ac:dyDescent="0.25">
      <c r="Z50569">
        <v>400000</v>
      </c>
    </row>
    <row r="50570" spans="26:26" x14ac:dyDescent="0.25">
      <c r="Z50570">
        <v>400000</v>
      </c>
    </row>
    <row r="50571" spans="26:26" x14ac:dyDescent="0.25">
      <c r="Z50571">
        <v>400000</v>
      </c>
    </row>
    <row r="50572" spans="26:26" x14ac:dyDescent="0.25">
      <c r="Z50572">
        <v>400000</v>
      </c>
    </row>
    <row r="50573" spans="26:26" x14ac:dyDescent="0.25">
      <c r="Z50573">
        <v>400000</v>
      </c>
    </row>
    <row r="50574" spans="26:26" x14ac:dyDescent="0.25">
      <c r="Z50574">
        <v>400000</v>
      </c>
    </row>
    <row r="50575" spans="26:26" x14ac:dyDescent="0.25">
      <c r="Z50575">
        <v>400000</v>
      </c>
    </row>
    <row r="50576" spans="26:26" x14ac:dyDescent="0.25">
      <c r="Z50576">
        <v>400000</v>
      </c>
    </row>
    <row r="50577" spans="26:26" x14ac:dyDescent="0.25">
      <c r="Z50577">
        <v>400000</v>
      </c>
    </row>
    <row r="50578" spans="26:26" x14ac:dyDescent="0.25">
      <c r="Z50578">
        <v>400000</v>
      </c>
    </row>
    <row r="50579" spans="26:26" x14ac:dyDescent="0.25">
      <c r="Z50579">
        <v>400000</v>
      </c>
    </row>
    <row r="50580" spans="26:26" x14ac:dyDescent="0.25">
      <c r="Z50580">
        <v>400000</v>
      </c>
    </row>
    <row r="50581" spans="26:26" x14ac:dyDescent="0.25">
      <c r="Z50581">
        <v>400000</v>
      </c>
    </row>
    <row r="50582" spans="26:26" x14ac:dyDescent="0.25">
      <c r="Z50582">
        <v>400000</v>
      </c>
    </row>
    <row r="50583" spans="26:26" x14ac:dyDescent="0.25">
      <c r="Z50583">
        <v>400000</v>
      </c>
    </row>
    <row r="50584" spans="26:26" x14ac:dyDescent="0.25">
      <c r="Z50584">
        <v>400000</v>
      </c>
    </row>
    <row r="50585" spans="26:26" x14ac:dyDescent="0.25">
      <c r="Z50585">
        <v>400000</v>
      </c>
    </row>
    <row r="50586" spans="26:26" x14ac:dyDescent="0.25">
      <c r="Z50586">
        <v>400000</v>
      </c>
    </row>
    <row r="50587" spans="26:26" x14ac:dyDescent="0.25">
      <c r="Z50587">
        <v>400000</v>
      </c>
    </row>
    <row r="50588" spans="26:26" x14ac:dyDescent="0.25">
      <c r="Z50588">
        <v>400000</v>
      </c>
    </row>
    <row r="50589" spans="26:26" x14ac:dyDescent="0.25">
      <c r="Z50589">
        <v>400000</v>
      </c>
    </row>
    <row r="50590" spans="26:26" x14ac:dyDescent="0.25">
      <c r="Z50590">
        <v>400000</v>
      </c>
    </row>
    <row r="50591" spans="26:26" x14ac:dyDescent="0.25">
      <c r="Z50591">
        <v>400000</v>
      </c>
    </row>
    <row r="50592" spans="26:26" x14ac:dyDescent="0.25">
      <c r="Z50592">
        <v>400000</v>
      </c>
    </row>
    <row r="50593" spans="26:26" x14ac:dyDescent="0.25">
      <c r="Z50593">
        <v>400000</v>
      </c>
    </row>
    <row r="50594" spans="26:26" x14ac:dyDescent="0.25">
      <c r="Z50594">
        <v>400000</v>
      </c>
    </row>
    <row r="50595" spans="26:26" x14ac:dyDescent="0.25">
      <c r="Z50595">
        <v>400000</v>
      </c>
    </row>
    <row r="50596" spans="26:26" x14ac:dyDescent="0.25">
      <c r="Z50596">
        <v>400000</v>
      </c>
    </row>
    <row r="50597" spans="26:26" x14ac:dyDescent="0.25">
      <c r="Z50597">
        <v>400000</v>
      </c>
    </row>
    <row r="50598" spans="26:26" x14ac:dyDescent="0.25">
      <c r="Z50598">
        <v>400000</v>
      </c>
    </row>
    <row r="50599" spans="26:26" x14ac:dyDescent="0.25">
      <c r="Z50599">
        <v>400000</v>
      </c>
    </row>
    <row r="50600" spans="26:26" x14ac:dyDescent="0.25">
      <c r="Z50600">
        <v>400000</v>
      </c>
    </row>
    <row r="50601" spans="26:26" x14ac:dyDescent="0.25">
      <c r="Z50601">
        <v>400000</v>
      </c>
    </row>
    <row r="50602" spans="26:26" x14ac:dyDescent="0.25">
      <c r="Z50602">
        <v>400000</v>
      </c>
    </row>
    <row r="50603" spans="26:26" x14ac:dyDescent="0.25">
      <c r="Z50603">
        <v>400000</v>
      </c>
    </row>
    <row r="50604" spans="26:26" x14ac:dyDescent="0.25">
      <c r="Z50604">
        <v>400000</v>
      </c>
    </row>
    <row r="50605" spans="26:26" x14ac:dyDescent="0.25">
      <c r="Z50605">
        <v>400000</v>
      </c>
    </row>
    <row r="50606" spans="26:26" x14ac:dyDescent="0.25">
      <c r="Z50606">
        <v>400000</v>
      </c>
    </row>
    <row r="50607" spans="26:26" x14ac:dyDescent="0.25">
      <c r="Z50607">
        <v>400000</v>
      </c>
    </row>
    <row r="50608" spans="26:26" x14ac:dyDescent="0.25">
      <c r="Z50608">
        <v>400000</v>
      </c>
    </row>
    <row r="50609" spans="26:26" x14ac:dyDescent="0.25">
      <c r="Z50609">
        <v>400000</v>
      </c>
    </row>
    <row r="50610" spans="26:26" x14ac:dyDescent="0.25">
      <c r="Z50610">
        <v>400000</v>
      </c>
    </row>
    <row r="50611" spans="26:26" x14ac:dyDescent="0.25">
      <c r="Z50611">
        <v>400000</v>
      </c>
    </row>
    <row r="50612" spans="26:26" x14ac:dyDescent="0.25">
      <c r="Z50612">
        <v>400000</v>
      </c>
    </row>
    <row r="50613" spans="26:26" x14ac:dyDescent="0.25">
      <c r="Z50613">
        <v>400000</v>
      </c>
    </row>
    <row r="50614" spans="26:26" x14ac:dyDescent="0.25">
      <c r="Z50614">
        <v>400000</v>
      </c>
    </row>
    <row r="50615" spans="26:26" x14ac:dyDescent="0.25">
      <c r="Z50615">
        <v>400000</v>
      </c>
    </row>
    <row r="50616" spans="26:26" x14ac:dyDescent="0.25">
      <c r="Z50616">
        <v>400000</v>
      </c>
    </row>
    <row r="50617" spans="26:26" x14ac:dyDescent="0.25">
      <c r="Z50617">
        <v>400000</v>
      </c>
    </row>
    <row r="50618" spans="26:26" x14ac:dyDescent="0.25">
      <c r="Z50618">
        <v>400000</v>
      </c>
    </row>
    <row r="50619" spans="26:26" x14ac:dyDescent="0.25">
      <c r="Z50619">
        <v>400000</v>
      </c>
    </row>
    <row r="50620" spans="26:26" x14ac:dyDescent="0.25">
      <c r="Z50620">
        <v>400000</v>
      </c>
    </row>
    <row r="50621" spans="26:26" x14ac:dyDescent="0.25">
      <c r="Z50621">
        <v>400000</v>
      </c>
    </row>
    <row r="50622" spans="26:26" x14ac:dyDescent="0.25">
      <c r="Z50622">
        <v>400000</v>
      </c>
    </row>
    <row r="50623" spans="26:26" x14ac:dyDescent="0.25">
      <c r="Z50623">
        <v>400000</v>
      </c>
    </row>
    <row r="50624" spans="26:26" x14ac:dyDescent="0.25">
      <c r="Z50624">
        <v>400000</v>
      </c>
    </row>
    <row r="50625" spans="26:26" x14ac:dyDescent="0.25">
      <c r="Z50625">
        <v>400000</v>
      </c>
    </row>
    <row r="50626" spans="26:26" x14ac:dyDescent="0.25">
      <c r="Z50626">
        <v>400000</v>
      </c>
    </row>
    <row r="50627" spans="26:26" x14ac:dyDescent="0.25">
      <c r="Z50627">
        <v>400000</v>
      </c>
    </row>
    <row r="50628" spans="26:26" x14ac:dyDescent="0.25">
      <c r="Z50628">
        <v>400000</v>
      </c>
    </row>
    <row r="50629" spans="26:26" x14ac:dyDescent="0.25">
      <c r="Z50629">
        <v>400000</v>
      </c>
    </row>
    <row r="50630" spans="26:26" x14ac:dyDescent="0.25">
      <c r="Z50630">
        <v>400000</v>
      </c>
    </row>
    <row r="50631" spans="26:26" x14ac:dyDescent="0.25">
      <c r="Z50631">
        <v>400000</v>
      </c>
    </row>
    <row r="50632" spans="26:26" x14ac:dyDescent="0.25">
      <c r="Z50632">
        <v>400000</v>
      </c>
    </row>
    <row r="50633" spans="26:26" x14ac:dyDescent="0.25">
      <c r="Z50633">
        <v>400000</v>
      </c>
    </row>
    <row r="50634" spans="26:26" x14ac:dyDescent="0.25">
      <c r="Z50634">
        <v>400000</v>
      </c>
    </row>
    <row r="50635" spans="26:26" x14ac:dyDescent="0.25">
      <c r="Z50635">
        <v>400000</v>
      </c>
    </row>
    <row r="50636" spans="26:26" x14ac:dyDescent="0.25">
      <c r="Z50636">
        <v>400000</v>
      </c>
    </row>
    <row r="50637" spans="26:26" x14ac:dyDescent="0.25">
      <c r="Z50637">
        <v>400000</v>
      </c>
    </row>
    <row r="50638" spans="26:26" x14ac:dyDescent="0.25">
      <c r="Z50638">
        <v>400000</v>
      </c>
    </row>
    <row r="50639" spans="26:26" x14ac:dyDescent="0.25">
      <c r="Z50639">
        <v>400000</v>
      </c>
    </row>
    <row r="50640" spans="26:26" x14ac:dyDescent="0.25">
      <c r="Z50640">
        <v>400000</v>
      </c>
    </row>
    <row r="50641" spans="26:26" x14ac:dyDescent="0.25">
      <c r="Z50641">
        <v>400000</v>
      </c>
    </row>
    <row r="50642" spans="26:26" x14ac:dyDescent="0.25">
      <c r="Z50642">
        <v>400000</v>
      </c>
    </row>
    <row r="50643" spans="26:26" x14ac:dyDescent="0.25">
      <c r="Z50643">
        <v>400000</v>
      </c>
    </row>
    <row r="50644" spans="26:26" x14ac:dyDescent="0.25">
      <c r="Z50644">
        <v>400000</v>
      </c>
    </row>
    <row r="50645" spans="26:26" x14ac:dyDescent="0.25">
      <c r="Z50645">
        <v>400000</v>
      </c>
    </row>
    <row r="50646" spans="26:26" x14ac:dyDescent="0.25">
      <c r="Z50646">
        <v>400000</v>
      </c>
    </row>
    <row r="50647" spans="26:26" x14ac:dyDescent="0.25">
      <c r="Z50647">
        <v>400000</v>
      </c>
    </row>
    <row r="50648" spans="26:26" x14ac:dyDescent="0.25">
      <c r="Z50648">
        <v>400000</v>
      </c>
    </row>
    <row r="50649" spans="26:26" x14ac:dyDescent="0.25">
      <c r="Z50649">
        <v>400000</v>
      </c>
    </row>
    <row r="50650" spans="26:26" x14ac:dyDescent="0.25">
      <c r="Z50650">
        <v>400000</v>
      </c>
    </row>
    <row r="50651" spans="26:26" x14ac:dyDescent="0.25">
      <c r="Z50651">
        <v>400000</v>
      </c>
    </row>
    <row r="50652" spans="26:26" x14ac:dyDescent="0.25">
      <c r="Z50652">
        <v>400000</v>
      </c>
    </row>
    <row r="50653" spans="26:26" x14ac:dyDescent="0.25">
      <c r="Z50653">
        <v>400000</v>
      </c>
    </row>
    <row r="50654" spans="26:26" x14ac:dyDescent="0.25">
      <c r="Z50654">
        <v>400000</v>
      </c>
    </row>
    <row r="50655" spans="26:26" x14ac:dyDescent="0.25">
      <c r="Z50655">
        <v>400000</v>
      </c>
    </row>
    <row r="50656" spans="26:26" x14ac:dyDescent="0.25">
      <c r="Z50656">
        <v>400000</v>
      </c>
    </row>
    <row r="50657" spans="26:26" x14ac:dyDescent="0.25">
      <c r="Z50657">
        <v>400000</v>
      </c>
    </row>
    <row r="50658" spans="26:26" x14ac:dyDescent="0.25">
      <c r="Z50658">
        <v>400000</v>
      </c>
    </row>
    <row r="50659" spans="26:26" x14ac:dyDescent="0.25">
      <c r="Z50659">
        <v>400000</v>
      </c>
    </row>
    <row r="50660" spans="26:26" x14ac:dyDescent="0.25">
      <c r="Z50660">
        <v>400000</v>
      </c>
    </row>
    <row r="50661" spans="26:26" x14ac:dyDescent="0.25">
      <c r="Z50661">
        <v>400000</v>
      </c>
    </row>
    <row r="50662" spans="26:26" x14ac:dyDescent="0.25">
      <c r="Z50662">
        <v>400000</v>
      </c>
    </row>
    <row r="50663" spans="26:26" x14ac:dyDescent="0.25">
      <c r="Z50663">
        <v>400000</v>
      </c>
    </row>
    <row r="50664" spans="26:26" x14ac:dyDescent="0.25">
      <c r="Z50664">
        <v>400000</v>
      </c>
    </row>
    <row r="50665" spans="26:26" x14ac:dyDescent="0.25">
      <c r="Z50665">
        <v>400000</v>
      </c>
    </row>
    <row r="50666" spans="26:26" x14ac:dyDescent="0.25">
      <c r="Z50666">
        <v>400000</v>
      </c>
    </row>
    <row r="50667" spans="26:26" x14ac:dyDescent="0.25">
      <c r="Z50667">
        <v>400000</v>
      </c>
    </row>
    <row r="50668" spans="26:26" x14ac:dyDescent="0.25">
      <c r="Z50668">
        <v>400000</v>
      </c>
    </row>
    <row r="50669" spans="26:26" x14ac:dyDescent="0.25">
      <c r="Z50669">
        <v>400000</v>
      </c>
    </row>
    <row r="50670" spans="26:26" x14ac:dyDescent="0.25">
      <c r="Z50670">
        <v>400000</v>
      </c>
    </row>
    <row r="50671" spans="26:26" x14ac:dyDescent="0.25">
      <c r="Z50671">
        <v>400000</v>
      </c>
    </row>
    <row r="50672" spans="26:26" x14ac:dyDescent="0.25">
      <c r="Z50672">
        <v>400000</v>
      </c>
    </row>
    <row r="50673" spans="26:26" x14ac:dyDescent="0.25">
      <c r="Z50673">
        <v>400000</v>
      </c>
    </row>
    <row r="50674" spans="26:26" x14ac:dyDescent="0.25">
      <c r="Z50674">
        <v>400000</v>
      </c>
    </row>
    <row r="50675" spans="26:26" x14ac:dyDescent="0.25">
      <c r="Z50675">
        <v>400000</v>
      </c>
    </row>
    <row r="50676" spans="26:26" x14ac:dyDescent="0.25">
      <c r="Z50676">
        <v>400000</v>
      </c>
    </row>
    <row r="50677" spans="26:26" x14ac:dyDescent="0.25">
      <c r="Z50677">
        <v>400000</v>
      </c>
    </row>
    <row r="50678" spans="26:26" x14ac:dyDescent="0.25">
      <c r="Z50678">
        <v>400000</v>
      </c>
    </row>
    <row r="50679" spans="26:26" x14ac:dyDescent="0.25">
      <c r="Z50679">
        <v>400000</v>
      </c>
    </row>
    <row r="50680" spans="26:26" x14ac:dyDescent="0.25">
      <c r="Z50680">
        <v>400000</v>
      </c>
    </row>
    <row r="50681" spans="26:26" x14ac:dyDescent="0.25">
      <c r="Z50681">
        <v>400000</v>
      </c>
    </row>
    <row r="50682" spans="26:26" x14ac:dyDescent="0.25">
      <c r="Z50682">
        <v>400000</v>
      </c>
    </row>
    <row r="50683" spans="26:26" x14ac:dyDescent="0.25">
      <c r="Z50683">
        <v>400000</v>
      </c>
    </row>
    <row r="50684" spans="26:26" x14ac:dyDescent="0.25">
      <c r="Z50684">
        <v>400000</v>
      </c>
    </row>
    <row r="50685" spans="26:26" x14ac:dyDescent="0.25">
      <c r="Z50685">
        <v>400000</v>
      </c>
    </row>
    <row r="50686" spans="26:26" x14ac:dyDescent="0.25">
      <c r="Z50686">
        <v>400000</v>
      </c>
    </row>
    <row r="50687" spans="26:26" x14ac:dyDescent="0.25">
      <c r="Z50687">
        <v>400000</v>
      </c>
    </row>
    <row r="50688" spans="26:26" x14ac:dyDescent="0.25">
      <c r="Z50688">
        <v>400000</v>
      </c>
    </row>
    <row r="50689" spans="26:26" x14ac:dyDescent="0.25">
      <c r="Z50689">
        <v>400000</v>
      </c>
    </row>
    <row r="50690" spans="26:26" x14ac:dyDescent="0.25">
      <c r="Z50690">
        <v>400000</v>
      </c>
    </row>
    <row r="50691" spans="26:26" x14ac:dyDescent="0.25">
      <c r="Z50691">
        <v>400000</v>
      </c>
    </row>
    <row r="50692" spans="26:26" x14ac:dyDescent="0.25">
      <c r="Z50692">
        <v>400000</v>
      </c>
    </row>
    <row r="50693" spans="26:26" x14ac:dyDescent="0.25">
      <c r="Z50693">
        <v>400000</v>
      </c>
    </row>
    <row r="50694" spans="26:26" x14ac:dyDescent="0.25">
      <c r="Z50694">
        <v>400000</v>
      </c>
    </row>
    <row r="50695" spans="26:26" x14ac:dyDescent="0.25">
      <c r="Z50695">
        <v>400000</v>
      </c>
    </row>
    <row r="50696" spans="26:26" x14ac:dyDescent="0.25">
      <c r="Z50696">
        <v>400000</v>
      </c>
    </row>
    <row r="50697" spans="26:26" x14ac:dyDescent="0.25">
      <c r="Z50697">
        <v>400000</v>
      </c>
    </row>
    <row r="50698" spans="26:26" x14ac:dyDescent="0.25">
      <c r="Z50698">
        <v>400000</v>
      </c>
    </row>
    <row r="50699" spans="26:26" x14ac:dyDescent="0.25">
      <c r="Z50699">
        <v>400000</v>
      </c>
    </row>
    <row r="50700" spans="26:26" x14ac:dyDescent="0.25">
      <c r="Z50700">
        <v>400000</v>
      </c>
    </row>
    <row r="50701" spans="26:26" x14ac:dyDescent="0.25">
      <c r="Z50701">
        <v>400000</v>
      </c>
    </row>
    <row r="50702" spans="26:26" x14ac:dyDescent="0.25">
      <c r="Z50702">
        <v>400000</v>
      </c>
    </row>
    <row r="50703" spans="26:26" x14ac:dyDescent="0.25">
      <c r="Z50703">
        <v>400000</v>
      </c>
    </row>
    <row r="50704" spans="26:26" x14ac:dyDescent="0.25">
      <c r="Z50704">
        <v>400000</v>
      </c>
    </row>
    <row r="50705" spans="26:26" x14ac:dyDescent="0.25">
      <c r="Z50705">
        <v>400000</v>
      </c>
    </row>
    <row r="50706" spans="26:26" x14ac:dyDescent="0.25">
      <c r="Z50706">
        <v>400000</v>
      </c>
    </row>
    <row r="50707" spans="26:26" x14ac:dyDescent="0.25">
      <c r="Z50707">
        <v>400000</v>
      </c>
    </row>
    <row r="50708" spans="26:26" x14ac:dyDescent="0.25">
      <c r="Z50708">
        <v>400000</v>
      </c>
    </row>
    <row r="50709" spans="26:26" x14ac:dyDescent="0.25">
      <c r="Z50709">
        <v>400000</v>
      </c>
    </row>
    <row r="50710" spans="26:26" x14ac:dyDescent="0.25">
      <c r="Z50710">
        <v>400000</v>
      </c>
    </row>
    <row r="50711" spans="26:26" x14ac:dyDescent="0.25">
      <c r="Z50711">
        <v>400000</v>
      </c>
    </row>
    <row r="50712" spans="26:26" x14ac:dyDescent="0.25">
      <c r="Z50712">
        <v>400000</v>
      </c>
    </row>
    <row r="50713" spans="26:26" x14ac:dyDescent="0.25">
      <c r="Z50713">
        <v>400000</v>
      </c>
    </row>
    <row r="50714" spans="26:26" x14ac:dyDescent="0.25">
      <c r="Z50714">
        <v>400000</v>
      </c>
    </row>
    <row r="50715" spans="26:26" x14ac:dyDescent="0.25">
      <c r="Z50715">
        <v>400000</v>
      </c>
    </row>
    <row r="50716" spans="26:26" x14ac:dyDescent="0.25">
      <c r="Z50716">
        <v>400000</v>
      </c>
    </row>
    <row r="50717" spans="26:26" x14ac:dyDescent="0.25">
      <c r="Z50717">
        <v>400000</v>
      </c>
    </row>
    <row r="50718" spans="26:26" x14ac:dyDescent="0.25">
      <c r="Z50718">
        <v>400000</v>
      </c>
    </row>
    <row r="50719" spans="26:26" x14ac:dyDescent="0.25">
      <c r="Z50719">
        <v>400000</v>
      </c>
    </row>
    <row r="50720" spans="26:26" x14ac:dyDescent="0.25">
      <c r="Z50720">
        <v>400000</v>
      </c>
    </row>
    <row r="50721" spans="26:26" x14ac:dyDescent="0.25">
      <c r="Z50721">
        <v>400000</v>
      </c>
    </row>
    <row r="50722" spans="26:26" x14ac:dyDescent="0.25">
      <c r="Z50722">
        <v>400000</v>
      </c>
    </row>
    <row r="50723" spans="26:26" x14ac:dyDescent="0.25">
      <c r="Z50723">
        <v>400000</v>
      </c>
    </row>
    <row r="50724" spans="26:26" x14ac:dyDescent="0.25">
      <c r="Z50724">
        <v>400000</v>
      </c>
    </row>
    <row r="50725" spans="26:26" x14ac:dyDescent="0.25">
      <c r="Z50725">
        <v>400000</v>
      </c>
    </row>
    <row r="50726" spans="26:26" x14ac:dyDescent="0.25">
      <c r="Z50726">
        <v>400000</v>
      </c>
    </row>
    <row r="50727" spans="26:26" x14ac:dyDescent="0.25">
      <c r="Z50727">
        <v>400000</v>
      </c>
    </row>
    <row r="50728" spans="26:26" x14ac:dyDescent="0.25">
      <c r="Z50728">
        <v>400000</v>
      </c>
    </row>
    <row r="50729" spans="26:26" x14ac:dyDescent="0.25">
      <c r="Z50729">
        <v>400000</v>
      </c>
    </row>
    <row r="50730" spans="26:26" x14ac:dyDescent="0.25">
      <c r="Z50730">
        <v>400000</v>
      </c>
    </row>
    <row r="50731" spans="26:26" x14ac:dyDescent="0.25">
      <c r="Z50731">
        <v>400000</v>
      </c>
    </row>
    <row r="50732" spans="26:26" x14ac:dyDescent="0.25">
      <c r="Z50732">
        <v>400000</v>
      </c>
    </row>
    <row r="50733" spans="26:26" x14ac:dyDescent="0.25">
      <c r="Z50733">
        <v>400000</v>
      </c>
    </row>
    <row r="50734" spans="26:26" x14ac:dyDescent="0.25">
      <c r="Z50734">
        <v>400000</v>
      </c>
    </row>
    <row r="50735" spans="26:26" x14ac:dyDescent="0.25">
      <c r="Z50735">
        <v>400000</v>
      </c>
    </row>
    <row r="50736" spans="26:26" x14ac:dyDescent="0.25">
      <c r="Z50736">
        <v>400000</v>
      </c>
    </row>
    <row r="50737" spans="26:26" x14ac:dyDescent="0.25">
      <c r="Z50737">
        <v>400000</v>
      </c>
    </row>
    <row r="50738" spans="26:26" x14ac:dyDescent="0.25">
      <c r="Z50738">
        <v>400000</v>
      </c>
    </row>
    <row r="50739" spans="26:26" x14ac:dyDescent="0.25">
      <c r="Z50739">
        <v>400000</v>
      </c>
    </row>
    <row r="50740" spans="26:26" x14ac:dyDescent="0.25">
      <c r="Z50740">
        <v>400000</v>
      </c>
    </row>
    <row r="50741" spans="26:26" x14ac:dyDescent="0.25">
      <c r="Z50741">
        <v>400000</v>
      </c>
    </row>
    <row r="50742" spans="26:26" x14ac:dyDescent="0.25">
      <c r="Z50742">
        <v>400000</v>
      </c>
    </row>
    <row r="50743" spans="26:26" x14ac:dyDescent="0.25">
      <c r="Z50743">
        <v>400000</v>
      </c>
    </row>
    <row r="50744" spans="26:26" x14ac:dyDescent="0.25">
      <c r="Z50744">
        <v>400000</v>
      </c>
    </row>
    <row r="50745" spans="26:26" x14ac:dyDescent="0.25">
      <c r="Z50745">
        <v>400000</v>
      </c>
    </row>
    <row r="50746" spans="26:26" x14ac:dyDescent="0.25">
      <c r="Z50746">
        <v>400000</v>
      </c>
    </row>
    <row r="50747" spans="26:26" x14ac:dyDescent="0.25">
      <c r="Z50747">
        <v>400000</v>
      </c>
    </row>
    <row r="50748" spans="26:26" x14ac:dyDescent="0.25">
      <c r="Z50748">
        <v>400000</v>
      </c>
    </row>
    <row r="50749" spans="26:26" x14ac:dyDescent="0.25">
      <c r="Z50749">
        <v>400000</v>
      </c>
    </row>
    <row r="50750" spans="26:26" x14ac:dyDescent="0.25">
      <c r="Z50750">
        <v>400000</v>
      </c>
    </row>
    <row r="50751" spans="26:26" x14ac:dyDescent="0.25">
      <c r="Z50751">
        <v>400000</v>
      </c>
    </row>
    <row r="50752" spans="26:26" x14ac:dyDescent="0.25">
      <c r="Z50752">
        <v>400000</v>
      </c>
    </row>
    <row r="50753" spans="26:26" x14ac:dyDescent="0.25">
      <c r="Z50753">
        <v>400000</v>
      </c>
    </row>
    <row r="50754" spans="26:26" x14ac:dyDescent="0.25">
      <c r="Z50754">
        <v>400000</v>
      </c>
    </row>
    <row r="50755" spans="26:26" x14ac:dyDescent="0.25">
      <c r="Z50755">
        <v>400000</v>
      </c>
    </row>
    <row r="50756" spans="26:26" x14ac:dyDescent="0.25">
      <c r="Z50756">
        <v>400000</v>
      </c>
    </row>
    <row r="50757" spans="26:26" x14ac:dyDescent="0.25">
      <c r="Z50757">
        <v>400000</v>
      </c>
    </row>
    <row r="50758" spans="26:26" x14ac:dyDescent="0.25">
      <c r="Z50758">
        <v>400000</v>
      </c>
    </row>
    <row r="50759" spans="26:26" x14ac:dyDescent="0.25">
      <c r="Z50759">
        <v>400000</v>
      </c>
    </row>
    <row r="50760" spans="26:26" x14ac:dyDescent="0.25">
      <c r="Z50760">
        <v>400000</v>
      </c>
    </row>
    <row r="50761" spans="26:26" x14ac:dyDescent="0.25">
      <c r="Z50761">
        <v>400000</v>
      </c>
    </row>
    <row r="50762" spans="26:26" x14ac:dyDescent="0.25">
      <c r="Z50762">
        <v>400000</v>
      </c>
    </row>
    <row r="50763" spans="26:26" x14ac:dyDescent="0.25">
      <c r="Z50763">
        <v>400000</v>
      </c>
    </row>
    <row r="50764" spans="26:26" x14ac:dyDescent="0.25">
      <c r="Z50764">
        <v>400000</v>
      </c>
    </row>
    <row r="50765" spans="26:26" x14ac:dyDescent="0.25">
      <c r="Z50765">
        <v>400000</v>
      </c>
    </row>
    <row r="50766" spans="26:26" x14ac:dyDescent="0.25">
      <c r="Z50766">
        <v>400000</v>
      </c>
    </row>
    <row r="50767" spans="26:26" x14ac:dyDescent="0.25">
      <c r="Z50767">
        <v>400000</v>
      </c>
    </row>
    <row r="50768" spans="26:26" x14ac:dyDescent="0.25">
      <c r="Z50768">
        <v>400000</v>
      </c>
    </row>
    <row r="50769" spans="26:26" x14ac:dyDescent="0.25">
      <c r="Z50769">
        <v>400000</v>
      </c>
    </row>
    <row r="50770" spans="26:26" x14ac:dyDescent="0.25">
      <c r="Z50770">
        <v>400000</v>
      </c>
    </row>
    <row r="50771" spans="26:26" x14ac:dyDescent="0.25">
      <c r="Z50771">
        <v>400000</v>
      </c>
    </row>
    <row r="50772" spans="26:26" x14ac:dyDescent="0.25">
      <c r="Z50772">
        <v>400000</v>
      </c>
    </row>
    <row r="50773" spans="26:26" x14ac:dyDescent="0.25">
      <c r="Z50773">
        <v>400000</v>
      </c>
    </row>
    <row r="50774" spans="26:26" x14ac:dyDescent="0.25">
      <c r="Z50774">
        <v>400000</v>
      </c>
    </row>
    <row r="50775" spans="26:26" x14ac:dyDescent="0.25">
      <c r="Z50775">
        <v>400000</v>
      </c>
    </row>
    <row r="50776" spans="26:26" x14ac:dyDescent="0.25">
      <c r="Z50776">
        <v>400000</v>
      </c>
    </row>
    <row r="50777" spans="26:26" x14ac:dyDescent="0.25">
      <c r="Z50777">
        <v>400000</v>
      </c>
    </row>
    <row r="50778" spans="26:26" x14ac:dyDescent="0.25">
      <c r="Z50778">
        <v>400000</v>
      </c>
    </row>
    <row r="50779" spans="26:26" x14ac:dyDescent="0.25">
      <c r="Z50779">
        <v>400000</v>
      </c>
    </row>
    <row r="50780" spans="26:26" x14ac:dyDescent="0.25">
      <c r="Z50780">
        <v>400000</v>
      </c>
    </row>
    <row r="50781" spans="26:26" x14ac:dyDescent="0.25">
      <c r="Z50781">
        <v>400000</v>
      </c>
    </row>
    <row r="50782" spans="26:26" x14ac:dyDescent="0.25">
      <c r="Z50782">
        <v>400000</v>
      </c>
    </row>
    <row r="50783" spans="26:26" x14ac:dyDescent="0.25">
      <c r="Z50783">
        <v>400000</v>
      </c>
    </row>
    <row r="50784" spans="26:26" x14ac:dyDescent="0.25">
      <c r="Z50784">
        <v>400000</v>
      </c>
    </row>
    <row r="50785" spans="26:26" x14ac:dyDescent="0.25">
      <c r="Z50785">
        <v>400000</v>
      </c>
    </row>
    <row r="50786" spans="26:26" x14ac:dyDescent="0.25">
      <c r="Z50786">
        <v>400000</v>
      </c>
    </row>
    <row r="50787" spans="26:26" x14ac:dyDescent="0.25">
      <c r="Z50787">
        <v>400000</v>
      </c>
    </row>
    <row r="50788" spans="26:26" x14ac:dyDescent="0.25">
      <c r="Z50788">
        <v>400000</v>
      </c>
    </row>
    <row r="50789" spans="26:26" x14ac:dyDescent="0.25">
      <c r="Z50789">
        <v>400000</v>
      </c>
    </row>
    <row r="50790" spans="26:26" x14ac:dyDescent="0.25">
      <c r="Z50790">
        <v>400000</v>
      </c>
    </row>
    <row r="50791" spans="26:26" x14ac:dyDescent="0.25">
      <c r="Z50791">
        <v>400000</v>
      </c>
    </row>
    <row r="50792" spans="26:26" x14ac:dyDescent="0.25">
      <c r="Z50792">
        <v>400000</v>
      </c>
    </row>
    <row r="50793" spans="26:26" x14ac:dyDescent="0.25">
      <c r="Z50793">
        <v>400000</v>
      </c>
    </row>
    <row r="50794" spans="26:26" x14ac:dyDescent="0.25">
      <c r="Z50794">
        <v>400000</v>
      </c>
    </row>
    <row r="50795" spans="26:26" x14ac:dyDescent="0.25">
      <c r="Z50795">
        <v>400000</v>
      </c>
    </row>
    <row r="50796" spans="26:26" x14ac:dyDescent="0.25">
      <c r="Z50796">
        <v>400000</v>
      </c>
    </row>
    <row r="50797" spans="26:26" x14ac:dyDescent="0.25">
      <c r="Z50797">
        <v>400000</v>
      </c>
    </row>
    <row r="50798" spans="26:26" x14ac:dyDescent="0.25">
      <c r="Z50798">
        <v>400000</v>
      </c>
    </row>
    <row r="50799" spans="26:26" x14ac:dyDescent="0.25">
      <c r="Z50799">
        <v>400000</v>
      </c>
    </row>
    <row r="50800" spans="26:26" x14ac:dyDescent="0.25">
      <c r="Z50800">
        <v>400000</v>
      </c>
    </row>
    <row r="50801" spans="26:26" x14ac:dyDescent="0.25">
      <c r="Z50801">
        <v>400000</v>
      </c>
    </row>
    <row r="50802" spans="26:26" x14ac:dyDescent="0.25">
      <c r="Z50802">
        <v>400000</v>
      </c>
    </row>
    <row r="50803" spans="26:26" x14ac:dyDescent="0.25">
      <c r="Z50803">
        <v>400000</v>
      </c>
    </row>
    <row r="50804" spans="26:26" x14ac:dyDescent="0.25">
      <c r="Z50804">
        <v>400000</v>
      </c>
    </row>
    <row r="50805" spans="26:26" x14ac:dyDescent="0.25">
      <c r="Z50805">
        <v>400000</v>
      </c>
    </row>
    <row r="50806" spans="26:26" x14ac:dyDescent="0.25">
      <c r="Z50806">
        <v>400000</v>
      </c>
    </row>
    <row r="50807" spans="26:26" x14ac:dyDescent="0.25">
      <c r="Z50807">
        <v>400000</v>
      </c>
    </row>
    <row r="50808" spans="26:26" x14ac:dyDescent="0.25">
      <c r="Z50808">
        <v>400000</v>
      </c>
    </row>
    <row r="50809" spans="26:26" x14ac:dyDescent="0.25">
      <c r="Z50809">
        <v>400000</v>
      </c>
    </row>
    <row r="50810" spans="26:26" x14ac:dyDescent="0.25">
      <c r="Z50810">
        <v>400000</v>
      </c>
    </row>
    <row r="50811" spans="26:26" x14ac:dyDescent="0.25">
      <c r="Z50811">
        <v>400000</v>
      </c>
    </row>
    <row r="50812" spans="26:26" x14ac:dyDescent="0.25">
      <c r="Z50812">
        <v>400000</v>
      </c>
    </row>
    <row r="50813" spans="26:26" x14ac:dyDescent="0.25">
      <c r="Z50813">
        <v>400000</v>
      </c>
    </row>
    <row r="50814" spans="26:26" x14ac:dyDescent="0.25">
      <c r="Z50814">
        <v>400000</v>
      </c>
    </row>
    <row r="50815" spans="26:26" x14ac:dyDescent="0.25">
      <c r="Z50815">
        <v>400000</v>
      </c>
    </row>
    <row r="50816" spans="26:26" x14ac:dyDescent="0.25">
      <c r="Z50816">
        <v>400000</v>
      </c>
    </row>
    <row r="50817" spans="26:26" x14ac:dyDescent="0.25">
      <c r="Z50817">
        <v>400000</v>
      </c>
    </row>
    <row r="50818" spans="26:26" x14ac:dyDescent="0.25">
      <c r="Z50818">
        <v>400000</v>
      </c>
    </row>
    <row r="50819" spans="26:26" x14ac:dyDescent="0.25">
      <c r="Z50819">
        <v>400000</v>
      </c>
    </row>
    <row r="50820" spans="26:26" x14ac:dyDescent="0.25">
      <c r="Z50820">
        <v>400000</v>
      </c>
    </row>
    <row r="50821" spans="26:26" x14ac:dyDescent="0.25">
      <c r="Z50821">
        <v>400000</v>
      </c>
    </row>
    <row r="50822" spans="26:26" x14ac:dyDescent="0.25">
      <c r="Z50822">
        <v>400000</v>
      </c>
    </row>
    <row r="50823" spans="26:26" x14ac:dyDescent="0.25">
      <c r="Z50823">
        <v>400000</v>
      </c>
    </row>
    <row r="50824" spans="26:26" x14ac:dyDescent="0.25">
      <c r="Z50824">
        <v>400000</v>
      </c>
    </row>
    <row r="50825" spans="26:26" x14ac:dyDescent="0.25">
      <c r="Z50825">
        <v>400000</v>
      </c>
    </row>
    <row r="50826" spans="26:26" x14ac:dyDescent="0.25">
      <c r="Z50826">
        <v>400000</v>
      </c>
    </row>
    <row r="50827" spans="26:26" x14ac:dyDescent="0.25">
      <c r="Z50827">
        <v>400000</v>
      </c>
    </row>
    <row r="50828" spans="26:26" x14ac:dyDescent="0.25">
      <c r="Z50828">
        <v>400000</v>
      </c>
    </row>
    <row r="50829" spans="26:26" x14ac:dyDescent="0.25">
      <c r="Z50829">
        <v>400000</v>
      </c>
    </row>
    <row r="50830" spans="26:26" x14ac:dyDescent="0.25">
      <c r="Z50830">
        <v>400000</v>
      </c>
    </row>
    <row r="50831" spans="26:26" x14ac:dyDescent="0.25">
      <c r="Z50831">
        <v>400000</v>
      </c>
    </row>
    <row r="50832" spans="26:26" x14ac:dyDescent="0.25">
      <c r="Z50832">
        <v>400000</v>
      </c>
    </row>
    <row r="50833" spans="26:26" x14ac:dyDescent="0.25">
      <c r="Z50833">
        <v>400000</v>
      </c>
    </row>
    <row r="50834" spans="26:26" x14ac:dyDescent="0.25">
      <c r="Z50834">
        <v>400000</v>
      </c>
    </row>
    <row r="50835" spans="26:26" x14ac:dyDescent="0.25">
      <c r="Z50835">
        <v>400000</v>
      </c>
    </row>
    <row r="50836" spans="26:26" x14ac:dyDescent="0.25">
      <c r="Z50836">
        <v>400000</v>
      </c>
    </row>
    <row r="50837" spans="26:26" x14ac:dyDescent="0.25">
      <c r="Z50837">
        <v>400000</v>
      </c>
    </row>
    <row r="50838" spans="26:26" x14ac:dyDescent="0.25">
      <c r="Z50838">
        <v>400000</v>
      </c>
    </row>
    <row r="50839" spans="26:26" x14ac:dyDescent="0.25">
      <c r="Z50839">
        <v>400000</v>
      </c>
    </row>
    <row r="50840" spans="26:26" x14ac:dyDescent="0.25">
      <c r="Z50840">
        <v>400000</v>
      </c>
    </row>
    <row r="50841" spans="26:26" x14ac:dyDescent="0.25">
      <c r="Z50841">
        <v>400000</v>
      </c>
    </row>
    <row r="50842" spans="26:26" x14ac:dyDescent="0.25">
      <c r="Z50842">
        <v>400000</v>
      </c>
    </row>
    <row r="50843" spans="26:26" x14ac:dyDescent="0.25">
      <c r="Z50843">
        <v>400000</v>
      </c>
    </row>
    <row r="50844" spans="26:26" x14ac:dyDescent="0.25">
      <c r="Z50844">
        <v>400000</v>
      </c>
    </row>
    <row r="50845" spans="26:26" x14ac:dyDescent="0.25">
      <c r="Z50845">
        <v>400000</v>
      </c>
    </row>
    <row r="50846" spans="26:26" x14ac:dyDescent="0.25">
      <c r="Z50846">
        <v>400000</v>
      </c>
    </row>
    <row r="50847" spans="26:26" x14ac:dyDescent="0.25">
      <c r="Z50847">
        <v>400000</v>
      </c>
    </row>
    <row r="50848" spans="26:26" x14ac:dyDescent="0.25">
      <c r="Z50848">
        <v>400000</v>
      </c>
    </row>
    <row r="50849" spans="26:26" x14ac:dyDescent="0.25">
      <c r="Z50849">
        <v>400000</v>
      </c>
    </row>
    <row r="50850" spans="26:26" x14ac:dyDescent="0.25">
      <c r="Z50850">
        <v>400000</v>
      </c>
    </row>
    <row r="50851" spans="26:26" x14ac:dyDescent="0.25">
      <c r="Z50851">
        <v>400000</v>
      </c>
    </row>
    <row r="50852" spans="26:26" x14ac:dyDescent="0.25">
      <c r="Z50852">
        <v>400000</v>
      </c>
    </row>
    <row r="50853" spans="26:26" x14ac:dyDescent="0.25">
      <c r="Z50853">
        <v>400000</v>
      </c>
    </row>
    <row r="50854" spans="26:26" x14ac:dyDescent="0.25">
      <c r="Z50854">
        <v>400000</v>
      </c>
    </row>
    <row r="50855" spans="26:26" x14ac:dyDescent="0.25">
      <c r="Z50855">
        <v>400000</v>
      </c>
    </row>
    <row r="50856" spans="26:26" x14ac:dyDescent="0.25">
      <c r="Z50856">
        <v>400000</v>
      </c>
    </row>
    <row r="50857" spans="26:26" x14ac:dyDescent="0.25">
      <c r="Z50857">
        <v>400000</v>
      </c>
    </row>
    <row r="50858" spans="26:26" x14ac:dyDescent="0.25">
      <c r="Z50858">
        <v>400000</v>
      </c>
    </row>
    <row r="50859" spans="26:26" x14ac:dyDescent="0.25">
      <c r="Z50859">
        <v>400000</v>
      </c>
    </row>
    <row r="50860" spans="26:26" x14ac:dyDescent="0.25">
      <c r="Z50860">
        <v>400000</v>
      </c>
    </row>
    <row r="50861" spans="26:26" x14ac:dyDescent="0.25">
      <c r="Z50861">
        <v>400000</v>
      </c>
    </row>
    <row r="50862" spans="26:26" x14ac:dyDescent="0.25">
      <c r="Z50862">
        <v>400000</v>
      </c>
    </row>
    <row r="50863" spans="26:26" x14ac:dyDescent="0.25">
      <c r="Z50863">
        <v>400000</v>
      </c>
    </row>
    <row r="50864" spans="26:26" x14ac:dyDescent="0.25">
      <c r="Z50864">
        <v>400000</v>
      </c>
    </row>
    <row r="50865" spans="26:26" x14ac:dyDescent="0.25">
      <c r="Z50865">
        <v>400000</v>
      </c>
    </row>
    <row r="50866" spans="26:26" x14ac:dyDescent="0.25">
      <c r="Z50866">
        <v>400000</v>
      </c>
    </row>
    <row r="50867" spans="26:26" x14ac:dyDescent="0.25">
      <c r="Z50867">
        <v>400000</v>
      </c>
    </row>
    <row r="50868" spans="26:26" x14ac:dyDescent="0.25">
      <c r="Z50868">
        <v>400000</v>
      </c>
    </row>
    <row r="50869" spans="26:26" x14ac:dyDescent="0.25">
      <c r="Z50869">
        <v>400000</v>
      </c>
    </row>
    <row r="50870" spans="26:26" x14ac:dyDescent="0.25">
      <c r="Z50870">
        <v>400000</v>
      </c>
    </row>
    <row r="50871" spans="26:26" x14ac:dyDescent="0.25">
      <c r="Z50871">
        <v>400000</v>
      </c>
    </row>
    <row r="50872" spans="26:26" x14ac:dyDescent="0.25">
      <c r="Z50872">
        <v>400000</v>
      </c>
    </row>
    <row r="50873" spans="26:26" x14ac:dyDescent="0.25">
      <c r="Z50873">
        <v>400000</v>
      </c>
    </row>
    <row r="50874" spans="26:26" x14ac:dyDescent="0.25">
      <c r="Z50874">
        <v>400000</v>
      </c>
    </row>
    <row r="50875" spans="26:26" x14ac:dyDescent="0.25">
      <c r="Z50875">
        <v>400000</v>
      </c>
    </row>
    <row r="50876" spans="26:26" x14ac:dyDescent="0.25">
      <c r="Z50876">
        <v>400000</v>
      </c>
    </row>
    <row r="50877" spans="26:26" x14ac:dyDescent="0.25">
      <c r="Z50877">
        <v>400000</v>
      </c>
    </row>
    <row r="50878" spans="26:26" x14ac:dyDescent="0.25">
      <c r="Z50878">
        <v>400000</v>
      </c>
    </row>
    <row r="50879" spans="26:26" x14ac:dyDescent="0.25">
      <c r="Z50879">
        <v>400000</v>
      </c>
    </row>
    <row r="50880" spans="26:26" x14ac:dyDescent="0.25">
      <c r="Z50880">
        <v>400000</v>
      </c>
    </row>
    <row r="50881" spans="26:26" x14ac:dyDescent="0.25">
      <c r="Z50881">
        <v>400000</v>
      </c>
    </row>
    <row r="50882" spans="26:26" x14ac:dyDescent="0.25">
      <c r="Z50882">
        <v>400000</v>
      </c>
    </row>
    <row r="50883" spans="26:26" x14ac:dyDescent="0.25">
      <c r="Z50883">
        <v>400000</v>
      </c>
    </row>
    <row r="50884" spans="26:26" x14ac:dyDescent="0.25">
      <c r="Z50884">
        <v>400000</v>
      </c>
    </row>
    <row r="50885" spans="26:26" x14ac:dyDescent="0.25">
      <c r="Z50885">
        <v>400000</v>
      </c>
    </row>
    <row r="50886" spans="26:26" x14ac:dyDescent="0.25">
      <c r="Z50886">
        <v>400000</v>
      </c>
    </row>
    <row r="50887" spans="26:26" x14ac:dyDescent="0.25">
      <c r="Z50887">
        <v>400000</v>
      </c>
    </row>
    <row r="50888" spans="26:26" x14ac:dyDescent="0.25">
      <c r="Z50888">
        <v>400000</v>
      </c>
    </row>
    <row r="50889" spans="26:26" x14ac:dyDescent="0.25">
      <c r="Z50889">
        <v>400000</v>
      </c>
    </row>
    <row r="50890" spans="26:26" x14ac:dyDescent="0.25">
      <c r="Z50890">
        <v>400000</v>
      </c>
    </row>
    <row r="50891" spans="26:26" x14ac:dyDescent="0.25">
      <c r="Z50891">
        <v>400000</v>
      </c>
    </row>
    <row r="50892" spans="26:26" x14ac:dyDescent="0.25">
      <c r="Z50892">
        <v>400000</v>
      </c>
    </row>
    <row r="50893" spans="26:26" x14ac:dyDescent="0.25">
      <c r="Z50893">
        <v>400000</v>
      </c>
    </row>
    <row r="50894" spans="26:26" x14ac:dyDescent="0.25">
      <c r="Z50894">
        <v>400000</v>
      </c>
    </row>
    <row r="50895" spans="26:26" x14ac:dyDescent="0.25">
      <c r="Z50895">
        <v>400000</v>
      </c>
    </row>
    <row r="50896" spans="26:26" x14ac:dyDescent="0.25">
      <c r="Z50896">
        <v>400000</v>
      </c>
    </row>
    <row r="50897" spans="26:26" x14ac:dyDescent="0.25">
      <c r="Z50897">
        <v>400000</v>
      </c>
    </row>
    <row r="50898" spans="26:26" x14ac:dyDescent="0.25">
      <c r="Z50898">
        <v>400000</v>
      </c>
    </row>
    <row r="50899" spans="26:26" x14ac:dyDescent="0.25">
      <c r="Z50899">
        <v>400000</v>
      </c>
    </row>
    <row r="50900" spans="26:26" x14ac:dyDescent="0.25">
      <c r="Z50900">
        <v>400000</v>
      </c>
    </row>
    <row r="50901" spans="26:26" x14ac:dyDescent="0.25">
      <c r="Z50901">
        <v>400000</v>
      </c>
    </row>
    <row r="50902" spans="26:26" x14ac:dyDescent="0.25">
      <c r="Z50902">
        <v>400000</v>
      </c>
    </row>
    <row r="50903" spans="26:26" x14ac:dyDescent="0.25">
      <c r="Z50903">
        <v>400000</v>
      </c>
    </row>
    <row r="50904" spans="26:26" x14ac:dyDescent="0.25">
      <c r="Z50904">
        <v>400000</v>
      </c>
    </row>
    <row r="50905" spans="26:26" x14ac:dyDescent="0.25">
      <c r="Z50905">
        <v>400000</v>
      </c>
    </row>
    <row r="50906" spans="26:26" x14ac:dyDescent="0.25">
      <c r="Z50906">
        <v>400000</v>
      </c>
    </row>
    <row r="50907" spans="26:26" x14ac:dyDescent="0.25">
      <c r="Z50907">
        <v>400000</v>
      </c>
    </row>
    <row r="50908" spans="26:26" x14ac:dyDescent="0.25">
      <c r="Z50908">
        <v>400000</v>
      </c>
    </row>
    <row r="50909" spans="26:26" x14ac:dyDescent="0.25">
      <c r="Z50909">
        <v>400000</v>
      </c>
    </row>
    <row r="50910" spans="26:26" x14ac:dyDescent="0.25">
      <c r="Z50910">
        <v>400000</v>
      </c>
    </row>
    <row r="50911" spans="26:26" x14ac:dyDescent="0.25">
      <c r="Z50911">
        <v>400000</v>
      </c>
    </row>
    <row r="50912" spans="26:26" x14ac:dyDescent="0.25">
      <c r="Z50912">
        <v>400000</v>
      </c>
    </row>
    <row r="50913" spans="26:26" x14ac:dyDescent="0.25">
      <c r="Z50913">
        <v>400000</v>
      </c>
    </row>
    <row r="50914" spans="26:26" x14ac:dyDescent="0.25">
      <c r="Z50914">
        <v>400000</v>
      </c>
    </row>
    <row r="50915" spans="26:26" x14ac:dyDescent="0.25">
      <c r="Z50915">
        <v>400000</v>
      </c>
    </row>
    <row r="50916" spans="26:26" x14ac:dyDescent="0.25">
      <c r="Z50916">
        <v>400000</v>
      </c>
    </row>
    <row r="50917" spans="26:26" x14ac:dyDescent="0.25">
      <c r="Z50917">
        <v>400000</v>
      </c>
    </row>
    <row r="50918" spans="26:26" x14ac:dyDescent="0.25">
      <c r="Z50918">
        <v>400000</v>
      </c>
    </row>
    <row r="50919" spans="26:26" x14ac:dyDescent="0.25">
      <c r="Z50919">
        <v>400000</v>
      </c>
    </row>
    <row r="50920" spans="26:26" x14ac:dyDescent="0.25">
      <c r="Z50920">
        <v>400000</v>
      </c>
    </row>
    <row r="50921" spans="26:26" x14ac:dyDescent="0.25">
      <c r="Z50921">
        <v>400000</v>
      </c>
    </row>
    <row r="50922" spans="26:26" x14ac:dyDescent="0.25">
      <c r="Z50922">
        <v>400000</v>
      </c>
    </row>
    <row r="50923" spans="26:26" x14ac:dyDescent="0.25">
      <c r="Z50923">
        <v>400000</v>
      </c>
    </row>
    <row r="50924" spans="26:26" x14ac:dyDescent="0.25">
      <c r="Z50924">
        <v>400000</v>
      </c>
    </row>
    <row r="50925" spans="26:26" x14ac:dyDescent="0.25">
      <c r="Z50925">
        <v>400000</v>
      </c>
    </row>
    <row r="50926" spans="26:26" x14ac:dyDescent="0.25">
      <c r="Z50926">
        <v>400000</v>
      </c>
    </row>
    <row r="50927" spans="26:26" x14ac:dyDescent="0.25">
      <c r="Z50927">
        <v>400000</v>
      </c>
    </row>
    <row r="50928" spans="26:26" x14ac:dyDescent="0.25">
      <c r="Z50928">
        <v>400000</v>
      </c>
    </row>
    <row r="50929" spans="26:26" x14ac:dyDescent="0.25">
      <c r="Z50929">
        <v>400000</v>
      </c>
    </row>
    <row r="50930" spans="26:26" x14ac:dyDescent="0.25">
      <c r="Z50930">
        <v>400000</v>
      </c>
    </row>
    <row r="50931" spans="26:26" x14ac:dyDescent="0.25">
      <c r="Z50931">
        <v>400000</v>
      </c>
    </row>
    <row r="50932" spans="26:26" x14ac:dyDescent="0.25">
      <c r="Z50932">
        <v>400000</v>
      </c>
    </row>
    <row r="50933" spans="26:26" x14ac:dyDescent="0.25">
      <c r="Z50933">
        <v>400000</v>
      </c>
    </row>
    <row r="50934" spans="26:26" x14ac:dyDescent="0.25">
      <c r="Z50934">
        <v>400000</v>
      </c>
    </row>
    <row r="50935" spans="26:26" x14ac:dyDescent="0.25">
      <c r="Z50935">
        <v>400000</v>
      </c>
    </row>
    <row r="50936" spans="26:26" x14ac:dyDescent="0.25">
      <c r="Z50936">
        <v>400000</v>
      </c>
    </row>
    <row r="50937" spans="26:26" x14ac:dyDescent="0.25">
      <c r="Z50937">
        <v>400000</v>
      </c>
    </row>
    <row r="50938" spans="26:26" x14ac:dyDescent="0.25">
      <c r="Z50938">
        <v>400000</v>
      </c>
    </row>
    <row r="50939" spans="26:26" x14ac:dyDescent="0.25">
      <c r="Z50939">
        <v>400000</v>
      </c>
    </row>
    <row r="50940" spans="26:26" x14ac:dyDescent="0.25">
      <c r="Z50940">
        <v>400000</v>
      </c>
    </row>
    <row r="50941" spans="26:26" x14ac:dyDescent="0.25">
      <c r="Z50941">
        <v>400000</v>
      </c>
    </row>
    <row r="50942" spans="26:26" x14ac:dyDescent="0.25">
      <c r="Z50942">
        <v>400000</v>
      </c>
    </row>
    <row r="50943" spans="26:26" x14ac:dyDescent="0.25">
      <c r="Z50943">
        <v>400000</v>
      </c>
    </row>
    <row r="50944" spans="26:26" x14ac:dyDescent="0.25">
      <c r="Z50944">
        <v>400000</v>
      </c>
    </row>
    <row r="50945" spans="26:26" x14ac:dyDescent="0.25">
      <c r="Z50945">
        <v>400000</v>
      </c>
    </row>
    <row r="50946" spans="26:26" x14ac:dyDescent="0.25">
      <c r="Z50946">
        <v>400000</v>
      </c>
    </row>
    <row r="50947" spans="26:26" x14ac:dyDescent="0.25">
      <c r="Z50947">
        <v>400000</v>
      </c>
    </row>
    <row r="50948" spans="26:26" x14ac:dyDescent="0.25">
      <c r="Z50948">
        <v>400000</v>
      </c>
    </row>
    <row r="50949" spans="26:26" x14ac:dyDescent="0.25">
      <c r="Z50949">
        <v>400000</v>
      </c>
    </row>
    <row r="50950" spans="26:26" x14ac:dyDescent="0.25">
      <c r="Z50950">
        <v>400000</v>
      </c>
    </row>
    <row r="50951" spans="26:26" x14ac:dyDescent="0.25">
      <c r="Z50951">
        <v>400000</v>
      </c>
    </row>
    <row r="50952" spans="26:26" x14ac:dyDescent="0.25">
      <c r="Z50952">
        <v>400000</v>
      </c>
    </row>
    <row r="50953" spans="26:26" x14ac:dyDescent="0.25">
      <c r="Z50953">
        <v>400000</v>
      </c>
    </row>
    <row r="50954" spans="26:26" x14ac:dyDescent="0.25">
      <c r="Z50954">
        <v>400000</v>
      </c>
    </row>
    <row r="50955" spans="26:26" x14ac:dyDescent="0.25">
      <c r="Z50955">
        <v>400000</v>
      </c>
    </row>
    <row r="50956" spans="26:26" x14ac:dyDescent="0.25">
      <c r="Z50956">
        <v>400000</v>
      </c>
    </row>
    <row r="50957" spans="26:26" x14ac:dyDescent="0.25">
      <c r="Z50957">
        <v>400000</v>
      </c>
    </row>
    <row r="50958" spans="26:26" x14ac:dyDescent="0.25">
      <c r="Z50958">
        <v>400000</v>
      </c>
    </row>
    <row r="50959" spans="26:26" x14ac:dyDescent="0.25">
      <c r="Z50959">
        <v>400000</v>
      </c>
    </row>
    <row r="50960" spans="26:26" x14ac:dyDescent="0.25">
      <c r="Z50960">
        <v>400000</v>
      </c>
    </row>
    <row r="50961" spans="26:26" x14ac:dyDescent="0.25">
      <c r="Z50961">
        <v>400000</v>
      </c>
    </row>
    <row r="50962" spans="26:26" x14ac:dyDescent="0.25">
      <c r="Z50962">
        <v>400000</v>
      </c>
    </row>
    <row r="50963" spans="26:26" x14ac:dyDescent="0.25">
      <c r="Z50963">
        <v>400000</v>
      </c>
    </row>
    <row r="50964" spans="26:26" x14ac:dyDescent="0.25">
      <c r="Z50964">
        <v>400000</v>
      </c>
    </row>
    <row r="50965" spans="26:26" x14ac:dyDescent="0.25">
      <c r="Z50965">
        <v>400000</v>
      </c>
    </row>
    <row r="50966" spans="26:26" x14ac:dyDescent="0.25">
      <c r="Z50966">
        <v>400000</v>
      </c>
    </row>
    <row r="50967" spans="26:26" x14ac:dyDescent="0.25">
      <c r="Z50967">
        <v>400000</v>
      </c>
    </row>
    <row r="50968" spans="26:26" x14ac:dyDescent="0.25">
      <c r="Z50968">
        <v>400000</v>
      </c>
    </row>
    <row r="50969" spans="26:26" x14ac:dyDescent="0.25">
      <c r="Z50969">
        <v>400000</v>
      </c>
    </row>
    <row r="50970" spans="26:26" x14ac:dyDescent="0.25">
      <c r="Z50970">
        <v>400000</v>
      </c>
    </row>
    <row r="50971" spans="26:26" x14ac:dyDescent="0.25">
      <c r="Z50971">
        <v>400000</v>
      </c>
    </row>
    <row r="50972" spans="26:26" x14ac:dyDescent="0.25">
      <c r="Z50972">
        <v>400000</v>
      </c>
    </row>
    <row r="50973" spans="26:26" x14ac:dyDescent="0.25">
      <c r="Z50973">
        <v>400000</v>
      </c>
    </row>
    <row r="50974" spans="26:26" x14ac:dyDescent="0.25">
      <c r="Z50974">
        <v>400000</v>
      </c>
    </row>
    <row r="50975" spans="26:26" x14ac:dyDescent="0.25">
      <c r="Z50975">
        <v>400000</v>
      </c>
    </row>
    <row r="50976" spans="26:26" x14ac:dyDescent="0.25">
      <c r="Z50976">
        <v>400000</v>
      </c>
    </row>
    <row r="50977" spans="26:26" x14ac:dyDescent="0.25">
      <c r="Z50977">
        <v>400000</v>
      </c>
    </row>
    <row r="50978" spans="26:26" x14ac:dyDescent="0.25">
      <c r="Z50978">
        <v>400000</v>
      </c>
    </row>
    <row r="50979" spans="26:26" x14ac:dyDescent="0.25">
      <c r="Z50979">
        <v>400000</v>
      </c>
    </row>
    <row r="50980" spans="26:26" x14ac:dyDescent="0.25">
      <c r="Z50980">
        <v>400000</v>
      </c>
    </row>
    <row r="50981" spans="26:26" x14ac:dyDescent="0.25">
      <c r="Z50981">
        <v>400000</v>
      </c>
    </row>
    <row r="50982" spans="26:26" x14ac:dyDescent="0.25">
      <c r="Z50982">
        <v>400000</v>
      </c>
    </row>
    <row r="50983" spans="26:26" x14ac:dyDescent="0.25">
      <c r="Z50983">
        <v>400000</v>
      </c>
    </row>
    <row r="50984" spans="26:26" x14ac:dyDescent="0.25">
      <c r="Z50984">
        <v>400000</v>
      </c>
    </row>
    <row r="50985" spans="26:26" x14ac:dyDescent="0.25">
      <c r="Z50985">
        <v>400000</v>
      </c>
    </row>
    <row r="50986" spans="26:26" x14ac:dyDescent="0.25">
      <c r="Z50986">
        <v>400000</v>
      </c>
    </row>
    <row r="50987" spans="26:26" x14ac:dyDescent="0.25">
      <c r="Z50987">
        <v>400000</v>
      </c>
    </row>
    <row r="50988" spans="26:26" x14ac:dyDescent="0.25">
      <c r="Z50988">
        <v>400000</v>
      </c>
    </row>
    <row r="50989" spans="26:26" x14ac:dyDescent="0.25">
      <c r="Z50989">
        <v>400000</v>
      </c>
    </row>
    <row r="50990" spans="26:26" x14ac:dyDescent="0.25">
      <c r="Z50990">
        <v>400000</v>
      </c>
    </row>
    <row r="50991" spans="26:26" x14ac:dyDescent="0.25">
      <c r="Z50991">
        <v>400000</v>
      </c>
    </row>
    <row r="50992" spans="26:26" x14ac:dyDescent="0.25">
      <c r="Z50992">
        <v>400000</v>
      </c>
    </row>
    <row r="50993" spans="26:26" x14ac:dyDescent="0.25">
      <c r="Z50993">
        <v>400000</v>
      </c>
    </row>
    <row r="50994" spans="26:26" x14ac:dyDescent="0.25">
      <c r="Z50994">
        <v>400000</v>
      </c>
    </row>
    <row r="50995" spans="26:26" x14ac:dyDescent="0.25">
      <c r="Z50995">
        <v>400000</v>
      </c>
    </row>
    <row r="50996" spans="26:26" x14ac:dyDescent="0.25">
      <c r="Z50996">
        <v>400000</v>
      </c>
    </row>
    <row r="50997" spans="26:26" x14ac:dyDescent="0.25">
      <c r="Z50997">
        <v>400000</v>
      </c>
    </row>
    <row r="50998" spans="26:26" x14ac:dyDescent="0.25">
      <c r="Z50998">
        <v>400000</v>
      </c>
    </row>
    <row r="50999" spans="26:26" x14ac:dyDescent="0.25">
      <c r="Z50999">
        <v>400000</v>
      </c>
    </row>
    <row r="51000" spans="26:26" x14ac:dyDescent="0.25">
      <c r="Z51000">
        <v>400000</v>
      </c>
    </row>
    <row r="51001" spans="26:26" x14ac:dyDescent="0.25">
      <c r="Z51001">
        <v>400000</v>
      </c>
    </row>
    <row r="51002" spans="26:26" x14ac:dyDescent="0.25">
      <c r="Z51002">
        <v>400000</v>
      </c>
    </row>
    <row r="51003" spans="26:26" x14ac:dyDescent="0.25">
      <c r="Z51003">
        <v>400000</v>
      </c>
    </row>
    <row r="51004" spans="26:26" x14ac:dyDescent="0.25">
      <c r="Z51004">
        <v>400000</v>
      </c>
    </row>
    <row r="51005" spans="26:26" x14ac:dyDescent="0.25">
      <c r="Z51005">
        <v>400000</v>
      </c>
    </row>
    <row r="51006" spans="26:26" x14ac:dyDescent="0.25">
      <c r="Z51006">
        <v>400000</v>
      </c>
    </row>
    <row r="51007" spans="26:26" x14ac:dyDescent="0.25">
      <c r="Z51007">
        <v>400000</v>
      </c>
    </row>
    <row r="51008" spans="26:26" x14ac:dyDescent="0.25">
      <c r="Z51008">
        <v>400000</v>
      </c>
    </row>
    <row r="51009" spans="26:26" x14ac:dyDescent="0.25">
      <c r="Z51009">
        <v>400000</v>
      </c>
    </row>
    <row r="51010" spans="26:26" x14ac:dyDescent="0.25">
      <c r="Z51010">
        <v>400000</v>
      </c>
    </row>
    <row r="51011" spans="26:26" x14ac:dyDescent="0.25">
      <c r="Z51011">
        <v>400000</v>
      </c>
    </row>
    <row r="51012" spans="26:26" x14ac:dyDescent="0.25">
      <c r="Z51012">
        <v>400000</v>
      </c>
    </row>
    <row r="51013" spans="26:26" x14ac:dyDescent="0.25">
      <c r="Z51013">
        <v>400000</v>
      </c>
    </row>
    <row r="51014" spans="26:26" x14ac:dyDescent="0.25">
      <c r="Z51014">
        <v>400000</v>
      </c>
    </row>
    <row r="51015" spans="26:26" x14ac:dyDescent="0.25">
      <c r="Z51015">
        <v>400000</v>
      </c>
    </row>
    <row r="51016" spans="26:26" x14ac:dyDescent="0.25">
      <c r="Z51016">
        <v>400000</v>
      </c>
    </row>
    <row r="51017" spans="26:26" x14ac:dyDescent="0.25">
      <c r="Z51017">
        <v>400000</v>
      </c>
    </row>
    <row r="51018" spans="26:26" x14ac:dyDescent="0.25">
      <c r="Z51018">
        <v>400000</v>
      </c>
    </row>
    <row r="51019" spans="26:26" x14ac:dyDescent="0.25">
      <c r="Z51019">
        <v>400000</v>
      </c>
    </row>
    <row r="51020" spans="26:26" x14ac:dyDescent="0.25">
      <c r="Z51020">
        <v>400000</v>
      </c>
    </row>
    <row r="51021" spans="26:26" x14ac:dyDescent="0.25">
      <c r="Z51021">
        <v>400000</v>
      </c>
    </row>
    <row r="51022" spans="26:26" x14ac:dyDescent="0.25">
      <c r="Z51022">
        <v>400000</v>
      </c>
    </row>
    <row r="51023" spans="26:26" x14ac:dyDescent="0.25">
      <c r="Z51023">
        <v>400000</v>
      </c>
    </row>
    <row r="51024" spans="26:26" x14ac:dyDescent="0.25">
      <c r="Z51024">
        <v>400000</v>
      </c>
    </row>
    <row r="51025" spans="26:26" x14ac:dyDescent="0.25">
      <c r="Z51025">
        <v>400000</v>
      </c>
    </row>
    <row r="51026" spans="26:26" x14ac:dyDescent="0.25">
      <c r="Z51026">
        <v>400000</v>
      </c>
    </row>
    <row r="51027" spans="26:26" x14ac:dyDescent="0.25">
      <c r="Z51027">
        <v>400000</v>
      </c>
    </row>
    <row r="51028" spans="26:26" x14ac:dyDescent="0.25">
      <c r="Z51028">
        <v>400000</v>
      </c>
    </row>
    <row r="51029" spans="26:26" x14ac:dyDescent="0.25">
      <c r="Z51029">
        <v>400000</v>
      </c>
    </row>
    <row r="51030" spans="26:26" x14ac:dyDescent="0.25">
      <c r="Z51030">
        <v>400000</v>
      </c>
    </row>
    <row r="51031" spans="26:26" x14ac:dyDescent="0.25">
      <c r="Z51031">
        <v>400000</v>
      </c>
    </row>
    <row r="51032" spans="26:26" x14ac:dyDescent="0.25">
      <c r="Z51032">
        <v>400000</v>
      </c>
    </row>
    <row r="51033" spans="26:26" x14ac:dyDescent="0.25">
      <c r="Z51033">
        <v>400000</v>
      </c>
    </row>
    <row r="51034" spans="26:26" x14ac:dyDescent="0.25">
      <c r="Z51034">
        <v>400000</v>
      </c>
    </row>
    <row r="51035" spans="26:26" x14ac:dyDescent="0.25">
      <c r="Z51035">
        <v>400000</v>
      </c>
    </row>
    <row r="51036" spans="26:26" x14ac:dyDescent="0.25">
      <c r="Z51036">
        <v>400000</v>
      </c>
    </row>
    <row r="51037" spans="26:26" x14ac:dyDescent="0.25">
      <c r="Z51037">
        <v>400000</v>
      </c>
    </row>
    <row r="51038" spans="26:26" x14ac:dyDescent="0.25">
      <c r="Z51038">
        <v>400000</v>
      </c>
    </row>
    <row r="51039" spans="26:26" x14ac:dyDescent="0.25">
      <c r="Z51039">
        <v>400000</v>
      </c>
    </row>
    <row r="51040" spans="26:26" x14ac:dyDescent="0.25">
      <c r="Z51040">
        <v>400000</v>
      </c>
    </row>
    <row r="51041" spans="26:26" x14ac:dyDescent="0.25">
      <c r="Z51041">
        <v>400000</v>
      </c>
    </row>
    <row r="51042" spans="26:26" x14ac:dyDescent="0.25">
      <c r="Z51042">
        <v>400000</v>
      </c>
    </row>
    <row r="51043" spans="26:26" x14ac:dyDescent="0.25">
      <c r="Z51043">
        <v>400000</v>
      </c>
    </row>
    <row r="51044" spans="26:26" x14ac:dyDescent="0.25">
      <c r="Z51044">
        <v>400000</v>
      </c>
    </row>
    <row r="51045" spans="26:26" x14ac:dyDescent="0.25">
      <c r="Z51045">
        <v>400000</v>
      </c>
    </row>
    <row r="51046" spans="26:26" x14ac:dyDescent="0.25">
      <c r="Z51046">
        <v>400000</v>
      </c>
    </row>
    <row r="51047" spans="26:26" x14ac:dyDescent="0.25">
      <c r="Z51047">
        <v>400000</v>
      </c>
    </row>
    <row r="51048" spans="26:26" x14ac:dyDescent="0.25">
      <c r="Z51048">
        <v>400000</v>
      </c>
    </row>
    <row r="51049" spans="26:26" x14ac:dyDescent="0.25">
      <c r="Z51049">
        <v>400000</v>
      </c>
    </row>
    <row r="51050" spans="26:26" x14ac:dyDescent="0.25">
      <c r="Z51050">
        <v>400000</v>
      </c>
    </row>
    <row r="51051" spans="26:26" x14ac:dyDescent="0.25">
      <c r="Z51051">
        <v>400000</v>
      </c>
    </row>
    <row r="51052" spans="26:26" x14ac:dyDescent="0.25">
      <c r="Z51052">
        <v>400000</v>
      </c>
    </row>
    <row r="51053" spans="26:26" x14ac:dyDescent="0.25">
      <c r="Z51053">
        <v>400000</v>
      </c>
    </row>
    <row r="51054" spans="26:26" x14ac:dyDescent="0.25">
      <c r="Z51054">
        <v>400000</v>
      </c>
    </row>
    <row r="51055" spans="26:26" x14ac:dyDescent="0.25">
      <c r="Z51055">
        <v>400000</v>
      </c>
    </row>
    <row r="51056" spans="26:26" x14ac:dyDescent="0.25">
      <c r="Z51056">
        <v>400000</v>
      </c>
    </row>
    <row r="51057" spans="26:26" x14ac:dyDescent="0.25">
      <c r="Z51057">
        <v>400000</v>
      </c>
    </row>
    <row r="51058" spans="26:26" x14ac:dyDescent="0.25">
      <c r="Z51058">
        <v>400000</v>
      </c>
    </row>
    <row r="51059" spans="26:26" x14ac:dyDescent="0.25">
      <c r="Z51059">
        <v>400000</v>
      </c>
    </row>
    <row r="51060" spans="26:26" x14ac:dyDescent="0.25">
      <c r="Z51060">
        <v>400000</v>
      </c>
    </row>
    <row r="51061" spans="26:26" x14ac:dyDescent="0.25">
      <c r="Z51061">
        <v>400000</v>
      </c>
    </row>
    <row r="51062" spans="26:26" x14ac:dyDescent="0.25">
      <c r="Z51062">
        <v>400000</v>
      </c>
    </row>
    <row r="51063" spans="26:26" x14ac:dyDescent="0.25">
      <c r="Z51063">
        <v>400000</v>
      </c>
    </row>
    <row r="51064" spans="26:26" x14ac:dyDescent="0.25">
      <c r="Z51064">
        <v>400000</v>
      </c>
    </row>
    <row r="51065" spans="26:26" x14ac:dyDescent="0.25">
      <c r="Z51065">
        <v>400000</v>
      </c>
    </row>
    <row r="51066" spans="26:26" x14ac:dyDescent="0.25">
      <c r="Z51066">
        <v>400000</v>
      </c>
    </row>
    <row r="51067" spans="26:26" x14ac:dyDescent="0.25">
      <c r="Z51067">
        <v>400000</v>
      </c>
    </row>
    <row r="51068" spans="26:26" x14ac:dyDescent="0.25">
      <c r="Z51068">
        <v>400000</v>
      </c>
    </row>
    <row r="51069" spans="26:26" x14ac:dyDescent="0.25">
      <c r="Z51069">
        <v>400000</v>
      </c>
    </row>
    <row r="51070" spans="26:26" x14ac:dyDescent="0.25">
      <c r="Z51070">
        <v>400000</v>
      </c>
    </row>
    <row r="51071" spans="26:26" x14ac:dyDescent="0.25">
      <c r="Z51071">
        <v>400000</v>
      </c>
    </row>
    <row r="51072" spans="26:26" x14ac:dyDescent="0.25">
      <c r="Z51072">
        <v>400000</v>
      </c>
    </row>
    <row r="51073" spans="26:26" x14ac:dyDescent="0.25">
      <c r="Z51073">
        <v>400000</v>
      </c>
    </row>
    <row r="51074" spans="26:26" x14ac:dyDescent="0.25">
      <c r="Z51074">
        <v>400000</v>
      </c>
    </row>
    <row r="51075" spans="26:26" x14ac:dyDescent="0.25">
      <c r="Z51075">
        <v>400000</v>
      </c>
    </row>
    <row r="51076" spans="26:26" x14ac:dyDescent="0.25">
      <c r="Z51076">
        <v>400000</v>
      </c>
    </row>
    <row r="51077" spans="26:26" x14ac:dyDescent="0.25">
      <c r="Z51077">
        <v>400000</v>
      </c>
    </row>
    <row r="51078" spans="26:26" x14ac:dyDescent="0.25">
      <c r="Z51078">
        <v>400000</v>
      </c>
    </row>
    <row r="51079" spans="26:26" x14ac:dyDescent="0.25">
      <c r="Z51079">
        <v>400000</v>
      </c>
    </row>
    <row r="51080" spans="26:26" x14ac:dyDescent="0.25">
      <c r="Z51080">
        <v>400000</v>
      </c>
    </row>
    <row r="51081" spans="26:26" x14ac:dyDescent="0.25">
      <c r="Z51081">
        <v>400000</v>
      </c>
    </row>
    <row r="51082" spans="26:26" x14ac:dyDescent="0.25">
      <c r="Z51082">
        <v>400000</v>
      </c>
    </row>
    <row r="51083" spans="26:26" x14ac:dyDescent="0.25">
      <c r="Z51083">
        <v>400000</v>
      </c>
    </row>
    <row r="51084" spans="26:26" x14ac:dyDescent="0.25">
      <c r="Z51084">
        <v>400000</v>
      </c>
    </row>
    <row r="51085" spans="26:26" x14ac:dyDescent="0.25">
      <c r="Z51085">
        <v>400000</v>
      </c>
    </row>
    <row r="51086" spans="26:26" x14ac:dyDescent="0.25">
      <c r="Z51086">
        <v>400000</v>
      </c>
    </row>
    <row r="51087" spans="26:26" x14ac:dyDescent="0.25">
      <c r="Z51087">
        <v>400000</v>
      </c>
    </row>
    <row r="51088" spans="26:26" x14ac:dyDescent="0.25">
      <c r="Z51088">
        <v>400000</v>
      </c>
    </row>
    <row r="51089" spans="26:26" x14ac:dyDescent="0.25">
      <c r="Z51089">
        <v>400000</v>
      </c>
    </row>
    <row r="51090" spans="26:26" x14ac:dyDescent="0.25">
      <c r="Z51090">
        <v>400000</v>
      </c>
    </row>
    <row r="51091" spans="26:26" x14ac:dyDescent="0.25">
      <c r="Z51091">
        <v>400000</v>
      </c>
    </row>
    <row r="51092" spans="26:26" x14ac:dyDescent="0.25">
      <c r="Z51092">
        <v>400000</v>
      </c>
    </row>
    <row r="51093" spans="26:26" x14ac:dyDescent="0.25">
      <c r="Z51093">
        <v>400000</v>
      </c>
    </row>
    <row r="51094" spans="26:26" x14ac:dyDescent="0.25">
      <c r="Z51094">
        <v>400000</v>
      </c>
    </row>
    <row r="51095" spans="26:26" x14ac:dyDescent="0.25">
      <c r="Z51095">
        <v>400000</v>
      </c>
    </row>
    <row r="51096" spans="26:26" x14ac:dyDescent="0.25">
      <c r="Z51096">
        <v>400000</v>
      </c>
    </row>
    <row r="51097" spans="26:26" x14ac:dyDescent="0.25">
      <c r="Z51097">
        <v>400000</v>
      </c>
    </row>
    <row r="51098" spans="26:26" x14ac:dyDescent="0.25">
      <c r="Z51098">
        <v>400000</v>
      </c>
    </row>
    <row r="51099" spans="26:26" x14ac:dyDescent="0.25">
      <c r="Z51099">
        <v>400000</v>
      </c>
    </row>
    <row r="51100" spans="26:26" x14ac:dyDescent="0.25">
      <c r="Z51100">
        <v>400000</v>
      </c>
    </row>
    <row r="51101" spans="26:26" x14ac:dyDescent="0.25">
      <c r="Z51101">
        <v>400000</v>
      </c>
    </row>
    <row r="51102" spans="26:26" x14ac:dyDescent="0.25">
      <c r="Z51102">
        <v>400000</v>
      </c>
    </row>
    <row r="51103" spans="26:26" x14ac:dyDescent="0.25">
      <c r="Z51103">
        <v>400000</v>
      </c>
    </row>
    <row r="51104" spans="26:26" x14ac:dyDescent="0.25">
      <c r="Z51104">
        <v>400000</v>
      </c>
    </row>
    <row r="51105" spans="26:26" x14ac:dyDescent="0.25">
      <c r="Z51105">
        <v>400000</v>
      </c>
    </row>
    <row r="51106" spans="26:26" x14ac:dyDescent="0.25">
      <c r="Z51106">
        <v>400000</v>
      </c>
    </row>
    <row r="51107" spans="26:26" x14ac:dyDescent="0.25">
      <c r="Z51107">
        <v>400000</v>
      </c>
    </row>
    <row r="51108" spans="26:26" x14ac:dyDescent="0.25">
      <c r="Z51108">
        <v>400000</v>
      </c>
    </row>
    <row r="51109" spans="26:26" x14ac:dyDescent="0.25">
      <c r="Z51109">
        <v>400000</v>
      </c>
    </row>
    <row r="51110" spans="26:26" x14ac:dyDescent="0.25">
      <c r="Z51110">
        <v>400000</v>
      </c>
    </row>
    <row r="51111" spans="26:26" x14ac:dyDescent="0.25">
      <c r="Z51111">
        <v>400000</v>
      </c>
    </row>
    <row r="51112" spans="26:26" x14ac:dyDescent="0.25">
      <c r="Z51112">
        <v>400000</v>
      </c>
    </row>
    <row r="51113" spans="26:26" x14ac:dyDescent="0.25">
      <c r="Z51113">
        <v>400000</v>
      </c>
    </row>
    <row r="51114" spans="26:26" x14ac:dyDescent="0.25">
      <c r="Z51114">
        <v>400000</v>
      </c>
    </row>
    <row r="51115" spans="26:26" x14ac:dyDescent="0.25">
      <c r="Z51115">
        <v>400000</v>
      </c>
    </row>
    <row r="51116" spans="26:26" x14ac:dyDescent="0.25">
      <c r="Z51116">
        <v>400000</v>
      </c>
    </row>
    <row r="51117" spans="26:26" x14ac:dyDescent="0.25">
      <c r="Z51117">
        <v>400000</v>
      </c>
    </row>
    <row r="51118" spans="26:26" x14ac:dyDescent="0.25">
      <c r="Z51118">
        <v>400000</v>
      </c>
    </row>
    <row r="51119" spans="26:26" x14ac:dyDescent="0.25">
      <c r="Z51119">
        <v>400000</v>
      </c>
    </row>
    <row r="51120" spans="26:26" x14ac:dyDescent="0.25">
      <c r="Z51120">
        <v>400000</v>
      </c>
    </row>
    <row r="51121" spans="26:26" x14ac:dyDescent="0.25">
      <c r="Z51121">
        <v>400000</v>
      </c>
    </row>
    <row r="51122" spans="26:26" x14ac:dyDescent="0.25">
      <c r="Z51122">
        <v>400000</v>
      </c>
    </row>
    <row r="51123" spans="26:26" x14ac:dyDescent="0.25">
      <c r="Z51123">
        <v>400000</v>
      </c>
    </row>
    <row r="51124" spans="26:26" x14ac:dyDescent="0.25">
      <c r="Z51124">
        <v>400000</v>
      </c>
    </row>
    <row r="51125" spans="26:26" x14ac:dyDescent="0.25">
      <c r="Z51125">
        <v>400000</v>
      </c>
    </row>
    <row r="51126" spans="26:26" x14ac:dyDescent="0.25">
      <c r="Z51126">
        <v>400000</v>
      </c>
    </row>
    <row r="51127" spans="26:26" x14ac:dyDescent="0.25">
      <c r="Z51127">
        <v>400000</v>
      </c>
    </row>
    <row r="51128" spans="26:26" x14ac:dyDescent="0.25">
      <c r="Z51128">
        <v>400000</v>
      </c>
    </row>
    <row r="51129" spans="26:26" x14ac:dyDescent="0.25">
      <c r="Z51129">
        <v>400000</v>
      </c>
    </row>
    <row r="51130" spans="26:26" x14ac:dyDescent="0.25">
      <c r="Z51130">
        <v>400000</v>
      </c>
    </row>
    <row r="51131" spans="26:26" x14ac:dyDescent="0.25">
      <c r="Z51131">
        <v>400000</v>
      </c>
    </row>
    <row r="51132" spans="26:26" x14ac:dyDescent="0.25">
      <c r="Z51132">
        <v>400000</v>
      </c>
    </row>
    <row r="51133" spans="26:26" x14ac:dyDescent="0.25">
      <c r="Z51133">
        <v>400000</v>
      </c>
    </row>
    <row r="51134" spans="26:26" x14ac:dyDescent="0.25">
      <c r="Z51134">
        <v>400000</v>
      </c>
    </row>
    <row r="51135" spans="26:26" x14ac:dyDescent="0.25">
      <c r="Z51135">
        <v>400000</v>
      </c>
    </row>
    <row r="51136" spans="26:26" x14ac:dyDescent="0.25">
      <c r="Z51136">
        <v>400000</v>
      </c>
    </row>
    <row r="51137" spans="26:26" x14ac:dyDescent="0.25">
      <c r="Z51137">
        <v>400000</v>
      </c>
    </row>
    <row r="51138" spans="26:26" x14ac:dyDescent="0.25">
      <c r="Z51138">
        <v>400000</v>
      </c>
    </row>
    <row r="51139" spans="26:26" x14ac:dyDescent="0.25">
      <c r="Z51139">
        <v>400000</v>
      </c>
    </row>
    <row r="51140" spans="26:26" x14ac:dyDescent="0.25">
      <c r="Z51140">
        <v>400000</v>
      </c>
    </row>
    <row r="51141" spans="26:26" x14ac:dyDescent="0.25">
      <c r="Z51141">
        <v>400000</v>
      </c>
    </row>
    <row r="51142" spans="26:26" x14ac:dyDescent="0.25">
      <c r="Z51142">
        <v>400000</v>
      </c>
    </row>
    <row r="51143" spans="26:26" x14ac:dyDescent="0.25">
      <c r="Z51143">
        <v>400000</v>
      </c>
    </row>
    <row r="51144" spans="26:26" x14ac:dyDescent="0.25">
      <c r="Z51144">
        <v>400000</v>
      </c>
    </row>
    <row r="51145" spans="26:26" x14ac:dyDescent="0.25">
      <c r="Z51145">
        <v>400000</v>
      </c>
    </row>
    <row r="51146" spans="26:26" x14ac:dyDescent="0.25">
      <c r="Z51146">
        <v>400000</v>
      </c>
    </row>
    <row r="51147" spans="26:26" x14ac:dyDescent="0.25">
      <c r="Z51147">
        <v>400000</v>
      </c>
    </row>
    <row r="51148" spans="26:26" x14ac:dyDescent="0.25">
      <c r="Z51148">
        <v>400000</v>
      </c>
    </row>
    <row r="51149" spans="26:26" x14ac:dyDescent="0.25">
      <c r="Z51149">
        <v>400000</v>
      </c>
    </row>
    <row r="51150" spans="26:26" x14ac:dyDescent="0.25">
      <c r="Z51150">
        <v>400000</v>
      </c>
    </row>
    <row r="51151" spans="26:26" x14ac:dyDescent="0.25">
      <c r="Z51151">
        <v>400000</v>
      </c>
    </row>
    <row r="51152" spans="26:26" x14ac:dyDescent="0.25">
      <c r="Z51152">
        <v>400000</v>
      </c>
    </row>
    <row r="51153" spans="26:26" x14ac:dyDescent="0.25">
      <c r="Z51153">
        <v>400000</v>
      </c>
    </row>
    <row r="51154" spans="26:26" x14ac:dyDescent="0.25">
      <c r="Z51154">
        <v>400000</v>
      </c>
    </row>
    <row r="51155" spans="26:26" x14ac:dyDescent="0.25">
      <c r="Z51155">
        <v>400000</v>
      </c>
    </row>
    <row r="51156" spans="26:26" x14ac:dyDescent="0.25">
      <c r="Z51156">
        <v>400000</v>
      </c>
    </row>
    <row r="51157" spans="26:26" x14ac:dyDescent="0.25">
      <c r="Z51157">
        <v>400000</v>
      </c>
    </row>
    <row r="51158" spans="26:26" x14ac:dyDescent="0.25">
      <c r="Z51158">
        <v>400000</v>
      </c>
    </row>
    <row r="51159" spans="26:26" x14ac:dyDescent="0.25">
      <c r="Z51159">
        <v>400000</v>
      </c>
    </row>
    <row r="51160" spans="26:26" x14ac:dyDescent="0.25">
      <c r="Z51160">
        <v>400000</v>
      </c>
    </row>
    <row r="51161" spans="26:26" x14ac:dyDescent="0.25">
      <c r="Z51161">
        <v>400000</v>
      </c>
    </row>
    <row r="51162" spans="26:26" x14ac:dyDescent="0.25">
      <c r="Z51162">
        <v>400000</v>
      </c>
    </row>
    <row r="51163" spans="26:26" x14ac:dyDescent="0.25">
      <c r="Z51163">
        <v>400000</v>
      </c>
    </row>
    <row r="51164" spans="26:26" x14ac:dyDescent="0.25">
      <c r="Z51164">
        <v>400000</v>
      </c>
    </row>
    <row r="51165" spans="26:26" x14ac:dyDescent="0.25">
      <c r="Z51165">
        <v>400000</v>
      </c>
    </row>
    <row r="51166" spans="26:26" x14ac:dyDescent="0.25">
      <c r="Z51166">
        <v>400000</v>
      </c>
    </row>
    <row r="51167" spans="26:26" x14ac:dyDescent="0.25">
      <c r="Z51167">
        <v>400000</v>
      </c>
    </row>
    <row r="51168" spans="26:26" x14ac:dyDescent="0.25">
      <c r="Z51168">
        <v>400000</v>
      </c>
    </row>
    <row r="51169" spans="26:26" x14ac:dyDescent="0.25">
      <c r="Z51169">
        <v>400000</v>
      </c>
    </row>
    <row r="51170" spans="26:26" x14ac:dyDescent="0.25">
      <c r="Z51170">
        <v>400000</v>
      </c>
    </row>
    <row r="51171" spans="26:26" x14ac:dyDescent="0.25">
      <c r="Z51171">
        <v>400000</v>
      </c>
    </row>
    <row r="51172" spans="26:26" x14ac:dyDescent="0.25">
      <c r="Z51172">
        <v>400000</v>
      </c>
    </row>
    <row r="51173" spans="26:26" x14ac:dyDescent="0.25">
      <c r="Z51173">
        <v>400000</v>
      </c>
    </row>
    <row r="51174" spans="26:26" x14ac:dyDescent="0.25">
      <c r="Z51174">
        <v>400000</v>
      </c>
    </row>
    <row r="51175" spans="26:26" x14ac:dyDescent="0.25">
      <c r="Z51175">
        <v>400000</v>
      </c>
    </row>
    <row r="51176" spans="26:26" x14ac:dyDescent="0.25">
      <c r="Z51176">
        <v>400000</v>
      </c>
    </row>
    <row r="51177" spans="26:26" x14ac:dyDescent="0.25">
      <c r="Z51177">
        <v>400000</v>
      </c>
    </row>
    <row r="51178" spans="26:26" x14ac:dyDescent="0.25">
      <c r="Z51178">
        <v>400000</v>
      </c>
    </row>
    <row r="51179" spans="26:26" x14ac:dyDescent="0.25">
      <c r="Z51179">
        <v>400000</v>
      </c>
    </row>
    <row r="51180" spans="26:26" x14ac:dyDescent="0.25">
      <c r="Z51180">
        <v>400000</v>
      </c>
    </row>
    <row r="51181" spans="26:26" x14ac:dyDescent="0.25">
      <c r="Z51181">
        <v>400000</v>
      </c>
    </row>
    <row r="51182" spans="26:26" x14ac:dyDescent="0.25">
      <c r="Z51182">
        <v>400000</v>
      </c>
    </row>
    <row r="51183" spans="26:26" x14ac:dyDescent="0.25">
      <c r="Z51183">
        <v>400000</v>
      </c>
    </row>
    <row r="51184" spans="26:26" x14ac:dyDescent="0.25">
      <c r="Z51184">
        <v>400000</v>
      </c>
    </row>
    <row r="51185" spans="26:26" x14ac:dyDescent="0.25">
      <c r="Z51185">
        <v>400000</v>
      </c>
    </row>
    <row r="51186" spans="26:26" x14ac:dyDescent="0.25">
      <c r="Z51186">
        <v>400000</v>
      </c>
    </row>
    <row r="51187" spans="26:26" x14ac:dyDescent="0.25">
      <c r="Z51187">
        <v>400000</v>
      </c>
    </row>
    <row r="51188" spans="26:26" x14ac:dyDescent="0.25">
      <c r="Z51188">
        <v>400000</v>
      </c>
    </row>
    <row r="51189" spans="26:26" x14ac:dyDescent="0.25">
      <c r="Z51189">
        <v>400000</v>
      </c>
    </row>
    <row r="51190" spans="26:26" x14ac:dyDescent="0.25">
      <c r="Z51190">
        <v>400000</v>
      </c>
    </row>
    <row r="51191" spans="26:26" x14ac:dyDescent="0.25">
      <c r="Z51191">
        <v>400000</v>
      </c>
    </row>
    <row r="51192" spans="26:26" x14ac:dyDescent="0.25">
      <c r="Z51192">
        <v>400000</v>
      </c>
    </row>
    <row r="51193" spans="26:26" x14ac:dyDescent="0.25">
      <c r="Z51193">
        <v>400000</v>
      </c>
    </row>
    <row r="51194" spans="26:26" x14ac:dyDescent="0.25">
      <c r="Z51194">
        <v>400000</v>
      </c>
    </row>
    <row r="51195" spans="26:26" x14ac:dyDescent="0.25">
      <c r="Z51195">
        <v>400000</v>
      </c>
    </row>
    <row r="51196" spans="26:26" x14ac:dyDescent="0.25">
      <c r="Z51196">
        <v>400000</v>
      </c>
    </row>
    <row r="51197" spans="26:26" x14ac:dyDescent="0.25">
      <c r="Z51197">
        <v>400000</v>
      </c>
    </row>
    <row r="51198" spans="26:26" x14ac:dyDescent="0.25">
      <c r="Z51198">
        <v>400000</v>
      </c>
    </row>
    <row r="51199" spans="26:26" x14ac:dyDescent="0.25">
      <c r="Z51199">
        <v>400000</v>
      </c>
    </row>
    <row r="51200" spans="26:26" x14ac:dyDescent="0.25">
      <c r="Z51200">
        <v>400000</v>
      </c>
    </row>
    <row r="51201" spans="26:26" x14ac:dyDescent="0.25">
      <c r="Z51201">
        <v>400000</v>
      </c>
    </row>
    <row r="51202" spans="26:26" x14ac:dyDescent="0.25">
      <c r="Z51202">
        <v>400000</v>
      </c>
    </row>
    <row r="51203" spans="26:26" x14ac:dyDescent="0.25">
      <c r="Z51203">
        <v>400000</v>
      </c>
    </row>
    <row r="51204" spans="26:26" x14ac:dyDescent="0.25">
      <c r="Z51204">
        <v>400000</v>
      </c>
    </row>
    <row r="51205" spans="26:26" x14ac:dyDescent="0.25">
      <c r="Z51205">
        <v>400000</v>
      </c>
    </row>
    <row r="51206" spans="26:26" x14ac:dyDescent="0.25">
      <c r="Z51206">
        <v>400000</v>
      </c>
    </row>
    <row r="51207" spans="26:26" x14ac:dyDescent="0.25">
      <c r="Z51207">
        <v>400000</v>
      </c>
    </row>
    <row r="51208" spans="26:26" x14ac:dyDescent="0.25">
      <c r="Z51208">
        <v>400000</v>
      </c>
    </row>
    <row r="51209" spans="26:26" x14ac:dyDescent="0.25">
      <c r="Z51209">
        <v>400000</v>
      </c>
    </row>
    <row r="51210" spans="26:26" x14ac:dyDescent="0.25">
      <c r="Z51210">
        <v>400000</v>
      </c>
    </row>
    <row r="51211" spans="26:26" x14ac:dyDescent="0.25">
      <c r="Z51211">
        <v>400000</v>
      </c>
    </row>
    <row r="51212" spans="26:26" x14ac:dyDescent="0.25">
      <c r="Z51212">
        <v>400000</v>
      </c>
    </row>
    <row r="51213" spans="26:26" x14ac:dyDescent="0.25">
      <c r="Z51213">
        <v>400000</v>
      </c>
    </row>
    <row r="51214" spans="26:26" x14ac:dyDescent="0.25">
      <c r="Z51214">
        <v>400000</v>
      </c>
    </row>
    <row r="51215" spans="26:26" x14ac:dyDescent="0.25">
      <c r="Z51215">
        <v>400000</v>
      </c>
    </row>
    <row r="51216" spans="26:26" x14ac:dyDescent="0.25">
      <c r="Z51216">
        <v>400000</v>
      </c>
    </row>
    <row r="51217" spans="26:26" x14ac:dyDescent="0.25">
      <c r="Z51217">
        <v>400000</v>
      </c>
    </row>
    <row r="51218" spans="26:26" x14ac:dyDescent="0.25">
      <c r="Z51218">
        <v>400000</v>
      </c>
    </row>
    <row r="51219" spans="26:26" x14ac:dyDescent="0.25">
      <c r="Z51219">
        <v>400000</v>
      </c>
    </row>
    <row r="51220" spans="26:26" x14ac:dyDescent="0.25">
      <c r="Z51220">
        <v>400000</v>
      </c>
    </row>
    <row r="51221" spans="26:26" x14ac:dyDescent="0.25">
      <c r="Z51221">
        <v>400000</v>
      </c>
    </row>
    <row r="51222" spans="26:26" x14ac:dyDescent="0.25">
      <c r="Z51222">
        <v>400000</v>
      </c>
    </row>
    <row r="51223" spans="26:26" x14ac:dyDescent="0.25">
      <c r="Z51223">
        <v>400000</v>
      </c>
    </row>
    <row r="51224" spans="26:26" x14ac:dyDescent="0.25">
      <c r="Z51224">
        <v>400000</v>
      </c>
    </row>
    <row r="51225" spans="26:26" x14ac:dyDescent="0.25">
      <c r="Z51225">
        <v>400000</v>
      </c>
    </row>
    <row r="51226" spans="26:26" x14ac:dyDescent="0.25">
      <c r="Z51226">
        <v>400000</v>
      </c>
    </row>
    <row r="51227" spans="26:26" x14ac:dyDescent="0.25">
      <c r="Z51227">
        <v>400000</v>
      </c>
    </row>
    <row r="51228" spans="26:26" x14ac:dyDescent="0.25">
      <c r="Z51228">
        <v>400000</v>
      </c>
    </row>
    <row r="51229" spans="26:26" x14ac:dyDescent="0.25">
      <c r="Z51229">
        <v>400000</v>
      </c>
    </row>
    <row r="51230" spans="26:26" x14ac:dyDescent="0.25">
      <c r="Z51230">
        <v>400000</v>
      </c>
    </row>
    <row r="51231" spans="26:26" x14ac:dyDescent="0.25">
      <c r="Z51231">
        <v>400000</v>
      </c>
    </row>
    <row r="51232" spans="26:26" x14ac:dyDescent="0.25">
      <c r="Z51232">
        <v>400000</v>
      </c>
    </row>
    <row r="51233" spans="26:26" x14ac:dyDescent="0.25">
      <c r="Z51233">
        <v>400000</v>
      </c>
    </row>
    <row r="51234" spans="26:26" x14ac:dyDescent="0.25">
      <c r="Z51234">
        <v>400000</v>
      </c>
    </row>
    <row r="51235" spans="26:26" x14ac:dyDescent="0.25">
      <c r="Z51235">
        <v>400000</v>
      </c>
    </row>
    <row r="51236" spans="26:26" x14ac:dyDescent="0.25">
      <c r="Z51236">
        <v>400000</v>
      </c>
    </row>
    <row r="51237" spans="26:26" x14ac:dyDescent="0.25">
      <c r="Z51237">
        <v>400000</v>
      </c>
    </row>
    <row r="51238" spans="26:26" x14ac:dyDescent="0.25">
      <c r="Z51238">
        <v>400000</v>
      </c>
    </row>
    <row r="51239" spans="26:26" x14ac:dyDescent="0.25">
      <c r="Z51239">
        <v>400000</v>
      </c>
    </row>
    <row r="51240" spans="26:26" x14ac:dyDescent="0.25">
      <c r="Z51240">
        <v>400000</v>
      </c>
    </row>
    <row r="51241" spans="26:26" x14ac:dyDescent="0.25">
      <c r="Z51241">
        <v>400000</v>
      </c>
    </row>
    <row r="51242" spans="26:26" x14ac:dyDescent="0.25">
      <c r="Z51242">
        <v>400000</v>
      </c>
    </row>
    <row r="51243" spans="26:26" x14ac:dyDescent="0.25">
      <c r="Z51243">
        <v>400000</v>
      </c>
    </row>
    <row r="51244" spans="26:26" x14ac:dyDescent="0.25">
      <c r="Z51244">
        <v>400000</v>
      </c>
    </row>
    <row r="51245" spans="26:26" x14ac:dyDescent="0.25">
      <c r="Z51245">
        <v>400000</v>
      </c>
    </row>
    <row r="51246" spans="26:26" x14ac:dyDescent="0.25">
      <c r="Z51246">
        <v>400000</v>
      </c>
    </row>
    <row r="51247" spans="26:26" x14ac:dyDescent="0.25">
      <c r="Z51247">
        <v>400000</v>
      </c>
    </row>
    <row r="51248" spans="26:26" x14ac:dyDescent="0.25">
      <c r="Z51248">
        <v>400000</v>
      </c>
    </row>
    <row r="51249" spans="26:26" x14ac:dyDescent="0.25">
      <c r="Z51249">
        <v>400000</v>
      </c>
    </row>
    <row r="51250" spans="26:26" x14ac:dyDescent="0.25">
      <c r="Z51250">
        <v>400000</v>
      </c>
    </row>
    <row r="51251" spans="26:26" x14ac:dyDescent="0.25">
      <c r="Z51251">
        <v>400000</v>
      </c>
    </row>
    <row r="51252" spans="26:26" x14ac:dyDescent="0.25">
      <c r="Z51252">
        <v>400000</v>
      </c>
    </row>
    <row r="51253" spans="26:26" x14ac:dyDescent="0.25">
      <c r="Z51253">
        <v>400000</v>
      </c>
    </row>
    <row r="51254" spans="26:26" x14ac:dyDescent="0.25">
      <c r="Z51254">
        <v>400000</v>
      </c>
    </row>
    <row r="51255" spans="26:26" x14ac:dyDescent="0.25">
      <c r="Z51255">
        <v>400000</v>
      </c>
    </row>
    <row r="51256" spans="26:26" x14ac:dyDescent="0.25">
      <c r="Z51256">
        <v>400000</v>
      </c>
    </row>
    <row r="51257" spans="26:26" x14ac:dyDescent="0.25">
      <c r="Z51257">
        <v>400000</v>
      </c>
    </row>
    <row r="51258" spans="26:26" x14ac:dyDescent="0.25">
      <c r="Z51258">
        <v>400000</v>
      </c>
    </row>
    <row r="51259" spans="26:26" x14ac:dyDescent="0.25">
      <c r="Z51259">
        <v>400000</v>
      </c>
    </row>
    <row r="51260" spans="26:26" x14ac:dyDescent="0.25">
      <c r="Z51260">
        <v>400000</v>
      </c>
    </row>
    <row r="51261" spans="26:26" x14ac:dyDescent="0.25">
      <c r="Z51261">
        <v>400000</v>
      </c>
    </row>
    <row r="51262" spans="26:26" x14ac:dyDescent="0.25">
      <c r="Z51262">
        <v>400000</v>
      </c>
    </row>
    <row r="51263" spans="26:26" x14ac:dyDescent="0.25">
      <c r="Z51263">
        <v>400000</v>
      </c>
    </row>
    <row r="51264" spans="26:26" x14ac:dyDescent="0.25">
      <c r="Z51264">
        <v>400000</v>
      </c>
    </row>
    <row r="51265" spans="26:26" x14ac:dyDescent="0.25">
      <c r="Z51265">
        <v>400000</v>
      </c>
    </row>
    <row r="51266" spans="26:26" x14ac:dyDescent="0.25">
      <c r="Z51266">
        <v>400000</v>
      </c>
    </row>
    <row r="51267" spans="26:26" x14ac:dyDescent="0.25">
      <c r="Z51267">
        <v>400000</v>
      </c>
    </row>
    <row r="51268" spans="26:26" x14ac:dyDescent="0.25">
      <c r="Z51268">
        <v>400000</v>
      </c>
    </row>
    <row r="51269" spans="26:26" x14ac:dyDescent="0.25">
      <c r="Z51269">
        <v>400000</v>
      </c>
    </row>
    <row r="51270" spans="26:26" x14ac:dyDescent="0.25">
      <c r="Z51270">
        <v>400000</v>
      </c>
    </row>
    <row r="51271" spans="26:26" x14ac:dyDescent="0.25">
      <c r="Z51271">
        <v>400000</v>
      </c>
    </row>
    <row r="51272" spans="26:26" x14ac:dyDescent="0.25">
      <c r="Z51272">
        <v>400000</v>
      </c>
    </row>
    <row r="51273" spans="26:26" x14ac:dyDescent="0.25">
      <c r="Z51273">
        <v>400000</v>
      </c>
    </row>
    <row r="51274" spans="26:26" x14ac:dyDescent="0.25">
      <c r="Z51274">
        <v>400000</v>
      </c>
    </row>
    <row r="51275" spans="26:26" x14ac:dyDescent="0.25">
      <c r="Z51275">
        <v>400000</v>
      </c>
    </row>
    <row r="51276" spans="26:26" x14ac:dyDescent="0.25">
      <c r="Z51276">
        <v>400000</v>
      </c>
    </row>
    <row r="51277" spans="26:26" x14ac:dyDescent="0.25">
      <c r="Z51277">
        <v>400000</v>
      </c>
    </row>
    <row r="51278" spans="26:26" x14ac:dyDescent="0.25">
      <c r="Z51278">
        <v>400000</v>
      </c>
    </row>
    <row r="51279" spans="26:26" x14ac:dyDescent="0.25">
      <c r="Z51279">
        <v>400000</v>
      </c>
    </row>
    <row r="51280" spans="26:26" x14ac:dyDescent="0.25">
      <c r="Z51280">
        <v>400000</v>
      </c>
    </row>
    <row r="51281" spans="26:26" x14ac:dyDescent="0.25">
      <c r="Z51281">
        <v>400000</v>
      </c>
    </row>
    <row r="51282" spans="26:26" x14ac:dyDescent="0.25">
      <c r="Z51282">
        <v>400000</v>
      </c>
    </row>
    <row r="51283" spans="26:26" x14ac:dyDescent="0.25">
      <c r="Z51283">
        <v>400000</v>
      </c>
    </row>
    <row r="51284" spans="26:26" x14ac:dyDescent="0.25">
      <c r="Z51284">
        <v>400000</v>
      </c>
    </row>
    <row r="51285" spans="26:26" x14ac:dyDescent="0.25">
      <c r="Z51285">
        <v>400000</v>
      </c>
    </row>
    <row r="51286" spans="26:26" x14ac:dyDescent="0.25">
      <c r="Z51286">
        <v>400000</v>
      </c>
    </row>
    <row r="51287" spans="26:26" x14ac:dyDescent="0.25">
      <c r="Z51287">
        <v>400000</v>
      </c>
    </row>
    <row r="51288" spans="26:26" x14ac:dyDescent="0.25">
      <c r="Z51288">
        <v>400000</v>
      </c>
    </row>
    <row r="51289" spans="26:26" x14ac:dyDescent="0.25">
      <c r="Z51289">
        <v>400000</v>
      </c>
    </row>
    <row r="51290" spans="26:26" x14ac:dyDescent="0.25">
      <c r="Z51290">
        <v>400000</v>
      </c>
    </row>
    <row r="51291" spans="26:26" x14ac:dyDescent="0.25">
      <c r="Z51291">
        <v>400000</v>
      </c>
    </row>
    <row r="51292" spans="26:26" x14ac:dyDescent="0.25">
      <c r="Z51292">
        <v>400000</v>
      </c>
    </row>
    <row r="51293" spans="26:26" x14ac:dyDescent="0.25">
      <c r="Z51293">
        <v>400000</v>
      </c>
    </row>
    <row r="51294" spans="26:26" x14ac:dyDescent="0.25">
      <c r="Z51294">
        <v>400000</v>
      </c>
    </row>
    <row r="51295" spans="26:26" x14ac:dyDescent="0.25">
      <c r="Z51295">
        <v>400000</v>
      </c>
    </row>
    <row r="51296" spans="26:26" x14ac:dyDescent="0.25">
      <c r="Z51296">
        <v>400000</v>
      </c>
    </row>
    <row r="51297" spans="26:26" x14ac:dyDescent="0.25">
      <c r="Z51297">
        <v>400000</v>
      </c>
    </row>
    <row r="51298" spans="26:26" x14ac:dyDescent="0.25">
      <c r="Z51298">
        <v>400000</v>
      </c>
    </row>
    <row r="51299" spans="26:26" x14ac:dyDescent="0.25">
      <c r="Z51299">
        <v>400000</v>
      </c>
    </row>
    <row r="51300" spans="26:26" x14ac:dyDescent="0.25">
      <c r="Z51300">
        <v>400000</v>
      </c>
    </row>
    <row r="51301" spans="26:26" x14ac:dyDescent="0.25">
      <c r="Z51301">
        <v>400000</v>
      </c>
    </row>
    <row r="51302" spans="26:26" x14ac:dyDescent="0.25">
      <c r="Z51302">
        <v>400000</v>
      </c>
    </row>
    <row r="51303" spans="26:26" x14ac:dyDescent="0.25">
      <c r="Z51303">
        <v>400000</v>
      </c>
    </row>
    <row r="51304" spans="26:26" x14ac:dyDescent="0.25">
      <c r="Z51304">
        <v>400000</v>
      </c>
    </row>
    <row r="51305" spans="26:26" x14ac:dyDescent="0.25">
      <c r="Z51305">
        <v>400000</v>
      </c>
    </row>
    <row r="51306" spans="26:26" x14ac:dyDescent="0.25">
      <c r="Z51306">
        <v>400000</v>
      </c>
    </row>
    <row r="51307" spans="26:26" x14ac:dyDescent="0.25">
      <c r="Z51307">
        <v>400000</v>
      </c>
    </row>
    <row r="51308" spans="26:26" x14ac:dyDescent="0.25">
      <c r="Z51308">
        <v>400000</v>
      </c>
    </row>
    <row r="51309" spans="26:26" x14ac:dyDescent="0.25">
      <c r="Z51309">
        <v>400000</v>
      </c>
    </row>
    <row r="51310" spans="26:26" x14ac:dyDescent="0.25">
      <c r="Z51310">
        <v>400000</v>
      </c>
    </row>
    <row r="51311" spans="26:26" x14ac:dyDescent="0.25">
      <c r="Z51311">
        <v>400000</v>
      </c>
    </row>
    <row r="51312" spans="26:26" x14ac:dyDescent="0.25">
      <c r="Z51312">
        <v>400000</v>
      </c>
    </row>
    <row r="51313" spans="26:26" x14ac:dyDescent="0.25">
      <c r="Z51313">
        <v>400000</v>
      </c>
    </row>
    <row r="51314" spans="26:26" x14ac:dyDescent="0.25">
      <c r="Z51314">
        <v>400000</v>
      </c>
    </row>
    <row r="51315" spans="26:26" x14ac:dyDescent="0.25">
      <c r="Z51315">
        <v>400000</v>
      </c>
    </row>
    <row r="51316" spans="26:26" x14ac:dyDescent="0.25">
      <c r="Z51316">
        <v>400000</v>
      </c>
    </row>
    <row r="51317" spans="26:26" x14ac:dyDescent="0.25">
      <c r="Z51317">
        <v>400000</v>
      </c>
    </row>
    <row r="51318" spans="26:26" x14ac:dyDescent="0.25">
      <c r="Z51318">
        <v>400000</v>
      </c>
    </row>
    <row r="51319" spans="26:26" x14ac:dyDescent="0.25">
      <c r="Z51319">
        <v>400000</v>
      </c>
    </row>
    <row r="51320" spans="26:26" x14ac:dyDescent="0.25">
      <c r="Z51320">
        <v>400000</v>
      </c>
    </row>
    <row r="51321" spans="26:26" x14ac:dyDescent="0.25">
      <c r="Z51321">
        <v>400000</v>
      </c>
    </row>
    <row r="51322" spans="26:26" x14ac:dyDescent="0.25">
      <c r="Z51322">
        <v>400000</v>
      </c>
    </row>
    <row r="51323" spans="26:26" x14ac:dyDescent="0.25">
      <c r="Z51323">
        <v>400000</v>
      </c>
    </row>
    <row r="51324" spans="26:26" x14ac:dyDescent="0.25">
      <c r="Z51324">
        <v>400000</v>
      </c>
    </row>
    <row r="51325" spans="26:26" x14ac:dyDescent="0.25">
      <c r="Z51325">
        <v>400000</v>
      </c>
    </row>
    <row r="51326" spans="26:26" x14ac:dyDescent="0.25">
      <c r="Z51326">
        <v>400000</v>
      </c>
    </row>
    <row r="51327" spans="26:26" x14ac:dyDescent="0.25">
      <c r="Z51327">
        <v>400000</v>
      </c>
    </row>
    <row r="51328" spans="26:26" x14ac:dyDescent="0.25">
      <c r="Z51328">
        <v>400000</v>
      </c>
    </row>
    <row r="51329" spans="26:26" x14ac:dyDescent="0.25">
      <c r="Z51329">
        <v>400000</v>
      </c>
    </row>
    <row r="51330" spans="26:26" x14ac:dyDescent="0.25">
      <c r="Z51330">
        <v>400000</v>
      </c>
    </row>
    <row r="51331" spans="26:26" x14ac:dyDescent="0.25">
      <c r="Z51331">
        <v>400000</v>
      </c>
    </row>
    <row r="51332" spans="26:26" x14ac:dyDescent="0.25">
      <c r="Z51332">
        <v>400000</v>
      </c>
    </row>
    <row r="51333" spans="26:26" x14ac:dyDescent="0.25">
      <c r="Z51333">
        <v>400000</v>
      </c>
    </row>
    <row r="51334" spans="26:26" x14ac:dyDescent="0.25">
      <c r="Z51334">
        <v>400000</v>
      </c>
    </row>
    <row r="51335" spans="26:26" x14ac:dyDescent="0.25">
      <c r="Z51335">
        <v>400000</v>
      </c>
    </row>
    <row r="51336" spans="26:26" x14ac:dyDescent="0.25">
      <c r="Z51336">
        <v>400000</v>
      </c>
    </row>
    <row r="51337" spans="26:26" x14ac:dyDescent="0.25">
      <c r="Z51337">
        <v>400000</v>
      </c>
    </row>
    <row r="51338" spans="26:26" x14ac:dyDescent="0.25">
      <c r="Z51338">
        <v>400000</v>
      </c>
    </row>
    <row r="51339" spans="26:26" x14ac:dyDescent="0.25">
      <c r="Z51339">
        <v>400000</v>
      </c>
    </row>
    <row r="51340" spans="26:26" x14ac:dyDescent="0.25">
      <c r="Z51340">
        <v>400000</v>
      </c>
    </row>
    <row r="51341" spans="26:26" x14ac:dyDescent="0.25">
      <c r="Z51341">
        <v>400000</v>
      </c>
    </row>
    <row r="51342" spans="26:26" x14ac:dyDescent="0.25">
      <c r="Z51342">
        <v>400000</v>
      </c>
    </row>
    <row r="51343" spans="26:26" x14ac:dyDescent="0.25">
      <c r="Z51343">
        <v>400000</v>
      </c>
    </row>
    <row r="51344" spans="26:26" x14ac:dyDescent="0.25">
      <c r="Z51344">
        <v>400000</v>
      </c>
    </row>
    <row r="51345" spans="26:26" x14ac:dyDescent="0.25">
      <c r="Z51345">
        <v>400000</v>
      </c>
    </row>
    <row r="51346" spans="26:26" x14ac:dyDescent="0.25">
      <c r="Z51346">
        <v>400000</v>
      </c>
    </row>
    <row r="51347" spans="26:26" x14ac:dyDescent="0.25">
      <c r="Z51347">
        <v>400000</v>
      </c>
    </row>
    <row r="51348" spans="26:26" x14ac:dyDescent="0.25">
      <c r="Z51348">
        <v>400000</v>
      </c>
    </row>
    <row r="51349" spans="26:26" x14ac:dyDescent="0.25">
      <c r="Z51349">
        <v>400000</v>
      </c>
    </row>
    <row r="51350" spans="26:26" x14ac:dyDescent="0.25">
      <c r="Z51350">
        <v>400000</v>
      </c>
    </row>
    <row r="51351" spans="26:26" x14ac:dyDescent="0.25">
      <c r="Z51351">
        <v>400000</v>
      </c>
    </row>
    <row r="51352" spans="26:26" x14ac:dyDescent="0.25">
      <c r="Z51352">
        <v>400000</v>
      </c>
    </row>
    <row r="51353" spans="26:26" x14ac:dyDescent="0.25">
      <c r="Z51353">
        <v>400000</v>
      </c>
    </row>
    <row r="51354" spans="26:26" x14ac:dyDescent="0.25">
      <c r="Z51354">
        <v>400000</v>
      </c>
    </row>
    <row r="51355" spans="26:26" x14ac:dyDescent="0.25">
      <c r="Z51355">
        <v>400000</v>
      </c>
    </row>
    <row r="51356" spans="26:26" x14ac:dyDescent="0.25">
      <c r="Z51356">
        <v>400000</v>
      </c>
    </row>
    <row r="51357" spans="26:26" x14ac:dyDescent="0.25">
      <c r="Z51357">
        <v>400000</v>
      </c>
    </row>
    <row r="51358" spans="26:26" x14ac:dyDescent="0.25">
      <c r="Z51358">
        <v>400000</v>
      </c>
    </row>
    <row r="51359" spans="26:26" x14ac:dyDescent="0.25">
      <c r="Z51359">
        <v>400000</v>
      </c>
    </row>
    <row r="51360" spans="26:26" x14ac:dyDescent="0.25">
      <c r="Z51360">
        <v>400000</v>
      </c>
    </row>
    <row r="51361" spans="26:26" x14ac:dyDescent="0.25">
      <c r="Z51361">
        <v>400000</v>
      </c>
    </row>
    <row r="51362" spans="26:26" x14ac:dyDescent="0.25">
      <c r="Z51362">
        <v>400000</v>
      </c>
    </row>
    <row r="51363" spans="26:26" x14ac:dyDescent="0.25">
      <c r="Z51363">
        <v>400000</v>
      </c>
    </row>
    <row r="51364" spans="26:26" x14ac:dyDescent="0.25">
      <c r="Z51364">
        <v>400000</v>
      </c>
    </row>
    <row r="51365" spans="26:26" x14ac:dyDescent="0.25">
      <c r="Z51365">
        <v>400000</v>
      </c>
    </row>
    <row r="51366" spans="26:26" x14ac:dyDescent="0.25">
      <c r="Z51366">
        <v>400000</v>
      </c>
    </row>
    <row r="51367" spans="26:26" x14ac:dyDescent="0.25">
      <c r="Z51367">
        <v>400000</v>
      </c>
    </row>
    <row r="51368" spans="26:26" x14ac:dyDescent="0.25">
      <c r="Z51368">
        <v>400000</v>
      </c>
    </row>
    <row r="51369" spans="26:26" x14ac:dyDescent="0.25">
      <c r="Z51369">
        <v>400000</v>
      </c>
    </row>
    <row r="51370" spans="26:26" x14ac:dyDescent="0.25">
      <c r="Z51370">
        <v>400000</v>
      </c>
    </row>
    <row r="51371" spans="26:26" x14ac:dyDescent="0.25">
      <c r="Z51371">
        <v>400000</v>
      </c>
    </row>
    <row r="51372" spans="26:26" x14ac:dyDescent="0.25">
      <c r="Z51372">
        <v>400000</v>
      </c>
    </row>
    <row r="51373" spans="26:26" x14ac:dyDescent="0.25">
      <c r="Z51373">
        <v>400000</v>
      </c>
    </row>
    <row r="51374" spans="26:26" x14ac:dyDescent="0.25">
      <c r="Z51374">
        <v>400000</v>
      </c>
    </row>
    <row r="51375" spans="26:26" x14ac:dyDescent="0.25">
      <c r="Z51375">
        <v>400000</v>
      </c>
    </row>
    <row r="51376" spans="26:26" x14ac:dyDescent="0.25">
      <c r="Z51376">
        <v>400000</v>
      </c>
    </row>
    <row r="51377" spans="26:26" x14ac:dyDescent="0.25">
      <c r="Z51377">
        <v>400000</v>
      </c>
    </row>
    <row r="51378" spans="26:26" x14ac:dyDescent="0.25">
      <c r="Z51378">
        <v>400000</v>
      </c>
    </row>
    <row r="51379" spans="26:26" x14ac:dyDescent="0.25">
      <c r="Z51379">
        <v>400000</v>
      </c>
    </row>
    <row r="51380" spans="26:26" x14ac:dyDescent="0.25">
      <c r="Z51380">
        <v>400000</v>
      </c>
    </row>
    <row r="51381" spans="26:26" x14ac:dyDescent="0.25">
      <c r="Z51381">
        <v>400000</v>
      </c>
    </row>
    <row r="51382" spans="26:26" x14ac:dyDescent="0.25">
      <c r="Z51382">
        <v>400000</v>
      </c>
    </row>
    <row r="51383" spans="26:26" x14ac:dyDescent="0.25">
      <c r="Z51383">
        <v>400000</v>
      </c>
    </row>
    <row r="51384" spans="26:26" x14ac:dyDescent="0.25">
      <c r="Z51384">
        <v>400000</v>
      </c>
    </row>
    <row r="51385" spans="26:26" x14ac:dyDescent="0.25">
      <c r="Z51385">
        <v>400000</v>
      </c>
    </row>
    <row r="51386" spans="26:26" x14ac:dyDescent="0.25">
      <c r="Z51386">
        <v>400000</v>
      </c>
    </row>
    <row r="51387" spans="26:26" x14ac:dyDescent="0.25">
      <c r="Z51387">
        <v>400000</v>
      </c>
    </row>
    <row r="51388" spans="26:26" x14ac:dyDescent="0.25">
      <c r="Z51388">
        <v>400000</v>
      </c>
    </row>
    <row r="51389" spans="26:26" x14ac:dyDescent="0.25">
      <c r="Z51389">
        <v>400000</v>
      </c>
    </row>
    <row r="51390" spans="26:26" x14ac:dyDescent="0.25">
      <c r="Z51390">
        <v>400000</v>
      </c>
    </row>
    <row r="51391" spans="26:26" x14ac:dyDescent="0.25">
      <c r="Z51391">
        <v>400000</v>
      </c>
    </row>
    <row r="51392" spans="26:26" x14ac:dyDescent="0.25">
      <c r="Z51392">
        <v>400000</v>
      </c>
    </row>
    <row r="51393" spans="26:26" x14ac:dyDescent="0.25">
      <c r="Z51393">
        <v>400000</v>
      </c>
    </row>
    <row r="51394" spans="26:26" x14ac:dyDescent="0.25">
      <c r="Z51394">
        <v>400000</v>
      </c>
    </row>
    <row r="51395" spans="26:26" x14ac:dyDescent="0.25">
      <c r="Z51395">
        <v>400000</v>
      </c>
    </row>
    <row r="51396" spans="26:26" x14ac:dyDescent="0.25">
      <c r="Z51396">
        <v>400000</v>
      </c>
    </row>
    <row r="51397" spans="26:26" x14ac:dyDescent="0.25">
      <c r="Z51397">
        <v>400000</v>
      </c>
    </row>
    <row r="51398" spans="26:26" x14ac:dyDescent="0.25">
      <c r="Z51398">
        <v>400000</v>
      </c>
    </row>
    <row r="51399" spans="26:26" x14ac:dyDescent="0.25">
      <c r="Z51399">
        <v>400000</v>
      </c>
    </row>
    <row r="51400" spans="26:26" x14ac:dyDescent="0.25">
      <c r="Z51400">
        <v>400000</v>
      </c>
    </row>
    <row r="51401" spans="26:26" x14ac:dyDescent="0.25">
      <c r="Z51401">
        <v>400000</v>
      </c>
    </row>
    <row r="51402" spans="26:26" x14ac:dyDescent="0.25">
      <c r="Z51402">
        <v>400000</v>
      </c>
    </row>
    <row r="51403" spans="26:26" x14ac:dyDescent="0.25">
      <c r="Z51403">
        <v>400000</v>
      </c>
    </row>
    <row r="51404" spans="26:26" x14ac:dyDescent="0.25">
      <c r="Z51404">
        <v>400000</v>
      </c>
    </row>
    <row r="51405" spans="26:26" x14ac:dyDescent="0.25">
      <c r="Z51405">
        <v>400000</v>
      </c>
    </row>
    <row r="51406" spans="26:26" x14ac:dyDescent="0.25">
      <c r="Z51406">
        <v>400000</v>
      </c>
    </row>
    <row r="51407" spans="26:26" x14ac:dyDescent="0.25">
      <c r="Z51407">
        <v>400000</v>
      </c>
    </row>
    <row r="51408" spans="26:26" x14ac:dyDescent="0.25">
      <c r="Z51408">
        <v>400000</v>
      </c>
    </row>
    <row r="51409" spans="26:26" x14ac:dyDescent="0.25">
      <c r="Z51409">
        <v>400000</v>
      </c>
    </row>
    <row r="51410" spans="26:26" x14ac:dyDescent="0.25">
      <c r="Z51410">
        <v>400000</v>
      </c>
    </row>
    <row r="51411" spans="26:26" x14ac:dyDescent="0.25">
      <c r="Z51411">
        <v>400000</v>
      </c>
    </row>
    <row r="51412" spans="26:26" x14ac:dyDescent="0.25">
      <c r="Z51412">
        <v>400000</v>
      </c>
    </row>
    <row r="51413" spans="26:26" x14ac:dyDescent="0.25">
      <c r="Z51413">
        <v>400000</v>
      </c>
    </row>
    <row r="51414" spans="26:26" x14ac:dyDescent="0.25">
      <c r="Z51414">
        <v>400000</v>
      </c>
    </row>
    <row r="51415" spans="26:26" x14ac:dyDescent="0.25">
      <c r="Z51415">
        <v>400000</v>
      </c>
    </row>
    <row r="51416" spans="26:26" x14ac:dyDescent="0.25">
      <c r="Z51416">
        <v>400000</v>
      </c>
    </row>
    <row r="51417" spans="26:26" x14ac:dyDescent="0.25">
      <c r="Z51417">
        <v>400000</v>
      </c>
    </row>
    <row r="51418" spans="26:26" x14ac:dyDescent="0.25">
      <c r="Z51418">
        <v>400000</v>
      </c>
    </row>
    <row r="51419" spans="26:26" x14ac:dyDescent="0.25">
      <c r="Z51419">
        <v>400000</v>
      </c>
    </row>
    <row r="51420" spans="26:26" x14ac:dyDescent="0.25">
      <c r="Z51420">
        <v>400000</v>
      </c>
    </row>
    <row r="51421" spans="26:26" x14ac:dyDescent="0.25">
      <c r="Z51421">
        <v>400000</v>
      </c>
    </row>
    <row r="51422" spans="26:26" x14ac:dyDescent="0.25">
      <c r="Z51422">
        <v>400000</v>
      </c>
    </row>
    <row r="51423" spans="26:26" x14ac:dyDescent="0.25">
      <c r="Z51423">
        <v>400000</v>
      </c>
    </row>
    <row r="51424" spans="26:26" x14ac:dyDescent="0.25">
      <c r="Z51424">
        <v>400000</v>
      </c>
    </row>
    <row r="51425" spans="26:26" x14ac:dyDescent="0.25">
      <c r="Z51425">
        <v>400000</v>
      </c>
    </row>
    <row r="51426" spans="26:26" x14ac:dyDescent="0.25">
      <c r="Z51426">
        <v>400000</v>
      </c>
    </row>
    <row r="51427" spans="26:26" x14ac:dyDescent="0.25">
      <c r="Z51427">
        <v>400000</v>
      </c>
    </row>
    <row r="51428" spans="26:26" x14ac:dyDescent="0.25">
      <c r="Z51428">
        <v>400000</v>
      </c>
    </row>
    <row r="51429" spans="26:26" x14ac:dyDescent="0.25">
      <c r="Z51429">
        <v>400000</v>
      </c>
    </row>
    <row r="51430" spans="26:26" x14ac:dyDescent="0.25">
      <c r="Z51430">
        <v>400000</v>
      </c>
    </row>
    <row r="51431" spans="26:26" x14ac:dyDescent="0.25">
      <c r="Z51431">
        <v>400000</v>
      </c>
    </row>
    <row r="51432" spans="26:26" x14ac:dyDescent="0.25">
      <c r="Z51432">
        <v>400000</v>
      </c>
    </row>
    <row r="51433" spans="26:26" x14ac:dyDescent="0.25">
      <c r="Z51433">
        <v>400000</v>
      </c>
    </row>
    <row r="51434" spans="26:26" x14ac:dyDescent="0.25">
      <c r="Z51434">
        <v>400000</v>
      </c>
    </row>
    <row r="51435" spans="26:26" x14ac:dyDescent="0.25">
      <c r="Z51435">
        <v>400000</v>
      </c>
    </row>
    <row r="51436" spans="26:26" x14ac:dyDescent="0.25">
      <c r="Z51436">
        <v>400000</v>
      </c>
    </row>
    <row r="51437" spans="26:26" x14ac:dyDescent="0.25">
      <c r="Z51437">
        <v>400000</v>
      </c>
    </row>
    <row r="51438" spans="26:26" x14ac:dyDescent="0.25">
      <c r="Z51438">
        <v>400000</v>
      </c>
    </row>
    <row r="51439" spans="26:26" x14ac:dyDescent="0.25">
      <c r="Z51439">
        <v>400000</v>
      </c>
    </row>
    <row r="51440" spans="26:26" x14ac:dyDescent="0.25">
      <c r="Z51440">
        <v>400000</v>
      </c>
    </row>
    <row r="51441" spans="26:26" x14ac:dyDescent="0.25">
      <c r="Z51441">
        <v>400000</v>
      </c>
    </row>
    <row r="51442" spans="26:26" x14ac:dyDescent="0.25">
      <c r="Z51442">
        <v>400000</v>
      </c>
    </row>
    <row r="51443" spans="26:26" x14ac:dyDescent="0.25">
      <c r="Z51443">
        <v>400000</v>
      </c>
    </row>
    <row r="51444" spans="26:26" x14ac:dyDescent="0.25">
      <c r="Z51444">
        <v>400000</v>
      </c>
    </row>
    <row r="51445" spans="26:26" x14ac:dyDescent="0.25">
      <c r="Z51445">
        <v>400000</v>
      </c>
    </row>
    <row r="51446" spans="26:26" x14ac:dyDescent="0.25">
      <c r="Z51446">
        <v>400000</v>
      </c>
    </row>
    <row r="51447" spans="26:26" x14ac:dyDescent="0.25">
      <c r="Z51447">
        <v>400000</v>
      </c>
    </row>
    <row r="51448" spans="26:26" x14ac:dyDescent="0.25">
      <c r="Z51448">
        <v>400000</v>
      </c>
    </row>
    <row r="51449" spans="26:26" x14ac:dyDescent="0.25">
      <c r="Z51449">
        <v>400000</v>
      </c>
    </row>
    <row r="51450" spans="26:26" x14ac:dyDescent="0.25">
      <c r="Z51450">
        <v>400000</v>
      </c>
    </row>
    <row r="51451" spans="26:26" x14ac:dyDescent="0.25">
      <c r="Z51451">
        <v>400000</v>
      </c>
    </row>
    <row r="51452" spans="26:26" x14ac:dyDescent="0.25">
      <c r="Z51452">
        <v>400000</v>
      </c>
    </row>
    <row r="51453" spans="26:26" x14ac:dyDescent="0.25">
      <c r="Z51453">
        <v>400000</v>
      </c>
    </row>
    <row r="51454" spans="26:26" x14ac:dyDescent="0.25">
      <c r="Z51454">
        <v>400000</v>
      </c>
    </row>
    <row r="51455" spans="26:26" x14ac:dyDescent="0.25">
      <c r="Z51455">
        <v>400000</v>
      </c>
    </row>
    <row r="51456" spans="26:26" x14ac:dyDescent="0.25">
      <c r="Z51456">
        <v>400000</v>
      </c>
    </row>
    <row r="51457" spans="26:26" x14ac:dyDescent="0.25">
      <c r="Z51457">
        <v>400000</v>
      </c>
    </row>
    <row r="51458" spans="26:26" x14ac:dyDescent="0.25">
      <c r="Z51458">
        <v>400000</v>
      </c>
    </row>
    <row r="51459" spans="26:26" x14ac:dyDescent="0.25">
      <c r="Z51459">
        <v>400000</v>
      </c>
    </row>
    <row r="51460" spans="26:26" x14ac:dyDescent="0.25">
      <c r="Z51460">
        <v>400000</v>
      </c>
    </row>
    <row r="51461" spans="26:26" x14ac:dyDescent="0.25">
      <c r="Z51461">
        <v>400000</v>
      </c>
    </row>
    <row r="51462" spans="26:26" x14ac:dyDescent="0.25">
      <c r="Z51462">
        <v>400000</v>
      </c>
    </row>
    <row r="51463" spans="26:26" x14ac:dyDescent="0.25">
      <c r="Z51463">
        <v>400000</v>
      </c>
    </row>
    <row r="51464" spans="26:26" x14ac:dyDescent="0.25">
      <c r="Z51464">
        <v>400000</v>
      </c>
    </row>
    <row r="51465" spans="26:26" x14ac:dyDescent="0.25">
      <c r="Z51465">
        <v>400000</v>
      </c>
    </row>
    <row r="51466" spans="26:26" x14ac:dyDescent="0.25">
      <c r="Z51466">
        <v>400000</v>
      </c>
    </row>
    <row r="51467" spans="26:26" x14ac:dyDescent="0.25">
      <c r="Z51467">
        <v>400000</v>
      </c>
    </row>
    <row r="51468" spans="26:26" x14ac:dyDescent="0.25">
      <c r="Z51468">
        <v>400000</v>
      </c>
    </row>
    <row r="51469" spans="26:26" x14ac:dyDescent="0.25">
      <c r="Z51469">
        <v>400000</v>
      </c>
    </row>
    <row r="51470" spans="26:26" x14ac:dyDescent="0.25">
      <c r="Z51470">
        <v>400000</v>
      </c>
    </row>
    <row r="51471" spans="26:26" x14ac:dyDescent="0.25">
      <c r="Z51471">
        <v>400000</v>
      </c>
    </row>
    <row r="51472" spans="26:26" x14ac:dyDescent="0.25">
      <c r="Z51472">
        <v>400000</v>
      </c>
    </row>
    <row r="51473" spans="26:26" x14ac:dyDescent="0.25">
      <c r="Z51473">
        <v>400000</v>
      </c>
    </row>
    <row r="51474" spans="26:26" x14ac:dyDescent="0.25">
      <c r="Z51474">
        <v>400000</v>
      </c>
    </row>
    <row r="51475" spans="26:26" x14ac:dyDescent="0.25">
      <c r="Z51475">
        <v>400000</v>
      </c>
    </row>
    <row r="51476" spans="26:26" x14ac:dyDescent="0.25">
      <c r="Z51476">
        <v>400000</v>
      </c>
    </row>
    <row r="51477" spans="26:26" x14ac:dyDescent="0.25">
      <c r="Z51477">
        <v>400000</v>
      </c>
    </row>
    <row r="51478" spans="26:26" x14ac:dyDescent="0.25">
      <c r="Z51478">
        <v>400000</v>
      </c>
    </row>
    <row r="51479" spans="26:26" x14ac:dyDescent="0.25">
      <c r="Z51479">
        <v>400000</v>
      </c>
    </row>
    <row r="51480" spans="26:26" x14ac:dyDescent="0.25">
      <c r="Z51480">
        <v>400000</v>
      </c>
    </row>
    <row r="51481" spans="26:26" x14ac:dyDescent="0.25">
      <c r="Z51481">
        <v>400000</v>
      </c>
    </row>
    <row r="51482" spans="26:26" x14ac:dyDescent="0.25">
      <c r="Z51482">
        <v>400000</v>
      </c>
    </row>
    <row r="51483" spans="26:26" x14ac:dyDescent="0.25">
      <c r="Z51483">
        <v>400000</v>
      </c>
    </row>
    <row r="51484" spans="26:26" x14ac:dyDescent="0.25">
      <c r="Z51484">
        <v>400000</v>
      </c>
    </row>
    <row r="51485" spans="26:26" x14ac:dyDescent="0.25">
      <c r="Z51485">
        <v>400000</v>
      </c>
    </row>
    <row r="51486" spans="26:26" x14ac:dyDescent="0.25">
      <c r="Z51486">
        <v>400000</v>
      </c>
    </row>
    <row r="51487" spans="26:26" x14ac:dyDescent="0.25">
      <c r="Z51487">
        <v>400000</v>
      </c>
    </row>
    <row r="51488" spans="26:26" x14ac:dyDescent="0.25">
      <c r="Z51488">
        <v>400000</v>
      </c>
    </row>
    <row r="51489" spans="26:26" x14ac:dyDescent="0.25">
      <c r="Z51489">
        <v>400000</v>
      </c>
    </row>
    <row r="51490" spans="26:26" x14ac:dyDescent="0.25">
      <c r="Z51490">
        <v>400000</v>
      </c>
    </row>
    <row r="51491" spans="26:26" x14ac:dyDescent="0.25">
      <c r="Z51491">
        <v>400000</v>
      </c>
    </row>
    <row r="51492" spans="26:26" x14ac:dyDescent="0.25">
      <c r="Z51492">
        <v>400000</v>
      </c>
    </row>
    <row r="51493" spans="26:26" x14ac:dyDescent="0.25">
      <c r="Z51493">
        <v>400000</v>
      </c>
    </row>
    <row r="51494" spans="26:26" x14ac:dyDescent="0.25">
      <c r="Z51494">
        <v>400000</v>
      </c>
    </row>
    <row r="51495" spans="26:26" x14ac:dyDescent="0.25">
      <c r="Z51495">
        <v>400000</v>
      </c>
    </row>
    <row r="51496" spans="26:26" x14ac:dyDescent="0.25">
      <c r="Z51496">
        <v>400000</v>
      </c>
    </row>
    <row r="51497" spans="26:26" x14ac:dyDescent="0.25">
      <c r="Z51497">
        <v>400000</v>
      </c>
    </row>
    <row r="51498" spans="26:26" x14ac:dyDescent="0.25">
      <c r="Z51498">
        <v>400000</v>
      </c>
    </row>
    <row r="51499" spans="26:26" x14ac:dyDescent="0.25">
      <c r="Z51499">
        <v>400000</v>
      </c>
    </row>
    <row r="51500" spans="26:26" x14ac:dyDescent="0.25">
      <c r="Z51500">
        <v>400000</v>
      </c>
    </row>
    <row r="51501" spans="26:26" x14ac:dyDescent="0.25">
      <c r="Z51501">
        <v>400000</v>
      </c>
    </row>
    <row r="51502" spans="26:26" x14ac:dyDescent="0.25">
      <c r="Z51502">
        <v>400000</v>
      </c>
    </row>
    <row r="51503" spans="26:26" x14ac:dyDescent="0.25">
      <c r="Z51503">
        <v>400000</v>
      </c>
    </row>
    <row r="51504" spans="26:26" x14ac:dyDescent="0.25">
      <c r="Z51504">
        <v>400000</v>
      </c>
    </row>
    <row r="51505" spans="26:26" x14ac:dyDescent="0.25">
      <c r="Z51505">
        <v>400000</v>
      </c>
    </row>
    <row r="51506" spans="26:26" x14ac:dyDescent="0.25">
      <c r="Z51506">
        <v>400000</v>
      </c>
    </row>
    <row r="51507" spans="26:26" x14ac:dyDescent="0.25">
      <c r="Z51507">
        <v>400000</v>
      </c>
    </row>
    <row r="51508" spans="26:26" x14ac:dyDescent="0.25">
      <c r="Z51508">
        <v>400000</v>
      </c>
    </row>
    <row r="51509" spans="26:26" x14ac:dyDescent="0.25">
      <c r="Z51509">
        <v>400000</v>
      </c>
    </row>
    <row r="51510" spans="26:26" x14ac:dyDescent="0.25">
      <c r="Z51510">
        <v>400000</v>
      </c>
    </row>
    <row r="51511" spans="26:26" x14ac:dyDescent="0.25">
      <c r="Z51511">
        <v>400000</v>
      </c>
    </row>
    <row r="51512" spans="26:26" x14ac:dyDescent="0.25">
      <c r="Z51512">
        <v>400000</v>
      </c>
    </row>
    <row r="51513" spans="26:26" x14ac:dyDescent="0.25">
      <c r="Z51513">
        <v>400000</v>
      </c>
    </row>
    <row r="51514" spans="26:26" x14ac:dyDescent="0.25">
      <c r="Z51514">
        <v>400000</v>
      </c>
    </row>
    <row r="51515" spans="26:26" x14ac:dyDescent="0.25">
      <c r="Z51515">
        <v>400000</v>
      </c>
    </row>
    <row r="51516" spans="26:26" x14ac:dyDescent="0.25">
      <c r="Z51516">
        <v>400000</v>
      </c>
    </row>
    <row r="51517" spans="26:26" x14ac:dyDescent="0.25">
      <c r="Z51517">
        <v>400000</v>
      </c>
    </row>
    <row r="51518" spans="26:26" x14ac:dyDescent="0.25">
      <c r="Z51518">
        <v>400000</v>
      </c>
    </row>
    <row r="51519" spans="26:26" x14ac:dyDescent="0.25">
      <c r="Z51519">
        <v>400000</v>
      </c>
    </row>
    <row r="51520" spans="26:26" x14ac:dyDescent="0.25">
      <c r="Z51520">
        <v>400000</v>
      </c>
    </row>
    <row r="51521" spans="26:26" x14ac:dyDescent="0.25">
      <c r="Z51521">
        <v>400000</v>
      </c>
    </row>
    <row r="51522" spans="26:26" x14ac:dyDescent="0.25">
      <c r="Z51522">
        <v>400000</v>
      </c>
    </row>
    <row r="51523" spans="26:26" x14ac:dyDescent="0.25">
      <c r="Z51523">
        <v>400000</v>
      </c>
    </row>
    <row r="51524" spans="26:26" x14ac:dyDescent="0.25">
      <c r="Z51524">
        <v>400000</v>
      </c>
    </row>
    <row r="51525" spans="26:26" x14ac:dyDescent="0.25">
      <c r="Z51525">
        <v>400000</v>
      </c>
    </row>
    <row r="51526" spans="26:26" x14ac:dyDescent="0.25">
      <c r="Z51526">
        <v>400000</v>
      </c>
    </row>
    <row r="51527" spans="26:26" x14ac:dyDescent="0.25">
      <c r="Z51527">
        <v>400000</v>
      </c>
    </row>
    <row r="51528" spans="26:26" x14ac:dyDescent="0.25">
      <c r="Z51528">
        <v>400000</v>
      </c>
    </row>
    <row r="51529" spans="26:26" x14ac:dyDescent="0.25">
      <c r="Z51529">
        <v>400000</v>
      </c>
    </row>
    <row r="51530" spans="26:26" x14ac:dyDescent="0.25">
      <c r="Z51530">
        <v>400000</v>
      </c>
    </row>
    <row r="51531" spans="26:26" x14ac:dyDescent="0.25">
      <c r="Z51531">
        <v>400000</v>
      </c>
    </row>
    <row r="51532" spans="26:26" x14ac:dyDescent="0.25">
      <c r="Z51532">
        <v>400000</v>
      </c>
    </row>
    <row r="51533" spans="26:26" x14ac:dyDescent="0.25">
      <c r="Z51533">
        <v>400000</v>
      </c>
    </row>
    <row r="51534" spans="26:26" x14ac:dyDescent="0.25">
      <c r="Z51534">
        <v>400000</v>
      </c>
    </row>
    <row r="51535" spans="26:26" x14ac:dyDescent="0.25">
      <c r="Z51535">
        <v>400000</v>
      </c>
    </row>
    <row r="51536" spans="26:26" x14ac:dyDescent="0.25">
      <c r="Z51536">
        <v>400000</v>
      </c>
    </row>
    <row r="51537" spans="26:26" x14ac:dyDescent="0.25">
      <c r="Z51537">
        <v>400000</v>
      </c>
    </row>
    <row r="51538" spans="26:26" x14ac:dyDescent="0.25">
      <c r="Z51538">
        <v>400000</v>
      </c>
    </row>
    <row r="51539" spans="26:26" x14ac:dyDescent="0.25">
      <c r="Z51539">
        <v>400000</v>
      </c>
    </row>
    <row r="51540" spans="26:26" x14ac:dyDescent="0.25">
      <c r="Z51540">
        <v>400000</v>
      </c>
    </row>
    <row r="51541" spans="26:26" x14ac:dyDescent="0.25">
      <c r="Z51541">
        <v>400000</v>
      </c>
    </row>
    <row r="51542" spans="26:26" x14ac:dyDescent="0.25">
      <c r="Z51542">
        <v>400000</v>
      </c>
    </row>
    <row r="51543" spans="26:26" x14ac:dyDescent="0.25">
      <c r="Z51543">
        <v>400000</v>
      </c>
    </row>
    <row r="51544" spans="26:26" x14ac:dyDescent="0.25">
      <c r="Z51544">
        <v>400000</v>
      </c>
    </row>
    <row r="51545" spans="26:26" x14ac:dyDescent="0.25">
      <c r="Z51545">
        <v>400000</v>
      </c>
    </row>
    <row r="51546" spans="26:26" x14ac:dyDescent="0.25">
      <c r="Z51546">
        <v>400000</v>
      </c>
    </row>
    <row r="51547" spans="26:26" x14ac:dyDescent="0.25">
      <c r="Z51547">
        <v>400000</v>
      </c>
    </row>
    <row r="51548" spans="26:26" x14ac:dyDescent="0.25">
      <c r="Z51548">
        <v>400000</v>
      </c>
    </row>
    <row r="51549" spans="26:26" x14ac:dyDescent="0.25">
      <c r="Z51549">
        <v>400000</v>
      </c>
    </row>
    <row r="51550" spans="26:26" x14ac:dyDescent="0.25">
      <c r="Z51550">
        <v>400000</v>
      </c>
    </row>
    <row r="51551" spans="26:26" x14ac:dyDescent="0.25">
      <c r="Z51551">
        <v>400000</v>
      </c>
    </row>
    <row r="51552" spans="26:26" x14ac:dyDescent="0.25">
      <c r="Z51552">
        <v>400000</v>
      </c>
    </row>
    <row r="51553" spans="26:26" x14ac:dyDescent="0.25">
      <c r="Z51553">
        <v>400000</v>
      </c>
    </row>
    <row r="51554" spans="26:26" x14ac:dyDescent="0.25">
      <c r="Z51554">
        <v>400000</v>
      </c>
    </row>
    <row r="51555" spans="26:26" x14ac:dyDescent="0.25">
      <c r="Z51555">
        <v>400000</v>
      </c>
    </row>
    <row r="51556" spans="26:26" x14ac:dyDescent="0.25">
      <c r="Z51556">
        <v>400000</v>
      </c>
    </row>
    <row r="51557" spans="26:26" x14ac:dyDescent="0.25">
      <c r="Z51557">
        <v>400000</v>
      </c>
    </row>
    <row r="51558" spans="26:26" x14ac:dyDescent="0.25">
      <c r="Z51558">
        <v>400000</v>
      </c>
    </row>
    <row r="51559" spans="26:26" x14ac:dyDescent="0.25">
      <c r="Z51559">
        <v>400000</v>
      </c>
    </row>
    <row r="51560" spans="26:26" x14ac:dyDescent="0.25">
      <c r="Z51560">
        <v>400000</v>
      </c>
    </row>
    <row r="51561" spans="26:26" x14ac:dyDescent="0.25">
      <c r="Z51561">
        <v>400000</v>
      </c>
    </row>
    <row r="51562" spans="26:26" x14ac:dyDescent="0.25">
      <c r="Z51562">
        <v>400000</v>
      </c>
    </row>
    <row r="51563" spans="26:26" x14ac:dyDescent="0.25">
      <c r="Z51563">
        <v>400000</v>
      </c>
    </row>
    <row r="51564" spans="26:26" x14ac:dyDescent="0.25">
      <c r="Z51564">
        <v>400000</v>
      </c>
    </row>
    <row r="51565" spans="26:26" x14ac:dyDescent="0.25">
      <c r="Z51565">
        <v>400000</v>
      </c>
    </row>
    <row r="51566" spans="26:26" x14ac:dyDescent="0.25">
      <c r="Z51566">
        <v>400000</v>
      </c>
    </row>
    <row r="51567" spans="26:26" x14ac:dyDescent="0.25">
      <c r="Z51567">
        <v>400000</v>
      </c>
    </row>
    <row r="51568" spans="26:26" x14ac:dyDescent="0.25">
      <c r="Z51568">
        <v>400000</v>
      </c>
    </row>
    <row r="51569" spans="26:26" x14ac:dyDescent="0.25">
      <c r="Z51569">
        <v>400000</v>
      </c>
    </row>
    <row r="51570" spans="26:26" x14ac:dyDescent="0.25">
      <c r="Z51570">
        <v>400000</v>
      </c>
    </row>
    <row r="51571" spans="26:26" x14ac:dyDescent="0.25">
      <c r="Z51571">
        <v>400000</v>
      </c>
    </row>
    <row r="51572" spans="26:26" x14ac:dyDescent="0.25">
      <c r="Z51572">
        <v>400000</v>
      </c>
    </row>
    <row r="51573" spans="26:26" x14ac:dyDescent="0.25">
      <c r="Z51573">
        <v>400000</v>
      </c>
    </row>
    <row r="51574" spans="26:26" x14ac:dyDescent="0.25">
      <c r="Z51574">
        <v>400000</v>
      </c>
    </row>
    <row r="51575" spans="26:26" x14ac:dyDescent="0.25">
      <c r="Z51575">
        <v>400000</v>
      </c>
    </row>
    <row r="51576" spans="26:26" x14ac:dyDescent="0.25">
      <c r="Z51576">
        <v>400000</v>
      </c>
    </row>
    <row r="51577" spans="26:26" x14ac:dyDescent="0.25">
      <c r="Z51577">
        <v>400000</v>
      </c>
    </row>
    <row r="51578" spans="26:26" x14ac:dyDescent="0.25">
      <c r="Z51578">
        <v>400000</v>
      </c>
    </row>
    <row r="51579" spans="26:26" x14ac:dyDescent="0.25">
      <c r="Z51579">
        <v>400000</v>
      </c>
    </row>
    <row r="51580" spans="26:26" x14ac:dyDescent="0.25">
      <c r="Z51580">
        <v>400000</v>
      </c>
    </row>
    <row r="51581" spans="26:26" x14ac:dyDescent="0.25">
      <c r="Z51581">
        <v>400000</v>
      </c>
    </row>
    <row r="51582" spans="26:26" x14ac:dyDescent="0.25">
      <c r="Z51582">
        <v>400000</v>
      </c>
    </row>
    <row r="51583" spans="26:26" x14ac:dyDescent="0.25">
      <c r="Z51583">
        <v>400000</v>
      </c>
    </row>
    <row r="51584" spans="26:26" x14ac:dyDescent="0.25">
      <c r="Z51584">
        <v>400000</v>
      </c>
    </row>
    <row r="51585" spans="26:26" x14ac:dyDescent="0.25">
      <c r="Z51585">
        <v>400000</v>
      </c>
    </row>
    <row r="51586" spans="26:26" x14ac:dyDescent="0.25">
      <c r="Z51586">
        <v>400000</v>
      </c>
    </row>
    <row r="51587" spans="26:26" x14ac:dyDescent="0.25">
      <c r="Z51587">
        <v>400000</v>
      </c>
    </row>
    <row r="51588" spans="26:26" x14ac:dyDescent="0.25">
      <c r="Z51588">
        <v>400000</v>
      </c>
    </row>
    <row r="51589" spans="26:26" x14ac:dyDescent="0.25">
      <c r="Z51589">
        <v>400000</v>
      </c>
    </row>
    <row r="51590" spans="26:26" x14ac:dyDescent="0.25">
      <c r="Z51590">
        <v>400000</v>
      </c>
    </row>
    <row r="51591" spans="26:26" x14ac:dyDescent="0.25">
      <c r="Z51591">
        <v>400000</v>
      </c>
    </row>
    <row r="51592" spans="26:26" x14ac:dyDescent="0.25">
      <c r="Z51592">
        <v>400000</v>
      </c>
    </row>
    <row r="51593" spans="26:26" x14ac:dyDescent="0.25">
      <c r="Z51593">
        <v>400000</v>
      </c>
    </row>
    <row r="51594" spans="26:26" x14ac:dyDescent="0.25">
      <c r="Z51594">
        <v>400000</v>
      </c>
    </row>
    <row r="51595" spans="26:26" x14ac:dyDescent="0.25">
      <c r="Z51595">
        <v>400000</v>
      </c>
    </row>
    <row r="51596" spans="26:26" x14ac:dyDescent="0.25">
      <c r="Z51596">
        <v>400000</v>
      </c>
    </row>
    <row r="51597" spans="26:26" x14ac:dyDescent="0.25">
      <c r="Z51597">
        <v>400000</v>
      </c>
    </row>
    <row r="51598" spans="26:26" x14ac:dyDescent="0.25">
      <c r="Z51598">
        <v>400000</v>
      </c>
    </row>
    <row r="51599" spans="26:26" x14ac:dyDescent="0.25">
      <c r="Z51599">
        <v>400000</v>
      </c>
    </row>
    <row r="51600" spans="26:26" x14ac:dyDescent="0.25">
      <c r="Z51600">
        <v>400000</v>
      </c>
    </row>
    <row r="51601" spans="26:26" x14ac:dyDescent="0.25">
      <c r="Z51601">
        <v>400000</v>
      </c>
    </row>
    <row r="51602" spans="26:26" x14ac:dyDescent="0.25">
      <c r="Z51602">
        <v>400000</v>
      </c>
    </row>
    <row r="51603" spans="26:26" x14ac:dyDescent="0.25">
      <c r="Z51603">
        <v>400000</v>
      </c>
    </row>
    <row r="51604" spans="26:26" x14ac:dyDescent="0.25">
      <c r="Z51604">
        <v>400000</v>
      </c>
    </row>
    <row r="51605" spans="26:26" x14ac:dyDescent="0.25">
      <c r="Z51605">
        <v>400000</v>
      </c>
    </row>
    <row r="51606" spans="26:26" x14ac:dyDescent="0.25">
      <c r="Z51606">
        <v>400000</v>
      </c>
    </row>
    <row r="51607" spans="26:26" x14ac:dyDescent="0.25">
      <c r="Z51607">
        <v>400000</v>
      </c>
    </row>
    <row r="51608" spans="26:26" x14ac:dyDescent="0.25">
      <c r="Z51608">
        <v>400000</v>
      </c>
    </row>
    <row r="51609" spans="26:26" x14ac:dyDescent="0.25">
      <c r="Z51609">
        <v>400000</v>
      </c>
    </row>
    <row r="51610" spans="26:26" x14ac:dyDescent="0.25">
      <c r="Z51610">
        <v>400000</v>
      </c>
    </row>
    <row r="51611" spans="26:26" x14ac:dyDescent="0.25">
      <c r="Z51611">
        <v>400000</v>
      </c>
    </row>
    <row r="51612" spans="26:26" x14ac:dyDescent="0.25">
      <c r="Z51612">
        <v>400000</v>
      </c>
    </row>
    <row r="51613" spans="26:26" x14ac:dyDescent="0.25">
      <c r="Z51613">
        <v>400000</v>
      </c>
    </row>
    <row r="51614" spans="26:26" x14ac:dyDescent="0.25">
      <c r="Z51614">
        <v>400000</v>
      </c>
    </row>
    <row r="51615" spans="26:26" x14ac:dyDescent="0.25">
      <c r="Z51615">
        <v>400000</v>
      </c>
    </row>
    <row r="51616" spans="26:26" x14ac:dyDescent="0.25">
      <c r="Z51616">
        <v>400000</v>
      </c>
    </row>
    <row r="51617" spans="26:26" x14ac:dyDescent="0.25">
      <c r="Z51617">
        <v>400000</v>
      </c>
    </row>
    <row r="51618" spans="26:26" x14ac:dyDescent="0.25">
      <c r="Z51618">
        <v>400000</v>
      </c>
    </row>
    <row r="51619" spans="26:26" x14ac:dyDescent="0.25">
      <c r="Z51619">
        <v>400000</v>
      </c>
    </row>
    <row r="51620" spans="26:26" x14ac:dyDescent="0.25">
      <c r="Z51620">
        <v>400000</v>
      </c>
    </row>
    <row r="51621" spans="26:26" x14ac:dyDescent="0.25">
      <c r="Z51621">
        <v>400000</v>
      </c>
    </row>
    <row r="51622" spans="26:26" x14ac:dyDescent="0.25">
      <c r="Z51622">
        <v>400000</v>
      </c>
    </row>
    <row r="51623" spans="26:26" x14ac:dyDescent="0.25">
      <c r="Z51623">
        <v>400000</v>
      </c>
    </row>
    <row r="51624" spans="26:26" x14ac:dyDescent="0.25">
      <c r="Z51624">
        <v>400000</v>
      </c>
    </row>
    <row r="51625" spans="26:26" x14ac:dyDescent="0.25">
      <c r="Z51625">
        <v>400000</v>
      </c>
    </row>
    <row r="51626" spans="26:26" x14ac:dyDescent="0.25">
      <c r="Z51626">
        <v>400000</v>
      </c>
    </row>
    <row r="51627" spans="26:26" x14ac:dyDescent="0.25">
      <c r="Z51627">
        <v>400000</v>
      </c>
    </row>
    <row r="51628" spans="26:26" x14ac:dyDescent="0.25">
      <c r="Z51628">
        <v>400000</v>
      </c>
    </row>
    <row r="51629" spans="26:26" x14ac:dyDescent="0.25">
      <c r="Z51629">
        <v>400000</v>
      </c>
    </row>
    <row r="51630" spans="26:26" x14ac:dyDescent="0.25">
      <c r="Z51630">
        <v>400000</v>
      </c>
    </row>
    <row r="51631" spans="26:26" x14ac:dyDescent="0.25">
      <c r="Z51631">
        <v>400000</v>
      </c>
    </row>
    <row r="51632" spans="26:26" x14ac:dyDescent="0.25">
      <c r="Z51632">
        <v>400000</v>
      </c>
    </row>
    <row r="51633" spans="26:26" x14ac:dyDescent="0.25">
      <c r="Z51633">
        <v>400000</v>
      </c>
    </row>
    <row r="51634" spans="26:26" x14ac:dyDescent="0.25">
      <c r="Z51634">
        <v>400000</v>
      </c>
    </row>
    <row r="51635" spans="26:26" x14ac:dyDescent="0.25">
      <c r="Z51635">
        <v>400000</v>
      </c>
    </row>
    <row r="51636" spans="26:26" x14ac:dyDescent="0.25">
      <c r="Z51636">
        <v>400000</v>
      </c>
    </row>
    <row r="51637" spans="26:26" x14ac:dyDescent="0.25">
      <c r="Z51637">
        <v>400000</v>
      </c>
    </row>
    <row r="51638" spans="26:26" x14ac:dyDescent="0.25">
      <c r="Z51638">
        <v>400000</v>
      </c>
    </row>
    <row r="51639" spans="26:26" x14ac:dyDescent="0.25">
      <c r="Z51639">
        <v>400000</v>
      </c>
    </row>
    <row r="51640" spans="26:26" x14ac:dyDescent="0.25">
      <c r="Z51640">
        <v>400000</v>
      </c>
    </row>
    <row r="51641" spans="26:26" x14ac:dyDescent="0.25">
      <c r="Z51641">
        <v>400000</v>
      </c>
    </row>
    <row r="51642" spans="26:26" x14ac:dyDescent="0.25">
      <c r="Z51642">
        <v>400000</v>
      </c>
    </row>
    <row r="51643" spans="26:26" x14ac:dyDescent="0.25">
      <c r="Z51643">
        <v>400000</v>
      </c>
    </row>
    <row r="51644" spans="26:26" x14ac:dyDescent="0.25">
      <c r="Z51644">
        <v>400000</v>
      </c>
    </row>
    <row r="51645" spans="26:26" x14ac:dyDescent="0.25">
      <c r="Z51645">
        <v>400000</v>
      </c>
    </row>
    <row r="51646" spans="26:26" x14ac:dyDescent="0.25">
      <c r="Z51646">
        <v>400000</v>
      </c>
    </row>
    <row r="51647" spans="26:26" x14ac:dyDescent="0.25">
      <c r="Z51647">
        <v>400000</v>
      </c>
    </row>
    <row r="51648" spans="26:26" x14ac:dyDescent="0.25">
      <c r="Z51648">
        <v>400000</v>
      </c>
    </row>
    <row r="51649" spans="26:26" x14ac:dyDescent="0.25">
      <c r="Z51649">
        <v>400000</v>
      </c>
    </row>
    <row r="51650" spans="26:26" x14ac:dyDescent="0.25">
      <c r="Z51650">
        <v>400000</v>
      </c>
    </row>
    <row r="51651" spans="26:26" x14ac:dyDescent="0.25">
      <c r="Z51651">
        <v>400000</v>
      </c>
    </row>
    <row r="51652" spans="26:26" x14ac:dyDescent="0.25">
      <c r="Z51652">
        <v>400000</v>
      </c>
    </row>
    <row r="51653" spans="26:26" x14ac:dyDescent="0.25">
      <c r="Z51653">
        <v>400000</v>
      </c>
    </row>
    <row r="51654" spans="26:26" x14ac:dyDescent="0.25">
      <c r="Z51654">
        <v>400000</v>
      </c>
    </row>
    <row r="51655" spans="26:26" x14ac:dyDescent="0.25">
      <c r="Z51655">
        <v>400000</v>
      </c>
    </row>
    <row r="51656" spans="26:26" x14ac:dyDescent="0.25">
      <c r="Z51656">
        <v>400000</v>
      </c>
    </row>
    <row r="51657" spans="26:26" x14ac:dyDescent="0.25">
      <c r="Z51657">
        <v>400000</v>
      </c>
    </row>
    <row r="51658" spans="26:26" x14ac:dyDescent="0.25">
      <c r="Z51658">
        <v>400000</v>
      </c>
    </row>
    <row r="51659" spans="26:26" x14ac:dyDescent="0.25">
      <c r="Z51659">
        <v>400000</v>
      </c>
    </row>
    <row r="51660" spans="26:26" x14ac:dyDescent="0.25">
      <c r="Z51660">
        <v>400000</v>
      </c>
    </row>
    <row r="51661" spans="26:26" x14ac:dyDescent="0.25">
      <c r="Z51661">
        <v>400000</v>
      </c>
    </row>
    <row r="51662" spans="26:26" x14ac:dyDescent="0.25">
      <c r="Z51662">
        <v>400000</v>
      </c>
    </row>
    <row r="51663" spans="26:26" x14ac:dyDescent="0.25">
      <c r="Z51663">
        <v>400000</v>
      </c>
    </row>
    <row r="51664" spans="26:26" x14ac:dyDescent="0.25">
      <c r="Z51664">
        <v>400000</v>
      </c>
    </row>
    <row r="51665" spans="26:26" x14ac:dyDescent="0.25">
      <c r="Z51665">
        <v>400000</v>
      </c>
    </row>
    <row r="51666" spans="26:26" x14ac:dyDescent="0.25">
      <c r="Z51666">
        <v>400000</v>
      </c>
    </row>
    <row r="51667" spans="26:26" x14ac:dyDescent="0.25">
      <c r="Z51667">
        <v>400000</v>
      </c>
    </row>
    <row r="51668" spans="26:26" x14ac:dyDescent="0.25">
      <c r="Z51668">
        <v>400000</v>
      </c>
    </row>
    <row r="51669" spans="26:26" x14ac:dyDescent="0.25">
      <c r="Z51669">
        <v>400000</v>
      </c>
    </row>
    <row r="51670" spans="26:26" x14ac:dyDescent="0.25">
      <c r="Z51670">
        <v>400000</v>
      </c>
    </row>
    <row r="51671" spans="26:26" x14ac:dyDescent="0.25">
      <c r="Z51671">
        <v>400000</v>
      </c>
    </row>
    <row r="51672" spans="26:26" x14ac:dyDescent="0.25">
      <c r="Z51672">
        <v>400000</v>
      </c>
    </row>
    <row r="51673" spans="26:26" x14ac:dyDescent="0.25">
      <c r="Z51673">
        <v>400000</v>
      </c>
    </row>
    <row r="51674" spans="26:26" x14ac:dyDescent="0.25">
      <c r="Z51674">
        <v>400000</v>
      </c>
    </row>
    <row r="51675" spans="26:26" x14ac:dyDescent="0.25">
      <c r="Z51675">
        <v>400000</v>
      </c>
    </row>
    <row r="51676" spans="26:26" x14ac:dyDescent="0.25">
      <c r="Z51676">
        <v>400000</v>
      </c>
    </row>
    <row r="51677" spans="26:26" x14ac:dyDescent="0.25">
      <c r="Z51677">
        <v>400000</v>
      </c>
    </row>
    <row r="51678" spans="26:26" x14ac:dyDescent="0.25">
      <c r="Z51678">
        <v>400000</v>
      </c>
    </row>
    <row r="51679" spans="26:26" x14ac:dyDescent="0.25">
      <c r="Z51679">
        <v>400000</v>
      </c>
    </row>
    <row r="51680" spans="26:26" x14ac:dyDescent="0.25">
      <c r="Z51680">
        <v>400000</v>
      </c>
    </row>
    <row r="51681" spans="26:26" x14ac:dyDescent="0.25">
      <c r="Z51681">
        <v>400000</v>
      </c>
    </row>
    <row r="51682" spans="26:26" x14ac:dyDescent="0.25">
      <c r="Z51682">
        <v>400000</v>
      </c>
    </row>
    <row r="51683" spans="26:26" x14ac:dyDescent="0.25">
      <c r="Z51683">
        <v>400000</v>
      </c>
    </row>
    <row r="51684" spans="26:26" x14ac:dyDescent="0.25">
      <c r="Z51684">
        <v>400000</v>
      </c>
    </row>
    <row r="51685" spans="26:26" x14ac:dyDescent="0.25">
      <c r="Z51685">
        <v>400000</v>
      </c>
    </row>
    <row r="51686" spans="26:26" x14ac:dyDescent="0.25">
      <c r="Z51686">
        <v>400000</v>
      </c>
    </row>
    <row r="51687" spans="26:26" x14ac:dyDescent="0.25">
      <c r="Z51687">
        <v>400000</v>
      </c>
    </row>
    <row r="51688" spans="26:26" x14ac:dyDescent="0.25">
      <c r="Z51688">
        <v>400000</v>
      </c>
    </row>
    <row r="51689" spans="26:26" x14ac:dyDescent="0.25">
      <c r="Z51689">
        <v>400000</v>
      </c>
    </row>
    <row r="51690" spans="26:26" x14ac:dyDescent="0.25">
      <c r="Z51690">
        <v>400000</v>
      </c>
    </row>
    <row r="51691" spans="26:26" x14ac:dyDescent="0.25">
      <c r="Z51691">
        <v>400000</v>
      </c>
    </row>
    <row r="51692" spans="26:26" x14ac:dyDescent="0.25">
      <c r="Z51692">
        <v>400000</v>
      </c>
    </row>
    <row r="51693" spans="26:26" x14ac:dyDescent="0.25">
      <c r="Z51693">
        <v>400000</v>
      </c>
    </row>
    <row r="51694" spans="26:26" x14ac:dyDescent="0.25">
      <c r="Z51694">
        <v>400000</v>
      </c>
    </row>
    <row r="51695" spans="26:26" x14ac:dyDescent="0.25">
      <c r="Z51695">
        <v>400000</v>
      </c>
    </row>
    <row r="51696" spans="26:26" x14ac:dyDescent="0.25">
      <c r="Z51696">
        <v>400000</v>
      </c>
    </row>
    <row r="51697" spans="26:26" x14ac:dyDescent="0.25">
      <c r="Z51697">
        <v>400000</v>
      </c>
    </row>
    <row r="51698" spans="26:26" x14ac:dyDescent="0.25">
      <c r="Z51698">
        <v>400000</v>
      </c>
    </row>
    <row r="51699" spans="26:26" x14ac:dyDescent="0.25">
      <c r="Z51699">
        <v>400000</v>
      </c>
    </row>
    <row r="51700" spans="26:26" x14ac:dyDescent="0.25">
      <c r="Z51700">
        <v>400000</v>
      </c>
    </row>
    <row r="51701" spans="26:26" x14ac:dyDescent="0.25">
      <c r="Z51701">
        <v>400000</v>
      </c>
    </row>
    <row r="51702" spans="26:26" x14ac:dyDescent="0.25">
      <c r="Z51702">
        <v>400000</v>
      </c>
    </row>
    <row r="51703" spans="26:26" x14ac:dyDescent="0.25">
      <c r="Z51703">
        <v>400000</v>
      </c>
    </row>
    <row r="51704" spans="26:26" x14ac:dyDescent="0.25">
      <c r="Z51704">
        <v>400000</v>
      </c>
    </row>
    <row r="51705" spans="26:26" x14ac:dyDescent="0.25">
      <c r="Z51705">
        <v>400000</v>
      </c>
    </row>
    <row r="51706" spans="26:26" x14ac:dyDescent="0.25">
      <c r="Z51706">
        <v>400000</v>
      </c>
    </row>
    <row r="51707" spans="26:26" x14ac:dyDescent="0.25">
      <c r="Z51707">
        <v>400000</v>
      </c>
    </row>
    <row r="51708" spans="26:26" x14ac:dyDescent="0.25">
      <c r="Z51708">
        <v>400000</v>
      </c>
    </row>
    <row r="51709" spans="26:26" x14ac:dyDescent="0.25">
      <c r="Z51709">
        <v>400000</v>
      </c>
    </row>
    <row r="51710" spans="26:26" x14ac:dyDescent="0.25">
      <c r="Z51710">
        <v>400000</v>
      </c>
    </row>
    <row r="51711" spans="26:26" x14ac:dyDescent="0.25">
      <c r="Z51711">
        <v>400000</v>
      </c>
    </row>
    <row r="51712" spans="26:26" x14ac:dyDescent="0.25">
      <c r="Z51712">
        <v>400000</v>
      </c>
    </row>
    <row r="51713" spans="26:26" x14ac:dyDescent="0.25">
      <c r="Z51713">
        <v>400000</v>
      </c>
    </row>
    <row r="51714" spans="26:26" x14ac:dyDescent="0.25">
      <c r="Z51714">
        <v>400000</v>
      </c>
    </row>
    <row r="51715" spans="26:26" x14ac:dyDescent="0.25">
      <c r="Z51715">
        <v>400000</v>
      </c>
    </row>
    <row r="51716" spans="26:26" x14ac:dyDescent="0.25">
      <c r="Z51716">
        <v>400000</v>
      </c>
    </row>
    <row r="51717" spans="26:26" x14ac:dyDescent="0.25">
      <c r="Z51717">
        <v>400000</v>
      </c>
    </row>
    <row r="51718" spans="26:26" x14ac:dyDescent="0.25">
      <c r="Z51718">
        <v>400000</v>
      </c>
    </row>
    <row r="51719" spans="26:26" x14ac:dyDescent="0.25">
      <c r="Z51719">
        <v>400000</v>
      </c>
    </row>
    <row r="51720" spans="26:26" x14ac:dyDescent="0.25">
      <c r="Z51720">
        <v>400000</v>
      </c>
    </row>
    <row r="51721" spans="26:26" x14ac:dyDescent="0.25">
      <c r="Z51721">
        <v>400000</v>
      </c>
    </row>
    <row r="51722" spans="26:26" x14ac:dyDescent="0.25">
      <c r="Z51722">
        <v>400000</v>
      </c>
    </row>
    <row r="51723" spans="26:26" x14ac:dyDescent="0.25">
      <c r="Z51723">
        <v>400000</v>
      </c>
    </row>
    <row r="51724" spans="26:26" x14ac:dyDescent="0.25">
      <c r="Z51724">
        <v>400000</v>
      </c>
    </row>
    <row r="51725" spans="26:26" x14ac:dyDescent="0.25">
      <c r="Z51725">
        <v>400000</v>
      </c>
    </row>
    <row r="51726" spans="26:26" x14ac:dyDescent="0.25">
      <c r="Z51726">
        <v>400000</v>
      </c>
    </row>
    <row r="51727" spans="26:26" x14ac:dyDescent="0.25">
      <c r="Z51727">
        <v>400000</v>
      </c>
    </row>
    <row r="51728" spans="26:26" x14ac:dyDescent="0.25">
      <c r="Z51728">
        <v>400000</v>
      </c>
    </row>
    <row r="51729" spans="26:26" x14ac:dyDescent="0.25">
      <c r="Z51729">
        <v>400000</v>
      </c>
    </row>
    <row r="51730" spans="26:26" x14ac:dyDescent="0.25">
      <c r="Z51730">
        <v>400000</v>
      </c>
    </row>
    <row r="51731" spans="26:26" x14ac:dyDescent="0.25">
      <c r="Z51731">
        <v>400000</v>
      </c>
    </row>
    <row r="51732" spans="26:26" x14ac:dyDescent="0.25">
      <c r="Z51732">
        <v>400000</v>
      </c>
    </row>
    <row r="51733" spans="26:26" x14ac:dyDescent="0.25">
      <c r="Z51733">
        <v>400000</v>
      </c>
    </row>
    <row r="51734" spans="26:26" x14ac:dyDescent="0.25">
      <c r="Z51734">
        <v>400000</v>
      </c>
    </row>
    <row r="51735" spans="26:26" x14ac:dyDescent="0.25">
      <c r="Z51735">
        <v>400000</v>
      </c>
    </row>
    <row r="51736" spans="26:26" x14ac:dyDescent="0.25">
      <c r="Z51736">
        <v>400000</v>
      </c>
    </row>
    <row r="51737" spans="26:26" x14ac:dyDescent="0.25">
      <c r="Z51737">
        <v>400000</v>
      </c>
    </row>
    <row r="51738" spans="26:26" x14ac:dyDescent="0.25">
      <c r="Z51738">
        <v>400000</v>
      </c>
    </row>
    <row r="51739" spans="26:26" x14ac:dyDescent="0.25">
      <c r="Z51739">
        <v>400000</v>
      </c>
    </row>
    <row r="51740" spans="26:26" x14ac:dyDescent="0.25">
      <c r="Z51740">
        <v>400000</v>
      </c>
    </row>
    <row r="51741" spans="26:26" x14ac:dyDescent="0.25">
      <c r="Z51741">
        <v>400000</v>
      </c>
    </row>
    <row r="51742" spans="26:26" x14ac:dyDescent="0.25">
      <c r="Z51742">
        <v>400000</v>
      </c>
    </row>
    <row r="51743" spans="26:26" x14ac:dyDescent="0.25">
      <c r="Z51743">
        <v>400000</v>
      </c>
    </row>
    <row r="51744" spans="26:26" x14ac:dyDescent="0.25">
      <c r="Z51744">
        <v>400000</v>
      </c>
    </row>
    <row r="51745" spans="26:26" x14ac:dyDescent="0.25">
      <c r="Z51745">
        <v>400000</v>
      </c>
    </row>
    <row r="51746" spans="26:26" x14ac:dyDescent="0.25">
      <c r="Z51746">
        <v>400000</v>
      </c>
    </row>
    <row r="51747" spans="26:26" x14ac:dyDescent="0.25">
      <c r="Z51747">
        <v>400000</v>
      </c>
    </row>
    <row r="51748" spans="26:26" x14ac:dyDescent="0.25">
      <c r="Z51748">
        <v>400000</v>
      </c>
    </row>
    <row r="51749" spans="26:26" x14ac:dyDescent="0.25">
      <c r="Z51749">
        <v>400000</v>
      </c>
    </row>
    <row r="51750" spans="26:26" x14ac:dyDescent="0.25">
      <c r="Z51750">
        <v>400000</v>
      </c>
    </row>
    <row r="51751" spans="26:26" x14ac:dyDescent="0.25">
      <c r="Z51751">
        <v>400000</v>
      </c>
    </row>
    <row r="51752" spans="26:26" x14ac:dyDescent="0.25">
      <c r="Z51752">
        <v>400000</v>
      </c>
    </row>
    <row r="51753" spans="26:26" x14ac:dyDescent="0.25">
      <c r="Z51753">
        <v>400000</v>
      </c>
    </row>
    <row r="51754" spans="26:26" x14ac:dyDescent="0.25">
      <c r="Z51754">
        <v>400000</v>
      </c>
    </row>
    <row r="51755" spans="26:26" x14ac:dyDescent="0.25">
      <c r="Z51755">
        <v>400000</v>
      </c>
    </row>
    <row r="51756" spans="26:26" x14ac:dyDescent="0.25">
      <c r="Z51756">
        <v>400000</v>
      </c>
    </row>
    <row r="51757" spans="26:26" x14ac:dyDescent="0.25">
      <c r="Z51757">
        <v>400000</v>
      </c>
    </row>
    <row r="51758" spans="26:26" x14ac:dyDescent="0.25">
      <c r="Z51758">
        <v>400000</v>
      </c>
    </row>
    <row r="51759" spans="26:26" x14ac:dyDescent="0.25">
      <c r="Z51759">
        <v>400000</v>
      </c>
    </row>
    <row r="51760" spans="26:26" x14ac:dyDescent="0.25">
      <c r="Z51760">
        <v>400000</v>
      </c>
    </row>
    <row r="51761" spans="26:26" x14ac:dyDescent="0.25">
      <c r="Z51761">
        <v>400000</v>
      </c>
    </row>
    <row r="51762" spans="26:26" x14ac:dyDescent="0.25">
      <c r="Z51762">
        <v>400000</v>
      </c>
    </row>
    <row r="51763" spans="26:26" x14ac:dyDescent="0.25">
      <c r="Z51763">
        <v>400000</v>
      </c>
    </row>
    <row r="51764" spans="26:26" x14ac:dyDescent="0.25">
      <c r="Z51764">
        <v>400000</v>
      </c>
    </row>
    <row r="51765" spans="26:26" x14ac:dyDescent="0.25">
      <c r="Z51765">
        <v>400000</v>
      </c>
    </row>
    <row r="51766" spans="26:26" x14ac:dyDescent="0.25">
      <c r="Z51766">
        <v>400000</v>
      </c>
    </row>
    <row r="51767" spans="26:26" x14ac:dyDescent="0.25">
      <c r="Z51767">
        <v>400000</v>
      </c>
    </row>
    <row r="51768" spans="26:26" x14ac:dyDescent="0.25">
      <c r="Z51768">
        <v>400000</v>
      </c>
    </row>
    <row r="51769" spans="26:26" x14ac:dyDescent="0.25">
      <c r="Z51769">
        <v>400000</v>
      </c>
    </row>
    <row r="51770" spans="26:26" x14ac:dyDescent="0.25">
      <c r="Z51770">
        <v>400000</v>
      </c>
    </row>
    <row r="51771" spans="26:26" x14ac:dyDescent="0.25">
      <c r="Z51771">
        <v>400000</v>
      </c>
    </row>
    <row r="51772" spans="26:26" x14ac:dyDescent="0.25">
      <c r="Z51772">
        <v>400000</v>
      </c>
    </row>
    <row r="51773" spans="26:26" x14ac:dyDescent="0.25">
      <c r="Z51773">
        <v>400000</v>
      </c>
    </row>
    <row r="51774" spans="26:26" x14ac:dyDescent="0.25">
      <c r="Z51774">
        <v>400000</v>
      </c>
    </row>
    <row r="51775" spans="26:26" x14ac:dyDescent="0.25">
      <c r="Z51775">
        <v>400000</v>
      </c>
    </row>
    <row r="51776" spans="26:26" x14ac:dyDescent="0.25">
      <c r="Z51776">
        <v>400000</v>
      </c>
    </row>
    <row r="51777" spans="26:26" x14ac:dyDescent="0.25">
      <c r="Z51777">
        <v>400000</v>
      </c>
    </row>
    <row r="51778" spans="26:26" x14ac:dyDescent="0.25">
      <c r="Z51778">
        <v>400000</v>
      </c>
    </row>
    <row r="51779" spans="26:26" x14ac:dyDescent="0.25">
      <c r="Z51779">
        <v>400000</v>
      </c>
    </row>
    <row r="51780" spans="26:26" x14ac:dyDescent="0.25">
      <c r="Z51780">
        <v>400000</v>
      </c>
    </row>
    <row r="51781" spans="26:26" x14ac:dyDescent="0.25">
      <c r="Z51781">
        <v>400000</v>
      </c>
    </row>
    <row r="51782" spans="26:26" x14ac:dyDescent="0.25">
      <c r="Z51782">
        <v>400000</v>
      </c>
    </row>
    <row r="51783" spans="26:26" x14ac:dyDescent="0.25">
      <c r="Z51783">
        <v>400000</v>
      </c>
    </row>
    <row r="51784" spans="26:26" x14ac:dyDescent="0.25">
      <c r="Z51784">
        <v>400000</v>
      </c>
    </row>
    <row r="51785" spans="26:26" x14ac:dyDescent="0.25">
      <c r="Z51785">
        <v>400000</v>
      </c>
    </row>
    <row r="51786" spans="26:26" x14ac:dyDescent="0.25">
      <c r="Z51786">
        <v>400000</v>
      </c>
    </row>
    <row r="51787" spans="26:26" x14ac:dyDescent="0.25">
      <c r="Z51787">
        <v>400000</v>
      </c>
    </row>
    <row r="51788" spans="26:26" x14ac:dyDescent="0.25">
      <c r="Z51788">
        <v>400000</v>
      </c>
    </row>
    <row r="51789" spans="26:26" x14ac:dyDescent="0.25">
      <c r="Z51789">
        <v>400000</v>
      </c>
    </row>
    <row r="51790" spans="26:26" x14ac:dyDescent="0.25">
      <c r="Z51790">
        <v>400000</v>
      </c>
    </row>
    <row r="51791" spans="26:26" x14ac:dyDescent="0.25">
      <c r="Z51791">
        <v>400000</v>
      </c>
    </row>
    <row r="51792" spans="26:26" x14ac:dyDescent="0.25">
      <c r="Z51792">
        <v>400000</v>
      </c>
    </row>
    <row r="51793" spans="26:26" x14ac:dyDescent="0.25">
      <c r="Z51793">
        <v>400000</v>
      </c>
    </row>
    <row r="51794" spans="26:26" x14ac:dyDescent="0.25">
      <c r="Z51794">
        <v>400000</v>
      </c>
    </row>
    <row r="51795" spans="26:26" x14ac:dyDescent="0.25">
      <c r="Z51795">
        <v>400000</v>
      </c>
    </row>
    <row r="51796" spans="26:26" x14ac:dyDescent="0.25">
      <c r="Z51796">
        <v>400000</v>
      </c>
    </row>
    <row r="51797" spans="26:26" x14ac:dyDescent="0.25">
      <c r="Z51797">
        <v>400000</v>
      </c>
    </row>
    <row r="51798" spans="26:26" x14ac:dyDescent="0.25">
      <c r="Z51798">
        <v>400000</v>
      </c>
    </row>
    <row r="51799" spans="26:26" x14ac:dyDescent="0.25">
      <c r="Z51799">
        <v>400000</v>
      </c>
    </row>
    <row r="51800" spans="26:26" x14ac:dyDescent="0.25">
      <c r="Z51800">
        <v>400000</v>
      </c>
    </row>
    <row r="51801" spans="26:26" x14ac:dyDescent="0.25">
      <c r="Z51801">
        <v>400000</v>
      </c>
    </row>
    <row r="51802" spans="26:26" x14ac:dyDescent="0.25">
      <c r="Z51802">
        <v>400000</v>
      </c>
    </row>
    <row r="51803" spans="26:26" x14ac:dyDescent="0.25">
      <c r="Z51803">
        <v>400000</v>
      </c>
    </row>
    <row r="51804" spans="26:26" x14ac:dyDescent="0.25">
      <c r="Z51804">
        <v>400000</v>
      </c>
    </row>
    <row r="51805" spans="26:26" x14ac:dyDescent="0.25">
      <c r="Z51805">
        <v>400000</v>
      </c>
    </row>
    <row r="51806" spans="26:26" x14ac:dyDescent="0.25">
      <c r="Z51806">
        <v>400000</v>
      </c>
    </row>
    <row r="51807" spans="26:26" x14ac:dyDescent="0.25">
      <c r="Z51807">
        <v>400000</v>
      </c>
    </row>
    <row r="51808" spans="26:26" x14ac:dyDescent="0.25">
      <c r="Z51808">
        <v>400000</v>
      </c>
    </row>
    <row r="51809" spans="26:26" x14ac:dyDescent="0.25">
      <c r="Z51809">
        <v>400000</v>
      </c>
    </row>
    <row r="51810" spans="26:26" x14ac:dyDescent="0.25">
      <c r="Z51810">
        <v>400000</v>
      </c>
    </row>
    <row r="51811" spans="26:26" x14ac:dyDescent="0.25">
      <c r="Z51811">
        <v>400000</v>
      </c>
    </row>
    <row r="51812" spans="26:26" x14ac:dyDescent="0.25">
      <c r="Z51812">
        <v>400000</v>
      </c>
    </row>
    <row r="51813" spans="26:26" x14ac:dyDescent="0.25">
      <c r="Z51813">
        <v>400000</v>
      </c>
    </row>
    <row r="51814" spans="26:26" x14ac:dyDescent="0.25">
      <c r="Z51814">
        <v>400000</v>
      </c>
    </row>
    <row r="51815" spans="26:26" x14ac:dyDescent="0.25">
      <c r="Z51815">
        <v>400000</v>
      </c>
    </row>
    <row r="51816" spans="26:26" x14ac:dyDescent="0.25">
      <c r="Z51816">
        <v>400000</v>
      </c>
    </row>
    <row r="51817" spans="26:26" x14ac:dyDescent="0.25">
      <c r="Z51817">
        <v>400000</v>
      </c>
    </row>
    <row r="51818" spans="26:26" x14ac:dyDescent="0.25">
      <c r="Z51818">
        <v>400000</v>
      </c>
    </row>
    <row r="51819" spans="26:26" x14ac:dyDescent="0.25">
      <c r="Z51819">
        <v>400000</v>
      </c>
    </row>
    <row r="51820" spans="26:26" x14ac:dyDescent="0.25">
      <c r="Z51820">
        <v>400000</v>
      </c>
    </row>
    <row r="51821" spans="26:26" x14ac:dyDescent="0.25">
      <c r="Z51821">
        <v>400000</v>
      </c>
    </row>
    <row r="51822" spans="26:26" x14ac:dyDescent="0.25">
      <c r="Z51822">
        <v>400000</v>
      </c>
    </row>
    <row r="51823" spans="26:26" x14ac:dyDescent="0.25">
      <c r="Z51823">
        <v>400000</v>
      </c>
    </row>
    <row r="51824" spans="26:26" x14ac:dyDescent="0.25">
      <c r="Z51824">
        <v>400000</v>
      </c>
    </row>
    <row r="51825" spans="26:26" x14ac:dyDescent="0.25">
      <c r="Z51825">
        <v>400000</v>
      </c>
    </row>
    <row r="51826" spans="26:26" x14ac:dyDescent="0.25">
      <c r="Z51826">
        <v>400000</v>
      </c>
    </row>
    <row r="51827" spans="26:26" x14ac:dyDescent="0.25">
      <c r="Z51827">
        <v>400000</v>
      </c>
    </row>
    <row r="51828" spans="26:26" x14ac:dyDescent="0.25">
      <c r="Z51828">
        <v>400000</v>
      </c>
    </row>
    <row r="51829" spans="26:26" x14ac:dyDescent="0.25">
      <c r="Z51829">
        <v>400000</v>
      </c>
    </row>
    <row r="51830" spans="26:26" x14ac:dyDescent="0.25">
      <c r="Z51830">
        <v>400000</v>
      </c>
    </row>
    <row r="51831" spans="26:26" x14ac:dyDescent="0.25">
      <c r="Z51831">
        <v>400000</v>
      </c>
    </row>
    <row r="51832" spans="26:26" x14ac:dyDescent="0.25">
      <c r="Z51832">
        <v>400000</v>
      </c>
    </row>
    <row r="51833" spans="26:26" x14ac:dyDescent="0.25">
      <c r="Z51833">
        <v>400000</v>
      </c>
    </row>
    <row r="51834" spans="26:26" x14ac:dyDescent="0.25">
      <c r="Z51834">
        <v>400000</v>
      </c>
    </row>
    <row r="51835" spans="26:26" x14ac:dyDescent="0.25">
      <c r="Z51835">
        <v>400000</v>
      </c>
    </row>
    <row r="51836" spans="26:26" x14ac:dyDescent="0.25">
      <c r="Z51836">
        <v>400000</v>
      </c>
    </row>
    <row r="51837" spans="26:26" x14ac:dyDescent="0.25">
      <c r="Z51837">
        <v>400000</v>
      </c>
    </row>
    <row r="51838" spans="26:26" x14ac:dyDescent="0.25">
      <c r="Z51838">
        <v>400000</v>
      </c>
    </row>
    <row r="51839" spans="26:26" x14ac:dyDescent="0.25">
      <c r="Z51839">
        <v>400000</v>
      </c>
    </row>
    <row r="51840" spans="26:26" x14ac:dyDescent="0.25">
      <c r="Z51840">
        <v>400000</v>
      </c>
    </row>
    <row r="51841" spans="26:26" x14ac:dyDescent="0.25">
      <c r="Z51841">
        <v>400000</v>
      </c>
    </row>
    <row r="51842" spans="26:26" x14ac:dyDescent="0.25">
      <c r="Z51842">
        <v>400000</v>
      </c>
    </row>
    <row r="51843" spans="26:26" x14ac:dyDescent="0.25">
      <c r="Z51843">
        <v>400000</v>
      </c>
    </row>
    <row r="51844" spans="26:26" x14ac:dyDescent="0.25">
      <c r="Z51844">
        <v>400000</v>
      </c>
    </row>
    <row r="51845" spans="26:26" x14ac:dyDescent="0.25">
      <c r="Z51845">
        <v>400000</v>
      </c>
    </row>
    <row r="51846" spans="26:26" x14ac:dyDescent="0.25">
      <c r="Z51846">
        <v>400000</v>
      </c>
    </row>
    <row r="51847" spans="26:26" x14ac:dyDescent="0.25">
      <c r="Z51847">
        <v>400000</v>
      </c>
    </row>
    <row r="51848" spans="26:26" x14ac:dyDescent="0.25">
      <c r="Z51848">
        <v>400000</v>
      </c>
    </row>
    <row r="51849" spans="26:26" x14ac:dyDescent="0.25">
      <c r="Z51849">
        <v>400000</v>
      </c>
    </row>
    <row r="51850" spans="26:26" x14ac:dyDescent="0.25">
      <c r="Z51850">
        <v>400000</v>
      </c>
    </row>
    <row r="51851" spans="26:26" x14ac:dyDescent="0.25">
      <c r="Z51851">
        <v>400000</v>
      </c>
    </row>
    <row r="51852" spans="26:26" x14ac:dyDescent="0.25">
      <c r="Z51852">
        <v>400000</v>
      </c>
    </row>
    <row r="51853" spans="26:26" x14ac:dyDescent="0.25">
      <c r="Z51853">
        <v>400000</v>
      </c>
    </row>
    <row r="51854" spans="26:26" x14ac:dyDescent="0.25">
      <c r="Z51854">
        <v>400000</v>
      </c>
    </row>
    <row r="51855" spans="26:26" x14ac:dyDescent="0.25">
      <c r="Z51855">
        <v>400000</v>
      </c>
    </row>
    <row r="51856" spans="26:26" x14ac:dyDescent="0.25">
      <c r="Z51856">
        <v>400000</v>
      </c>
    </row>
    <row r="51857" spans="26:26" x14ac:dyDescent="0.25">
      <c r="Z51857">
        <v>400000</v>
      </c>
    </row>
    <row r="51858" spans="26:26" x14ac:dyDescent="0.25">
      <c r="Z51858">
        <v>400000</v>
      </c>
    </row>
    <row r="51859" spans="26:26" x14ac:dyDescent="0.25">
      <c r="Z51859">
        <v>400000</v>
      </c>
    </row>
    <row r="51860" spans="26:26" x14ac:dyDescent="0.25">
      <c r="Z51860">
        <v>400000</v>
      </c>
    </row>
    <row r="51861" spans="26:26" x14ac:dyDescent="0.25">
      <c r="Z51861">
        <v>400000</v>
      </c>
    </row>
    <row r="51862" spans="26:26" x14ac:dyDescent="0.25">
      <c r="Z51862">
        <v>400000</v>
      </c>
    </row>
    <row r="51863" spans="26:26" x14ac:dyDescent="0.25">
      <c r="Z51863">
        <v>400000</v>
      </c>
    </row>
    <row r="51864" spans="26:26" x14ac:dyDescent="0.25">
      <c r="Z51864">
        <v>400000</v>
      </c>
    </row>
    <row r="51865" spans="26:26" x14ac:dyDescent="0.25">
      <c r="Z51865">
        <v>400000</v>
      </c>
    </row>
    <row r="51866" spans="26:26" x14ac:dyDescent="0.25">
      <c r="Z51866">
        <v>400000</v>
      </c>
    </row>
    <row r="51867" spans="26:26" x14ac:dyDescent="0.25">
      <c r="Z51867">
        <v>400000</v>
      </c>
    </row>
    <row r="51868" spans="26:26" x14ac:dyDescent="0.25">
      <c r="Z51868">
        <v>400000</v>
      </c>
    </row>
    <row r="51869" spans="26:26" x14ac:dyDescent="0.25">
      <c r="Z51869">
        <v>400000</v>
      </c>
    </row>
    <row r="51870" spans="26:26" x14ac:dyDescent="0.25">
      <c r="Z51870">
        <v>400000</v>
      </c>
    </row>
    <row r="51871" spans="26:26" x14ac:dyDescent="0.25">
      <c r="Z51871">
        <v>400000</v>
      </c>
    </row>
    <row r="51872" spans="26:26" x14ac:dyDescent="0.25">
      <c r="Z51872">
        <v>400000</v>
      </c>
    </row>
    <row r="51873" spans="26:26" x14ac:dyDescent="0.25">
      <c r="Z51873">
        <v>400000</v>
      </c>
    </row>
    <row r="51874" spans="26:26" x14ac:dyDescent="0.25">
      <c r="Z51874">
        <v>400000</v>
      </c>
    </row>
    <row r="51875" spans="26:26" x14ac:dyDescent="0.25">
      <c r="Z51875">
        <v>400000</v>
      </c>
    </row>
    <row r="51876" spans="26:26" x14ac:dyDescent="0.25">
      <c r="Z51876">
        <v>400000</v>
      </c>
    </row>
    <row r="51877" spans="26:26" x14ac:dyDescent="0.25">
      <c r="Z51877">
        <v>400000</v>
      </c>
    </row>
    <row r="51878" spans="26:26" x14ac:dyDescent="0.25">
      <c r="Z51878">
        <v>400000</v>
      </c>
    </row>
    <row r="51879" spans="26:26" x14ac:dyDescent="0.25">
      <c r="Z51879">
        <v>400000</v>
      </c>
    </row>
    <row r="51880" spans="26:26" x14ac:dyDescent="0.25">
      <c r="Z51880">
        <v>400000</v>
      </c>
    </row>
    <row r="51881" spans="26:26" x14ac:dyDescent="0.25">
      <c r="Z51881">
        <v>400000</v>
      </c>
    </row>
    <row r="51882" spans="26:26" x14ac:dyDescent="0.25">
      <c r="Z51882">
        <v>400000</v>
      </c>
    </row>
    <row r="51883" spans="26:26" x14ac:dyDescent="0.25">
      <c r="Z51883">
        <v>400000</v>
      </c>
    </row>
    <row r="51884" spans="26:26" x14ac:dyDescent="0.25">
      <c r="Z51884">
        <v>400000</v>
      </c>
    </row>
    <row r="51885" spans="26:26" x14ac:dyDescent="0.25">
      <c r="Z51885">
        <v>400000</v>
      </c>
    </row>
    <row r="51886" spans="26:26" x14ac:dyDescent="0.25">
      <c r="Z51886">
        <v>400000</v>
      </c>
    </row>
    <row r="51887" spans="26:26" x14ac:dyDescent="0.25">
      <c r="Z51887">
        <v>400000</v>
      </c>
    </row>
    <row r="51888" spans="26:26" x14ac:dyDescent="0.25">
      <c r="Z51888">
        <v>400000</v>
      </c>
    </row>
    <row r="51889" spans="26:26" x14ac:dyDescent="0.25">
      <c r="Z51889">
        <v>400000</v>
      </c>
    </row>
    <row r="51890" spans="26:26" x14ac:dyDescent="0.25">
      <c r="Z51890">
        <v>400000</v>
      </c>
    </row>
    <row r="51891" spans="26:26" x14ac:dyDescent="0.25">
      <c r="Z51891">
        <v>400000</v>
      </c>
    </row>
    <row r="51892" spans="26:26" x14ac:dyDescent="0.25">
      <c r="Z51892">
        <v>400000</v>
      </c>
    </row>
    <row r="51893" spans="26:26" x14ac:dyDescent="0.25">
      <c r="Z51893">
        <v>400000</v>
      </c>
    </row>
    <row r="51894" spans="26:26" x14ac:dyDescent="0.25">
      <c r="Z51894">
        <v>400000</v>
      </c>
    </row>
    <row r="51895" spans="26:26" x14ac:dyDescent="0.25">
      <c r="Z51895">
        <v>400000</v>
      </c>
    </row>
    <row r="51896" spans="26:26" x14ac:dyDescent="0.25">
      <c r="Z51896">
        <v>400000</v>
      </c>
    </row>
    <row r="51897" spans="26:26" x14ac:dyDescent="0.25">
      <c r="Z51897">
        <v>400000</v>
      </c>
    </row>
    <row r="51898" spans="26:26" x14ac:dyDescent="0.25">
      <c r="Z51898">
        <v>400000</v>
      </c>
    </row>
    <row r="51899" spans="26:26" x14ac:dyDescent="0.25">
      <c r="Z51899">
        <v>400000</v>
      </c>
    </row>
    <row r="51900" spans="26:26" x14ac:dyDescent="0.25">
      <c r="Z51900">
        <v>400000</v>
      </c>
    </row>
    <row r="51901" spans="26:26" x14ac:dyDescent="0.25">
      <c r="Z51901">
        <v>400000</v>
      </c>
    </row>
    <row r="51902" spans="26:26" x14ac:dyDescent="0.25">
      <c r="Z51902">
        <v>400000</v>
      </c>
    </row>
    <row r="51903" spans="26:26" x14ac:dyDescent="0.25">
      <c r="Z51903">
        <v>400000</v>
      </c>
    </row>
    <row r="51904" spans="26:26" x14ac:dyDescent="0.25">
      <c r="Z51904">
        <v>400000</v>
      </c>
    </row>
    <row r="51905" spans="26:26" x14ac:dyDescent="0.25">
      <c r="Z51905">
        <v>400000</v>
      </c>
    </row>
    <row r="51906" spans="26:26" x14ac:dyDescent="0.25">
      <c r="Z51906">
        <v>400000</v>
      </c>
    </row>
    <row r="51907" spans="26:26" x14ac:dyDescent="0.25">
      <c r="Z51907">
        <v>400000</v>
      </c>
    </row>
    <row r="51908" spans="26:26" x14ac:dyDescent="0.25">
      <c r="Z51908">
        <v>400000</v>
      </c>
    </row>
    <row r="51909" spans="26:26" x14ac:dyDescent="0.25">
      <c r="Z51909">
        <v>400000</v>
      </c>
    </row>
    <row r="51910" spans="26:26" x14ac:dyDescent="0.25">
      <c r="Z51910">
        <v>400000</v>
      </c>
    </row>
    <row r="51911" spans="26:26" x14ac:dyDescent="0.25">
      <c r="Z51911">
        <v>400000</v>
      </c>
    </row>
    <row r="51912" spans="26:26" x14ac:dyDescent="0.25">
      <c r="Z51912">
        <v>400000</v>
      </c>
    </row>
    <row r="51913" spans="26:26" x14ac:dyDescent="0.25">
      <c r="Z51913">
        <v>400000</v>
      </c>
    </row>
    <row r="51914" spans="26:26" x14ac:dyDescent="0.25">
      <c r="Z51914">
        <v>400000</v>
      </c>
    </row>
    <row r="51915" spans="26:26" x14ac:dyDescent="0.25">
      <c r="Z51915">
        <v>400000</v>
      </c>
    </row>
    <row r="51916" spans="26:26" x14ac:dyDescent="0.25">
      <c r="Z51916">
        <v>400000</v>
      </c>
    </row>
    <row r="51917" spans="26:26" x14ac:dyDescent="0.25">
      <c r="Z51917">
        <v>400000</v>
      </c>
    </row>
    <row r="51918" spans="26:26" x14ac:dyDescent="0.25">
      <c r="Z51918">
        <v>400000</v>
      </c>
    </row>
    <row r="51919" spans="26:26" x14ac:dyDescent="0.25">
      <c r="Z51919">
        <v>400000</v>
      </c>
    </row>
    <row r="51920" spans="26:26" x14ac:dyDescent="0.25">
      <c r="Z51920">
        <v>400000</v>
      </c>
    </row>
    <row r="51921" spans="26:26" x14ac:dyDescent="0.25">
      <c r="Z51921">
        <v>400000</v>
      </c>
    </row>
    <row r="51922" spans="26:26" x14ac:dyDescent="0.25">
      <c r="Z51922">
        <v>400000</v>
      </c>
    </row>
    <row r="51923" spans="26:26" x14ac:dyDescent="0.25">
      <c r="Z51923">
        <v>400000</v>
      </c>
    </row>
    <row r="51924" spans="26:26" x14ac:dyDescent="0.25">
      <c r="Z51924">
        <v>400000</v>
      </c>
    </row>
    <row r="51925" spans="26:26" x14ac:dyDescent="0.25">
      <c r="Z51925">
        <v>400000</v>
      </c>
    </row>
    <row r="51926" spans="26:26" x14ac:dyDescent="0.25">
      <c r="Z51926">
        <v>400000</v>
      </c>
    </row>
    <row r="51927" spans="26:26" x14ac:dyDescent="0.25">
      <c r="Z51927">
        <v>400000</v>
      </c>
    </row>
    <row r="51928" spans="26:26" x14ac:dyDescent="0.25">
      <c r="Z51928">
        <v>400000</v>
      </c>
    </row>
    <row r="51929" spans="26:26" x14ac:dyDescent="0.25">
      <c r="Z51929">
        <v>400000</v>
      </c>
    </row>
    <row r="51930" spans="26:26" x14ac:dyDescent="0.25">
      <c r="Z51930">
        <v>400000</v>
      </c>
    </row>
    <row r="51931" spans="26:26" x14ac:dyDescent="0.25">
      <c r="Z51931">
        <v>400000</v>
      </c>
    </row>
    <row r="51932" spans="26:26" x14ac:dyDescent="0.25">
      <c r="Z51932">
        <v>400000</v>
      </c>
    </row>
    <row r="51933" spans="26:26" x14ac:dyDescent="0.25">
      <c r="Z51933">
        <v>400000</v>
      </c>
    </row>
    <row r="51934" spans="26:26" x14ac:dyDescent="0.25">
      <c r="Z51934">
        <v>400000</v>
      </c>
    </row>
    <row r="51935" spans="26:26" x14ac:dyDescent="0.25">
      <c r="Z51935">
        <v>400000</v>
      </c>
    </row>
    <row r="51936" spans="26:26" x14ac:dyDescent="0.25">
      <c r="Z51936">
        <v>400000</v>
      </c>
    </row>
    <row r="51937" spans="26:26" x14ac:dyDescent="0.25">
      <c r="Z51937">
        <v>400000</v>
      </c>
    </row>
    <row r="51938" spans="26:26" x14ac:dyDescent="0.25">
      <c r="Z51938">
        <v>400000</v>
      </c>
    </row>
    <row r="51939" spans="26:26" x14ac:dyDescent="0.25">
      <c r="Z51939">
        <v>400000</v>
      </c>
    </row>
    <row r="51940" spans="26:26" x14ac:dyDescent="0.25">
      <c r="Z51940">
        <v>400000</v>
      </c>
    </row>
    <row r="51941" spans="26:26" x14ac:dyDescent="0.25">
      <c r="Z51941">
        <v>400000</v>
      </c>
    </row>
    <row r="51942" spans="26:26" x14ac:dyDescent="0.25">
      <c r="Z51942">
        <v>400000</v>
      </c>
    </row>
    <row r="51943" spans="26:26" x14ac:dyDescent="0.25">
      <c r="Z51943">
        <v>400000</v>
      </c>
    </row>
    <row r="51944" spans="26:26" x14ac:dyDescent="0.25">
      <c r="Z51944">
        <v>400000</v>
      </c>
    </row>
    <row r="51945" spans="26:26" x14ac:dyDescent="0.25">
      <c r="Z51945">
        <v>400000</v>
      </c>
    </row>
    <row r="51946" spans="26:26" x14ac:dyDescent="0.25">
      <c r="Z51946">
        <v>400000</v>
      </c>
    </row>
    <row r="51947" spans="26:26" x14ac:dyDescent="0.25">
      <c r="Z51947">
        <v>400000</v>
      </c>
    </row>
    <row r="51948" spans="26:26" x14ac:dyDescent="0.25">
      <c r="Z51948">
        <v>400000</v>
      </c>
    </row>
    <row r="51949" spans="26:26" x14ac:dyDescent="0.25">
      <c r="Z51949">
        <v>400000</v>
      </c>
    </row>
    <row r="51950" spans="26:26" x14ac:dyDescent="0.25">
      <c r="Z51950">
        <v>400000</v>
      </c>
    </row>
    <row r="51951" spans="26:26" x14ac:dyDescent="0.25">
      <c r="Z51951">
        <v>400000</v>
      </c>
    </row>
    <row r="51952" spans="26:26" x14ac:dyDescent="0.25">
      <c r="Z51952">
        <v>400000</v>
      </c>
    </row>
    <row r="51953" spans="26:26" x14ac:dyDescent="0.25">
      <c r="Z51953">
        <v>400000</v>
      </c>
    </row>
    <row r="51954" spans="26:26" x14ac:dyDescent="0.25">
      <c r="Z51954">
        <v>400000</v>
      </c>
    </row>
    <row r="51955" spans="26:26" x14ac:dyDescent="0.25">
      <c r="Z51955">
        <v>400000</v>
      </c>
    </row>
    <row r="51956" spans="26:26" x14ac:dyDescent="0.25">
      <c r="Z51956">
        <v>400000</v>
      </c>
    </row>
    <row r="51957" spans="26:26" x14ac:dyDescent="0.25">
      <c r="Z51957">
        <v>400000</v>
      </c>
    </row>
    <row r="51958" spans="26:26" x14ac:dyDescent="0.25">
      <c r="Z51958">
        <v>400000</v>
      </c>
    </row>
    <row r="51959" spans="26:26" x14ac:dyDescent="0.25">
      <c r="Z51959">
        <v>400000</v>
      </c>
    </row>
    <row r="51960" spans="26:26" x14ac:dyDescent="0.25">
      <c r="Z51960">
        <v>400000</v>
      </c>
    </row>
    <row r="51961" spans="26:26" x14ac:dyDescent="0.25">
      <c r="Z51961">
        <v>400000</v>
      </c>
    </row>
    <row r="51962" spans="26:26" x14ac:dyDescent="0.25">
      <c r="Z51962">
        <v>400000</v>
      </c>
    </row>
    <row r="51963" spans="26:26" x14ac:dyDescent="0.25">
      <c r="Z51963">
        <v>400000</v>
      </c>
    </row>
    <row r="51964" spans="26:26" x14ac:dyDescent="0.25">
      <c r="Z51964">
        <v>400000</v>
      </c>
    </row>
    <row r="51965" spans="26:26" x14ac:dyDescent="0.25">
      <c r="Z51965">
        <v>400000</v>
      </c>
    </row>
    <row r="51966" spans="26:26" x14ac:dyDescent="0.25">
      <c r="Z51966">
        <v>400000</v>
      </c>
    </row>
    <row r="51967" spans="26:26" x14ac:dyDescent="0.25">
      <c r="Z51967">
        <v>400000</v>
      </c>
    </row>
    <row r="51968" spans="26:26" x14ac:dyDescent="0.25">
      <c r="Z51968">
        <v>400000</v>
      </c>
    </row>
    <row r="51969" spans="26:26" x14ac:dyDescent="0.25">
      <c r="Z51969">
        <v>400000</v>
      </c>
    </row>
    <row r="51970" spans="26:26" x14ac:dyDescent="0.25">
      <c r="Z51970">
        <v>400000</v>
      </c>
    </row>
    <row r="51971" spans="26:26" x14ac:dyDescent="0.25">
      <c r="Z51971">
        <v>400000</v>
      </c>
    </row>
    <row r="51972" spans="26:26" x14ac:dyDescent="0.25">
      <c r="Z51972">
        <v>400000</v>
      </c>
    </row>
    <row r="51973" spans="26:26" x14ac:dyDescent="0.25">
      <c r="Z51973">
        <v>400000</v>
      </c>
    </row>
    <row r="51974" spans="26:26" x14ac:dyDescent="0.25">
      <c r="Z51974">
        <v>400000</v>
      </c>
    </row>
    <row r="51975" spans="26:26" x14ac:dyDescent="0.25">
      <c r="Z51975">
        <v>400000</v>
      </c>
    </row>
    <row r="51976" spans="26:26" x14ac:dyDescent="0.25">
      <c r="Z51976">
        <v>400000</v>
      </c>
    </row>
    <row r="51977" spans="26:26" x14ac:dyDescent="0.25">
      <c r="Z51977">
        <v>400000</v>
      </c>
    </row>
    <row r="51978" spans="26:26" x14ac:dyDescent="0.25">
      <c r="Z51978">
        <v>400000</v>
      </c>
    </row>
    <row r="51979" spans="26:26" x14ac:dyDescent="0.25">
      <c r="Z51979">
        <v>400000</v>
      </c>
    </row>
    <row r="51980" spans="26:26" x14ac:dyDescent="0.25">
      <c r="Z51980">
        <v>400000</v>
      </c>
    </row>
    <row r="51981" spans="26:26" x14ac:dyDescent="0.25">
      <c r="Z51981">
        <v>400000</v>
      </c>
    </row>
    <row r="51982" spans="26:26" x14ac:dyDescent="0.25">
      <c r="Z51982">
        <v>400000</v>
      </c>
    </row>
    <row r="51983" spans="26:26" x14ac:dyDescent="0.25">
      <c r="Z51983">
        <v>400000</v>
      </c>
    </row>
    <row r="51984" spans="26:26" x14ac:dyDescent="0.25">
      <c r="Z51984">
        <v>400000</v>
      </c>
    </row>
    <row r="51985" spans="26:26" x14ac:dyDescent="0.25">
      <c r="Z51985">
        <v>400000</v>
      </c>
    </row>
    <row r="51986" spans="26:26" x14ac:dyDescent="0.25">
      <c r="Z51986">
        <v>400000</v>
      </c>
    </row>
    <row r="51987" spans="26:26" x14ac:dyDescent="0.25">
      <c r="Z51987">
        <v>400000</v>
      </c>
    </row>
    <row r="51988" spans="26:26" x14ac:dyDescent="0.25">
      <c r="Z51988">
        <v>400000</v>
      </c>
    </row>
    <row r="51989" spans="26:26" x14ac:dyDescent="0.25">
      <c r="Z51989">
        <v>400000</v>
      </c>
    </row>
    <row r="51990" spans="26:26" x14ac:dyDescent="0.25">
      <c r="Z51990">
        <v>400000</v>
      </c>
    </row>
    <row r="51991" spans="26:26" x14ac:dyDescent="0.25">
      <c r="Z51991">
        <v>400000</v>
      </c>
    </row>
    <row r="51992" spans="26:26" x14ac:dyDescent="0.25">
      <c r="Z51992">
        <v>400000</v>
      </c>
    </row>
    <row r="51993" spans="26:26" x14ac:dyDescent="0.25">
      <c r="Z51993">
        <v>400000</v>
      </c>
    </row>
    <row r="51994" spans="26:26" x14ac:dyDescent="0.25">
      <c r="Z51994">
        <v>400000</v>
      </c>
    </row>
    <row r="51995" spans="26:26" x14ac:dyDescent="0.25">
      <c r="Z51995">
        <v>400000</v>
      </c>
    </row>
    <row r="51996" spans="26:26" x14ac:dyDescent="0.25">
      <c r="Z51996">
        <v>400000</v>
      </c>
    </row>
    <row r="51997" spans="26:26" x14ac:dyDescent="0.25">
      <c r="Z51997">
        <v>400000</v>
      </c>
    </row>
    <row r="51998" spans="26:26" x14ac:dyDescent="0.25">
      <c r="Z51998">
        <v>400000</v>
      </c>
    </row>
    <row r="51999" spans="26:26" x14ac:dyDescent="0.25">
      <c r="Z51999">
        <v>400000</v>
      </c>
    </row>
    <row r="52000" spans="26:26" x14ac:dyDescent="0.25">
      <c r="Z52000">
        <v>400000</v>
      </c>
    </row>
    <row r="52001" spans="26:26" x14ac:dyDescent="0.25">
      <c r="Z52001">
        <v>400000</v>
      </c>
    </row>
    <row r="52002" spans="26:26" x14ac:dyDescent="0.25">
      <c r="Z52002">
        <v>400000</v>
      </c>
    </row>
    <row r="52003" spans="26:26" x14ac:dyDescent="0.25">
      <c r="Z52003">
        <v>400000</v>
      </c>
    </row>
    <row r="52004" spans="26:26" x14ac:dyDescent="0.25">
      <c r="Z52004">
        <v>400000</v>
      </c>
    </row>
    <row r="52005" spans="26:26" x14ac:dyDescent="0.25">
      <c r="Z52005">
        <v>400000</v>
      </c>
    </row>
    <row r="52006" spans="26:26" x14ac:dyDescent="0.25">
      <c r="Z52006">
        <v>400000</v>
      </c>
    </row>
    <row r="52007" spans="26:26" x14ac:dyDescent="0.25">
      <c r="Z52007">
        <v>400000</v>
      </c>
    </row>
    <row r="52008" spans="26:26" x14ac:dyDescent="0.25">
      <c r="Z52008">
        <v>400000</v>
      </c>
    </row>
    <row r="52009" spans="26:26" x14ac:dyDescent="0.25">
      <c r="Z52009">
        <v>400000</v>
      </c>
    </row>
    <row r="52010" spans="26:26" x14ac:dyDescent="0.25">
      <c r="Z52010">
        <v>400000</v>
      </c>
    </row>
    <row r="52011" spans="26:26" x14ac:dyDescent="0.25">
      <c r="Z52011">
        <v>400000</v>
      </c>
    </row>
    <row r="52012" spans="26:26" x14ac:dyDescent="0.25">
      <c r="Z52012">
        <v>400000</v>
      </c>
    </row>
    <row r="52013" spans="26:26" x14ac:dyDescent="0.25">
      <c r="Z52013">
        <v>400000</v>
      </c>
    </row>
    <row r="52014" spans="26:26" x14ac:dyDescent="0.25">
      <c r="Z52014">
        <v>400000</v>
      </c>
    </row>
    <row r="52015" spans="26:26" x14ac:dyDescent="0.25">
      <c r="Z52015">
        <v>400000</v>
      </c>
    </row>
    <row r="52016" spans="26:26" x14ac:dyDescent="0.25">
      <c r="Z52016">
        <v>400000</v>
      </c>
    </row>
    <row r="52017" spans="26:26" x14ac:dyDescent="0.25">
      <c r="Z52017">
        <v>400000</v>
      </c>
    </row>
    <row r="52018" spans="26:26" x14ac:dyDescent="0.25">
      <c r="Z52018">
        <v>400000</v>
      </c>
    </row>
    <row r="52019" spans="26:26" x14ac:dyDescent="0.25">
      <c r="Z52019">
        <v>400000</v>
      </c>
    </row>
    <row r="52020" spans="26:26" x14ac:dyDescent="0.25">
      <c r="Z52020">
        <v>400000</v>
      </c>
    </row>
    <row r="52021" spans="26:26" x14ac:dyDescent="0.25">
      <c r="Z52021">
        <v>400000</v>
      </c>
    </row>
    <row r="52022" spans="26:26" x14ac:dyDescent="0.25">
      <c r="Z52022">
        <v>400000</v>
      </c>
    </row>
    <row r="52023" spans="26:26" x14ac:dyDescent="0.25">
      <c r="Z52023">
        <v>400000</v>
      </c>
    </row>
    <row r="52024" spans="26:26" x14ac:dyDescent="0.25">
      <c r="Z52024">
        <v>400000</v>
      </c>
    </row>
    <row r="52025" spans="26:26" x14ac:dyDescent="0.25">
      <c r="Z52025">
        <v>400000</v>
      </c>
    </row>
    <row r="52026" spans="26:26" x14ac:dyDescent="0.25">
      <c r="Z52026">
        <v>400000</v>
      </c>
    </row>
    <row r="52027" spans="26:26" x14ac:dyDescent="0.25">
      <c r="Z52027">
        <v>400000</v>
      </c>
    </row>
    <row r="52028" spans="26:26" x14ac:dyDescent="0.25">
      <c r="Z52028">
        <v>400000</v>
      </c>
    </row>
    <row r="52029" spans="26:26" x14ac:dyDescent="0.25">
      <c r="Z52029">
        <v>400000</v>
      </c>
    </row>
    <row r="52030" spans="26:26" x14ac:dyDescent="0.25">
      <c r="Z52030">
        <v>400000</v>
      </c>
    </row>
    <row r="52031" spans="26:26" x14ac:dyDescent="0.25">
      <c r="Z52031">
        <v>400000</v>
      </c>
    </row>
    <row r="52032" spans="26:26" x14ac:dyDescent="0.25">
      <c r="Z52032">
        <v>400000</v>
      </c>
    </row>
    <row r="52033" spans="26:26" x14ac:dyDescent="0.25">
      <c r="Z52033">
        <v>400000</v>
      </c>
    </row>
    <row r="52034" spans="26:26" x14ac:dyDescent="0.25">
      <c r="Z52034">
        <v>400000</v>
      </c>
    </row>
    <row r="52035" spans="26:26" x14ac:dyDescent="0.25">
      <c r="Z52035">
        <v>400000</v>
      </c>
    </row>
    <row r="52036" spans="26:26" x14ac:dyDescent="0.25">
      <c r="Z52036">
        <v>400000</v>
      </c>
    </row>
    <row r="52037" spans="26:26" x14ac:dyDescent="0.25">
      <c r="Z52037">
        <v>400000</v>
      </c>
    </row>
    <row r="52038" spans="26:26" x14ac:dyDescent="0.25">
      <c r="Z52038">
        <v>400000</v>
      </c>
    </row>
    <row r="52039" spans="26:26" x14ac:dyDescent="0.25">
      <c r="Z52039">
        <v>400000</v>
      </c>
    </row>
    <row r="52040" spans="26:26" x14ac:dyDescent="0.25">
      <c r="Z52040">
        <v>400000</v>
      </c>
    </row>
    <row r="52041" spans="26:26" x14ac:dyDescent="0.25">
      <c r="Z52041">
        <v>400000</v>
      </c>
    </row>
    <row r="52042" spans="26:26" x14ac:dyDescent="0.25">
      <c r="Z52042">
        <v>400000</v>
      </c>
    </row>
    <row r="52043" spans="26:26" x14ac:dyDescent="0.25">
      <c r="Z52043">
        <v>400000</v>
      </c>
    </row>
    <row r="52044" spans="26:26" x14ac:dyDescent="0.25">
      <c r="Z52044">
        <v>400000</v>
      </c>
    </row>
    <row r="52045" spans="26:26" x14ac:dyDescent="0.25">
      <c r="Z52045">
        <v>400000</v>
      </c>
    </row>
    <row r="52046" spans="26:26" x14ac:dyDescent="0.25">
      <c r="Z52046">
        <v>400000</v>
      </c>
    </row>
    <row r="52047" spans="26:26" x14ac:dyDescent="0.25">
      <c r="Z52047">
        <v>400000</v>
      </c>
    </row>
    <row r="52048" spans="26:26" x14ac:dyDescent="0.25">
      <c r="Z52048">
        <v>400000</v>
      </c>
    </row>
    <row r="52049" spans="26:26" x14ac:dyDescent="0.25">
      <c r="Z52049">
        <v>400000</v>
      </c>
    </row>
    <row r="52050" spans="26:26" x14ac:dyDescent="0.25">
      <c r="Z52050">
        <v>400000</v>
      </c>
    </row>
    <row r="52051" spans="26:26" x14ac:dyDescent="0.25">
      <c r="Z52051">
        <v>400000</v>
      </c>
    </row>
    <row r="52052" spans="26:26" x14ac:dyDescent="0.25">
      <c r="Z52052">
        <v>400000</v>
      </c>
    </row>
    <row r="52053" spans="26:26" x14ac:dyDescent="0.25">
      <c r="Z52053">
        <v>400000</v>
      </c>
    </row>
    <row r="52054" spans="26:26" x14ac:dyDescent="0.25">
      <c r="Z52054">
        <v>400000</v>
      </c>
    </row>
    <row r="52055" spans="26:26" x14ac:dyDescent="0.25">
      <c r="Z52055">
        <v>400000</v>
      </c>
    </row>
    <row r="52056" spans="26:26" x14ac:dyDescent="0.25">
      <c r="Z52056">
        <v>400000</v>
      </c>
    </row>
    <row r="52057" spans="26:26" x14ac:dyDescent="0.25">
      <c r="Z52057">
        <v>400000</v>
      </c>
    </row>
    <row r="52058" spans="26:26" x14ac:dyDescent="0.25">
      <c r="Z52058">
        <v>400000</v>
      </c>
    </row>
    <row r="52059" spans="26:26" x14ac:dyDescent="0.25">
      <c r="Z52059">
        <v>400000</v>
      </c>
    </row>
    <row r="52060" spans="26:26" x14ac:dyDescent="0.25">
      <c r="Z52060">
        <v>400000</v>
      </c>
    </row>
    <row r="52061" spans="26:26" x14ac:dyDescent="0.25">
      <c r="Z52061">
        <v>400000</v>
      </c>
    </row>
    <row r="52062" spans="26:26" x14ac:dyDescent="0.25">
      <c r="Z52062">
        <v>400000</v>
      </c>
    </row>
    <row r="52063" spans="26:26" x14ac:dyDescent="0.25">
      <c r="Z52063">
        <v>400000</v>
      </c>
    </row>
    <row r="52064" spans="26:26" x14ac:dyDescent="0.25">
      <c r="Z52064">
        <v>400000</v>
      </c>
    </row>
    <row r="52065" spans="26:26" x14ac:dyDescent="0.25">
      <c r="Z52065">
        <v>400000</v>
      </c>
    </row>
    <row r="52066" spans="26:26" x14ac:dyDescent="0.25">
      <c r="Z52066">
        <v>400000</v>
      </c>
    </row>
    <row r="52067" spans="26:26" x14ac:dyDescent="0.25">
      <c r="Z52067">
        <v>400000</v>
      </c>
    </row>
    <row r="52068" spans="26:26" x14ac:dyDescent="0.25">
      <c r="Z52068">
        <v>400000</v>
      </c>
    </row>
    <row r="52069" spans="26:26" x14ac:dyDescent="0.25">
      <c r="Z52069">
        <v>400000</v>
      </c>
    </row>
    <row r="52070" spans="26:26" x14ac:dyDescent="0.25">
      <c r="Z52070">
        <v>400000</v>
      </c>
    </row>
    <row r="52071" spans="26:26" x14ac:dyDescent="0.25">
      <c r="Z52071">
        <v>400000</v>
      </c>
    </row>
    <row r="52072" spans="26:26" x14ac:dyDescent="0.25">
      <c r="Z52072">
        <v>400000</v>
      </c>
    </row>
    <row r="52073" spans="26:26" x14ac:dyDescent="0.25">
      <c r="Z52073">
        <v>400000</v>
      </c>
    </row>
    <row r="52074" spans="26:26" x14ac:dyDescent="0.25">
      <c r="Z52074">
        <v>400000</v>
      </c>
    </row>
    <row r="52075" spans="26:26" x14ac:dyDescent="0.25">
      <c r="Z52075">
        <v>400000</v>
      </c>
    </row>
    <row r="52076" spans="26:26" x14ac:dyDescent="0.25">
      <c r="Z52076">
        <v>400000</v>
      </c>
    </row>
    <row r="52077" spans="26:26" x14ac:dyDescent="0.25">
      <c r="Z52077">
        <v>400000</v>
      </c>
    </row>
    <row r="52078" spans="26:26" x14ac:dyDescent="0.25">
      <c r="Z52078">
        <v>400000</v>
      </c>
    </row>
    <row r="52079" spans="26:26" x14ac:dyDescent="0.25">
      <c r="Z52079">
        <v>400000</v>
      </c>
    </row>
    <row r="52080" spans="26:26" x14ac:dyDescent="0.25">
      <c r="Z52080">
        <v>400000</v>
      </c>
    </row>
    <row r="52081" spans="26:26" x14ac:dyDescent="0.25">
      <c r="Z52081">
        <v>400000</v>
      </c>
    </row>
    <row r="52082" spans="26:26" x14ac:dyDescent="0.25">
      <c r="Z52082">
        <v>400000</v>
      </c>
    </row>
    <row r="52083" spans="26:26" x14ac:dyDescent="0.25">
      <c r="Z52083">
        <v>400000</v>
      </c>
    </row>
    <row r="52084" spans="26:26" x14ac:dyDescent="0.25">
      <c r="Z52084">
        <v>400000</v>
      </c>
    </row>
    <row r="52085" spans="26:26" x14ac:dyDescent="0.25">
      <c r="Z52085">
        <v>400000</v>
      </c>
    </row>
    <row r="52086" spans="26:26" x14ac:dyDescent="0.25">
      <c r="Z52086">
        <v>400000</v>
      </c>
    </row>
    <row r="52087" spans="26:26" x14ac:dyDescent="0.25">
      <c r="Z52087">
        <v>400000</v>
      </c>
    </row>
    <row r="52088" spans="26:26" x14ac:dyDescent="0.25">
      <c r="Z52088">
        <v>400000</v>
      </c>
    </row>
    <row r="52089" spans="26:26" x14ac:dyDescent="0.25">
      <c r="Z52089">
        <v>400000</v>
      </c>
    </row>
    <row r="52090" spans="26:26" x14ac:dyDescent="0.25">
      <c r="Z52090">
        <v>400000</v>
      </c>
    </row>
    <row r="52091" spans="26:26" x14ac:dyDescent="0.25">
      <c r="Z52091">
        <v>400000</v>
      </c>
    </row>
    <row r="52092" spans="26:26" x14ac:dyDescent="0.25">
      <c r="Z52092">
        <v>400000</v>
      </c>
    </row>
    <row r="52093" spans="26:26" x14ac:dyDescent="0.25">
      <c r="Z52093">
        <v>400000</v>
      </c>
    </row>
    <row r="52094" spans="26:26" x14ac:dyDescent="0.25">
      <c r="Z52094">
        <v>400000</v>
      </c>
    </row>
    <row r="52095" spans="26:26" x14ac:dyDescent="0.25">
      <c r="Z52095">
        <v>400000</v>
      </c>
    </row>
    <row r="52096" spans="26:26" x14ac:dyDescent="0.25">
      <c r="Z52096">
        <v>400000</v>
      </c>
    </row>
    <row r="52097" spans="26:26" x14ac:dyDescent="0.25">
      <c r="Z52097">
        <v>400000</v>
      </c>
    </row>
    <row r="52098" spans="26:26" x14ac:dyDescent="0.25">
      <c r="Z52098">
        <v>400000</v>
      </c>
    </row>
    <row r="52099" spans="26:26" x14ac:dyDescent="0.25">
      <c r="Z52099">
        <v>400000</v>
      </c>
    </row>
    <row r="52100" spans="26:26" x14ac:dyDescent="0.25">
      <c r="Z52100">
        <v>400000</v>
      </c>
    </row>
    <row r="52101" spans="26:26" x14ac:dyDescent="0.25">
      <c r="Z52101">
        <v>400000</v>
      </c>
    </row>
    <row r="52102" spans="26:26" x14ac:dyDescent="0.25">
      <c r="Z52102">
        <v>400000</v>
      </c>
    </row>
    <row r="52103" spans="26:26" x14ac:dyDescent="0.25">
      <c r="Z52103">
        <v>400000</v>
      </c>
    </row>
    <row r="52104" spans="26:26" x14ac:dyDescent="0.25">
      <c r="Z52104">
        <v>400000</v>
      </c>
    </row>
    <row r="52105" spans="26:26" x14ac:dyDescent="0.25">
      <c r="Z52105">
        <v>400000</v>
      </c>
    </row>
    <row r="52106" spans="26:26" x14ac:dyDescent="0.25">
      <c r="Z52106">
        <v>400000</v>
      </c>
    </row>
    <row r="52107" spans="26:26" x14ac:dyDescent="0.25">
      <c r="Z52107">
        <v>400000</v>
      </c>
    </row>
    <row r="52108" spans="26:26" x14ac:dyDescent="0.25">
      <c r="Z52108">
        <v>400000</v>
      </c>
    </row>
    <row r="52109" spans="26:26" x14ac:dyDescent="0.25">
      <c r="Z52109">
        <v>400000</v>
      </c>
    </row>
    <row r="52110" spans="26:26" x14ac:dyDescent="0.25">
      <c r="Z52110">
        <v>400000</v>
      </c>
    </row>
    <row r="52111" spans="26:26" x14ac:dyDescent="0.25">
      <c r="Z52111">
        <v>400000</v>
      </c>
    </row>
    <row r="52112" spans="26:26" x14ac:dyDescent="0.25">
      <c r="Z52112">
        <v>400000</v>
      </c>
    </row>
    <row r="52113" spans="26:26" x14ac:dyDescent="0.25">
      <c r="Z52113">
        <v>400000</v>
      </c>
    </row>
    <row r="52114" spans="26:26" x14ac:dyDescent="0.25">
      <c r="Z52114">
        <v>400000</v>
      </c>
    </row>
    <row r="52115" spans="26:26" x14ac:dyDescent="0.25">
      <c r="Z52115">
        <v>400000</v>
      </c>
    </row>
    <row r="52116" spans="26:26" x14ac:dyDescent="0.25">
      <c r="Z52116">
        <v>400000</v>
      </c>
    </row>
    <row r="52117" spans="26:26" x14ac:dyDescent="0.25">
      <c r="Z52117">
        <v>400000</v>
      </c>
    </row>
    <row r="52118" spans="26:26" x14ac:dyDescent="0.25">
      <c r="Z52118">
        <v>400000</v>
      </c>
    </row>
    <row r="52119" spans="26:26" x14ac:dyDescent="0.25">
      <c r="Z52119">
        <v>400000</v>
      </c>
    </row>
    <row r="52120" spans="26:26" x14ac:dyDescent="0.25">
      <c r="Z52120">
        <v>400000</v>
      </c>
    </row>
    <row r="52121" spans="26:26" x14ac:dyDescent="0.25">
      <c r="Z52121">
        <v>400000</v>
      </c>
    </row>
    <row r="52122" spans="26:26" x14ac:dyDescent="0.25">
      <c r="Z52122">
        <v>400000</v>
      </c>
    </row>
    <row r="52123" spans="26:26" x14ac:dyDescent="0.25">
      <c r="Z52123">
        <v>400000</v>
      </c>
    </row>
    <row r="52124" spans="26:26" x14ac:dyDescent="0.25">
      <c r="Z52124">
        <v>400000</v>
      </c>
    </row>
    <row r="52125" spans="26:26" x14ac:dyDescent="0.25">
      <c r="Z52125">
        <v>400000</v>
      </c>
    </row>
    <row r="52126" spans="26:26" x14ac:dyDescent="0.25">
      <c r="Z52126">
        <v>400000</v>
      </c>
    </row>
    <row r="52127" spans="26:26" x14ac:dyDescent="0.25">
      <c r="Z52127">
        <v>400000</v>
      </c>
    </row>
    <row r="52128" spans="26:26" x14ac:dyDescent="0.25">
      <c r="Z52128">
        <v>400000</v>
      </c>
    </row>
    <row r="52129" spans="26:26" x14ac:dyDescent="0.25">
      <c r="Z52129">
        <v>400000</v>
      </c>
    </row>
    <row r="52130" spans="26:26" x14ac:dyDescent="0.25">
      <c r="Z52130">
        <v>400000</v>
      </c>
    </row>
    <row r="52131" spans="26:26" x14ac:dyDescent="0.25">
      <c r="Z52131">
        <v>400000</v>
      </c>
    </row>
    <row r="52132" spans="26:26" x14ac:dyDescent="0.25">
      <c r="Z52132">
        <v>400000</v>
      </c>
    </row>
    <row r="52133" spans="26:26" x14ac:dyDescent="0.25">
      <c r="Z52133">
        <v>400000</v>
      </c>
    </row>
    <row r="52134" spans="26:26" x14ac:dyDescent="0.25">
      <c r="Z52134">
        <v>400000</v>
      </c>
    </row>
    <row r="52135" spans="26:26" x14ac:dyDescent="0.25">
      <c r="Z52135">
        <v>400000</v>
      </c>
    </row>
    <row r="52136" spans="26:26" x14ac:dyDescent="0.25">
      <c r="Z52136">
        <v>400000</v>
      </c>
    </row>
    <row r="52137" spans="26:26" x14ac:dyDescent="0.25">
      <c r="Z52137">
        <v>400000</v>
      </c>
    </row>
    <row r="52138" spans="26:26" x14ac:dyDescent="0.25">
      <c r="Z52138">
        <v>400000</v>
      </c>
    </row>
    <row r="52139" spans="26:26" x14ac:dyDescent="0.25">
      <c r="Z52139">
        <v>400000</v>
      </c>
    </row>
    <row r="52140" spans="26:26" x14ac:dyDescent="0.25">
      <c r="Z52140">
        <v>400000</v>
      </c>
    </row>
    <row r="52141" spans="26:26" x14ac:dyDescent="0.25">
      <c r="Z52141">
        <v>400000</v>
      </c>
    </row>
    <row r="52142" spans="26:26" x14ac:dyDescent="0.25">
      <c r="Z52142">
        <v>400000</v>
      </c>
    </row>
    <row r="52143" spans="26:26" x14ac:dyDescent="0.25">
      <c r="Z52143">
        <v>400000</v>
      </c>
    </row>
    <row r="52144" spans="26:26" x14ac:dyDescent="0.25">
      <c r="Z52144">
        <v>400000</v>
      </c>
    </row>
    <row r="52145" spans="26:26" x14ac:dyDescent="0.25">
      <c r="Z52145">
        <v>400000</v>
      </c>
    </row>
    <row r="52146" spans="26:26" x14ac:dyDescent="0.25">
      <c r="Z52146">
        <v>400000</v>
      </c>
    </row>
    <row r="52147" spans="26:26" x14ac:dyDescent="0.25">
      <c r="Z52147">
        <v>400000</v>
      </c>
    </row>
    <row r="52148" spans="26:26" x14ac:dyDescent="0.25">
      <c r="Z52148">
        <v>400000</v>
      </c>
    </row>
    <row r="52149" spans="26:26" x14ac:dyDescent="0.25">
      <c r="Z52149">
        <v>400000</v>
      </c>
    </row>
    <row r="52150" spans="26:26" x14ac:dyDescent="0.25">
      <c r="Z52150">
        <v>400000</v>
      </c>
    </row>
    <row r="52151" spans="26:26" x14ac:dyDescent="0.25">
      <c r="Z52151">
        <v>400000</v>
      </c>
    </row>
    <row r="52152" spans="26:26" x14ac:dyDescent="0.25">
      <c r="Z52152">
        <v>400000</v>
      </c>
    </row>
    <row r="52153" spans="26:26" x14ac:dyDescent="0.25">
      <c r="Z52153">
        <v>400000</v>
      </c>
    </row>
    <row r="52154" spans="26:26" x14ac:dyDescent="0.25">
      <c r="Z52154">
        <v>400000</v>
      </c>
    </row>
    <row r="52155" spans="26:26" x14ac:dyDescent="0.25">
      <c r="Z52155">
        <v>400000</v>
      </c>
    </row>
    <row r="52156" spans="26:26" x14ac:dyDescent="0.25">
      <c r="Z52156">
        <v>400000</v>
      </c>
    </row>
    <row r="52157" spans="26:26" x14ac:dyDescent="0.25">
      <c r="Z52157">
        <v>400000</v>
      </c>
    </row>
    <row r="52158" spans="26:26" x14ac:dyDescent="0.25">
      <c r="Z52158">
        <v>400000</v>
      </c>
    </row>
    <row r="52159" spans="26:26" x14ac:dyDescent="0.25">
      <c r="Z52159">
        <v>400000</v>
      </c>
    </row>
    <row r="52160" spans="26:26" x14ac:dyDescent="0.25">
      <c r="Z52160">
        <v>400000</v>
      </c>
    </row>
    <row r="52161" spans="26:26" x14ac:dyDescent="0.25">
      <c r="Z52161">
        <v>400000</v>
      </c>
    </row>
    <row r="52162" spans="26:26" x14ac:dyDescent="0.25">
      <c r="Z52162">
        <v>400000</v>
      </c>
    </row>
    <row r="52163" spans="26:26" x14ac:dyDescent="0.25">
      <c r="Z52163">
        <v>400000</v>
      </c>
    </row>
    <row r="52164" spans="26:26" x14ac:dyDescent="0.25">
      <c r="Z52164">
        <v>400000</v>
      </c>
    </row>
    <row r="52165" spans="26:26" x14ac:dyDescent="0.25">
      <c r="Z52165">
        <v>400000</v>
      </c>
    </row>
    <row r="52166" spans="26:26" x14ac:dyDescent="0.25">
      <c r="Z52166">
        <v>400000</v>
      </c>
    </row>
    <row r="52167" spans="26:26" x14ac:dyDescent="0.25">
      <c r="Z52167">
        <v>400000</v>
      </c>
    </row>
    <row r="52168" spans="26:26" x14ac:dyDescent="0.25">
      <c r="Z52168">
        <v>400000</v>
      </c>
    </row>
    <row r="52169" spans="26:26" x14ac:dyDescent="0.25">
      <c r="Z52169">
        <v>400000</v>
      </c>
    </row>
    <row r="52170" spans="26:26" x14ac:dyDescent="0.25">
      <c r="Z52170">
        <v>400000</v>
      </c>
    </row>
    <row r="52171" spans="26:26" x14ac:dyDescent="0.25">
      <c r="Z52171">
        <v>400000</v>
      </c>
    </row>
    <row r="52172" spans="26:26" x14ac:dyDescent="0.25">
      <c r="Z52172">
        <v>400000</v>
      </c>
    </row>
    <row r="52173" spans="26:26" x14ac:dyDescent="0.25">
      <c r="Z52173">
        <v>400000</v>
      </c>
    </row>
    <row r="52174" spans="26:26" x14ac:dyDescent="0.25">
      <c r="Z52174">
        <v>400000</v>
      </c>
    </row>
    <row r="52175" spans="26:26" x14ac:dyDescent="0.25">
      <c r="Z52175">
        <v>400000</v>
      </c>
    </row>
    <row r="52176" spans="26:26" x14ac:dyDescent="0.25">
      <c r="Z52176">
        <v>400000</v>
      </c>
    </row>
    <row r="52177" spans="26:26" x14ac:dyDescent="0.25">
      <c r="Z52177">
        <v>400000</v>
      </c>
    </row>
    <row r="52178" spans="26:26" x14ac:dyDescent="0.25">
      <c r="Z52178">
        <v>400000</v>
      </c>
    </row>
    <row r="52179" spans="26:26" x14ac:dyDescent="0.25">
      <c r="Z52179">
        <v>400000</v>
      </c>
    </row>
    <row r="52180" spans="26:26" x14ac:dyDescent="0.25">
      <c r="Z52180">
        <v>400000</v>
      </c>
    </row>
    <row r="52181" spans="26:26" x14ac:dyDescent="0.25">
      <c r="Z52181">
        <v>400000</v>
      </c>
    </row>
    <row r="52182" spans="26:26" x14ac:dyDescent="0.25">
      <c r="Z52182">
        <v>400000</v>
      </c>
    </row>
    <row r="52183" spans="26:26" x14ac:dyDescent="0.25">
      <c r="Z52183">
        <v>400000</v>
      </c>
    </row>
    <row r="52184" spans="26:26" x14ac:dyDescent="0.25">
      <c r="Z52184">
        <v>400000</v>
      </c>
    </row>
    <row r="52185" spans="26:26" x14ac:dyDescent="0.25">
      <c r="Z52185">
        <v>400000</v>
      </c>
    </row>
    <row r="52186" spans="26:26" x14ac:dyDescent="0.25">
      <c r="Z52186">
        <v>400000</v>
      </c>
    </row>
    <row r="52187" spans="26:26" x14ac:dyDescent="0.25">
      <c r="Z52187">
        <v>400000</v>
      </c>
    </row>
    <row r="52188" spans="26:26" x14ac:dyDescent="0.25">
      <c r="Z52188">
        <v>400000</v>
      </c>
    </row>
    <row r="52189" spans="26:26" x14ac:dyDescent="0.25">
      <c r="Z52189">
        <v>400000</v>
      </c>
    </row>
    <row r="52190" spans="26:26" x14ac:dyDescent="0.25">
      <c r="Z52190">
        <v>400000</v>
      </c>
    </row>
    <row r="52191" spans="26:26" x14ac:dyDescent="0.25">
      <c r="Z52191">
        <v>400000</v>
      </c>
    </row>
    <row r="52192" spans="26:26" x14ac:dyDescent="0.25">
      <c r="Z52192">
        <v>400000</v>
      </c>
    </row>
    <row r="52193" spans="26:26" x14ac:dyDescent="0.25">
      <c r="Z52193">
        <v>400000</v>
      </c>
    </row>
    <row r="52194" spans="26:26" x14ac:dyDescent="0.25">
      <c r="Z52194">
        <v>400000</v>
      </c>
    </row>
    <row r="52195" spans="26:26" x14ac:dyDescent="0.25">
      <c r="Z52195">
        <v>400000</v>
      </c>
    </row>
    <row r="52196" spans="26:26" x14ac:dyDescent="0.25">
      <c r="Z52196">
        <v>400000</v>
      </c>
    </row>
    <row r="52197" spans="26:26" x14ac:dyDescent="0.25">
      <c r="Z52197">
        <v>400000</v>
      </c>
    </row>
    <row r="52198" spans="26:26" x14ac:dyDescent="0.25">
      <c r="Z52198">
        <v>400000</v>
      </c>
    </row>
    <row r="52199" spans="26:26" x14ac:dyDescent="0.25">
      <c r="Z52199">
        <v>400000</v>
      </c>
    </row>
    <row r="52200" spans="26:26" x14ac:dyDescent="0.25">
      <c r="Z52200">
        <v>400000</v>
      </c>
    </row>
    <row r="52201" spans="26:26" x14ac:dyDescent="0.25">
      <c r="Z52201">
        <v>400000</v>
      </c>
    </row>
    <row r="52202" spans="26:26" x14ac:dyDescent="0.25">
      <c r="Z52202">
        <v>400000</v>
      </c>
    </row>
    <row r="52203" spans="26:26" x14ac:dyDescent="0.25">
      <c r="Z52203">
        <v>400000</v>
      </c>
    </row>
    <row r="52204" spans="26:26" x14ac:dyDescent="0.25">
      <c r="Z52204">
        <v>400000</v>
      </c>
    </row>
    <row r="52205" spans="26:26" x14ac:dyDescent="0.25">
      <c r="Z52205">
        <v>400000</v>
      </c>
    </row>
    <row r="52206" spans="26:26" x14ac:dyDescent="0.25">
      <c r="Z52206">
        <v>400000</v>
      </c>
    </row>
    <row r="52207" spans="26:26" x14ac:dyDescent="0.25">
      <c r="Z52207">
        <v>400000</v>
      </c>
    </row>
    <row r="52208" spans="26:26" x14ac:dyDescent="0.25">
      <c r="Z52208">
        <v>400000</v>
      </c>
    </row>
    <row r="52209" spans="26:26" x14ac:dyDescent="0.25">
      <c r="Z52209">
        <v>400000</v>
      </c>
    </row>
    <row r="52210" spans="26:26" x14ac:dyDescent="0.25">
      <c r="Z52210">
        <v>400000</v>
      </c>
    </row>
    <row r="52211" spans="26:26" x14ac:dyDescent="0.25">
      <c r="Z52211">
        <v>400000</v>
      </c>
    </row>
    <row r="52212" spans="26:26" x14ac:dyDescent="0.25">
      <c r="Z52212">
        <v>400000</v>
      </c>
    </row>
    <row r="52213" spans="26:26" x14ac:dyDescent="0.25">
      <c r="Z52213">
        <v>400000</v>
      </c>
    </row>
    <row r="52214" spans="26:26" x14ac:dyDescent="0.25">
      <c r="Z52214">
        <v>400000</v>
      </c>
    </row>
    <row r="52215" spans="26:26" x14ac:dyDescent="0.25">
      <c r="Z52215">
        <v>400000</v>
      </c>
    </row>
    <row r="52216" spans="26:26" x14ac:dyDescent="0.25">
      <c r="Z52216">
        <v>400000</v>
      </c>
    </row>
    <row r="52217" spans="26:26" x14ac:dyDescent="0.25">
      <c r="Z52217">
        <v>400000</v>
      </c>
    </row>
    <row r="52218" spans="26:26" x14ac:dyDescent="0.25">
      <c r="Z52218">
        <v>400000</v>
      </c>
    </row>
    <row r="52219" spans="26:26" x14ac:dyDescent="0.25">
      <c r="Z52219">
        <v>400000</v>
      </c>
    </row>
    <row r="52220" spans="26:26" x14ac:dyDescent="0.25">
      <c r="Z52220">
        <v>400000</v>
      </c>
    </row>
    <row r="52221" spans="26:26" x14ac:dyDescent="0.25">
      <c r="Z52221">
        <v>400000</v>
      </c>
    </row>
    <row r="52222" spans="26:26" x14ac:dyDescent="0.25">
      <c r="Z52222">
        <v>400000</v>
      </c>
    </row>
    <row r="52223" spans="26:26" x14ac:dyDescent="0.25">
      <c r="Z52223">
        <v>400000</v>
      </c>
    </row>
    <row r="52224" spans="26:26" x14ac:dyDescent="0.25">
      <c r="Z52224">
        <v>400000</v>
      </c>
    </row>
    <row r="52225" spans="26:26" x14ac:dyDescent="0.25">
      <c r="Z52225">
        <v>400000</v>
      </c>
    </row>
    <row r="52226" spans="26:26" x14ac:dyDescent="0.25">
      <c r="Z52226">
        <v>400000</v>
      </c>
    </row>
    <row r="52227" spans="26:26" x14ac:dyDescent="0.25">
      <c r="Z52227">
        <v>400000</v>
      </c>
    </row>
    <row r="52228" spans="26:26" x14ac:dyDescent="0.25">
      <c r="Z52228">
        <v>400000</v>
      </c>
    </row>
    <row r="52229" spans="26:26" x14ac:dyDescent="0.25">
      <c r="Z52229">
        <v>400000</v>
      </c>
    </row>
    <row r="52230" spans="26:26" x14ac:dyDescent="0.25">
      <c r="Z52230">
        <v>400000</v>
      </c>
    </row>
    <row r="52231" spans="26:26" x14ac:dyDescent="0.25">
      <c r="Z52231">
        <v>400000</v>
      </c>
    </row>
    <row r="52232" spans="26:26" x14ac:dyDescent="0.25">
      <c r="Z52232">
        <v>400000</v>
      </c>
    </row>
    <row r="52233" spans="26:26" x14ac:dyDescent="0.25">
      <c r="Z52233">
        <v>400000</v>
      </c>
    </row>
    <row r="52234" spans="26:26" x14ac:dyDescent="0.25">
      <c r="Z52234">
        <v>400000</v>
      </c>
    </row>
    <row r="52235" spans="26:26" x14ac:dyDescent="0.25">
      <c r="Z52235">
        <v>400000</v>
      </c>
    </row>
    <row r="52236" spans="26:26" x14ac:dyDescent="0.25">
      <c r="Z52236">
        <v>400000</v>
      </c>
    </row>
    <row r="52237" spans="26:26" x14ac:dyDescent="0.25">
      <c r="Z52237">
        <v>400000</v>
      </c>
    </row>
    <row r="52238" spans="26:26" x14ac:dyDescent="0.25">
      <c r="Z52238">
        <v>400000</v>
      </c>
    </row>
    <row r="52239" spans="26:26" x14ac:dyDescent="0.25">
      <c r="Z52239">
        <v>400000</v>
      </c>
    </row>
    <row r="52240" spans="26:26" x14ac:dyDescent="0.25">
      <c r="Z52240">
        <v>400000</v>
      </c>
    </row>
    <row r="52241" spans="26:26" x14ac:dyDescent="0.25">
      <c r="Z52241">
        <v>400000</v>
      </c>
    </row>
    <row r="52242" spans="26:26" x14ac:dyDescent="0.25">
      <c r="Z52242">
        <v>400000</v>
      </c>
    </row>
    <row r="52243" spans="26:26" x14ac:dyDescent="0.25">
      <c r="Z52243">
        <v>400000</v>
      </c>
    </row>
    <row r="52244" spans="26:26" x14ac:dyDescent="0.25">
      <c r="Z52244">
        <v>400000</v>
      </c>
    </row>
    <row r="52245" spans="26:26" x14ac:dyDescent="0.25">
      <c r="Z52245">
        <v>400000</v>
      </c>
    </row>
    <row r="52246" spans="26:26" x14ac:dyDescent="0.25">
      <c r="Z52246">
        <v>400000</v>
      </c>
    </row>
    <row r="52247" spans="26:26" x14ac:dyDescent="0.25">
      <c r="Z52247">
        <v>400000</v>
      </c>
    </row>
    <row r="52248" spans="26:26" x14ac:dyDescent="0.25">
      <c r="Z52248">
        <v>400000</v>
      </c>
    </row>
    <row r="52249" spans="26:26" x14ac:dyDescent="0.25">
      <c r="Z52249">
        <v>400000</v>
      </c>
    </row>
    <row r="52250" spans="26:26" x14ac:dyDescent="0.25">
      <c r="Z52250">
        <v>400000</v>
      </c>
    </row>
    <row r="52251" spans="26:26" x14ac:dyDescent="0.25">
      <c r="Z52251">
        <v>400000</v>
      </c>
    </row>
    <row r="52252" spans="26:26" x14ac:dyDescent="0.25">
      <c r="Z52252">
        <v>400000</v>
      </c>
    </row>
    <row r="52253" spans="26:26" x14ac:dyDescent="0.25">
      <c r="Z52253">
        <v>400000</v>
      </c>
    </row>
    <row r="52254" spans="26:26" x14ac:dyDescent="0.25">
      <c r="Z52254">
        <v>400000</v>
      </c>
    </row>
    <row r="52255" spans="26:26" x14ac:dyDescent="0.25">
      <c r="Z52255">
        <v>400000</v>
      </c>
    </row>
    <row r="52256" spans="26:26" x14ac:dyDescent="0.25">
      <c r="Z52256">
        <v>400000</v>
      </c>
    </row>
    <row r="52257" spans="26:26" x14ac:dyDescent="0.25">
      <c r="Z52257">
        <v>400000</v>
      </c>
    </row>
    <row r="52258" spans="26:26" x14ac:dyDescent="0.25">
      <c r="Z52258">
        <v>400000</v>
      </c>
    </row>
    <row r="52259" spans="26:26" x14ac:dyDescent="0.25">
      <c r="Z52259">
        <v>400000</v>
      </c>
    </row>
    <row r="52260" spans="26:26" x14ac:dyDescent="0.25">
      <c r="Z52260">
        <v>400000</v>
      </c>
    </row>
    <row r="52261" spans="26:26" x14ac:dyDescent="0.25">
      <c r="Z52261">
        <v>400000</v>
      </c>
    </row>
    <row r="52262" spans="26:26" x14ac:dyDescent="0.25">
      <c r="Z52262">
        <v>400000</v>
      </c>
    </row>
    <row r="52263" spans="26:26" x14ac:dyDescent="0.25">
      <c r="Z52263">
        <v>400000</v>
      </c>
    </row>
    <row r="52264" spans="26:26" x14ac:dyDescent="0.25">
      <c r="Z52264">
        <v>400000</v>
      </c>
    </row>
    <row r="52265" spans="26:26" x14ac:dyDescent="0.25">
      <c r="Z52265">
        <v>400000</v>
      </c>
    </row>
    <row r="52266" spans="26:26" x14ac:dyDescent="0.25">
      <c r="Z52266">
        <v>400000</v>
      </c>
    </row>
    <row r="52267" spans="26:26" x14ac:dyDescent="0.25">
      <c r="Z52267">
        <v>400000</v>
      </c>
    </row>
    <row r="52268" spans="26:26" x14ac:dyDescent="0.25">
      <c r="Z52268">
        <v>400000</v>
      </c>
    </row>
    <row r="52269" spans="26:26" x14ac:dyDescent="0.25">
      <c r="Z52269">
        <v>400000</v>
      </c>
    </row>
    <row r="52270" spans="26:26" x14ac:dyDescent="0.25">
      <c r="Z52270">
        <v>400000</v>
      </c>
    </row>
    <row r="52271" spans="26:26" x14ac:dyDescent="0.25">
      <c r="Z52271">
        <v>400000</v>
      </c>
    </row>
    <row r="52272" spans="26:26" x14ac:dyDescent="0.25">
      <c r="Z52272">
        <v>400000</v>
      </c>
    </row>
    <row r="52273" spans="26:26" x14ac:dyDescent="0.25">
      <c r="Z52273">
        <v>400000</v>
      </c>
    </row>
    <row r="52274" spans="26:26" x14ac:dyDescent="0.25">
      <c r="Z52274">
        <v>400000</v>
      </c>
    </row>
    <row r="52275" spans="26:26" x14ac:dyDescent="0.25">
      <c r="Z52275">
        <v>400000</v>
      </c>
    </row>
    <row r="52276" spans="26:26" x14ac:dyDescent="0.25">
      <c r="Z52276">
        <v>400000</v>
      </c>
    </row>
    <row r="52277" spans="26:26" x14ac:dyDescent="0.25">
      <c r="Z52277">
        <v>400000</v>
      </c>
    </row>
    <row r="52278" spans="26:26" x14ac:dyDescent="0.25">
      <c r="Z52278">
        <v>400000</v>
      </c>
    </row>
    <row r="52279" spans="26:26" x14ac:dyDescent="0.25">
      <c r="Z52279">
        <v>400000</v>
      </c>
    </row>
    <row r="52280" spans="26:26" x14ac:dyDescent="0.25">
      <c r="Z52280">
        <v>400000</v>
      </c>
    </row>
    <row r="52281" spans="26:26" x14ac:dyDescent="0.25">
      <c r="Z52281">
        <v>400000</v>
      </c>
    </row>
    <row r="52282" spans="26:26" x14ac:dyDescent="0.25">
      <c r="Z52282">
        <v>400000</v>
      </c>
    </row>
    <row r="52283" spans="26:26" x14ac:dyDescent="0.25">
      <c r="Z52283">
        <v>400000</v>
      </c>
    </row>
    <row r="52284" spans="26:26" x14ac:dyDescent="0.25">
      <c r="Z52284">
        <v>400000</v>
      </c>
    </row>
    <row r="52285" spans="26:26" x14ac:dyDescent="0.25">
      <c r="Z52285">
        <v>400000</v>
      </c>
    </row>
    <row r="52286" spans="26:26" x14ac:dyDescent="0.25">
      <c r="Z52286">
        <v>400000</v>
      </c>
    </row>
    <row r="52287" spans="26:26" x14ac:dyDescent="0.25">
      <c r="Z52287">
        <v>400000</v>
      </c>
    </row>
    <row r="52288" spans="26:26" x14ac:dyDescent="0.25">
      <c r="Z52288">
        <v>400000</v>
      </c>
    </row>
    <row r="52289" spans="26:26" x14ac:dyDescent="0.25">
      <c r="Z52289">
        <v>400000</v>
      </c>
    </row>
    <row r="52290" spans="26:26" x14ac:dyDescent="0.25">
      <c r="Z52290">
        <v>400000</v>
      </c>
    </row>
    <row r="52291" spans="26:26" x14ac:dyDescent="0.25">
      <c r="Z52291">
        <v>400000</v>
      </c>
    </row>
    <row r="52292" spans="26:26" x14ac:dyDescent="0.25">
      <c r="Z52292">
        <v>400000</v>
      </c>
    </row>
    <row r="52293" spans="26:26" x14ac:dyDescent="0.25">
      <c r="Z52293">
        <v>400000</v>
      </c>
    </row>
    <row r="52294" spans="26:26" x14ac:dyDescent="0.25">
      <c r="Z52294">
        <v>400000</v>
      </c>
    </row>
    <row r="52295" spans="26:26" x14ac:dyDescent="0.25">
      <c r="Z52295">
        <v>400000</v>
      </c>
    </row>
    <row r="52296" spans="26:26" x14ac:dyDescent="0.25">
      <c r="Z52296">
        <v>400000</v>
      </c>
    </row>
    <row r="52297" spans="26:26" x14ac:dyDescent="0.25">
      <c r="Z52297">
        <v>400000</v>
      </c>
    </row>
    <row r="52298" spans="26:26" x14ac:dyDescent="0.25">
      <c r="Z52298">
        <v>400000</v>
      </c>
    </row>
    <row r="52299" spans="26:26" x14ac:dyDescent="0.25">
      <c r="Z52299">
        <v>400000</v>
      </c>
    </row>
    <row r="52300" spans="26:26" x14ac:dyDescent="0.25">
      <c r="Z52300">
        <v>400000</v>
      </c>
    </row>
    <row r="52301" spans="26:26" x14ac:dyDescent="0.25">
      <c r="Z52301">
        <v>400000</v>
      </c>
    </row>
    <row r="52302" spans="26:26" x14ac:dyDescent="0.25">
      <c r="Z52302">
        <v>400000</v>
      </c>
    </row>
    <row r="52303" spans="26:26" x14ac:dyDescent="0.25">
      <c r="Z52303">
        <v>400000</v>
      </c>
    </row>
    <row r="52304" spans="26:26" x14ac:dyDescent="0.25">
      <c r="Z52304">
        <v>400000</v>
      </c>
    </row>
    <row r="52305" spans="26:26" x14ac:dyDescent="0.25">
      <c r="Z52305">
        <v>400000</v>
      </c>
    </row>
    <row r="52306" spans="26:26" x14ac:dyDescent="0.25">
      <c r="Z52306">
        <v>400000</v>
      </c>
    </row>
    <row r="52307" spans="26:26" x14ac:dyDescent="0.25">
      <c r="Z52307">
        <v>400000</v>
      </c>
    </row>
    <row r="52308" spans="26:26" x14ac:dyDescent="0.25">
      <c r="Z52308">
        <v>400000</v>
      </c>
    </row>
    <row r="52309" spans="26:26" x14ac:dyDescent="0.25">
      <c r="Z52309">
        <v>400000</v>
      </c>
    </row>
    <row r="52310" spans="26:26" x14ac:dyDescent="0.25">
      <c r="Z52310">
        <v>400000</v>
      </c>
    </row>
    <row r="52311" spans="26:26" x14ac:dyDescent="0.25">
      <c r="Z52311">
        <v>400000</v>
      </c>
    </row>
    <row r="52312" spans="26:26" x14ac:dyDescent="0.25">
      <c r="Z52312">
        <v>400000</v>
      </c>
    </row>
    <row r="52313" spans="26:26" x14ac:dyDescent="0.25">
      <c r="Z52313">
        <v>400000</v>
      </c>
    </row>
    <row r="52314" spans="26:26" x14ac:dyDescent="0.25">
      <c r="Z52314">
        <v>400000</v>
      </c>
    </row>
    <row r="52315" spans="26:26" x14ac:dyDescent="0.25">
      <c r="Z52315">
        <v>400000</v>
      </c>
    </row>
    <row r="52316" spans="26:26" x14ac:dyDescent="0.25">
      <c r="Z52316">
        <v>400000</v>
      </c>
    </row>
    <row r="52317" spans="26:26" x14ac:dyDescent="0.25">
      <c r="Z52317">
        <v>400000</v>
      </c>
    </row>
    <row r="52318" spans="26:26" x14ac:dyDescent="0.25">
      <c r="Z52318">
        <v>400000</v>
      </c>
    </row>
    <row r="52319" spans="26:26" x14ac:dyDescent="0.25">
      <c r="Z52319">
        <v>400000</v>
      </c>
    </row>
    <row r="52320" spans="26:26" x14ac:dyDescent="0.25">
      <c r="Z52320">
        <v>400000</v>
      </c>
    </row>
    <row r="52321" spans="26:26" x14ac:dyDescent="0.25">
      <c r="Z52321">
        <v>400000</v>
      </c>
    </row>
    <row r="52322" spans="26:26" x14ac:dyDescent="0.25">
      <c r="Z52322">
        <v>400000</v>
      </c>
    </row>
    <row r="52323" spans="26:26" x14ac:dyDescent="0.25">
      <c r="Z52323">
        <v>400000</v>
      </c>
    </row>
    <row r="52324" spans="26:26" x14ac:dyDescent="0.25">
      <c r="Z52324">
        <v>400000</v>
      </c>
    </row>
    <row r="52325" spans="26:26" x14ac:dyDescent="0.25">
      <c r="Z52325">
        <v>400000</v>
      </c>
    </row>
    <row r="52326" spans="26:26" x14ac:dyDescent="0.25">
      <c r="Z52326">
        <v>400000</v>
      </c>
    </row>
    <row r="52327" spans="26:26" x14ac:dyDescent="0.25">
      <c r="Z52327">
        <v>400000</v>
      </c>
    </row>
    <row r="52328" spans="26:26" x14ac:dyDescent="0.25">
      <c r="Z52328">
        <v>400000</v>
      </c>
    </row>
    <row r="52329" spans="26:26" x14ac:dyDescent="0.25">
      <c r="Z52329">
        <v>400000</v>
      </c>
    </row>
    <row r="52330" spans="26:26" x14ac:dyDescent="0.25">
      <c r="Z52330">
        <v>400000</v>
      </c>
    </row>
    <row r="52331" spans="26:26" x14ac:dyDescent="0.25">
      <c r="Z52331">
        <v>400000</v>
      </c>
    </row>
    <row r="52332" spans="26:26" x14ac:dyDescent="0.25">
      <c r="Z52332">
        <v>400000</v>
      </c>
    </row>
    <row r="52333" spans="26:26" x14ac:dyDescent="0.25">
      <c r="Z52333">
        <v>400000</v>
      </c>
    </row>
    <row r="52334" spans="26:26" x14ac:dyDescent="0.25">
      <c r="Z52334">
        <v>400000</v>
      </c>
    </row>
    <row r="52335" spans="26:26" x14ac:dyDescent="0.25">
      <c r="Z52335">
        <v>400000</v>
      </c>
    </row>
    <row r="52336" spans="26:26" x14ac:dyDescent="0.25">
      <c r="Z52336">
        <v>400000</v>
      </c>
    </row>
    <row r="52337" spans="26:26" x14ac:dyDescent="0.25">
      <c r="Z52337">
        <v>400000</v>
      </c>
    </row>
    <row r="52338" spans="26:26" x14ac:dyDescent="0.25">
      <c r="Z52338">
        <v>400000</v>
      </c>
    </row>
    <row r="52339" spans="26:26" x14ac:dyDescent="0.25">
      <c r="Z52339">
        <v>400000</v>
      </c>
    </row>
    <row r="52340" spans="26:26" x14ac:dyDescent="0.25">
      <c r="Z52340">
        <v>400000</v>
      </c>
    </row>
    <row r="52341" spans="26:26" x14ac:dyDescent="0.25">
      <c r="Z52341">
        <v>400000</v>
      </c>
    </row>
    <row r="52342" spans="26:26" x14ac:dyDescent="0.25">
      <c r="Z52342">
        <v>400000</v>
      </c>
    </row>
    <row r="52343" spans="26:26" x14ac:dyDescent="0.25">
      <c r="Z52343">
        <v>400000</v>
      </c>
    </row>
    <row r="52344" spans="26:26" x14ac:dyDescent="0.25">
      <c r="Z52344">
        <v>400000</v>
      </c>
    </row>
    <row r="52345" spans="26:26" x14ac:dyDescent="0.25">
      <c r="Z52345">
        <v>400000</v>
      </c>
    </row>
    <row r="52346" spans="26:26" x14ac:dyDescent="0.25">
      <c r="Z52346">
        <v>400000</v>
      </c>
    </row>
    <row r="52347" spans="26:26" x14ac:dyDescent="0.25">
      <c r="Z52347">
        <v>400000</v>
      </c>
    </row>
    <row r="52348" spans="26:26" x14ac:dyDescent="0.25">
      <c r="Z52348">
        <v>400000</v>
      </c>
    </row>
    <row r="52349" spans="26:26" x14ac:dyDescent="0.25">
      <c r="Z52349">
        <v>400000</v>
      </c>
    </row>
    <row r="52350" spans="26:26" x14ac:dyDescent="0.25">
      <c r="Z52350">
        <v>400000</v>
      </c>
    </row>
    <row r="52351" spans="26:26" x14ac:dyDescent="0.25">
      <c r="Z52351">
        <v>400000</v>
      </c>
    </row>
    <row r="52352" spans="26:26" x14ac:dyDescent="0.25">
      <c r="Z52352">
        <v>400000</v>
      </c>
    </row>
    <row r="52353" spans="26:26" x14ac:dyDescent="0.25">
      <c r="Z52353">
        <v>400000</v>
      </c>
    </row>
    <row r="52354" spans="26:26" x14ac:dyDescent="0.25">
      <c r="Z52354">
        <v>400000</v>
      </c>
    </row>
    <row r="52355" spans="26:26" x14ac:dyDescent="0.25">
      <c r="Z52355">
        <v>400000</v>
      </c>
    </row>
    <row r="52356" spans="26:26" x14ac:dyDescent="0.25">
      <c r="Z52356">
        <v>400000</v>
      </c>
    </row>
    <row r="52357" spans="26:26" x14ac:dyDescent="0.25">
      <c r="Z52357">
        <v>400000</v>
      </c>
    </row>
    <row r="52358" spans="26:26" x14ac:dyDescent="0.25">
      <c r="Z52358">
        <v>400000</v>
      </c>
    </row>
    <row r="52359" spans="26:26" x14ac:dyDescent="0.25">
      <c r="Z52359">
        <v>400000</v>
      </c>
    </row>
    <row r="52360" spans="26:26" x14ac:dyDescent="0.25">
      <c r="Z52360">
        <v>400000</v>
      </c>
    </row>
    <row r="52361" spans="26:26" x14ac:dyDescent="0.25">
      <c r="Z52361">
        <v>400000</v>
      </c>
    </row>
    <row r="52362" spans="26:26" x14ac:dyDescent="0.25">
      <c r="Z52362">
        <v>400000</v>
      </c>
    </row>
    <row r="52363" spans="26:26" x14ac:dyDescent="0.25">
      <c r="Z52363">
        <v>400000</v>
      </c>
    </row>
    <row r="52364" spans="26:26" x14ac:dyDescent="0.25">
      <c r="Z52364">
        <v>400000</v>
      </c>
    </row>
    <row r="52365" spans="26:26" x14ac:dyDescent="0.25">
      <c r="Z52365">
        <v>400000</v>
      </c>
    </row>
    <row r="52366" spans="26:26" x14ac:dyDescent="0.25">
      <c r="Z52366">
        <v>400000</v>
      </c>
    </row>
    <row r="52367" spans="26:26" x14ac:dyDescent="0.25">
      <c r="Z52367">
        <v>400000</v>
      </c>
    </row>
    <row r="52368" spans="26:26" x14ac:dyDescent="0.25">
      <c r="Z52368">
        <v>400000</v>
      </c>
    </row>
    <row r="52369" spans="26:26" x14ac:dyDescent="0.25">
      <c r="Z52369">
        <v>400000</v>
      </c>
    </row>
    <row r="52370" spans="26:26" x14ac:dyDescent="0.25">
      <c r="Z52370">
        <v>400000</v>
      </c>
    </row>
    <row r="52371" spans="26:26" x14ac:dyDescent="0.25">
      <c r="Z52371">
        <v>400000</v>
      </c>
    </row>
    <row r="52372" spans="26:26" x14ac:dyDescent="0.25">
      <c r="Z52372">
        <v>400000</v>
      </c>
    </row>
    <row r="52373" spans="26:26" x14ac:dyDescent="0.25">
      <c r="Z52373">
        <v>400000</v>
      </c>
    </row>
    <row r="52374" spans="26:26" x14ac:dyDescent="0.25">
      <c r="Z52374">
        <v>400000</v>
      </c>
    </row>
    <row r="52375" spans="26:26" x14ac:dyDescent="0.25">
      <c r="Z52375">
        <v>400000</v>
      </c>
    </row>
    <row r="52376" spans="26:26" x14ac:dyDescent="0.25">
      <c r="Z52376">
        <v>400000</v>
      </c>
    </row>
    <row r="52377" spans="26:26" x14ac:dyDescent="0.25">
      <c r="Z52377">
        <v>400000</v>
      </c>
    </row>
    <row r="52378" spans="26:26" x14ac:dyDescent="0.25">
      <c r="Z52378">
        <v>400000</v>
      </c>
    </row>
    <row r="52379" spans="26:26" x14ac:dyDescent="0.25">
      <c r="Z52379">
        <v>400000</v>
      </c>
    </row>
    <row r="52380" spans="26:26" x14ac:dyDescent="0.25">
      <c r="Z52380">
        <v>400000</v>
      </c>
    </row>
    <row r="52381" spans="26:26" x14ac:dyDescent="0.25">
      <c r="Z52381">
        <v>400000</v>
      </c>
    </row>
    <row r="52382" spans="26:26" x14ac:dyDescent="0.25">
      <c r="Z52382">
        <v>400000</v>
      </c>
    </row>
    <row r="52383" spans="26:26" x14ac:dyDescent="0.25">
      <c r="Z52383">
        <v>400000</v>
      </c>
    </row>
    <row r="52384" spans="26:26" x14ac:dyDescent="0.25">
      <c r="Z52384">
        <v>400000</v>
      </c>
    </row>
    <row r="52385" spans="26:26" x14ac:dyDescent="0.25">
      <c r="Z52385">
        <v>400000</v>
      </c>
    </row>
    <row r="52386" spans="26:26" x14ac:dyDescent="0.25">
      <c r="Z52386">
        <v>400000</v>
      </c>
    </row>
    <row r="52387" spans="26:26" x14ac:dyDescent="0.25">
      <c r="Z52387">
        <v>400000</v>
      </c>
    </row>
    <row r="52388" spans="26:26" x14ac:dyDescent="0.25">
      <c r="Z52388">
        <v>400000</v>
      </c>
    </row>
    <row r="52389" spans="26:26" x14ac:dyDescent="0.25">
      <c r="Z52389">
        <v>400000</v>
      </c>
    </row>
    <row r="52390" spans="26:26" x14ac:dyDescent="0.25">
      <c r="Z52390">
        <v>400000</v>
      </c>
    </row>
    <row r="52391" spans="26:26" x14ac:dyDescent="0.25">
      <c r="Z52391">
        <v>400000</v>
      </c>
    </row>
    <row r="52392" spans="26:26" x14ac:dyDescent="0.25">
      <c r="Z52392">
        <v>400000</v>
      </c>
    </row>
    <row r="52393" spans="26:26" x14ac:dyDescent="0.25">
      <c r="Z52393">
        <v>400000</v>
      </c>
    </row>
    <row r="52394" spans="26:26" x14ac:dyDescent="0.25">
      <c r="Z52394">
        <v>400000</v>
      </c>
    </row>
    <row r="52395" spans="26:26" x14ac:dyDescent="0.25">
      <c r="Z52395">
        <v>400000</v>
      </c>
    </row>
    <row r="52396" spans="26:26" x14ac:dyDescent="0.25">
      <c r="Z52396">
        <v>400000</v>
      </c>
    </row>
    <row r="52397" spans="26:26" x14ac:dyDescent="0.25">
      <c r="Z52397">
        <v>400000</v>
      </c>
    </row>
    <row r="52398" spans="26:26" x14ac:dyDescent="0.25">
      <c r="Z52398">
        <v>400000</v>
      </c>
    </row>
    <row r="52399" spans="26:26" x14ac:dyDescent="0.25">
      <c r="Z52399">
        <v>400000</v>
      </c>
    </row>
    <row r="52400" spans="26:26" x14ac:dyDescent="0.25">
      <c r="Z52400">
        <v>400000</v>
      </c>
    </row>
    <row r="52401" spans="26:26" x14ac:dyDescent="0.25">
      <c r="Z52401">
        <v>400000</v>
      </c>
    </row>
    <row r="52402" spans="26:26" x14ac:dyDescent="0.25">
      <c r="Z52402">
        <v>400000</v>
      </c>
    </row>
    <row r="52403" spans="26:26" x14ac:dyDescent="0.25">
      <c r="Z52403">
        <v>400000</v>
      </c>
    </row>
    <row r="52404" spans="26:26" x14ac:dyDescent="0.25">
      <c r="Z52404">
        <v>400000</v>
      </c>
    </row>
    <row r="52405" spans="26:26" x14ac:dyDescent="0.25">
      <c r="Z52405">
        <v>400000</v>
      </c>
    </row>
    <row r="52406" spans="26:26" x14ac:dyDescent="0.25">
      <c r="Z52406">
        <v>400000</v>
      </c>
    </row>
    <row r="52407" spans="26:26" x14ac:dyDescent="0.25">
      <c r="Z52407">
        <v>400000</v>
      </c>
    </row>
    <row r="52408" spans="26:26" x14ac:dyDescent="0.25">
      <c r="Z52408">
        <v>400000</v>
      </c>
    </row>
    <row r="52409" spans="26:26" x14ac:dyDescent="0.25">
      <c r="Z52409">
        <v>400000</v>
      </c>
    </row>
    <row r="52410" spans="26:26" x14ac:dyDescent="0.25">
      <c r="Z52410">
        <v>400000</v>
      </c>
    </row>
    <row r="52411" spans="26:26" x14ac:dyDescent="0.25">
      <c r="Z52411">
        <v>400000</v>
      </c>
    </row>
    <row r="52412" spans="26:26" x14ac:dyDescent="0.25">
      <c r="Z52412">
        <v>400000</v>
      </c>
    </row>
    <row r="52413" spans="26:26" x14ac:dyDescent="0.25">
      <c r="Z52413">
        <v>400000</v>
      </c>
    </row>
    <row r="52414" spans="26:26" x14ac:dyDescent="0.25">
      <c r="Z52414">
        <v>400000</v>
      </c>
    </row>
    <row r="52415" spans="26:26" x14ac:dyDescent="0.25">
      <c r="Z52415">
        <v>400000</v>
      </c>
    </row>
    <row r="52416" spans="26:26" x14ac:dyDescent="0.25">
      <c r="Z52416">
        <v>400000</v>
      </c>
    </row>
    <row r="52417" spans="26:26" x14ac:dyDescent="0.25">
      <c r="Z52417">
        <v>400000</v>
      </c>
    </row>
    <row r="52418" spans="26:26" x14ac:dyDescent="0.25">
      <c r="Z52418">
        <v>400000</v>
      </c>
    </row>
    <row r="52419" spans="26:26" x14ac:dyDescent="0.25">
      <c r="Z52419">
        <v>400000</v>
      </c>
    </row>
    <row r="52420" spans="26:26" x14ac:dyDescent="0.25">
      <c r="Z52420">
        <v>400000</v>
      </c>
    </row>
    <row r="52421" spans="26:26" x14ac:dyDescent="0.25">
      <c r="Z52421">
        <v>400000</v>
      </c>
    </row>
    <row r="52422" spans="26:26" x14ac:dyDescent="0.25">
      <c r="Z52422">
        <v>400000</v>
      </c>
    </row>
    <row r="52423" spans="26:26" x14ac:dyDescent="0.25">
      <c r="Z52423">
        <v>400000</v>
      </c>
    </row>
    <row r="52424" spans="26:26" x14ac:dyDescent="0.25">
      <c r="Z52424">
        <v>400000</v>
      </c>
    </row>
    <row r="52425" spans="26:26" x14ac:dyDescent="0.25">
      <c r="Z52425">
        <v>400000</v>
      </c>
    </row>
    <row r="52426" spans="26:26" x14ac:dyDescent="0.25">
      <c r="Z52426">
        <v>400000</v>
      </c>
    </row>
    <row r="52427" spans="26:26" x14ac:dyDescent="0.25">
      <c r="Z52427">
        <v>400000</v>
      </c>
    </row>
    <row r="52428" spans="26:26" x14ac:dyDescent="0.25">
      <c r="Z52428">
        <v>400000</v>
      </c>
    </row>
    <row r="52429" spans="26:26" x14ac:dyDescent="0.25">
      <c r="Z52429">
        <v>400000</v>
      </c>
    </row>
    <row r="52430" spans="26:26" x14ac:dyDescent="0.25">
      <c r="Z52430">
        <v>400000</v>
      </c>
    </row>
    <row r="52431" spans="26:26" x14ac:dyDescent="0.25">
      <c r="Z52431">
        <v>400000</v>
      </c>
    </row>
    <row r="52432" spans="26:26" x14ac:dyDescent="0.25">
      <c r="Z52432">
        <v>400000</v>
      </c>
    </row>
    <row r="52433" spans="26:26" x14ac:dyDescent="0.25">
      <c r="Z52433">
        <v>400000</v>
      </c>
    </row>
    <row r="52434" spans="26:26" x14ac:dyDescent="0.25">
      <c r="Z52434">
        <v>400000</v>
      </c>
    </row>
    <row r="52435" spans="26:26" x14ac:dyDescent="0.25">
      <c r="Z52435">
        <v>400000</v>
      </c>
    </row>
    <row r="52436" spans="26:26" x14ac:dyDescent="0.25">
      <c r="Z52436">
        <v>400000</v>
      </c>
    </row>
    <row r="52437" spans="26:26" x14ac:dyDescent="0.25">
      <c r="Z52437">
        <v>400000</v>
      </c>
    </row>
    <row r="52438" spans="26:26" x14ac:dyDescent="0.25">
      <c r="Z52438">
        <v>400000</v>
      </c>
    </row>
    <row r="52439" spans="26:26" x14ac:dyDescent="0.25">
      <c r="Z52439">
        <v>400000</v>
      </c>
    </row>
    <row r="52440" spans="26:26" x14ac:dyDescent="0.25">
      <c r="Z52440">
        <v>400000</v>
      </c>
    </row>
    <row r="52441" spans="26:26" x14ac:dyDescent="0.25">
      <c r="Z52441">
        <v>400000</v>
      </c>
    </row>
    <row r="52442" spans="26:26" x14ac:dyDescent="0.25">
      <c r="Z52442">
        <v>400000</v>
      </c>
    </row>
    <row r="52443" spans="26:26" x14ac:dyDescent="0.25">
      <c r="Z52443">
        <v>400000</v>
      </c>
    </row>
    <row r="52444" spans="26:26" x14ac:dyDescent="0.25">
      <c r="Z52444">
        <v>400000</v>
      </c>
    </row>
    <row r="52445" spans="26:26" x14ac:dyDescent="0.25">
      <c r="Z52445">
        <v>400000</v>
      </c>
    </row>
    <row r="52446" spans="26:26" x14ac:dyDescent="0.25">
      <c r="Z52446">
        <v>400000</v>
      </c>
    </row>
    <row r="52447" spans="26:26" x14ac:dyDescent="0.25">
      <c r="Z52447">
        <v>400000</v>
      </c>
    </row>
    <row r="52448" spans="26:26" x14ac:dyDescent="0.25">
      <c r="Z52448">
        <v>400000</v>
      </c>
    </row>
    <row r="52449" spans="26:26" x14ac:dyDescent="0.25">
      <c r="Z52449">
        <v>400000</v>
      </c>
    </row>
    <row r="52450" spans="26:26" x14ac:dyDescent="0.25">
      <c r="Z52450">
        <v>400000</v>
      </c>
    </row>
    <row r="52451" spans="26:26" x14ac:dyDescent="0.25">
      <c r="Z52451">
        <v>400000</v>
      </c>
    </row>
    <row r="52452" spans="26:26" x14ac:dyDescent="0.25">
      <c r="Z52452">
        <v>400000</v>
      </c>
    </row>
    <row r="52453" spans="26:26" x14ac:dyDescent="0.25">
      <c r="Z52453">
        <v>400000</v>
      </c>
    </row>
    <row r="52454" spans="26:26" x14ac:dyDescent="0.25">
      <c r="Z52454">
        <v>400000</v>
      </c>
    </row>
    <row r="52455" spans="26:26" x14ac:dyDescent="0.25">
      <c r="Z52455">
        <v>400000</v>
      </c>
    </row>
    <row r="52456" spans="26:26" x14ac:dyDescent="0.25">
      <c r="Z52456">
        <v>400000</v>
      </c>
    </row>
    <row r="52457" spans="26:26" x14ac:dyDescent="0.25">
      <c r="Z52457">
        <v>400000</v>
      </c>
    </row>
    <row r="52458" spans="26:26" x14ac:dyDescent="0.25">
      <c r="Z52458">
        <v>400000</v>
      </c>
    </row>
    <row r="52459" spans="26:26" x14ac:dyDescent="0.25">
      <c r="Z52459">
        <v>400000</v>
      </c>
    </row>
    <row r="52460" spans="26:26" x14ac:dyDescent="0.25">
      <c r="Z52460">
        <v>400000</v>
      </c>
    </row>
    <row r="52461" spans="26:26" x14ac:dyDescent="0.25">
      <c r="Z52461">
        <v>400000</v>
      </c>
    </row>
    <row r="52462" spans="26:26" x14ac:dyDescent="0.25">
      <c r="Z52462">
        <v>400000</v>
      </c>
    </row>
    <row r="52463" spans="26:26" x14ac:dyDescent="0.25">
      <c r="Z52463">
        <v>400000</v>
      </c>
    </row>
    <row r="52464" spans="26:26" x14ac:dyDescent="0.25">
      <c r="Z52464">
        <v>400000</v>
      </c>
    </row>
    <row r="52465" spans="26:26" x14ac:dyDescent="0.25">
      <c r="Z52465">
        <v>400000</v>
      </c>
    </row>
    <row r="52466" spans="26:26" x14ac:dyDescent="0.25">
      <c r="Z52466">
        <v>400000</v>
      </c>
    </row>
    <row r="52467" spans="26:26" x14ac:dyDescent="0.25">
      <c r="Z52467">
        <v>400000</v>
      </c>
    </row>
    <row r="52468" spans="26:26" x14ac:dyDescent="0.25">
      <c r="Z52468">
        <v>400000</v>
      </c>
    </row>
    <row r="52469" spans="26:26" x14ac:dyDescent="0.25">
      <c r="Z52469">
        <v>400000</v>
      </c>
    </row>
    <row r="52470" spans="26:26" x14ac:dyDescent="0.25">
      <c r="Z52470">
        <v>400000</v>
      </c>
    </row>
    <row r="52471" spans="26:26" x14ac:dyDescent="0.25">
      <c r="Z52471">
        <v>400000</v>
      </c>
    </row>
    <row r="52472" spans="26:26" x14ac:dyDescent="0.25">
      <c r="Z52472">
        <v>400000</v>
      </c>
    </row>
    <row r="52473" spans="26:26" x14ac:dyDescent="0.25">
      <c r="Z52473">
        <v>400000</v>
      </c>
    </row>
    <row r="52474" spans="26:26" x14ac:dyDescent="0.25">
      <c r="Z52474">
        <v>400000</v>
      </c>
    </row>
    <row r="52475" spans="26:26" x14ac:dyDescent="0.25">
      <c r="Z52475">
        <v>400000</v>
      </c>
    </row>
    <row r="52476" spans="26:26" x14ac:dyDescent="0.25">
      <c r="Z52476">
        <v>400000</v>
      </c>
    </row>
    <row r="52477" spans="26:26" x14ac:dyDescent="0.25">
      <c r="Z52477">
        <v>400000</v>
      </c>
    </row>
    <row r="52478" spans="26:26" x14ac:dyDescent="0.25">
      <c r="Z52478">
        <v>400000</v>
      </c>
    </row>
    <row r="52479" spans="26:26" x14ac:dyDescent="0.25">
      <c r="Z52479">
        <v>400000</v>
      </c>
    </row>
    <row r="52480" spans="26:26" x14ac:dyDescent="0.25">
      <c r="Z52480">
        <v>400000</v>
      </c>
    </row>
    <row r="52481" spans="26:26" x14ac:dyDescent="0.25">
      <c r="Z52481">
        <v>400000</v>
      </c>
    </row>
    <row r="52482" spans="26:26" x14ac:dyDescent="0.25">
      <c r="Z52482">
        <v>400000</v>
      </c>
    </row>
    <row r="52483" spans="26:26" x14ac:dyDescent="0.25">
      <c r="Z52483">
        <v>400000</v>
      </c>
    </row>
    <row r="52484" spans="26:26" x14ac:dyDescent="0.25">
      <c r="Z52484">
        <v>400000</v>
      </c>
    </row>
    <row r="52485" spans="26:26" x14ac:dyDescent="0.25">
      <c r="Z52485">
        <v>400000</v>
      </c>
    </row>
    <row r="52486" spans="26:26" x14ac:dyDescent="0.25">
      <c r="Z52486">
        <v>400000</v>
      </c>
    </row>
    <row r="52487" spans="26:26" x14ac:dyDescent="0.25">
      <c r="Z52487">
        <v>400000</v>
      </c>
    </row>
    <row r="52488" spans="26:26" x14ac:dyDescent="0.25">
      <c r="Z52488">
        <v>400000</v>
      </c>
    </row>
    <row r="52489" spans="26:26" x14ac:dyDescent="0.25">
      <c r="Z52489">
        <v>400000</v>
      </c>
    </row>
    <row r="52490" spans="26:26" x14ac:dyDescent="0.25">
      <c r="Z52490">
        <v>400000</v>
      </c>
    </row>
    <row r="52491" spans="26:26" x14ac:dyDescent="0.25">
      <c r="Z52491">
        <v>400000</v>
      </c>
    </row>
    <row r="52492" spans="26:26" x14ac:dyDescent="0.25">
      <c r="Z52492">
        <v>400000</v>
      </c>
    </row>
    <row r="52493" spans="26:26" x14ac:dyDescent="0.25">
      <c r="Z52493">
        <v>400000</v>
      </c>
    </row>
    <row r="52494" spans="26:26" x14ac:dyDescent="0.25">
      <c r="Z52494">
        <v>400000</v>
      </c>
    </row>
    <row r="52495" spans="26:26" x14ac:dyDescent="0.25">
      <c r="Z52495">
        <v>400000</v>
      </c>
    </row>
    <row r="52496" spans="26:26" x14ac:dyDescent="0.25">
      <c r="Z52496">
        <v>400000</v>
      </c>
    </row>
    <row r="52497" spans="26:26" x14ac:dyDescent="0.25">
      <c r="Z52497">
        <v>400000</v>
      </c>
    </row>
    <row r="52498" spans="26:26" x14ac:dyDescent="0.25">
      <c r="Z52498">
        <v>400000</v>
      </c>
    </row>
    <row r="52499" spans="26:26" x14ac:dyDescent="0.25">
      <c r="Z52499">
        <v>400000</v>
      </c>
    </row>
    <row r="52500" spans="26:26" x14ac:dyDescent="0.25">
      <c r="Z52500">
        <v>400000</v>
      </c>
    </row>
    <row r="52501" spans="26:26" x14ac:dyDescent="0.25">
      <c r="Z52501">
        <v>400000</v>
      </c>
    </row>
    <row r="52502" spans="26:26" x14ac:dyDescent="0.25">
      <c r="Z52502">
        <v>400000</v>
      </c>
    </row>
    <row r="52503" spans="26:26" x14ac:dyDescent="0.25">
      <c r="Z52503">
        <v>400000</v>
      </c>
    </row>
    <row r="52504" spans="26:26" x14ac:dyDescent="0.25">
      <c r="Z52504">
        <v>400000</v>
      </c>
    </row>
    <row r="52505" spans="26:26" x14ac:dyDescent="0.25">
      <c r="Z52505">
        <v>400000</v>
      </c>
    </row>
    <row r="52506" spans="26:26" x14ac:dyDescent="0.25">
      <c r="Z52506">
        <v>400000</v>
      </c>
    </row>
    <row r="52507" spans="26:26" x14ac:dyDescent="0.25">
      <c r="Z52507">
        <v>400000</v>
      </c>
    </row>
    <row r="52508" spans="26:26" x14ac:dyDescent="0.25">
      <c r="Z52508">
        <v>400000</v>
      </c>
    </row>
    <row r="52509" spans="26:26" x14ac:dyDescent="0.25">
      <c r="Z52509">
        <v>400000</v>
      </c>
    </row>
    <row r="52510" spans="26:26" x14ac:dyDescent="0.25">
      <c r="Z52510">
        <v>400000</v>
      </c>
    </row>
    <row r="52511" spans="26:26" x14ac:dyDescent="0.25">
      <c r="Z52511">
        <v>400000</v>
      </c>
    </row>
    <row r="52512" spans="26:26" x14ac:dyDescent="0.25">
      <c r="Z52512">
        <v>400000</v>
      </c>
    </row>
    <row r="52513" spans="26:26" x14ac:dyDescent="0.25">
      <c r="Z52513">
        <v>400000</v>
      </c>
    </row>
    <row r="52514" spans="26:26" x14ac:dyDescent="0.25">
      <c r="Z52514">
        <v>400000</v>
      </c>
    </row>
    <row r="52515" spans="26:26" x14ac:dyDescent="0.25">
      <c r="Z52515">
        <v>400000</v>
      </c>
    </row>
    <row r="52516" spans="26:26" x14ac:dyDescent="0.25">
      <c r="Z52516">
        <v>400000</v>
      </c>
    </row>
    <row r="52517" spans="26:26" x14ac:dyDescent="0.25">
      <c r="Z52517">
        <v>400000</v>
      </c>
    </row>
    <row r="52518" spans="26:26" x14ac:dyDescent="0.25">
      <c r="Z52518">
        <v>400000</v>
      </c>
    </row>
    <row r="52519" spans="26:26" x14ac:dyDescent="0.25">
      <c r="Z52519">
        <v>400000</v>
      </c>
    </row>
    <row r="52520" spans="26:26" x14ac:dyDescent="0.25">
      <c r="Z52520">
        <v>400000</v>
      </c>
    </row>
    <row r="52521" spans="26:26" x14ac:dyDescent="0.25">
      <c r="Z52521">
        <v>400000</v>
      </c>
    </row>
    <row r="52522" spans="26:26" x14ac:dyDescent="0.25">
      <c r="Z52522">
        <v>400000</v>
      </c>
    </row>
    <row r="52523" spans="26:26" x14ac:dyDescent="0.25">
      <c r="Z52523">
        <v>400000</v>
      </c>
    </row>
    <row r="52524" spans="26:26" x14ac:dyDescent="0.25">
      <c r="Z52524">
        <v>400000</v>
      </c>
    </row>
    <row r="52525" spans="26:26" x14ac:dyDescent="0.25">
      <c r="Z52525">
        <v>400000</v>
      </c>
    </row>
    <row r="52526" spans="26:26" x14ac:dyDescent="0.25">
      <c r="Z52526">
        <v>400000</v>
      </c>
    </row>
    <row r="52527" spans="26:26" x14ac:dyDescent="0.25">
      <c r="Z52527">
        <v>400000</v>
      </c>
    </row>
    <row r="52528" spans="26:26" x14ac:dyDescent="0.25">
      <c r="Z52528">
        <v>400000</v>
      </c>
    </row>
    <row r="52529" spans="26:26" x14ac:dyDescent="0.25">
      <c r="Z52529">
        <v>400000</v>
      </c>
    </row>
    <row r="52530" spans="26:26" x14ac:dyDescent="0.25">
      <c r="Z52530">
        <v>400000</v>
      </c>
    </row>
    <row r="52531" spans="26:26" x14ac:dyDescent="0.25">
      <c r="Z52531">
        <v>400000</v>
      </c>
    </row>
    <row r="52532" spans="26:26" x14ac:dyDescent="0.25">
      <c r="Z52532">
        <v>400000</v>
      </c>
    </row>
    <row r="52533" spans="26:26" x14ac:dyDescent="0.25">
      <c r="Z52533">
        <v>400000</v>
      </c>
    </row>
    <row r="52534" spans="26:26" x14ac:dyDescent="0.25">
      <c r="Z52534">
        <v>400000</v>
      </c>
    </row>
    <row r="52535" spans="26:26" x14ac:dyDescent="0.25">
      <c r="Z52535">
        <v>400000</v>
      </c>
    </row>
    <row r="52536" spans="26:26" x14ac:dyDescent="0.25">
      <c r="Z52536">
        <v>400000</v>
      </c>
    </row>
    <row r="52537" spans="26:26" x14ac:dyDescent="0.25">
      <c r="Z52537">
        <v>400000</v>
      </c>
    </row>
    <row r="52538" spans="26:26" x14ac:dyDescent="0.25">
      <c r="Z52538">
        <v>400000</v>
      </c>
    </row>
    <row r="52539" spans="26:26" x14ac:dyDescent="0.25">
      <c r="Z52539">
        <v>400000</v>
      </c>
    </row>
    <row r="52540" spans="26:26" x14ac:dyDescent="0.25">
      <c r="Z52540">
        <v>400000</v>
      </c>
    </row>
    <row r="52541" spans="26:26" x14ac:dyDescent="0.25">
      <c r="Z52541">
        <v>400000</v>
      </c>
    </row>
    <row r="52542" spans="26:26" x14ac:dyDescent="0.25">
      <c r="Z52542">
        <v>400000</v>
      </c>
    </row>
    <row r="52543" spans="26:26" x14ac:dyDescent="0.25">
      <c r="Z52543">
        <v>400000</v>
      </c>
    </row>
    <row r="52544" spans="26:26" x14ac:dyDescent="0.25">
      <c r="Z52544">
        <v>400000</v>
      </c>
    </row>
    <row r="52545" spans="26:26" x14ac:dyDescent="0.25">
      <c r="Z52545">
        <v>400000</v>
      </c>
    </row>
    <row r="52546" spans="26:26" x14ac:dyDescent="0.25">
      <c r="Z52546">
        <v>400000</v>
      </c>
    </row>
    <row r="52547" spans="26:26" x14ac:dyDescent="0.25">
      <c r="Z52547">
        <v>400000</v>
      </c>
    </row>
    <row r="52548" spans="26:26" x14ac:dyDescent="0.25">
      <c r="Z52548">
        <v>400000</v>
      </c>
    </row>
    <row r="52549" spans="26:26" x14ac:dyDescent="0.25">
      <c r="Z52549">
        <v>400000</v>
      </c>
    </row>
    <row r="52550" spans="26:26" x14ac:dyDescent="0.25">
      <c r="Z52550">
        <v>400000</v>
      </c>
    </row>
    <row r="52551" spans="26:26" x14ac:dyDescent="0.25">
      <c r="Z52551">
        <v>400000</v>
      </c>
    </row>
    <row r="52552" spans="26:26" x14ac:dyDescent="0.25">
      <c r="Z52552">
        <v>400000</v>
      </c>
    </row>
    <row r="52553" spans="26:26" x14ac:dyDescent="0.25">
      <c r="Z52553">
        <v>400000</v>
      </c>
    </row>
    <row r="52554" spans="26:26" x14ac:dyDescent="0.25">
      <c r="Z52554">
        <v>400000</v>
      </c>
    </row>
    <row r="52555" spans="26:26" x14ac:dyDescent="0.25">
      <c r="Z52555">
        <v>400000</v>
      </c>
    </row>
    <row r="52556" spans="26:26" x14ac:dyDescent="0.25">
      <c r="Z52556">
        <v>400000</v>
      </c>
    </row>
    <row r="52557" spans="26:26" x14ac:dyDescent="0.25">
      <c r="Z52557">
        <v>400000</v>
      </c>
    </row>
    <row r="52558" spans="26:26" x14ac:dyDescent="0.25">
      <c r="Z52558">
        <v>400000</v>
      </c>
    </row>
    <row r="52559" spans="26:26" x14ac:dyDescent="0.25">
      <c r="Z52559">
        <v>400000</v>
      </c>
    </row>
    <row r="52560" spans="26:26" x14ac:dyDescent="0.25">
      <c r="Z52560">
        <v>400000</v>
      </c>
    </row>
    <row r="52561" spans="26:26" x14ac:dyDescent="0.25">
      <c r="Z52561">
        <v>400000</v>
      </c>
    </row>
    <row r="52562" spans="26:26" x14ac:dyDescent="0.25">
      <c r="Z52562">
        <v>400000</v>
      </c>
    </row>
    <row r="52563" spans="26:26" x14ac:dyDescent="0.25">
      <c r="Z52563">
        <v>400000</v>
      </c>
    </row>
    <row r="52564" spans="26:26" x14ac:dyDescent="0.25">
      <c r="Z52564">
        <v>400000</v>
      </c>
    </row>
    <row r="52565" spans="26:26" x14ac:dyDescent="0.25">
      <c r="Z52565">
        <v>400000</v>
      </c>
    </row>
    <row r="52566" spans="26:26" x14ac:dyDescent="0.25">
      <c r="Z52566">
        <v>400000</v>
      </c>
    </row>
    <row r="52567" spans="26:26" x14ac:dyDescent="0.25">
      <c r="Z52567">
        <v>400000</v>
      </c>
    </row>
    <row r="52568" spans="26:26" x14ac:dyDescent="0.25">
      <c r="Z52568">
        <v>400000</v>
      </c>
    </row>
    <row r="52569" spans="26:26" x14ac:dyDescent="0.25">
      <c r="Z52569">
        <v>400000</v>
      </c>
    </row>
    <row r="52570" spans="26:26" x14ac:dyDescent="0.25">
      <c r="Z52570">
        <v>400000</v>
      </c>
    </row>
    <row r="52571" spans="26:26" x14ac:dyDescent="0.25">
      <c r="Z52571">
        <v>400000</v>
      </c>
    </row>
    <row r="52572" spans="26:26" x14ac:dyDescent="0.25">
      <c r="Z52572">
        <v>400000</v>
      </c>
    </row>
    <row r="52573" spans="26:26" x14ac:dyDescent="0.25">
      <c r="Z52573">
        <v>400000</v>
      </c>
    </row>
    <row r="52574" spans="26:26" x14ac:dyDescent="0.25">
      <c r="Z52574">
        <v>400000</v>
      </c>
    </row>
    <row r="52575" spans="26:26" x14ac:dyDescent="0.25">
      <c r="Z52575">
        <v>400000</v>
      </c>
    </row>
    <row r="52576" spans="26:26" x14ac:dyDescent="0.25">
      <c r="Z52576">
        <v>400000</v>
      </c>
    </row>
    <row r="52577" spans="26:26" x14ac:dyDescent="0.25">
      <c r="Z52577">
        <v>400000</v>
      </c>
    </row>
    <row r="52578" spans="26:26" x14ac:dyDescent="0.25">
      <c r="Z52578">
        <v>400000</v>
      </c>
    </row>
    <row r="52579" spans="26:26" x14ac:dyDescent="0.25">
      <c r="Z52579">
        <v>400000</v>
      </c>
    </row>
    <row r="52580" spans="26:26" x14ac:dyDescent="0.25">
      <c r="Z52580">
        <v>400000</v>
      </c>
    </row>
    <row r="52581" spans="26:26" x14ac:dyDescent="0.25">
      <c r="Z52581">
        <v>400000</v>
      </c>
    </row>
    <row r="52582" spans="26:26" x14ac:dyDescent="0.25">
      <c r="Z52582">
        <v>400000</v>
      </c>
    </row>
    <row r="52583" spans="26:26" x14ac:dyDescent="0.25">
      <c r="Z52583">
        <v>400000</v>
      </c>
    </row>
    <row r="52584" spans="26:26" x14ac:dyDescent="0.25">
      <c r="Z52584">
        <v>400000</v>
      </c>
    </row>
    <row r="52585" spans="26:26" x14ac:dyDescent="0.25">
      <c r="Z52585">
        <v>400000</v>
      </c>
    </row>
    <row r="52586" spans="26:26" x14ac:dyDescent="0.25">
      <c r="Z52586">
        <v>400000</v>
      </c>
    </row>
    <row r="52587" spans="26:26" x14ac:dyDescent="0.25">
      <c r="Z52587">
        <v>400000</v>
      </c>
    </row>
    <row r="52588" spans="26:26" x14ac:dyDescent="0.25">
      <c r="Z52588">
        <v>400000</v>
      </c>
    </row>
    <row r="52589" spans="26:26" x14ac:dyDescent="0.25">
      <c r="Z52589">
        <v>400000</v>
      </c>
    </row>
    <row r="52590" spans="26:26" x14ac:dyDescent="0.25">
      <c r="Z52590">
        <v>400000</v>
      </c>
    </row>
    <row r="52591" spans="26:26" x14ac:dyDescent="0.25">
      <c r="Z52591">
        <v>400000</v>
      </c>
    </row>
    <row r="52592" spans="26:26" x14ac:dyDescent="0.25">
      <c r="Z52592">
        <v>400000</v>
      </c>
    </row>
    <row r="52593" spans="26:26" x14ac:dyDescent="0.25">
      <c r="Z52593">
        <v>400000</v>
      </c>
    </row>
    <row r="52594" spans="26:26" x14ac:dyDescent="0.25">
      <c r="Z52594">
        <v>400000</v>
      </c>
    </row>
    <row r="52595" spans="26:26" x14ac:dyDescent="0.25">
      <c r="Z52595">
        <v>400000</v>
      </c>
    </row>
    <row r="52596" spans="26:26" x14ac:dyDescent="0.25">
      <c r="Z52596">
        <v>400000</v>
      </c>
    </row>
    <row r="52597" spans="26:26" x14ac:dyDescent="0.25">
      <c r="Z52597">
        <v>400000</v>
      </c>
    </row>
    <row r="52598" spans="26:26" x14ac:dyDescent="0.25">
      <c r="Z52598">
        <v>400000</v>
      </c>
    </row>
    <row r="52599" spans="26:26" x14ac:dyDescent="0.25">
      <c r="Z52599">
        <v>400000</v>
      </c>
    </row>
    <row r="52600" spans="26:26" x14ac:dyDescent="0.25">
      <c r="Z52600">
        <v>400000</v>
      </c>
    </row>
    <row r="52601" spans="26:26" x14ac:dyDescent="0.25">
      <c r="Z52601">
        <v>400000</v>
      </c>
    </row>
    <row r="52602" spans="26:26" x14ac:dyDescent="0.25">
      <c r="Z52602">
        <v>400000</v>
      </c>
    </row>
    <row r="52603" spans="26:26" x14ac:dyDescent="0.25">
      <c r="Z52603">
        <v>400000</v>
      </c>
    </row>
    <row r="52604" spans="26:26" x14ac:dyDescent="0.25">
      <c r="Z52604">
        <v>400000</v>
      </c>
    </row>
    <row r="52605" spans="26:26" x14ac:dyDescent="0.25">
      <c r="Z52605">
        <v>400000</v>
      </c>
    </row>
    <row r="52606" spans="26:26" x14ac:dyDescent="0.25">
      <c r="Z52606">
        <v>400000</v>
      </c>
    </row>
    <row r="52607" spans="26:26" x14ac:dyDescent="0.25">
      <c r="Z52607">
        <v>400000</v>
      </c>
    </row>
    <row r="52608" spans="26:26" x14ac:dyDescent="0.25">
      <c r="Z52608">
        <v>400000</v>
      </c>
    </row>
    <row r="52609" spans="26:26" x14ac:dyDescent="0.25">
      <c r="Z52609">
        <v>400000</v>
      </c>
    </row>
    <row r="52610" spans="26:26" x14ac:dyDescent="0.25">
      <c r="Z52610">
        <v>400000</v>
      </c>
    </row>
    <row r="52611" spans="26:26" x14ac:dyDescent="0.25">
      <c r="Z52611">
        <v>400000</v>
      </c>
    </row>
    <row r="52612" spans="26:26" x14ac:dyDescent="0.25">
      <c r="Z52612">
        <v>400000</v>
      </c>
    </row>
    <row r="52613" spans="26:26" x14ac:dyDescent="0.25">
      <c r="Z52613">
        <v>400000</v>
      </c>
    </row>
    <row r="52614" spans="26:26" x14ac:dyDescent="0.25">
      <c r="Z52614">
        <v>400000</v>
      </c>
    </row>
    <row r="52615" spans="26:26" x14ac:dyDescent="0.25">
      <c r="Z52615">
        <v>400000</v>
      </c>
    </row>
    <row r="52616" spans="26:26" x14ac:dyDescent="0.25">
      <c r="Z52616">
        <v>400000</v>
      </c>
    </row>
    <row r="52617" spans="26:26" x14ac:dyDescent="0.25">
      <c r="Z52617">
        <v>400000</v>
      </c>
    </row>
    <row r="52618" spans="26:26" x14ac:dyDescent="0.25">
      <c r="Z52618">
        <v>400000</v>
      </c>
    </row>
    <row r="52619" spans="26:26" x14ac:dyDescent="0.25">
      <c r="Z52619">
        <v>400000</v>
      </c>
    </row>
    <row r="52620" spans="26:26" x14ac:dyDescent="0.25">
      <c r="Z52620">
        <v>400000</v>
      </c>
    </row>
    <row r="52621" spans="26:26" x14ac:dyDescent="0.25">
      <c r="Z52621">
        <v>400000</v>
      </c>
    </row>
    <row r="52622" spans="26:26" x14ac:dyDescent="0.25">
      <c r="Z52622">
        <v>400000</v>
      </c>
    </row>
    <row r="52623" spans="26:26" x14ac:dyDescent="0.25">
      <c r="Z52623">
        <v>400000</v>
      </c>
    </row>
    <row r="52624" spans="26:26" x14ac:dyDescent="0.25">
      <c r="Z52624">
        <v>400000</v>
      </c>
    </row>
    <row r="52625" spans="26:26" x14ac:dyDescent="0.25">
      <c r="Z52625">
        <v>400000</v>
      </c>
    </row>
    <row r="52626" spans="26:26" x14ac:dyDescent="0.25">
      <c r="Z52626">
        <v>400000</v>
      </c>
    </row>
    <row r="52627" spans="26:26" x14ac:dyDescent="0.25">
      <c r="Z52627">
        <v>400000</v>
      </c>
    </row>
    <row r="52628" spans="26:26" x14ac:dyDescent="0.25">
      <c r="Z52628">
        <v>400000</v>
      </c>
    </row>
    <row r="52629" spans="26:26" x14ac:dyDescent="0.25">
      <c r="Z52629">
        <v>400000</v>
      </c>
    </row>
    <row r="52630" spans="26:26" x14ac:dyDescent="0.25">
      <c r="Z52630">
        <v>400000</v>
      </c>
    </row>
    <row r="52631" spans="26:26" x14ac:dyDescent="0.25">
      <c r="Z52631">
        <v>400000</v>
      </c>
    </row>
    <row r="52632" spans="26:26" x14ac:dyDescent="0.25">
      <c r="Z52632">
        <v>400000</v>
      </c>
    </row>
    <row r="52633" spans="26:26" x14ac:dyDescent="0.25">
      <c r="Z52633">
        <v>400000</v>
      </c>
    </row>
    <row r="52634" spans="26:26" x14ac:dyDescent="0.25">
      <c r="Z52634">
        <v>400000</v>
      </c>
    </row>
    <row r="52635" spans="26:26" x14ac:dyDescent="0.25">
      <c r="Z52635">
        <v>400000</v>
      </c>
    </row>
    <row r="52636" spans="26:26" x14ac:dyDescent="0.25">
      <c r="Z52636">
        <v>400000</v>
      </c>
    </row>
    <row r="52637" spans="26:26" x14ac:dyDescent="0.25">
      <c r="Z52637">
        <v>400000</v>
      </c>
    </row>
    <row r="52638" spans="26:26" x14ac:dyDescent="0.25">
      <c r="Z52638">
        <v>400000</v>
      </c>
    </row>
    <row r="52639" spans="26:26" x14ac:dyDescent="0.25">
      <c r="Z52639">
        <v>400000</v>
      </c>
    </row>
    <row r="52640" spans="26:26" x14ac:dyDescent="0.25">
      <c r="Z52640">
        <v>400000</v>
      </c>
    </row>
    <row r="52641" spans="26:26" x14ac:dyDescent="0.25">
      <c r="Z52641">
        <v>400000</v>
      </c>
    </row>
    <row r="52642" spans="26:26" x14ac:dyDescent="0.25">
      <c r="Z52642">
        <v>400000</v>
      </c>
    </row>
    <row r="52643" spans="26:26" x14ac:dyDescent="0.25">
      <c r="Z52643">
        <v>400000</v>
      </c>
    </row>
    <row r="52644" spans="26:26" x14ac:dyDescent="0.25">
      <c r="Z52644">
        <v>400000</v>
      </c>
    </row>
    <row r="52645" spans="26:26" x14ac:dyDescent="0.25">
      <c r="Z52645">
        <v>400000</v>
      </c>
    </row>
    <row r="52646" spans="26:26" x14ac:dyDescent="0.25">
      <c r="Z52646">
        <v>400000</v>
      </c>
    </row>
    <row r="52647" spans="26:26" x14ac:dyDescent="0.25">
      <c r="Z52647">
        <v>400000</v>
      </c>
    </row>
    <row r="52648" spans="26:26" x14ac:dyDescent="0.25">
      <c r="Z52648">
        <v>400000</v>
      </c>
    </row>
    <row r="52649" spans="26:26" x14ac:dyDescent="0.25">
      <c r="Z52649">
        <v>400000</v>
      </c>
    </row>
    <row r="52650" spans="26:26" x14ac:dyDescent="0.25">
      <c r="Z52650">
        <v>400000</v>
      </c>
    </row>
    <row r="52651" spans="26:26" x14ac:dyDescent="0.25">
      <c r="Z52651">
        <v>400000</v>
      </c>
    </row>
    <row r="52652" spans="26:26" x14ac:dyDescent="0.25">
      <c r="Z52652">
        <v>400000</v>
      </c>
    </row>
    <row r="52653" spans="26:26" x14ac:dyDescent="0.25">
      <c r="Z52653">
        <v>400000</v>
      </c>
    </row>
    <row r="52654" spans="26:26" x14ac:dyDescent="0.25">
      <c r="Z52654">
        <v>400000</v>
      </c>
    </row>
    <row r="52655" spans="26:26" x14ac:dyDescent="0.25">
      <c r="Z52655">
        <v>400000</v>
      </c>
    </row>
    <row r="52656" spans="26:26" x14ac:dyDescent="0.25">
      <c r="Z52656">
        <v>400000</v>
      </c>
    </row>
    <row r="52657" spans="26:26" x14ac:dyDescent="0.25">
      <c r="Z52657">
        <v>400000</v>
      </c>
    </row>
    <row r="52658" spans="26:26" x14ac:dyDescent="0.25">
      <c r="Z52658">
        <v>400000</v>
      </c>
    </row>
    <row r="52659" spans="26:26" x14ac:dyDescent="0.25">
      <c r="Z52659">
        <v>400000</v>
      </c>
    </row>
    <row r="52660" spans="26:26" x14ac:dyDescent="0.25">
      <c r="Z52660">
        <v>400000</v>
      </c>
    </row>
    <row r="52661" spans="26:26" x14ac:dyDescent="0.25">
      <c r="Z52661">
        <v>400000</v>
      </c>
    </row>
    <row r="52662" spans="26:26" x14ac:dyDescent="0.25">
      <c r="Z52662">
        <v>400000</v>
      </c>
    </row>
    <row r="52663" spans="26:26" x14ac:dyDescent="0.25">
      <c r="Z52663">
        <v>400000</v>
      </c>
    </row>
    <row r="52664" spans="26:26" x14ac:dyDescent="0.25">
      <c r="Z52664">
        <v>400000</v>
      </c>
    </row>
    <row r="52665" spans="26:26" x14ac:dyDescent="0.25">
      <c r="Z52665">
        <v>400000</v>
      </c>
    </row>
    <row r="52666" spans="26:26" x14ac:dyDescent="0.25">
      <c r="Z52666">
        <v>400000</v>
      </c>
    </row>
    <row r="52667" spans="26:26" x14ac:dyDescent="0.25">
      <c r="Z52667">
        <v>400000</v>
      </c>
    </row>
    <row r="52668" spans="26:26" x14ac:dyDescent="0.25">
      <c r="Z52668">
        <v>400000</v>
      </c>
    </row>
    <row r="52669" spans="26:26" x14ac:dyDescent="0.25">
      <c r="Z52669">
        <v>400000</v>
      </c>
    </row>
    <row r="52670" spans="26:26" x14ac:dyDescent="0.25">
      <c r="Z52670">
        <v>400000</v>
      </c>
    </row>
    <row r="52671" spans="26:26" x14ac:dyDescent="0.25">
      <c r="Z52671">
        <v>400000</v>
      </c>
    </row>
    <row r="52672" spans="26:26" x14ac:dyDescent="0.25">
      <c r="Z52672">
        <v>400000</v>
      </c>
    </row>
    <row r="52673" spans="26:26" x14ac:dyDescent="0.25">
      <c r="Z52673">
        <v>400000</v>
      </c>
    </row>
    <row r="52674" spans="26:26" x14ac:dyDescent="0.25">
      <c r="Z52674">
        <v>400000</v>
      </c>
    </row>
    <row r="52675" spans="26:26" x14ac:dyDescent="0.25">
      <c r="Z52675">
        <v>400000</v>
      </c>
    </row>
    <row r="52676" spans="26:26" x14ac:dyDescent="0.25">
      <c r="Z52676">
        <v>400000</v>
      </c>
    </row>
    <row r="52677" spans="26:26" x14ac:dyDescent="0.25">
      <c r="Z52677">
        <v>400000</v>
      </c>
    </row>
    <row r="52678" spans="26:26" x14ac:dyDescent="0.25">
      <c r="Z52678">
        <v>400000</v>
      </c>
    </row>
    <row r="52679" spans="26:26" x14ac:dyDescent="0.25">
      <c r="Z52679">
        <v>400000</v>
      </c>
    </row>
    <row r="52680" spans="26:26" x14ac:dyDescent="0.25">
      <c r="Z52680">
        <v>400000</v>
      </c>
    </row>
    <row r="52681" spans="26:26" x14ac:dyDescent="0.25">
      <c r="Z52681">
        <v>400000</v>
      </c>
    </row>
    <row r="52682" spans="26:26" x14ac:dyDescent="0.25">
      <c r="Z52682">
        <v>400000</v>
      </c>
    </row>
    <row r="52683" spans="26:26" x14ac:dyDescent="0.25">
      <c r="Z52683">
        <v>400000</v>
      </c>
    </row>
    <row r="52684" spans="26:26" x14ac:dyDescent="0.25">
      <c r="Z52684">
        <v>400000</v>
      </c>
    </row>
    <row r="52685" spans="26:26" x14ac:dyDescent="0.25">
      <c r="Z52685">
        <v>400000</v>
      </c>
    </row>
    <row r="52686" spans="26:26" x14ac:dyDescent="0.25">
      <c r="Z52686">
        <v>400000</v>
      </c>
    </row>
    <row r="52687" spans="26:26" x14ac:dyDescent="0.25">
      <c r="Z52687">
        <v>400000</v>
      </c>
    </row>
    <row r="52688" spans="26:26" x14ac:dyDescent="0.25">
      <c r="Z52688">
        <v>400000</v>
      </c>
    </row>
    <row r="52689" spans="26:26" x14ac:dyDescent="0.25">
      <c r="Z52689">
        <v>400000</v>
      </c>
    </row>
    <row r="52690" spans="26:26" x14ac:dyDescent="0.25">
      <c r="Z52690">
        <v>400000</v>
      </c>
    </row>
    <row r="52691" spans="26:26" x14ac:dyDescent="0.25">
      <c r="Z52691">
        <v>400000</v>
      </c>
    </row>
    <row r="52692" spans="26:26" x14ac:dyDescent="0.25">
      <c r="Z52692">
        <v>400000</v>
      </c>
    </row>
    <row r="52693" spans="26:26" x14ac:dyDescent="0.25">
      <c r="Z52693">
        <v>400000</v>
      </c>
    </row>
    <row r="52694" spans="26:26" x14ac:dyDescent="0.25">
      <c r="Z52694">
        <v>400000</v>
      </c>
    </row>
    <row r="52695" spans="26:26" x14ac:dyDescent="0.25">
      <c r="Z52695">
        <v>400000</v>
      </c>
    </row>
    <row r="52696" spans="26:26" x14ac:dyDescent="0.25">
      <c r="Z52696">
        <v>400000</v>
      </c>
    </row>
    <row r="52697" spans="26:26" x14ac:dyDescent="0.25">
      <c r="Z52697">
        <v>400000</v>
      </c>
    </row>
    <row r="52698" spans="26:26" x14ac:dyDescent="0.25">
      <c r="Z52698">
        <v>400000</v>
      </c>
    </row>
    <row r="52699" spans="26:26" x14ac:dyDescent="0.25">
      <c r="Z52699">
        <v>400000</v>
      </c>
    </row>
    <row r="52700" spans="26:26" x14ac:dyDescent="0.25">
      <c r="Z52700">
        <v>400000</v>
      </c>
    </row>
    <row r="52701" spans="26:26" x14ac:dyDescent="0.25">
      <c r="Z52701">
        <v>400000</v>
      </c>
    </row>
    <row r="52702" spans="26:26" x14ac:dyDescent="0.25">
      <c r="Z52702">
        <v>400000</v>
      </c>
    </row>
    <row r="52703" spans="26:26" x14ac:dyDescent="0.25">
      <c r="Z52703">
        <v>400000</v>
      </c>
    </row>
    <row r="52704" spans="26:26" x14ac:dyDescent="0.25">
      <c r="Z52704">
        <v>400000</v>
      </c>
    </row>
    <row r="52705" spans="26:26" x14ac:dyDescent="0.25">
      <c r="Z52705">
        <v>400000</v>
      </c>
    </row>
    <row r="52706" spans="26:26" x14ac:dyDescent="0.25">
      <c r="Z52706">
        <v>400000</v>
      </c>
    </row>
    <row r="52707" spans="26:26" x14ac:dyDescent="0.25">
      <c r="Z52707">
        <v>400000</v>
      </c>
    </row>
    <row r="52708" spans="26:26" x14ac:dyDescent="0.25">
      <c r="Z52708">
        <v>400000</v>
      </c>
    </row>
    <row r="52709" spans="26:26" x14ac:dyDescent="0.25">
      <c r="Z52709">
        <v>400000</v>
      </c>
    </row>
    <row r="52710" spans="26:26" x14ac:dyDescent="0.25">
      <c r="Z52710">
        <v>400000</v>
      </c>
    </row>
    <row r="52711" spans="26:26" x14ac:dyDescent="0.25">
      <c r="Z52711">
        <v>400000</v>
      </c>
    </row>
    <row r="52712" spans="26:26" x14ac:dyDescent="0.25">
      <c r="Z52712">
        <v>400000</v>
      </c>
    </row>
    <row r="52713" spans="26:26" x14ac:dyDescent="0.25">
      <c r="Z52713">
        <v>400000</v>
      </c>
    </row>
    <row r="52714" spans="26:26" x14ac:dyDescent="0.25">
      <c r="Z52714">
        <v>400000</v>
      </c>
    </row>
    <row r="52715" spans="26:26" x14ac:dyDescent="0.25">
      <c r="Z52715">
        <v>400000</v>
      </c>
    </row>
    <row r="52716" spans="26:26" x14ac:dyDescent="0.25">
      <c r="Z52716">
        <v>400000</v>
      </c>
    </row>
    <row r="52717" spans="26:26" x14ac:dyDescent="0.25">
      <c r="Z52717">
        <v>400000</v>
      </c>
    </row>
    <row r="52718" spans="26:26" x14ac:dyDescent="0.25">
      <c r="Z52718">
        <v>400000</v>
      </c>
    </row>
    <row r="52719" spans="26:26" x14ac:dyDescent="0.25">
      <c r="Z52719">
        <v>400000</v>
      </c>
    </row>
    <row r="52720" spans="26:26" x14ac:dyDescent="0.25">
      <c r="Z52720">
        <v>400000</v>
      </c>
    </row>
    <row r="52721" spans="26:26" x14ac:dyDescent="0.25">
      <c r="Z52721">
        <v>400000</v>
      </c>
    </row>
    <row r="52722" spans="26:26" x14ac:dyDescent="0.25">
      <c r="Z52722">
        <v>400000</v>
      </c>
    </row>
    <row r="52723" spans="26:26" x14ac:dyDescent="0.25">
      <c r="Z52723">
        <v>400000</v>
      </c>
    </row>
    <row r="52724" spans="26:26" x14ac:dyDescent="0.25">
      <c r="Z52724">
        <v>400000</v>
      </c>
    </row>
    <row r="52725" spans="26:26" x14ac:dyDescent="0.25">
      <c r="Z52725">
        <v>400000</v>
      </c>
    </row>
    <row r="52726" spans="26:26" x14ac:dyDescent="0.25">
      <c r="Z52726">
        <v>400000</v>
      </c>
    </row>
    <row r="52727" spans="26:26" x14ac:dyDescent="0.25">
      <c r="Z52727">
        <v>400000</v>
      </c>
    </row>
    <row r="52728" spans="26:26" x14ac:dyDescent="0.25">
      <c r="Z52728">
        <v>400000</v>
      </c>
    </row>
    <row r="52729" spans="26:26" x14ac:dyDescent="0.25">
      <c r="Z52729">
        <v>400000</v>
      </c>
    </row>
    <row r="52730" spans="26:26" x14ac:dyDescent="0.25">
      <c r="Z52730">
        <v>400000</v>
      </c>
    </row>
    <row r="52731" spans="26:26" x14ac:dyDescent="0.25">
      <c r="Z52731">
        <v>400000</v>
      </c>
    </row>
    <row r="52732" spans="26:26" x14ac:dyDescent="0.25">
      <c r="Z52732">
        <v>400000</v>
      </c>
    </row>
    <row r="52733" spans="26:26" x14ac:dyDescent="0.25">
      <c r="Z52733">
        <v>400000</v>
      </c>
    </row>
    <row r="52734" spans="26:26" x14ac:dyDescent="0.25">
      <c r="Z52734">
        <v>400000</v>
      </c>
    </row>
    <row r="52735" spans="26:26" x14ac:dyDescent="0.25">
      <c r="Z52735">
        <v>400000</v>
      </c>
    </row>
    <row r="52736" spans="26:26" x14ac:dyDescent="0.25">
      <c r="Z52736">
        <v>400000</v>
      </c>
    </row>
    <row r="52737" spans="26:26" x14ac:dyDescent="0.25">
      <c r="Z52737">
        <v>400000</v>
      </c>
    </row>
    <row r="52738" spans="26:26" x14ac:dyDescent="0.25">
      <c r="Z52738">
        <v>400000</v>
      </c>
    </row>
    <row r="52739" spans="26:26" x14ac:dyDescent="0.25">
      <c r="Z52739">
        <v>400000</v>
      </c>
    </row>
    <row r="52740" spans="26:26" x14ac:dyDescent="0.25">
      <c r="Z52740">
        <v>400000</v>
      </c>
    </row>
    <row r="52741" spans="26:26" x14ac:dyDescent="0.25">
      <c r="Z52741">
        <v>400000</v>
      </c>
    </row>
    <row r="52742" spans="26:26" x14ac:dyDescent="0.25">
      <c r="Z52742">
        <v>400000</v>
      </c>
    </row>
    <row r="52743" spans="26:26" x14ac:dyDescent="0.25">
      <c r="Z52743">
        <v>400000</v>
      </c>
    </row>
    <row r="52744" spans="26:26" x14ac:dyDescent="0.25">
      <c r="Z52744">
        <v>400000</v>
      </c>
    </row>
    <row r="52745" spans="26:26" x14ac:dyDescent="0.25">
      <c r="Z52745">
        <v>400000</v>
      </c>
    </row>
    <row r="52746" spans="26:26" x14ac:dyDescent="0.25">
      <c r="Z52746">
        <v>400000</v>
      </c>
    </row>
    <row r="52747" spans="26:26" x14ac:dyDescent="0.25">
      <c r="Z52747">
        <v>400000</v>
      </c>
    </row>
    <row r="52748" spans="26:26" x14ac:dyDescent="0.25">
      <c r="Z52748">
        <v>400000</v>
      </c>
    </row>
    <row r="52749" spans="26:26" x14ac:dyDescent="0.25">
      <c r="Z52749">
        <v>400000</v>
      </c>
    </row>
    <row r="52750" spans="26:26" x14ac:dyDescent="0.25">
      <c r="Z52750">
        <v>400000</v>
      </c>
    </row>
    <row r="52751" spans="26:26" x14ac:dyDescent="0.25">
      <c r="Z52751">
        <v>400000</v>
      </c>
    </row>
    <row r="52752" spans="26:26" x14ac:dyDescent="0.25">
      <c r="Z52752">
        <v>400000</v>
      </c>
    </row>
    <row r="52753" spans="26:26" x14ac:dyDescent="0.25">
      <c r="Z52753">
        <v>400000</v>
      </c>
    </row>
    <row r="52754" spans="26:26" x14ac:dyDescent="0.25">
      <c r="Z52754">
        <v>400000</v>
      </c>
    </row>
    <row r="52755" spans="26:26" x14ac:dyDescent="0.25">
      <c r="Z52755">
        <v>400000</v>
      </c>
    </row>
    <row r="52756" spans="26:26" x14ac:dyDescent="0.25">
      <c r="Z52756">
        <v>400000</v>
      </c>
    </row>
    <row r="52757" spans="26:26" x14ac:dyDescent="0.25">
      <c r="Z52757">
        <v>400000</v>
      </c>
    </row>
    <row r="52758" spans="26:26" x14ac:dyDescent="0.25">
      <c r="Z52758">
        <v>400000</v>
      </c>
    </row>
    <row r="52759" spans="26:26" x14ac:dyDescent="0.25">
      <c r="Z52759">
        <v>400000</v>
      </c>
    </row>
    <row r="52760" spans="26:26" x14ac:dyDescent="0.25">
      <c r="Z52760">
        <v>400000</v>
      </c>
    </row>
    <row r="52761" spans="26:26" x14ac:dyDescent="0.25">
      <c r="Z52761">
        <v>400000</v>
      </c>
    </row>
    <row r="52762" spans="26:26" x14ac:dyDescent="0.25">
      <c r="Z52762">
        <v>400000</v>
      </c>
    </row>
    <row r="52763" spans="26:26" x14ac:dyDescent="0.25">
      <c r="Z52763">
        <v>400000</v>
      </c>
    </row>
    <row r="52764" spans="26:26" x14ac:dyDescent="0.25">
      <c r="Z52764">
        <v>400000</v>
      </c>
    </row>
    <row r="52765" spans="26:26" x14ac:dyDescent="0.25">
      <c r="Z52765">
        <v>400000</v>
      </c>
    </row>
    <row r="52766" spans="26:26" x14ac:dyDescent="0.25">
      <c r="Z52766">
        <v>400000</v>
      </c>
    </row>
    <row r="52767" spans="26:26" x14ac:dyDescent="0.25">
      <c r="Z52767">
        <v>400000</v>
      </c>
    </row>
    <row r="52768" spans="26:26" x14ac:dyDescent="0.25">
      <c r="Z52768">
        <v>400000</v>
      </c>
    </row>
    <row r="52769" spans="26:26" x14ac:dyDescent="0.25">
      <c r="Z52769">
        <v>400000</v>
      </c>
    </row>
    <row r="52770" spans="26:26" x14ac:dyDescent="0.25">
      <c r="Z52770">
        <v>400000</v>
      </c>
    </row>
    <row r="52771" spans="26:26" x14ac:dyDescent="0.25">
      <c r="Z52771">
        <v>400000</v>
      </c>
    </row>
    <row r="52772" spans="26:26" x14ac:dyDescent="0.25">
      <c r="Z52772">
        <v>400000</v>
      </c>
    </row>
    <row r="52773" spans="26:26" x14ac:dyDescent="0.25">
      <c r="Z52773">
        <v>400000</v>
      </c>
    </row>
    <row r="52774" spans="26:26" x14ac:dyDescent="0.25">
      <c r="Z52774">
        <v>400000</v>
      </c>
    </row>
    <row r="52775" spans="26:26" x14ac:dyDescent="0.25">
      <c r="Z52775">
        <v>400000</v>
      </c>
    </row>
    <row r="52776" spans="26:26" x14ac:dyDescent="0.25">
      <c r="Z52776">
        <v>400000</v>
      </c>
    </row>
    <row r="52777" spans="26:26" x14ac:dyDescent="0.25">
      <c r="Z52777">
        <v>400000</v>
      </c>
    </row>
    <row r="52778" spans="26:26" x14ac:dyDescent="0.25">
      <c r="Z52778">
        <v>400000</v>
      </c>
    </row>
    <row r="52779" spans="26:26" x14ac:dyDescent="0.25">
      <c r="Z52779">
        <v>400000</v>
      </c>
    </row>
    <row r="52780" spans="26:26" x14ac:dyDescent="0.25">
      <c r="Z52780">
        <v>400000</v>
      </c>
    </row>
    <row r="52781" spans="26:26" x14ac:dyDescent="0.25">
      <c r="Z52781">
        <v>400000</v>
      </c>
    </row>
    <row r="52782" spans="26:26" x14ac:dyDescent="0.25">
      <c r="Z52782">
        <v>400000</v>
      </c>
    </row>
    <row r="52783" spans="26:26" x14ac:dyDescent="0.25">
      <c r="Z52783">
        <v>400000</v>
      </c>
    </row>
    <row r="52784" spans="26:26" x14ac:dyDescent="0.25">
      <c r="Z52784">
        <v>400000</v>
      </c>
    </row>
    <row r="52785" spans="26:26" x14ac:dyDescent="0.25">
      <c r="Z52785">
        <v>400000</v>
      </c>
    </row>
    <row r="52786" spans="26:26" x14ac:dyDescent="0.25">
      <c r="Z52786">
        <v>400000</v>
      </c>
    </row>
    <row r="52787" spans="26:26" x14ac:dyDescent="0.25">
      <c r="Z52787">
        <v>400000</v>
      </c>
    </row>
    <row r="52788" spans="26:26" x14ac:dyDescent="0.25">
      <c r="Z52788">
        <v>400000</v>
      </c>
    </row>
    <row r="52789" spans="26:26" x14ac:dyDescent="0.25">
      <c r="Z52789">
        <v>400000</v>
      </c>
    </row>
    <row r="52790" spans="26:26" x14ac:dyDescent="0.25">
      <c r="Z52790">
        <v>400000</v>
      </c>
    </row>
    <row r="52791" spans="26:26" x14ac:dyDescent="0.25">
      <c r="Z52791">
        <v>400000</v>
      </c>
    </row>
    <row r="52792" spans="26:26" x14ac:dyDescent="0.25">
      <c r="Z52792">
        <v>400000</v>
      </c>
    </row>
    <row r="52793" spans="26:26" x14ac:dyDescent="0.25">
      <c r="Z52793">
        <v>400000</v>
      </c>
    </row>
    <row r="52794" spans="26:26" x14ac:dyDescent="0.25">
      <c r="Z52794">
        <v>400000</v>
      </c>
    </row>
    <row r="52795" spans="26:26" x14ac:dyDescent="0.25">
      <c r="Z52795">
        <v>400000</v>
      </c>
    </row>
    <row r="52796" spans="26:26" x14ac:dyDescent="0.25">
      <c r="Z52796">
        <v>400000</v>
      </c>
    </row>
    <row r="52797" spans="26:26" x14ac:dyDescent="0.25">
      <c r="Z52797">
        <v>400000</v>
      </c>
    </row>
    <row r="52798" spans="26:26" x14ac:dyDescent="0.25">
      <c r="Z52798">
        <v>400000</v>
      </c>
    </row>
    <row r="52799" spans="26:26" x14ac:dyDescent="0.25">
      <c r="Z52799">
        <v>400000</v>
      </c>
    </row>
    <row r="52800" spans="26:26" x14ac:dyDescent="0.25">
      <c r="Z52800">
        <v>400000</v>
      </c>
    </row>
    <row r="52801" spans="26:26" x14ac:dyDescent="0.25">
      <c r="Z52801">
        <v>400000</v>
      </c>
    </row>
    <row r="52802" spans="26:26" x14ac:dyDescent="0.25">
      <c r="Z52802">
        <v>400000</v>
      </c>
    </row>
    <row r="52803" spans="26:26" x14ac:dyDescent="0.25">
      <c r="Z52803">
        <v>400000</v>
      </c>
    </row>
    <row r="52804" spans="26:26" x14ac:dyDescent="0.25">
      <c r="Z52804">
        <v>400000</v>
      </c>
    </row>
    <row r="52805" spans="26:26" x14ac:dyDescent="0.25">
      <c r="Z52805">
        <v>400000</v>
      </c>
    </row>
    <row r="52806" spans="26:26" x14ac:dyDescent="0.25">
      <c r="Z52806">
        <v>400000</v>
      </c>
    </row>
    <row r="52807" spans="26:26" x14ac:dyDescent="0.25">
      <c r="Z52807">
        <v>400000</v>
      </c>
    </row>
    <row r="52808" spans="26:26" x14ac:dyDescent="0.25">
      <c r="Z52808">
        <v>400000</v>
      </c>
    </row>
    <row r="52809" spans="26:26" x14ac:dyDescent="0.25">
      <c r="Z52809">
        <v>400000</v>
      </c>
    </row>
    <row r="52810" spans="26:26" x14ac:dyDescent="0.25">
      <c r="Z52810">
        <v>400000</v>
      </c>
    </row>
    <row r="52811" spans="26:26" x14ac:dyDescent="0.25">
      <c r="Z52811">
        <v>400000</v>
      </c>
    </row>
    <row r="52812" spans="26:26" x14ac:dyDescent="0.25">
      <c r="Z52812">
        <v>400000</v>
      </c>
    </row>
    <row r="52813" spans="26:26" x14ac:dyDescent="0.25">
      <c r="Z52813">
        <v>400000</v>
      </c>
    </row>
    <row r="52814" spans="26:26" x14ac:dyDescent="0.25">
      <c r="Z52814">
        <v>400000</v>
      </c>
    </row>
    <row r="52815" spans="26:26" x14ac:dyDescent="0.25">
      <c r="Z52815">
        <v>400000</v>
      </c>
    </row>
    <row r="52816" spans="26:26" x14ac:dyDescent="0.25">
      <c r="Z52816">
        <v>400000</v>
      </c>
    </row>
    <row r="52817" spans="26:26" x14ac:dyDescent="0.25">
      <c r="Z52817">
        <v>400000</v>
      </c>
    </row>
    <row r="52818" spans="26:26" x14ac:dyDescent="0.25">
      <c r="Z52818">
        <v>400000</v>
      </c>
    </row>
    <row r="52819" spans="26:26" x14ac:dyDescent="0.25">
      <c r="Z52819">
        <v>400000</v>
      </c>
    </row>
    <row r="52820" spans="26:26" x14ac:dyDescent="0.25">
      <c r="Z52820">
        <v>400000</v>
      </c>
    </row>
    <row r="52821" spans="26:26" x14ac:dyDescent="0.25">
      <c r="Z52821">
        <v>400000</v>
      </c>
    </row>
    <row r="52822" spans="26:26" x14ac:dyDescent="0.25">
      <c r="Z52822">
        <v>400000</v>
      </c>
    </row>
    <row r="52823" spans="26:26" x14ac:dyDescent="0.25">
      <c r="Z52823">
        <v>400000</v>
      </c>
    </row>
    <row r="52824" spans="26:26" x14ac:dyDescent="0.25">
      <c r="Z52824">
        <v>400000</v>
      </c>
    </row>
    <row r="52825" spans="26:26" x14ac:dyDescent="0.25">
      <c r="Z52825">
        <v>400000</v>
      </c>
    </row>
    <row r="52826" spans="26:26" x14ac:dyDescent="0.25">
      <c r="Z52826">
        <v>400000</v>
      </c>
    </row>
    <row r="52827" spans="26:26" x14ac:dyDescent="0.25">
      <c r="Z52827">
        <v>400000</v>
      </c>
    </row>
    <row r="52828" spans="26:26" x14ac:dyDescent="0.25">
      <c r="Z52828">
        <v>400000</v>
      </c>
    </row>
    <row r="52829" spans="26:26" x14ac:dyDescent="0.25">
      <c r="Z52829">
        <v>400000</v>
      </c>
    </row>
    <row r="52830" spans="26:26" x14ac:dyDescent="0.25">
      <c r="Z52830">
        <v>400000</v>
      </c>
    </row>
    <row r="52831" spans="26:26" x14ac:dyDescent="0.25">
      <c r="Z52831">
        <v>400000</v>
      </c>
    </row>
    <row r="52832" spans="26:26" x14ac:dyDescent="0.25">
      <c r="Z52832">
        <v>400000</v>
      </c>
    </row>
    <row r="52833" spans="26:26" x14ac:dyDescent="0.25">
      <c r="Z52833">
        <v>400000</v>
      </c>
    </row>
    <row r="52834" spans="26:26" x14ac:dyDescent="0.25">
      <c r="Z52834">
        <v>400000</v>
      </c>
    </row>
    <row r="52835" spans="26:26" x14ac:dyDescent="0.25">
      <c r="Z52835">
        <v>400000</v>
      </c>
    </row>
    <row r="52836" spans="26:26" x14ac:dyDescent="0.25">
      <c r="Z52836">
        <v>400000</v>
      </c>
    </row>
    <row r="52837" spans="26:26" x14ac:dyDescent="0.25">
      <c r="Z52837">
        <v>400000</v>
      </c>
    </row>
    <row r="52838" spans="26:26" x14ac:dyDescent="0.25">
      <c r="Z52838">
        <v>400000</v>
      </c>
    </row>
    <row r="52839" spans="26:26" x14ac:dyDescent="0.25">
      <c r="Z52839">
        <v>400000</v>
      </c>
    </row>
    <row r="52840" spans="26:26" x14ac:dyDescent="0.25">
      <c r="Z52840">
        <v>400000</v>
      </c>
    </row>
    <row r="52841" spans="26:26" x14ac:dyDescent="0.25">
      <c r="Z52841">
        <v>400000</v>
      </c>
    </row>
    <row r="52842" spans="26:26" x14ac:dyDescent="0.25">
      <c r="Z52842">
        <v>400000</v>
      </c>
    </row>
    <row r="52843" spans="26:26" x14ac:dyDescent="0.25">
      <c r="Z52843">
        <v>400000</v>
      </c>
    </row>
    <row r="52844" spans="26:26" x14ac:dyDescent="0.25">
      <c r="Z52844">
        <v>400000</v>
      </c>
    </row>
    <row r="52845" spans="26:26" x14ac:dyDescent="0.25">
      <c r="Z52845">
        <v>400000</v>
      </c>
    </row>
    <row r="52846" spans="26:26" x14ac:dyDescent="0.25">
      <c r="Z52846">
        <v>400000</v>
      </c>
    </row>
    <row r="52847" spans="26:26" x14ac:dyDescent="0.25">
      <c r="Z52847">
        <v>400000</v>
      </c>
    </row>
    <row r="52848" spans="26:26" x14ac:dyDescent="0.25">
      <c r="Z52848">
        <v>400000</v>
      </c>
    </row>
    <row r="52849" spans="26:26" x14ac:dyDescent="0.25">
      <c r="Z52849">
        <v>400000</v>
      </c>
    </row>
    <row r="52850" spans="26:26" x14ac:dyDescent="0.25">
      <c r="Z52850">
        <v>400000</v>
      </c>
    </row>
    <row r="52851" spans="26:26" x14ac:dyDescent="0.25">
      <c r="Z52851">
        <v>400000</v>
      </c>
    </row>
    <row r="52852" spans="26:26" x14ac:dyDescent="0.25">
      <c r="Z52852">
        <v>400000</v>
      </c>
    </row>
    <row r="52853" spans="26:26" x14ac:dyDescent="0.25">
      <c r="Z52853">
        <v>400000</v>
      </c>
    </row>
    <row r="52854" spans="26:26" x14ac:dyDescent="0.25">
      <c r="Z52854">
        <v>400000</v>
      </c>
    </row>
    <row r="52855" spans="26:26" x14ac:dyDescent="0.25">
      <c r="Z52855">
        <v>400000</v>
      </c>
    </row>
    <row r="52856" spans="26:26" x14ac:dyDescent="0.25">
      <c r="Z52856">
        <v>400000</v>
      </c>
    </row>
    <row r="52857" spans="26:26" x14ac:dyDescent="0.25">
      <c r="Z52857">
        <v>400000</v>
      </c>
    </row>
    <row r="52858" spans="26:26" x14ac:dyDescent="0.25">
      <c r="Z52858">
        <v>400000</v>
      </c>
    </row>
    <row r="52859" spans="26:26" x14ac:dyDescent="0.25">
      <c r="Z52859">
        <v>400000</v>
      </c>
    </row>
    <row r="52860" spans="26:26" x14ac:dyDescent="0.25">
      <c r="Z52860">
        <v>400000</v>
      </c>
    </row>
    <row r="52861" spans="26:26" x14ac:dyDescent="0.25">
      <c r="Z52861">
        <v>400000</v>
      </c>
    </row>
    <row r="52862" spans="26:26" x14ac:dyDescent="0.25">
      <c r="Z52862">
        <v>400000</v>
      </c>
    </row>
    <row r="52863" spans="26:26" x14ac:dyDescent="0.25">
      <c r="Z52863">
        <v>400000</v>
      </c>
    </row>
    <row r="52864" spans="26:26" x14ac:dyDescent="0.25">
      <c r="Z52864">
        <v>400000</v>
      </c>
    </row>
    <row r="52865" spans="26:26" x14ac:dyDescent="0.25">
      <c r="Z52865">
        <v>400000</v>
      </c>
    </row>
    <row r="52866" spans="26:26" x14ac:dyDescent="0.25">
      <c r="Z52866">
        <v>400000</v>
      </c>
    </row>
    <row r="52867" spans="26:26" x14ac:dyDescent="0.25">
      <c r="Z52867">
        <v>400000</v>
      </c>
    </row>
    <row r="52868" spans="26:26" x14ac:dyDescent="0.25">
      <c r="Z52868">
        <v>400000</v>
      </c>
    </row>
    <row r="52869" spans="26:26" x14ac:dyDescent="0.25">
      <c r="Z52869">
        <v>400000</v>
      </c>
    </row>
    <row r="52870" spans="26:26" x14ac:dyDescent="0.25">
      <c r="Z52870">
        <v>400000</v>
      </c>
    </row>
    <row r="52871" spans="26:26" x14ac:dyDescent="0.25">
      <c r="Z52871">
        <v>400000</v>
      </c>
    </row>
    <row r="52872" spans="26:26" x14ac:dyDescent="0.25">
      <c r="Z52872">
        <v>400000</v>
      </c>
    </row>
    <row r="52873" spans="26:26" x14ac:dyDescent="0.25">
      <c r="Z52873">
        <v>400000</v>
      </c>
    </row>
    <row r="52874" spans="26:26" x14ac:dyDescent="0.25">
      <c r="Z52874">
        <v>400000</v>
      </c>
    </row>
    <row r="52875" spans="26:26" x14ac:dyDescent="0.25">
      <c r="Z52875">
        <v>400000</v>
      </c>
    </row>
    <row r="52876" spans="26:26" x14ac:dyDescent="0.25">
      <c r="Z52876">
        <v>400000</v>
      </c>
    </row>
    <row r="52877" spans="26:26" x14ac:dyDescent="0.25">
      <c r="Z52877">
        <v>400000</v>
      </c>
    </row>
    <row r="52878" spans="26:26" x14ac:dyDescent="0.25">
      <c r="Z52878">
        <v>400000</v>
      </c>
    </row>
    <row r="52879" spans="26:26" x14ac:dyDescent="0.25">
      <c r="Z52879">
        <v>400000</v>
      </c>
    </row>
    <row r="52880" spans="26:26" x14ac:dyDescent="0.25">
      <c r="Z52880">
        <v>400000</v>
      </c>
    </row>
    <row r="52881" spans="26:26" x14ac:dyDescent="0.25">
      <c r="Z52881">
        <v>400000</v>
      </c>
    </row>
    <row r="52882" spans="26:26" x14ac:dyDescent="0.25">
      <c r="Z52882">
        <v>400000</v>
      </c>
    </row>
    <row r="52883" spans="26:26" x14ac:dyDescent="0.25">
      <c r="Z52883">
        <v>400000</v>
      </c>
    </row>
    <row r="52884" spans="26:26" x14ac:dyDescent="0.25">
      <c r="Z52884">
        <v>400000</v>
      </c>
    </row>
    <row r="52885" spans="26:26" x14ac:dyDescent="0.25">
      <c r="Z52885">
        <v>400000</v>
      </c>
    </row>
    <row r="52886" spans="26:26" x14ac:dyDescent="0.25">
      <c r="Z52886">
        <v>400000</v>
      </c>
    </row>
    <row r="52887" spans="26:26" x14ac:dyDescent="0.25">
      <c r="Z52887">
        <v>400000</v>
      </c>
    </row>
    <row r="52888" spans="26:26" x14ac:dyDescent="0.25">
      <c r="Z52888">
        <v>400000</v>
      </c>
    </row>
    <row r="52889" spans="26:26" x14ac:dyDescent="0.25">
      <c r="Z52889">
        <v>400000</v>
      </c>
    </row>
    <row r="52890" spans="26:26" x14ac:dyDescent="0.25">
      <c r="Z52890">
        <v>400000</v>
      </c>
    </row>
    <row r="52891" spans="26:26" x14ac:dyDescent="0.25">
      <c r="Z52891">
        <v>400000</v>
      </c>
    </row>
    <row r="52892" spans="26:26" x14ac:dyDescent="0.25">
      <c r="Z52892">
        <v>400000</v>
      </c>
    </row>
    <row r="52893" spans="26:26" x14ac:dyDescent="0.25">
      <c r="Z52893">
        <v>400000</v>
      </c>
    </row>
    <row r="52894" spans="26:26" x14ac:dyDescent="0.25">
      <c r="Z52894">
        <v>400000</v>
      </c>
    </row>
    <row r="52895" spans="26:26" x14ac:dyDescent="0.25">
      <c r="Z52895">
        <v>400000</v>
      </c>
    </row>
    <row r="52896" spans="26:26" x14ac:dyDescent="0.25">
      <c r="Z52896">
        <v>400000</v>
      </c>
    </row>
    <row r="52897" spans="26:26" x14ac:dyDescent="0.25">
      <c r="Z52897">
        <v>400000</v>
      </c>
    </row>
    <row r="52898" spans="26:26" x14ac:dyDescent="0.25">
      <c r="Z52898">
        <v>400000</v>
      </c>
    </row>
    <row r="52899" spans="26:26" x14ac:dyDescent="0.25">
      <c r="Z52899">
        <v>400000</v>
      </c>
    </row>
    <row r="52900" spans="26:26" x14ac:dyDescent="0.25">
      <c r="Z52900">
        <v>400000</v>
      </c>
    </row>
    <row r="52901" spans="26:26" x14ac:dyDescent="0.25">
      <c r="Z52901">
        <v>400000</v>
      </c>
    </row>
    <row r="52902" spans="26:26" x14ac:dyDescent="0.25">
      <c r="Z52902">
        <v>400000</v>
      </c>
    </row>
    <row r="52903" spans="26:26" x14ac:dyDescent="0.25">
      <c r="Z52903">
        <v>400000</v>
      </c>
    </row>
    <row r="52904" spans="26:26" x14ac:dyDescent="0.25">
      <c r="Z52904">
        <v>400000</v>
      </c>
    </row>
    <row r="52905" spans="26:26" x14ac:dyDescent="0.25">
      <c r="Z52905">
        <v>400000</v>
      </c>
    </row>
    <row r="52906" spans="26:26" x14ac:dyDescent="0.25">
      <c r="Z52906">
        <v>400000</v>
      </c>
    </row>
    <row r="52907" spans="26:26" x14ac:dyDescent="0.25">
      <c r="Z52907">
        <v>400000</v>
      </c>
    </row>
    <row r="52908" spans="26:26" x14ac:dyDescent="0.25">
      <c r="Z52908">
        <v>400000</v>
      </c>
    </row>
    <row r="52909" spans="26:26" x14ac:dyDescent="0.25">
      <c r="Z52909">
        <v>400000</v>
      </c>
    </row>
    <row r="52910" spans="26:26" x14ac:dyDescent="0.25">
      <c r="Z52910">
        <v>400000</v>
      </c>
    </row>
    <row r="52911" spans="26:26" x14ac:dyDescent="0.25">
      <c r="Z52911">
        <v>400000</v>
      </c>
    </row>
    <row r="52912" spans="26:26" x14ac:dyDescent="0.25">
      <c r="Z52912">
        <v>400000</v>
      </c>
    </row>
    <row r="52913" spans="26:26" x14ac:dyDescent="0.25">
      <c r="Z52913">
        <v>400000</v>
      </c>
    </row>
    <row r="52914" spans="26:26" x14ac:dyDescent="0.25">
      <c r="Z52914">
        <v>400000</v>
      </c>
    </row>
    <row r="52915" spans="26:26" x14ac:dyDescent="0.25">
      <c r="Z52915">
        <v>400000</v>
      </c>
    </row>
    <row r="52916" spans="26:26" x14ac:dyDescent="0.25">
      <c r="Z52916">
        <v>400000</v>
      </c>
    </row>
    <row r="52917" spans="26:26" x14ac:dyDescent="0.25">
      <c r="Z52917">
        <v>400000</v>
      </c>
    </row>
    <row r="52918" spans="26:26" x14ac:dyDescent="0.25">
      <c r="Z52918">
        <v>400000</v>
      </c>
    </row>
    <row r="52919" spans="26:26" x14ac:dyDescent="0.25">
      <c r="Z52919">
        <v>400000</v>
      </c>
    </row>
    <row r="52920" spans="26:26" x14ac:dyDescent="0.25">
      <c r="Z52920">
        <v>400000</v>
      </c>
    </row>
    <row r="52921" spans="26:26" x14ac:dyDescent="0.25">
      <c r="Z52921">
        <v>400000</v>
      </c>
    </row>
    <row r="52922" spans="26:26" x14ac:dyDescent="0.25">
      <c r="Z52922">
        <v>400000</v>
      </c>
    </row>
    <row r="52923" spans="26:26" x14ac:dyDescent="0.25">
      <c r="Z52923">
        <v>400000</v>
      </c>
    </row>
    <row r="52924" spans="26:26" x14ac:dyDescent="0.25">
      <c r="Z52924">
        <v>400000</v>
      </c>
    </row>
    <row r="52925" spans="26:26" x14ac:dyDescent="0.25">
      <c r="Z52925">
        <v>400000</v>
      </c>
    </row>
    <row r="52926" spans="26:26" x14ac:dyDescent="0.25">
      <c r="Z52926">
        <v>400000</v>
      </c>
    </row>
    <row r="52927" spans="26:26" x14ac:dyDescent="0.25">
      <c r="Z52927">
        <v>400000</v>
      </c>
    </row>
    <row r="52928" spans="26:26" x14ac:dyDescent="0.25">
      <c r="Z52928">
        <v>400000</v>
      </c>
    </row>
    <row r="52929" spans="26:26" x14ac:dyDescent="0.25">
      <c r="Z52929">
        <v>400000</v>
      </c>
    </row>
    <row r="52930" spans="26:26" x14ac:dyDescent="0.25">
      <c r="Z52930">
        <v>400000</v>
      </c>
    </row>
    <row r="52931" spans="26:26" x14ac:dyDescent="0.25">
      <c r="Z52931">
        <v>400000</v>
      </c>
    </row>
    <row r="52932" spans="26:26" x14ac:dyDescent="0.25">
      <c r="Z52932">
        <v>400000</v>
      </c>
    </row>
    <row r="52933" spans="26:26" x14ac:dyDescent="0.25">
      <c r="Z52933">
        <v>400000</v>
      </c>
    </row>
    <row r="52934" spans="26:26" x14ac:dyDescent="0.25">
      <c r="Z52934">
        <v>400000</v>
      </c>
    </row>
    <row r="52935" spans="26:26" x14ac:dyDescent="0.25">
      <c r="Z52935">
        <v>400000</v>
      </c>
    </row>
    <row r="52936" spans="26:26" x14ac:dyDescent="0.25">
      <c r="Z52936">
        <v>400000</v>
      </c>
    </row>
    <row r="52937" spans="26:26" x14ac:dyDescent="0.25">
      <c r="Z52937">
        <v>400000</v>
      </c>
    </row>
    <row r="52938" spans="26:26" x14ac:dyDescent="0.25">
      <c r="Z52938">
        <v>400000</v>
      </c>
    </row>
    <row r="52939" spans="26:26" x14ac:dyDescent="0.25">
      <c r="Z52939">
        <v>400000</v>
      </c>
    </row>
    <row r="52940" spans="26:26" x14ac:dyDescent="0.25">
      <c r="Z52940">
        <v>400000</v>
      </c>
    </row>
    <row r="52941" spans="26:26" x14ac:dyDescent="0.25">
      <c r="Z52941">
        <v>400000</v>
      </c>
    </row>
    <row r="52942" spans="26:26" x14ac:dyDescent="0.25">
      <c r="Z52942">
        <v>400000</v>
      </c>
    </row>
    <row r="52943" spans="26:26" x14ac:dyDescent="0.25">
      <c r="Z52943">
        <v>400000</v>
      </c>
    </row>
    <row r="52944" spans="26:26" x14ac:dyDescent="0.25">
      <c r="Z52944">
        <v>400000</v>
      </c>
    </row>
    <row r="52945" spans="26:26" x14ac:dyDescent="0.25">
      <c r="Z52945">
        <v>400000</v>
      </c>
    </row>
    <row r="52946" spans="26:26" x14ac:dyDescent="0.25">
      <c r="Z52946">
        <v>400000</v>
      </c>
    </row>
    <row r="52947" spans="26:26" x14ac:dyDescent="0.25">
      <c r="Z52947">
        <v>400000</v>
      </c>
    </row>
    <row r="52948" spans="26:26" x14ac:dyDescent="0.25">
      <c r="Z52948">
        <v>400000</v>
      </c>
    </row>
    <row r="52949" spans="26:26" x14ac:dyDescent="0.25">
      <c r="Z52949">
        <v>400000</v>
      </c>
    </row>
    <row r="52950" spans="26:26" x14ac:dyDescent="0.25">
      <c r="Z52950">
        <v>400000</v>
      </c>
    </row>
    <row r="52951" spans="26:26" x14ac:dyDescent="0.25">
      <c r="Z52951">
        <v>400000</v>
      </c>
    </row>
    <row r="52952" spans="26:26" x14ac:dyDescent="0.25">
      <c r="Z52952">
        <v>400000</v>
      </c>
    </row>
    <row r="52953" spans="26:26" x14ac:dyDescent="0.25">
      <c r="Z52953">
        <v>400000</v>
      </c>
    </row>
    <row r="52954" spans="26:26" x14ac:dyDescent="0.25">
      <c r="Z52954">
        <v>400000</v>
      </c>
    </row>
    <row r="52955" spans="26:26" x14ac:dyDescent="0.25">
      <c r="Z52955">
        <v>400000</v>
      </c>
    </row>
    <row r="52956" spans="26:26" x14ac:dyDescent="0.25">
      <c r="Z52956">
        <v>400000</v>
      </c>
    </row>
    <row r="52957" spans="26:26" x14ac:dyDescent="0.25">
      <c r="Z52957">
        <v>400000</v>
      </c>
    </row>
    <row r="52958" spans="26:26" x14ac:dyDescent="0.25">
      <c r="Z52958">
        <v>400000</v>
      </c>
    </row>
    <row r="52959" spans="26:26" x14ac:dyDescent="0.25">
      <c r="Z52959">
        <v>400000</v>
      </c>
    </row>
    <row r="52960" spans="26:26" x14ac:dyDescent="0.25">
      <c r="Z52960">
        <v>400000</v>
      </c>
    </row>
    <row r="52961" spans="26:26" x14ac:dyDescent="0.25">
      <c r="Z52961">
        <v>400000</v>
      </c>
    </row>
    <row r="52962" spans="26:26" x14ac:dyDescent="0.25">
      <c r="Z52962">
        <v>400000</v>
      </c>
    </row>
    <row r="52963" spans="26:26" x14ac:dyDescent="0.25">
      <c r="Z52963">
        <v>400000</v>
      </c>
    </row>
    <row r="52964" spans="26:26" x14ac:dyDescent="0.25">
      <c r="Z52964">
        <v>400000</v>
      </c>
    </row>
    <row r="52965" spans="26:26" x14ac:dyDescent="0.25">
      <c r="Z52965">
        <v>400000</v>
      </c>
    </row>
    <row r="52966" spans="26:26" x14ac:dyDescent="0.25">
      <c r="Z52966">
        <v>400000</v>
      </c>
    </row>
    <row r="52967" spans="26:26" x14ac:dyDescent="0.25">
      <c r="Z52967">
        <v>400000</v>
      </c>
    </row>
    <row r="52968" spans="26:26" x14ac:dyDescent="0.25">
      <c r="Z52968">
        <v>400000</v>
      </c>
    </row>
    <row r="52969" spans="26:26" x14ac:dyDescent="0.25">
      <c r="Z52969">
        <v>400000</v>
      </c>
    </row>
    <row r="52970" spans="26:26" x14ac:dyDescent="0.25">
      <c r="Z52970">
        <v>400000</v>
      </c>
    </row>
    <row r="52971" spans="26:26" x14ac:dyDescent="0.25">
      <c r="Z52971">
        <v>400000</v>
      </c>
    </row>
    <row r="52972" spans="26:26" x14ac:dyDescent="0.25">
      <c r="Z52972">
        <v>400000</v>
      </c>
    </row>
    <row r="52973" spans="26:26" x14ac:dyDescent="0.25">
      <c r="Z52973">
        <v>400000</v>
      </c>
    </row>
    <row r="52974" spans="26:26" x14ac:dyDescent="0.25">
      <c r="Z52974">
        <v>400000</v>
      </c>
    </row>
    <row r="52975" spans="26:26" x14ac:dyDescent="0.25">
      <c r="Z52975">
        <v>400000</v>
      </c>
    </row>
    <row r="52976" spans="26:26" x14ac:dyDescent="0.25">
      <c r="Z52976">
        <v>400000</v>
      </c>
    </row>
    <row r="52977" spans="26:26" x14ac:dyDescent="0.25">
      <c r="Z52977">
        <v>400000</v>
      </c>
    </row>
    <row r="52978" spans="26:26" x14ac:dyDescent="0.25">
      <c r="Z52978">
        <v>400000</v>
      </c>
    </row>
    <row r="52979" spans="26:26" x14ac:dyDescent="0.25">
      <c r="Z52979">
        <v>400000</v>
      </c>
    </row>
    <row r="52980" spans="26:26" x14ac:dyDescent="0.25">
      <c r="Z52980">
        <v>400000</v>
      </c>
    </row>
    <row r="52981" spans="26:26" x14ac:dyDescent="0.25">
      <c r="Z52981">
        <v>400000</v>
      </c>
    </row>
    <row r="52982" spans="26:26" x14ac:dyDescent="0.25">
      <c r="Z52982">
        <v>400000</v>
      </c>
    </row>
    <row r="52983" spans="26:26" x14ac:dyDescent="0.25">
      <c r="Z52983">
        <v>400000</v>
      </c>
    </row>
    <row r="52984" spans="26:26" x14ac:dyDescent="0.25">
      <c r="Z52984">
        <v>400000</v>
      </c>
    </row>
    <row r="52985" spans="26:26" x14ac:dyDescent="0.25">
      <c r="Z52985">
        <v>400000</v>
      </c>
    </row>
    <row r="52986" spans="26:26" x14ac:dyDescent="0.25">
      <c r="Z52986">
        <v>400000</v>
      </c>
    </row>
    <row r="52987" spans="26:26" x14ac:dyDescent="0.25">
      <c r="Z52987">
        <v>400000</v>
      </c>
    </row>
    <row r="52988" spans="26:26" x14ac:dyDescent="0.25">
      <c r="Z52988">
        <v>400000</v>
      </c>
    </row>
    <row r="52989" spans="26:26" x14ac:dyDescent="0.25">
      <c r="Z52989">
        <v>400000</v>
      </c>
    </row>
    <row r="52990" spans="26:26" x14ac:dyDescent="0.25">
      <c r="Z52990">
        <v>400000</v>
      </c>
    </row>
    <row r="52991" spans="26:26" x14ac:dyDescent="0.25">
      <c r="Z52991">
        <v>400000</v>
      </c>
    </row>
    <row r="52992" spans="26:26" x14ac:dyDescent="0.25">
      <c r="Z52992">
        <v>400000</v>
      </c>
    </row>
    <row r="52993" spans="26:26" x14ac:dyDescent="0.25">
      <c r="Z52993">
        <v>400000</v>
      </c>
    </row>
    <row r="52994" spans="26:26" x14ac:dyDescent="0.25">
      <c r="Z52994">
        <v>400000</v>
      </c>
    </row>
    <row r="52995" spans="26:26" x14ac:dyDescent="0.25">
      <c r="Z52995">
        <v>400000</v>
      </c>
    </row>
    <row r="52996" spans="26:26" x14ac:dyDescent="0.25">
      <c r="Z52996">
        <v>400000</v>
      </c>
    </row>
    <row r="52997" spans="26:26" x14ac:dyDescent="0.25">
      <c r="Z52997">
        <v>400000</v>
      </c>
    </row>
    <row r="52998" spans="26:26" x14ac:dyDescent="0.25">
      <c r="Z52998">
        <v>400000</v>
      </c>
    </row>
    <row r="52999" spans="26:26" x14ac:dyDescent="0.25">
      <c r="Z52999">
        <v>400000</v>
      </c>
    </row>
    <row r="53000" spans="26:26" x14ac:dyDescent="0.25">
      <c r="Z53000">
        <v>400000</v>
      </c>
    </row>
    <row r="53001" spans="26:26" x14ac:dyDescent="0.25">
      <c r="Z53001">
        <v>400000</v>
      </c>
    </row>
    <row r="53002" spans="26:26" x14ac:dyDescent="0.25">
      <c r="Z53002">
        <v>400000</v>
      </c>
    </row>
    <row r="53003" spans="26:26" x14ac:dyDescent="0.25">
      <c r="Z53003">
        <v>400000</v>
      </c>
    </row>
    <row r="53004" spans="26:26" x14ac:dyDescent="0.25">
      <c r="Z53004">
        <v>400000</v>
      </c>
    </row>
    <row r="53005" spans="26:26" x14ac:dyDescent="0.25">
      <c r="Z53005">
        <v>400000</v>
      </c>
    </row>
    <row r="53006" spans="26:26" x14ac:dyDescent="0.25">
      <c r="Z53006">
        <v>400000</v>
      </c>
    </row>
    <row r="53007" spans="26:26" x14ac:dyDescent="0.25">
      <c r="Z53007">
        <v>400000</v>
      </c>
    </row>
    <row r="53008" spans="26:26" x14ac:dyDescent="0.25">
      <c r="Z53008">
        <v>400000</v>
      </c>
    </row>
    <row r="53009" spans="26:26" x14ac:dyDescent="0.25">
      <c r="Z53009">
        <v>400000</v>
      </c>
    </row>
    <row r="53010" spans="26:26" x14ac:dyDescent="0.25">
      <c r="Z53010">
        <v>400000</v>
      </c>
    </row>
    <row r="53011" spans="26:26" x14ac:dyDescent="0.25">
      <c r="Z53011">
        <v>400000</v>
      </c>
    </row>
    <row r="53012" spans="26:26" x14ac:dyDescent="0.25">
      <c r="Z53012">
        <v>400000</v>
      </c>
    </row>
    <row r="53013" spans="26:26" x14ac:dyDescent="0.25">
      <c r="Z53013">
        <v>400000</v>
      </c>
    </row>
    <row r="53014" spans="26:26" x14ac:dyDescent="0.25">
      <c r="Z53014">
        <v>400000</v>
      </c>
    </row>
    <row r="53015" spans="26:26" x14ac:dyDescent="0.25">
      <c r="Z53015">
        <v>400000</v>
      </c>
    </row>
    <row r="53016" spans="26:26" x14ac:dyDescent="0.25">
      <c r="Z53016">
        <v>400000</v>
      </c>
    </row>
    <row r="53017" spans="26:26" x14ac:dyDescent="0.25">
      <c r="Z53017">
        <v>400000</v>
      </c>
    </row>
    <row r="53018" spans="26:26" x14ac:dyDescent="0.25">
      <c r="Z53018">
        <v>400000</v>
      </c>
    </row>
    <row r="53019" spans="26:26" x14ac:dyDescent="0.25">
      <c r="Z53019">
        <v>400000</v>
      </c>
    </row>
    <row r="53020" spans="26:26" x14ac:dyDescent="0.25">
      <c r="Z53020">
        <v>400000</v>
      </c>
    </row>
    <row r="53021" spans="26:26" x14ac:dyDescent="0.25">
      <c r="Z53021">
        <v>400000</v>
      </c>
    </row>
    <row r="53022" spans="26:26" x14ac:dyDescent="0.25">
      <c r="Z53022">
        <v>400000</v>
      </c>
    </row>
    <row r="53023" spans="26:26" x14ac:dyDescent="0.25">
      <c r="Z53023">
        <v>400000</v>
      </c>
    </row>
    <row r="53024" spans="26:26" x14ac:dyDescent="0.25">
      <c r="Z53024">
        <v>400000</v>
      </c>
    </row>
    <row r="53025" spans="26:26" x14ac:dyDescent="0.25">
      <c r="Z53025">
        <v>400000</v>
      </c>
    </row>
    <row r="53026" spans="26:26" x14ac:dyDescent="0.25">
      <c r="Z53026">
        <v>400000</v>
      </c>
    </row>
    <row r="53027" spans="26:26" x14ac:dyDescent="0.25">
      <c r="Z53027">
        <v>400000</v>
      </c>
    </row>
    <row r="53028" spans="26:26" x14ac:dyDescent="0.25">
      <c r="Z53028">
        <v>400000</v>
      </c>
    </row>
    <row r="53029" spans="26:26" x14ac:dyDescent="0.25">
      <c r="Z53029">
        <v>400000</v>
      </c>
    </row>
    <row r="53030" spans="26:26" x14ac:dyDescent="0.25">
      <c r="Z53030">
        <v>400000</v>
      </c>
    </row>
    <row r="53031" spans="26:26" x14ac:dyDescent="0.25">
      <c r="Z53031">
        <v>400000</v>
      </c>
    </row>
    <row r="53032" spans="26:26" x14ac:dyDescent="0.25">
      <c r="Z53032">
        <v>400000</v>
      </c>
    </row>
    <row r="53033" spans="26:26" x14ac:dyDescent="0.25">
      <c r="Z53033">
        <v>400000</v>
      </c>
    </row>
    <row r="53034" spans="26:26" x14ac:dyDescent="0.25">
      <c r="Z53034">
        <v>400000</v>
      </c>
    </row>
    <row r="53035" spans="26:26" x14ac:dyDescent="0.25">
      <c r="Z53035">
        <v>400000</v>
      </c>
    </row>
    <row r="53036" spans="26:26" x14ac:dyDescent="0.25">
      <c r="Z53036">
        <v>400000</v>
      </c>
    </row>
    <row r="53037" spans="26:26" x14ac:dyDescent="0.25">
      <c r="Z53037">
        <v>400000</v>
      </c>
    </row>
    <row r="53038" spans="26:26" x14ac:dyDescent="0.25">
      <c r="Z53038">
        <v>400000</v>
      </c>
    </row>
    <row r="53039" spans="26:26" x14ac:dyDescent="0.25">
      <c r="Z53039">
        <v>400000</v>
      </c>
    </row>
    <row r="53040" spans="26:26" x14ac:dyDescent="0.25">
      <c r="Z53040">
        <v>400000</v>
      </c>
    </row>
    <row r="53041" spans="26:26" x14ac:dyDescent="0.25">
      <c r="Z53041">
        <v>400000</v>
      </c>
    </row>
    <row r="53042" spans="26:26" x14ac:dyDescent="0.25">
      <c r="Z53042">
        <v>400000</v>
      </c>
    </row>
    <row r="53043" spans="26:26" x14ac:dyDescent="0.25">
      <c r="Z53043">
        <v>400000</v>
      </c>
    </row>
    <row r="53044" spans="26:26" x14ac:dyDescent="0.25">
      <c r="Z53044">
        <v>400000</v>
      </c>
    </row>
    <row r="53045" spans="26:26" x14ac:dyDescent="0.25">
      <c r="Z53045">
        <v>400000</v>
      </c>
    </row>
    <row r="53046" spans="26:26" x14ac:dyDescent="0.25">
      <c r="Z53046">
        <v>400000</v>
      </c>
    </row>
    <row r="53047" spans="26:26" x14ac:dyDescent="0.25">
      <c r="Z53047">
        <v>400000</v>
      </c>
    </row>
    <row r="53048" spans="26:26" x14ac:dyDescent="0.25">
      <c r="Z53048">
        <v>400000</v>
      </c>
    </row>
    <row r="53049" spans="26:26" x14ac:dyDescent="0.25">
      <c r="Z53049">
        <v>400000</v>
      </c>
    </row>
    <row r="53050" spans="26:26" x14ac:dyDescent="0.25">
      <c r="Z53050">
        <v>400000</v>
      </c>
    </row>
    <row r="53051" spans="26:26" x14ac:dyDescent="0.25">
      <c r="Z53051">
        <v>400000</v>
      </c>
    </row>
    <row r="53052" spans="26:26" x14ac:dyDescent="0.25">
      <c r="Z53052">
        <v>400000</v>
      </c>
    </row>
    <row r="53053" spans="26:26" x14ac:dyDescent="0.25">
      <c r="Z53053">
        <v>400000</v>
      </c>
    </row>
    <row r="53054" spans="26:26" x14ac:dyDescent="0.25">
      <c r="Z53054">
        <v>400000</v>
      </c>
    </row>
    <row r="53055" spans="26:26" x14ac:dyDescent="0.25">
      <c r="Z53055">
        <v>400000</v>
      </c>
    </row>
    <row r="53056" spans="26:26" x14ac:dyDescent="0.25">
      <c r="Z53056">
        <v>400000</v>
      </c>
    </row>
    <row r="53057" spans="26:26" x14ac:dyDescent="0.25">
      <c r="Z53057">
        <v>400000</v>
      </c>
    </row>
    <row r="53058" spans="26:26" x14ac:dyDescent="0.25">
      <c r="Z53058">
        <v>400000</v>
      </c>
    </row>
    <row r="53059" spans="26:26" x14ac:dyDescent="0.25">
      <c r="Z53059">
        <v>400000</v>
      </c>
    </row>
    <row r="53060" spans="26:26" x14ac:dyDescent="0.25">
      <c r="Z53060">
        <v>400000</v>
      </c>
    </row>
    <row r="53061" spans="26:26" x14ac:dyDescent="0.25">
      <c r="Z53061">
        <v>400000</v>
      </c>
    </row>
    <row r="53062" spans="26:26" x14ac:dyDescent="0.25">
      <c r="Z53062">
        <v>400000</v>
      </c>
    </row>
    <row r="53063" spans="26:26" x14ac:dyDescent="0.25">
      <c r="Z53063">
        <v>400000</v>
      </c>
    </row>
    <row r="53064" spans="26:26" x14ac:dyDescent="0.25">
      <c r="Z53064">
        <v>400000</v>
      </c>
    </row>
    <row r="53065" spans="26:26" x14ac:dyDescent="0.25">
      <c r="Z53065">
        <v>400000</v>
      </c>
    </row>
    <row r="53066" spans="26:26" x14ac:dyDescent="0.25">
      <c r="Z53066">
        <v>400000</v>
      </c>
    </row>
    <row r="53067" spans="26:26" x14ac:dyDescent="0.25">
      <c r="Z53067">
        <v>400000</v>
      </c>
    </row>
    <row r="53068" spans="26:26" x14ac:dyDescent="0.25">
      <c r="Z53068">
        <v>400000</v>
      </c>
    </row>
    <row r="53069" spans="26:26" x14ac:dyDescent="0.25">
      <c r="Z53069">
        <v>400000</v>
      </c>
    </row>
    <row r="53070" spans="26:26" x14ac:dyDescent="0.25">
      <c r="Z53070">
        <v>400000</v>
      </c>
    </row>
    <row r="53071" spans="26:26" x14ac:dyDescent="0.25">
      <c r="Z53071">
        <v>400000</v>
      </c>
    </row>
    <row r="53072" spans="26:26" x14ac:dyDescent="0.25">
      <c r="Z53072">
        <v>400000</v>
      </c>
    </row>
    <row r="53073" spans="26:26" x14ac:dyDescent="0.25">
      <c r="Z53073">
        <v>400000</v>
      </c>
    </row>
    <row r="53074" spans="26:26" x14ac:dyDescent="0.25">
      <c r="Z53074">
        <v>400000</v>
      </c>
    </row>
    <row r="53075" spans="26:26" x14ac:dyDescent="0.25">
      <c r="Z53075">
        <v>400000</v>
      </c>
    </row>
    <row r="53076" spans="26:26" x14ac:dyDescent="0.25">
      <c r="Z53076">
        <v>400000</v>
      </c>
    </row>
    <row r="53077" spans="26:26" x14ac:dyDescent="0.25">
      <c r="Z53077">
        <v>400000</v>
      </c>
    </row>
    <row r="53078" spans="26:26" x14ac:dyDescent="0.25">
      <c r="Z53078">
        <v>400000</v>
      </c>
    </row>
    <row r="53079" spans="26:26" x14ac:dyDescent="0.25">
      <c r="Z53079">
        <v>400000</v>
      </c>
    </row>
    <row r="53080" spans="26:26" x14ac:dyDescent="0.25">
      <c r="Z53080">
        <v>400000</v>
      </c>
    </row>
    <row r="53081" spans="26:26" x14ac:dyDescent="0.25">
      <c r="Z53081">
        <v>400000</v>
      </c>
    </row>
    <row r="53082" spans="26:26" x14ac:dyDescent="0.25">
      <c r="Z53082">
        <v>400000</v>
      </c>
    </row>
    <row r="53083" spans="26:26" x14ac:dyDescent="0.25">
      <c r="Z53083">
        <v>400000</v>
      </c>
    </row>
    <row r="53084" spans="26:26" x14ac:dyDescent="0.25">
      <c r="Z53084">
        <v>400000</v>
      </c>
    </row>
    <row r="53085" spans="26:26" x14ac:dyDescent="0.25">
      <c r="Z53085">
        <v>400000</v>
      </c>
    </row>
    <row r="53086" spans="26:26" x14ac:dyDescent="0.25">
      <c r="Z53086">
        <v>400000</v>
      </c>
    </row>
    <row r="53087" spans="26:26" x14ac:dyDescent="0.25">
      <c r="Z53087">
        <v>400000</v>
      </c>
    </row>
    <row r="53088" spans="26:26" x14ac:dyDescent="0.25">
      <c r="Z53088">
        <v>400000</v>
      </c>
    </row>
    <row r="53089" spans="26:26" x14ac:dyDescent="0.25">
      <c r="Z53089">
        <v>400000</v>
      </c>
    </row>
    <row r="53090" spans="26:26" x14ac:dyDescent="0.25">
      <c r="Z53090">
        <v>400000</v>
      </c>
    </row>
    <row r="53091" spans="26:26" x14ac:dyDescent="0.25">
      <c r="Z53091">
        <v>400000</v>
      </c>
    </row>
    <row r="53092" spans="26:26" x14ac:dyDescent="0.25">
      <c r="Z53092">
        <v>400000</v>
      </c>
    </row>
    <row r="53093" spans="26:26" x14ac:dyDescent="0.25">
      <c r="Z53093">
        <v>400000</v>
      </c>
    </row>
    <row r="53094" spans="26:26" x14ac:dyDescent="0.25">
      <c r="Z53094">
        <v>400000</v>
      </c>
    </row>
    <row r="53095" spans="26:26" x14ac:dyDescent="0.25">
      <c r="Z53095">
        <v>400000</v>
      </c>
    </row>
    <row r="53096" spans="26:26" x14ac:dyDescent="0.25">
      <c r="Z53096">
        <v>400000</v>
      </c>
    </row>
    <row r="53097" spans="26:26" x14ac:dyDescent="0.25">
      <c r="Z53097">
        <v>400000</v>
      </c>
    </row>
    <row r="53098" spans="26:26" x14ac:dyDescent="0.25">
      <c r="Z53098">
        <v>400000</v>
      </c>
    </row>
    <row r="53099" spans="26:26" x14ac:dyDescent="0.25">
      <c r="Z53099">
        <v>400000</v>
      </c>
    </row>
    <row r="53100" spans="26:26" x14ac:dyDescent="0.25">
      <c r="Z53100">
        <v>400000</v>
      </c>
    </row>
    <row r="53101" spans="26:26" x14ac:dyDescent="0.25">
      <c r="Z53101">
        <v>400000</v>
      </c>
    </row>
    <row r="53102" spans="26:26" x14ac:dyDescent="0.25">
      <c r="Z53102">
        <v>400000</v>
      </c>
    </row>
    <row r="53103" spans="26:26" x14ac:dyDescent="0.25">
      <c r="Z53103">
        <v>400000</v>
      </c>
    </row>
    <row r="53104" spans="26:26" x14ac:dyDescent="0.25">
      <c r="Z53104">
        <v>400000</v>
      </c>
    </row>
    <row r="53105" spans="26:26" x14ac:dyDescent="0.25">
      <c r="Z53105">
        <v>400000</v>
      </c>
    </row>
    <row r="53106" spans="26:26" x14ac:dyDescent="0.25">
      <c r="Z53106">
        <v>400000</v>
      </c>
    </row>
    <row r="53107" spans="26:26" x14ac:dyDescent="0.25">
      <c r="Z53107">
        <v>400000</v>
      </c>
    </row>
    <row r="53108" spans="26:26" x14ac:dyDescent="0.25">
      <c r="Z53108">
        <v>400000</v>
      </c>
    </row>
    <row r="53109" spans="26:26" x14ac:dyDescent="0.25">
      <c r="Z53109">
        <v>400000</v>
      </c>
    </row>
    <row r="53110" spans="26:26" x14ac:dyDescent="0.25">
      <c r="Z53110">
        <v>400000</v>
      </c>
    </row>
    <row r="53111" spans="26:26" x14ac:dyDescent="0.25">
      <c r="Z53111">
        <v>400000</v>
      </c>
    </row>
    <row r="53112" spans="26:26" x14ac:dyDescent="0.25">
      <c r="Z53112">
        <v>400000</v>
      </c>
    </row>
    <row r="53113" spans="26:26" x14ac:dyDescent="0.25">
      <c r="Z53113">
        <v>400000</v>
      </c>
    </row>
    <row r="53114" spans="26:26" x14ac:dyDescent="0.25">
      <c r="Z53114">
        <v>400000</v>
      </c>
    </row>
    <row r="53115" spans="26:26" x14ac:dyDescent="0.25">
      <c r="Z53115">
        <v>400000</v>
      </c>
    </row>
    <row r="53116" spans="26:26" x14ac:dyDescent="0.25">
      <c r="Z53116">
        <v>400000</v>
      </c>
    </row>
    <row r="53117" spans="26:26" x14ac:dyDescent="0.25">
      <c r="Z53117">
        <v>400000</v>
      </c>
    </row>
    <row r="53118" spans="26:26" x14ac:dyDescent="0.25">
      <c r="Z53118">
        <v>400000</v>
      </c>
    </row>
    <row r="53119" spans="26:26" x14ac:dyDescent="0.25">
      <c r="Z53119">
        <v>400000</v>
      </c>
    </row>
    <row r="53120" spans="26:26" x14ac:dyDescent="0.25">
      <c r="Z53120">
        <v>400000</v>
      </c>
    </row>
    <row r="53121" spans="26:26" x14ac:dyDescent="0.25">
      <c r="Z53121">
        <v>400000</v>
      </c>
    </row>
    <row r="53122" spans="26:26" x14ac:dyDescent="0.25">
      <c r="Z53122">
        <v>400000</v>
      </c>
    </row>
    <row r="53123" spans="26:26" x14ac:dyDescent="0.25">
      <c r="Z53123">
        <v>400000</v>
      </c>
    </row>
    <row r="53124" spans="26:26" x14ac:dyDescent="0.25">
      <c r="Z53124">
        <v>400000</v>
      </c>
    </row>
    <row r="53125" spans="26:26" x14ac:dyDescent="0.25">
      <c r="Z53125">
        <v>400000</v>
      </c>
    </row>
    <row r="53126" spans="26:26" x14ac:dyDescent="0.25">
      <c r="Z53126">
        <v>400000</v>
      </c>
    </row>
    <row r="53127" spans="26:26" x14ac:dyDescent="0.25">
      <c r="Z53127">
        <v>400000</v>
      </c>
    </row>
    <row r="53128" spans="26:26" x14ac:dyDescent="0.25">
      <c r="Z53128">
        <v>400000</v>
      </c>
    </row>
    <row r="53129" spans="26:26" x14ac:dyDescent="0.25">
      <c r="Z53129">
        <v>400000</v>
      </c>
    </row>
    <row r="53130" spans="26:26" x14ac:dyDescent="0.25">
      <c r="Z53130">
        <v>400000</v>
      </c>
    </row>
    <row r="53131" spans="26:26" x14ac:dyDescent="0.25">
      <c r="Z53131">
        <v>400000</v>
      </c>
    </row>
    <row r="53132" spans="26:26" x14ac:dyDescent="0.25">
      <c r="Z53132">
        <v>400000</v>
      </c>
    </row>
    <row r="53133" spans="26:26" x14ac:dyDescent="0.25">
      <c r="Z53133">
        <v>400000</v>
      </c>
    </row>
    <row r="53134" spans="26:26" x14ac:dyDescent="0.25">
      <c r="Z53134">
        <v>400000</v>
      </c>
    </row>
    <row r="53135" spans="26:26" x14ac:dyDescent="0.25">
      <c r="Z53135">
        <v>400000</v>
      </c>
    </row>
    <row r="53136" spans="26:26" x14ac:dyDescent="0.25">
      <c r="Z53136">
        <v>400000</v>
      </c>
    </row>
    <row r="53137" spans="26:26" x14ac:dyDescent="0.25">
      <c r="Z53137">
        <v>400000</v>
      </c>
    </row>
    <row r="53138" spans="26:26" x14ac:dyDescent="0.25">
      <c r="Z53138">
        <v>400000</v>
      </c>
    </row>
    <row r="53139" spans="26:26" x14ac:dyDescent="0.25">
      <c r="Z53139">
        <v>400000</v>
      </c>
    </row>
    <row r="53140" spans="26:26" x14ac:dyDescent="0.25">
      <c r="Z53140">
        <v>400000</v>
      </c>
    </row>
    <row r="53141" spans="26:26" x14ac:dyDescent="0.25">
      <c r="Z53141">
        <v>400000</v>
      </c>
    </row>
    <row r="53142" spans="26:26" x14ac:dyDescent="0.25">
      <c r="Z53142">
        <v>400000</v>
      </c>
    </row>
    <row r="53143" spans="26:26" x14ac:dyDescent="0.25">
      <c r="Z53143">
        <v>400000</v>
      </c>
    </row>
    <row r="53144" spans="26:26" x14ac:dyDescent="0.25">
      <c r="Z53144">
        <v>400000</v>
      </c>
    </row>
    <row r="53145" spans="26:26" x14ac:dyDescent="0.25">
      <c r="Z53145">
        <v>400000</v>
      </c>
    </row>
    <row r="53146" spans="26:26" x14ac:dyDescent="0.25">
      <c r="Z53146">
        <v>400000</v>
      </c>
    </row>
    <row r="53147" spans="26:26" x14ac:dyDescent="0.25">
      <c r="Z53147">
        <v>400000</v>
      </c>
    </row>
    <row r="53148" spans="26:26" x14ac:dyDescent="0.25">
      <c r="Z53148">
        <v>400000</v>
      </c>
    </row>
    <row r="53149" spans="26:26" x14ac:dyDescent="0.25">
      <c r="Z53149">
        <v>400000</v>
      </c>
    </row>
    <row r="53150" spans="26:26" x14ac:dyDescent="0.25">
      <c r="Z53150">
        <v>400000</v>
      </c>
    </row>
    <row r="53151" spans="26:26" x14ac:dyDescent="0.25">
      <c r="Z53151">
        <v>400000</v>
      </c>
    </row>
    <row r="53152" spans="26:26" x14ac:dyDescent="0.25">
      <c r="Z53152">
        <v>400000</v>
      </c>
    </row>
    <row r="53153" spans="26:26" x14ac:dyDescent="0.25">
      <c r="Z53153">
        <v>400000</v>
      </c>
    </row>
    <row r="53154" spans="26:26" x14ac:dyDescent="0.25">
      <c r="Z53154">
        <v>400000</v>
      </c>
    </row>
    <row r="53155" spans="26:26" x14ac:dyDescent="0.25">
      <c r="Z53155">
        <v>400000</v>
      </c>
    </row>
    <row r="53156" spans="26:26" x14ac:dyDescent="0.25">
      <c r="Z53156">
        <v>400000</v>
      </c>
    </row>
    <row r="53157" spans="26:26" x14ac:dyDescent="0.25">
      <c r="Z53157">
        <v>400000</v>
      </c>
    </row>
    <row r="53158" spans="26:26" x14ac:dyDescent="0.25">
      <c r="Z53158">
        <v>400000</v>
      </c>
    </row>
    <row r="53159" spans="26:26" x14ac:dyDescent="0.25">
      <c r="Z53159">
        <v>400000</v>
      </c>
    </row>
    <row r="53160" spans="26:26" x14ac:dyDescent="0.25">
      <c r="Z53160">
        <v>400000</v>
      </c>
    </row>
    <row r="53161" spans="26:26" x14ac:dyDescent="0.25">
      <c r="Z53161">
        <v>400000</v>
      </c>
    </row>
    <row r="53162" spans="26:26" x14ac:dyDescent="0.25">
      <c r="Z53162">
        <v>400000</v>
      </c>
    </row>
    <row r="53163" spans="26:26" x14ac:dyDescent="0.25">
      <c r="Z53163">
        <v>400000</v>
      </c>
    </row>
    <row r="53164" spans="26:26" x14ac:dyDescent="0.25">
      <c r="Z53164">
        <v>400000</v>
      </c>
    </row>
    <row r="53165" spans="26:26" x14ac:dyDescent="0.25">
      <c r="Z53165">
        <v>400000</v>
      </c>
    </row>
    <row r="53166" spans="26:26" x14ac:dyDescent="0.25">
      <c r="Z53166">
        <v>400000</v>
      </c>
    </row>
    <row r="53167" spans="26:26" x14ac:dyDescent="0.25">
      <c r="Z53167">
        <v>400000</v>
      </c>
    </row>
    <row r="53168" spans="26:26" x14ac:dyDescent="0.25">
      <c r="Z53168">
        <v>400000</v>
      </c>
    </row>
    <row r="53169" spans="26:26" x14ac:dyDescent="0.25">
      <c r="Z53169">
        <v>400000</v>
      </c>
    </row>
    <row r="53170" spans="26:26" x14ac:dyDescent="0.25">
      <c r="Z53170">
        <v>400000</v>
      </c>
    </row>
    <row r="53171" spans="26:26" x14ac:dyDescent="0.25">
      <c r="Z53171">
        <v>400000</v>
      </c>
    </row>
    <row r="53172" spans="26:26" x14ac:dyDescent="0.25">
      <c r="Z53172">
        <v>400000</v>
      </c>
    </row>
    <row r="53173" spans="26:26" x14ac:dyDescent="0.25">
      <c r="Z53173">
        <v>400000</v>
      </c>
    </row>
    <row r="53174" spans="26:26" x14ac:dyDescent="0.25">
      <c r="Z53174">
        <v>400000</v>
      </c>
    </row>
    <row r="53175" spans="26:26" x14ac:dyDescent="0.25">
      <c r="Z53175">
        <v>400000</v>
      </c>
    </row>
    <row r="53176" spans="26:26" x14ac:dyDescent="0.25">
      <c r="Z53176">
        <v>400000</v>
      </c>
    </row>
    <row r="53177" spans="26:26" x14ac:dyDescent="0.25">
      <c r="Z53177">
        <v>400000</v>
      </c>
    </row>
    <row r="53178" spans="26:26" x14ac:dyDescent="0.25">
      <c r="Z53178">
        <v>400000</v>
      </c>
    </row>
    <row r="53179" spans="26:26" x14ac:dyDescent="0.25">
      <c r="Z53179">
        <v>400000</v>
      </c>
    </row>
    <row r="53180" spans="26:26" x14ac:dyDescent="0.25">
      <c r="Z53180">
        <v>400000</v>
      </c>
    </row>
    <row r="53181" spans="26:26" x14ac:dyDescent="0.25">
      <c r="Z53181">
        <v>400000</v>
      </c>
    </row>
    <row r="53182" spans="26:26" x14ac:dyDescent="0.25">
      <c r="Z53182">
        <v>400000</v>
      </c>
    </row>
    <row r="53183" spans="26:26" x14ac:dyDescent="0.25">
      <c r="Z53183">
        <v>400000</v>
      </c>
    </row>
    <row r="53184" spans="26:26" x14ac:dyDescent="0.25">
      <c r="Z53184">
        <v>400000</v>
      </c>
    </row>
    <row r="53185" spans="26:26" x14ac:dyDescent="0.25">
      <c r="Z53185">
        <v>400000</v>
      </c>
    </row>
    <row r="53186" spans="26:26" x14ac:dyDescent="0.25">
      <c r="Z53186">
        <v>400000</v>
      </c>
    </row>
    <row r="53187" spans="26:26" x14ac:dyDescent="0.25">
      <c r="Z53187">
        <v>400000</v>
      </c>
    </row>
    <row r="53188" spans="26:26" x14ac:dyDescent="0.25">
      <c r="Z53188">
        <v>400000</v>
      </c>
    </row>
    <row r="53189" spans="26:26" x14ac:dyDescent="0.25">
      <c r="Z53189">
        <v>400000</v>
      </c>
    </row>
    <row r="53190" spans="26:26" x14ac:dyDescent="0.25">
      <c r="Z53190">
        <v>400000</v>
      </c>
    </row>
    <row r="53191" spans="26:26" x14ac:dyDescent="0.25">
      <c r="Z53191">
        <v>400000</v>
      </c>
    </row>
    <row r="53192" spans="26:26" x14ac:dyDescent="0.25">
      <c r="Z53192">
        <v>400000</v>
      </c>
    </row>
    <row r="53193" spans="26:26" x14ac:dyDescent="0.25">
      <c r="Z53193">
        <v>400000</v>
      </c>
    </row>
    <row r="53194" spans="26:26" x14ac:dyDescent="0.25">
      <c r="Z53194">
        <v>400000</v>
      </c>
    </row>
    <row r="53195" spans="26:26" x14ac:dyDescent="0.25">
      <c r="Z53195">
        <v>400000</v>
      </c>
    </row>
    <row r="53196" spans="26:26" x14ac:dyDescent="0.25">
      <c r="Z53196">
        <v>400000</v>
      </c>
    </row>
    <row r="53197" spans="26:26" x14ac:dyDescent="0.25">
      <c r="Z53197">
        <v>400000</v>
      </c>
    </row>
    <row r="53198" spans="26:26" x14ac:dyDescent="0.25">
      <c r="Z53198">
        <v>400000</v>
      </c>
    </row>
    <row r="53199" spans="26:26" x14ac:dyDescent="0.25">
      <c r="Z53199">
        <v>400000</v>
      </c>
    </row>
    <row r="53200" spans="26:26" x14ac:dyDescent="0.25">
      <c r="Z53200">
        <v>400000</v>
      </c>
    </row>
    <row r="53201" spans="26:26" x14ac:dyDescent="0.25">
      <c r="Z53201">
        <v>400000</v>
      </c>
    </row>
    <row r="53202" spans="26:26" x14ac:dyDescent="0.25">
      <c r="Z53202">
        <v>400000</v>
      </c>
    </row>
    <row r="53203" spans="26:26" x14ac:dyDescent="0.25">
      <c r="Z53203">
        <v>400000</v>
      </c>
    </row>
    <row r="53204" spans="26:26" x14ac:dyDescent="0.25">
      <c r="Z53204">
        <v>400000</v>
      </c>
    </row>
    <row r="53205" spans="26:26" x14ac:dyDescent="0.25">
      <c r="Z53205">
        <v>400000</v>
      </c>
    </row>
    <row r="53206" spans="26:26" x14ac:dyDescent="0.25">
      <c r="Z53206">
        <v>400000</v>
      </c>
    </row>
    <row r="53207" spans="26:26" x14ac:dyDescent="0.25">
      <c r="Z53207">
        <v>400000</v>
      </c>
    </row>
    <row r="53208" spans="26:26" x14ac:dyDescent="0.25">
      <c r="Z53208">
        <v>400000</v>
      </c>
    </row>
    <row r="53209" spans="26:26" x14ac:dyDescent="0.25">
      <c r="Z53209">
        <v>400000</v>
      </c>
    </row>
    <row r="53210" spans="26:26" x14ac:dyDescent="0.25">
      <c r="Z53210">
        <v>400000</v>
      </c>
    </row>
    <row r="53211" spans="26:26" x14ac:dyDescent="0.25">
      <c r="Z53211">
        <v>400000</v>
      </c>
    </row>
    <row r="53212" spans="26:26" x14ac:dyDescent="0.25">
      <c r="Z53212">
        <v>400000</v>
      </c>
    </row>
    <row r="53213" spans="26:26" x14ac:dyDescent="0.25">
      <c r="Z53213">
        <v>400000</v>
      </c>
    </row>
    <row r="53214" spans="26:26" x14ac:dyDescent="0.25">
      <c r="Z53214">
        <v>400000</v>
      </c>
    </row>
    <row r="53215" spans="26:26" x14ac:dyDescent="0.25">
      <c r="Z53215">
        <v>400000</v>
      </c>
    </row>
    <row r="53216" spans="26:26" x14ac:dyDescent="0.25">
      <c r="Z53216">
        <v>400000</v>
      </c>
    </row>
    <row r="53217" spans="26:26" x14ac:dyDescent="0.25">
      <c r="Z53217">
        <v>400000</v>
      </c>
    </row>
    <row r="53218" spans="26:26" x14ac:dyDescent="0.25">
      <c r="Z53218">
        <v>400000</v>
      </c>
    </row>
    <row r="53219" spans="26:26" x14ac:dyDescent="0.25">
      <c r="Z53219">
        <v>400000</v>
      </c>
    </row>
    <row r="53220" spans="26:26" x14ac:dyDescent="0.25">
      <c r="Z53220">
        <v>400000</v>
      </c>
    </row>
    <row r="53221" spans="26:26" x14ac:dyDescent="0.25">
      <c r="Z53221">
        <v>400000</v>
      </c>
    </row>
    <row r="53222" spans="26:26" x14ac:dyDescent="0.25">
      <c r="Z53222">
        <v>400000</v>
      </c>
    </row>
    <row r="53223" spans="26:26" x14ac:dyDescent="0.25">
      <c r="Z53223">
        <v>400000</v>
      </c>
    </row>
    <row r="53224" spans="26:26" x14ac:dyDescent="0.25">
      <c r="Z53224">
        <v>400000</v>
      </c>
    </row>
    <row r="53225" spans="26:26" x14ac:dyDescent="0.25">
      <c r="Z53225">
        <v>400000</v>
      </c>
    </row>
    <row r="53226" spans="26:26" x14ac:dyDescent="0.25">
      <c r="Z53226">
        <v>400000</v>
      </c>
    </row>
    <row r="53227" spans="26:26" x14ac:dyDescent="0.25">
      <c r="Z53227">
        <v>400000</v>
      </c>
    </row>
    <row r="53228" spans="26:26" x14ac:dyDescent="0.25">
      <c r="Z53228">
        <v>400000</v>
      </c>
    </row>
    <row r="53229" spans="26:26" x14ac:dyDescent="0.25">
      <c r="Z53229">
        <v>400000</v>
      </c>
    </row>
    <row r="53230" spans="26:26" x14ac:dyDescent="0.25">
      <c r="Z53230">
        <v>400000</v>
      </c>
    </row>
    <row r="53231" spans="26:26" x14ac:dyDescent="0.25">
      <c r="Z53231">
        <v>400000</v>
      </c>
    </row>
    <row r="53232" spans="26:26" x14ac:dyDescent="0.25">
      <c r="Z53232">
        <v>400000</v>
      </c>
    </row>
    <row r="53233" spans="26:26" x14ac:dyDescent="0.25">
      <c r="Z53233">
        <v>400000</v>
      </c>
    </row>
    <row r="53234" spans="26:26" x14ac:dyDescent="0.25">
      <c r="Z53234">
        <v>400000</v>
      </c>
    </row>
    <row r="53235" spans="26:26" x14ac:dyDescent="0.25">
      <c r="Z53235">
        <v>400000</v>
      </c>
    </row>
    <row r="53236" spans="26:26" x14ac:dyDescent="0.25">
      <c r="Z53236">
        <v>400000</v>
      </c>
    </row>
    <row r="53237" spans="26:26" x14ac:dyDescent="0.25">
      <c r="Z53237">
        <v>400000</v>
      </c>
    </row>
    <row r="53238" spans="26:26" x14ac:dyDescent="0.25">
      <c r="Z53238">
        <v>400000</v>
      </c>
    </row>
    <row r="53239" spans="26:26" x14ac:dyDescent="0.25">
      <c r="Z53239">
        <v>400000</v>
      </c>
    </row>
    <row r="53240" spans="26:26" x14ac:dyDescent="0.25">
      <c r="Z53240">
        <v>400000</v>
      </c>
    </row>
    <row r="53241" spans="26:26" x14ac:dyDescent="0.25">
      <c r="Z53241">
        <v>400000</v>
      </c>
    </row>
    <row r="53242" spans="26:26" x14ac:dyDescent="0.25">
      <c r="Z53242">
        <v>400000</v>
      </c>
    </row>
    <row r="53243" spans="26:26" x14ac:dyDescent="0.25">
      <c r="Z53243">
        <v>400000</v>
      </c>
    </row>
    <row r="53244" spans="26:26" x14ac:dyDescent="0.25">
      <c r="Z53244">
        <v>400000</v>
      </c>
    </row>
    <row r="53245" spans="26:26" x14ac:dyDescent="0.25">
      <c r="Z53245">
        <v>400000</v>
      </c>
    </row>
    <row r="53246" spans="26:26" x14ac:dyDescent="0.25">
      <c r="Z53246">
        <v>400000</v>
      </c>
    </row>
    <row r="53247" spans="26:26" x14ac:dyDescent="0.25">
      <c r="Z53247">
        <v>400000</v>
      </c>
    </row>
    <row r="53248" spans="26:26" x14ac:dyDescent="0.25">
      <c r="Z53248">
        <v>400000</v>
      </c>
    </row>
    <row r="53249" spans="26:26" x14ac:dyDescent="0.25">
      <c r="Z53249">
        <v>400000</v>
      </c>
    </row>
    <row r="53250" spans="26:26" x14ac:dyDescent="0.25">
      <c r="Z53250">
        <v>400000</v>
      </c>
    </row>
    <row r="53251" spans="26:26" x14ac:dyDescent="0.25">
      <c r="Z53251">
        <v>400000</v>
      </c>
    </row>
    <row r="53252" spans="26:26" x14ac:dyDescent="0.25">
      <c r="Z53252">
        <v>400000</v>
      </c>
    </row>
    <row r="53253" spans="26:26" x14ac:dyDescent="0.25">
      <c r="Z53253">
        <v>400000</v>
      </c>
    </row>
    <row r="53254" spans="26:26" x14ac:dyDescent="0.25">
      <c r="Z53254">
        <v>400000</v>
      </c>
    </row>
    <row r="53255" spans="26:26" x14ac:dyDescent="0.25">
      <c r="Z53255">
        <v>400000</v>
      </c>
    </row>
    <row r="53256" spans="26:26" x14ac:dyDescent="0.25">
      <c r="Z53256">
        <v>400000</v>
      </c>
    </row>
    <row r="53257" spans="26:26" x14ac:dyDescent="0.25">
      <c r="Z53257">
        <v>400000</v>
      </c>
    </row>
    <row r="53258" spans="26:26" x14ac:dyDescent="0.25">
      <c r="Z53258">
        <v>400000</v>
      </c>
    </row>
    <row r="53259" spans="26:26" x14ac:dyDescent="0.25">
      <c r="Z53259">
        <v>400000</v>
      </c>
    </row>
    <row r="53260" spans="26:26" x14ac:dyDescent="0.25">
      <c r="Z53260">
        <v>400000</v>
      </c>
    </row>
    <row r="53261" spans="26:26" x14ac:dyDescent="0.25">
      <c r="Z53261">
        <v>400000</v>
      </c>
    </row>
    <row r="53262" spans="26:26" x14ac:dyDescent="0.25">
      <c r="Z53262">
        <v>400000</v>
      </c>
    </row>
    <row r="53263" spans="26:26" x14ac:dyDescent="0.25">
      <c r="Z53263">
        <v>400000</v>
      </c>
    </row>
    <row r="53264" spans="26:26" x14ac:dyDescent="0.25">
      <c r="Z53264">
        <v>400000</v>
      </c>
    </row>
    <row r="53265" spans="26:26" x14ac:dyDescent="0.25">
      <c r="Z53265">
        <v>400000</v>
      </c>
    </row>
    <row r="53266" spans="26:26" x14ac:dyDescent="0.25">
      <c r="Z53266">
        <v>400000</v>
      </c>
    </row>
    <row r="53267" spans="26:26" x14ac:dyDescent="0.25">
      <c r="Z53267">
        <v>400000</v>
      </c>
    </row>
    <row r="53268" spans="26:26" x14ac:dyDescent="0.25">
      <c r="Z53268">
        <v>400000</v>
      </c>
    </row>
    <row r="53269" spans="26:26" x14ac:dyDescent="0.25">
      <c r="Z53269">
        <v>400000</v>
      </c>
    </row>
    <row r="53270" spans="26:26" x14ac:dyDescent="0.25">
      <c r="Z53270">
        <v>400000</v>
      </c>
    </row>
    <row r="53271" spans="26:26" x14ac:dyDescent="0.25">
      <c r="Z53271">
        <v>400000</v>
      </c>
    </row>
    <row r="53272" spans="26:26" x14ac:dyDescent="0.25">
      <c r="Z53272">
        <v>400000</v>
      </c>
    </row>
    <row r="53273" spans="26:26" x14ac:dyDescent="0.25">
      <c r="Z53273">
        <v>400000</v>
      </c>
    </row>
    <row r="53274" spans="26:26" x14ac:dyDescent="0.25">
      <c r="Z53274">
        <v>400000</v>
      </c>
    </row>
    <row r="53275" spans="26:26" x14ac:dyDescent="0.25">
      <c r="Z53275">
        <v>400000</v>
      </c>
    </row>
    <row r="53276" spans="26:26" x14ac:dyDescent="0.25">
      <c r="Z53276">
        <v>400000</v>
      </c>
    </row>
    <row r="53277" spans="26:26" x14ac:dyDescent="0.25">
      <c r="Z53277">
        <v>400000</v>
      </c>
    </row>
    <row r="53278" spans="26:26" x14ac:dyDescent="0.25">
      <c r="Z53278">
        <v>400000</v>
      </c>
    </row>
    <row r="53279" spans="26:26" x14ac:dyDescent="0.25">
      <c r="Z53279">
        <v>400000</v>
      </c>
    </row>
    <row r="53280" spans="26:26" x14ac:dyDescent="0.25">
      <c r="Z53280">
        <v>400000</v>
      </c>
    </row>
    <row r="53281" spans="26:26" x14ac:dyDescent="0.25">
      <c r="Z53281">
        <v>400000</v>
      </c>
    </row>
    <row r="53282" spans="26:26" x14ac:dyDescent="0.25">
      <c r="Z53282">
        <v>400000</v>
      </c>
    </row>
    <row r="53283" spans="26:26" x14ac:dyDescent="0.25">
      <c r="Z53283">
        <v>400000</v>
      </c>
    </row>
    <row r="53284" spans="26:26" x14ac:dyDescent="0.25">
      <c r="Z53284">
        <v>400000</v>
      </c>
    </row>
    <row r="53285" spans="26:26" x14ac:dyDescent="0.25">
      <c r="Z53285">
        <v>400000</v>
      </c>
    </row>
    <row r="53286" spans="26:26" x14ac:dyDescent="0.25">
      <c r="Z53286">
        <v>400000</v>
      </c>
    </row>
    <row r="53287" spans="26:26" x14ac:dyDescent="0.25">
      <c r="Z53287">
        <v>400000</v>
      </c>
    </row>
    <row r="53288" spans="26:26" x14ac:dyDescent="0.25">
      <c r="Z53288">
        <v>400000</v>
      </c>
    </row>
    <row r="53289" spans="26:26" x14ac:dyDescent="0.25">
      <c r="Z53289">
        <v>400000</v>
      </c>
    </row>
    <row r="53290" spans="26:26" x14ac:dyDescent="0.25">
      <c r="Z53290">
        <v>400000</v>
      </c>
    </row>
    <row r="53291" spans="26:26" x14ac:dyDescent="0.25">
      <c r="Z53291">
        <v>400000</v>
      </c>
    </row>
    <row r="53292" spans="26:26" x14ac:dyDescent="0.25">
      <c r="Z53292">
        <v>400000</v>
      </c>
    </row>
    <row r="53293" spans="26:26" x14ac:dyDescent="0.25">
      <c r="Z53293">
        <v>400000</v>
      </c>
    </row>
    <row r="53294" spans="26:26" x14ac:dyDescent="0.25">
      <c r="Z53294">
        <v>400000</v>
      </c>
    </row>
    <row r="53295" spans="26:26" x14ac:dyDescent="0.25">
      <c r="Z53295">
        <v>400000</v>
      </c>
    </row>
    <row r="53296" spans="26:26" x14ac:dyDescent="0.25">
      <c r="Z53296">
        <v>400000</v>
      </c>
    </row>
    <row r="53297" spans="26:26" x14ac:dyDescent="0.25">
      <c r="Z53297">
        <v>400000</v>
      </c>
    </row>
    <row r="53298" spans="26:26" x14ac:dyDescent="0.25">
      <c r="Z53298">
        <v>400000</v>
      </c>
    </row>
    <row r="53299" spans="26:26" x14ac:dyDescent="0.25">
      <c r="Z53299">
        <v>400000</v>
      </c>
    </row>
    <row r="53300" spans="26:26" x14ac:dyDescent="0.25">
      <c r="Z53300">
        <v>400000</v>
      </c>
    </row>
    <row r="53301" spans="26:26" x14ac:dyDescent="0.25">
      <c r="Z53301">
        <v>400000</v>
      </c>
    </row>
    <row r="53302" spans="26:26" x14ac:dyDescent="0.25">
      <c r="Z53302">
        <v>400000</v>
      </c>
    </row>
    <row r="53303" spans="26:26" x14ac:dyDescent="0.25">
      <c r="Z53303">
        <v>400000</v>
      </c>
    </row>
    <row r="53304" spans="26:26" x14ac:dyDescent="0.25">
      <c r="Z53304">
        <v>400000</v>
      </c>
    </row>
    <row r="53305" spans="26:26" x14ac:dyDescent="0.25">
      <c r="Z53305">
        <v>400000</v>
      </c>
    </row>
    <row r="53306" spans="26:26" x14ac:dyDescent="0.25">
      <c r="Z53306">
        <v>400000</v>
      </c>
    </row>
    <row r="53307" spans="26:26" x14ac:dyDescent="0.25">
      <c r="Z53307">
        <v>400000</v>
      </c>
    </row>
    <row r="53308" spans="26:26" x14ac:dyDescent="0.25">
      <c r="Z53308">
        <v>400000</v>
      </c>
    </row>
    <row r="53309" spans="26:26" x14ac:dyDescent="0.25">
      <c r="Z53309">
        <v>400000</v>
      </c>
    </row>
    <row r="53310" spans="26:26" x14ac:dyDescent="0.25">
      <c r="Z53310">
        <v>400000</v>
      </c>
    </row>
    <row r="53311" spans="26:26" x14ac:dyDescent="0.25">
      <c r="Z53311">
        <v>400000</v>
      </c>
    </row>
    <row r="53312" spans="26:26" x14ac:dyDescent="0.25">
      <c r="Z53312">
        <v>400000</v>
      </c>
    </row>
    <row r="53313" spans="26:26" x14ac:dyDescent="0.25">
      <c r="Z53313">
        <v>400000</v>
      </c>
    </row>
    <row r="53314" spans="26:26" x14ac:dyDescent="0.25">
      <c r="Z53314">
        <v>400000</v>
      </c>
    </row>
    <row r="53315" spans="26:26" x14ac:dyDescent="0.25">
      <c r="Z53315">
        <v>400000</v>
      </c>
    </row>
    <row r="53316" spans="26:26" x14ac:dyDescent="0.25">
      <c r="Z53316">
        <v>400000</v>
      </c>
    </row>
    <row r="53317" spans="26:26" x14ac:dyDescent="0.25">
      <c r="Z53317">
        <v>400000</v>
      </c>
    </row>
    <row r="53318" spans="26:26" x14ac:dyDescent="0.25">
      <c r="Z53318">
        <v>400000</v>
      </c>
    </row>
    <row r="53319" spans="26:26" x14ac:dyDescent="0.25">
      <c r="Z53319">
        <v>400000</v>
      </c>
    </row>
    <row r="53320" spans="26:26" x14ac:dyDescent="0.25">
      <c r="Z53320">
        <v>400000</v>
      </c>
    </row>
    <row r="53321" spans="26:26" x14ac:dyDescent="0.25">
      <c r="Z53321">
        <v>400000</v>
      </c>
    </row>
    <row r="53322" spans="26:26" x14ac:dyDescent="0.25">
      <c r="Z53322">
        <v>400000</v>
      </c>
    </row>
    <row r="53323" spans="26:26" x14ac:dyDescent="0.25">
      <c r="Z53323">
        <v>400000</v>
      </c>
    </row>
    <row r="53324" spans="26:26" x14ac:dyDescent="0.25">
      <c r="Z53324">
        <v>400000</v>
      </c>
    </row>
    <row r="53325" spans="26:26" x14ac:dyDescent="0.25">
      <c r="Z53325">
        <v>400000</v>
      </c>
    </row>
    <row r="53326" spans="26:26" x14ac:dyDescent="0.25">
      <c r="Z53326">
        <v>400000</v>
      </c>
    </row>
    <row r="53327" spans="26:26" x14ac:dyDescent="0.25">
      <c r="Z53327">
        <v>400000</v>
      </c>
    </row>
    <row r="53328" spans="26:26" x14ac:dyDescent="0.25">
      <c r="Z53328">
        <v>400000</v>
      </c>
    </row>
    <row r="53329" spans="26:26" x14ac:dyDescent="0.25">
      <c r="Z53329">
        <v>400000</v>
      </c>
    </row>
    <row r="53330" spans="26:26" x14ac:dyDescent="0.25">
      <c r="Z53330">
        <v>400000</v>
      </c>
    </row>
    <row r="53331" spans="26:26" x14ac:dyDescent="0.25">
      <c r="Z53331">
        <v>400000</v>
      </c>
    </row>
    <row r="53332" spans="26:26" x14ac:dyDescent="0.25">
      <c r="Z53332">
        <v>400000</v>
      </c>
    </row>
    <row r="53333" spans="26:26" x14ac:dyDescent="0.25">
      <c r="Z53333">
        <v>400000</v>
      </c>
    </row>
    <row r="53334" spans="26:26" x14ac:dyDescent="0.25">
      <c r="Z53334">
        <v>400000</v>
      </c>
    </row>
    <row r="53335" spans="26:26" x14ac:dyDescent="0.25">
      <c r="Z53335">
        <v>400000</v>
      </c>
    </row>
    <row r="53336" spans="26:26" x14ac:dyDescent="0.25">
      <c r="Z53336">
        <v>400000</v>
      </c>
    </row>
    <row r="53337" spans="26:26" x14ac:dyDescent="0.25">
      <c r="Z53337">
        <v>400000</v>
      </c>
    </row>
    <row r="53338" spans="26:26" x14ac:dyDescent="0.25">
      <c r="Z53338">
        <v>400000</v>
      </c>
    </row>
    <row r="53339" spans="26:26" x14ac:dyDescent="0.25">
      <c r="Z53339">
        <v>400000</v>
      </c>
    </row>
    <row r="53340" spans="26:26" x14ac:dyDescent="0.25">
      <c r="Z53340">
        <v>400000</v>
      </c>
    </row>
    <row r="53341" spans="26:26" x14ac:dyDescent="0.25">
      <c r="Z53341">
        <v>400000</v>
      </c>
    </row>
    <row r="53342" spans="26:26" x14ac:dyDescent="0.25">
      <c r="Z53342">
        <v>400000</v>
      </c>
    </row>
    <row r="53343" spans="26:26" x14ac:dyDescent="0.25">
      <c r="Z53343">
        <v>400000</v>
      </c>
    </row>
    <row r="53344" spans="26:26" x14ac:dyDescent="0.25">
      <c r="Z53344">
        <v>400000</v>
      </c>
    </row>
    <row r="53345" spans="26:26" x14ac:dyDescent="0.25">
      <c r="Z53345">
        <v>400000</v>
      </c>
    </row>
    <row r="53346" spans="26:26" x14ac:dyDescent="0.25">
      <c r="Z53346">
        <v>400000</v>
      </c>
    </row>
    <row r="53347" spans="26:26" x14ac:dyDescent="0.25">
      <c r="Z53347">
        <v>400000</v>
      </c>
    </row>
    <row r="53348" spans="26:26" x14ac:dyDescent="0.25">
      <c r="Z53348">
        <v>400000</v>
      </c>
    </row>
    <row r="53349" spans="26:26" x14ac:dyDescent="0.25">
      <c r="Z53349">
        <v>400000</v>
      </c>
    </row>
    <row r="53350" spans="26:26" x14ac:dyDescent="0.25">
      <c r="Z53350">
        <v>400000</v>
      </c>
    </row>
    <row r="53351" spans="26:26" x14ac:dyDescent="0.25">
      <c r="Z53351">
        <v>400000</v>
      </c>
    </row>
    <row r="53352" spans="26:26" x14ac:dyDescent="0.25">
      <c r="Z53352">
        <v>400000</v>
      </c>
    </row>
    <row r="53353" spans="26:26" x14ac:dyDescent="0.25">
      <c r="Z53353">
        <v>400000</v>
      </c>
    </row>
    <row r="53354" spans="26:26" x14ac:dyDescent="0.25">
      <c r="Z53354">
        <v>400000</v>
      </c>
    </row>
    <row r="53355" spans="26:26" x14ac:dyDescent="0.25">
      <c r="Z53355">
        <v>400000</v>
      </c>
    </row>
    <row r="53356" spans="26:26" x14ac:dyDescent="0.25">
      <c r="Z53356">
        <v>400000</v>
      </c>
    </row>
    <row r="53357" spans="26:26" x14ac:dyDescent="0.25">
      <c r="Z53357">
        <v>400000</v>
      </c>
    </row>
    <row r="53358" spans="26:26" x14ac:dyDescent="0.25">
      <c r="Z53358">
        <v>400000</v>
      </c>
    </row>
    <row r="53359" spans="26:26" x14ac:dyDescent="0.25">
      <c r="Z53359">
        <v>400000</v>
      </c>
    </row>
    <row r="53360" spans="26:26" x14ac:dyDescent="0.25">
      <c r="Z53360">
        <v>400000</v>
      </c>
    </row>
    <row r="53361" spans="26:26" x14ac:dyDescent="0.25">
      <c r="Z53361">
        <v>400000</v>
      </c>
    </row>
    <row r="53362" spans="26:26" x14ac:dyDescent="0.25">
      <c r="Z53362">
        <v>400000</v>
      </c>
    </row>
    <row r="53363" spans="26:26" x14ac:dyDescent="0.25">
      <c r="Z53363">
        <v>400000</v>
      </c>
    </row>
    <row r="53364" spans="26:26" x14ac:dyDescent="0.25">
      <c r="Z53364">
        <v>400000</v>
      </c>
    </row>
    <row r="53365" spans="26:26" x14ac:dyDescent="0.25">
      <c r="Z53365">
        <v>400000</v>
      </c>
    </row>
    <row r="53366" spans="26:26" x14ac:dyDescent="0.25">
      <c r="Z53366">
        <v>400000</v>
      </c>
    </row>
    <row r="53367" spans="26:26" x14ac:dyDescent="0.25">
      <c r="Z53367">
        <v>400000</v>
      </c>
    </row>
    <row r="53368" spans="26:26" x14ac:dyDescent="0.25">
      <c r="Z53368">
        <v>400000</v>
      </c>
    </row>
    <row r="53369" spans="26:26" x14ac:dyDescent="0.25">
      <c r="Z53369">
        <v>400000</v>
      </c>
    </row>
    <row r="53370" spans="26:26" x14ac:dyDescent="0.25">
      <c r="Z53370">
        <v>400000</v>
      </c>
    </row>
    <row r="53371" spans="26:26" x14ac:dyDescent="0.25">
      <c r="Z53371">
        <v>400000</v>
      </c>
    </row>
    <row r="53372" spans="26:26" x14ac:dyDescent="0.25">
      <c r="Z53372">
        <v>400000</v>
      </c>
    </row>
    <row r="53373" spans="26:26" x14ac:dyDescent="0.25">
      <c r="Z53373">
        <v>400000</v>
      </c>
    </row>
    <row r="53374" spans="26:26" x14ac:dyDescent="0.25">
      <c r="Z53374">
        <v>400000</v>
      </c>
    </row>
    <row r="53375" spans="26:26" x14ac:dyDescent="0.25">
      <c r="Z53375">
        <v>400000</v>
      </c>
    </row>
    <row r="53376" spans="26:26" x14ac:dyDescent="0.25">
      <c r="Z53376">
        <v>400000</v>
      </c>
    </row>
    <row r="53377" spans="26:26" x14ac:dyDescent="0.25">
      <c r="Z53377">
        <v>400000</v>
      </c>
    </row>
    <row r="53378" spans="26:26" x14ac:dyDescent="0.25">
      <c r="Z53378">
        <v>400000</v>
      </c>
    </row>
    <row r="53379" spans="26:26" x14ac:dyDescent="0.25">
      <c r="Z53379">
        <v>400000</v>
      </c>
    </row>
    <row r="53380" spans="26:26" x14ac:dyDescent="0.25">
      <c r="Z53380">
        <v>400000</v>
      </c>
    </row>
    <row r="53381" spans="26:26" x14ac:dyDescent="0.25">
      <c r="Z53381">
        <v>400000</v>
      </c>
    </row>
    <row r="53382" spans="26:26" x14ac:dyDescent="0.25">
      <c r="Z53382">
        <v>400000</v>
      </c>
    </row>
    <row r="53383" spans="26:26" x14ac:dyDescent="0.25">
      <c r="Z53383">
        <v>400000</v>
      </c>
    </row>
    <row r="53384" spans="26:26" x14ac:dyDescent="0.25">
      <c r="Z53384">
        <v>400000</v>
      </c>
    </row>
    <row r="53385" spans="26:26" x14ac:dyDescent="0.25">
      <c r="Z53385">
        <v>400000</v>
      </c>
    </row>
    <row r="53386" spans="26:26" x14ac:dyDescent="0.25">
      <c r="Z53386">
        <v>400000</v>
      </c>
    </row>
    <row r="53387" spans="26:26" x14ac:dyDescent="0.25">
      <c r="Z53387">
        <v>400000</v>
      </c>
    </row>
    <row r="53388" spans="26:26" x14ac:dyDescent="0.25">
      <c r="Z53388">
        <v>400000</v>
      </c>
    </row>
    <row r="53389" spans="26:26" x14ac:dyDescent="0.25">
      <c r="Z53389">
        <v>400000</v>
      </c>
    </row>
    <row r="53390" spans="26:26" x14ac:dyDescent="0.25">
      <c r="Z53390">
        <v>400000</v>
      </c>
    </row>
    <row r="53391" spans="26:26" x14ac:dyDescent="0.25">
      <c r="Z53391">
        <v>400000</v>
      </c>
    </row>
    <row r="53392" spans="26:26" x14ac:dyDescent="0.25">
      <c r="Z53392">
        <v>400000</v>
      </c>
    </row>
    <row r="53393" spans="26:26" x14ac:dyDescent="0.25">
      <c r="Z53393">
        <v>400000</v>
      </c>
    </row>
    <row r="53394" spans="26:26" x14ac:dyDescent="0.25">
      <c r="Z53394">
        <v>400000</v>
      </c>
    </row>
    <row r="53395" spans="26:26" x14ac:dyDescent="0.25">
      <c r="Z53395">
        <v>400000</v>
      </c>
    </row>
    <row r="53396" spans="26:26" x14ac:dyDescent="0.25">
      <c r="Z53396">
        <v>400000</v>
      </c>
    </row>
    <row r="53397" spans="26:26" x14ac:dyDescent="0.25">
      <c r="Z53397">
        <v>400000</v>
      </c>
    </row>
    <row r="53398" spans="26:26" x14ac:dyDescent="0.25">
      <c r="Z53398">
        <v>400000</v>
      </c>
    </row>
    <row r="53399" spans="26:26" x14ac:dyDescent="0.25">
      <c r="Z53399">
        <v>400000</v>
      </c>
    </row>
    <row r="53400" spans="26:26" x14ac:dyDescent="0.25">
      <c r="Z53400">
        <v>400000</v>
      </c>
    </row>
    <row r="53401" spans="26:26" x14ac:dyDescent="0.25">
      <c r="Z53401">
        <v>400000</v>
      </c>
    </row>
    <row r="53402" spans="26:26" x14ac:dyDescent="0.25">
      <c r="Z53402">
        <v>400000</v>
      </c>
    </row>
    <row r="53403" spans="26:26" x14ac:dyDescent="0.25">
      <c r="Z53403">
        <v>400000</v>
      </c>
    </row>
    <row r="53404" spans="26:26" x14ac:dyDescent="0.25">
      <c r="Z53404">
        <v>400000</v>
      </c>
    </row>
    <row r="53405" spans="26:26" x14ac:dyDescent="0.25">
      <c r="Z53405">
        <v>400000</v>
      </c>
    </row>
    <row r="53406" spans="26:26" x14ac:dyDescent="0.25">
      <c r="Z53406">
        <v>400000</v>
      </c>
    </row>
    <row r="53407" spans="26:26" x14ac:dyDescent="0.25">
      <c r="Z53407">
        <v>400000</v>
      </c>
    </row>
    <row r="53408" spans="26:26" x14ac:dyDescent="0.25">
      <c r="Z53408">
        <v>400000</v>
      </c>
    </row>
    <row r="53409" spans="26:26" x14ac:dyDescent="0.25">
      <c r="Z53409">
        <v>400000</v>
      </c>
    </row>
    <row r="53410" spans="26:26" x14ac:dyDescent="0.25">
      <c r="Z53410">
        <v>400000</v>
      </c>
    </row>
    <row r="53411" spans="26:26" x14ac:dyDescent="0.25">
      <c r="Z53411">
        <v>400000</v>
      </c>
    </row>
    <row r="53412" spans="26:26" x14ac:dyDescent="0.25">
      <c r="Z53412">
        <v>400000</v>
      </c>
    </row>
    <row r="53413" spans="26:26" x14ac:dyDescent="0.25">
      <c r="Z53413">
        <v>400000</v>
      </c>
    </row>
    <row r="53414" spans="26:26" x14ac:dyDescent="0.25">
      <c r="Z53414">
        <v>400000</v>
      </c>
    </row>
    <row r="53415" spans="26:26" x14ac:dyDescent="0.25">
      <c r="Z53415">
        <v>400000</v>
      </c>
    </row>
    <row r="53416" spans="26:26" x14ac:dyDescent="0.25">
      <c r="Z53416">
        <v>400000</v>
      </c>
    </row>
    <row r="53417" spans="26:26" x14ac:dyDescent="0.25">
      <c r="Z53417">
        <v>400000</v>
      </c>
    </row>
    <row r="53418" spans="26:26" x14ac:dyDescent="0.25">
      <c r="Z53418">
        <v>400000</v>
      </c>
    </row>
    <row r="53419" spans="26:26" x14ac:dyDescent="0.25">
      <c r="Z53419">
        <v>400000</v>
      </c>
    </row>
    <row r="53420" spans="26:26" x14ac:dyDescent="0.25">
      <c r="Z53420">
        <v>400000</v>
      </c>
    </row>
    <row r="53421" spans="26:26" x14ac:dyDescent="0.25">
      <c r="Z53421">
        <v>400000</v>
      </c>
    </row>
    <row r="53422" spans="26:26" x14ac:dyDescent="0.25">
      <c r="Z53422">
        <v>400000</v>
      </c>
    </row>
    <row r="53423" spans="26:26" x14ac:dyDescent="0.25">
      <c r="Z53423">
        <v>400000</v>
      </c>
    </row>
    <row r="53424" spans="26:26" x14ac:dyDescent="0.25">
      <c r="Z53424">
        <v>400000</v>
      </c>
    </row>
    <row r="53425" spans="26:26" x14ac:dyDescent="0.25">
      <c r="Z53425">
        <v>400000</v>
      </c>
    </row>
    <row r="53426" spans="26:26" x14ac:dyDescent="0.25">
      <c r="Z53426">
        <v>400000</v>
      </c>
    </row>
    <row r="53427" spans="26:26" x14ac:dyDescent="0.25">
      <c r="Z53427">
        <v>400000</v>
      </c>
    </row>
    <row r="53428" spans="26:26" x14ac:dyDescent="0.25">
      <c r="Z53428">
        <v>400000</v>
      </c>
    </row>
    <row r="53429" spans="26:26" x14ac:dyDescent="0.25">
      <c r="Z53429">
        <v>400000</v>
      </c>
    </row>
    <row r="53430" spans="26:26" x14ac:dyDescent="0.25">
      <c r="Z53430">
        <v>400000</v>
      </c>
    </row>
    <row r="53431" spans="26:26" x14ac:dyDescent="0.25">
      <c r="Z53431">
        <v>400000</v>
      </c>
    </row>
    <row r="53432" spans="26:26" x14ac:dyDescent="0.25">
      <c r="Z53432">
        <v>400000</v>
      </c>
    </row>
    <row r="53433" spans="26:26" x14ac:dyDescent="0.25">
      <c r="Z53433">
        <v>400000</v>
      </c>
    </row>
    <row r="53434" spans="26:26" x14ac:dyDescent="0.25">
      <c r="Z53434">
        <v>400000</v>
      </c>
    </row>
    <row r="53435" spans="26:26" x14ac:dyDescent="0.25">
      <c r="Z53435">
        <v>400000</v>
      </c>
    </row>
    <row r="53436" spans="26:26" x14ac:dyDescent="0.25">
      <c r="Z53436">
        <v>400000</v>
      </c>
    </row>
    <row r="53437" spans="26:26" x14ac:dyDescent="0.25">
      <c r="Z53437">
        <v>400000</v>
      </c>
    </row>
    <row r="53438" spans="26:26" x14ac:dyDescent="0.25">
      <c r="Z53438">
        <v>400000</v>
      </c>
    </row>
    <row r="53439" spans="26:26" x14ac:dyDescent="0.25">
      <c r="Z53439">
        <v>400000</v>
      </c>
    </row>
    <row r="53440" spans="26:26" x14ac:dyDescent="0.25">
      <c r="Z53440">
        <v>400000</v>
      </c>
    </row>
    <row r="53441" spans="26:26" x14ac:dyDescent="0.25">
      <c r="Z53441">
        <v>400000</v>
      </c>
    </row>
    <row r="53442" spans="26:26" x14ac:dyDescent="0.25">
      <c r="Z53442">
        <v>400000</v>
      </c>
    </row>
    <row r="53443" spans="26:26" x14ac:dyDescent="0.25">
      <c r="Z53443">
        <v>400000</v>
      </c>
    </row>
    <row r="53444" spans="26:26" x14ac:dyDescent="0.25">
      <c r="Z53444">
        <v>400000</v>
      </c>
    </row>
    <row r="53445" spans="26:26" x14ac:dyDescent="0.25">
      <c r="Z53445">
        <v>400000</v>
      </c>
    </row>
    <row r="53446" spans="26:26" x14ac:dyDescent="0.25">
      <c r="Z53446">
        <v>400000</v>
      </c>
    </row>
    <row r="53447" spans="26:26" x14ac:dyDescent="0.25">
      <c r="Z53447">
        <v>400000</v>
      </c>
    </row>
    <row r="53448" spans="26:26" x14ac:dyDescent="0.25">
      <c r="Z53448">
        <v>400000</v>
      </c>
    </row>
    <row r="53449" spans="26:26" x14ac:dyDescent="0.25">
      <c r="Z53449">
        <v>400000</v>
      </c>
    </row>
    <row r="53450" spans="26:26" x14ac:dyDescent="0.25">
      <c r="Z53450">
        <v>400000</v>
      </c>
    </row>
    <row r="53451" spans="26:26" x14ac:dyDescent="0.25">
      <c r="Z53451">
        <v>400000</v>
      </c>
    </row>
    <row r="53452" spans="26:26" x14ac:dyDescent="0.25">
      <c r="Z53452">
        <v>400000</v>
      </c>
    </row>
    <row r="53453" spans="26:26" x14ac:dyDescent="0.25">
      <c r="Z53453">
        <v>400000</v>
      </c>
    </row>
    <row r="53454" spans="26:26" x14ac:dyDescent="0.25">
      <c r="Z53454">
        <v>400000</v>
      </c>
    </row>
    <row r="53455" spans="26:26" x14ac:dyDescent="0.25">
      <c r="Z53455">
        <v>400000</v>
      </c>
    </row>
    <row r="53456" spans="26:26" x14ac:dyDescent="0.25">
      <c r="Z53456">
        <v>400000</v>
      </c>
    </row>
    <row r="53457" spans="26:26" x14ac:dyDescent="0.25">
      <c r="Z53457">
        <v>400000</v>
      </c>
    </row>
    <row r="53458" spans="26:26" x14ac:dyDescent="0.25">
      <c r="Z53458">
        <v>400000</v>
      </c>
    </row>
    <row r="53459" spans="26:26" x14ac:dyDescent="0.25">
      <c r="Z53459">
        <v>400000</v>
      </c>
    </row>
    <row r="53460" spans="26:26" x14ac:dyDescent="0.25">
      <c r="Z53460">
        <v>400000</v>
      </c>
    </row>
    <row r="53461" spans="26:26" x14ac:dyDescent="0.25">
      <c r="Z53461">
        <v>400000</v>
      </c>
    </row>
    <row r="53462" spans="26:26" x14ac:dyDescent="0.25">
      <c r="Z53462">
        <v>400000</v>
      </c>
    </row>
    <row r="53463" spans="26:26" x14ac:dyDescent="0.25">
      <c r="Z53463">
        <v>400000</v>
      </c>
    </row>
    <row r="53464" spans="26:26" x14ac:dyDescent="0.25">
      <c r="Z53464">
        <v>400000</v>
      </c>
    </row>
    <row r="53465" spans="26:26" x14ac:dyDescent="0.25">
      <c r="Z53465">
        <v>400000</v>
      </c>
    </row>
    <row r="53466" spans="26:26" x14ac:dyDescent="0.25">
      <c r="Z53466">
        <v>400000</v>
      </c>
    </row>
    <row r="53467" spans="26:26" x14ac:dyDescent="0.25">
      <c r="Z53467">
        <v>400000</v>
      </c>
    </row>
    <row r="53468" spans="26:26" x14ac:dyDescent="0.25">
      <c r="Z53468">
        <v>400000</v>
      </c>
    </row>
    <row r="53469" spans="26:26" x14ac:dyDescent="0.25">
      <c r="Z53469">
        <v>400000</v>
      </c>
    </row>
    <row r="53470" spans="26:26" x14ac:dyDescent="0.25">
      <c r="Z53470">
        <v>400000</v>
      </c>
    </row>
    <row r="53471" spans="26:26" x14ac:dyDescent="0.25">
      <c r="Z53471">
        <v>400000</v>
      </c>
    </row>
    <row r="53472" spans="26:26" x14ac:dyDescent="0.25">
      <c r="Z53472">
        <v>400000</v>
      </c>
    </row>
    <row r="53473" spans="26:26" x14ac:dyDescent="0.25">
      <c r="Z53473">
        <v>400000</v>
      </c>
    </row>
    <row r="53474" spans="26:26" x14ac:dyDescent="0.25">
      <c r="Z53474">
        <v>400000</v>
      </c>
    </row>
    <row r="53475" spans="26:26" x14ac:dyDescent="0.25">
      <c r="Z53475">
        <v>400000</v>
      </c>
    </row>
    <row r="53476" spans="26:26" x14ac:dyDescent="0.25">
      <c r="Z53476">
        <v>400000</v>
      </c>
    </row>
    <row r="53477" spans="26:26" x14ac:dyDescent="0.25">
      <c r="Z53477">
        <v>400000</v>
      </c>
    </row>
    <row r="53478" spans="26:26" x14ac:dyDescent="0.25">
      <c r="Z53478">
        <v>400000</v>
      </c>
    </row>
    <row r="53479" spans="26:26" x14ac:dyDescent="0.25">
      <c r="Z53479">
        <v>400000</v>
      </c>
    </row>
    <row r="53480" spans="26:26" x14ac:dyDescent="0.25">
      <c r="Z53480">
        <v>400000</v>
      </c>
    </row>
    <row r="53481" spans="26:26" x14ac:dyDescent="0.25">
      <c r="Z53481">
        <v>400000</v>
      </c>
    </row>
    <row r="53482" spans="26:26" x14ac:dyDescent="0.25">
      <c r="Z53482">
        <v>400000</v>
      </c>
    </row>
    <row r="53483" spans="26:26" x14ac:dyDescent="0.25">
      <c r="Z53483">
        <v>400000</v>
      </c>
    </row>
    <row r="53484" spans="26:26" x14ac:dyDescent="0.25">
      <c r="Z53484">
        <v>400000</v>
      </c>
    </row>
    <row r="53485" spans="26:26" x14ac:dyDescent="0.25">
      <c r="Z53485">
        <v>400000</v>
      </c>
    </row>
    <row r="53486" spans="26:26" x14ac:dyDescent="0.25">
      <c r="Z53486">
        <v>400000</v>
      </c>
    </row>
    <row r="53487" spans="26:26" x14ac:dyDescent="0.25">
      <c r="Z53487">
        <v>400000</v>
      </c>
    </row>
    <row r="53488" spans="26:26" x14ac:dyDescent="0.25">
      <c r="Z53488">
        <v>400000</v>
      </c>
    </row>
    <row r="53489" spans="26:26" x14ac:dyDescent="0.25">
      <c r="Z53489">
        <v>400000</v>
      </c>
    </row>
    <row r="53490" spans="26:26" x14ac:dyDescent="0.25">
      <c r="Z53490">
        <v>400000</v>
      </c>
    </row>
    <row r="53491" spans="26:26" x14ac:dyDescent="0.25">
      <c r="Z53491">
        <v>400000</v>
      </c>
    </row>
    <row r="53492" spans="26:26" x14ac:dyDescent="0.25">
      <c r="Z53492">
        <v>400000</v>
      </c>
    </row>
    <row r="53493" spans="26:26" x14ac:dyDescent="0.25">
      <c r="Z53493">
        <v>400000</v>
      </c>
    </row>
    <row r="53494" spans="26:26" x14ac:dyDescent="0.25">
      <c r="Z53494">
        <v>400000</v>
      </c>
    </row>
    <row r="53495" spans="26:26" x14ac:dyDescent="0.25">
      <c r="Z53495">
        <v>400000</v>
      </c>
    </row>
    <row r="53496" spans="26:26" x14ac:dyDescent="0.25">
      <c r="Z53496">
        <v>400000</v>
      </c>
    </row>
    <row r="53497" spans="26:26" x14ac:dyDescent="0.25">
      <c r="Z53497">
        <v>400000</v>
      </c>
    </row>
    <row r="53498" spans="26:26" x14ac:dyDescent="0.25">
      <c r="Z53498">
        <v>400000</v>
      </c>
    </row>
    <row r="53499" spans="26:26" x14ac:dyDescent="0.25">
      <c r="Z53499">
        <v>400000</v>
      </c>
    </row>
    <row r="53500" spans="26:26" x14ac:dyDescent="0.25">
      <c r="Z53500">
        <v>400000</v>
      </c>
    </row>
    <row r="53501" spans="26:26" x14ac:dyDescent="0.25">
      <c r="Z53501">
        <v>400000</v>
      </c>
    </row>
    <row r="53502" spans="26:26" x14ac:dyDescent="0.25">
      <c r="Z53502">
        <v>400000</v>
      </c>
    </row>
    <row r="53503" spans="26:26" x14ac:dyDescent="0.25">
      <c r="Z53503">
        <v>400000</v>
      </c>
    </row>
    <row r="53504" spans="26:26" x14ac:dyDescent="0.25">
      <c r="Z53504">
        <v>400000</v>
      </c>
    </row>
    <row r="53505" spans="26:26" x14ac:dyDescent="0.25">
      <c r="Z53505">
        <v>400000</v>
      </c>
    </row>
    <row r="53506" spans="26:26" x14ac:dyDescent="0.25">
      <c r="Z53506">
        <v>400000</v>
      </c>
    </row>
    <row r="53507" spans="26:26" x14ac:dyDescent="0.25">
      <c r="Z53507">
        <v>400000</v>
      </c>
    </row>
    <row r="53508" spans="26:26" x14ac:dyDescent="0.25">
      <c r="Z53508">
        <v>400000</v>
      </c>
    </row>
    <row r="53509" spans="26:26" x14ac:dyDescent="0.25">
      <c r="Z53509">
        <v>400000</v>
      </c>
    </row>
    <row r="53510" spans="26:26" x14ac:dyDescent="0.25">
      <c r="Z53510">
        <v>400000</v>
      </c>
    </row>
    <row r="53511" spans="26:26" x14ac:dyDescent="0.25">
      <c r="Z53511">
        <v>400000</v>
      </c>
    </row>
    <row r="53512" spans="26:26" x14ac:dyDescent="0.25">
      <c r="Z53512">
        <v>400000</v>
      </c>
    </row>
    <row r="53513" spans="26:26" x14ac:dyDescent="0.25">
      <c r="Z53513">
        <v>400000</v>
      </c>
    </row>
    <row r="53514" spans="26:26" x14ac:dyDescent="0.25">
      <c r="Z53514">
        <v>400000</v>
      </c>
    </row>
    <row r="53515" spans="26:26" x14ac:dyDescent="0.25">
      <c r="Z53515">
        <v>400000</v>
      </c>
    </row>
    <row r="53516" spans="26:26" x14ac:dyDescent="0.25">
      <c r="Z53516">
        <v>400000</v>
      </c>
    </row>
    <row r="53517" spans="26:26" x14ac:dyDescent="0.25">
      <c r="Z53517">
        <v>400000</v>
      </c>
    </row>
    <row r="53518" spans="26:26" x14ac:dyDescent="0.25">
      <c r="Z53518">
        <v>400000</v>
      </c>
    </row>
    <row r="53519" spans="26:26" x14ac:dyDescent="0.25">
      <c r="Z53519">
        <v>400000</v>
      </c>
    </row>
    <row r="53520" spans="26:26" x14ac:dyDescent="0.25">
      <c r="Z53520">
        <v>400000</v>
      </c>
    </row>
    <row r="53521" spans="26:26" x14ac:dyDescent="0.25">
      <c r="Z53521">
        <v>400000</v>
      </c>
    </row>
    <row r="53522" spans="26:26" x14ac:dyDescent="0.25">
      <c r="Z53522">
        <v>400000</v>
      </c>
    </row>
    <row r="53523" spans="26:26" x14ac:dyDescent="0.25">
      <c r="Z53523">
        <v>400000</v>
      </c>
    </row>
    <row r="53524" spans="26:26" x14ac:dyDescent="0.25">
      <c r="Z53524">
        <v>400000</v>
      </c>
    </row>
    <row r="53525" spans="26:26" x14ac:dyDescent="0.25">
      <c r="Z53525">
        <v>400000</v>
      </c>
    </row>
    <row r="53526" spans="26:26" x14ac:dyDescent="0.25">
      <c r="Z53526">
        <v>400000</v>
      </c>
    </row>
    <row r="53527" spans="26:26" x14ac:dyDescent="0.25">
      <c r="Z53527">
        <v>400000</v>
      </c>
    </row>
    <row r="53528" spans="26:26" x14ac:dyDescent="0.25">
      <c r="Z53528">
        <v>400000</v>
      </c>
    </row>
    <row r="53529" spans="26:26" x14ac:dyDescent="0.25">
      <c r="Z53529">
        <v>400000</v>
      </c>
    </row>
    <row r="53530" spans="26:26" x14ac:dyDescent="0.25">
      <c r="Z53530">
        <v>400000</v>
      </c>
    </row>
    <row r="53531" spans="26:26" x14ac:dyDescent="0.25">
      <c r="Z53531">
        <v>400000</v>
      </c>
    </row>
    <row r="53532" spans="26:26" x14ac:dyDescent="0.25">
      <c r="Z53532">
        <v>400000</v>
      </c>
    </row>
    <row r="53533" spans="26:26" x14ac:dyDescent="0.25">
      <c r="Z53533">
        <v>400000</v>
      </c>
    </row>
    <row r="53534" spans="26:26" x14ac:dyDescent="0.25">
      <c r="Z53534">
        <v>400000</v>
      </c>
    </row>
    <row r="53535" spans="26:26" x14ac:dyDescent="0.25">
      <c r="Z53535">
        <v>400000</v>
      </c>
    </row>
    <row r="53536" spans="26:26" x14ac:dyDescent="0.25">
      <c r="Z53536">
        <v>400000</v>
      </c>
    </row>
    <row r="53537" spans="26:26" x14ac:dyDescent="0.25">
      <c r="Z53537">
        <v>400000</v>
      </c>
    </row>
    <row r="53538" spans="26:26" x14ac:dyDescent="0.25">
      <c r="Z53538">
        <v>400000</v>
      </c>
    </row>
    <row r="53539" spans="26:26" x14ac:dyDescent="0.25">
      <c r="Z53539">
        <v>400000</v>
      </c>
    </row>
    <row r="53540" spans="26:26" x14ac:dyDescent="0.25">
      <c r="Z53540">
        <v>400000</v>
      </c>
    </row>
    <row r="53541" spans="26:26" x14ac:dyDescent="0.25">
      <c r="Z53541">
        <v>400000</v>
      </c>
    </row>
    <row r="53542" spans="26:26" x14ac:dyDescent="0.25">
      <c r="Z53542">
        <v>400000</v>
      </c>
    </row>
    <row r="53543" spans="26:26" x14ac:dyDescent="0.25">
      <c r="Z53543">
        <v>400000</v>
      </c>
    </row>
    <row r="53544" spans="26:26" x14ac:dyDescent="0.25">
      <c r="Z53544">
        <v>400000</v>
      </c>
    </row>
    <row r="53545" spans="26:26" x14ac:dyDescent="0.25">
      <c r="Z53545">
        <v>400000</v>
      </c>
    </row>
    <row r="53546" spans="26:26" x14ac:dyDescent="0.25">
      <c r="Z53546">
        <v>400000</v>
      </c>
    </row>
    <row r="53547" spans="26:26" x14ac:dyDescent="0.25">
      <c r="Z53547">
        <v>400000</v>
      </c>
    </row>
    <row r="53548" spans="26:26" x14ac:dyDescent="0.25">
      <c r="Z53548">
        <v>400000</v>
      </c>
    </row>
    <row r="53549" spans="26:26" x14ac:dyDescent="0.25">
      <c r="Z53549">
        <v>400000</v>
      </c>
    </row>
    <row r="53550" spans="26:26" x14ac:dyDescent="0.25">
      <c r="Z53550">
        <v>400000</v>
      </c>
    </row>
    <row r="53551" spans="26:26" x14ac:dyDescent="0.25">
      <c r="Z53551">
        <v>400000</v>
      </c>
    </row>
    <row r="53552" spans="26:26" x14ac:dyDescent="0.25">
      <c r="Z53552">
        <v>400000</v>
      </c>
    </row>
    <row r="53553" spans="26:26" x14ac:dyDescent="0.25">
      <c r="Z53553">
        <v>400000</v>
      </c>
    </row>
    <row r="53554" spans="26:26" x14ac:dyDescent="0.25">
      <c r="Z53554">
        <v>400000</v>
      </c>
    </row>
    <row r="53555" spans="26:26" x14ac:dyDescent="0.25">
      <c r="Z53555">
        <v>400000</v>
      </c>
    </row>
    <row r="53556" spans="26:26" x14ac:dyDescent="0.25">
      <c r="Z53556">
        <v>400000</v>
      </c>
    </row>
    <row r="53557" spans="26:26" x14ac:dyDescent="0.25">
      <c r="Z53557">
        <v>400000</v>
      </c>
    </row>
    <row r="53558" spans="26:26" x14ac:dyDescent="0.25">
      <c r="Z53558">
        <v>400000</v>
      </c>
    </row>
    <row r="53559" spans="26:26" x14ac:dyDescent="0.25">
      <c r="Z53559">
        <v>400000</v>
      </c>
    </row>
    <row r="53560" spans="26:26" x14ac:dyDescent="0.25">
      <c r="Z53560">
        <v>400000</v>
      </c>
    </row>
    <row r="53561" spans="26:26" x14ac:dyDescent="0.25">
      <c r="Z53561">
        <v>400000</v>
      </c>
    </row>
    <row r="53562" spans="26:26" x14ac:dyDescent="0.25">
      <c r="Z53562">
        <v>400000</v>
      </c>
    </row>
    <row r="53563" spans="26:26" x14ac:dyDescent="0.25">
      <c r="Z53563">
        <v>400000</v>
      </c>
    </row>
    <row r="53564" spans="26:26" x14ac:dyDescent="0.25">
      <c r="Z53564">
        <v>400000</v>
      </c>
    </row>
    <row r="53565" spans="26:26" x14ac:dyDescent="0.25">
      <c r="Z53565">
        <v>400000</v>
      </c>
    </row>
    <row r="53566" spans="26:26" x14ac:dyDescent="0.25">
      <c r="Z53566">
        <v>400000</v>
      </c>
    </row>
    <row r="53567" spans="26:26" x14ac:dyDescent="0.25">
      <c r="Z53567">
        <v>400000</v>
      </c>
    </row>
    <row r="53568" spans="26:26" x14ac:dyDescent="0.25">
      <c r="Z53568">
        <v>400000</v>
      </c>
    </row>
    <row r="53569" spans="26:26" x14ac:dyDescent="0.25">
      <c r="Z53569">
        <v>400000</v>
      </c>
    </row>
    <row r="53570" spans="26:26" x14ac:dyDescent="0.25">
      <c r="Z53570">
        <v>400000</v>
      </c>
    </row>
    <row r="53571" spans="26:26" x14ac:dyDescent="0.25">
      <c r="Z53571">
        <v>400000</v>
      </c>
    </row>
    <row r="53572" spans="26:26" x14ac:dyDescent="0.25">
      <c r="Z53572">
        <v>400000</v>
      </c>
    </row>
    <row r="53573" spans="26:26" x14ac:dyDescent="0.25">
      <c r="Z53573">
        <v>400000</v>
      </c>
    </row>
    <row r="53574" spans="26:26" x14ac:dyDescent="0.25">
      <c r="Z53574">
        <v>400000</v>
      </c>
    </row>
    <row r="53575" spans="26:26" x14ac:dyDescent="0.25">
      <c r="Z53575">
        <v>400000</v>
      </c>
    </row>
    <row r="53576" spans="26:26" x14ac:dyDescent="0.25">
      <c r="Z53576">
        <v>400000</v>
      </c>
    </row>
    <row r="53577" spans="26:26" x14ac:dyDescent="0.25">
      <c r="Z53577">
        <v>400000</v>
      </c>
    </row>
    <row r="53578" spans="26:26" x14ac:dyDescent="0.25">
      <c r="Z53578">
        <v>400000</v>
      </c>
    </row>
    <row r="53579" spans="26:26" x14ac:dyDescent="0.25">
      <c r="Z53579">
        <v>400000</v>
      </c>
    </row>
    <row r="53580" spans="26:26" x14ac:dyDescent="0.25">
      <c r="Z53580">
        <v>400000</v>
      </c>
    </row>
    <row r="53581" spans="26:26" x14ac:dyDescent="0.25">
      <c r="Z53581">
        <v>400000</v>
      </c>
    </row>
    <row r="53582" spans="26:26" x14ac:dyDescent="0.25">
      <c r="Z53582">
        <v>400000</v>
      </c>
    </row>
    <row r="53583" spans="26:26" x14ac:dyDescent="0.25">
      <c r="Z53583">
        <v>400000</v>
      </c>
    </row>
    <row r="53584" spans="26:26" x14ac:dyDescent="0.25">
      <c r="Z53584">
        <v>400000</v>
      </c>
    </row>
    <row r="53585" spans="26:26" x14ac:dyDescent="0.25">
      <c r="Z53585">
        <v>400000</v>
      </c>
    </row>
    <row r="53586" spans="26:26" x14ac:dyDescent="0.25">
      <c r="Z53586">
        <v>400000</v>
      </c>
    </row>
    <row r="53587" spans="26:26" x14ac:dyDescent="0.25">
      <c r="Z53587">
        <v>400000</v>
      </c>
    </row>
    <row r="53588" spans="26:26" x14ac:dyDescent="0.25">
      <c r="Z53588">
        <v>400000</v>
      </c>
    </row>
    <row r="53589" spans="26:26" x14ac:dyDescent="0.25">
      <c r="Z53589">
        <v>400000</v>
      </c>
    </row>
    <row r="53590" spans="26:26" x14ac:dyDescent="0.25">
      <c r="Z53590">
        <v>400000</v>
      </c>
    </row>
    <row r="53591" spans="26:26" x14ac:dyDescent="0.25">
      <c r="Z53591">
        <v>400000</v>
      </c>
    </row>
    <row r="53592" spans="26:26" x14ac:dyDescent="0.25">
      <c r="Z53592">
        <v>400000</v>
      </c>
    </row>
    <row r="53593" spans="26:26" x14ac:dyDescent="0.25">
      <c r="Z53593">
        <v>400000</v>
      </c>
    </row>
    <row r="53594" spans="26:26" x14ac:dyDescent="0.25">
      <c r="Z53594">
        <v>400000</v>
      </c>
    </row>
    <row r="53595" spans="26:26" x14ac:dyDescent="0.25">
      <c r="Z53595">
        <v>400000</v>
      </c>
    </row>
    <row r="53596" spans="26:26" x14ac:dyDescent="0.25">
      <c r="Z53596">
        <v>400000</v>
      </c>
    </row>
    <row r="53597" spans="26:26" x14ac:dyDescent="0.25">
      <c r="Z53597">
        <v>400000</v>
      </c>
    </row>
    <row r="53598" spans="26:26" x14ac:dyDescent="0.25">
      <c r="Z53598">
        <v>400000</v>
      </c>
    </row>
    <row r="53599" spans="26:26" x14ac:dyDescent="0.25">
      <c r="Z53599">
        <v>400000</v>
      </c>
    </row>
    <row r="53600" spans="26:26" x14ac:dyDescent="0.25">
      <c r="Z53600">
        <v>400000</v>
      </c>
    </row>
    <row r="53601" spans="26:26" x14ac:dyDescent="0.25">
      <c r="Z53601">
        <v>400000</v>
      </c>
    </row>
    <row r="53602" spans="26:26" x14ac:dyDescent="0.25">
      <c r="Z53602">
        <v>400000</v>
      </c>
    </row>
    <row r="53603" spans="26:26" x14ac:dyDescent="0.25">
      <c r="Z53603">
        <v>400000</v>
      </c>
    </row>
    <row r="53604" spans="26:26" x14ac:dyDescent="0.25">
      <c r="Z53604">
        <v>400000</v>
      </c>
    </row>
    <row r="53605" spans="26:26" x14ac:dyDescent="0.25">
      <c r="Z53605">
        <v>400000</v>
      </c>
    </row>
    <row r="53606" spans="26:26" x14ac:dyDescent="0.25">
      <c r="Z53606">
        <v>400000</v>
      </c>
    </row>
    <row r="53607" spans="26:26" x14ac:dyDescent="0.25">
      <c r="Z53607">
        <v>400000</v>
      </c>
    </row>
    <row r="53608" spans="26:26" x14ac:dyDescent="0.25">
      <c r="Z53608">
        <v>400000</v>
      </c>
    </row>
    <row r="53609" spans="26:26" x14ac:dyDescent="0.25">
      <c r="Z53609">
        <v>400000</v>
      </c>
    </row>
    <row r="53610" spans="26:26" x14ac:dyDescent="0.25">
      <c r="Z53610">
        <v>400000</v>
      </c>
    </row>
    <row r="53611" spans="26:26" x14ac:dyDescent="0.25">
      <c r="Z53611">
        <v>400000</v>
      </c>
    </row>
    <row r="53612" spans="26:26" x14ac:dyDescent="0.25">
      <c r="Z53612">
        <v>400000</v>
      </c>
    </row>
    <row r="53613" spans="26:26" x14ac:dyDescent="0.25">
      <c r="Z53613">
        <v>400000</v>
      </c>
    </row>
    <row r="53614" spans="26:26" x14ac:dyDescent="0.25">
      <c r="Z53614">
        <v>400000</v>
      </c>
    </row>
    <row r="53615" spans="26:26" x14ac:dyDescent="0.25">
      <c r="Z53615">
        <v>400000</v>
      </c>
    </row>
    <row r="53616" spans="26:26" x14ac:dyDescent="0.25">
      <c r="Z53616">
        <v>400000</v>
      </c>
    </row>
    <row r="53617" spans="26:26" x14ac:dyDescent="0.25">
      <c r="Z53617">
        <v>400000</v>
      </c>
    </row>
    <row r="53618" spans="26:26" x14ac:dyDescent="0.25">
      <c r="Z53618">
        <v>400000</v>
      </c>
    </row>
    <row r="53619" spans="26:26" x14ac:dyDescent="0.25">
      <c r="Z53619">
        <v>400000</v>
      </c>
    </row>
    <row r="53620" spans="26:26" x14ac:dyDescent="0.25">
      <c r="Z53620">
        <v>400000</v>
      </c>
    </row>
    <row r="53621" spans="26:26" x14ac:dyDescent="0.25">
      <c r="Z53621">
        <v>400000</v>
      </c>
    </row>
    <row r="53622" spans="26:26" x14ac:dyDescent="0.25">
      <c r="Z53622">
        <v>400000</v>
      </c>
    </row>
    <row r="53623" spans="26:26" x14ac:dyDescent="0.25">
      <c r="Z53623">
        <v>400000</v>
      </c>
    </row>
    <row r="53624" spans="26:26" x14ac:dyDescent="0.25">
      <c r="Z53624">
        <v>400000</v>
      </c>
    </row>
    <row r="53625" spans="26:26" x14ac:dyDescent="0.25">
      <c r="Z53625">
        <v>400000</v>
      </c>
    </row>
    <row r="53626" spans="26:26" x14ac:dyDescent="0.25">
      <c r="Z53626">
        <v>400000</v>
      </c>
    </row>
    <row r="53627" spans="26:26" x14ac:dyDescent="0.25">
      <c r="Z53627">
        <v>400000</v>
      </c>
    </row>
    <row r="53628" spans="26:26" x14ac:dyDescent="0.25">
      <c r="Z53628">
        <v>400000</v>
      </c>
    </row>
    <row r="53629" spans="26:26" x14ac:dyDescent="0.25">
      <c r="Z53629">
        <v>400000</v>
      </c>
    </row>
    <row r="53630" spans="26:26" x14ac:dyDescent="0.25">
      <c r="Z53630">
        <v>400000</v>
      </c>
    </row>
    <row r="53631" spans="26:26" x14ac:dyDescent="0.25">
      <c r="Z53631">
        <v>400000</v>
      </c>
    </row>
    <row r="53632" spans="26:26" x14ac:dyDescent="0.25">
      <c r="Z53632">
        <v>400000</v>
      </c>
    </row>
    <row r="53633" spans="26:26" x14ac:dyDescent="0.25">
      <c r="Z53633">
        <v>400000</v>
      </c>
    </row>
    <row r="53634" spans="26:26" x14ac:dyDescent="0.25">
      <c r="Z53634">
        <v>400000</v>
      </c>
    </row>
    <row r="53635" spans="26:26" x14ac:dyDescent="0.25">
      <c r="Z53635">
        <v>400000</v>
      </c>
    </row>
    <row r="53636" spans="26:26" x14ac:dyDescent="0.25">
      <c r="Z53636">
        <v>400000</v>
      </c>
    </row>
    <row r="53637" spans="26:26" x14ac:dyDescent="0.25">
      <c r="Z53637">
        <v>400000</v>
      </c>
    </row>
    <row r="53638" spans="26:26" x14ac:dyDescent="0.25">
      <c r="Z53638">
        <v>400000</v>
      </c>
    </row>
    <row r="53639" spans="26:26" x14ac:dyDescent="0.25">
      <c r="Z53639">
        <v>400000</v>
      </c>
    </row>
    <row r="53640" spans="26:26" x14ac:dyDescent="0.25">
      <c r="Z53640">
        <v>400000</v>
      </c>
    </row>
    <row r="53641" spans="26:26" x14ac:dyDescent="0.25">
      <c r="Z53641">
        <v>400000</v>
      </c>
    </row>
    <row r="53642" spans="26:26" x14ac:dyDescent="0.25">
      <c r="Z53642">
        <v>400000</v>
      </c>
    </row>
    <row r="53643" spans="26:26" x14ac:dyDescent="0.25">
      <c r="Z53643">
        <v>400000</v>
      </c>
    </row>
    <row r="53644" spans="26:26" x14ac:dyDescent="0.25">
      <c r="Z53644">
        <v>400000</v>
      </c>
    </row>
    <row r="53645" spans="26:26" x14ac:dyDescent="0.25">
      <c r="Z53645">
        <v>400000</v>
      </c>
    </row>
    <row r="53646" spans="26:26" x14ac:dyDescent="0.25">
      <c r="Z53646">
        <v>400000</v>
      </c>
    </row>
    <row r="53647" spans="26:26" x14ac:dyDescent="0.25">
      <c r="Z53647">
        <v>400000</v>
      </c>
    </row>
    <row r="53648" spans="26:26" x14ac:dyDescent="0.25">
      <c r="Z53648">
        <v>400000</v>
      </c>
    </row>
    <row r="53649" spans="26:26" x14ac:dyDescent="0.25">
      <c r="Z53649">
        <v>400000</v>
      </c>
    </row>
    <row r="53650" spans="26:26" x14ac:dyDescent="0.25">
      <c r="Z53650">
        <v>400000</v>
      </c>
    </row>
    <row r="53651" spans="26:26" x14ac:dyDescent="0.25">
      <c r="Z53651">
        <v>400000</v>
      </c>
    </row>
    <row r="53652" spans="26:26" x14ac:dyDescent="0.25">
      <c r="Z53652">
        <v>400000</v>
      </c>
    </row>
    <row r="53653" spans="26:26" x14ac:dyDescent="0.25">
      <c r="Z53653">
        <v>400000</v>
      </c>
    </row>
    <row r="53654" spans="26:26" x14ac:dyDescent="0.25">
      <c r="Z53654">
        <v>400000</v>
      </c>
    </row>
    <row r="53655" spans="26:26" x14ac:dyDescent="0.25">
      <c r="Z53655">
        <v>400000</v>
      </c>
    </row>
    <row r="53656" spans="26:26" x14ac:dyDescent="0.25">
      <c r="Z53656">
        <v>400000</v>
      </c>
    </row>
    <row r="53657" spans="26:26" x14ac:dyDescent="0.25">
      <c r="Z53657">
        <v>400000</v>
      </c>
    </row>
    <row r="53658" spans="26:26" x14ac:dyDescent="0.25">
      <c r="Z53658">
        <v>400000</v>
      </c>
    </row>
    <row r="53659" spans="26:26" x14ac:dyDescent="0.25">
      <c r="Z53659">
        <v>400000</v>
      </c>
    </row>
    <row r="53660" spans="26:26" x14ac:dyDescent="0.25">
      <c r="Z53660">
        <v>400000</v>
      </c>
    </row>
    <row r="53661" spans="26:26" x14ac:dyDescent="0.25">
      <c r="Z53661">
        <v>400000</v>
      </c>
    </row>
    <row r="53662" spans="26:26" x14ac:dyDescent="0.25">
      <c r="Z53662">
        <v>400000</v>
      </c>
    </row>
    <row r="53663" spans="26:26" x14ac:dyDescent="0.25">
      <c r="Z53663">
        <v>400000</v>
      </c>
    </row>
    <row r="53664" spans="26:26" x14ac:dyDescent="0.25">
      <c r="Z53664">
        <v>400000</v>
      </c>
    </row>
    <row r="53665" spans="26:26" x14ac:dyDescent="0.25">
      <c r="Z53665">
        <v>400000</v>
      </c>
    </row>
    <row r="53666" spans="26:26" x14ac:dyDescent="0.25">
      <c r="Z53666">
        <v>400000</v>
      </c>
    </row>
    <row r="53667" spans="26:26" x14ac:dyDescent="0.25">
      <c r="Z53667">
        <v>400000</v>
      </c>
    </row>
    <row r="53668" spans="26:26" x14ac:dyDescent="0.25">
      <c r="Z53668">
        <v>400000</v>
      </c>
    </row>
    <row r="53669" spans="26:26" x14ac:dyDescent="0.25">
      <c r="Z53669">
        <v>400000</v>
      </c>
    </row>
    <row r="53670" spans="26:26" x14ac:dyDescent="0.25">
      <c r="Z53670">
        <v>400000</v>
      </c>
    </row>
    <row r="53671" spans="26:26" x14ac:dyDescent="0.25">
      <c r="Z53671">
        <v>400000</v>
      </c>
    </row>
    <row r="53672" spans="26:26" x14ac:dyDescent="0.25">
      <c r="Z53672">
        <v>400000</v>
      </c>
    </row>
    <row r="53673" spans="26:26" x14ac:dyDescent="0.25">
      <c r="Z53673">
        <v>400000</v>
      </c>
    </row>
    <row r="53674" spans="26:26" x14ac:dyDescent="0.25">
      <c r="Z53674">
        <v>400000</v>
      </c>
    </row>
    <row r="53675" spans="26:26" x14ac:dyDescent="0.25">
      <c r="Z53675">
        <v>400000</v>
      </c>
    </row>
    <row r="53676" spans="26:26" x14ac:dyDescent="0.25">
      <c r="Z53676">
        <v>400000</v>
      </c>
    </row>
    <row r="53677" spans="26:26" x14ac:dyDescent="0.25">
      <c r="Z53677">
        <v>400000</v>
      </c>
    </row>
    <row r="53678" spans="26:26" x14ac:dyDescent="0.25">
      <c r="Z53678">
        <v>400000</v>
      </c>
    </row>
    <row r="53679" spans="26:26" x14ac:dyDescent="0.25">
      <c r="Z53679">
        <v>400000</v>
      </c>
    </row>
    <row r="53680" spans="26:26" x14ac:dyDescent="0.25">
      <c r="Z53680">
        <v>400000</v>
      </c>
    </row>
    <row r="53681" spans="26:26" x14ac:dyDescent="0.25">
      <c r="Z53681">
        <v>400000</v>
      </c>
    </row>
    <row r="53682" spans="26:26" x14ac:dyDescent="0.25">
      <c r="Z53682">
        <v>400000</v>
      </c>
    </row>
    <row r="53683" spans="26:26" x14ac:dyDescent="0.25">
      <c r="Z53683">
        <v>400000</v>
      </c>
    </row>
    <row r="53684" spans="26:26" x14ac:dyDescent="0.25">
      <c r="Z53684">
        <v>400000</v>
      </c>
    </row>
    <row r="53685" spans="26:26" x14ac:dyDescent="0.25">
      <c r="Z53685">
        <v>400000</v>
      </c>
    </row>
    <row r="53686" spans="26:26" x14ac:dyDescent="0.25">
      <c r="Z53686">
        <v>400000</v>
      </c>
    </row>
    <row r="53687" spans="26:26" x14ac:dyDescent="0.25">
      <c r="Z53687">
        <v>400000</v>
      </c>
    </row>
    <row r="53688" spans="26:26" x14ac:dyDescent="0.25">
      <c r="Z53688">
        <v>400000</v>
      </c>
    </row>
    <row r="53689" spans="26:26" x14ac:dyDescent="0.25">
      <c r="Z53689">
        <v>400000</v>
      </c>
    </row>
    <row r="53690" spans="26:26" x14ac:dyDescent="0.25">
      <c r="Z53690">
        <v>400000</v>
      </c>
    </row>
    <row r="53691" spans="26:26" x14ac:dyDescent="0.25">
      <c r="Z53691">
        <v>400000</v>
      </c>
    </row>
    <row r="53692" spans="26:26" x14ac:dyDescent="0.25">
      <c r="Z53692">
        <v>400000</v>
      </c>
    </row>
    <row r="53693" spans="26:26" x14ac:dyDescent="0.25">
      <c r="Z53693">
        <v>400000</v>
      </c>
    </row>
    <row r="53694" spans="26:26" x14ac:dyDescent="0.25">
      <c r="Z53694">
        <v>400000</v>
      </c>
    </row>
    <row r="53695" spans="26:26" x14ac:dyDescent="0.25">
      <c r="Z53695">
        <v>400000</v>
      </c>
    </row>
    <row r="53696" spans="26:26" x14ac:dyDescent="0.25">
      <c r="Z53696">
        <v>400000</v>
      </c>
    </row>
    <row r="53697" spans="26:26" x14ac:dyDescent="0.25">
      <c r="Z53697">
        <v>400000</v>
      </c>
    </row>
    <row r="53698" spans="26:26" x14ac:dyDescent="0.25">
      <c r="Z53698">
        <v>400000</v>
      </c>
    </row>
    <row r="53699" spans="26:26" x14ac:dyDescent="0.25">
      <c r="Z53699">
        <v>400000</v>
      </c>
    </row>
    <row r="53700" spans="26:26" x14ac:dyDescent="0.25">
      <c r="Z53700">
        <v>400000</v>
      </c>
    </row>
    <row r="53701" spans="26:26" x14ac:dyDescent="0.25">
      <c r="Z53701">
        <v>400000</v>
      </c>
    </row>
    <row r="53702" spans="26:26" x14ac:dyDescent="0.25">
      <c r="Z53702">
        <v>400000</v>
      </c>
    </row>
    <row r="53703" spans="26:26" x14ac:dyDescent="0.25">
      <c r="Z53703">
        <v>400000</v>
      </c>
    </row>
    <row r="53704" spans="26:26" x14ac:dyDescent="0.25">
      <c r="Z53704">
        <v>400000</v>
      </c>
    </row>
    <row r="53705" spans="26:26" x14ac:dyDescent="0.25">
      <c r="Z53705">
        <v>400000</v>
      </c>
    </row>
    <row r="53706" spans="26:26" x14ac:dyDescent="0.25">
      <c r="Z53706">
        <v>400000</v>
      </c>
    </row>
    <row r="53707" spans="26:26" x14ac:dyDescent="0.25">
      <c r="Z53707">
        <v>400000</v>
      </c>
    </row>
    <row r="53708" spans="26:26" x14ac:dyDescent="0.25">
      <c r="Z53708">
        <v>400000</v>
      </c>
    </row>
    <row r="53709" spans="26:26" x14ac:dyDescent="0.25">
      <c r="Z53709">
        <v>400000</v>
      </c>
    </row>
    <row r="53710" spans="26:26" x14ac:dyDescent="0.25">
      <c r="Z53710">
        <v>400000</v>
      </c>
    </row>
    <row r="53711" spans="26:26" x14ac:dyDescent="0.25">
      <c r="Z53711">
        <v>400000</v>
      </c>
    </row>
    <row r="53712" spans="26:26" x14ac:dyDescent="0.25">
      <c r="Z53712">
        <v>400000</v>
      </c>
    </row>
    <row r="53713" spans="26:26" x14ac:dyDescent="0.25">
      <c r="Z53713">
        <v>400000</v>
      </c>
    </row>
    <row r="53714" spans="26:26" x14ac:dyDescent="0.25">
      <c r="Z53714">
        <v>400000</v>
      </c>
    </row>
    <row r="53715" spans="26:26" x14ac:dyDescent="0.25">
      <c r="Z53715">
        <v>400000</v>
      </c>
    </row>
    <row r="53716" spans="26:26" x14ac:dyDescent="0.25">
      <c r="Z53716">
        <v>400000</v>
      </c>
    </row>
    <row r="53717" spans="26:26" x14ac:dyDescent="0.25">
      <c r="Z53717">
        <v>400000</v>
      </c>
    </row>
    <row r="53718" spans="26:26" x14ac:dyDescent="0.25">
      <c r="Z53718">
        <v>400000</v>
      </c>
    </row>
    <row r="53719" spans="26:26" x14ac:dyDescent="0.25">
      <c r="Z53719">
        <v>400000</v>
      </c>
    </row>
    <row r="53720" spans="26:26" x14ac:dyDescent="0.25">
      <c r="Z53720">
        <v>400000</v>
      </c>
    </row>
    <row r="53721" spans="26:26" x14ac:dyDescent="0.25">
      <c r="Z53721">
        <v>400000</v>
      </c>
    </row>
    <row r="53722" spans="26:26" x14ac:dyDescent="0.25">
      <c r="Z53722">
        <v>400000</v>
      </c>
    </row>
    <row r="53723" spans="26:26" x14ac:dyDescent="0.25">
      <c r="Z53723">
        <v>400000</v>
      </c>
    </row>
    <row r="53724" spans="26:26" x14ac:dyDescent="0.25">
      <c r="Z53724">
        <v>400000</v>
      </c>
    </row>
    <row r="53725" spans="26:26" x14ac:dyDescent="0.25">
      <c r="Z53725">
        <v>400000</v>
      </c>
    </row>
    <row r="53726" spans="26:26" x14ac:dyDescent="0.25">
      <c r="Z53726">
        <v>400000</v>
      </c>
    </row>
    <row r="53727" spans="26:26" x14ac:dyDescent="0.25">
      <c r="Z53727">
        <v>400000</v>
      </c>
    </row>
    <row r="53728" spans="26:26" x14ac:dyDescent="0.25">
      <c r="Z53728">
        <v>400000</v>
      </c>
    </row>
    <row r="53729" spans="26:26" x14ac:dyDescent="0.25">
      <c r="Z53729">
        <v>400000</v>
      </c>
    </row>
    <row r="53730" spans="26:26" x14ac:dyDescent="0.25">
      <c r="Z53730">
        <v>400000</v>
      </c>
    </row>
    <row r="53731" spans="26:26" x14ac:dyDescent="0.25">
      <c r="Z53731">
        <v>400000</v>
      </c>
    </row>
    <row r="53732" spans="26:26" x14ac:dyDescent="0.25">
      <c r="Z53732">
        <v>400000</v>
      </c>
    </row>
    <row r="53733" spans="26:26" x14ac:dyDescent="0.25">
      <c r="Z53733">
        <v>400000</v>
      </c>
    </row>
    <row r="53734" spans="26:26" x14ac:dyDescent="0.25">
      <c r="Z53734">
        <v>400000</v>
      </c>
    </row>
    <row r="53735" spans="26:26" x14ac:dyDescent="0.25">
      <c r="Z53735">
        <v>400000</v>
      </c>
    </row>
    <row r="53736" spans="26:26" x14ac:dyDescent="0.25">
      <c r="Z53736">
        <v>400000</v>
      </c>
    </row>
    <row r="53737" spans="26:26" x14ac:dyDescent="0.25">
      <c r="Z53737">
        <v>400000</v>
      </c>
    </row>
    <row r="53738" spans="26:26" x14ac:dyDescent="0.25">
      <c r="Z53738">
        <v>400000</v>
      </c>
    </row>
    <row r="53739" spans="26:26" x14ac:dyDescent="0.25">
      <c r="Z53739">
        <v>400000</v>
      </c>
    </row>
    <row r="53740" spans="26:26" x14ac:dyDescent="0.25">
      <c r="Z53740">
        <v>400000</v>
      </c>
    </row>
    <row r="53741" spans="26:26" x14ac:dyDescent="0.25">
      <c r="Z53741">
        <v>400000</v>
      </c>
    </row>
    <row r="53742" spans="26:26" x14ac:dyDescent="0.25">
      <c r="Z53742">
        <v>400000</v>
      </c>
    </row>
    <row r="53743" spans="26:26" x14ac:dyDescent="0.25">
      <c r="Z53743">
        <v>400000</v>
      </c>
    </row>
    <row r="53744" spans="26:26" x14ac:dyDescent="0.25">
      <c r="Z53744">
        <v>400000</v>
      </c>
    </row>
    <row r="53745" spans="26:26" x14ac:dyDescent="0.25">
      <c r="Z53745">
        <v>400000</v>
      </c>
    </row>
    <row r="53746" spans="26:26" x14ac:dyDescent="0.25">
      <c r="Z53746">
        <v>400000</v>
      </c>
    </row>
    <row r="53747" spans="26:26" x14ac:dyDescent="0.25">
      <c r="Z53747">
        <v>400000</v>
      </c>
    </row>
    <row r="53748" spans="26:26" x14ac:dyDescent="0.25">
      <c r="Z53748">
        <v>400000</v>
      </c>
    </row>
    <row r="53749" spans="26:26" x14ac:dyDescent="0.25">
      <c r="Z53749">
        <v>400000</v>
      </c>
    </row>
    <row r="53750" spans="26:26" x14ac:dyDescent="0.25">
      <c r="Z53750">
        <v>400000</v>
      </c>
    </row>
    <row r="53751" spans="26:26" x14ac:dyDescent="0.25">
      <c r="Z53751">
        <v>400000</v>
      </c>
    </row>
    <row r="53752" spans="26:26" x14ac:dyDescent="0.25">
      <c r="Z53752">
        <v>400000</v>
      </c>
    </row>
    <row r="53753" spans="26:26" x14ac:dyDescent="0.25">
      <c r="Z53753">
        <v>400000</v>
      </c>
    </row>
    <row r="53754" spans="26:26" x14ac:dyDescent="0.25">
      <c r="Z53754">
        <v>400000</v>
      </c>
    </row>
    <row r="53755" spans="26:26" x14ac:dyDescent="0.25">
      <c r="Z53755">
        <v>400000</v>
      </c>
    </row>
    <row r="53756" spans="26:26" x14ac:dyDescent="0.25">
      <c r="Z53756">
        <v>400000</v>
      </c>
    </row>
    <row r="53757" spans="26:26" x14ac:dyDescent="0.25">
      <c r="Z53757">
        <v>400000</v>
      </c>
    </row>
    <row r="53758" spans="26:26" x14ac:dyDescent="0.25">
      <c r="Z53758">
        <v>400000</v>
      </c>
    </row>
    <row r="53759" spans="26:26" x14ac:dyDescent="0.25">
      <c r="Z53759">
        <v>400000</v>
      </c>
    </row>
    <row r="53760" spans="26:26" x14ac:dyDescent="0.25">
      <c r="Z53760">
        <v>400000</v>
      </c>
    </row>
    <row r="53761" spans="26:26" x14ac:dyDescent="0.25">
      <c r="Z53761">
        <v>400000</v>
      </c>
    </row>
    <row r="53762" spans="26:26" x14ac:dyDescent="0.25">
      <c r="Z53762">
        <v>400000</v>
      </c>
    </row>
    <row r="53763" spans="26:26" x14ac:dyDescent="0.25">
      <c r="Z53763">
        <v>400000</v>
      </c>
    </row>
    <row r="53764" spans="26:26" x14ac:dyDescent="0.25">
      <c r="Z53764">
        <v>400000</v>
      </c>
    </row>
    <row r="53765" spans="26:26" x14ac:dyDescent="0.25">
      <c r="Z53765">
        <v>400000</v>
      </c>
    </row>
    <row r="53766" spans="26:26" x14ac:dyDescent="0.25">
      <c r="Z53766">
        <v>400000</v>
      </c>
    </row>
    <row r="53767" spans="26:26" x14ac:dyDescent="0.25">
      <c r="Z53767">
        <v>400000</v>
      </c>
    </row>
    <row r="53768" spans="26:26" x14ac:dyDescent="0.25">
      <c r="Z53768">
        <v>400000</v>
      </c>
    </row>
    <row r="53769" spans="26:26" x14ac:dyDescent="0.25">
      <c r="Z53769">
        <v>400000</v>
      </c>
    </row>
    <row r="53770" spans="26:26" x14ac:dyDescent="0.25">
      <c r="Z53770">
        <v>400000</v>
      </c>
    </row>
    <row r="53771" spans="26:26" x14ac:dyDescent="0.25">
      <c r="Z53771">
        <v>400000</v>
      </c>
    </row>
    <row r="53772" spans="26:26" x14ac:dyDescent="0.25">
      <c r="Z53772">
        <v>400000</v>
      </c>
    </row>
    <row r="53773" spans="26:26" x14ac:dyDescent="0.25">
      <c r="Z53773">
        <v>400000</v>
      </c>
    </row>
    <row r="53774" spans="26:26" x14ac:dyDescent="0.25">
      <c r="Z53774">
        <v>400000</v>
      </c>
    </row>
    <row r="53775" spans="26:26" x14ac:dyDescent="0.25">
      <c r="Z53775">
        <v>400000</v>
      </c>
    </row>
    <row r="53776" spans="26:26" x14ac:dyDescent="0.25">
      <c r="Z53776">
        <v>400000</v>
      </c>
    </row>
    <row r="53777" spans="26:26" x14ac:dyDescent="0.25">
      <c r="Z53777">
        <v>400000</v>
      </c>
    </row>
    <row r="53778" spans="26:26" x14ac:dyDescent="0.25">
      <c r="Z53778">
        <v>400000</v>
      </c>
    </row>
    <row r="53779" spans="26:26" x14ac:dyDescent="0.25">
      <c r="Z53779">
        <v>400000</v>
      </c>
    </row>
    <row r="53780" spans="26:26" x14ac:dyDescent="0.25">
      <c r="Z53780">
        <v>400000</v>
      </c>
    </row>
    <row r="53781" spans="26:26" x14ac:dyDescent="0.25">
      <c r="Z53781">
        <v>400000</v>
      </c>
    </row>
    <row r="53782" spans="26:26" x14ac:dyDescent="0.25">
      <c r="Z53782">
        <v>400000</v>
      </c>
    </row>
    <row r="53783" spans="26:26" x14ac:dyDescent="0.25">
      <c r="Z53783">
        <v>400000</v>
      </c>
    </row>
    <row r="53784" spans="26:26" x14ac:dyDescent="0.25">
      <c r="Z53784">
        <v>400000</v>
      </c>
    </row>
    <row r="53785" spans="26:26" x14ac:dyDescent="0.25">
      <c r="Z53785">
        <v>400000</v>
      </c>
    </row>
    <row r="53786" spans="26:26" x14ac:dyDescent="0.25">
      <c r="Z53786">
        <v>400000</v>
      </c>
    </row>
    <row r="53787" spans="26:26" x14ac:dyDescent="0.25">
      <c r="Z53787">
        <v>400000</v>
      </c>
    </row>
    <row r="53788" spans="26:26" x14ac:dyDescent="0.25">
      <c r="Z53788">
        <v>400000</v>
      </c>
    </row>
    <row r="53789" spans="26:26" x14ac:dyDescent="0.25">
      <c r="Z53789">
        <v>400000</v>
      </c>
    </row>
    <row r="53790" spans="26:26" x14ac:dyDescent="0.25">
      <c r="Z53790">
        <v>400000</v>
      </c>
    </row>
    <row r="53791" spans="26:26" x14ac:dyDescent="0.25">
      <c r="Z53791">
        <v>400000</v>
      </c>
    </row>
    <row r="53792" spans="26:26" x14ac:dyDescent="0.25">
      <c r="Z53792">
        <v>400000</v>
      </c>
    </row>
    <row r="53793" spans="26:26" x14ac:dyDescent="0.25">
      <c r="Z53793">
        <v>400000</v>
      </c>
    </row>
    <row r="53794" spans="26:26" x14ac:dyDescent="0.25">
      <c r="Z53794">
        <v>400000</v>
      </c>
    </row>
    <row r="53795" spans="26:26" x14ac:dyDescent="0.25">
      <c r="Z53795">
        <v>400000</v>
      </c>
    </row>
    <row r="53796" spans="26:26" x14ac:dyDescent="0.25">
      <c r="Z53796">
        <v>400000</v>
      </c>
    </row>
    <row r="53797" spans="26:26" x14ac:dyDescent="0.25">
      <c r="Z53797">
        <v>400000</v>
      </c>
    </row>
    <row r="53798" spans="26:26" x14ac:dyDescent="0.25">
      <c r="Z53798">
        <v>400000</v>
      </c>
    </row>
    <row r="53799" spans="26:26" x14ac:dyDescent="0.25">
      <c r="Z53799">
        <v>400000</v>
      </c>
    </row>
    <row r="53800" spans="26:26" x14ac:dyDescent="0.25">
      <c r="Z53800">
        <v>400000</v>
      </c>
    </row>
    <row r="53801" spans="26:26" x14ac:dyDescent="0.25">
      <c r="Z53801">
        <v>400000</v>
      </c>
    </row>
    <row r="53802" spans="26:26" x14ac:dyDescent="0.25">
      <c r="Z53802">
        <v>400000</v>
      </c>
    </row>
    <row r="53803" spans="26:26" x14ac:dyDescent="0.25">
      <c r="Z53803">
        <v>400000</v>
      </c>
    </row>
    <row r="53804" spans="26:26" x14ac:dyDescent="0.25">
      <c r="Z53804">
        <v>400000</v>
      </c>
    </row>
    <row r="53805" spans="26:26" x14ac:dyDescent="0.25">
      <c r="Z53805">
        <v>400000</v>
      </c>
    </row>
    <row r="53806" spans="26:26" x14ac:dyDescent="0.25">
      <c r="Z53806">
        <v>400000</v>
      </c>
    </row>
    <row r="53807" spans="26:26" x14ac:dyDescent="0.25">
      <c r="Z53807">
        <v>400000</v>
      </c>
    </row>
    <row r="53808" spans="26:26" x14ac:dyDescent="0.25">
      <c r="Z53808">
        <v>400000</v>
      </c>
    </row>
    <row r="53809" spans="26:26" x14ac:dyDescent="0.25">
      <c r="Z53809">
        <v>400000</v>
      </c>
    </row>
    <row r="53810" spans="26:26" x14ac:dyDescent="0.25">
      <c r="Z53810">
        <v>400000</v>
      </c>
    </row>
    <row r="53811" spans="26:26" x14ac:dyDescent="0.25">
      <c r="Z53811">
        <v>400000</v>
      </c>
    </row>
    <row r="53812" spans="26:26" x14ac:dyDescent="0.25">
      <c r="Z53812">
        <v>400000</v>
      </c>
    </row>
    <row r="53813" spans="26:26" x14ac:dyDescent="0.25">
      <c r="Z53813">
        <v>400000</v>
      </c>
    </row>
    <row r="53814" spans="26:26" x14ac:dyDescent="0.25">
      <c r="Z53814">
        <v>400000</v>
      </c>
    </row>
    <row r="53815" spans="26:26" x14ac:dyDescent="0.25">
      <c r="Z53815">
        <v>400000</v>
      </c>
    </row>
    <row r="53816" spans="26:26" x14ac:dyDescent="0.25">
      <c r="Z53816">
        <v>400000</v>
      </c>
    </row>
    <row r="53817" spans="26:26" x14ac:dyDescent="0.25">
      <c r="Z53817">
        <v>400000</v>
      </c>
    </row>
    <row r="53818" spans="26:26" x14ac:dyDescent="0.25">
      <c r="Z53818">
        <v>400000</v>
      </c>
    </row>
    <row r="53819" spans="26:26" x14ac:dyDescent="0.25">
      <c r="Z53819">
        <v>400000</v>
      </c>
    </row>
    <row r="53820" spans="26:26" x14ac:dyDescent="0.25">
      <c r="Z53820">
        <v>400000</v>
      </c>
    </row>
    <row r="53821" spans="26:26" x14ac:dyDescent="0.25">
      <c r="Z53821">
        <v>400000</v>
      </c>
    </row>
    <row r="53822" spans="26:26" x14ac:dyDescent="0.25">
      <c r="Z53822">
        <v>400000</v>
      </c>
    </row>
    <row r="53823" spans="26:26" x14ac:dyDescent="0.25">
      <c r="Z53823">
        <v>400000</v>
      </c>
    </row>
    <row r="53824" spans="26:26" x14ac:dyDescent="0.25">
      <c r="Z53824">
        <v>400000</v>
      </c>
    </row>
    <row r="53825" spans="26:26" x14ac:dyDescent="0.25">
      <c r="Z53825">
        <v>400000</v>
      </c>
    </row>
    <row r="53826" spans="26:26" x14ac:dyDescent="0.25">
      <c r="Z53826">
        <v>400000</v>
      </c>
    </row>
    <row r="53827" spans="26:26" x14ac:dyDescent="0.25">
      <c r="Z53827">
        <v>400000</v>
      </c>
    </row>
    <row r="53828" spans="26:26" x14ac:dyDescent="0.25">
      <c r="Z53828">
        <v>400000</v>
      </c>
    </row>
    <row r="53829" spans="26:26" x14ac:dyDescent="0.25">
      <c r="Z53829">
        <v>400000</v>
      </c>
    </row>
    <row r="53830" spans="26:26" x14ac:dyDescent="0.25">
      <c r="Z53830">
        <v>400000</v>
      </c>
    </row>
    <row r="53831" spans="26:26" x14ac:dyDescent="0.25">
      <c r="Z53831">
        <v>400000</v>
      </c>
    </row>
    <row r="53832" spans="26:26" x14ac:dyDescent="0.25">
      <c r="Z53832">
        <v>400000</v>
      </c>
    </row>
    <row r="53833" spans="26:26" x14ac:dyDescent="0.25">
      <c r="Z53833">
        <v>400000</v>
      </c>
    </row>
    <row r="53834" spans="26:26" x14ac:dyDescent="0.25">
      <c r="Z53834">
        <v>400000</v>
      </c>
    </row>
    <row r="53835" spans="26:26" x14ac:dyDescent="0.25">
      <c r="Z53835">
        <v>400000</v>
      </c>
    </row>
    <row r="53836" spans="26:26" x14ac:dyDescent="0.25">
      <c r="Z53836">
        <v>400000</v>
      </c>
    </row>
    <row r="53837" spans="26:26" x14ac:dyDescent="0.25">
      <c r="Z53837">
        <v>400000</v>
      </c>
    </row>
    <row r="53838" spans="26:26" x14ac:dyDescent="0.25">
      <c r="Z53838">
        <v>400000</v>
      </c>
    </row>
    <row r="53839" spans="26:26" x14ac:dyDescent="0.25">
      <c r="Z53839">
        <v>400000</v>
      </c>
    </row>
    <row r="53840" spans="26:26" x14ac:dyDescent="0.25">
      <c r="Z53840">
        <v>400000</v>
      </c>
    </row>
    <row r="53841" spans="26:26" x14ac:dyDescent="0.25">
      <c r="Z53841">
        <v>400000</v>
      </c>
    </row>
    <row r="53842" spans="26:26" x14ac:dyDescent="0.25">
      <c r="Z53842">
        <v>400000</v>
      </c>
    </row>
    <row r="53843" spans="26:26" x14ac:dyDescent="0.25">
      <c r="Z53843">
        <v>400000</v>
      </c>
    </row>
    <row r="53844" spans="26:26" x14ac:dyDescent="0.25">
      <c r="Z53844">
        <v>400000</v>
      </c>
    </row>
    <row r="53845" spans="26:26" x14ac:dyDescent="0.25">
      <c r="Z53845">
        <v>400000</v>
      </c>
    </row>
    <row r="53846" spans="26:26" x14ac:dyDescent="0.25">
      <c r="Z53846">
        <v>400000</v>
      </c>
    </row>
    <row r="53847" spans="26:26" x14ac:dyDescent="0.25">
      <c r="Z53847">
        <v>400000</v>
      </c>
    </row>
    <row r="53848" spans="26:26" x14ac:dyDescent="0.25">
      <c r="Z53848">
        <v>400000</v>
      </c>
    </row>
    <row r="53849" spans="26:26" x14ac:dyDescent="0.25">
      <c r="Z53849">
        <v>400000</v>
      </c>
    </row>
    <row r="53850" spans="26:26" x14ac:dyDescent="0.25">
      <c r="Z53850">
        <v>400000</v>
      </c>
    </row>
    <row r="53851" spans="26:26" x14ac:dyDescent="0.25">
      <c r="Z53851">
        <v>400000</v>
      </c>
    </row>
    <row r="53852" spans="26:26" x14ac:dyDescent="0.25">
      <c r="Z53852">
        <v>400000</v>
      </c>
    </row>
    <row r="53853" spans="26:26" x14ac:dyDescent="0.25">
      <c r="Z53853">
        <v>400000</v>
      </c>
    </row>
    <row r="53854" spans="26:26" x14ac:dyDescent="0.25">
      <c r="Z53854">
        <v>400000</v>
      </c>
    </row>
    <row r="53855" spans="26:26" x14ac:dyDescent="0.25">
      <c r="Z53855">
        <v>400000</v>
      </c>
    </row>
    <row r="53856" spans="26:26" x14ac:dyDescent="0.25">
      <c r="Z53856">
        <v>400000</v>
      </c>
    </row>
    <row r="53857" spans="26:26" x14ac:dyDescent="0.25">
      <c r="Z53857">
        <v>400000</v>
      </c>
    </row>
    <row r="53858" spans="26:26" x14ac:dyDescent="0.25">
      <c r="Z53858">
        <v>400000</v>
      </c>
    </row>
    <row r="53859" spans="26:26" x14ac:dyDescent="0.25">
      <c r="Z53859">
        <v>400000</v>
      </c>
    </row>
    <row r="53860" spans="26:26" x14ac:dyDescent="0.25">
      <c r="Z53860">
        <v>400000</v>
      </c>
    </row>
    <row r="53861" spans="26:26" x14ac:dyDescent="0.25">
      <c r="Z53861">
        <v>400000</v>
      </c>
    </row>
    <row r="53862" spans="26:26" x14ac:dyDescent="0.25">
      <c r="Z53862">
        <v>400000</v>
      </c>
    </row>
    <row r="53863" spans="26:26" x14ac:dyDescent="0.25">
      <c r="Z53863">
        <v>400000</v>
      </c>
    </row>
    <row r="53864" spans="26:26" x14ac:dyDescent="0.25">
      <c r="Z53864">
        <v>400000</v>
      </c>
    </row>
    <row r="53865" spans="26:26" x14ac:dyDescent="0.25">
      <c r="Z53865">
        <v>400000</v>
      </c>
    </row>
    <row r="53866" spans="26:26" x14ac:dyDescent="0.25">
      <c r="Z53866">
        <v>400000</v>
      </c>
    </row>
    <row r="53867" spans="26:26" x14ac:dyDescent="0.25">
      <c r="Z53867">
        <v>400000</v>
      </c>
    </row>
    <row r="53868" spans="26:26" x14ac:dyDescent="0.25">
      <c r="Z53868">
        <v>400000</v>
      </c>
    </row>
    <row r="53869" spans="26:26" x14ac:dyDescent="0.25">
      <c r="Z53869">
        <v>400000</v>
      </c>
    </row>
    <row r="53870" spans="26:26" x14ac:dyDescent="0.25">
      <c r="Z53870">
        <v>400000</v>
      </c>
    </row>
    <row r="53871" spans="26:26" x14ac:dyDescent="0.25">
      <c r="Z53871">
        <v>400000</v>
      </c>
    </row>
    <row r="53872" spans="26:26" x14ac:dyDescent="0.25">
      <c r="Z53872">
        <v>400000</v>
      </c>
    </row>
    <row r="53873" spans="26:26" x14ac:dyDescent="0.25">
      <c r="Z53873">
        <v>400000</v>
      </c>
    </row>
    <row r="53874" spans="26:26" x14ac:dyDescent="0.25">
      <c r="Z53874">
        <v>400000</v>
      </c>
    </row>
    <row r="53875" spans="26:26" x14ac:dyDescent="0.25">
      <c r="Z53875">
        <v>400000</v>
      </c>
    </row>
    <row r="53876" spans="26:26" x14ac:dyDescent="0.25">
      <c r="Z53876">
        <v>400000</v>
      </c>
    </row>
    <row r="53877" spans="26:26" x14ac:dyDescent="0.25">
      <c r="Z53877">
        <v>400000</v>
      </c>
    </row>
    <row r="53878" spans="26:26" x14ac:dyDescent="0.25">
      <c r="Z53878">
        <v>400000</v>
      </c>
    </row>
    <row r="53879" spans="26:26" x14ac:dyDescent="0.25">
      <c r="Z53879">
        <v>400000</v>
      </c>
    </row>
    <row r="53880" spans="26:26" x14ac:dyDescent="0.25">
      <c r="Z53880">
        <v>400000</v>
      </c>
    </row>
    <row r="53881" spans="26:26" x14ac:dyDescent="0.25">
      <c r="Z53881">
        <v>400000</v>
      </c>
    </row>
    <row r="53882" spans="26:26" x14ac:dyDescent="0.25">
      <c r="Z53882">
        <v>400000</v>
      </c>
    </row>
    <row r="53883" spans="26:26" x14ac:dyDescent="0.25">
      <c r="Z53883">
        <v>400000</v>
      </c>
    </row>
    <row r="53884" spans="26:26" x14ac:dyDescent="0.25">
      <c r="Z53884">
        <v>400000</v>
      </c>
    </row>
    <row r="53885" spans="26:26" x14ac:dyDescent="0.25">
      <c r="Z53885">
        <v>400000</v>
      </c>
    </row>
    <row r="53886" spans="26:26" x14ac:dyDescent="0.25">
      <c r="Z53886">
        <v>400000</v>
      </c>
    </row>
    <row r="53887" spans="26:26" x14ac:dyDescent="0.25">
      <c r="Z53887">
        <v>400000</v>
      </c>
    </row>
    <row r="53888" spans="26:26" x14ac:dyDescent="0.25">
      <c r="Z53888">
        <v>400000</v>
      </c>
    </row>
    <row r="53889" spans="26:26" x14ac:dyDescent="0.25">
      <c r="Z53889">
        <v>400000</v>
      </c>
    </row>
    <row r="53890" spans="26:26" x14ac:dyDescent="0.25">
      <c r="Z53890">
        <v>400000</v>
      </c>
    </row>
    <row r="53891" spans="26:26" x14ac:dyDescent="0.25">
      <c r="Z53891">
        <v>400000</v>
      </c>
    </row>
    <row r="53892" spans="26:26" x14ac:dyDescent="0.25">
      <c r="Z53892">
        <v>400000</v>
      </c>
    </row>
    <row r="53893" spans="26:26" x14ac:dyDescent="0.25">
      <c r="Z53893">
        <v>400000</v>
      </c>
    </row>
    <row r="53894" spans="26:26" x14ac:dyDescent="0.25">
      <c r="Z53894">
        <v>400000</v>
      </c>
    </row>
    <row r="53895" spans="26:26" x14ac:dyDescent="0.25">
      <c r="Z53895">
        <v>400000</v>
      </c>
    </row>
    <row r="53896" spans="26:26" x14ac:dyDescent="0.25">
      <c r="Z53896">
        <v>400000</v>
      </c>
    </row>
    <row r="53897" spans="26:26" x14ac:dyDescent="0.25">
      <c r="Z53897">
        <v>400000</v>
      </c>
    </row>
    <row r="53898" spans="26:26" x14ac:dyDescent="0.25">
      <c r="Z53898">
        <v>400000</v>
      </c>
    </row>
    <row r="53899" spans="26:26" x14ac:dyDescent="0.25">
      <c r="Z53899">
        <v>400000</v>
      </c>
    </row>
    <row r="53900" spans="26:26" x14ac:dyDescent="0.25">
      <c r="Z53900">
        <v>400000</v>
      </c>
    </row>
    <row r="53901" spans="26:26" x14ac:dyDescent="0.25">
      <c r="Z53901">
        <v>400000</v>
      </c>
    </row>
    <row r="53902" spans="26:26" x14ac:dyDescent="0.25">
      <c r="Z53902">
        <v>400000</v>
      </c>
    </row>
    <row r="53903" spans="26:26" x14ac:dyDescent="0.25">
      <c r="Z53903">
        <v>400000</v>
      </c>
    </row>
    <row r="53904" spans="26:26" x14ac:dyDescent="0.25">
      <c r="Z53904">
        <v>400000</v>
      </c>
    </row>
    <row r="53905" spans="26:26" x14ac:dyDescent="0.25">
      <c r="Z53905">
        <v>400000</v>
      </c>
    </row>
    <row r="53906" spans="26:26" x14ac:dyDescent="0.25">
      <c r="Z53906">
        <v>400000</v>
      </c>
    </row>
    <row r="53907" spans="26:26" x14ac:dyDescent="0.25">
      <c r="Z53907">
        <v>400000</v>
      </c>
    </row>
    <row r="53908" spans="26:26" x14ac:dyDescent="0.25">
      <c r="Z53908">
        <v>400000</v>
      </c>
    </row>
    <row r="53909" spans="26:26" x14ac:dyDescent="0.25">
      <c r="Z53909">
        <v>400000</v>
      </c>
    </row>
    <row r="53910" spans="26:26" x14ac:dyDescent="0.25">
      <c r="Z53910">
        <v>400000</v>
      </c>
    </row>
    <row r="53911" spans="26:26" x14ac:dyDescent="0.25">
      <c r="Z53911">
        <v>400000</v>
      </c>
    </row>
    <row r="53912" spans="26:26" x14ac:dyDescent="0.25">
      <c r="Z53912">
        <v>400000</v>
      </c>
    </row>
    <row r="53913" spans="26:26" x14ac:dyDescent="0.25">
      <c r="Z53913">
        <v>400000</v>
      </c>
    </row>
    <row r="53914" spans="26:26" x14ac:dyDescent="0.25">
      <c r="Z53914">
        <v>400000</v>
      </c>
    </row>
    <row r="53915" spans="26:26" x14ac:dyDescent="0.25">
      <c r="Z53915">
        <v>400000</v>
      </c>
    </row>
    <row r="53916" spans="26:26" x14ac:dyDescent="0.25">
      <c r="Z53916">
        <v>400000</v>
      </c>
    </row>
    <row r="53917" spans="26:26" x14ac:dyDescent="0.25">
      <c r="Z53917">
        <v>400000</v>
      </c>
    </row>
    <row r="53918" spans="26:26" x14ac:dyDescent="0.25">
      <c r="Z53918">
        <v>400000</v>
      </c>
    </row>
    <row r="53919" spans="26:26" x14ac:dyDescent="0.25">
      <c r="Z53919">
        <v>400000</v>
      </c>
    </row>
    <row r="53920" spans="26:26" x14ac:dyDescent="0.25">
      <c r="Z53920">
        <v>400000</v>
      </c>
    </row>
    <row r="53921" spans="26:26" x14ac:dyDescent="0.25">
      <c r="Z53921">
        <v>400000</v>
      </c>
    </row>
    <row r="53922" spans="26:26" x14ac:dyDescent="0.25">
      <c r="Z53922">
        <v>400000</v>
      </c>
    </row>
    <row r="53923" spans="26:26" x14ac:dyDescent="0.25">
      <c r="Z53923">
        <v>400000</v>
      </c>
    </row>
    <row r="53924" spans="26:26" x14ac:dyDescent="0.25">
      <c r="Z53924">
        <v>400000</v>
      </c>
    </row>
    <row r="53925" spans="26:26" x14ac:dyDescent="0.25">
      <c r="Z53925">
        <v>400000</v>
      </c>
    </row>
    <row r="53926" spans="26:26" x14ac:dyDescent="0.25">
      <c r="Z53926">
        <v>400000</v>
      </c>
    </row>
    <row r="53927" spans="26:26" x14ac:dyDescent="0.25">
      <c r="Z53927">
        <v>400000</v>
      </c>
    </row>
    <row r="53928" spans="26:26" x14ac:dyDescent="0.25">
      <c r="Z53928">
        <v>400000</v>
      </c>
    </row>
    <row r="53929" spans="26:26" x14ac:dyDescent="0.25">
      <c r="Z53929">
        <v>400000</v>
      </c>
    </row>
    <row r="53930" spans="26:26" x14ac:dyDescent="0.25">
      <c r="Z53930">
        <v>400000</v>
      </c>
    </row>
    <row r="53931" spans="26:26" x14ac:dyDescent="0.25">
      <c r="Z53931">
        <v>400000</v>
      </c>
    </row>
    <row r="53932" spans="26:26" x14ac:dyDescent="0.25">
      <c r="Z53932">
        <v>400000</v>
      </c>
    </row>
    <row r="53933" spans="26:26" x14ac:dyDescent="0.25">
      <c r="Z53933">
        <v>400000</v>
      </c>
    </row>
    <row r="53934" spans="26:26" x14ac:dyDescent="0.25">
      <c r="Z53934">
        <v>400000</v>
      </c>
    </row>
    <row r="53935" spans="26:26" x14ac:dyDescent="0.25">
      <c r="Z53935">
        <v>400000</v>
      </c>
    </row>
    <row r="53936" spans="26:26" x14ac:dyDescent="0.25">
      <c r="Z53936">
        <v>400000</v>
      </c>
    </row>
    <row r="53937" spans="26:26" x14ac:dyDescent="0.25">
      <c r="Z53937">
        <v>400000</v>
      </c>
    </row>
    <row r="53938" spans="26:26" x14ac:dyDescent="0.25">
      <c r="Z53938">
        <v>400000</v>
      </c>
    </row>
    <row r="53939" spans="26:26" x14ac:dyDescent="0.25">
      <c r="Z53939">
        <v>400000</v>
      </c>
    </row>
    <row r="53940" spans="26:26" x14ac:dyDescent="0.25">
      <c r="Z53940">
        <v>400000</v>
      </c>
    </row>
    <row r="53941" spans="26:26" x14ac:dyDescent="0.25">
      <c r="Z53941">
        <v>400000</v>
      </c>
    </row>
    <row r="53942" spans="26:26" x14ac:dyDescent="0.25">
      <c r="Z53942">
        <v>400000</v>
      </c>
    </row>
    <row r="53943" spans="26:26" x14ac:dyDescent="0.25">
      <c r="Z53943">
        <v>400000</v>
      </c>
    </row>
    <row r="53944" spans="26:26" x14ac:dyDescent="0.25">
      <c r="Z53944">
        <v>400000</v>
      </c>
    </row>
    <row r="53945" spans="26:26" x14ac:dyDescent="0.25">
      <c r="Z53945">
        <v>400000</v>
      </c>
    </row>
    <row r="53946" spans="26:26" x14ac:dyDescent="0.25">
      <c r="Z53946">
        <v>400000</v>
      </c>
    </row>
    <row r="53947" spans="26:26" x14ac:dyDescent="0.25">
      <c r="Z53947">
        <v>400000</v>
      </c>
    </row>
    <row r="53948" spans="26:26" x14ac:dyDescent="0.25">
      <c r="Z53948">
        <v>400000</v>
      </c>
    </row>
    <row r="53949" spans="26:26" x14ac:dyDescent="0.25">
      <c r="Z53949">
        <v>400000</v>
      </c>
    </row>
    <row r="53950" spans="26:26" x14ac:dyDescent="0.25">
      <c r="Z53950">
        <v>400000</v>
      </c>
    </row>
    <row r="53951" spans="26:26" x14ac:dyDescent="0.25">
      <c r="Z53951">
        <v>400000</v>
      </c>
    </row>
    <row r="53952" spans="26:26" x14ac:dyDescent="0.25">
      <c r="Z53952">
        <v>400000</v>
      </c>
    </row>
    <row r="53953" spans="26:26" x14ac:dyDescent="0.25">
      <c r="Z53953">
        <v>400000</v>
      </c>
    </row>
    <row r="53954" spans="26:26" x14ac:dyDescent="0.25">
      <c r="Z53954">
        <v>400000</v>
      </c>
    </row>
    <row r="53955" spans="26:26" x14ac:dyDescent="0.25">
      <c r="Z53955">
        <v>400000</v>
      </c>
    </row>
    <row r="53956" spans="26:26" x14ac:dyDescent="0.25">
      <c r="Z53956">
        <v>400000</v>
      </c>
    </row>
    <row r="53957" spans="26:26" x14ac:dyDescent="0.25">
      <c r="Z53957">
        <v>400000</v>
      </c>
    </row>
    <row r="53958" spans="26:26" x14ac:dyDescent="0.25">
      <c r="Z53958">
        <v>400000</v>
      </c>
    </row>
    <row r="53959" spans="26:26" x14ac:dyDescent="0.25">
      <c r="Z53959">
        <v>400000</v>
      </c>
    </row>
    <row r="53960" spans="26:26" x14ac:dyDescent="0.25">
      <c r="Z53960">
        <v>400000</v>
      </c>
    </row>
    <row r="53961" spans="26:26" x14ac:dyDescent="0.25">
      <c r="Z53961">
        <v>400000</v>
      </c>
    </row>
    <row r="53962" spans="26:26" x14ac:dyDescent="0.25">
      <c r="Z53962">
        <v>400000</v>
      </c>
    </row>
    <row r="53963" spans="26:26" x14ac:dyDescent="0.25">
      <c r="Z53963">
        <v>400000</v>
      </c>
    </row>
    <row r="53964" spans="26:26" x14ac:dyDescent="0.25">
      <c r="Z53964">
        <v>400000</v>
      </c>
    </row>
    <row r="53965" spans="26:26" x14ac:dyDescent="0.25">
      <c r="Z53965">
        <v>400000</v>
      </c>
    </row>
    <row r="53966" spans="26:26" x14ac:dyDescent="0.25">
      <c r="Z53966">
        <v>400000</v>
      </c>
    </row>
    <row r="53967" spans="26:26" x14ac:dyDescent="0.25">
      <c r="Z53967">
        <v>400000</v>
      </c>
    </row>
    <row r="53968" spans="26:26" x14ac:dyDescent="0.25">
      <c r="Z53968">
        <v>400000</v>
      </c>
    </row>
    <row r="53969" spans="26:26" x14ac:dyDescent="0.25">
      <c r="Z53969">
        <v>400000</v>
      </c>
    </row>
    <row r="53970" spans="26:26" x14ac:dyDescent="0.25">
      <c r="Z53970">
        <v>400000</v>
      </c>
    </row>
    <row r="53971" spans="26:26" x14ac:dyDescent="0.25">
      <c r="Z53971">
        <v>400000</v>
      </c>
    </row>
    <row r="53972" spans="26:26" x14ac:dyDescent="0.25">
      <c r="Z53972">
        <v>400000</v>
      </c>
    </row>
    <row r="53973" spans="26:26" x14ac:dyDescent="0.25">
      <c r="Z53973">
        <v>400000</v>
      </c>
    </row>
    <row r="53974" spans="26:26" x14ac:dyDescent="0.25">
      <c r="Z53974">
        <v>400000</v>
      </c>
    </row>
    <row r="53975" spans="26:26" x14ac:dyDescent="0.25">
      <c r="Z53975">
        <v>400000</v>
      </c>
    </row>
    <row r="53976" spans="26:26" x14ac:dyDescent="0.25">
      <c r="Z53976">
        <v>400000</v>
      </c>
    </row>
    <row r="53977" spans="26:26" x14ac:dyDescent="0.25">
      <c r="Z53977">
        <v>400000</v>
      </c>
    </row>
    <row r="53978" spans="26:26" x14ac:dyDescent="0.25">
      <c r="Z53978">
        <v>400000</v>
      </c>
    </row>
    <row r="53979" spans="26:26" x14ac:dyDescent="0.25">
      <c r="Z53979">
        <v>400000</v>
      </c>
    </row>
    <row r="53980" spans="26:26" x14ac:dyDescent="0.25">
      <c r="Z53980">
        <v>400000</v>
      </c>
    </row>
    <row r="53981" spans="26:26" x14ac:dyDescent="0.25">
      <c r="Z53981">
        <v>400000</v>
      </c>
    </row>
    <row r="53982" spans="26:26" x14ac:dyDescent="0.25">
      <c r="Z53982">
        <v>400000</v>
      </c>
    </row>
    <row r="53983" spans="26:26" x14ac:dyDescent="0.25">
      <c r="Z53983">
        <v>400000</v>
      </c>
    </row>
    <row r="53984" spans="26:26" x14ac:dyDescent="0.25">
      <c r="Z53984">
        <v>400000</v>
      </c>
    </row>
    <row r="53985" spans="26:26" x14ac:dyDescent="0.25">
      <c r="Z53985">
        <v>400000</v>
      </c>
    </row>
    <row r="53986" spans="26:26" x14ac:dyDescent="0.25">
      <c r="Z53986">
        <v>400000</v>
      </c>
    </row>
    <row r="53987" spans="26:26" x14ac:dyDescent="0.25">
      <c r="Z53987">
        <v>400000</v>
      </c>
    </row>
    <row r="53988" spans="26:26" x14ac:dyDescent="0.25">
      <c r="Z53988">
        <v>400000</v>
      </c>
    </row>
    <row r="53989" spans="26:26" x14ac:dyDescent="0.25">
      <c r="Z53989">
        <v>400000</v>
      </c>
    </row>
    <row r="53990" spans="26:26" x14ac:dyDescent="0.25">
      <c r="Z53990">
        <v>400000</v>
      </c>
    </row>
    <row r="53991" spans="26:26" x14ac:dyDescent="0.25">
      <c r="Z53991">
        <v>400000</v>
      </c>
    </row>
    <row r="53992" spans="26:26" x14ac:dyDescent="0.25">
      <c r="Z53992">
        <v>400000</v>
      </c>
    </row>
    <row r="53993" spans="26:26" x14ac:dyDescent="0.25">
      <c r="Z53993">
        <v>400000</v>
      </c>
    </row>
    <row r="53994" spans="26:26" x14ac:dyDescent="0.25">
      <c r="Z53994">
        <v>400000</v>
      </c>
    </row>
    <row r="53995" spans="26:26" x14ac:dyDescent="0.25">
      <c r="Z53995">
        <v>400000</v>
      </c>
    </row>
    <row r="53996" spans="26:26" x14ac:dyDescent="0.25">
      <c r="Z53996">
        <v>400000</v>
      </c>
    </row>
    <row r="53997" spans="26:26" x14ac:dyDescent="0.25">
      <c r="Z53997">
        <v>400000</v>
      </c>
    </row>
    <row r="53998" spans="26:26" x14ac:dyDescent="0.25">
      <c r="Z53998">
        <v>400000</v>
      </c>
    </row>
    <row r="53999" spans="26:26" x14ac:dyDescent="0.25">
      <c r="Z53999">
        <v>400000</v>
      </c>
    </row>
    <row r="54000" spans="26:26" x14ac:dyDescent="0.25">
      <c r="Z54000">
        <v>400000</v>
      </c>
    </row>
    <row r="54001" spans="26:26" x14ac:dyDescent="0.25">
      <c r="Z54001">
        <v>400000</v>
      </c>
    </row>
    <row r="54002" spans="26:26" x14ac:dyDescent="0.25">
      <c r="Z54002">
        <v>400000</v>
      </c>
    </row>
    <row r="54003" spans="26:26" x14ac:dyDescent="0.25">
      <c r="Z54003">
        <v>400000</v>
      </c>
    </row>
    <row r="54004" spans="26:26" x14ac:dyDescent="0.25">
      <c r="Z54004">
        <v>400000</v>
      </c>
    </row>
    <row r="54005" spans="26:26" x14ac:dyDescent="0.25">
      <c r="Z54005">
        <v>400000</v>
      </c>
    </row>
    <row r="54006" spans="26:26" x14ac:dyDescent="0.25">
      <c r="Z54006">
        <v>400000</v>
      </c>
    </row>
    <row r="54007" spans="26:26" x14ac:dyDescent="0.25">
      <c r="Z54007">
        <v>400000</v>
      </c>
    </row>
    <row r="54008" spans="26:26" x14ac:dyDescent="0.25">
      <c r="Z54008">
        <v>400000</v>
      </c>
    </row>
    <row r="54009" spans="26:26" x14ac:dyDescent="0.25">
      <c r="Z54009">
        <v>400000</v>
      </c>
    </row>
    <row r="54010" spans="26:26" x14ac:dyDescent="0.25">
      <c r="Z54010">
        <v>400000</v>
      </c>
    </row>
    <row r="54011" spans="26:26" x14ac:dyDescent="0.25">
      <c r="Z54011">
        <v>400000</v>
      </c>
    </row>
    <row r="54012" spans="26:26" x14ac:dyDescent="0.25">
      <c r="Z54012">
        <v>400000</v>
      </c>
    </row>
    <row r="54013" spans="26:26" x14ac:dyDescent="0.25">
      <c r="Z54013">
        <v>400000</v>
      </c>
    </row>
    <row r="54014" spans="26:26" x14ac:dyDescent="0.25">
      <c r="Z54014">
        <v>400000</v>
      </c>
    </row>
    <row r="54015" spans="26:26" x14ac:dyDescent="0.25">
      <c r="Z54015">
        <v>400000</v>
      </c>
    </row>
    <row r="54016" spans="26:26" x14ac:dyDescent="0.25">
      <c r="Z54016">
        <v>400000</v>
      </c>
    </row>
    <row r="54017" spans="26:26" x14ac:dyDescent="0.25">
      <c r="Z54017">
        <v>400000</v>
      </c>
    </row>
    <row r="54018" spans="26:26" x14ac:dyDescent="0.25">
      <c r="Z54018">
        <v>400000</v>
      </c>
    </row>
    <row r="54019" spans="26:26" x14ac:dyDescent="0.25">
      <c r="Z54019">
        <v>400000</v>
      </c>
    </row>
    <row r="54020" spans="26:26" x14ac:dyDescent="0.25">
      <c r="Z54020">
        <v>400000</v>
      </c>
    </row>
    <row r="54021" spans="26:26" x14ac:dyDescent="0.25">
      <c r="Z54021">
        <v>400000</v>
      </c>
    </row>
    <row r="54022" spans="26:26" x14ac:dyDescent="0.25">
      <c r="Z54022">
        <v>400000</v>
      </c>
    </row>
    <row r="54023" spans="26:26" x14ac:dyDescent="0.25">
      <c r="Z54023">
        <v>400000</v>
      </c>
    </row>
    <row r="54024" spans="26:26" x14ac:dyDescent="0.25">
      <c r="Z54024">
        <v>400000</v>
      </c>
    </row>
    <row r="54025" spans="26:26" x14ac:dyDescent="0.25">
      <c r="Z54025">
        <v>400000</v>
      </c>
    </row>
    <row r="54026" spans="26:26" x14ac:dyDescent="0.25">
      <c r="Z54026">
        <v>400000</v>
      </c>
    </row>
    <row r="54027" spans="26:26" x14ac:dyDescent="0.25">
      <c r="Z54027">
        <v>400000</v>
      </c>
    </row>
    <row r="54028" spans="26:26" x14ac:dyDescent="0.25">
      <c r="Z54028">
        <v>400000</v>
      </c>
    </row>
    <row r="54029" spans="26:26" x14ac:dyDescent="0.25">
      <c r="Z54029">
        <v>400000</v>
      </c>
    </row>
    <row r="54030" spans="26:26" x14ac:dyDescent="0.25">
      <c r="Z54030">
        <v>400000</v>
      </c>
    </row>
    <row r="54031" spans="26:26" x14ac:dyDescent="0.25">
      <c r="Z54031">
        <v>400000</v>
      </c>
    </row>
    <row r="54032" spans="26:26" x14ac:dyDescent="0.25">
      <c r="Z54032">
        <v>400000</v>
      </c>
    </row>
    <row r="54033" spans="26:26" x14ac:dyDescent="0.25">
      <c r="Z54033">
        <v>400000</v>
      </c>
    </row>
    <row r="54034" spans="26:26" x14ac:dyDescent="0.25">
      <c r="Z54034">
        <v>400000</v>
      </c>
    </row>
    <row r="54035" spans="26:26" x14ac:dyDescent="0.25">
      <c r="Z54035">
        <v>400000</v>
      </c>
    </row>
    <row r="54036" spans="26:26" x14ac:dyDescent="0.25">
      <c r="Z54036">
        <v>400000</v>
      </c>
    </row>
    <row r="54037" spans="26:26" x14ac:dyDescent="0.25">
      <c r="Z54037">
        <v>400000</v>
      </c>
    </row>
    <row r="54038" spans="26:26" x14ac:dyDescent="0.25">
      <c r="Z54038">
        <v>400000</v>
      </c>
    </row>
    <row r="54039" spans="26:26" x14ac:dyDescent="0.25">
      <c r="Z54039">
        <v>400000</v>
      </c>
    </row>
    <row r="54040" spans="26:26" x14ac:dyDescent="0.25">
      <c r="Z54040">
        <v>400000</v>
      </c>
    </row>
    <row r="54041" spans="26:26" x14ac:dyDescent="0.25">
      <c r="Z54041">
        <v>400000</v>
      </c>
    </row>
    <row r="54042" spans="26:26" x14ac:dyDescent="0.25">
      <c r="Z54042">
        <v>400000</v>
      </c>
    </row>
    <row r="54043" spans="26:26" x14ac:dyDescent="0.25">
      <c r="Z54043">
        <v>400000</v>
      </c>
    </row>
    <row r="54044" spans="26:26" x14ac:dyDescent="0.25">
      <c r="Z54044">
        <v>400000</v>
      </c>
    </row>
    <row r="54045" spans="26:26" x14ac:dyDescent="0.25">
      <c r="Z54045">
        <v>400000</v>
      </c>
    </row>
    <row r="54046" spans="26:26" x14ac:dyDescent="0.25">
      <c r="Z54046">
        <v>400000</v>
      </c>
    </row>
    <row r="54047" spans="26:26" x14ac:dyDescent="0.25">
      <c r="Z54047">
        <v>400000</v>
      </c>
    </row>
    <row r="54048" spans="26:26" x14ac:dyDescent="0.25">
      <c r="Z54048">
        <v>400000</v>
      </c>
    </row>
    <row r="54049" spans="26:26" x14ac:dyDescent="0.25">
      <c r="Z54049">
        <v>400000</v>
      </c>
    </row>
    <row r="54050" spans="26:26" x14ac:dyDescent="0.25">
      <c r="Z54050">
        <v>400000</v>
      </c>
    </row>
    <row r="54051" spans="26:26" x14ac:dyDescent="0.25">
      <c r="Z54051">
        <v>400000</v>
      </c>
    </row>
    <row r="54052" spans="26:26" x14ac:dyDescent="0.25">
      <c r="Z54052">
        <v>400000</v>
      </c>
    </row>
    <row r="54053" spans="26:26" x14ac:dyDescent="0.25">
      <c r="Z54053">
        <v>400000</v>
      </c>
    </row>
    <row r="54054" spans="26:26" x14ac:dyDescent="0.25">
      <c r="Z54054">
        <v>400000</v>
      </c>
    </row>
    <row r="54055" spans="26:26" x14ac:dyDescent="0.25">
      <c r="Z54055">
        <v>400000</v>
      </c>
    </row>
    <row r="54056" spans="26:26" x14ac:dyDescent="0.25">
      <c r="Z54056">
        <v>400000</v>
      </c>
    </row>
    <row r="54057" spans="26:26" x14ac:dyDescent="0.25">
      <c r="Z54057">
        <v>400000</v>
      </c>
    </row>
    <row r="54058" spans="26:26" x14ac:dyDescent="0.25">
      <c r="Z54058">
        <v>400000</v>
      </c>
    </row>
    <row r="54059" spans="26:26" x14ac:dyDescent="0.25">
      <c r="Z54059">
        <v>400000</v>
      </c>
    </row>
    <row r="54060" spans="26:26" x14ac:dyDescent="0.25">
      <c r="Z54060">
        <v>400000</v>
      </c>
    </row>
    <row r="54061" spans="26:26" x14ac:dyDescent="0.25">
      <c r="Z54061">
        <v>400000</v>
      </c>
    </row>
    <row r="54062" spans="26:26" x14ac:dyDescent="0.25">
      <c r="Z54062">
        <v>400000</v>
      </c>
    </row>
    <row r="54063" spans="26:26" x14ac:dyDescent="0.25">
      <c r="Z54063">
        <v>400000</v>
      </c>
    </row>
    <row r="54064" spans="26:26" x14ac:dyDescent="0.25">
      <c r="Z54064">
        <v>400000</v>
      </c>
    </row>
    <row r="54065" spans="26:26" x14ac:dyDescent="0.25">
      <c r="Z54065">
        <v>400000</v>
      </c>
    </row>
    <row r="54066" spans="26:26" x14ac:dyDescent="0.25">
      <c r="Z54066">
        <v>400000</v>
      </c>
    </row>
    <row r="54067" spans="26:26" x14ac:dyDescent="0.25">
      <c r="Z54067">
        <v>400000</v>
      </c>
    </row>
    <row r="54068" spans="26:26" x14ac:dyDescent="0.25">
      <c r="Z54068">
        <v>400000</v>
      </c>
    </row>
    <row r="54069" spans="26:26" x14ac:dyDescent="0.25">
      <c r="Z54069">
        <v>400000</v>
      </c>
    </row>
    <row r="54070" spans="26:26" x14ac:dyDescent="0.25">
      <c r="Z54070">
        <v>400000</v>
      </c>
    </row>
    <row r="54071" spans="26:26" x14ac:dyDescent="0.25">
      <c r="Z54071">
        <v>400000</v>
      </c>
    </row>
    <row r="54072" spans="26:26" x14ac:dyDescent="0.25">
      <c r="Z54072">
        <v>400000</v>
      </c>
    </row>
    <row r="54073" spans="26:26" x14ac:dyDescent="0.25">
      <c r="Z54073">
        <v>400000</v>
      </c>
    </row>
    <row r="54074" spans="26:26" x14ac:dyDescent="0.25">
      <c r="Z54074">
        <v>400000</v>
      </c>
    </row>
    <row r="54075" spans="26:26" x14ac:dyDescent="0.25">
      <c r="Z54075">
        <v>400000</v>
      </c>
    </row>
    <row r="54076" spans="26:26" x14ac:dyDescent="0.25">
      <c r="Z54076">
        <v>400000</v>
      </c>
    </row>
    <row r="54077" spans="26:26" x14ac:dyDescent="0.25">
      <c r="Z54077">
        <v>400000</v>
      </c>
    </row>
    <row r="54078" spans="26:26" x14ac:dyDescent="0.25">
      <c r="Z54078">
        <v>400000</v>
      </c>
    </row>
    <row r="54079" spans="26:26" x14ac:dyDescent="0.25">
      <c r="Z54079">
        <v>400000</v>
      </c>
    </row>
    <row r="54080" spans="26:26" x14ac:dyDescent="0.25">
      <c r="Z54080">
        <v>400000</v>
      </c>
    </row>
    <row r="54081" spans="26:26" x14ac:dyDescent="0.25">
      <c r="Z54081">
        <v>400000</v>
      </c>
    </row>
    <row r="54082" spans="26:26" x14ac:dyDescent="0.25">
      <c r="Z54082">
        <v>400000</v>
      </c>
    </row>
    <row r="54083" spans="26:26" x14ac:dyDescent="0.25">
      <c r="Z54083">
        <v>400000</v>
      </c>
    </row>
    <row r="54084" spans="26:26" x14ac:dyDescent="0.25">
      <c r="Z54084">
        <v>400000</v>
      </c>
    </row>
    <row r="54085" spans="26:26" x14ac:dyDescent="0.25">
      <c r="Z54085">
        <v>400000</v>
      </c>
    </row>
    <row r="54086" spans="26:26" x14ac:dyDescent="0.25">
      <c r="Z54086">
        <v>400000</v>
      </c>
    </row>
    <row r="54087" spans="26:26" x14ac:dyDescent="0.25">
      <c r="Z54087">
        <v>400000</v>
      </c>
    </row>
    <row r="54088" spans="26:26" x14ac:dyDescent="0.25">
      <c r="Z54088">
        <v>400000</v>
      </c>
    </row>
    <row r="54089" spans="26:26" x14ac:dyDescent="0.25">
      <c r="Z54089">
        <v>400000</v>
      </c>
    </row>
    <row r="54090" spans="26:26" x14ac:dyDescent="0.25">
      <c r="Z54090">
        <v>400000</v>
      </c>
    </row>
    <row r="54091" spans="26:26" x14ac:dyDescent="0.25">
      <c r="Z54091">
        <v>400000</v>
      </c>
    </row>
    <row r="54092" spans="26:26" x14ac:dyDescent="0.25">
      <c r="Z54092">
        <v>400000</v>
      </c>
    </row>
    <row r="54093" spans="26:26" x14ac:dyDescent="0.25">
      <c r="Z54093">
        <v>400000</v>
      </c>
    </row>
    <row r="54094" spans="26:26" x14ac:dyDescent="0.25">
      <c r="Z54094">
        <v>400000</v>
      </c>
    </row>
    <row r="54095" spans="26:26" x14ac:dyDescent="0.25">
      <c r="Z54095">
        <v>400000</v>
      </c>
    </row>
    <row r="54096" spans="26:26" x14ac:dyDescent="0.25">
      <c r="Z54096">
        <v>400000</v>
      </c>
    </row>
    <row r="54097" spans="26:26" x14ac:dyDescent="0.25">
      <c r="Z54097">
        <v>400000</v>
      </c>
    </row>
    <row r="54098" spans="26:26" x14ac:dyDescent="0.25">
      <c r="Z54098">
        <v>400000</v>
      </c>
    </row>
    <row r="54099" spans="26:26" x14ac:dyDescent="0.25">
      <c r="Z54099">
        <v>400000</v>
      </c>
    </row>
    <row r="54100" spans="26:26" x14ac:dyDescent="0.25">
      <c r="Z54100">
        <v>400000</v>
      </c>
    </row>
    <row r="54101" spans="26:26" x14ac:dyDescent="0.25">
      <c r="Z54101">
        <v>400000</v>
      </c>
    </row>
    <row r="54102" spans="26:26" x14ac:dyDescent="0.25">
      <c r="Z54102">
        <v>400000</v>
      </c>
    </row>
    <row r="54103" spans="26:26" x14ac:dyDescent="0.25">
      <c r="Z54103">
        <v>400000</v>
      </c>
    </row>
    <row r="54104" spans="26:26" x14ac:dyDescent="0.25">
      <c r="Z54104">
        <v>400000</v>
      </c>
    </row>
    <row r="54105" spans="26:26" x14ac:dyDescent="0.25">
      <c r="Z54105">
        <v>400000</v>
      </c>
    </row>
    <row r="54106" spans="26:26" x14ac:dyDescent="0.25">
      <c r="Z54106">
        <v>400000</v>
      </c>
    </row>
    <row r="54107" spans="26:26" x14ac:dyDescent="0.25">
      <c r="Z54107">
        <v>400000</v>
      </c>
    </row>
    <row r="54108" spans="26:26" x14ac:dyDescent="0.25">
      <c r="Z54108">
        <v>400000</v>
      </c>
    </row>
    <row r="54109" spans="26:26" x14ac:dyDescent="0.25">
      <c r="Z54109">
        <v>400000</v>
      </c>
    </row>
    <row r="54110" spans="26:26" x14ac:dyDescent="0.25">
      <c r="Z54110">
        <v>400000</v>
      </c>
    </row>
    <row r="54111" spans="26:26" x14ac:dyDescent="0.25">
      <c r="Z54111">
        <v>400000</v>
      </c>
    </row>
    <row r="54112" spans="26:26" x14ac:dyDescent="0.25">
      <c r="Z54112">
        <v>400000</v>
      </c>
    </row>
    <row r="54113" spans="26:26" x14ac:dyDescent="0.25">
      <c r="Z54113">
        <v>400000</v>
      </c>
    </row>
    <row r="54114" spans="26:26" x14ac:dyDescent="0.25">
      <c r="Z54114">
        <v>400000</v>
      </c>
    </row>
    <row r="54115" spans="26:26" x14ac:dyDescent="0.25">
      <c r="Z54115">
        <v>400000</v>
      </c>
    </row>
    <row r="54116" spans="26:26" x14ac:dyDescent="0.25">
      <c r="Z54116">
        <v>400000</v>
      </c>
    </row>
    <row r="54117" spans="26:26" x14ac:dyDescent="0.25">
      <c r="Z54117">
        <v>400000</v>
      </c>
    </row>
    <row r="54118" spans="26:26" x14ac:dyDescent="0.25">
      <c r="Z54118">
        <v>400000</v>
      </c>
    </row>
    <row r="54119" spans="26:26" x14ac:dyDescent="0.25">
      <c r="Z54119">
        <v>400000</v>
      </c>
    </row>
    <row r="54120" spans="26:26" x14ac:dyDescent="0.25">
      <c r="Z54120">
        <v>400000</v>
      </c>
    </row>
    <row r="54121" spans="26:26" x14ac:dyDescent="0.25">
      <c r="Z54121">
        <v>400000</v>
      </c>
    </row>
    <row r="54122" spans="26:26" x14ac:dyDescent="0.25">
      <c r="Z54122">
        <v>400000</v>
      </c>
    </row>
    <row r="54123" spans="26:26" x14ac:dyDescent="0.25">
      <c r="Z54123">
        <v>400000</v>
      </c>
    </row>
    <row r="54124" spans="26:26" x14ac:dyDescent="0.25">
      <c r="Z54124">
        <v>400000</v>
      </c>
    </row>
    <row r="54125" spans="26:26" x14ac:dyDescent="0.25">
      <c r="Z54125">
        <v>400000</v>
      </c>
    </row>
    <row r="54126" spans="26:26" x14ac:dyDescent="0.25">
      <c r="Z54126">
        <v>400000</v>
      </c>
    </row>
    <row r="54127" spans="26:26" x14ac:dyDescent="0.25">
      <c r="Z54127">
        <v>400000</v>
      </c>
    </row>
    <row r="54128" spans="26:26" x14ac:dyDescent="0.25">
      <c r="Z54128">
        <v>400000</v>
      </c>
    </row>
    <row r="54129" spans="26:26" x14ac:dyDescent="0.25">
      <c r="Z54129">
        <v>400000</v>
      </c>
    </row>
    <row r="54130" spans="26:26" x14ac:dyDescent="0.25">
      <c r="Z54130">
        <v>400000</v>
      </c>
    </row>
    <row r="54131" spans="26:26" x14ac:dyDescent="0.25">
      <c r="Z54131">
        <v>400000</v>
      </c>
    </row>
    <row r="54132" spans="26:26" x14ac:dyDescent="0.25">
      <c r="Z54132">
        <v>400000</v>
      </c>
    </row>
    <row r="54133" spans="26:26" x14ac:dyDescent="0.25">
      <c r="Z54133">
        <v>400000</v>
      </c>
    </row>
    <row r="54134" spans="26:26" x14ac:dyDescent="0.25">
      <c r="Z54134">
        <v>400000</v>
      </c>
    </row>
    <row r="54135" spans="26:26" x14ac:dyDescent="0.25">
      <c r="Z54135">
        <v>400000</v>
      </c>
    </row>
    <row r="54136" spans="26:26" x14ac:dyDescent="0.25">
      <c r="Z54136">
        <v>400000</v>
      </c>
    </row>
    <row r="54137" spans="26:26" x14ac:dyDescent="0.25">
      <c r="Z54137">
        <v>400000</v>
      </c>
    </row>
    <row r="54138" spans="26:26" x14ac:dyDescent="0.25">
      <c r="Z54138">
        <v>400000</v>
      </c>
    </row>
    <row r="54139" spans="26:26" x14ac:dyDescent="0.25">
      <c r="Z54139">
        <v>400000</v>
      </c>
    </row>
    <row r="54140" spans="26:26" x14ac:dyDescent="0.25">
      <c r="Z54140">
        <v>400000</v>
      </c>
    </row>
    <row r="54141" spans="26:26" x14ac:dyDescent="0.25">
      <c r="Z54141">
        <v>400000</v>
      </c>
    </row>
    <row r="54142" spans="26:26" x14ac:dyDescent="0.25">
      <c r="Z54142">
        <v>400000</v>
      </c>
    </row>
    <row r="54143" spans="26:26" x14ac:dyDescent="0.25">
      <c r="Z54143">
        <v>400000</v>
      </c>
    </row>
    <row r="54144" spans="26:26" x14ac:dyDescent="0.25">
      <c r="Z54144">
        <v>400000</v>
      </c>
    </row>
    <row r="54145" spans="26:26" x14ac:dyDescent="0.25">
      <c r="Z54145">
        <v>400000</v>
      </c>
    </row>
    <row r="54146" spans="26:26" x14ac:dyDescent="0.25">
      <c r="Z54146">
        <v>400000</v>
      </c>
    </row>
    <row r="54147" spans="26:26" x14ac:dyDescent="0.25">
      <c r="Z54147">
        <v>400000</v>
      </c>
    </row>
    <row r="54148" spans="26:26" x14ac:dyDescent="0.25">
      <c r="Z54148">
        <v>400000</v>
      </c>
    </row>
    <row r="54149" spans="26:26" x14ac:dyDescent="0.25">
      <c r="Z54149">
        <v>400000</v>
      </c>
    </row>
    <row r="54150" spans="26:26" x14ac:dyDescent="0.25">
      <c r="Z54150">
        <v>400000</v>
      </c>
    </row>
    <row r="54151" spans="26:26" x14ac:dyDescent="0.25">
      <c r="Z54151">
        <v>400000</v>
      </c>
    </row>
    <row r="54152" spans="26:26" x14ac:dyDescent="0.25">
      <c r="Z54152">
        <v>400000</v>
      </c>
    </row>
    <row r="54153" spans="26:26" x14ac:dyDescent="0.25">
      <c r="Z54153">
        <v>400000</v>
      </c>
    </row>
    <row r="54154" spans="26:26" x14ac:dyDescent="0.25">
      <c r="Z54154">
        <v>400000</v>
      </c>
    </row>
    <row r="54155" spans="26:26" x14ac:dyDescent="0.25">
      <c r="Z54155">
        <v>400000</v>
      </c>
    </row>
    <row r="54156" spans="26:26" x14ac:dyDescent="0.25">
      <c r="Z54156">
        <v>400000</v>
      </c>
    </row>
    <row r="54157" spans="26:26" x14ac:dyDescent="0.25">
      <c r="Z54157">
        <v>400000</v>
      </c>
    </row>
    <row r="54158" spans="26:26" x14ac:dyDescent="0.25">
      <c r="Z54158">
        <v>400000</v>
      </c>
    </row>
    <row r="54159" spans="26:26" x14ac:dyDescent="0.25">
      <c r="Z54159">
        <v>400000</v>
      </c>
    </row>
    <row r="54160" spans="26:26" x14ac:dyDescent="0.25">
      <c r="Z54160">
        <v>400000</v>
      </c>
    </row>
    <row r="54161" spans="26:26" x14ac:dyDescent="0.25">
      <c r="Z54161">
        <v>400000</v>
      </c>
    </row>
    <row r="54162" spans="26:26" x14ac:dyDescent="0.25">
      <c r="Z54162">
        <v>400000</v>
      </c>
    </row>
    <row r="54163" spans="26:26" x14ac:dyDescent="0.25">
      <c r="Z54163">
        <v>400000</v>
      </c>
    </row>
    <row r="54164" spans="26:26" x14ac:dyDescent="0.25">
      <c r="Z54164">
        <v>400000</v>
      </c>
    </row>
    <row r="54165" spans="26:26" x14ac:dyDescent="0.25">
      <c r="Z54165">
        <v>400000</v>
      </c>
    </row>
    <row r="54166" spans="26:26" x14ac:dyDescent="0.25">
      <c r="Z54166">
        <v>400000</v>
      </c>
    </row>
    <row r="54167" spans="26:26" x14ac:dyDescent="0.25">
      <c r="Z54167">
        <v>400000</v>
      </c>
    </row>
    <row r="54168" spans="26:26" x14ac:dyDescent="0.25">
      <c r="Z54168">
        <v>400000</v>
      </c>
    </row>
    <row r="54169" spans="26:26" x14ac:dyDescent="0.25">
      <c r="Z54169">
        <v>400000</v>
      </c>
    </row>
    <row r="54170" spans="26:26" x14ac:dyDescent="0.25">
      <c r="Z54170">
        <v>400000</v>
      </c>
    </row>
    <row r="54171" spans="26:26" x14ac:dyDescent="0.25">
      <c r="Z54171">
        <v>400000</v>
      </c>
    </row>
    <row r="54172" spans="26:26" x14ac:dyDescent="0.25">
      <c r="Z54172">
        <v>400000</v>
      </c>
    </row>
    <row r="54173" spans="26:26" x14ac:dyDescent="0.25">
      <c r="Z54173">
        <v>400000</v>
      </c>
    </row>
    <row r="54174" spans="26:26" x14ac:dyDescent="0.25">
      <c r="Z54174">
        <v>400000</v>
      </c>
    </row>
    <row r="54175" spans="26:26" x14ac:dyDescent="0.25">
      <c r="Z54175">
        <v>400000</v>
      </c>
    </row>
    <row r="54176" spans="26:26" x14ac:dyDescent="0.25">
      <c r="Z54176">
        <v>400000</v>
      </c>
    </row>
    <row r="54177" spans="26:26" x14ac:dyDescent="0.25">
      <c r="Z54177">
        <v>400000</v>
      </c>
    </row>
    <row r="54178" spans="26:26" x14ac:dyDescent="0.25">
      <c r="Z54178">
        <v>400000</v>
      </c>
    </row>
    <row r="54179" spans="26:26" x14ac:dyDescent="0.25">
      <c r="Z54179">
        <v>400000</v>
      </c>
    </row>
    <row r="54180" spans="26:26" x14ac:dyDescent="0.25">
      <c r="Z54180">
        <v>400000</v>
      </c>
    </row>
    <row r="54181" spans="26:26" x14ac:dyDescent="0.25">
      <c r="Z54181">
        <v>400000</v>
      </c>
    </row>
    <row r="54182" spans="26:26" x14ac:dyDescent="0.25">
      <c r="Z54182">
        <v>400000</v>
      </c>
    </row>
    <row r="54183" spans="26:26" x14ac:dyDescent="0.25">
      <c r="Z54183">
        <v>400000</v>
      </c>
    </row>
    <row r="54184" spans="26:26" x14ac:dyDescent="0.25">
      <c r="Z54184">
        <v>400000</v>
      </c>
    </row>
    <row r="54185" spans="26:26" x14ac:dyDescent="0.25">
      <c r="Z54185">
        <v>400000</v>
      </c>
    </row>
    <row r="54186" spans="26:26" x14ac:dyDescent="0.25">
      <c r="Z54186">
        <v>400000</v>
      </c>
    </row>
    <row r="54187" spans="26:26" x14ac:dyDescent="0.25">
      <c r="Z54187">
        <v>400000</v>
      </c>
    </row>
    <row r="54188" spans="26:26" x14ac:dyDescent="0.25">
      <c r="Z54188">
        <v>400000</v>
      </c>
    </row>
    <row r="54189" spans="26:26" x14ac:dyDescent="0.25">
      <c r="Z54189">
        <v>400000</v>
      </c>
    </row>
    <row r="54190" spans="26:26" x14ac:dyDescent="0.25">
      <c r="Z54190">
        <v>400000</v>
      </c>
    </row>
    <row r="54191" spans="26:26" x14ac:dyDescent="0.25">
      <c r="Z54191">
        <v>400000</v>
      </c>
    </row>
    <row r="54192" spans="26:26" x14ac:dyDescent="0.25">
      <c r="Z54192">
        <v>400000</v>
      </c>
    </row>
    <row r="54193" spans="26:26" x14ac:dyDescent="0.25">
      <c r="Z54193">
        <v>400000</v>
      </c>
    </row>
    <row r="54194" spans="26:26" x14ac:dyDescent="0.25">
      <c r="Z54194">
        <v>400000</v>
      </c>
    </row>
    <row r="54195" spans="26:26" x14ac:dyDescent="0.25">
      <c r="Z54195">
        <v>400000</v>
      </c>
    </row>
    <row r="54196" spans="26:26" x14ac:dyDescent="0.25">
      <c r="Z54196">
        <v>400000</v>
      </c>
    </row>
    <row r="54197" spans="26:26" x14ac:dyDescent="0.25">
      <c r="Z54197">
        <v>400000</v>
      </c>
    </row>
    <row r="54198" spans="26:26" x14ac:dyDescent="0.25">
      <c r="Z54198">
        <v>400000</v>
      </c>
    </row>
    <row r="54199" spans="26:26" x14ac:dyDescent="0.25">
      <c r="Z54199">
        <v>400000</v>
      </c>
    </row>
    <row r="54200" spans="26:26" x14ac:dyDescent="0.25">
      <c r="Z54200">
        <v>400000</v>
      </c>
    </row>
    <row r="54201" spans="26:26" x14ac:dyDescent="0.25">
      <c r="Z54201">
        <v>400000</v>
      </c>
    </row>
    <row r="54202" spans="26:26" x14ac:dyDescent="0.25">
      <c r="Z54202">
        <v>400000</v>
      </c>
    </row>
    <row r="54203" spans="26:26" x14ac:dyDescent="0.25">
      <c r="Z54203">
        <v>400000</v>
      </c>
    </row>
    <row r="54204" spans="26:26" x14ac:dyDescent="0.25">
      <c r="Z54204">
        <v>400000</v>
      </c>
    </row>
    <row r="54205" spans="26:26" x14ac:dyDescent="0.25">
      <c r="Z54205">
        <v>400000</v>
      </c>
    </row>
    <row r="54206" spans="26:26" x14ac:dyDescent="0.25">
      <c r="Z54206">
        <v>400000</v>
      </c>
    </row>
    <row r="54207" spans="26:26" x14ac:dyDescent="0.25">
      <c r="Z54207">
        <v>400000</v>
      </c>
    </row>
    <row r="54208" spans="26:26" x14ac:dyDescent="0.25">
      <c r="Z54208">
        <v>400000</v>
      </c>
    </row>
    <row r="54209" spans="26:26" x14ac:dyDescent="0.25">
      <c r="Z54209">
        <v>400000</v>
      </c>
    </row>
    <row r="54210" spans="26:26" x14ac:dyDescent="0.25">
      <c r="Z54210">
        <v>400000</v>
      </c>
    </row>
    <row r="54211" spans="26:26" x14ac:dyDescent="0.25">
      <c r="Z54211">
        <v>400000</v>
      </c>
    </row>
    <row r="54212" spans="26:26" x14ac:dyDescent="0.25">
      <c r="Z54212">
        <v>400000</v>
      </c>
    </row>
    <row r="54213" spans="26:26" x14ac:dyDescent="0.25">
      <c r="Z54213">
        <v>400000</v>
      </c>
    </row>
    <row r="54214" spans="26:26" x14ac:dyDescent="0.25">
      <c r="Z54214">
        <v>400000</v>
      </c>
    </row>
    <row r="54215" spans="26:26" x14ac:dyDescent="0.25">
      <c r="Z54215">
        <v>400000</v>
      </c>
    </row>
    <row r="54216" spans="26:26" x14ac:dyDescent="0.25">
      <c r="Z54216">
        <v>400000</v>
      </c>
    </row>
    <row r="54217" spans="26:26" x14ac:dyDescent="0.25">
      <c r="Z54217">
        <v>400000</v>
      </c>
    </row>
    <row r="54218" spans="26:26" x14ac:dyDescent="0.25">
      <c r="Z54218">
        <v>400000</v>
      </c>
    </row>
    <row r="54219" spans="26:26" x14ac:dyDescent="0.25">
      <c r="Z54219">
        <v>400000</v>
      </c>
    </row>
    <row r="54220" spans="26:26" x14ac:dyDescent="0.25">
      <c r="Z54220">
        <v>400000</v>
      </c>
    </row>
    <row r="54221" spans="26:26" x14ac:dyDescent="0.25">
      <c r="Z54221">
        <v>400000</v>
      </c>
    </row>
    <row r="54222" spans="26:26" x14ac:dyDescent="0.25">
      <c r="Z54222">
        <v>400000</v>
      </c>
    </row>
    <row r="54223" spans="26:26" x14ac:dyDescent="0.25">
      <c r="Z54223">
        <v>400000</v>
      </c>
    </row>
    <row r="54224" spans="26:26" x14ac:dyDescent="0.25">
      <c r="Z54224">
        <v>400000</v>
      </c>
    </row>
    <row r="54225" spans="26:26" x14ac:dyDescent="0.25">
      <c r="Z54225">
        <v>400000</v>
      </c>
    </row>
    <row r="54226" spans="26:26" x14ac:dyDescent="0.25">
      <c r="Z54226">
        <v>400000</v>
      </c>
    </row>
    <row r="54227" spans="26:26" x14ac:dyDescent="0.25">
      <c r="Z54227">
        <v>400000</v>
      </c>
    </row>
    <row r="54228" spans="26:26" x14ac:dyDescent="0.25">
      <c r="Z54228">
        <v>400000</v>
      </c>
    </row>
    <row r="54229" spans="26:26" x14ac:dyDescent="0.25">
      <c r="Z54229">
        <v>400000</v>
      </c>
    </row>
    <row r="54230" spans="26:26" x14ac:dyDescent="0.25">
      <c r="Z54230">
        <v>400000</v>
      </c>
    </row>
    <row r="54231" spans="26:26" x14ac:dyDescent="0.25">
      <c r="Z54231">
        <v>400000</v>
      </c>
    </row>
    <row r="54232" spans="26:26" x14ac:dyDescent="0.25">
      <c r="Z54232">
        <v>400000</v>
      </c>
    </row>
    <row r="54233" spans="26:26" x14ac:dyDescent="0.25">
      <c r="Z54233">
        <v>400000</v>
      </c>
    </row>
    <row r="54234" spans="26:26" x14ac:dyDescent="0.25">
      <c r="Z54234">
        <v>400000</v>
      </c>
    </row>
    <row r="54235" spans="26:26" x14ac:dyDescent="0.25">
      <c r="Z54235">
        <v>400000</v>
      </c>
    </row>
    <row r="54236" spans="26:26" x14ac:dyDescent="0.25">
      <c r="Z54236">
        <v>400000</v>
      </c>
    </row>
    <row r="54237" spans="26:26" x14ac:dyDescent="0.25">
      <c r="Z54237">
        <v>400000</v>
      </c>
    </row>
    <row r="54238" spans="26:26" x14ac:dyDescent="0.25">
      <c r="Z54238">
        <v>400000</v>
      </c>
    </row>
    <row r="54239" spans="26:26" x14ac:dyDescent="0.25">
      <c r="Z54239">
        <v>400000</v>
      </c>
    </row>
    <row r="54240" spans="26:26" x14ac:dyDescent="0.25">
      <c r="Z54240">
        <v>400000</v>
      </c>
    </row>
    <row r="54241" spans="26:26" x14ac:dyDescent="0.25">
      <c r="Z54241">
        <v>400000</v>
      </c>
    </row>
    <row r="54242" spans="26:26" x14ac:dyDescent="0.25">
      <c r="Z54242">
        <v>400000</v>
      </c>
    </row>
    <row r="54243" spans="26:26" x14ac:dyDescent="0.25">
      <c r="Z54243">
        <v>400000</v>
      </c>
    </row>
    <row r="54244" spans="26:26" x14ac:dyDescent="0.25">
      <c r="Z54244">
        <v>400000</v>
      </c>
    </row>
    <row r="54245" spans="26:26" x14ac:dyDescent="0.25">
      <c r="Z54245">
        <v>400000</v>
      </c>
    </row>
    <row r="54246" spans="26:26" x14ac:dyDescent="0.25">
      <c r="Z54246">
        <v>400000</v>
      </c>
    </row>
    <row r="54247" spans="26:26" x14ac:dyDescent="0.25">
      <c r="Z54247">
        <v>400000</v>
      </c>
    </row>
    <row r="54248" spans="26:26" x14ac:dyDescent="0.25">
      <c r="Z54248">
        <v>400000</v>
      </c>
    </row>
    <row r="54249" spans="26:26" x14ac:dyDescent="0.25">
      <c r="Z54249">
        <v>400000</v>
      </c>
    </row>
    <row r="54250" spans="26:26" x14ac:dyDescent="0.25">
      <c r="Z54250">
        <v>400000</v>
      </c>
    </row>
    <row r="54251" spans="26:26" x14ac:dyDescent="0.25">
      <c r="Z54251">
        <v>400000</v>
      </c>
    </row>
    <row r="54252" spans="26:26" x14ac:dyDescent="0.25">
      <c r="Z54252">
        <v>400000</v>
      </c>
    </row>
    <row r="54253" spans="26:26" x14ac:dyDescent="0.25">
      <c r="Z54253">
        <v>400000</v>
      </c>
    </row>
    <row r="54254" spans="26:26" x14ac:dyDescent="0.25">
      <c r="Z54254">
        <v>400000</v>
      </c>
    </row>
    <row r="54255" spans="26:26" x14ac:dyDescent="0.25">
      <c r="Z54255">
        <v>400000</v>
      </c>
    </row>
    <row r="54256" spans="26:26" x14ac:dyDescent="0.25">
      <c r="Z54256">
        <v>400000</v>
      </c>
    </row>
    <row r="54257" spans="26:26" x14ac:dyDescent="0.25">
      <c r="Z54257">
        <v>400000</v>
      </c>
    </row>
    <row r="54258" spans="26:26" x14ac:dyDescent="0.25">
      <c r="Z54258">
        <v>400000</v>
      </c>
    </row>
    <row r="54259" spans="26:26" x14ac:dyDescent="0.25">
      <c r="Z54259">
        <v>400000</v>
      </c>
    </row>
    <row r="54260" spans="26:26" x14ac:dyDescent="0.25">
      <c r="Z54260">
        <v>400000</v>
      </c>
    </row>
    <row r="54261" spans="26:26" x14ac:dyDescent="0.25">
      <c r="Z54261">
        <v>400000</v>
      </c>
    </row>
    <row r="54262" spans="26:26" x14ac:dyDescent="0.25">
      <c r="Z54262">
        <v>400000</v>
      </c>
    </row>
    <row r="54263" spans="26:26" x14ac:dyDescent="0.25">
      <c r="Z54263">
        <v>400000</v>
      </c>
    </row>
    <row r="54264" spans="26:26" x14ac:dyDescent="0.25">
      <c r="Z54264">
        <v>400000</v>
      </c>
    </row>
    <row r="54265" spans="26:26" x14ac:dyDescent="0.25">
      <c r="Z54265">
        <v>400000</v>
      </c>
    </row>
    <row r="54266" spans="26:26" x14ac:dyDescent="0.25">
      <c r="Z54266">
        <v>400000</v>
      </c>
    </row>
    <row r="54267" spans="26:26" x14ac:dyDescent="0.25">
      <c r="Z54267">
        <v>400000</v>
      </c>
    </row>
    <row r="54268" spans="26:26" x14ac:dyDescent="0.25">
      <c r="Z54268">
        <v>400000</v>
      </c>
    </row>
    <row r="54269" spans="26:26" x14ac:dyDescent="0.25">
      <c r="Z54269">
        <v>400000</v>
      </c>
    </row>
    <row r="54270" spans="26:26" x14ac:dyDescent="0.25">
      <c r="Z54270">
        <v>400000</v>
      </c>
    </row>
    <row r="54271" spans="26:26" x14ac:dyDescent="0.25">
      <c r="Z54271">
        <v>400000</v>
      </c>
    </row>
    <row r="54272" spans="26:26" x14ac:dyDescent="0.25">
      <c r="Z54272">
        <v>400000</v>
      </c>
    </row>
    <row r="54273" spans="26:26" x14ac:dyDescent="0.25">
      <c r="Z54273">
        <v>400000</v>
      </c>
    </row>
    <row r="54274" spans="26:26" x14ac:dyDescent="0.25">
      <c r="Z54274">
        <v>400000</v>
      </c>
    </row>
    <row r="54275" spans="26:26" x14ac:dyDescent="0.25">
      <c r="Z54275">
        <v>400000</v>
      </c>
    </row>
    <row r="54276" spans="26:26" x14ac:dyDescent="0.25">
      <c r="Z54276">
        <v>400000</v>
      </c>
    </row>
    <row r="54277" spans="26:26" x14ac:dyDescent="0.25">
      <c r="Z54277">
        <v>400000</v>
      </c>
    </row>
    <row r="54278" spans="26:26" x14ac:dyDescent="0.25">
      <c r="Z54278">
        <v>400000</v>
      </c>
    </row>
    <row r="54279" spans="26:26" x14ac:dyDescent="0.25">
      <c r="Z54279">
        <v>400000</v>
      </c>
    </row>
    <row r="54280" spans="26:26" x14ac:dyDescent="0.25">
      <c r="Z54280">
        <v>400000</v>
      </c>
    </row>
    <row r="54281" spans="26:26" x14ac:dyDescent="0.25">
      <c r="Z54281">
        <v>400000</v>
      </c>
    </row>
    <row r="54282" spans="26:26" x14ac:dyDescent="0.25">
      <c r="Z54282">
        <v>400000</v>
      </c>
    </row>
    <row r="54283" spans="26:26" x14ac:dyDescent="0.25">
      <c r="Z54283">
        <v>400000</v>
      </c>
    </row>
    <row r="54284" spans="26:26" x14ac:dyDescent="0.25">
      <c r="Z54284">
        <v>400000</v>
      </c>
    </row>
    <row r="54285" spans="26:26" x14ac:dyDescent="0.25">
      <c r="Z54285">
        <v>400000</v>
      </c>
    </row>
    <row r="54286" spans="26:26" x14ac:dyDescent="0.25">
      <c r="Z54286">
        <v>400000</v>
      </c>
    </row>
    <row r="54287" spans="26:26" x14ac:dyDescent="0.25">
      <c r="Z54287">
        <v>400000</v>
      </c>
    </row>
    <row r="54288" spans="26:26" x14ac:dyDescent="0.25">
      <c r="Z54288">
        <v>400000</v>
      </c>
    </row>
    <row r="54289" spans="26:26" x14ac:dyDescent="0.25">
      <c r="Z54289">
        <v>400000</v>
      </c>
    </row>
    <row r="54290" spans="26:26" x14ac:dyDescent="0.25">
      <c r="Z54290">
        <v>400000</v>
      </c>
    </row>
    <row r="54291" spans="26:26" x14ac:dyDescent="0.25">
      <c r="Z54291">
        <v>400000</v>
      </c>
    </row>
    <row r="54292" spans="26:26" x14ac:dyDescent="0.25">
      <c r="Z54292">
        <v>400000</v>
      </c>
    </row>
    <row r="54293" spans="26:26" x14ac:dyDescent="0.25">
      <c r="Z54293">
        <v>400000</v>
      </c>
    </row>
    <row r="54294" spans="26:26" x14ac:dyDescent="0.25">
      <c r="Z54294">
        <v>400000</v>
      </c>
    </row>
    <row r="54295" spans="26:26" x14ac:dyDescent="0.25">
      <c r="Z54295">
        <v>400000</v>
      </c>
    </row>
    <row r="54296" spans="26:26" x14ac:dyDescent="0.25">
      <c r="Z54296">
        <v>400000</v>
      </c>
    </row>
    <row r="54297" spans="26:26" x14ac:dyDescent="0.25">
      <c r="Z54297">
        <v>400000</v>
      </c>
    </row>
    <row r="54298" spans="26:26" x14ac:dyDescent="0.25">
      <c r="Z54298">
        <v>400000</v>
      </c>
    </row>
    <row r="54299" spans="26:26" x14ac:dyDescent="0.25">
      <c r="Z54299">
        <v>400000</v>
      </c>
    </row>
    <row r="54300" spans="26:26" x14ac:dyDescent="0.25">
      <c r="Z54300">
        <v>400000</v>
      </c>
    </row>
    <row r="54301" spans="26:26" x14ac:dyDescent="0.25">
      <c r="Z54301">
        <v>400000</v>
      </c>
    </row>
    <row r="54302" spans="26:26" x14ac:dyDescent="0.25">
      <c r="Z54302">
        <v>400000</v>
      </c>
    </row>
    <row r="54303" spans="26:26" x14ac:dyDescent="0.25">
      <c r="Z54303">
        <v>400000</v>
      </c>
    </row>
    <row r="54304" spans="26:26" x14ac:dyDescent="0.25">
      <c r="Z54304">
        <v>400000</v>
      </c>
    </row>
    <row r="54305" spans="26:26" x14ac:dyDescent="0.25">
      <c r="Z54305">
        <v>400000</v>
      </c>
    </row>
    <row r="54306" spans="26:26" x14ac:dyDescent="0.25">
      <c r="Z54306">
        <v>400000</v>
      </c>
    </row>
    <row r="54307" spans="26:26" x14ac:dyDescent="0.25">
      <c r="Z54307">
        <v>400000</v>
      </c>
    </row>
    <row r="54308" spans="26:26" x14ac:dyDescent="0.25">
      <c r="Z54308">
        <v>400000</v>
      </c>
    </row>
    <row r="54309" spans="26:26" x14ac:dyDescent="0.25">
      <c r="Z54309">
        <v>400000</v>
      </c>
    </row>
    <row r="54310" spans="26:26" x14ac:dyDescent="0.25">
      <c r="Z54310">
        <v>400000</v>
      </c>
    </row>
    <row r="54311" spans="26:26" x14ac:dyDescent="0.25">
      <c r="Z54311">
        <v>400000</v>
      </c>
    </row>
    <row r="54312" spans="26:26" x14ac:dyDescent="0.25">
      <c r="Z54312">
        <v>400000</v>
      </c>
    </row>
    <row r="54313" spans="26:26" x14ac:dyDescent="0.25">
      <c r="Z54313">
        <v>400000</v>
      </c>
    </row>
    <row r="54314" spans="26:26" x14ac:dyDescent="0.25">
      <c r="Z54314">
        <v>400000</v>
      </c>
    </row>
    <row r="54315" spans="26:26" x14ac:dyDescent="0.25">
      <c r="Z54315">
        <v>400000</v>
      </c>
    </row>
    <row r="54316" spans="26:26" x14ac:dyDescent="0.25">
      <c r="Z54316">
        <v>400000</v>
      </c>
    </row>
    <row r="54317" spans="26:26" x14ac:dyDescent="0.25">
      <c r="Z54317">
        <v>400000</v>
      </c>
    </row>
    <row r="54318" spans="26:26" x14ac:dyDescent="0.25">
      <c r="Z54318">
        <v>400000</v>
      </c>
    </row>
    <row r="54319" spans="26:26" x14ac:dyDescent="0.25">
      <c r="Z54319">
        <v>400000</v>
      </c>
    </row>
    <row r="54320" spans="26:26" x14ac:dyDescent="0.25">
      <c r="Z54320">
        <v>400000</v>
      </c>
    </row>
    <row r="54321" spans="26:26" x14ac:dyDescent="0.25">
      <c r="Z54321">
        <v>400000</v>
      </c>
    </row>
    <row r="54322" spans="26:26" x14ac:dyDescent="0.25">
      <c r="Z54322">
        <v>400000</v>
      </c>
    </row>
    <row r="54323" spans="26:26" x14ac:dyDescent="0.25">
      <c r="Z54323">
        <v>400000</v>
      </c>
    </row>
    <row r="54324" spans="26:26" x14ac:dyDescent="0.25">
      <c r="Z54324">
        <v>400000</v>
      </c>
    </row>
    <row r="54325" spans="26:26" x14ac:dyDescent="0.25">
      <c r="Z54325">
        <v>400000</v>
      </c>
    </row>
    <row r="54326" spans="26:26" x14ac:dyDescent="0.25">
      <c r="Z54326">
        <v>400000</v>
      </c>
    </row>
    <row r="54327" spans="26:26" x14ac:dyDescent="0.25">
      <c r="Z54327">
        <v>400000</v>
      </c>
    </row>
    <row r="54328" spans="26:26" x14ac:dyDescent="0.25">
      <c r="Z54328">
        <v>400000</v>
      </c>
    </row>
    <row r="54329" spans="26:26" x14ac:dyDescent="0.25">
      <c r="Z54329">
        <v>400000</v>
      </c>
    </row>
    <row r="54330" spans="26:26" x14ac:dyDescent="0.25">
      <c r="Z54330">
        <v>400000</v>
      </c>
    </row>
    <row r="54331" spans="26:26" x14ac:dyDescent="0.25">
      <c r="Z54331">
        <v>400000</v>
      </c>
    </row>
    <row r="54332" spans="26:26" x14ac:dyDescent="0.25">
      <c r="Z54332">
        <v>400000</v>
      </c>
    </row>
    <row r="54333" spans="26:26" x14ac:dyDescent="0.25">
      <c r="Z54333">
        <v>400000</v>
      </c>
    </row>
    <row r="54334" spans="26:26" x14ac:dyDescent="0.25">
      <c r="Z54334">
        <v>400000</v>
      </c>
    </row>
    <row r="54335" spans="26:26" x14ac:dyDescent="0.25">
      <c r="Z54335">
        <v>400000</v>
      </c>
    </row>
    <row r="54336" spans="26:26" x14ac:dyDescent="0.25">
      <c r="Z54336">
        <v>400000</v>
      </c>
    </row>
    <row r="54337" spans="26:26" x14ac:dyDescent="0.25">
      <c r="Z54337">
        <v>400000</v>
      </c>
    </row>
    <row r="54338" spans="26:26" x14ac:dyDescent="0.25">
      <c r="Z54338">
        <v>400000</v>
      </c>
    </row>
    <row r="54339" spans="26:26" x14ac:dyDescent="0.25">
      <c r="Z54339">
        <v>400000</v>
      </c>
    </row>
    <row r="54340" spans="26:26" x14ac:dyDescent="0.25">
      <c r="Z54340">
        <v>400000</v>
      </c>
    </row>
    <row r="54341" spans="26:26" x14ac:dyDescent="0.25">
      <c r="Z54341">
        <v>400000</v>
      </c>
    </row>
    <row r="54342" spans="26:26" x14ac:dyDescent="0.25">
      <c r="Z54342">
        <v>400000</v>
      </c>
    </row>
    <row r="54343" spans="26:26" x14ac:dyDescent="0.25">
      <c r="Z54343">
        <v>400000</v>
      </c>
    </row>
    <row r="54344" spans="26:26" x14ac:dyDescent="0.25">
      <c r="Z54344">
        <v>400000</v>
      </c>
    </row>
    <row r="54345" spans="26:26" x14ac:dyDescent="0.25">
      <c r="Z54345">
        <v>400000</v>
      </c>
    </row>
    <row r="54346" spans="26:26" x14ac:dyDescent="0.25">
      <c r="Z54346">
        <v>400000</v>
      </c>
    </row>
    <row r="54347" spans="26:26" x14ac:dyDescent="0.25">
      <c r="Z54347">
        <v>400000</v>
      </c>
    </row>
    <row r="54348" spans="26:26" x14ac:dyDescent="0.25">
      <c r="Z54348">
        <v>400000</v>
      </c>
    </row>
    <row r="54349" spans="26:26" x14ac:dyDescent="0.25">
      <c r="Z54349">
        <v>400000</v>
      </c>
    </row>
    <row r="54350" spans="26:26" x14ac:dyDescent="0.25">
      <c r="Z54350">
        <v>400000</v>
      </c>
    </row>
    <row r="54351" spans="26:26" x14ac:dyDescent="0.25">
      <c r="Z54351">
        <v>400000</v>
      </c>
    </row>
    <row r="54352" spans="26:26" x14ac:dyDescent="0.25">
      <c r="Z54352">
        <v>400000</v>
      </c>
    </row>
    <row r="54353" spans="26:26" x14ac:dyDescent="0.25">
      <c r="Z54353">
        <v>400000</v>
      </c>
    </row>
    <row r="54354" spans="26:26" x14ac:dyDescent="0.25">
      <c r="Z54354">
        <v>400000</v>
      </c>
    </row>
    <row r="54355" spans="26:26" x14ac:dyDescent="0.25">
      <c r="Z54355">
        <v>400000</v>
      </c>
    </row>
    <row r="54356" spans="26:26" x14ac:dyDescent="0.25">
      <c r="Z54356">
        <v>400000</v>
      </c>
    </row>
    <row r="54357" spans="26:26" x14ac:dyDescent="0.25">
      <c r="Z54357">
        <v>400000</v>
      </c>
    </row>
    <row r="54358" spans="26:26" x14ac:dyDescent="0.25">
      <c r="Z54358">
        <v>400000</v>
      </c>
    </row>
    <row r="54359" spans="26:26" x14ac:dyDescent="0.25">
      <c r="Z54359">
        <v>400000</v>
      </c>
    </row>
    <row r="54360" spans="26:26" x14ac:dyDescent="0.25">
      <c r="Z54360">
        <v>400000</v>
      </c>
    </row>
    <row r="54361" spans="26:26" x14ac:dyDescent="0.25">
      <c r="Z54361">
        <v>400000</v>
      </c>
    </row>
    <row r="54362" spans="26:26" x14ac:dyDescent="0.25">
      <c r="Z54362">
        <v>400000</v>
      </c>
    </row>
    <row r="54363" spans="26:26" x14ac:dyDescent="0.25">
      <c r="Z54363">
        <v>400000</v>
      </c>
    </row>
    <row r="54364" spans="26:26" x14ac:dyDescent="0.25">
      <c r="Z54364">
        <v>400000</v>
      </c>
    </row>
    <row r="54365" spans="26:26" x14ac:dyDescent="0.25">
      <c r="Z54365">
        <v>400000</v>
      </c>
    </row>
    <row r="54366" spans="26:26" x14ac:dyDescent="0.25">
      <c r="Z54366">
        <v>400000</v>
      </c>
    </row>
    <row r="54367" spans="26:26" x14ac:dyDescent="0.25">
      <c r="Z54367">
        <v>400000</v>
      </c>
    </row>
    <row r="54368" spans="26:26" x14ac:dyDescent="0.25">
      <c r="Z54368">
        <v>400000</v>
      </c>
    </row>
    <row r="54369" spans="26:26" x14ac:dyDescent="0.25">
      <c r="Z54369">
        <v>400000</v>
      </c>
    </row>
    <row r="54370" spans="26:26" x14ac:dyDescent="0.25">
      <c r="Z54370">
        <v>400000</v>
      </c>
    </row>
    <row r="54371" spans="26:26" x14ac:dyDescent="0.25">
      <c r="Z54371">
        <v>400000</v>
      </c>
    </row>
    <row r="54372" spans="26:26" x14ac:dyDescent="0.25">
      <c r="Z54372">
        <v>400000</v>
      </c>
    </row>
    <row r="54373" spans="26:26" x14ac:dyDescent="0.25">
      <c r="Z54373">
        <v>400000</v>
      </c>
    </row>
    <row r="54374" spans="26:26" x14ac:dyDescent="0.25">
      <c r="Z54374">
        <v>400000</v>
      </c>
    </row>
    <row r="54375" spans="26:26" x14ac:dyDescent="0.25">
      <c r="Z54375">
        <v>400000</v>
      </c>
    </row>
    <row r="54376" spans="26:26" x14ac:dyDescent="0.25">
      <c r="Z54376">
        <v>400000</v>
      </c>
    </row>
    <row r="54377" spans="26:26" x14ac:dyDescent="0.25">
      <c r="Z54377">
        <v>400000</v>
      </c>
    </row>
    <row r="54378" spans="26:26" x14ac:dyDescent="0.25">
      <c r="Z54378">
        <v>400000</v>
      </c>
    </row>
    <row r="54379" spans="26:26" x14ac:dyDescent="0.25">
      <c r="Z54379">
        <v>400000</v>
      </c>
    </row>
    <row r="54380" spans="26:26" x14ac:dyDescent="0.25">
      <c r="Z54380">
        <v>400000</v>
      </c>
    </row>
    <row r="54381" spans="26:26" x14ac:dyDescent="0.25">
      <c r="Z54381">
        <v>400000</v>
      </c>
    </row>
    <row r="54382" spans="26:26" x14ac:dyDescent="0.25">
      <c r="Z54382">
        <v>400000</v>
      </c>
    </row>
    <row r="54383" spans="26:26" x14ac:dyDescent="0.25">
      <c r="Z54383">
        <v>400000</v>
      </c>
    </row>
    <row r="54384" spans="26:26" x14ac:dyDescent="0.25">
      <c r="Z54384">
        <v>400000</v>
      </c>
    </row>
    <row r="54385" spans="26:26" x14ac:dyDescent="0.25">
      <c r="Z54385">
        <v>400000</v>
      </c>
    </row>
    <row r="54386" spans="26:26" x14ac:dyDescent="0.25">
      <c r="Z54386">
        <v>400000</v>
      </c>
    </row>
    <row r="54387" spans="26:26" x14ac:dyDescent="0.25">
      <c r="Z54387">
        <v>400000</v>
      </c>
    </row>
    <row r="54388" spans="26:26" x14ac:dyDescent="0.25">
      <c r="Z54388">
        <v>400000</v>
      </c>
    </row>
    <row r="54389" spans="26:26" x14ac:dyDescent="0.25">
      <c r="Z54389">
        <v>400000</v>
      </c>
    </row>
    <row r="54390" spans="26:26" x14ac:dyDescent="0.25">
      <c r="Z54390">
        <v>400000</v>
      </c>
    </row>
    <row r="54391" spans="26:26" x14ac:dyDescent="0.25">
      <c r="Z54391">
        <v>400000</v>
      </c>
    </row>
    <row r="54392" spans="26:26" x14ac:dyDescent="0.25">
      <c r="Z54392">
        <v>400000</v>
      </c>
    </row>
    <row r="54393" spans="26:26" x14ac:dyDescent="0.25">
      <c r="Z54393">
        <v>400000</v>
      </c>
    </row>
    <row r="54394" spans="26:26" x14ac:dyDescent="0.25">
      <c r="Z54394">
        <v>400000</v>
      </c>
    </row>
    <row r="54395" spans="26:26" x14ac:dyDescent="0.25">
      <c r="Z54395">
        <v>400000</v>
      </c>
    </row>
    <row r="54396" spans="26:26" x14ac:dyDescent="0.25">
      <c r="Z54396">
        <v>400000</v>
      </c>
    </row>
    <row r="54397" spans="26:26" x14ac:dyDescent="0.25">
      <c r="Z54397">
        <v>400000</v>
      </c>
    </row>
    <row r="54398" spans="26:26" x14ac:dyDescent="0.25">
      <c r="Z54398">
        <v>400000</v>
      </c>
    </row>
    <row r="54399" spans="26:26" x14ac:dyDescent="0.25">
      <c r="Z54399">
        <v>400000</v>
      </c>
    </row>
    <row r="54400" spans="26:26" x14ac:dyDescent="0.25">
      <c r="Z54400">
        <v>400000</v>
      </c>
    </row>
    <row r="54401" spans="26:26" x14ac:dyDescent="0.25">
      <c r="Z54401">
        <v>400000</v>
      </c>
    </row>
    <row r="54402" spans="26:26" x14ac:dyDescent="0.25">
      <c r="Z54402">
        <v>400000</v>
      </c>
    </row>
    <row r="54403" spans="26:26" x14ac:dyDescent="0.25">
      <c r="Z54403">
        <v>400000</v>
      </c>
    </row>
    <row r="54404" spans="26:26" x14ac:dyDescent="0.25">
      <c r="Z54404">
        <v>400000</v>
      </c>
    </row>
    <row r="54405" spans="26:26" x14ac:dyDescent="0.25">
      <c r="Z54405">
        <v>400000</v>
      </c>
    </row>
    <row r="54406" spans="26:26" x14ac:dyDescent="0.25">
      <c r="Z54406">
        <v>400000</v>
      </c>
    </row>
    <row r="54407" spans="26:26" x14ac:dyDescent="0.25">
      <c r="Z54407">
        <v>400000</v>
      </c>
    </row>
    <row r="54408" spans="26:26" x14ac:dyDescent="0.25">
      <c r="Z54408">
        <v>400000</v>
      </c>
    </row>
    <row r="54409" spans="26:26" x14ac:dyDescent="0.25">
      <c r="Z54409">
        <v>400000</v>
      </c>
    </row>
    <row r="54410" spans="26:26" x14ac:dyDescent="0.25">
      <c r="Z54410">
        <v>400000</v>
      </c>
    </row>
    <row r="54411" spans="26:26" x14ac:dyDescent="0.25">
      <c r="Z54411">
        <v>400000</v>
      </c>
    </row>
    <row r="54412" spans="26:26" x14ac:dyDescent="0.25">
      <c r="Z54412">
        <v>400000</v>
      </c>
    </row>
    <row r="54413" spans="26:26" x14ac:dyDescent="0.25">
      <c r="Z54413">
        <v>400000</v>
      </c>
    </row>
    <row r="54414" spans="26:26" x14ac:dyDescent="0.25">
      <c r="Z54414">
        <v>400000</v>
      </c>
    </row>
    <row r="54415" spans="26:26" x14ac:dyDescent="0.25">
      <c r="Z54415">
        <v>400000</v>
      </c>
    </row>
    <row r="54416" spans="26:26" x14ac:dyDescent="0.25">
      <c r="Z54416">
        <v>400000</v>
      </c>
    </row>
    <row r="54417" spans="26:26" x14ac:dyDescent="0.25">
      <c r="Z54417">
        <v>400000</v>
      </c>
    </row>
    <row r="54418" spans="26:26" x14ac:dyDescent="0.25">
      <c r="Z54418">
        <v>400000</v>
      </c>
    </row>
    <row r="54419" spans="26:26" x14ac:dyDescent="0.25">
      <c r="Z54419">
        <v>400000</v>
      </c>
    </row>
    <row r="54420" spans="26:26" x14ac:dyDescent="0.25">
      <c r="Z54420">
        <v>400000</v>
      </c>
    </row>
    <row r="54421" spans="26:26" x14ac:dyDescent="0.25">
      <c r="Z54421">
        <v>400000</v>
      </c>
    </row>
    <row r="54422" spans="26:26" x14ac:dyDescent="0.25">
      <c r="Z54422">
        <v>400000</v>
      </c>
    </row>
    <row r="54423" spans="26:26" x14ac:dyDescent="0.25">
      <c r="Z54423">
        <v>400000</v>
      </c>
    </row>
    <row r="54424" spans="26:26" x14ac:dyDescent="0.25">
      <c r="Z54424">
        <v>400000</v>
      </c>
    </row>
    <row r="54425" spans="26:26" x14ac:dyDescent="0.25">
      <c r="Z54425">
        <v>400000</v>
      </c>
    </row>
    <row r="54426" spans="26:26" x14ac:dyDescent="0.25">
      <c r="Z54426">
        <v>400000</v>
      </c>
    </row>
    <row r="54427" spans="26:26" x14ac:dyDescent="0.25">
      <c r="Z54427">
        <v>400000</v>
      </c>
    </row>
    <row r="54428" spans="26:26" x14ac:dyDescent="0.25">
      <c r="Z54428">
        <v>400000</v>
      </c>
    </row>
    <row r="54429" spans="26:26" x14ac:dyDescent="0.25">
      <c r="Z54429">
        <v>400000</v>
      </c>
    </row>
    <row r="54430" spans="26:26" x14ac:dyDescent="0.25">
      <c r="Z54430">
        <v>400000</v>
      </c>
    </row>
    <row r="54431" spans="26:26" x14ac:dyDescent="0.25">
      <c r="Z54431">
        <v>400000</v>
      </c>
    </row>
    <row r="54432" spans="26:26" x14ac:dyDescent="0.25">
      <c r="Z54432">
        <v>400000</v>
      </c>
    </row>
    <row r="54433" spans="26:26" x14ac:dyDescent="0.25">
      <c r="Z54433">
        <v>400000</v>
      </c>
    </row>
    <row r="54434" spans="26:26" x14ac:dyDescent="0.25">
      <c r="Z54434">
        <v>400000</v>
      </c>
    </row>
    <row r="54435" spans="26:26" x14ac:dyDescent="0.25">
      <c r="Z54435">
        <v>400000</v>
      </c>
    </row>
    <row r="54436" spans="26:26" x14ac:dyDescent="0.25">
      <c r="Z54436">
        <v>400000</v>
      </c>
    </row>
    <row r="54437" spans="26:26" x14ac:dyDescent="0.25">
      <c r="Z54437">
        <v>400000</v>
      </c>
    </row>
    <row r="54438" spans="26:26" x14ac:dyDescent="0.25">
      <c r="Z54438">
        <v>400000</v>
      </c>
    </row>
    <row r="54439" spans="26:26" x14ac:dyDescent="0.25">
      <c r="Z54439">
        <v>400000</v>
      </c>
    </row>
    <row r="54440" spans="26:26" x14ac:dyDescent="0.25">
      <c r="Z54440">
        <v>400000</v>
      </c>
    </row>
    <row r="54441" spans="26:26" x14ac:dyDescent="0.25">
      <c r="Z54441">
        <v>400000</v>
      </c>
    </row>
    <row r="54442" spans="26:26" x14ac:dyDescent="0.25">
      <c r="Z54442">
        <v>400000</v>
      </c>
    </row>
    <row r="54443" spans="26:26" x14ac:dyDescent="0.25">
      <c r="Z54443">
        <v>400000</v>
      </c>
    </row>
    <row r="54444" spans="26:26" x14ac:dyDescent="0.25">
      <c r="Z54444">
        <v>400000</v>
      </c>
    </row>
    <row r="54445" spans="26:26" x14ac:dyDescent="0.25">
      <c r="Z54445">
        <v>400000</v>
      </c>
    </row>
    <row r="54446" spans="26:26" x14ac:dyDescent="0.25">
      <c r="Z54446">
        <v>400000</v>
      </c>
    </row>
    <row r="54447" spans="26:26" x14ac:dyDescent="0.25">
      <c r="Z54447">
        <v>400000</v>
      </c>
    </row>
    <row r="54448" spans="26:26" x14ac:dyDescent="0.25">
      <c r="Z54448">
        <v>400000</v>
      </c>
    </row>
    <row r="54449" spans="26:26" x14ac:dyDescent="0.25">
      <c r="Z54449">
        <v>400000</v>
      </c>
    </row>
    <row r="54450" spans="26:26" x14ac:dyDescent="0.25">
      <c r="Z54450">
        <v>400000</v>
      </c>
    </row>
    <row r="54451" spans="26:26" x14ac:dyDescent="0.25">
      <c r="Z54451">
        <v>400000</v>
      </c>
    </row>
    <row r="54452" spans="26:26" x14ac:dyDescent="0.25">
      <c r="Z54452">
        <v>400000</v>
      </c>
    </row>
    <row r="54453" spans="26:26" x14ac:dyDescent="0.25">
      <c r="Z54453">
        <v>400000</v>
      </c>
    </row>
    <row r="54454" spans="26:26" x14ac:dyDescent="0.25">
      <c r="Z54454">
        <v>400000</v>
      </c>
    </row>
    <row r="54455" spans="26:26" x14ac:dyDescent="0.25">
      <c r="Z54455">
        <v>400000</v>
      </c>
    </row>
    <row r="54456" spans="26:26" x14ac:dyDescent="0.25">
      <c r="Z54456">
        <v>400000</v>
      </c>
    </row>
    <row r="54457" spans="26:26" x14ac:dyDescent="0.25">
      <c r="Z54457">
        <v>400000</v>
      </c>
    </row>
    <row r="54458" spans="26:26" x14ac:dyDescent="0.25">
      <c r="Z54458">
        <v>400000</v>
      </c>
    </row>
    <row r="54459" spans="26:26" x14ac:dyDescent="0.25">
      <c r="Z54459">
        <v>400000</v>
      </c>
    </row>
    <row r="54460" spans="26:26" x14ac:dyDescent="0.25">
      <c r="Z54460">
        <v>400000</v>
      </c>
    </row>
    <row r="54461" spans="26:26" x14ac:dyDescent="0.25">
      <c r="Z54461">
        <v>400000</v>
      </c>
    </row>
    <row r="54462" spans="26:26" x14ac:dyDescent="0.25">
      <c r="Z54462">
        <v>400000</v>
      </c>
    </row>
    <row r="54463" spans="26:26" x14ac:dyDescent="0.25">
      <c r="Z54463">
        <v>400000</v>
      </c>
    </row>
    <row r="54464" spans="26:26" x14ac:dyDescent="0.25">
      <c r="Z54464">
        <v>400000</v>
      </c>
    </row>
    <row r="54465" spans="26:26" x14ac:dyDescent="0.25">
      <c r="Z54465">
        <v>400000</v>
      </c>
    </row>
    <row r="54466" spans="26:26" x14ac:dyDescent="0.25">
      <c r="Z54466">
        <v>400000</v>
      </c>
    </row>
    <row r="54467" spans="26:26" x14ac:dyDescent="0.25">
      <c r="Z54467">
        <v>400000</v>
      </c>
    </row>
    <row r="54468" spans="26:26" x14ac:dyDescent="0.25">
      <c r="Z54468">
        <v>400000</v>
      </c>
    </row>
    <row r="54469" spans="26:26" x14ac:dyDescent="0.25">
      <c r="Z54469">
        <v>400000</v>
      </c>
    </row>
    <row r="54470" spans="26:26" x14ac:dyDescent="0.25">
      <c r="Z54470">
        <v>400000</v>
      </c>
    </row>
    <row r="54471" spans="26:26" x14ac:dyDescent="0.25">
      <c r="Z54471">
        <v>400000</v>
      </c>
    </row>
    <row r="54472" spans="26:26" x14ac:dyDescent="0.25">
      <c r="Z54472">
        <v>400000</v>
      </c>
    </row>
    <row r="54473" spans="26:26" x14ac:dyDescent="0.25">
      <c r="Z54473">
        <v>400000</v>
      </c>
    </row>
    <row r="54474" spans="26:26" x14ac:dyDescent="0.25">
      <c r="Z54474">
        <v>400000</v>
      </c>
    </row>
    <row r="54475" spans="26:26" x14ac:dyDescent="0.25">
      <c r="Z54475">
        <v>400000</v>
      </c>
    </row>
    <row r="54476" spans="26:26" x14ac:dyDescent="0.25">
      <c r="Z54476">
        <v>400000</v>
      </c>
    </row>
    <row r="54477" spans="26:26" x14ac:dyDescent="0.25">
      <c r="Z54477">
        <v>400000</v>
      </c>
    </row>
    <row r="54478" spans="26:26" x14ac:dyDescent="0.25">
      <c r="Z54478">
        <v>400000</v>
      </c>
    </row>
    <row r="54479" spans="26:26" x14ac:dyDescent="0.25">
      <c r="Z54479">
        <v>400000</v>
      </c>
    </row>
    <row r="54480" spans="26:26" x14ac:dyDescent="0.25">
      <c r="Z54480">
        <v>400000</v>
      </c>
    </row>
    <row r="54481" spans="26:26" x14ac:dyDescent="0.25">
      <c r="Z54481">
        <v>400000</v>
      </c>
    </row>
    <row r="54482" spans="26:26" x14ac:dyDescent="0.25">
      <c r="Z54482">
        <v>400000</v>
      </c>
    </row>
    <row r="54483" spans="26:26" x14ac:dyDescent="0.25">
      <c r="Z54483">
        <v>400000</v>
      </c>
    </row>
    <row r="54484" spans="26:26" x14ac:dyDescent="0.25">
      <c r="Z54484">
        <v>400000</v>
      </c>
    </row>
    <row r="54485" spans="26:26" x14ac:dyDescent="0.25">
      <c r="Z54485">
        <v>400000</v>
      </c>
    </row>
    <row r="54486" spans="26:26" x14ac:dyDescent="0.25">
      <c r="Z54486">
        <v>400000</v>
      </c>
    </row>
    <row r="54487" spans="26:26" x14ac:dyDescent="0.25">
      <c r="Z54487">
        <v>400000</v>
      </c>
    </row>
    <row r="54488" spans="26:26" x14ac:dyDescent="0.25">
      <c r="Z54488">
        <v>400000</v>
      </c>
    </row>
    <row r="54489" spans="26:26" x14ac:dyDescent="0.25">
      <c r="Z54489">
        <v>400000</v>
      </c>
    </row>
    <row r="54490" spans="26:26" x14ac:dyDescent="0.25">
      <c r="Z54490">
        <v>400000</v>
      </c>
    </row>
    <row r="54491" spans="26:26" x14ac:dyDescent="0.25">
      <c r="Z54491">
        <v>400000</v>
      </c>
    </row>
    <row r="54492" spans="26:26" x14ac:dyDescent="0.25">
      <c r="Z54492">
        <v>400000</v>
      </c>
    </row>
    <row r="54493" spans="26:26" x14ac:dyDescent="0.25">
      <c r="Z54493">
        <v>400000</v>
      </c>
    </row>
    <row r="54494" spans="26:26" x14ac:dyDescent="0.25">
      <c r="Z54494">
        <v>400000</v>
      </c>
    </row>
    <row r="54495" spans="26:26" x14ac:dyDescent="0.25">
      <c r="Z54495">
        <v>400000</v>
      </c>
    </row>
    <row r="54496" spans="26:26" x14ac:dyDescent="0.25">
      <c r="Z54496">
        <v>400000</v>
      </c>
    </row>
    <row r="54497" spans="26:26" x14ac:dyDescent="0.25">
      <c r="Z54497">
        <v>400000</v>
      </c>
    </row>
    <row r="54498" spans="26:26" x14ac:dyDescent="0.25">
      <c r="Z54498">
        <v>400000</v>
      </c>
    </row>
    <row r="54499" spans="26:26" x14ac:dyDescent="0.25">
      <c r="Z54499">
        <v>400000</v>
      </c>
    </row>
    <row r="54500" spans="26:26" x14ac:dyDescent="0.25">
      <c r="Z54500">
        <v>400000</v>
      </c>
    </row>
    <row r="54501" spans="26:26" x14ac:dyDescent="0.25">
      <c r="Z54501">
        <v>400000</v>
      </c>
    </row>
    <row r="54502" spans="26:26" x14ac:dyDescent="0.25">
      <c r="Z54502">
        <v>400000</v>
      </c>
    </row>
    <row r="54503" spans="26:26" x14ac:dyDescent="0.25">
      <c r="Z54503">
        <v>400000</v>
      </c>
    </row>
    <row r="54504" spans="26:26" x14ac:dyDescent="0.25">
      <c r="Z54504">
        <v>400000</v>
      </c>
    </row>
    <row r="54505" spans="26:26" x14ac:dyDescent="0.25">
      <c r="Z54505">
        <v>400000</v>
      </c>
    </row>
    <row r="54506" spans="26:26" x14ac:dyDescent="0.25">
      <c r="Z54506">
        <v>400000</v>
      </c>
    </row>
    <row r="54507" spans="26:26" x14ac:dyDescent="0.25">
      <c r="Z54507">
        <v>400000</v>
      </c>
    </row>
    <row r="54508" spans="26:26" x14ac:dyDescent="0.25">
      <c r="Z54508">
        <v>400000</v>
      </c>
    </row>
    <row r="54509" spans="26:26" x14ac:dyDescent="0.25">
      <c r="Z54509">
        <v>400000</v>
      </c>
    </row>
    <row r="54510" spans="26:26" x14ac:dyDescent="0.25">
      <c r="Z54510">
        <v>400000</v>
      </c>
    </row>
    <row r="54511" spans="26:26" x14ac:dyDescent="0.25">
      <c r="Z54511">
        <v>400000</v>
      </c>
    </row>
    <row r="54512" spans="26:26" x14ac:dyDescent="0.25">
      <c r="Z54512">
        <v>400000</v>
      </c>
    </row>
    <row r="54513" spans="26:26" x14ac:dyDescent="0.25">
      <c r="Z54513">
        <v>400000</v>
      </c>
    </row>
    <row r="54514" spans="26:26" x14ac:dyDescent="0.25">
      <c r="Z54514">
        <v>400000</v>
      </c>
    </row>
    <row r="54515" spans="26:26" x14ac:dyDescent="0.25">
      <c r="Z54515">
        <v>400000</v>
      </c>
    </row>
    <row r="54516" spans="26:26" x14ac:dyDescent="0.25">
      <c r="Z54516">
        <v>400000</v>
      </c>
    </row>
    <row r="54517" spans="26:26" x14ac:dyDescent="0.25">
      <c r="Z54517">
        <v>400000</v>
      </c>
    </row>
    <row r="54518" spans="26:26" x14ac:dyDescent="0.25">
      <c r="Z54518">
        <v>400000</v>
      </c>
    </row>
    <row r="54519" spans="26:26" x14ac:dyDescent="0.25">
      <c r="Z54519">
        <v>400000</v>
      </c>
    </row>
    <row r="54520" spans="26:26" x14ac:dyDescent="0.25">
      <c r="Z54520">
        <v>400000</v>
      </c>
    </row>
    <row r="54521" spans="26:26" x14ac:dyDescent="0.25">
      <c r="Z54521">
        <v>400000</v>
      </c>
    </row>
    <row r="54522" spans="26:26" x14ac:dyDescent="0.25">
      <c r="Z54522">
        <v>400000</v>
      </c>
    </row>
    <row r="54523" spans="26:26" x14ac:dyDescent="0.25">
      <c r="Z54523">
        <v>400000</v>
      </c>
    </row>
    <row r="54524" spans="26:26" x14ac:dyDescent="0.25">
      <c r="Z54524">
        <v>400000</v>
      </c>
    </row>
    <row r="54525" spans="26:26" x14ac:dyDescent="0.25">
      <c r="Z54525">
        <v>400000</v>
      </c>
    </row>
    <row r="54526" spans="26:26" x14ac:dyDescent="0.25">
      <c r="Z54526">
        <v>400000</v>
      </c>
    </row>
    <row r="54527" spans="26:26" x14ac:dyDescent="0.25">
      <c r="Z54527">
        <v>400000</v>
      </c>
    </row>
    <row r="54528" spans="26:26" x14ac:dyDescent="0.25">
      <c r="Z54528">
        <v>400000</v>
      </c>
    </row>
    <row r="54529" spans="26:26" x14ac:dyDescent="0.25">
      <c r="Z54529">
        <v>400000</v>
      </c>
    </row>
    <row r="54530" spans="26:26" x14ac:dyDescent="0.25">
      <c r="Z54530">
        <v>400000</v>
      </c>
    </row>
    <row r="54531" spans="26:26" x14ac:dyDescent="0.25">
      <c r="Z54531">
        <v>400000</v>
      </c>
    </row>
    <row r="54532" spans="26:26" x14ac:dyDescent="0.25">
      <c r="Z54532">
        <v>400000</v>
      </c>
    </row>
    <row r="54533" spans="26:26" x14ac:dyDescent="0.25">
      <c r="Z54533">
        <v>400000</v>
      </c>
    </row>
    <row r="54534" spans="26:26" x14ac:dyDescent="0.25">
      <c r="Z54534">
        <v>400000</v>
      </c>
    </row>
    <row r="54535" spans="26:26" x14ac:dyDescent="0.25">
      <c r="Z54535">
        <v>400000</v>
      </c>
    </row>
    <row r="54536" spans="26:26" x14ac:dyDescent="0.25">
      <c r="Z54536">
        <v>400000</v>
      </c>
    </row>
    <row r="54537" spans="26:26" x14ac:dyDescent="0.25">
      <c r="Z54537">
        <v>400000</v>
      </c>
    </row>
    <row r="54538" spans="26:26" x14ac:dyDescent="0.25">
      <c r="Z54538">
        <v>400000</v>
      </c>
    </row>
    <row r="54539" spans="26:26" x14ac:dyDescent="0.25">
      <c r="Z54539">
        <v>400000</v>
      </c>
    </row>
    <row r="54540" spans="26:26" x14ac:dyDescent="0.25">
      <c r="Z54540">
        <v>400000</v>
      </c>
    </row>
    <row r="54541" spans="26:26" x14ac:dyDescent="0.25">
      <c r="Z54541">
        <v>400000</v>
      </c>
    </row>
    <row r="54542" spans="26:26" x14ac:dyDescent="0.25">
      <c r="Z54542">
        <v>400000</v>
      </c>
    </row>
    <row r="54543" spans="26:26" x14ac:dyDescent="0.25">
      <c r="Z54543">
        <v>400000</v>
      </c>
    </row>
    <row r="54544" spans="26:26" x14ac:dyDescent="0.25">
      <c r="Z54544">
        <v>400000</v>
      </c>
    </row>
    <row r="54545" spans="26:26" x14ac:dyDescent="0.25">
      <c r="Z54545">
        <v>400000</v>
      </c>
    </row>
    <row r="54546" spans="26:26" x14ac:dyDescent="0.25">
      <c r="Z54546">
        <v>400000</v>
      </c>
    </row>
    <row r="54547" spans="26:26" x14ac:dyDescent="0.25">
      <c r="Z54547">
        <v>400000</v>
      </c>
    </row>
    <row r="54548" spans="26:26" x14ac:dyDescent="0.25">
      <c r="Z54548">
        <v>400000</v>
      </c>
    </row>
    <row r="54549" spans="26:26" x14ac:dyDescent="0.25">
      <c r="Z54549">
        <v>400000</v>
      </c>
    </row>
    <row r="54550" spans="26:26" x14ac:dyDescent="0.25">
      <c r="Z54550">
        <v>400000</v>
      </c>
    </row>
    <row r="54551" spans="26:26" x14ac:dyDescent="0.25">
      <c r="Z54551">
        <v>400000</v>
      </c>
    </row>
    <row r="54552" spans="26:26" x14ac:dyDescent="0.25">
      <c r="Z54552">
        <v>400000</v>
      </c>
    </row>
    <row r="54553" spans="26:26" x14ac:dyDescent="0.25">
      <c r="Z54553">
        <v>400000</v>
      </c>
    </row>
    <row r="54554" spans="26:26" x14ac:dyDescent="0.25">
      <c r="Z54554">
        <v>400000</v>
      </c>
    </row>
    <row r="54555" spans="26:26" x14ac:dyDescent="0.25">
      <c r="Z54555">
        <v>400000</v>
      </c>
    </row>
    <row r="54556" spans="26:26" x14ac:dyDescent="0.25">
      <c r="Z54556">
        <v>400000</v>
      </c>
    </row>
    <row r="54557" spans="26:26" x14ac:dyDescent="0.25">
      <c r="Z54557">
        <v>400000</v>
      </c>
    </row>
    <row r="54558" spans="26:26" x14ac:dyDescent="0.25">
      <c r="Z54558">
        <v>400000</v>
      </c>
    </row>
    <row r="54559" spans="26:26" x14ac:dyDescent="0.25">
      <c r="Z54559">
        <v>400000</v>
      </c>
    </row>
    <row r="54560" spans="26:26" x14ac:dyDescent="0.25">
      <c r="Z54560">
        <v>400000</v>
      </c>
    </row>
    <row r="54561" spans="26:26" x14ac:dyDescent="0.25">
      <c r="Z54561">
        <v>400000</v>
      </c>
    </row>
    <row r="54562" spans="26:26" x14ac:dyDescent="0.25">
      <c r="Z54562">
        <v>400000</v>
      </c>
    </row>
    <row r="54563" spans="26:26" x14ac:dyDescent="0.25">
      <c r="Z54563">
        <v>400000</v>
      </c>
    </row>
    <row r="54564" spans="26:26" x14ac:dyDescent="0.25">
      <c r="Z54564">
        <v>400000</v>
      </c>
    </row>
    <row r="54565" spans="26:26" x14ac:dyDescent="0.25">
      <c r="Z54565">
        <v>400000</v>
      </c>
    </row>
    <row r="54566" spans="26:26" x14ac:dyDescent="0.25">
      <c r="Z54566">
        <v>400000</v>
      </c>
    </row>
    <row r="54567" spans="26:26" x14ac:dyDescent="0.25">
      <c r="Z54567">
        <v>400000</v>
      </c>
    </row>
    <row r="54568" spans="26:26" x14ac:dyDescent="0.25">
      <c r="Z54568">
        <v>400000</v>
      </c>
    </row>
    <row r="54569" spans="26:26" x14ac:dyDescent="0.25">
      <c r="Z54569">
        <v>400000</v>
      </c>
    </row>
    <row r="54570" spans="26:26" x14ac:dyDescent="0.25">
      <c r="Z54570">
        <v>400000</v>
      </c>
    </row>
    <row r="54571" spans="26:26" x14ac:dyDescent="0.25">
      <c r="Z54571">
        <v>400000</v>
      </c>
    </row>
    <row r="54572" spans="26:26" x14ac:dyDescent="0.25">
      <c r="Z54572">
        <v>400000</v>
      </c>
    </row>
    <row r="54573" spans="26:26" x14ac:dyDescent="0.25">
      <c r="Z54573">
        <v>400000</v>
      </c>
    </row>
    <row r="54574" spans="26:26" x14ac:dyDescent="0.25">
      <c r="Z54574">
        <v>400000</v>
      </c>
    </row>
    <row r="54575" spans="26:26" x14ac:dyDescent="0.25">
      <c r="Z54575">
        <v>400000</v>
      </c>
    </row>
    <row r="54576" spans="26:26" x14ac:dyDescent="0.25">
      <c r="Z54576">
        <v>400000</v>
      </c>
    </row>
    <row r="54577" spans="26:26" x14ac:dyDescent="0.25">
      <c r="Z54577">
        <v>400000</v>
      </c>
    </row>
    <row r="54578" spans="26:26" x14ac:dyDescent="0.25">
      <c r="Z54578">
        <v>400000</v>
      </c>
    </row>
    <row r="54579" spans="26:26" x14ac:dyDescent="0.25">
      <c r="Z54579">
        <v>400000</v>
      </c>
    </row>
    <row r="54580" spans="26:26" x14ac:dyDescent="0.25">
      <c r="Z54580">
        <v>400000</v>
      </c>
    </row>
    <row r="54581" spans="26:26" x14ac:dyDescent="0.25">
      <c r="Z54581">
        <v>400000</v>
      </c>
    </row>
    <row r="54582" spans="26:26" x14ac:dyDescent="0.25">
      <c r="Z54582">
        <v>400000</v>
      </c>
    </row>
    <row r="54583" spans="26:26" x14ac:dyDescent="0.25">
      <c r="Z54583">
        <v>400000</v>
      </c>
    </row>
    <row r="54584" spans="26:26" x14ac:dyDescent="0.25">
      <c r="Z54584">
        <v>400000</v>
      </c>
    </row>
    <row r="54585" spans="26:26" x14ac:dyDescent="0.25">
      <c r="Z54585">
        <v>400000</v>
      </c>
    </row>
    <row r="54586" spans="26:26" x14ac:dyDescent="0.25">
      <c r="Z54586">
        <v>400000</v>
      </c>
    </row>
    <row r="54587" spans="26:26" x14ac:dyDescent="0.25">
      <c r="Z54587">
        <v>400000</v>
      </c>
    </row>
    <row r="54588" spans="26:26" x14ac:dyDescent="0.25">
      <c r="Z54588">
        <v>400000</v>
      </c>
    </row>
    <row r="54589" spans="26:26" x14ac:dyDescent="0.25">
      <c r="Z54589">
        <v>400000</v>
      </c>
    </row>
    <row r="54590" spans="26:26" x14ac:dyDescent="0.25">
      <c r="Z54590">
        <v>400000</v>
      </c>
    </row>
    <row r="54591" spans="26:26" x14ac:dyDescent="0.25">
      <c r="Z54591">
        <v>400000</v>
      </c>
    </row>
    <row r="54592" spans="26:26" x14ac:dyDescent="0.25">
      <c r="Z54592">
        <v>400000</v>
      </c>
    </row>
    <row r="54593" spans="26:26" x14ac:dyDescent="0.25">
      <c r="Z54593">
        <v>400000</v>
      </c>
    </row>
    <row r="54594" spans="26:26" x14ac:dyDescent="0.25">
      <c r="Z54594">
        <v>400000</v>
      </c>
    </row>
    <row r="54595" spans="26:26" x14ac:dyDescent="0.25">
      <c r="Z54595">
        <v>400000</v>
      </c>
    </row>
    <row r="54596" spans="26:26" x14ac:dyDescent="0.25">
      <c r="Z54596">
        <v>400000</v>
      </c>
    </row>
    <row r="54597" spans="26:26" x14ac:dyDescent="0.25">
      <c r="Z54597">
        <v>400000</v>
      </c>
    </row>
    <row r="54598" spans="26:26" x14ac:dyDescent="0.25">
      <c r="Z54598">
        <v>400000</v>
      </c>
    </row>
    <row r="54599" spans="26:26" x14ac:dyDescent="0.25">
      <c r="Z54599">
        <v>400000</v>
      </c>
    </row>
    <row r="54600" spans="26:26" x14ac:dyDescent="0.25">
      <c r="Z54600">
        <v>400000</v>
      </c>
    </row>
    <row r="54601" spans="26:26" x14ac:dyDescent="0.25">
      <c r="Z54601">
        <v>400000</v>
      </c>
    </row>
    <row r="54602" spans="26:26" x14ac:dyDescent="0.25">
      <c r="Z54602">
        <v>400000</v>
      </c>
    </row>
    <row r="54603" spans="26:26" x14ac:dyDescent="0.25">
      <c r="Z54603">
        <v>400000</v>
      </c>
    </row>
    <row r="54604" spans="26:26" x14ac:dyDescent="0.25">
      <c r="Z54604">
        <v>400000</v>
      </c>
    </row>
    <row r="54605" spans="26:26" x14ac:dyDescent="0.25">
      <c r="Z54605">
        <v>400000</v>
      </c>
    </row>
    <row r="54606" spans="26:26" x14ac:dyDescent="0.25">
      <c r="Z54606">
        <v>400000</v>
      </c>
    </row>
    <row r="54607" spans="26:26" x14ac:dyDescent="0.25">
      <c r="Z54607">
        <v>400000</v>
      </c>
    </row>
    <row r="54608" spans="26:26" x14ac:dyDescent="0.25">
      <c r="Z54608">
        <v>400000</v>
      </c>
    </row>
    <row r="54609" spans="26:26" x14ac:dyDescent="0.25">
      <c r="Z54609">
        <v>400000</v>
      </c>
    </row>
    <row r="54610" spans="26:26" x14ac:dyDescent="0.25">
      <c r="Z54610">
        <v>400000</v>
      </c>
    </row>
    <row r="54611" spans="26:26" x14ac:dyDescent="0.25">
      <c r="Z54611">
        <v>400000</v>
      </c>
    </row>
    <row r="54612" spans="26:26" x14ac:dyDescent="0.25">
      <c r="Z54612">
        <v>400000</v>
      </c>
    </row>
    <row r="54613" spans="26:26" x14ac:dyDescent="0.25">
      <c r="Z54613">
        <v>400000</v>
      </c>
    </row>
    <row r="54614" spans="26:26" x14ac:dyDescent="0.25">
      <c r="Z54614">
        <v>400000</v>
      </c>
    </row>
    <row r="54615" spans="26:26" x14ac:dyDescent="0.25">
      <c r="Z54615">
        <v>400000</v>
      </c>
    </row>
    <row r="54616" spans="26:26" x14ac:dyDescent="0.25">
      <c r="Z54616">
        <v>400000</v>
      </c>
    </row>
    <row r="54617" spans="26:26" x14ac:dyDescent="0.25">
      <c r="Z54617">
        <v>400000</v>
      </c>
    </row>
    <row r="54618" spans="26:26" x14ac:dyDescent="0.25">
      <c r="Z54618">
        <v>400000</v>
      </c>
    </row>
    <row r="54619" spans="26:26" x14ac:dyDescent="0.25">
      <c r="Z54619">
        <v>400000</v>
      </c>
    </row>
    <row r="54620" spans="26:26" x14ac:dyDescent="0.25">
      <c r="Z54620">
        <v>400000</v>
      </c>
    </row>
    <row r="54621" spans="26:26" x14ac:dyDescent="0.25">
      <c r="Z54621">
        <v>400000</v>
      </c>
    </row>
    <row r="54622" spans="26:26" x14ac:dyDescent="0.25">
      <c r="Z54622">
        <v>400000</v>
      </c>
    </row>
    <row r="54623" spans="26:26" x14ac:dyDescent="0.25">
      <c r="Z54623">
        <v>400000</v>
      </c>
    </row>
    <row r="54624" spans="26:26" x14ac:dyDescent="0.25">
      <c r="Z54624">
        <v>400000</v>
      </c>
    </row>
    <row r="54625" spans="26:26" x14ac:dyDescent="0.25">
      <c r="Z54625">
        <v>400000</v>
      </c>
    </row>
    <row r="54626" spans="26:26" x14ac:dyDescent="0.25">
      <c r="Z54626">
        <v>400000</v>
      </c>
    </row>
    <row r="54627" spans="26:26" x14ac:dyDescent="0.25">
      <c r="Z54627">
        <v>400000</v>
      </c>
    </row>
    <row r="54628" spans="26:26" x14ac:dyDescent="0.25">
      <c r="Z54628">
        <v>400000</v>
      </c>
    </row>
    <row r="54629" spans="26:26" x14ac:dyDescent="0.25">
      <c r="Z54629">
        <v>400000</v>
      </c>
    </row>
    <row r="54630" spans="26:26" x14ac:dyDescent="0.25">
      <c r="Z54630">
        <v>400000</v>
      </c>
    </row>
    <row r="54631" spans="26:26" x14ac:dyDescent="0.25">
      <c r="Z54631">
        <v>400000</v>
      </c>
    </row>
    <row r="54632" spans="26:26" x14ac:dyDescent="0.25">
      <c r="Z54632">
        <v>400000</v>
      </c>
    </row>
    <row r="54633" spans="26:26" x14ac:dyDescent="0.25">
      <c r="Z54633">
        <v>400000</v>
      </c>
    </row>
    <row r="54634" spans="26:26" x14ac:dyDescent="0.25">
      <c r="Z54634">
        <v>400000</v>
      </c>
    </row>
    <row r="54635" spans="26:26" x14ac:dyDescent="0.25">
      <c r="Z54635">
        <v>400000</v>
      </c>
    </row>
    <row r="54636" spans="26:26" x14ac:dyDescent="0.25">
      <c r="Z54636">
        <v>400000</v>
      </c>
    </row>
    <row r="54637" spans="26:26" x14ac:dyDescent="0.25">
      <c r="Z54637">
        <v>400000</v>
      </c>
    </row>
    <row r="54638" spans="26:26" x14ac:dyDescent="0.25">
      <c r="Z54638">
        <v>400000</v>
      </c>
    </row>
    <row r="54639" spans="26:26" x14ac:dyDescent="0.25">
      <c r="Z54639">
        <v>400000</v>
      </c>
    </row>
    <row r="54640" spans="26:26" x14ac:dyDescent="0.25">
      <c r="Z54640">
        <v>400000</v>
      </c>
    </row>
    <row r="54641" spans="26:26" x14ac:dyDescent="0.25">
      <c r="Z54641">
        <v>400000</v>
      </c>
    </row>
    <row r="54642" spans="26:26" x14ac:dyDescent="0.25">
      <c r="Z54642">
        <v>400000</v>
      </c>
    </row>
    <row r="54643" spans="26:26" x14ac:dyDescent="0.25">
      <c r="Z54643">
        <v>400000</v>
      </c>
    </row>
    <row r="54644" spans="26:26" x14ac:dyDescent="0.25">
      <c r="Z54644">
        <v>400000</v>
      </c>
    </row>
    <row r="54645" spans="26:26" x14ac:dyDescent="0.25">
      <c r="Z54645">
        <v>400000</v>
      </c>
    </row>
    <row r="54646" spans="26:26" x14ac:dyDescent="0.25">
      <c r="Z54646">
        <v>400000</v>
      </c>
    </row>
    <row r="54647" spans="26:26" x14ac:dyDescent="0.25">
      <c r="Z54647">
        <v>400000</v>
      </c>
    </row>
    <row r="54648" spans="26:26" x14ac:dyDescent="0.25">
      <c r="Z54648">
        <v>400000</v>
      </c>
    </row>
    <row r="54649" spans="26:26" x14ac:dyDescent="0.25">
      <c r="Z54649">
        <v>400000</v>
      </c>
    </row>
    <row r="54650" spans="26:26" x14ac:dyDescent="0.25">
      <c r="Z54650">
        <v>400000</v>
      </c>
    </row>
    <row r="54651" spans="26:26" x14ac:dyDescent="0.25">
      <c r="Z54651">
        <v>400000</v>
      </c>
    </row>
    <row r="54652" spans="26:26" x14ac:dyDescent="0.25">
      <c r="Z54652">
        <v>400000</v>
      </c>
    </row>
    <row r="54653" spans="26:26" x14ac:dyDescent="0.25">
      <c r="Z54653">
        <v>400000</v>
      </c>
    </row>
    <row r="54654" spans="26:26" x14ac:dyDescent="0.25">
      <c r="Z54654">
        <v>400000</v>
      </c>
    </row>
    <row r="54655" spans="26:26" x14ac:dyDescent="0.25">
      <c r="Z54655">
        <v>400000</v>
      </c>
    </row>
    <row r="54656" spans="26:26" x14ac:dyDescent="0.25">
      <c r="Z54656">
        <v>400000</v>
      </c>
    </row>
    <row r="54657" spans="26:26" x14ac:dyDescent="0.25">
      <c r="Z54657">
        <v>400000</v>
      </c>
    </row>
    <row r="54658" spans="26:26" x14ac:dyDescent="0.25">
      <c r="Z54658">
        <v>400000</v>
      </c>
    </row>
    <row r="54659" spans="26:26" x14ac:dyDescent="0.25">
      <c r="Z54659">
        <v>400000</v>
      </c>
    </row>
    <row r="54660" spans="26:26" x14ac:dyDescent="0.25">
      <c r="Z54660">
        <v>400000</v>
      </c>
    </row>
    <row r="54661" spans="26:26" x14ac:dyDescent="0.25">
      <c r="Z54661">
        <v>400000</v>
      </c>
    </row>
    <row r="54662" spans="26:26" x14ac:dyDescent="0.25">
      <c r="Z54662">
        <v>400000</v>
      </c>
    </row>
    <row r="54663" spans="26:26" x14ac:dyDescent="0.25">
      <c r="Z54663">
        <v>400000</v>
      </c>
    </row>
    <row r="54664" spans="26:26" x14ac:dyDescent="0.25">
      <c r="Z54664">
        <v>400000</v>
      </c>
    </row>
    <row r="54665" spans="26:26" x14ac:dyDescent="0.25">
      <c r="Z54665">
        <v>400000</v>
      </c>
    </row>
    <row r="54666" spans="26:26" x14ac:dyDescent="0.25">
      <c r="Z54666">
        <v>400000</v>
      </c>
    </row>
    <row r="54667" spans="26:26" x14ac:dyDescent="0.25">
      <c r="Z54667">
        <v>400000</v>
      </c>
    </row>
    <row r="54668" spans="26:26" x14ac:dyDescent="0.25">
      <c r="Z54668">
        <v>400000</v>
      </c>
    </row>
    <row r="54669" spans="26:26" x14ac:dyDescent="0.25">
      <c r="Z54669">
        <v>400000</v>
      </c>
    </row>
    <row r="54670" spans="26:26" x14ac:dyDescent="0.25">
      <c r="Z54670">
        <v>400000</v>
      </c>
    </row>
    <row r="54671" spans="26:26" x14ac:dyDescent="0.25">
      <c r="Z54671">
        <v>400000</v>
      </c>
    </row>
    <row r="54672" spans="26:26" x14ac:dyDescent="0.25">
      <c r="Z54672">
        <v>400000</v>
      </c>
    </row>
    <row r="54673" spans="26:26" x14ac:dyDescent="0.25">
      <c r="Z54673">
        <v>400000</v>
      </c>
    </row>
    <row r="54674" spans="26:26" x14ac:dyDescent="0.25">
      <c r="Z54674">
        <v>400000</v>
      </c>
    </row>
    <row r="54675" spans="26:26" x14ac:dyDescent="0.25">
      <c r="Z54675">
        <v>400000</v>
      </c>
    </row>
    <row r="54676" spans="26:26" x14ac:dyDescent="0.25">
      <c r="Z54676">
        <v>400000</v>
      </c>
    </row>
    <row r="54677" spans="26:26" x14ac:dyDescent="0.25">
      <c r="Z54677">
        <v>400000</v>
      </c>
    </row>
    <row r="54678" spans="26:26" x14ac:dyDescent="0.25">
      <c r="Z54678">
        <v>400000</v>
      </c>
    </row>
    <row r="54679" spans="26:26" x14ac:dyDescent="0.25">
      <c r="Z54679">
        <v>400000</v>
      </c>
    </row>
    <row r="54680" spans="26:26" x14ac:dyDescent="0.25">
      <c r="Z54680">
        <v>400000</v>
      </c>
    </row>
    <row r="54681" spans="26:26" x14ac:dyDescent="0.25">
      <c r="Z54681">
        <v>400000</v>
      </c>
    </row>
    <row r="54682" spans="26:26" x14ac:dyDescent="0.25">
      <c r="Z54682">
        <v>400000</v>
      </c>
    </row>
    <row r="54683" spans="26:26" x14ac:dyDescent="0.25">
      <c r="Z54683">
        <v>400000</v>
      </c>
    </row>
    <row r="54684" spans="26:26" x14ac:dyDescent="0.25">
      <c r="Z54684">
        <v>400000</v>
      </c>
    </row>
    <row r="54685" spans="26:26" x14ac:dyDescent="0.25">
      <c r="Z54685">
        <v>400000</v>
      </c>
    </row>
    <row r="54686" spans="26:26" x14ac:dyDescent="0.25">
      <c r="Z54686">
        <v>400000</v>
      </c>
    </row>
    <row r="54687" spans="26:26" x14ac:dyDescent="0.25">
      <c r="Z54687">
        <v>400000</v>
      </c>
    </row>
    <row r="54688" spans="26:26" x14ac:dyDescent="0.25">
      <c r="Z54688">
        <v>400000</v>
      </c>
    </row>
    <row r="54689" spans="26:26" x14ac:dyDescent="0.25">
      <c r="Z54689">
        <v>400000</v>
      </c>
    </row>
    <row r="54690" spans="26:26" x14ac:dyDescent="0.25">
      <c r="Z54690">
        <v>400000</v>
      </c>
    </row>
    <row r="54691" spans="26:26" x14ac:dyDescent="0.25">
      <c r="Z54691">
        <v>400000</v>
      </c>
    </row>
    <row r="54692" spans="26:26" x14ac:dyDescent="0.25">
      <c r="Z54692">
        <v>400000</v>
      </c>
    </row>
    <row r="54693" spans="26:26" x14ac:dyDescent="0.25">
      <c r="Z54693">
        <v>400000</v>
      </c>
    </row>
    <row r="54694" spans="26:26" x14ac:dyDescent="0.25">
      <c r="Z54694">
        <v>400000</v>
      </c>
    </row>
    <row r="54695" spans="26:26" x14ac:dyDescent="0.25">
      <c r="Z54695">
        <v>400000</v>
      </c>
    </row>
    <row r="54696" spans="26:26" x14ac:dyDescent="0.25">
      <c r="Z54696">
        <v>400000</v>
      </c>
    </row>
    <row r="54697" spans="26:26" x14ac:dyDescent="0.25">
      <c r="Z54697">
        <v>400000</v>
      </c>
    </row>
    <row r="54698" spans="26:26" x14ac:dyDescent="0.25">
      <c r="Z54698">
        <v>400000</v>
      </c>
    </row>
    <row r="54699" spans="26:26" x14ac:dyDescent="0.25">
      <c r="Z54699">
        <v>400000</v>
      </c>
    </row>
    <row r="54700" spans="26:26" x14ac:dyDescent="0.25">
      <c r="Z54700">
        <v>400000</v>
      </c>
    </row>
    <row r="54701" spans="26:26" x14ac:dyDescent="0.25">
      <c r="Z54701">
        <v>400000</v>
      </c>
    </row>
    <row r="54702" spans="26:26" x14ac:dyDescent="0.25">
      <c r="Z54702">
        <v>400000</v>
      </c>
    </row>
    <row r="54703" spans="26:26" x14ac:dyDescent="0.25">
      <c r="Z54703">
        <v>400000</v>
      </c>
    </row>
    <row r="54704" spans="26:26" x14ac:dyDescent="0.25">
      <c r="Z54704">
        <v>400000</v>
      </c>
    </row>
    <row r="54705" spans="26:26" x14ac:dyDescent="0.25">
      <c r="Z54705">
        <v>400000</v>
      </c>
    </row>
    <row r="54706" spans="26:26" x14ac:dyDescent="0.25">
      <c r="Z54706">
        <v>400000</v>
      </c>
    </row>
    <row r="54707" spans="26:26" x14ac:dyDescent="0.25">
      <c r="Z54707">
        <v>400000</v>
      </c>
    </row>
    <row r="54708" spans="26:26" x14ac:dyDescent="0.25">
      <c r="Z54708">
        <v>400000</v>
      </c>
    </row>
    <row r="54709" spans="26:26" x14ac:dyDescent="0.25">
      <c r="Z54709">
        <v>400000</v>
      </c>
    </row>
    <row r="54710" spans="26:26" x14ac:dyDescent="0.25">
      <c r="Z54710">
        <v>400000</v>
      </c>
    </row>
    <row r="54711" spans="26:26" x14ac:dyDescent="0.25">
      <c r="Z54711">
        <v>400000</v>
      </c>
    </row>
    <row r="54712" spans="26:26" x14ac:dyDescent="0.25">
      <c r="Z54712">
        <v>400000</v>
      </c>
    </row>
    <row r="54713" spans="26:26" x14ac:dyDescent="0.25">
      <c r="Z54713">
        <v>400000</v>
      </c>
    </row>
    <row r="54714" spans="26:26" x14ac:dyDescent="0.25">
      <c r="Z54714">
        <v>400000</v>
      </c>
    </row>
    <row r="54715" spans="26:26" x14ac:dyDescent="0.25">
      <c r="Z54715">
        <v>400000</v>
      </c>
    </row>
    <row r="54716" spans="26:26" x14ac:dyDescent="0.25">
      <c r="Z54716">
        <v>400000</v>
      </c>
    </row>
    <row r="54717" spans="26:26" x14ac:dyDescent="0.25">
      <c r="Z54717">
        <v>400000</v>
      </c>
    </row>
    <row r="54718" spans="26:26" x14ac:dyDescent="0.25">
      <c r="Z54718">
        <v>400000</v>
      </c>
    </row>
    <row r="54719" spans="26:26" x14ac:dyDescent="0.25">
      <c r="Z54719">
        <v>400000</v>
      </c>
    </row>
    <row r="54720" spans="26:26" x14ac:dyDescent="0.25">
      <c r="Z54720">
        <v>400000</v>
      </c>
    </row>
    <row r="54721" spans="26:26" x14ac:dyDescent="0.25">
      <c r="Z54721">
        <v>400000</v>
      </c>
    </row>
    <row r="54722" spans="26:26" x14ac:dyDescent="0.25">
      <c r="Z54722">
        <v>400000</v>
      </c>
    </row>
    <row r="54723" spans="26:26" x14ac:dyDescent="0.25">
      <c r="Z54723">
        <v>400000</v>
      </c>
    </row>
    <row r="54724" spans="26:26" x14ac:dyDescent="0.25">
      <c r="Z54724">
        <v>400000</v>
      </c>
    </row>
    <row r="54725" spans="26:26" x14ac:dyDescent="0.25">
      <c r="Z54725">
        <v>400000</v>
      </c>
    </row>
    <row r="54726" spans="26:26" x14ac:dyDescent="0.25">
      <c r="Z54726">
        <v>400000</v>
      </c>
    </row>
    <row r="54727" spans="26:26" x14ac:dyDescent="0.25">
      <c r="Z54727">
        <v>400000</v>
      </c>
    </row>
    <row r="54728" spans="26:26" x14ac:dyDescent="0.25">
      <c r="Z54728">
        <v>400000</v>
      </c>
    </row>
    <row r="54729" spans="26:26" x14ac:dyDescent="0.25">
      <c r="Z54729">
        <v>400000</v>
      </c>
    </row>
    <row r="54730" spans="26:26" x14ac:dyDescent="0.25">
      <c r="Z54730">
        <v>400000</v>
      </c>
    </row>
    <row r="54731" spans="26:26" x14ac:dyDescent="0.25">
      <c r="Z54731">
        <v>400000</v>
      </c>
    </row>
    <row r="54732" spans="26:26" x14ac:dyDescent="0.25">
      <c r="Z54732">
        <v>400000</v>
      </c>
    </row>
    <row r="54733" spans="26:26" x14ac:dyDescent="0.25">
      <c r="Z54733">
        <v>400000</v>
      </c>
    </row>
    <row r="54734" spans="26:26" x14ac:dyDescent="0.25">
      <c r="Z54734">
        <v>400000</v>
      </c>
    </row>
    <row r="54735" spans="26:26" x14ac:dyDescent="0.25">
      <c r="Z54735">
        <v>400000</v>
      </c>
    </row>
    <row r="54736" spans="26:26" x14ac:dyDescent="0.25">
      <c r="Z54736">
        <v>400000</v>
      </c>
    </row>
    <row r="54737" spans="26:26" x14ac:dyDescent="0.25">
      <c r="Z54737">
        <v>400000</v>
      </c>
    </row>
    <row r="54738" spans="26:26" x14ac:dyDescent="0.25">
      <c r="Z54738">
        <v>400000</v>
      </c>
    </row>
    <row r="54739" spans="26:26" x14ac:dyDescent="0.25">
      <c r="Z54739">
        <v>400000</v>
      </c>
    </row>
    <row r="54740" spans="26:26" x14ac:dyDescent="0.25">
      <c r="Z54740">
        <v>400000</v>
      </c>
    </row>
    <row r="54741" spans="26:26" x14ac:dyDescent="0.25">
      <c r="Z54741">
        <v>400000</v>
      </c>
    </row>
    <row r="54742" spans="26:26" x14ac:dyDescent="0.25">
      <c r="Z54742">
        <v>400000</v>
      </c>
    </row>
    <row r="54743" spans="26:26" x14ac:dyDescent="0.25">
      <c r="Z54743">
        <v>400000</v>
      </c>
    </row>
    <row r="54744" spans="26:26" x14ac:dyDescent="0.25">
      <c r="Z54744">
        <v>400000</v>
      </c>
    </row>
    <row r="54745" spans="26:26" x14ac:dyDescent="0.25">
      <c r="Z54745">
        <v>400000</v>
      </c>
    </row>
    <row r="54746" spans="26:26" x14ac:dyDescent="0.25">
      <c r="Z54746">
        <v>400000</v>
      </c>
    </row>
    <row r="54747" spans="26:26" x14ac:dyDescent="0.25">
      <c r="Z54747">
        <v>400000</v>
      </c>
    </row>
    <row r="54748" spans="26:26" x14ac:dyDescent="0.25">
      <c r="Z54748">
        <v>400000</v>
      </c>
    </row>
    <row r="54749" spans="26:26" x14ac:dyDescent="0.25">
      <c r="Z54749">
        <v>400000</v>
      </c>
    </row>
    <row r="54750" spans="26:26" x14ac:dyDescent="0.25">
      <c r="Z54750">
        <v>400000</v>
      </c>
    </row>
    <row r="54751" spans="26:26" x14ac:dyDescent="0.25">
      <c r="Z54751">
        <v>400000</v>
      </c>
    </row>
    <row r="54752" spans="26:26" x14ac:dyDescent="0.25">
      <c r="Z54752">
        <v>400000</v>
      </c>
    </row>
    <row r="54753" spans="26:26" x14ac:dyDescent="0.25">
      <c r="Z54753">
        <v>400000</v>
      </c>
    </row>
    <row r="54754" spans="26:26" x14ac:dyDescent="0.25">
      <c r="Z54754">
        <v>400000</v>
      </c>
    </row>
    <row r="54755" spans="26:26" x14ac:dyDescent="0.25">
      <c r="Z54755">
        <v>400000</v>
      </c>
    </row>
    <row r="54756" spans="26:26" x14ac:dyDescent="0.25">
      <c r="Z54756">
        <v>400000</v>
      </c>
    </row>
    <row r="54757" spans="26:26" x14ac:dyDescent="0.25">
      <c r="Z54757">
        <v>400000</v>
      </c>
    </row>
    <row r="54758" spans="26:26" x14ac:dyDescent="0.25">
      <c r="Z54758">
        <v>400000</v>
      </c>
    </row>
    <row r="54759" spans="26:26" x14ac:dyDescent="0.25">
      <c r="Z54759">
        <v>400000</v>
      </c>
    </row>
    <row r="54760" spans="26:26" x14ac:dyDescent="0.25">
      <c r="Z54760">
        <v>400000</v>
      </c>
    </row>
    <row r="54761" spans="26:26" x14ac:dyDescent="0.25">
      <c r="Z54761">
        <v>400000</v>
      </c>
    </row>
    <row r="54762" spans="26:26" x14ac:dyDescent="0.25">
      <c r="Z54762">
        <v>400000</v>
      </c>
    </row>
    <row r="54763" spans="26:26" x14ac:dyDescent="0.25">
      <c r="Z54763">
        <v>400000</v>
      </c>
    </row>
    <row r="54764" spans="26:26" x14ac:dyDescent="0.25">
      <c r="Z54764">
        <v>400000</v>
      </c>
    </row>
    <row r="54765" spans="26:26" x14ac:dyDescent="0.25">
      <c r="Z54765">
        <v>400000</v>
      </c>
    </row>
    <row r="54766" spans="26:26" x14ac:dyDescent="0.25">
      <c r="Z54766">
        <v>400000</v>
      </c>
    </row>
    <row r="54767" spans="26:26" x14ac:dyDescent="0.25">
      <c r="Z54767">
        <v>400000</v>
      </c>
    </row>
    <row r="54768" spans="26:26" x14ac:dyDescent="0.25">
      <c r="Z54768">
        <v>400000</v>
      </c>
    </row>
    <row r="54769" spans="26:26" x14ac:dyDescent="0.25">
      <c r="Z54769">
        <v>400000</v>
      </c>
    </row>
    <row r="54770" spans="26:26" x14ac:dyDescent="0.25">
      <c r="Z54770">
        <v>400000</v>
      </c>
    </row>
    <row r="54771" spans="26:26" x14ac:dyDescent="0.25">
      <c r="Z54771">
        <v>400000</v>
      </c>
    </row>
    <row r="54772" spans="26:26" x14ac:dyDescent="0.25">
      <c r="Z54772">
        <v>400000</v>
      </c>
    </row>
    <row r="54773" spans="26:26" x14ac:dyDescent="0.25">
      <c r="Z54773">
        <v>400000</v>
      </c>
    </row>
    <row r="54774" spans="26:26" x14ac:dyDescent="0.25">
      <c r="Z54774">
        <v>400000</v>
      </c>
    </row>
    <row r="54775" spans="26:26" x14ac:dyDescent="0.25">
      <c r="Z54775">
        <v>400000</v>
      </c>
    </row>
    <row r="54776" spans="26:26" x14ac:dyDescent="0.25">
      <c r="Z54776">
        <v>400000</v>
      </c>
    </row>
    <row r="54777" spans="26:26" x14ac:dyDescent="0.25">
      <c r="Z54777">
        <v>400000</v>
      </c>
    </row>
    <row r="54778" spans="26:26" x14ac:dyDescent="0.25">
      <c r="Z54778">
        <v>400000</v>
      </c>
    </row>
    <row r="54779" spans="26:26" x14ac:dyDescent="0.25">
      <c r="Z54779">
        <v>400000</v>
      </c>
    </row>
    <row r="54780" spans="26:26" x14ac:dyDescent="0.25">
      <c r="Z54780">
        <v>400000</v>
      </c>
    </row>
    <row r="54781" spans="26:26" x14ac:dyDescent="0.25">
      <c r="Z54781">
        <v>400000</v>
      </c>
    </row>
    <row r="54782" spans="26:26" x14ac:dyDescent="0.25">
      <c r="Z54782">
        <v>400000</v>
      </c>
    </row>
    <row r="54783" spans="26:26" x14ac:dyDescent="0.25">
      <c r="Z54783">
        <v>400000</v>
      </c>
    </row>
    <row r="54784" spans="26:26" x14ac:dyDescent="0.25">
      <c r="Z54784">
        <v>400000</v>
      </c>
    </row>
    <row r="54785" spans="26:26" x14ac:dyDescent="0.25">
      <c r="Z54785">
        <v>400000</v>
      </c>
    </row>
    <row r="54786" spans="26:26" x14ac:dyDescent="0.25">
      <c r="Z54786">
        <v>400000</v>
      </c>
    </row>
    <row r="54787" spans="26:26" x14ac:dyDescent="0.25">
      <c r="Z54787">
        <v>400000</v>
      </c>
    </row>
    <row r="54788" spans="26:26" x14ac:dyDescent="0.25">
      <c r="Z54788">
        <v>400000</v>
      </c>
    </row>
    <row r="54789" spans="26:26" x14ac:dyDescent="0.25">
      <c r="Z54789">
        <v>400000</v>
      </c>
    </row>
    <row r="54790" spans="26:26" x14ac:dyDescent="0.25">
      <c r="Z54790">
        <v>400000</v>
      </c>
    </row>
    <row r="54791" spans="26:26" x14ac:dyDescent="0.25">
      <c r="Z54791">
        <v>400000</v>
      </c>
    </row>
    <row r="54792" spans="26:26" x14ac:dyDescent="0.25">
      <c r="Z54792">
        <v>400000</v>
      </c>
    </row>
    <row r="54793" spans="26:26" x14ac:dyDescent="0.25">
      <c r="Z54793">
        <v>400000</v>
      </c>
    </row>
    <row r="54794" spans="26:26" x14ac:dyDescent="0.25">
      <c r="Z54794">
        <v>400000</v>
      </c>
    </row>
    <row r="54795" spans="26:26" x14ac:dyDescent="0.25">
      <c r="Z54795">
        <v>400000</v>
      </c>
    </row>
    <row r="54796" spans="26:26" x14ac:dyDescent="0.25">
      <c r="Z54796">
        <v>400000</v>
      </c>
    </row>
    <row r="54797" spans="26:26" x14ac:dyDescent="0.25">
      <c r="Z54797">
        <v>400000</v>
      </c>
    </row>
    <row r="54798" spans="26:26" x14ac:dyDescent="0.25">
      <c r="Z54798">
        <v>400000</v>
      </c>
    </row>
    <row r="54799" spans="26:26" x14ac:dyDescent="0.25">
      <c r="Z54799">
        <v>400000</v>
      </c>
    </row>
    <row r="54800" spans="26:26" x14ac:dyDescent="0.25">
      <c r="Z54800">
        <v>400000</v>
      </c>
    </row>
    <row r="54801" spans="26:26" x14ac:dyDescent="0.25">
      <c r="Z54801">
        <v>400000</v>
      </c>
    </row>
    <row r="54802" spans="26:26" x14ac:dyDescent="0.25">
      <c r="Z54802">
        <v>400000</v>
      </c>
    </row>
    <row r="54803" spans="26:26" x14ac:dyDescent="0.25">
      <c r="Z54803">
        <v>400000</v>
      </c>
    </row>
    <row r="54804" spans="26:26" x14ac:dyDescent="0.25">
      <c r="Z54804">
        <v>400000</v>
      </c>
    </row>
    <row r="54805" spans="26:26" x14ac:dyDescent="0.25">
      <c r="Z54805">
        <v>400000</v>
      </c>
    </row>
    <row r="54806" spans="26:26" x14ac:dyDescent="0.25">
      <c r="Z54806">
        <v>400000</v>
      </c>
    </row>
    <row r="54807" spans="26:26" x14ac:dyDescent="0.25">
      <c r="Z54807">
        <v>400000</v>
      </c>
    </row>
    <row r="54808" spans="26:26" x14ac:dyDescent="0.25">
      <c r="Z54808">
        <v>400000</v>
      </c>
    </row>
    <row r="54809" spans="26:26" x14ac:dyDescent="0.25">
      <c r="Z54809">
        <v>400000</v>
      </c>
    </row>
    <row r="54810" spans="26:26" x14ac:dyDescent="0.25">
      <c r="Z54810">
        <v>400000</v>
      </c>
    </row>
    <row r="54811" spans="26:26" x14ac:dyDescent="0.25">
      <c r="Z54811">
        <v>400000</v>
      </c>
    </row>
    <row r="54812" spans="26:26" x14ac:dyDescent="0.25">
      <c r="Z54812">
        <v>400000</v>
      </c>
    </row>
    <row r="54813" spans="26:26" x14ac:dyDescent="0.25">
      <c r="Z54813">
        <v>400000</v>
      </c>
    </row>
    <row r="54814" spans="26:26" x14ac:dyDescent="0.25">
      <c r="Z54814">
        <v>400000</v>
      </c>
    </row>
    <row r="54815" spans="26:26" x14ac:dyDescent="0.25">
      <c r="Z54815">
        <v>400000</v>
      </c>
    </row>
    <row r="54816" spans="26:26" x14ac:dyDescent="0.25">
      <c r="Z54816">
        <v>400000</v>
      </c>
    </row>
    <row r="54817" spans="26:26" x14ac:dyDescent="0.25">
      <c r="Z54817">
        <v>400000</v>
      </c>
    </row>
    <row r="54818" spans="26:26" x14ac:dyDescent="0.25">
      <c r="Z54818">
        <v>400000</v>
      </c>
    </row>
    <row r="54819" spans="26:26" x14ac:dyDescent="0.25">
      <c r="Z54819">
        <v>400000</v>
      </c>
    </row>
    <row r="54820" spans="26:26" x14ac:dyDescent="0.25">
      <c r="Z54820">
        <v>400000</v>
      </c>
    </row>
    <row r="54821" spans="26:26" x14ac:dyDescent="0.25">
      <c r="Z54821">
        <v>400000</v>
      </c>
    </row>
    <row r="54822" spans="26:26" x14ac:dyDescent="0.25">
      <c r="Z54822">
        <v>400000</v>
      </c>
    </row>
    <row r="54823" spans="26:26" x14ac:dyDescent="0.25">
      <c r="Z54823">
        <v>400000</v>
      </c>
    </row>
    <row r="54824" spans="26:26" x14ac:dyDescent="0.25">
      <c r="Z54824">
        <v>400000</v>
      </c>
    </row>
    <row r="54825" spans="26:26" x14ac:dyDescent="0.25">
      <c r="Z54825">
        <v>400000</v>
      </c>
    </row>
    <row r="54826" spans="26:26" x14ac:dyDescent="0.25">
      <c r="Z54826">
        <v>400000</v>
      </c>
    </row>
    <row r="54827" spans="26:26" x14ac:dyDescent="0.25">
      <c r="Z54827">
        <v>400000</v>
      </c>
    </row>
    <row r="54828" spans="26:26" x14ac:dyDescent="0.25">
      <c r="Z54828">
        <v>400000</v>
      </c>
    </row>
    <row r="54829" spans="26:26" x14ac:dyDescent="0.25">
      <c r="Z54829">
        <v>400000</v>
      </c>
    </row>
    <row r="54830" spans="26:26" x14ac:dyDescent="0.25">
      <c r="Z54830">
        <v>400000</v>
      </c>
    </row>
    <row r="54831" spans="26:26" x14ac:dyDescent="0.25">
      <c r="Z54831">
        <v>400000</v>
      </c>
    </row>
    <row r="54832" spans="26:26" x14ac:dyDescent="0.25">
      <c r="Z54832">
        <v>400000</v>
      </c>
    </row>
    <row r="54833" spans="26:26" x14ac:dyDescent="0.25">
      <c r="Z54833">
        <v>400000</v>
      </c>
    </row>
    <row r="54834" spans="26:26" x14ac:dyDescent="0.25">
      <c r="Z54834">
        <v>400000</v>
      </c>
    </row>
    <row r="54835" spans="26:26" x14ac:dyDescent="0.25">
      <c r="Z54835">
        <v>400000</v>
      </c>
    </row>
    <row r="54836" spans="26:26" x14ac:dyDescent="0.25">
      <c r="Z54836">
        <v>400000</v>
      </c>
    </row>
    <row r="54837" spans="26:26" x14ac:dyDescent="0.25">
      <c r="Z54837">
        <v>400000</v>
      </c>
    </row>
    <row r="54838" spans="26:26" x14ac:dyDescent="0.25">
      <c r="Z54838">
        <v>400000</v>
      </c>
    </row>
    <row r="54839" spans="26:26" x14ac:dyDescent="0.25">
      <c r="Z54839">
        <v>400000</v>
      </c>
    </row>
    <row r="54840" spans="26:26" x14ac:dyDescent="0.25">
      <c r="Z54840">
        <v>400000</v>
      </c>
    </row>
    <row r="54841" spans="26:26" x14ac:dyDescent="0.25">
      <c r="Z54841">
        <v>400000</v>
      </c>
    </row>
    <row r="54842" spans="26:26" x14ac:dyDescent="0.25">
      <c r="Z54842">
        <v>400000</v>
      </c>
    </row>
    <row r="54843" spans="26:26" x14ac:dyDescent="0.25">
      <c r="Z54843">
        <v>400000</v>
      </c>
    </row>
    <row r="54844" spans="26:26" x14ac:dyDescent="0.25">
      <c r="Z54844">
        <v>400000</v>
      </c>
    </row>
    <row r="54845" spans="26:26" x14ac:dyDescent="0.25">
      <c r="Z54845">
        <v>400000</v>
      </c>
    </row>
    <row r="54846" spans="26:26" x14ac:dyDescent="0.25">
      <c r="Z54846">
        <v>400000</v>
      </c>
    </row>
    <row r="54847" spans="26:26" x14ac:dyDescent="0.25">
      <c r="Z54847">
        <v>400000</v>
      </c>
    </row>
    <row r="54848" spans="26:26" x14ac:dyDescent="0.25">
      <c r="Z54848">
        <v>400000</v>
      </c>
    </row>
    <row r="54849" spans="26:26" x14ac:dyDescent="0.25">
      <c r="Z54849">
        <v>400000</v>
      </c>
    </row>
    <row r="54850" spans="26:26" x14ac:dyDescent="0.25">
      <c r="Z54850">
        <v>400000</v>
      </c>
    </row>
    <row r="54851" spans="26:26" x14ac:dyDescent="0.25">
      <c r="Z54851">
        <v>400000</v>
      </c>
    </row>
    <row r="54852" spans="26:26" x14ac:dyDescent="0.25">
      <c r="Z54852">
        <v>400000</v>
      </c>
    </row>
    <row r="54853" spans="26:26" x14ac:dyDescent="0.25">
      <c r="Z54853">
        <v>400000</v>
      </c>
    </row>
    <row r="54854" spans="26:26" x14ac:dyDescent="0.25">
      <c r="Z54854">
        <v>400000</v>
      </c>
    </row>
    <row r="54855" spans="26:26" x14ac:dyDescent="0.25">
      <c r="Z54855">
        <v>400000</v>
      </c>
    </row>
    <row r="54856" spans="26:26" x14ac:dyDescent="0.25">
      <c r="Z54856">
        <v>400000</v>
      </c>
    </row>
    <row r="54857" spans="26:26" x14ac:dyDescent="0.25">
      <c r="Z54857">
        <v>400000</v>
      </c>
    </row>
    <row r="54858" spans="26:26" x14ac:dyDescent="0.25">
      <c r="Z54858">
        <v>400000</v>
      </c>
    </row>
    <row r="54859" spans="26:26" x14ac:dyDescent="0.25">
      <c r="Z54859">
        <v>400000</v>
      </c>
    </row>
    <row r="54860" spans="26:26" x14ac:dyDescent="0.25">
      <c r="Z54860">
        <v>400000</v>
      </c>
    </row>
    <row r="54861" spans="26:26" x14ac:dyDescent="0.25">
      <c r="Z54861">
        <v>400000</v>
      </c>
    </row>
    <row r="54862" spans="26:26" x14ac:dyDescent="0.25">
      <c r="Z54862">
        <v>400000</v>
      </c>
    </row>
    <row r="54863" spans="26:26" x14ac:dyDescent="0.25">
      <c r="Z54863">
        <v>400000</v>
      </c>
    </row>
    <row r="54864" spans="26:26" x14ac:dyDescent="0.25">
      <c r="Z54864">
        <v>400000</v>
      </c>
    </row>
    <row r="54865" spans="26:26" x14ac:dyDescent="0.25">
      <c r="Z54865">
        <v>400000</v>
      </c>
    </row>
    <row r="54866" spans="26:26" x14ac:dyDescent="0.25">
      <c r="Z54866">
        <v>400000</v>
      </c>
    </row>
    <row r="54867" spans="26:26" x14ac:dyDescent="0.25">
      <c r="Z54867">
        <v>400000</v>
      </c>
    </row>
    <row r="54868" spans="26:26" x14ac:dyDescent="0.25">
      <c r="Z54868">
        <v>400000</v>
      </c>
    </row>
    <row r="54869" spans="26:26" x14ac:dyDescent="0.25">
      <c r="Z54869">
        <v>400000</v>
      </c>
    </row>
    <row r="54870" spans="26:26" x14ac:dyDescent="0.25">
      <c r="Z54870">
        <v>400000</v>
      </c>
    </row>
    <row r="54871" spans="26:26" x14ac:dyDescent="0.25">
      <c r="Z54871">
        <v>400000</v>
      </c>
    </row>
    <row r="54872" spans="26:26" x14ac:dyDescent="0.25">
      <c r="Z54872">
        <v>400000</v>
      </c>
    </row>
    <row r="54873" spans="26:26" x14ac:dyDescent="0.25">
      <c r="Z54873">
        <v>400000</v>
      </c>
    </row>
    <row r="54874" spans="26:26" x14ac:dyDescent="0.25">
      <c r="Z54874">
        <v>400000</v>
      </c>
    </row>
    <row r="54875" spans="26:26" x14ac:dyDescent="0.25">
      <c r="Z54875">
        <v>400000</v>
      </c>
    </row>
    <row r="54876" spans="26:26" x14ac:dyDescent="0.25">
      <c r="Z54876">
        <v>400000</v>
      </c>
    </row>
    <row r="54877" spans="26:26" x14ac:dyDescent="0.25">
      <c r="Z54877">
        <v>400000</v>
      </c>
    </row>
    <row r="54878" spans="26:26" x14ac:dyDescent="0.25">
      <c r="Z54878">
        <v>400000</v>
      </c>
    </row>
    <row r="54879" spans="26:26" x14ac:dyDescent="0.25">
      <c r="Z54879">
        <v>400000</v>
      </c>
    </row>
    <row r="54880" spans="26:26" x14ac:dyDescent="0.25">
      <c r="Z54880">
        <v>400000</v>
      </c>
    </row>
    <row r="54881" spans="26:26" x14ac:dyDescent="0.25">
      <c r="Z54881">
        <v>400000</v>
      </c>
    </row>
    <row r="54882" spans="26:26" x14ac:dyDescent="0.25">
      <c r="Z54882">
        <v>400000</v>
      </c>
    </row>
    <row r="54883" spans="26:26" x14ac:dyDescent="0.25">
      <c r="Z54883">
        <v>400000</v>
      </c>
    </row>
    <row r="54884" spans="26:26" x14ac:dyDescent="0.25">
      <c r="Z54884">
        <v>400000</v>
      </c>
    </row>
    <row r="54885" spans="26:26" x14ac:dyDescent="0.25">
      <c r="Z54885">
        <v>400000</v>
      </c>
    </row>
    <row r="54886" spans="26:26" x14ac:dyDescent="0.25">
      <c r="Z54886">
        <v>400000</v>
      </c>
    </row>
    <row r="54887" spans="26:26" x14ac:dyDescent="0.25">
      <c r="Z54887">
        <v>400000</v>
      </c>
    </row>
    <row r="54888" spans="26:26" x14ac:dyDescent="0.25">
      <c r="Z54888">
        <v>400000</v>
      </c>
    </row>
    <row r="54889" spans="26:26" x14ac:dyDescent="0.25">
      <c r="Z54889">
        <v>400000</v>
      </c>
    </row>
    <row r="54890" spans="26:26" x14ac:dyDescent="0.25">
      <c r="Z54890">
        <v>400000</v>
      </c>
    </row>
    <row r="54891" spans="26:26" x14ac:dyDescent="0.25">
      <c r="Z54891">
        <v>400000</v>
      </c>
    </row>
    <row r="54892" spans="26:26" x14ac:dyDescent="0.25">
      <c r="Z54892">
        <v>400000</v>
      </c>
    </row>
    <row r="54893" spans="26:26" x14ac:dyDescent="0.25">
      <c r="Z54893">
        <v>400000</v>
      </c>
    </row>
    <row r="54894" spans="26:26" x14ac:dyDescent="0.25">
      <c r="Z54894">
        <v>400000</v>
      </c>
    </row>
    <row r="54895" spans="26:26" x14ac:dyDescent="0.25">
      <c r="Z54895">
        <v>400000</v>
      </c>
    </row>
    <row r="54896" spans="26:26" x14ac:dyDescent="0.25">
      <c r="Z54896">
        <v>400000</v>
      </c>
    </row>
    <row r="54897" spans="26:26" x14ac:dyDescent="0.25">
      <c r="Z54897">
        <v>400000</v>
      </c>
    </row>
    <row r="54898" spans="26:26" x14ac:dyDescent="0.25">
      <c r="Z54898">
        <v>400000</v>
      </c>
    </row>
    <row r="54899" spans="26:26" x14ac:dyDescent="0.25">
      <c r="Z54899">
        <v>400000</v>
      </c>
    </row>
    <row r="54900" spans="26:26" x14ac:dyDescent="0.25">
      <c r="Z54900">
        <v>400000</v>
      </c>
    </row>
    <row r="54901" spans="26:26" x14ac:dyDescent="0.25">
      <c r="Z54901">
        <v>400000</v>
      </c>
    </row>
    <row r="54902" spans="26:26" x14ac:dyDescent="0.25">
      <c r="Z54902">
        <v>400000</v>
      </c>
    </row>
    <row r="54903" spans="26:26" x14ac:dyDescent="0.25">
      <c r="Z54903">
        <v>400000</v>
      </c>
    </row>
    <row r="54904" spans="26:26" x14ac:dyDescent="0.25">
      <c r="Z54904">
        <v>400000</v>
      </c>
    </row>
    <row r="54905" spans="26:26" x14ac:dyDescent="0.25">
      <c r="Z54905">
        <v>400000</v>
      </c>
    </row>
    <row r="54906" spans="26:26" x14ac:dyDescent="0.25">
      <c r="Z54906">
        <v>400000</v>
      </c>
    </row>
    <row r="54907" spans="26:26" x14ac:dyDescent="0.25">
      <c r="Z54907">
        <v>400000</v>
      </c>
    </row>
    <row r="54908" spans="26:26" x14ac:dyDescent="0.25">
      <c r="Z54908">
        <v>400000</v>
      </c>
    </row>
    <row r="54909" spans="26:26" x14ac:dyDescent="0.25">
      <c r="Z54909">
        <v>400000</v>
      </c>
    </row>
    <row r="54910" spans="26:26" x14ac:dyDescent="0.25">
      <c r="Z54910">
        <v>400000</v>
      </c>
    </row>
    <row r="54911" spans="26:26" x14ac:dyDescent="0.25">
      <c r="Z54911">
        <v>400000</v>
      </c>
    </row>
    <row r="54912" spans="26:26" x14ac:dyDescent="0.25">
      <c r="Z54912">
        <v>400000</v>
      </c>
    </row>
    <row r="54913" spans="26:26" x14ac:dyDescent="0.25">
      <c r="Z54913">
        <v>400000</v>
      </c>
    </row>
    <row r="54914" spans="26:26" x14ac:dyDescent="0.25">
      <c r="Z54914">
        <v>400000</v>
      </c>
    </row>
    <row r="54915" spans="26:26" x14ac:dyDescent="0.25">
      <c r="Z54915">
        <v>400000</v>
      </c>
    </row>
    <row r="54916" spans="26:26" x14ac:dyDescent="0.25">
      <c r="Z54916">
        <v>400000</v>
      </c>
    </row>
    <row r="54917" spans="26:26" x14ac:dyDescent="0.25">
      <c r="Z54917">
        <v>400000</v>
      </c>
    </row>
    <row r="54918" spans="26:26" x14ac:dyDescent="0.25">
      <c r="Z54918">
        <v>400000</v>
      </c>
    </row>
    <row r="54919" spans="26:26" x14ac:dyDescent="0.25">
      <c r="Z54919">
        <v>400000</v>
      </c>
    </row>
    <row r="54920" spans="26:26" x14ac:dyDescent="0.25">
      <c r="Z54920">
        <v>400000</v>
      </c>
    </row>
    <row r="54921" spans="26:26" x14ac:dyDescent="0.25">
      <c r="Z54921">
        <v>400000</v>
      </c>
    </row>
    <row r="54922" spans="26:26" x14ac:dyDescent="0.25">
      <c r="Z54922">
        <v>400000</v>
      </c>
    </row>
    <row r="54923" spans="26:26" x14ac:dyDescent="0.25">
      <c r="Z54923">
        <v>400000</v>
      </c>
    </row>
    <row r="54924" spans="26:26" x14ac:dyDescent="0.25">
      <c r="Z54924">
        <v>400000</v>
      </c>
    </row>
    <row r="54925" spans="26:26" x14ac:dyDescent="0.25">
      <c r="Z54925">
        <v>400000</v>
      </c>
    </row>
    <row r="54926" spans="26:26" x14ac:dyDescent="0.25">
      <c r="Z54926">
        <v>400000</v>
      </c>
    </row>
    <row r="54927" spans="26:26" x14ac:dyDescent="0.25">
      <c r="Z54927">
        <v>400000</v>
      </c>
    </row>
    <row r="54928" spans="26:26" x14ac:dyDescent="0.25">
      <c r="Z54928">
        <v>400000</v>
      </c>
    </row>
    <row r="54929" spans="26:26" x14ac:dyDescent="0.25">
      <c r="Z54929">
        <v>400000</v>
      </c>
    </row>
    <row r="54930" spans="26:26" x14ac:dyDescent="0.25">
      <c r="Z54930">
        <v>400000</v>
      </c>
    </row>
    <row r="54931" spans="26:26" x14ac:dyDescent="0.25">
      <c r="Z54931">
        <v>400000</v>
      </c>
    </row>
    <row r="54932" spans="26:26" x14ac:dyDescent="0.25">
      <c r="Z54932">
        <v>400000</v>
      </c>
    </row>
    <row r="54933" spans="26:26" x14ac:dyDescent="0.25">
      <c r="Z54933">
        <v>400000</v>
      </c>
    </row>
    <row r="54934" spans="26:26" x14ac:dyDescent="0.25">
      <c r="Z54934">
        <v>400000</v>
      </c>
    </row>
    <row r="54935" spans="26:26" x14ac:dyDescent="0.25">
      <c r="Z54935">
        <v>400000</v>
      </c>
    </row>
    <row r="54936" spans="26:26" x14ac:dyDescent="0.25">
      <c r="Z54936">
        <v>400000</v>
      </c>
    </row>
    <row r="54937" spans="26:26" x14ac:dyDescent="0.25">
      <c r="Z54937">
        <v>400000</v>
      </c>
    </row>
    <row r="54938" spans="26:26" x14ac:dyDescent="0.25">
      <c r="Z54938">
        <v>400000</v>
      </c>
    </row>
    <row r="54939" spans="26:26" x14ac:dyDescent="0.25">
      <c r="Z54939">
        <v>400000</v>
      </c>
    </row>
    <row r="54940" spans="26:26" x14ac:dyDescent="0.25">
      <c r="Z54940">
        <v>400000</v>
      </c>
    </row>
    <row r="54941" spans="26:26" x14ac:dyDescent="0.25">
      <c r="Z54941">
        <v>400000</v>
      </c>
    </row>
    <row r="54942" spans="26:26" x14ac:dyDescent="0.25">
      <c r="Z54942">
        <v>400000</v>
      </c>
    </row>
    <row r="54943" spans="26:26" x14ac:dyDescent="0.25">
      <c r="Z54943">
        <v>400000</v>
      </c>
    </row>
    <row r="54944" spans="26:26" x14ac:dyDescent="0.25">
      <c r="Z54944">
        <v>400000</v>
      </c>
    </row>
    <row r="54945" spans="26:26" x14ac:dyDescent="0.25">
      <c r="Z54945">
        <v>400000</v>
      </c>
    </row>
    <row r="54946" spans="26:26" x14ac:dyDescent="0.25">
      <c r="Z54946">
        <v>400000</v>
      </c>
    </row>
    <row r="54947" spans="26:26" x14ac:dyDescent="0.25">
      <c r="Z54947">
        <v>400000</v>
      </c>
    </row>
    <row r="54948" spans="26:26" x14ac:dyDescent="0.25">
      <c r="Z54948">
        <v>400000</v>
      </c>
    </row>
    <row r="54949" spans="26:26" x14ac:dyDescent="0.25">
      <c r="Z54949">
        <v>400000</v>
      </c>
    </row>
    <row r="54950" spans="26:26" x14ac:dyDescent="0.25">
      <c r="Z54950">
        <v>400000</v>
      </c>
    </row>
    <row r="54951" spans="26:26" x14ac:dyDescent="0.25">
      <c r="Z54951">
        <v>400000</v>
      </c>
    </row>
    <row r="54952" spans="26:26" x14ac:dyDescent="0.25">
      <c r="Z54952">
        <v>400000</v>
      </c>
    </row>
    <row r="54953" spans="26:26" x14ac:dyDescent="0.25">
      <c r="Z54953">
        <v>400000</v>
      </c>
    </row>
    <row r="54954" spans="26:26" x14ac:dyDescent="0.25">
      <c r="Z54954">
        <v>400000</v>
      </c>
    </row>
    <row r="54955" spans="26:26" x14ac:dyDescent="0.25">
      <c r="Z54955">
        <v>400000</v>
      </c>
    </row>
    <row r="54956" spans="26:26" x14ac:dyDescent="0.25">
      <c r="Z54956">
        <v>400000</v>
      </c>
    </row>
    <row r="54957" spans="26:26" x14ac:dyDescent="0.25">
      <c r="Z54957">
        <v>400000</v>
      </c>
    </row>
    <row r="54958" spans="26:26" x14ac:dyDescent="0.25">
      <c r="Z54958">
        <v>400000</v>
      </c>
    </row>
    <row r="54959" spans="26:26" x14ac:dyDescent="0.25">
      <c r="Z54959">
        <v>400000</v>
      </c>
    </row>
    <row r="54960" spans="26:26" x14ac:dyDescent="0.25">
      <c r="Z54960">
        <v>400000</v>
      </c>
    </row>
    <row r="54961" spans="26:26" x14ac:dyDescent="0.25">
      <c r="Z54961">
        <v>400000</v>
      </c>
    </row>
    <row r="54962" spans="26:26" x14ac:dyDescent="0.25">
      <c r="Z54962">
        <v>400000</v>
      </c>
    </row>
    <row r="54963" spans="26:26" x14ac:dyDescent="0.25">
      <c r="Z54963">
        <v>400000</v>
      </c>
    </row>
    <row r="54964" spans="26:26" x14ac:dyDescent="0.25">
      <c r="Z54964">
        <v>400000</v>
      </c>
    </row>
    <row r="54965" spans="26:26" x14ac:dyDescent="0.25">
      <c r="Z54965">
        <v>400000</v>
      </c>
    </row>
    <row r="54966" spans="26:26" x14ac:dyDescent="0.25">
      <c r="Z54966">
        <v>400000</v>
      </c>
    </row>
    <row r="54967" spans="26:26" x14ac:dyDescent="0.25">
      <c r="Z54967">
        <v>400000</v>
      </c>
    </row>
    <row r="54968" spans="26:26" x14ac:dyDescent="0.25">
      <c r="Z54968">
        <v>400000</v>
      </c>
    </row>
    <row r="54969" spans="26:26" x14ac:dyDescent="0.25">
      <c r="Z54969">
        <v>400000</v>
      </c>
    </row>
    <row r="54970" spans="26:26" x14ac:dyDescent="0.25">
      <c r="Z54970">
        <v>400000</v>
      </c>
    </row>
    <row r="54971" spans="26:26" x14ac:dyDescent="0.25">
      <c r="Z54971">
        <v>400000</v>
      </c>
    </row>
    <row r="54972" spans="26:26" x14ac:dyDescent="0.25">
      <c r="Z54972">
        <v>400000</v>
      </c>
    </row>
    <row r="54973" spans="26:26" x14ac:dyDescent="0.25">
      <c r="Z54973">
        <v>400000</v>
      </c>
    </row>
    <row r="54974" spans="26:26" x14ac:dyDescent="0.25">
      <c r="Z54974">
        <v>400000</v>
      </c>
    </row>
    <row r="54975" spans="26:26" x14ac:dyDescent="0.25">
      <c r="Z54975">
        <v>400000</v>
      </c>
    </row>
    <row r="54976" spans="26:26" x14ac:dyDescent="0.25">
      <c r="Z54976">
        <v>400000</v>
      </c>
    </row>
    <row r="54977" spans="26:26" x14ac:dyDescent="0.25">
      <c r="Z54977">
        <v>400000</v>
      </c>
    </row>
    <row r="54978" spans="26:26" x14ac:dyDescent="0.25">
      <c r="Z54978">
        <v>400000</v>
      </c>
    </row>
    <row r="54979" spans="26:26" x14ac:dyDescent="0.25">
      <c r="Z54979">
        <v>400000</v>
      </c>
    </row>
    <row r="54980" spans="26:26" x14ac:dyDescent="0.25">
      <c r="Z54980">
        <v>400000</v>
      </c>
    </row>
    <row r="54981" spans="26:26" x14ac:dyDescent="0.25">
      <c r="Z54981">
        <v>400000</v>
      </c>
    </row>
    <row r="54982" spans="26:26" x14ac:dyDescent="0.25">
      <c r="Z54982">
        <v>400000</v>
      </c>
    </row>
    <row r="54983" spans="26:26" x14ac:dyDescent="0.25">
      <c r="Z54983">
        <v>400000</v>
      </c>
    </row>
    <row r="54984" spans="26:26" x14ac:dyDescent="0.25">
      <c r="Z54984">
        <v>400000</v>
      </c>
    </row>
    <row r="54985" spans="26:26" x14ac:dyDescent="0.25">
      <c r="Z54985">
        <v>400000</v>
      </c>
    </row>
    <row r="54986" spans="26:26" x14ac:dyDescent="0.25">
      <c r="Z54986">
        <v>400000</v>
      </c>
    </row>
    <row r="54987" spans="26:26" x14ac:dyDescent="0.25">
      <c r="Z54987">
        <v>400000</v>
      </c>
    </row>
    <row r="54988" spans="26:26" x14ac:dyDescent="0.25">
      <c r="Z54988">
        <v>400000</v>
      </c>
    </row>
    <row r="54989" spans="26:26" x14ac:dyDescent="0.25">
      <c r="Z54989">
        <v>400000</v>
      </c>
    </row>
    <row r="54990" spans="26:26" x14ac:dyDescent="0.25">
      <c r="Z54990">
        <v>400000</v>
      </c>
    </row>
    <row r="54991" spans="26:26" x14ac:dyDescent="0.25">
      <c r="Z54991">
        <v>400000</v>
      </c>
    </row>
    <row r="54992" spans="26:26" x14ac:dyDescent="0.25">
      <c r="Z54992">
        <v>400000</v>
      </c>
    </row>
    <row r="54993" spans="26:26" x14ac:dyDescent="0.25">
      <c r="Z54993">
        <v>400000</v>
      </c>
    </row>
    <row r="54994" spans="26:26" x14ac:dyDescent="0.25">
      <c r="Z54994">
        <v>400000</v>
      </c>
    </row>
    <row r="54995" spans="26:26" x14ac:dyDescent="0.25">
      <c r="Z54995">
        <v>400000</v>
      </c>
    </row>
    <row r="54996" spans="26:26" x14ac:dyDescent="0.25">
      <c r="Z54996">
        <v>400000</v>
      </c>
    </row>
    <row r="54997" spans="26:26" x14ac:dyDescent="0.25">
      <c r="Z54997">
        <v>400000</v>
      </c>
    </row>
    <row r="54998" spans="26:26" x14ac:dyDescent="0.25">
      <c r="Z54998">
        <v>400000</v>
      </c>
    </row>
    <row r="54999" spans="26:26" x14ac:dyDescent="0.25">
      <c r="Z54999">
        <v>400000</v>
      </c>
    </row>
    <row r="55000" spans="26:26" x14ac:dyDescent="0.25">
      <c r="Z55000">
        <v>400000</v>
      </c>
    </row>
    <row r="55001" spans="26:26" x14ac:dyDescent="0.25">
      <c r="Z55001">
        <v>400000</v>
      </c>
    </row>
    <row r="55002" spans="26:26" x14ac:dyDescent="0.25">
      <c r="Z55002">
        <v>400000</v>
      </c>
    </row>
    <row r="55003" spans="26:26" x14ac:dyDescent="0.25">
      <c r="Z55003">
        <v>400000</v>
      </c>
    </row>
    <row r="55004" spans="26:26" x14ac:dyDescent="0.25">
      <c r="Z55004">
        <v>400000</v>
      </c>
    </row>
    <row r="55005" spans="26:26" x14ac:dyDescent="0.25">
      <c r="Z55005">
        <v>400000</v>
      </c>
    </row>
    <row r="55006" spans="26:26" x14ac:dyDescent="0.25">
      <c r="Z55006">
        <v>400000</v>
      </c>
    </row>
    <row r="55007" spans="26:26" x14ac:dyDescent="0.25">
      <c r="Z55007">
        <v>400000</v>
      </c>
    </row>
    <row r="55008" spans="26:26" x14ac:dyDescent="0.25">
      <c r="Z55008">
        <v>400000</v>
      </c>
    </row>
    <row r="55009" spans="26:26" x14ac:dyDescent="0.25">
      <c r="Z55009">
        <v>400000</v>
      </c>
    </row>
    <row r="55010" spans="26:26" x14ac:dyDescent="0.25">
      <c r="Z55010">
        <v>400000</v>
      </c>
    </row>
    <row r="55011" spans="26:26" x14ac:dyDescent="0.25">
      <c r="Z55011">
        <v>400000</v>
      </c>
    </row>
    <row r="55012" spans="26:26" x14ac:dyDescent="0.25">
      <c r="Z55012">
        <v>400000</v>
      </c>
    </row>
    <row r="55013" spans="26:26" x14ac:dyDescent="0.25">
      <c r="Z55013">
        <v>400000</v>
      </c>
    </row>
    <row r="55014" spans="26:26" x14ac:dyDescent="0.25">
      <c r="Z55014">
        <v>400000</v>
      </c>
    </row>
    <row r="55015" spans="26:26" x14ac:dyDescent="0.25">
      <c r="Z55015">
        <v>400000</v>
      </c>
    </row>
    <row r="55016" spans="26:26" x14ac:dyDescent="0.25">
      <c r="Z55016">
        <v>400000</v>
      </c>
    </row>
    <row r="55017" spans="26:26" x14ac:dyDescent="0.25">
      <c r="Z55017">
        <v>400000</v>
      </c>
    </row>
    <row r="55018" spans="26:26" x14ac:dyDescent="0.25">
      <c r="Z55018">
        <v>400000</v>
      </c>
    </row>
    <row r="55019" spans="26:26" x14ac:dyDescent="0.25">
      <c r="Z55019">
        <v>400000</v>
      </c>
    </row>
    <row r="55020" spans="26:26" x14ac:dyDescent="0.25">
      <c r="Z55020">
        <v>400000</v>
      </c>
    </row>
    <row r="55021" spans="26:26" x14ac:dyDescent="0.25">
      <c r="Z55021">
        <v>400000</v>
      </c>
    </row>
    <row r="55022" spans="26:26" x14ac:dyDescent="0.25">
      <c r="Z55022">
        <v>400000</v>
      </c>
    </row>
    <row r="55023" spans="26:26" x14ac:dyDescent="0.25">
      <c r="Z55023">
        <v>400000</v>
      </c>
    </row>
    <row r="55024" spans="26:26" x14ac:dyDescent="0.25">
      <c r="Z55024">
        <v>400000</v>
      </c>
    </row>
    <row r="55025" spans="26:26" x14ac:dyDescent="0.25">
      <c r="Z55025">
        <v>400000</v>
      </c>
    </row>
    <row r="55026" spans="26:26" x14ac:dyDescent="0.25">
      <c r="Z55026">
        <v>400000</v>
      </c>
    </row>
    <row r="55027" spans="26:26" x14ac:dyDescent="0.25">
      <c r="Z55027">
        <v>400000</v>
      </c>
    </row>
    <row r="55028" spans="26:26" x14ac:dyDescent="0.25">
      <c r="Z55028">
        <v>400000</v>
      </c>
    </row>
    <row r="55029" spans="26:26" x14ac:dyDescent="0.25">
      <c r="Z55029">
        <v>400000</v>
      </c>
    </row>
    <row r="55030" spans="26:26" x14ac:dyDescent="0.25">
      <c r="Z55030">
        <v>400000</v>
      </c>
    </row>
    <row r="55031" spans="26:26" x14ac:dyDescent="0.25">
      <c r="Z55031">
        <v>400000</v>
      </c>
    </row>
    <row r="55032" spans="26:26" x14ac:dyDescent="0.25">
      <c r="Z55032">
        <v>400000</v>
      </c>
    </row>
    <row r="55033" spans="26:26" x14ac:dyDescent="0.25">
      <c r="Z55033">
        <v>400000</v>
      </c>
    </row>
    <row r="55034" spans="26:26" x14ac:dyDescent="0.25">
      <c r="Z55034">
        <v>400000</v>
      </c>
    </row>
    <row r="55035" spans="26:26" x14ac:dyDescent="0.25">
      <c r="Z55035">
        <v>400000</v>
      </c>
    </row>
    <row r="55036" spans="26:26" x14ac:dyDescent="0.25">
      <c r="Z55036">
        <v>400000</v>
      </c>
    </row>
    <row r="55037" spans="26:26" x14ac:dyDescent="0.25">
      <c r="Z55037">
        <v>400000</v>
      </c>
    </row>
    <row r="55038" spans="26:26" x14ac:dyDescent="0.25">
      <c r="Z55038">
        <v>400000</v>
      </c>
    </row>
    <row r="55039" spans="26:26" x14ac:dyDescent="0.25">
      <c r="Z55039">
        <v>400000</v>
      </c>
    </row>
    <row r="55040" spans="26:26" x14ac:dyDescent="0.25">
      <c r="Z55040">
        <v>400000</v>
      </c>
    </row>
    <row r="55041" spans="26:26" x14ac:dyDescent="0.25">
      <c r="Z55041">
        <v>400000</v>
      </c>
    </row>
    <row r="55042" spans="26:26" x14ac:dyDescent="0.25">
      <c r="Z55042">
        <v>400000</v>
      </c>
    </row>
    <row r="55043" spans="26:26" x14ac:dyDescent="0.25">
      <c r="Z55043">
        <v>400000</v>
      </c>
    </row>
    <row r="55044" spans="26:26" x14ac:dyDescent="0.25">
      <c r="Z55044">
        <v>400000</v>
      </c>
    </row>
    <row r="55045" spans="26:26" x14ac:dyDescent="0.25">
      <c r="Z55045">
        <v>400000</v>
      </c>
    </row>
    <row r="55046" spans="26:26" x14ac:dyDescent="0.25">
      <c r="Z55046">
        <v>400000</v>
      </c>
    </row>
    <row r="55047" spans="26:26" x14ac:dyDescent="0.25">
      <c r="Z55047">
        <v>400000</v>
      </c>
    </row>
    <row r="55048" spans="26:26" x14ac:dyDescent="0.25">
      <c r="Z55048">
        <v>400000</v>
      </c>
    </row>
    <row r="55049" spans="26:26" x14ac:dyDescent="0.25">
      <c r="Z55049">
        <v>400000</v>
      </c>
    </row>
    <row r="55050" spans="26:26" x14ac:dyDescent="0.25">
      <c r="Z55050">
        <v>400000</v>
      </c>
    </row>
    <row r="55051" spans="26:26" x14ac:dyDescent="0.25">
      <c r="Z55051">
        <v>400000</v>
      </c>
    </row>
    <row r="55052" spans="26:26" x14ac:dyDescent="0.25">
      <c r="Z55052">
        <v>400000</v>
      </c>
    </row>
    <row r="55053" spans="26:26" x14ac:dyDescent="0.25">
      <c r="Z55053">
        <v>400000</v>
      </c>
    </row>
    <row r="55054" spans="26:26" x14ac:dyDescent="0.25">
      <c r="Z55054">
        <v>400000</v>
      </c>
    </row>
    <row r="55055" spans="26:26" x14ac:dyDescent="0.25">
      <c r="Z55055">
        <v>400000</v>
      </c>
    </row>
    <row r="55056" spans="26:26" x14ac:dyDescent="0.25">
      <c r="Z55056">
        <v>400000</v>
      </c>
    </row>
    <row r="55057" spans="26:26" x14ac:dyDescent="0.25">
      <c r="Z55057">
        <v>400000</v>
      </c>
    </row>
    <row r="55058" spans="26:26" x14ac:dyDescent="0.25">
      <c r="Z55058">
        <v>400000</v>
      </c>
    </row>
    <row r="55059" spans="26:26" x14ac:dyDescent="0.25">
      <c r="Z55059">
        <v>400000</v>
      </c>
    </row>
    <row r="55060" spans="26:26" x14ac:dyDescent="0.25">
      <c r="Z55060">
        <v>400000</v>
      </c>
    </row>
    <row r="55061" spans="26:26" x14ac:dyDescent="0.25">
      <c r="Z55061">
        <v>400000</v>
      </c>
    </row>
    <row r="55062" spans="26:26" x14ac:dyDescent="0.25">
      <c r="Z55062">
        <v>400000</v>
      </c>
    </row>
    <row r="55063" spans="26:26" x14ac:dyDescent="0.25">
      <c r="Z55063">
        <v>400000</v>
      </c>
    </row>
    <row r="55064" spans="26:26" x14ac:dyDescent="0.25">
      <c r="Z55064">
        <v>400000</v>
      </c>
    </row>
    <row r="55065" spans="26:26" x14ac:dyDescent="0.25">
      <c r="Z55065">
        <v>400000</v>
      </c>
    </row>
    <row r="55066" spans="26:26" x14ac:dyDescent="0.25">
      <c r="Z55066">
        <v>400000</v>
      </c>
    </row>
    <row r="55067" spans="26:26" x14ac:dyDescent="0.25">
      <c r="Z55067">
        <v>400000</v>
      </c>
    </row>
    <row r="55068" spans="26:26" x14ac:dyDescent="0.25">
      <c r="Z55068">
        <v>400000</v>
      </c>
    </row>
    <row r="55069" spans="26:26" x14ac:dyDescent="0.25">
      <c r="Z55069">
        <v>400000</v>
      </c>
    </row>
    <row r="55070" spans="26:26" x14ac:dyDescent="0.25">
      <c r="Z55070">
        <v>400000</v>
      </c>
    </row>
    <row r="55071" spans="26:26" x14ac:dyDescent="0.25">
      <c r="Z55071">
        <v>400000</v>
      </c>
    </row>
    <row r="55072" spans="26:26" x14ac:dyDescent="0.25">
      <c r="Z55072">
        <v>400000</v>
      </c>
    </row>
    <row r="55073" spans="26:26" x14ac:dyDescent="0.25">
      <c r="Z55073">
        <v>400000</v>
      </c>
    </row>
    <row r="55074" spans="26:26" x14ac:dyDescent="0.25">
      <c r="Z55074">
        <v>400000</v>
      </c>
    </row>
    <row r="55075" spans="26:26" x14ac:dyDescent="0.25">
      <c r="Z55075">
        <v>400000</v>
      </c>
    </row>
    <row r="55076" spans="26:26" x14ac:dyDescent="0.25">
      <c r="Z55076">
        <v>400000</v>
      </c>
    </row>
    <row r="55077" spans="26:26" x14ac:dyDescent="0.25">
      <c r="Z55077">
        <v>400000</v>
      </c>
    </row>
    <row r="55078" spans="26:26" x14ac:dyDescent="0.25">
      <c r="Z55078">
        <v>400000</v>
      </c>
    </row>
    <row r="55079" spans="26:26" x14ac:dyDescent="0.25">
      <c r="Z55079">
        <v>400000</v>
      </c>
    </row>
    <row r="55080" spans="26:26" x14ac:dyDescent="0.25">
      <c r="Z55080">
        <v>400000</v>
      </c>
    </row>
    <row r="55081" spans="26:26" x14ac:dyDescent="0.25">
      <c r="Z55081">
        <v>400000</v>
      </c>
    </row>
    <row r="55082" spans="26:26" x14ac:dyDescent="0.25">
      <c r="Z55082">
        <v>400000</v>
      </c>
    </row>
    <row r="55083" spans="26:26" x14ac:dyDescent="0.25">
      <c r="Z55083">
        <v>400000</v>
      </c>
    </row>
    <row r="55084" spans="26:26" x14ac:dyDescent="0.25">
      <c r="Z55084">
        <v>400000</v>
      </c>
    </row>
    <row r="55085" spans="26:26" x14ac:dyDescent="0.25">
      <c r="Z55085">
        <v>400000</v>
      </c>
    </row>
    <row r="55086" spans="26:26" x14ac:dyDescent="0.25">
      <c r="Z55086">
        <v>400000</v>
      </c>
    </row>
    <row r="55087" spans="26:26" x14ac:dyDescent="0.25">
      <c r="Z55087">
        <v>400000</v>
      </c>
    </row>
    <row r="55088" spans="26:26" x14ac:dyDescent="0.25">
      <c r="Z55088">
        <v>400000</v>
      </c>
    </row>
    <row r="55089" spans="26:26" x14ac:dyDescent="0.25">
      <c r="Z55089">
        <v>400000</v>
      </c>
    </row>
    <row r="55090" spans="26:26" x14ac:dyDescent="0.25">
      <c r="Z55090">
        <v>400000</v>
      </c>
    </row>
    <row r="55091" spans="26:26" x14ac:dyDescent="0.25">
      <c r="Z55091">
        <v>400000</v>
      </c>
    </row>
    <row r="55092" spans="26:26" x14ac:dyDescent="0.25">
      <c r="Z55092">
        <v>400000</v>
      </c>
    </row>
    <row r="55093" spans="26:26" x14ac:dyDescent="0.25">
      <c r="Z55093">
        <v>400000</v>
      </c>
    </row>
    <row r="55094" spans="26:26" x14ac:dyDescent="0.25">
      <c r="Z55094">
        <v>400000</v>
      </c>
    </row>
    <row r="55095" spans="26:26" x14ac:dyDescent="0.25">
      <c r="Z55095">
        <v>400000</v>
      </c>
    </row>
    <row r="55096" spans="26:26" x14ac:dyDescent="0.25">
      <c r="Z55096">
        <v>400000</v>
      </c>
    </row>
    <row r="55097" spans="26:26" x14ac:dyDescent="0.25">
      <c r="Z55097">
        <v>400000</v>
      </c>
    </row>
    <row r="55098" spans="26:26" x14ac:dyDescent="0.25">
      <c r="Z55098">
        <v>400000</v>
      </c>
    </row>
    <row r="55099" spans="26:26" x14ac:dyDescent="0.25">
      <c r="Z55099">
        <v>400000</v>
      </c>
    </row>
    <row r="55100" spans="26:26" x14ac:dyDescent="0.25">
      <c r="Z55100">
        <v>400000</v>
      </c>
    </row>
    <row r="55101" spans="26:26" x14ac:dyDescent="0.25">
      <c r="Z55101">
        <v>400000</v>
      </c>
    </row>
    <row r="55102" spans="26:26" x14ac:dyDescent="0.25">
      <c r="Z55102">
        <v>400000</v>
      </c>
    </row>
    <row r="55103" spans="26:26" x14ac:dyDescent="0.25">
      <c r="Z55103">
        <v>400000</v>
      </c>
    </row>
    <row r="55104" spans="26:26" x14ac:dyDescent="0.25">
      <c r="Z55104">
        <v>400000</v>
      </c>
    </row>
    <row r="55105" spans="26:26" x14ac:dyDescent="0.25">
      <c r="Z55105">
        <v>400000</v>
      </c>
    </row>
    <row r="55106" spans="26:26" x14ac:dyDescent="0.25">
      <c r="Z55106">
        <v>400000</v>
      </c>
    </row>
    <row r="55107" spans="26:26" x14ac:dyDescent="0.25">
      <c r="Z55107">
        <v>400000</v>
      </c>
    </row>
    <row r="55108" spans="26:26" x14ac:dyDescent="0.25">
      <c r="Z55108">
        <v>400000</v>
      </c>
    </row>
    <row r="55109" spans="26:26" x14ac:dyDescent="0.25">
      <c r="Z55109">
        <v>400000</v>
      </c>
    </row>
    <row r="55110" spans="26:26" x14ac:dyDescent="0.25">
      <c r="Z55110">
        <v>400000</v>
      </c>
    </row>
    <row r="55111" spans="26:26" x14ac:dyDescent="0.25">
      <c r="Z55111">
        <v>400000</v>
      </c>
    </row>
    <row r="55112" spans="26:26" x14ac:dyDescent="0.25">
      <c r="Z55112">
        <v>400000</v>
      </c>
    </row>
    <row r="55113" spans="26:26" x14ac:dyDescent="0.25">
      <c r="Z55113">
        <v>400000</v>
      </c>
    </row>
    <row r="55114" spans="26:26" x14ac:dyDescent="0.25">
      <c r="Z55114">
        <v>400000</v>
      </c>
    </row>
    <row r="55115" spans="26:26" x14ac:dyDescent="0.25">
      <c r="Z55115">
        <v>400000</v>
      </c>
    </row>
    <row r="55116" spans="26:26" x14ac:dyDescent="0.25">
      <c r="Z55116">
        <v>400000</v>
      </c>
    </row>
    <row r="55117" spans="26:26" x14ac:dyDescent="0.25">
      <c r="Z55117">
        <v>400000</v>
      </c>
    </row>
    <row r="55118" spans="26:26" x14ac:dyDescent="0.25">
      <c r="Z55118">
        <v>400000</v>
      </c>
    </row>
    <row r="55119" spans="26:26" x14ac:dyDescent="0.25">
      <c r="Z55119">
        <v>400000</v>
      </c>
    </row>
    <row r="55120" spans="26:26" x14ac:dyDescent="0.25">
      <c r="Z55120">
        <v>400000</v>
      </c>
    </row>
    <row r="55121" spans="26:26" x14ac:dyDescent="0.25">
      <c r="Z55121">
        <v>400000</v>
      </c>
    </row>
    <row r="55122" spans="26:26" x14ac:dyDescent="0.25">
      <c r="Z55122">
        <v>400000</v>
      </c>
    </row>
    <row r="55123" spans="26:26" x14ac:dyDescent="0.25">
      <c r="Z55123">
        <v>400000</v>
      </c>
    </row>
    <row r="55124" spans="26:26" x14ac:dyDescent="0.25">
      <c r="Z55124">
        <v>400000</v>
      </c>
    </row>
    <row r="55125" spans="26:26" x14ac:dyDescent="0.25">
      <c r="Z55125">
        <v>400000</v>
      </c>
    </row>
    <row r="55126" spans="26:26" x14ac:dyDescent="0.25">
      <c r="Z55126">
        <v>400000</v>
      </c>
    </row>
    <row r="55127" spans="26:26" x14ac:dyDescent="0.25">
      <c r="Z55127">
        <v>400000</v>
      </c>
    </row>
    <row r="55128" spans="26:26" x14ac:dyDescent="0.25">
      <c r="Z55128">
        <v>400000</v>
      </c>
    </row>
    <row r="55129" spans="26:26" x14ac:dyDescent="0.25">
      <c r="Z55129">
        <v>400000</v>
      </c>
    </row>
    <row r="55130" spans="26:26" x14ac:dyDescent="0.25">
      <c r="Z55130">
        <v>400000</v>
      </c>
    </row>
    <row r="55131" spans="26:26" x14ac:dyDescent="0.25">
      <c r="Z55131">
        <v>400000</v>
      </c>
    </row>
    <row r="55132" spans="26:26" x14ac:dyDescent="0.25">
      <c r="Z55132">
        <v>400000</v>
      </c>
    </row>
    <row r="55133" spans="26:26" x14ac:dyDescent="0.25">
      <c r="Z55133">
        <v>400000</v>
      </c>
    </row>
    <row r="55134" spans="26:26" x14ac:dyDescent="0.25">
      <c r="Z55134">
        <v>400000</v>
      </c>
    </row>
    <row r="55135" spans="26:26" x14ac:dyDescent="0.25">
      <c r="Z55135">
        <v>400000</v>
      </c>
    </row>
    <row r="55136" spans="26:26" x14ac:dyDescent="0.25">
      <c r="Z55136">
        <v>400000</v>
      </c>
    </row>
    <row r="55137" spans="26:26" x14ac:dyDescent="0.25">
      <c r="Z55137">
        <v>400000</v>
      </c>
    </row>
    <row r="55138" spans="26:26" x14ac:dyDescent="0.25">
      <c r="Z55138">
        <v>400000</v>
      </c>
    </row>
    <row r="55139" spans="26:26" x14ac:dyDescent="0.25">
      <c r="Z55139">
        <v>400000</v>
      </c>
    </row>
    <row r="55140" spans="26:26" x14ac:dyDescent="0.25">
      <c r="Z55140">
        <v>400000</v>
      </c>
    </row>
    <row r="55141" spans="26:26" x14ac:dyDescent="0.25">
      <c r="Z55141">
        <v>400000</v>
      </c>
    </row>
    <row r="55142" spans="26:26" x14ac:dyDescent="0.25">
      <c r="Z55142">
        <v>400000</v>
      </c>
    </row>
    <row r="55143" spans="26:26" x14ac:dyDescent="0.25">
      <c r="Z55143">
        <v>400000</v>
      </c>
    </row>
    <row r="55144" spans="26:26" x14ac:dyDescent="0.25">
      <c r="Z55144">
        <v>400000</v>
      </c>
    </row>
    <row r="55145" spans="26:26" x14ac:dyDescent="0.25">
      <c r="Z55145">
        <v>400000</v>
      </c>
    </row>
    <row r="55146" spans="26:26" x14ac:dyDescent="0.25">
      <c r="Z55146">
        <v>400000</v>
      </c>
    </row>
    <row r="55147" spans="26:26" x14ac:dyDescent="0.25">
      <c r="Z55147">
        <v>400000</v>
      </c>
    </row>
    <row r="55148" spans="26:26" x14ac:dyDescent="0.25">
      <c r="Z55148">
        <v>400000</v>
      </c>
    </row>
    <row r="55149" spans="26:26" x14ac:dyDescent="0.25">
      <c r="Z55149">
        <v>400000</v>
      </c>
    </row>
    <row r="55150" spans="26:26" x14ac:dyDescent="0.25">
      <c r="Z55150">
        <v>400000</v>
      </c>
    </row>
    <row r="55151" spans="26:26" x14ac:dyDescent="0.25">
      <c r="Z55151">
        <v>400000</v>
      </c>
    </row>
    <row r="55152" spans="26:26" x14ac:dyDescent="0.25">
      <c r="Z55152">
        <v>400000</v>
      </c>
    </row>
    <row r="55153" spans="26:26" x14ac:dyDescent="0.25">
      <c r="Z55153">
        <v>400000</v>
      </c>
    </row>
    <row r="55154" spans="26:26" x14ac:dyDescent="0.25">
      <c r="Z55154">
        <v>400000</v>
      </c>
    </row>
    <row r="55155" spans="26:26" x14ac:dyDescent="0.25">
      <c r="Z55155">
        <v>400000</v>
      </c>
    </row>
    <row r="55156" spans="26:26" x14ac:dyDescent="0.25">
      <c r="Z55156">
        <v>400000</v>
      </c>
    </row>
    <row r="55157" spans="26:26" x14ac:dyDescent="0.25">
      <c r="Z55157">
        <v>400000</v>
      </c>
    </row>
    <row r="55158" spans="26:26" x14ac:dyDescent="0.25">
      <c r="Z55158">
        <v>400000</v>
      </c>
    </row>
    <row r="55159" spans="26:26" x14ac:dyDescent="0.25">
      <c r="Z55159">
        <v>400000</v>
      </c>
    </row>
    <row r="55160" spans="26:26" x14ac:dyDescent="0.25">
      <c r="Z55160">
        <v>400000</v>
      </c>
    </row>
    <row r="55161" spans="26:26" x14ac:dyDescent="0.25">
      <c r="Z55161">
        <v>400000</v>
      </c>
    </row>
    <row r="55162" spans="26:26" x14ac:dyDescent="0.25">
      <c r="Z55162">
        <v>400000</v>
      </c>
    </row>
    <row r="55163" spans="26:26" x14ac:dyDescent="0.25">
      <c r="Z55163">
        <v>400000</v>
      </c>
    </row>
    <row r="55164" spans="26:26" x14ac:dyDescent="0.25">
      <c r="Z55164">
        <v>400000</v>
      </c>
    </row>
    <row r="55165" spans="26:26" x14ac:dyDescent="0.25">
      <c r="Z55165">
        <v>400000</v>
      </c>
    </row>
    <row r="55166" spans="26:26" x14ac:dyDescent="0.25">
      <c r="Z55166">
        <v>400000</v>
      </c>
    </row>
    <row r="55167" spans="26:26" x14ac:dyDescent="0.25">
      <c r="Z55167">
        <v>400000</v>
      </c>
    </row>
    <row r="55168" spans="26:26" x14ac:dyDescent="0.25">
      <c r="Z55168">
        <v>400000</v>
      </c>
    </row>
    <row r="55169" spans="26:26" x14ac:dyDescent="0.25">
      <c r="Z55169">
        <v>400000</v>
      </c>
    </row>
    <row r="55170" spans="26:26" x14ac:dyDescent="0.25">
      <c r="Z55170">
        <v>400000</v>
      </c>
    </row>
    <row r="55171" spans="26:26" x14ac:dyDescent="0.25">
      <c r="Z55171">
        <v>400000</v>
      </c>
    </row>
    <row r="55172" spans="26:26" x14ac:dyDescent="0.25">
      <c r="Z55172">
        <v>400000</v>
      </c>
    </row>
    <row r="55173" spans="26:26" x14ac:dyDescent="0.25">
      <c r="Z55173">
        <v>400000</v>
      </c>
    </row>
    <row r="55174" spans="26:26" x14ac:dyDescent="0.25">
      <c r="Z55174">
        <v>400000</v>
      </c>
    </row>
    <row r="55175" spans="26:26" x14ac:dyDescent="0.25">
      <c r="Z55175">
        <v>400000</v>
      </c>
    </row>
    <row r="55176" spans="26:26" x14ac:dyDescent="0.25">
      <c r="Z55176">
        <v>400000</v>
      </c>
    </row>
    <row r="55177" spans="26:26" x14ac:dyDescent="0.25">
      <c r="Z55177">
        <v>400000</v>
      </c>
    </row>
    <row r="55178" spans="26:26" x14ac:dyDescent="0.25">
      <c r="Z55178">
        <v>400000</v>
      </c>
    </row>
    <row r="55179" spans="26:26" x14ac:dyDescent="0.25">
      <c r="Z55179">
        <v>400000</v>
      </c>
    </row>
    <row r="55180" spans="26:26" x14ac:dyDescent="0.25">
      <c r="Z55180">
        <v>400000</v>
      </c>
    </row>
    <row r="55181" spans="26:26" x14ac:dyDescent="0.25">
      <c r="Z55181">
        <v>400000</v>
      </c>
    </row>
    <row r="55182" spans="26:26" x14ac:dyDescent="0.25">
      <c r="Z55182">
        <v>400000</v>
      </c>
    </row>
    <row r="55183" spans="26:26" x14ac:dyDescent="0.25">
      <c r="Z55183">
        <v>400000</v>
      </c>
    </row>
    <row r="55184" spans="26:26" x14ac:dyDescent="0.25">
      <c r="Z55184">
        <v>400000</v>
      </c>
    </row>
    <row r="55185" spans="26:26" x14ac:dyDescent="0.25">
      <c r="Z55185">
        <v>400000</v>
      </c>
    </row>
    <row r="55186" spans="26:26" x14ac:dyDescent="0.25">
      <c r="Z55186">
        <v>400000</v>
      </c>
    </row>
    <row r="55187" spans="26:26" x14ac:dyDescent="0.25">
      <c r="Z55187">
        <v>400000</v>
      </c>
    </row>
    <row r="55188" spans="26:26" x14ac:dyDescent="0.25">
      <c r="Z55188">
        <v>400000</v>
      </c>
    </row>
    <row r="55189" spans="26:26" x14ac:dyDescent="0.25">
      <c r="Z55189">
        <v>400000</v>
      </c>
    </row>
    <row r="55190" spans="26:26" x14ac:dyDescent="0.25">
      <c r="Z55190">
        <v>400000</v>
      </c>
    </row>
    <row r="55191" spans="26:26" x14ac:dyDescent="0.25">
      <c r="Z55191">
        <v>400000</v>
      </c>
    </row>
    <row r="55192" spans="26:26" x14ac:dyDescent="0.25">
      <c r="Z55192">
        <v>400000</v>
      </c>
    </row>
    <row r="55193" spans="26:26" x14ac:dyDescent="0.25">
      <c r="Z55193">
        <v>400000</v>
      </c>
    </row>
    <row r="55194" spans="26:26" x14ac:dyDescent="0.25">
      <c r="Z55194">
        <v>400000</v>
      </c>
    </row>
    <row r="55195" spans="26:26" x14ac:dyDescent="0.25">
      <c r="Z55195">
        <v>400000</v>
      </c>
    </row>
    <row r="55196" spans="26:26" x14ac:dyDescent="0.25">
      <c r="Z55196">
        <v>400000</v>
      </c>
    </row>
    <row r="55197" spans="26:26" x14ac:dyDescent="0.25">
      <c r="Z55197">
        <v>400000</v>
      </c>
    </row>
    <row r="55198" spans="26:26" x14ac:dyDescent="0.25">
      <c r="Z55198">
        <v>400000</v>
      </c>
    </row>
    <row r="55199" spans="26:26" x14ac:dyDescent="0.25">
      <c r="Z55199">
        <v>400000</v>
      </c>
    </row>
    <row r="55200" spans="26:26" x14ac:dyDescent="0.25">
      <c r="Z55200">
        <v>400000</v>
      </c>
    </row>
    <row r="55201" spans="26:26" x14ac:dyDescent="0.25">
      <c r="Z55201">
        <v>400000</v>
      </c>
    </row>
    <row r="55202" spans="26:26" x14ac:dyDescent="0.25">
      <c r="Z55202">
        <v>400000</v>
      </c>
    </row>
    <row r="55203" spans="26:26" x14ac:dyDescent="0.25">
      <c r="Z55203">
        <v>400000</v>
      </c>
    </row>
    <row r="55204" spans="26:26" x14ac:dyDescent="0.25">
      <c r="Z55204">
        <v>400000</v>
      </c>
    </row>
    <row r="55205" spans="26:26" x14ac:dyDescent="0.25">
      <c r="Z55205">
        <v>400000</v>
      </c>
    </row>
    <row r="55206" spans="26:26" x14ac:dyDescent="0.25">
      <c r="Z55206">
        <v>400000</v>
      </c>
    </row>
    <row r="55207" spans="26:26" x14ac:dyDescent="0.25">
      <c r="Z55207">
        <v>400000</v>
      </c>
    </row>
    <row r="55208" spans="26:26" x14ac:dyDescent="0.25">
      <c r="Z55208">
        <v>400000</v>
      </c>
    </row>
    <row r="55209" spans="26:26" x14ac:dyDescent="0.25">
      <c r="Z55209">
        <v>400000</v>
      </c>
    </row>
    <row r="55210" spans="26:26" x14ac:dyDescent="0.25">
      <c r="Z55210">
        <v>400000</v>
      </c>
    </row>
    <row r="55211" spans="26:26" x14ac:dyDescent="0.25">
      <c r="Z55211">
        <v>400000</v>
      </c>
    </row>
    <row r="55212" spans="26:26" x14ac:dyDescent="0.25">
      <c r="Z55212">
        <v>400000</v>
      </c>
    </row>
    <row r="55213" spans="26:26" x14ac:dyDescent="0.25">
      <c r="Z55213">
        <v>400000</v>
      </c>
    </row>
    <row r="55214" spans="26:26" x14ac:dyDescent="0.25">
      <c r="Z55214">
        <v>400000</v>
      </c>
    </row>
    <row r="55215" spans="26:26" x14ac:dyDescent="0.25">
      <c r="Z55215">
        <v>400000</v>
      </c>
    </row>
    <row r="55216" spans="26:26" x14ac:dyDescent="0.25">
      <c r="Z55216">
        <v>400000</v>
      </c>
    </row>
    <row r="55217" spans="26:26" x14ac:dyDescent="0.25">
      <c r="Z55217">
        <v>400000</v>
      </c>
    </row>
    <row r="55218" spans="26:26" x14ac:dyDescent="0.25">
      <c r="Z55218">
        <v>400000</v>
      </c>
    </row>
    <row r="55219" spans="26:26" x14ac:dyDescent="0.25">
      <c r="Z55219">
        <v>400000</v>
      </c>
    </row>
    <row r="55220" spans="26:26" x14ac:dyDescent="0.25">
      <c r="Z55220">
        <v>400000</v>
      </c>
    </row>
    <row r="55221" spans="26:26" x14ac:dyDescent="0.25">
      <c r="Z55221">
        <v>400000</v>
      </c>
    </row>
    <row r="55222" spans="26:26" x14ac:dyDescent="0.25">
      <c r="Z55222">
        <v>400000</v>
      </c>
    </row>
    <row r="55223" spans="26:26" x14ac:dyDescent="0.25">
      <c r="Z55223">
        <v>400000</v>
      </c>
    </row>
    <row r="55224" spans="26:26" x14ac:dyDescent="0.25">
      <c r="Z55224">
        <v>400000</v>
      </c>
    </row>
    <row r="55225" spans="26:26" x14ac:dyDescent="0.25">
      <c r="Z55225">
        <v>400000</v>
      </c>
    </row>
    <row r="55226" spans="26:26" x14ac:dyDescent="0.25">
      <c r="Z55226">
        <v>400000</v>
      </c>
    </row>
    <row r="55227" spans="26:26" x14ac:dyDescent="0.25">
      <c r="Z55227">
        <v>400000</v>
      </c>
    </row>
    <row r="55228" spans="26:26" x14ac:dyDescent="0.25">
      <c r="Z55228">
        <v>400000</v>
      </c>
    </row>
    <row r="55229" spans="26:26" x14ac:dyDescent="0.25">
      <c r="Z55229">
        <v>400000</v>
      </c>
    </row>
    <row r="55230" spans="26:26" x14ac:dyDescent="0.25">
      <c r="Z55230">
        <v>400000</v>
      </c>
    </row>
    <row r="55231" spans="26:26" x14ac:dyDescent="0.25">
      <c r="Z55231">
        <v>400000</v>
      </c>
    </row>
    <row r="55232" spans="26:26" x14ac:dyDescent="0.25">
      <c r="Z55232">
        <v>400000</v>
      </c>
    </row>
    <row r="55233" spans="26:26" x14ac:dyDescent="0.25">
      <c r="Z55233">
        <v>400000</v>
      </c>
    </row>
    <row r="55234" spans="26:26" x14ac:dyDescent="0.25">
      <c r="Z55234">
        <v>400000</v>
      </c>
    </row>
    <row r="55235" spans="26:26" x14ac:dyDescent="0.25">
      <c r="Z55235">
        <v>400000</v>
      </c>
    </row>
    <row r="55236" spans="26:26" x14ac:dyDescent="0.25">
      <c r="Z55236">
        <v>400000</v>
      </c>
    </row>
    <row r="55237" spans="26:26" x14ac:dyDescent="0.25">
      <c r="Z55237">
        <v>400000</v>
      </c>
    </row>
    <row r="55238" spans="26:26" x14ac:dyDescent="0.25">
      <c r="Z55238">
        <v>400000</v>
      </c>
    </row>
    <row r="55239" spans="26:26" x14ac:dyDescent="0.25">
      <c r="Z55239">
        <v>400000</v>
      </c>
    </row>
    <row r="55240" spans="26:26" x14ac:dyDescent="0.25">
      <c r="Z55240">
        <v>400000</v>
      </c>
    </row>
    <row r="55241" spans="26:26" x14ac:dyDescent="0.25">
      <c r="Z55241">
        <v>400000</v>
      </c>
    </row>
    <row r="55242" spans="26:26" x14ac:dyDescent="0.25">
      <c r="Z55242">
        <v>400000</v>
      </c>
    </row>
    <row r="55243" spans="26:26" x14ac:dyDescent="0.25">
      <c r="Z55243">
        <v>400000</v>
      </c>
    </row>
    <row r="55244" spans="26:26" x14ac:dyDescent="0.25">
      <c r="Z55244">
        <v>400000</v>
      </c>
    </row>
    <row r="55245" spans="26:26" x14ac:dyDescent="0.25">
      <c r="Z55245">
        <v>400000</v>
      </c>
    </row>
    <row r="55246" spans="26:26" x14ac:dyDescent="0.25">
      <c r="Z55246">
        <v>400000</v>
      </c>
    </row>
    <row r="55247" spans="26:26" x14ac:dyDescent="0.25">
      <c r="Z55247">
        <v>400000</v>
      </c>
    </row>
    <row r="55248" spans="26:26" x14ac:dyDescent="0.25">
      <c r="Z55248">
        <v>400000</v>
      </c>
    </row>
    <row r="55249" spans="26:26" x14ac:dyDescent="0.25">
      <c r="Z55249">
        <v>400000</v>
      </c>
    </row>
    <row r="55250" spans="26:26" x14ac:dyDescent="0.25">
      <c r="Z55250">
        <v>400000</v>
      </c>
    </row>
    <row r="55251" spans="26:26" x14ac:dyDescent="0.25">
      <c r="Z55251">
        <v>400000</v>
      </c>
    </row>
    <row r="55252" spans="26:26" x14ac:dyDescent="0.25">
      <c r="Z55252">
        <v>400000</v>
      </c>
    </row>
    <row r="55253" spans="26:26" x14ac:dyDescent="0.25">
      <c r="Z55253">
        <v>400000</v>
      </c>
    </row>
    <row r="55254" spans="26:26" x14ac:dyDescent="0.25">
      <c r="Z55254">
        <v>400000</v>
      </c>
    </row>
    <row r="55255" spans="26:26" x14ac:dyDescent="0.25">
      <c r="Z55255">
        <v>400000</v>
      </c>
    </row>
    <row r="55256" spans="26:26" x14ac:dyDescent="0.25">
      <c r="Z55256">
        <v>400000</v>
      </c>
    </row>
    <row r="55257" spans="26:26" x14ac:dyDescent="0.25">
      <c r="Z55257">
        <v>400000</v>
      </c>
    </row>
    <row r="55258" spans="26:26" x14ac:dyDescent="0.25">
      <c r="Z55258">
        <v>400000</v>
      </c>
    </row>
    <row r="55259" spans="26:26" x14ac:dyDescent="0.25">
      <c r="Z55259">
        <v>400000</v>
      </c>
    </row>
    <row r="55260" spans="26:26" x14ac:dyDescent="0.25">
      <c r="Z55260">
        <v>400000</v>
      </c>
    </row>
    <row r="55261" spans="26:26" x14ac:dyDescent="0.25">
      <c r="Z55261">
        <v>400000</v>
      </c>
    </row>
    <row r="55262" spans="26:26" x14ac:dyDescent="0.25">
      <c r="Z55262">
        <v>400000</v>
      </c>
    </row>
    <row r="55263" spans="26:26" x14ac:dyDescent="0.25">
      <c r="Z55263">
        <v>400000</v>
      </c>
    </row>
    <row r="55264" spans="26:26" x14ac:dyDescent="0.25">
      <c r="Z55264">
        <v>400000</v>
      </c>
    </row>
    <row r="55265" spans="26:26" x14ac:dyDescent="0.25">
      <c r="Z55265">
        <v>400000</v>
      </c>
    </row>
    <row r="55266" spans="26:26" x14ac:dyDescent="0.25">
      <c r="Z55266">
        <v>400000</v>
      </c>
    </row>
    <row r="55267" spans="26:26" x14ac:dyDescent="0.25">
      <c r="Z55267">
        <v>400000</v>
      </c>
    </row>
    <row r="55268" spans="26:26" x14ac:dyDescent="0.25">
      <c r="Z55268">
        <v>400000</v>
      </c>
    </row>
    <row r="55269" spans="26:26" x14ac:dyDescent="0.25">
      <c r="Z55269">
        <v>400000</v>
      </c>
    </row>
    <row r="55270" spans="26:26" x14ac:dyDescent="0.25">
      <c r="Z55270">
        <v>400000</v>
      </c>
    </row>
    <row r="55271" spans="26:26" x14ac:dyDescent="0.25">
      <c r="Z55271">
        <v>400000</v>
      </c>
    </row>
    <row r="55272" spans="26:26" x14ac:dyDescent="0.25">
      <c r="Z55272">
        <v>400000</v>
      </c>
    </row>
    <row r="55273" spans="26:26" x14ac:dyDescent="0.25">
      <c r="Z55273">
        <v>400000</v>
      </c>
    </row>
    <row r="55274" spans="26:26" x14ac:dyDescent="0.25">
      <c r="Z55274">
        <v>400000</v>
      </c>
    </row>
    <row r="55275" spans="26:26" x14ac:dyDescent="0.25">
      <c r="Z55275">
        <v>400000</v>
      </c>
    </row>
    <row r="55276" spans="26:26" x14ac:dyDescent="0.25">
      <c r="Z55276">
        <v>400000</v>
      </c>
    </row>
    <row r="55277" spans="26:26" x14ac:dyDescent="0.25">
      <c r="Z55277">
        <v>400000</v>
      </c>
    </row>
    <row r="55278" spans="26:26" x14ac:dyDescent="0.25">
      <c r="Z55278">
        <v>400000</v>
      </c>
    </row>
    <row r="55279" spans="26:26" x14ac:dyDescent="0.25">
      <c r="Z55279">
        <v>400000</v>
      </c>
    </row>
    <row r="55280" spans="26:26" x14ac:dyDescent="0.25">
      <c r="Z55280">
        <v>400000</v>
      </c>
    </row>
    <row r="55281" spans="26:26" x14ac:dyDescent="0.25">
      <c r="Z55281">
        <v>400000</v>
      </c>
    </row>
    <row r="55282" spans="26:26" x14ac:dyDescent="0.25">
      <c r="Z55282">
        <v>400000</v>
      </c>
    </row>
    <row r="55283" spans="26:26" x14ac:dyDescent="0.25">
      <c r="Z55283">
        <v>400000</v>
      </c>
    </row>
    <row r="55284" spans="26:26" x14ac:dyDescent="0.25">
      <c r="Z55284">
        <v>400000</v>
      </c>
    </row>
    <row r="55285" spans="26:26" x14ac:dyDescent="0.25">
      <c r="Z55285">
        <v>400000</v>
      </c>
    </row>
    <row r="55286" spans="26:26" x14ac:dyDescent="0.25">
      <c r="Z55286">
        <v>400000</v>
      </c>
    </row>
    <row r="55287" spans="26:26" x14ac:dyDescent="0.25">
      <c r="Z55287">
        <v>400000</v>
      </c>
    </row>
    <row r="55288" spans="26:26" x14ac:dyDescent="0.25">
      <c r="Z55288">
        <v>400000</v>
      </c>
    </row>
    <row r="55289" spans="26:26" x14ac:dyDescent="0.25">
      <c r="Z55289">
        <v>400000</v>
      </c>
    </row>
    <row r="55290" spans="26:26" x14ac:dyDescent="0.25">
      <c r="Z55290">
        <v>400000</v>
      </c>
    </row>
    <row r="55291" spans="26:26" x14ac:dyDescent="0.25">
      <c r="Z55291">
        <v>400000</v>
      </c>
    </row>
    <row r="55292" spans="26:26" x14ac:dyDescent="0.25">
      <c r="Z55292">
        <v>400000</v>
      </c>
    </row>
    <row r="55293" spans="26:26" x14ac:dyDescent="0.25">
      <c r="Z55293">
        <v>400000</v>
      </c>
    </row>
    <row r="55294" spans="26:26" x14ac:dyDescent="0.25">
      <c r="Z55294">
        <v>400000</v>
      </c>
    </row>
    <row r="55295" spans="26:26" x14ac:dyDescent="0.25">
      <c r="Z55295">
        <v>400000</v>
      </c>
    </row>
    <row r="55296" spans="26:26" x14ac:dyDescent="0.25">
      <c r="Z55296">
        <v>400000</v>
      </c>
    </row>
    <row r="55297" spans="26:26" x14ac:dyDescent="0.25">
      <c r="Z55297">
        <v>400000</v>
      </c>
    </row>
    <row r="55298" spans="26:26" x14ac:dyDescent="0.25">
      <c r="Z55298">
        <v>400000</v>
      </c>
    </row>
    <row r="55299" spans="26:26" x14ac:dyDescent="0.25">
      <c r="Z55299">
        <v>400000</v>
      </c>
    </row>
    <row r="55300" spans="26:26" x14ac:dyDescent="0.25">
      <c r="Z55300">
        <v>400000</v>
      </c>
    </row>
    <row r="55301" spans="26:26" x14ac:dyDescent="0.25">
      <c r="Z55301">
        <v>400000</v>
      </c>
    </row>
    <row r="55302" spans="26:26" x14ac:dyDescent="0.25">
      <c r="Z55302">
        <v>400000</v>
      </c>
    </row>
    <row r="55303" spans="26:26" x14ac:dyDescent="0.25">
      <c r="Z55303">
        <v>400000</v>
      </c>
    </row>
    <row r="55304" spans="26:26" x14ac:dyDescent="0.25">
      <c r="Z55304">
        <v>400000</v>
      </c>
    </row>
    <row r="55305" spans="26:26" x14ac:dyDescent="0.25">
      <c r="Z55305">
        <v>400000</v>
      </c>
    </row>
    <row r="55306" spans="26:26" x14ac:dyDescent="0.25">
      <c r="Z55306">
        <v>400000</v>
      </c>
    </row>
    <row r="55307" spans="26:26" x14ac:dyDescent="0.25">
      <c r="Z55307">
        <v>400000</v>
      </c>
    </row>
    <row r="55308" spans="26:26" x14ac:dyDescent="0.25">
      <c r="Z55308">
        <v>400000</v>
      </c>
    </row>
    <row r="55309" spans="26:26" x14ac:dyDescent="0.25">
      <c r="Z55309">
        <v>400000</v>
      </c>
    </row>
    <row r="55310" spans="26:26" x14ac:dyDescent="0.25">
      <c r="Z55310">
        <v>400000</v>
      </c>
    </row>
    <row r="55311" spans="26:26" x14ac:dyDescent="0.25">
      <c r="Z55311">
        <v>400000</v>
      </c>
    </row>
    <row r="55312" spans="26:26" x14ac:dyDescent="0.25">
      <c r="Z55312">
        <v>400000</v>
      </c>
    </row>
    <row r="55313" spans="26:26" x14ac:dyDescent="0.25">
      <c r="Z55313">
        <v>400000</v>
      </c>
    </row>
    <row r="55314" spans="26:26" x14ac:dyDescent="0.25">
      <c r="Z55314">
        <v>400000</v>
      </c>
    </row>
    <row r="55315" spans="26:26" x14ac:dyDescent="0.25">
      <c r="Z55315">
        <v>400000</v>
      </c>
    </row>
    <row r="55316" spans="26:26" x14ac:dyDescent="0.25">
      <c r="Z55316">
        <v>400000</v>
      </c>
    </row>
    <row r="55317" spans="26:26" x14ac:dyDescent="0.25">
      <c r="Z55317">
        <v>400000</v>
      </c>
    </row>
    <row r="55318" spans="26:26" x14ac:dyDescent="0.25">
      <c r="Z55318">
        <v>400000</v>
      </c>
    </row>
    <row r="55319" spans="26:26" x14ac:dyDescent="0.25">
      <c r="Z55319">
        <v>400000</v>
      </c>
    </row>
    <row r="55320" spans="26:26" x14ac:dyDescent="0.25">
      <c r="Z55320">
        <v>400000</v>
      </c>
    </row>
    <row r="55321" spans="26:26" x14ac:dyDescent="0.25">
      <c r="Z55321">
        <v>400000</v>
      </c>
    </row>
    <row r="55322" spans="26:26" x14ac:dyDescent="0.25">
      <c r="Z55322">
        <v>400000</v>
      </c>
    </row>
    <row r="55323" spans="26:26" x14ac:dyDescent="0.25">
      <c r="Z55323">
        <v>400000</v>
      </c>
    </row>
    <row r="55324" spans="26:26" x14ac:dyDescent="0.25">
      <c r="Z55324">
        <v>400000</v>
      </c>
    </row>
    <row r="55325" spans="26:26" x14ac:dyDescent="0.25">
      <c r="Z55325">
        <v>400000</v>
      </c>
    </row>
    <row r="55326" spans="26:26" x14ac:dyDescent="0.25">
      <c r="Z55326">
        <v>400000</v>
      </c>
    </row>
    <row r="55327" spans="26:26" x14ac:dyDescent="0.25">
      <c r="Z55327">
        <v>400000</v>
      </c>
    </row>
    <row r="55328" spans="26:26" x14ac:dyDescent="0.25">
      <c r="Z55328">
        <v>400000</v>
      </c>
    </row>
    <row r="55329" spans="26:26" x14ac:dyDescent="0.25">
      <c r="Z55329">
        <v>400000</v>
      </c>
    </row>
    <row r="55330" spans="26:26" x14ac:dyDescent="0.25">
      <c r="Z55330">
        <v>400000</v>
      </c>
    </row>
    <row r="55331" spans="26:26" x14ac:dyDescent="0.25">
      <c r="Z55331">
        <v>400000</v>
      </c>
    </row>
    <row r="55332" spans="26:26" x14ac:dyDescent="0.25">
      <c r="Z55332">
        <v>400000</v>
      </c>
    </row>
    <row r="55333" spans="26:26" x14ac:dyDescent="0.25">
      <c r="Z55333">
        <v>400000</v>
      </c>
    </row>
    <row r="55334" spans="26:26" x14ac:dyDescent="0.25">
      <c r="Z55334">
        <v>400000</v>
      </c>
    </row>
    <row r="55335" spans="26:26" x14ac:dyDescent="0.25">
      <c r="Z55335">
        <v>400000</v>
      </c>
    </row>
    <row r="55336" spans="26:26" x14ac:dyDescent="0.25">
      <c r="Z55336">
        <v>400000</v>
      </c>
    </row>
    <row r="55337" spans="26:26" x14ac:dyDescent="0.25">
      <c r="Z55337">
        <v>400000</v>
      </c>
    </row>
    <row r="55338" spans="26:26" x14ac:dyDescent="0.25">
      <c r="Z55338">
        <v>400000</v>
      </c>
    </row>
    <row r="55339" spans="26:26" x14ac:dyDescent="0.25">
      <c r="Z55339">
        <v>400000</v>
      </c>
    </row>
    <row r="55340" spans="26:26" x14ac:dyDescent="0.25">
      <c r="Z55340">
        <v>400000</v>
      </c>
    </row>
    <row r="55341" spans="26:26" x14ac:dyDescent="0.25">
      <c r="Z55341">
        <v>400000</v>
      </c>
    </row>
    <row r="55342" spans="26:26" x14ac:dyDescent="0.25">
      <c r="Z55342">
        <v>400000</v>
      </c>
    </row>
    <row r="55343" spans="26:26" x14ac:dyDescent="0.25">
      <c r="Z55343">
        <v>400000</v>
      </c>
    </row>
    <row r="55344" spans="26:26" x14ac:dyDescent="0.25">
      <c r="Z55344">
        <v>400000</v>
      </c>
    </row>
    <row r="55345" spans="26:26" x14ac:dyDescent="0.25">
      <c r="Z55345">
        <v>400000</v>
      </c>
    </row>
    <row r="55346" spans="26:26" x14ac:dyDescent="0.25">
      <c r="Z55346">
        <v>400000</v>
      </c>
    </row>
    <row r="55347" spans="26:26" x14ac:dyDescent="0.25">
      <c r="Z55347">
        <v>400000</v>
      </c>
    </row>
    <row r="55348" spans="26:26" x14ac:dyDescent="0.25">
      <c r="Z55348">
        <v>400000</v>
      </c>
    </row>
    <row r="55349" spans="26:26" x14ac:dyDescent="0.25">
      <c r="Z55349">
        <v>400000</v>
      </c>
    </row>
    <row r="55350" spans="26:26" x14ac:dyDescent="0.25">
      <c r="Z55350">
        <v>400000</v>
      </c>
    </row>
    <row r="55351" spans="26:26" x14ac:dyDescent="0.25">
      <c r="Z55351">
        <v>400000</v>
      </c>
    </row>
    <row r="55352" spans="26:26" x14ac:dyDescent="0.25">
      <c r="Z55352">
        <v>400000</v>
      </c>
    </row>
    <row r="55353" spans="26:26" x14ac:dyDescent="0.25">
      <c r="Z55353">
        <v>400000</v>
      </c>
    </row>
    <row r="55354" spans="26:26" x14ac:dyDescent="0.25">
      <c r="Z55354">
        <v>400000</v>
      </c>
    </row>
    <row r="55355" spans="26:26" x14ac:dyDescent="0.25">
      <c r="Z55355">
        <v>400000</v>
      </c>
    </row>
    <row r="55356" spans="26:26" x14ac:dyDescent="0.25">
      <c r="Z55356">
        <v>400000</v>
      </c>
    </row>
    <row r="55357" spans="26:26" x14ac:dyDescent="0.25">
      <c r="Z55357">
        <v>400000</v>
      </c>
    </row>
    <row r="55358" spans="26:26" x14ac:dyDescent="0.25">
      <c r="Z55358">
        <v>400000</v>
      </c>
    </row>
    <row r="55359" spans="26:26" x14ac:dyDescent="0.25">
      <c r="Z55359">
        <v>400000</v>
      </c>
    </row>
    <row r="55360" spans="26:26" x14ac:dyDescent="0.25">
      <c r="Z55360">
        <v>400000</v>
      </c>
    </row>
    <row r="55361" spans="26:26" x14ac:dyDescent="0.25">
      <c r="Z55361">
        <v>400000</v>
      </c>
    </row>
    <row r="55362" spans="26:26" x14ac:dyDescent="0.25">
      <c r="Z55362">
        <v>400000</v>
      </c>
    </row>
    <row r="55363" spans="26:26" x14ac:dyDescent="0.25">
      <c r="Z55363">
        <v>400000</v>
      </c>
    </row>
    <row r="55364" spans="26:26" x14ac:dyDescent="0.25">
      <c r="Z55364">
        <v>400000</v>
      </c>
    </row>
    <row r="55365" spans="26:26" x14ac:dyDescent="0.25">
      <c r="Z55365">
        <v>400000</v>
      </c>
    </row>
    <row r="55366" spans="26:26" x14ac:dyDescent="0.25">
      <c r="Z55366">
        <v>400000</v>
      </c>
    </row>
    <row r="55367" spans="26:26" x14ac:dyDescent="0.25">
      <c r="Z55367">
        <v>400000</v>
      </c>
    </row>
    <row r="55368" spans="26:26" x14ac:dyDescent="0.25">
      <c r="Z55368">
        <v>400000</v>
      </c>
    </row>
    <row r="55369" spans="26:26" x14ac:dyDescent="0.25">
      <c r="Z55369">
        <v>400000</v>
      </c>
    </row>
    <row r="55370" spans="26:26" x14ac:dyDescent="0.25">
      <c r="Z55370">
        <v>400000</v>
      </c>
    </row>
    <row r="55371" spans="26:26" x14ac:dyDescent="0.25">
      <c r="Z55371">
        <v>400000</v>
      </c>
    </row>
    <row r="55372" spans="26:26" x14ac:dyDescent="0.25">
      <c r="Z55372">
        <v>400000</v>
      </c>
    </row>
    <row r="55373" spans="26:26" x14ac:dyDescent="0.25">
      <c r="Z55373">
        <v>400000</v>
      </c>
    </row>
    <row r="55374" spans="26:26" x14ac:dyDescent="0.25">
      <c r="Z55374">
        <v>400000</v>
      </c>
    </row>
    <row r="55375" spans="26:26" x14ac:dyDescent="0.25">
      <c r="Z55375">
        <v>400000</v>
      </c>
    </row>
    <row r="55376" spans="26:26" x14ac:dyDescent="0.25">
      <c r="Z55376">
        <v>400000</v>
      </c>
    </row>
    <row r="55377" spans="26:26" x14ac:dyDescent="0.25">
      <c r="Z55377">
        <v>400000</v>
      </c>
    </row>
    <row r="55378" spans="26:26" x14ac:dyDescent="0.25">
      <c r="Z55378">
        <v>400000</v>
      </c>
    </row>
    <row r="55379" spans="26:26" x14ac:dyDescent="0.25">
      <c r="Z55379">
        <v>400000</v>
      </c>
    </row>
    <row r="55380" spans="26:26" x14ac:dyDescent="0.25">
      <c r="Z55380">
        <v>400000</v>
      </c>
    </row>
    <row r="55381" spans="26:26" x14ac:dyDescent="0.25">
      <c r="Z55381">
        <v>400000</v>
      </c>
    </row>
    <row r="55382" spans="26:26" x14ac:dyDescent="0.25">
      <c r="Z55382">
        <v>400000</v>
      </c>
    </row>
    <row r="55383" spans="26:26" x14ac:dyDescent="0.25">
      <c r="Z55383">
        <v>400000</v>
      </c>
    </row>
    <row r="55384" spans="26:26" x14ac:dyDescent="0.25">
      <c r="Z55384">
        <v>400000</v>
      </c>
    </row>
    <row r="55385" spans="26:26" x14ac:dyDescent="0.25">
      <c r="Z55385">
        <v>400000</v>
      </c>
    </row>
    <row r="55386" spans="26:26" x14ac:dyDescent="0.25">
      <c r="Z55386">
        <v>400000</v>
      </c>
    </row>
    <row r="55387" spans="26:26" x14ac:dyDescent="0.25">
      <c r="Z55387">
        <v>400000</v>
      </c>
    </row>
    <row r="55388" spans="26:26" x14ac:dyDescent="0.25">
      <c r="Z55388">
        <v>400000</v>
      </c>
    </row>
    <row r="55389" spans="26:26" x14ac:dyDescent="0.25">
      <c r="Z55389">
        <v>400000</v>
      </c>
    </row>
    <row r="55390" spans="26:26" x14ac:dyDescent="0.25">
      <c r="Z55390">
        <v>400000</v>
      </c>
    </row>
    <row r="55391" spans="26:26" x14ac:dyDescent="0.25">
      <c r="Z55391">
        <v>400000</v>
      </c>
    </row>
    <row r="55392" spans="26:26" x14ac:dyDescent="0.25">
      <c r="Z55392">
        <v>400000</v>
      </c>
    </row>
    <row r="55393" spans="26:26" x14ac:dyDescent="0.25">
      <c r="Z55393">
        <v>400000</v>
      </c>
    </row>
    <row r="55394" spans="26:26" x14ac:dyDescent="0.25">
      <c r="Z55394">
        <v>400000</v>
      </c>
    </row>
    <row r="55395" spans="26:26" x14ac:dyDescent="0.25">
      <c r="Z55395">
        <v>400000</v>
      </c>
    </row>
    <row r="55396" spans="26:26" x14ac:dyDescent="0.25">
      <c r="Z55396">
        <v>400000</v>
      </c>
    </row>
    <row r="55397" spans="26:26" x14ac:dyDescent="0.25">
      <c r="Z55397">
        <v>400000</v>
      </c>
    </row>
    <row r="55398" spans="26:26" x14ac:dyDescent="0.25">
      <c r="Z55398">
        <v>400000</v>
      </c>
    </row>
    <row r="55399" spans="26:26" x14ac:dyDescent="0.25">
      <c r="Z55399">
        <v>400000</v>
      </c>
    </row>
    <row r="55400" spans="26:26" x14ac:dyDescent="0.25">
      <c r="Z55400">
        <v>400000</v>
      </c>
    </row>
    <row r="55401" spans="26:26" x14ac:dyDescent="0.25">
      <c r="Z55401">
        <v>400000</v>
      </c>
    </row>
    <row r="55402" spans="26:26" x14ac:dyDescent="0.25">
      <c r="Z55402">
        <v>400000</v>
      </c>
    </row>
    <row r="55403" spans="26:26" x14ac:dyDescent="0.25">
      <c r="Z55403">
        <v>400000</v>
      </c>
    </row>
    <row r="55404" spans="26:26" x14ac:dyDescent="0.25">
      <c r="Z55404">
        <v>400000</v>
      </c>
    </row>
    <row r="55405" spans="26:26" x14ac:dyDescent="0.25">
      <c r="Z55405">
        <v>400000</v>
      </c>
    </row>
    <row r="55406" spans="26:26" x14ac:dyDescent="0.25">
      <c r="Z55406">
        <v>400000</v>
      </c>
    </row>
    <row r="55407" spans="26:26" x14ac:dyDescent="0.25">
      <c r="Z55407">
        <v>400000</v>
      </c>
    </row>
    <row r="55408" spans="26:26" x14ac:dyDescent="0.25">
      <c r="Z55408">
        <v>400000</v>
      </c>
    </row>
    <row r="55409" spans="26:26" x14ac:dyDescent="0.25">
      <c r="Z55409">
        <v>400000</v>
      </c>
    </row>
    <row r="55410" spans="26:26" x14ac:dyDescent="0.25">
      <c r="Z55410">
        <v>400000</v>
      </c>
    </row>
    <row r="55411" spans="26:26" x14ac:dyDescent="0.25">
      <c r="Z55411">
        <v>400000</v>
      </c>
    </row>
    <row r="55412" spans="26:26" x14ac:dyDescent="0.25">
      <c r="Z55412">
        <v>400000</v>
      </c>
    </row>
    <row r="55413" spans="26:26" x14ac:dyDescent="0.25">
      <c r="Z55413">
        <v>400000</v>
      </c>
    </row>
    <row r="55414" spans="26:26" x14ac:dyDescent="0.25">
      <c r="Z55414">
        <v>400000</v>
      </c>
    </row>
    <row r="55415" spans="26:26" x14ac:dyDescent="0.25">
      <c r="Z55415">
        <v>400000</v>
      </c>
    </row>
    <row r="55416" spans="26:26" x14ac:dyDescent="0.25">
      <c r="Z55416">
        <v>400000</v>
      </c>
    </row>
    <row r="55417" spans="26:26" x14ac:dyDescent="0.25">
      <c r="Z55417">
        <v>400000</v>
      </c>
    </row>
    <row r="55418" spans="26:26" x14ac:dyDescent="0.25">
      <c r="Z55418">
        <v>400000</v>
      </c>
    </row>
    <row r="55419" spans="26:26" x14ac:dyDescent="0.25">
      <c r="Z55419">
        <v>400000</v>
      </c>
    </row>
    <row r="55420" spans="26:26" x14ac:dyDescent="0.25">
      <c r="Z55420">
        <v>400000</v>
      </c>
    </row>
    <row r="55421" spans="26:26" x14ac:dyDescent="0.25">
      <c r="Z55421">
        <v>400000</v>
      </c>
    </row>
    <row r="55422" spans="26:26" x14ac:dyDescent="0.25">
      <c r="Z55422">
        <v>400000</v>
      </c>
    </row>
    <row r="55423" spans="26:26" x14ac:dyDescent="0.25">
      <c r="Z55423">
        <v>400000</v>
      </c>
    </row>
    <row r="55424" spans="26:26" x14ac:dyDescent="0.25">
      <c r="Z55424">
        <v>400000</v>
      </c>
    </row>
    <row r="55425" spans="26:26" x14ac:dyDescent="0.25">
      <c r="Z55425">
        <v>400000</v>
      </c>
    </row>
    <row r="55426" spans="26:26" x14ac:dyDescent="0.25">
      <c r="Z55426">
        <v>400000</v>
      </c>
    </row>
    <row r="55427" spans="26:26" x14ac:dyDescent="0.25">
      <c r="Z55427">
        <v>400000</v>
      </c>
    </row>
    <row r="55428" spans="26:26" x14ac:dyDescent="0.25">
      <c r="Z55428">
        <v>400000</v>
      </c>
    </row>
    <row r="55429" spans="26:26" x14ac:dyDescent="0.25">
      <c r="Z55429">
        <v>400000</v>
      </c>
    </row>
    <row r="55430" spans="26:26" x14ac:dyDescent="0.25">
      <c r="Z55430">
        <v>400000</v>
      </c>
    </row>
    <row r="55431" spans="26:26" x14ac:dyDescent="0.25">
      <c r="Z55431">
        <v>400000</v>
      </c>
    </row>
    <row r="55432" spans="26:26" x14ac:dyDescent="0.25">
      <c r="Z55432">
        <v>400000</v>
      </c>
    </row>
    <row r="55433" spans="26:26" x14ac:dyDescent="0.25">
      <c r="Z55433">
        <v>400000</v>
      </c>
    </row>
    <row r="55434" spans="26:26" x14ac:dyDescent="0.25">
      <c r="Z55434">
        <v>400000</v>
      </c>
    </row>
    <row r="55435" spans="26:26" x14ac:dyDescent="0.25">
      <c r="Z55435">
        <v>400000</v>
      </c>
    </row>
    <row r="55436" spans="26:26" x14ac:dyDescent="0.25">
      <c r="Z55436">
        <v>400000</v>
      </c>
    </row>
    <row r="55437" spans="26:26" x14ac:dyDescent="0.25">
      <c r="Z55437">
        <v>400000</v>
      </c>
    </row>
    <row r="55438" spans="26:26" x14ac:dyDescent="0.25">
      <c r="Z55438">
        <v>400000</v>
      </c>
    </row>
    <row r="55439" spans="26:26" x14ac:dyDescent="0.25">
      <c r="Z55439">
        <v>400000</v>
      </c>
    </row>
    <row r="55440" spans="26:26" x14ac:dyDescent="0.25">
      <c r="Z55440">
        <v>400000</v>
      </c>
    </row>
    <row r="55441" spans="26:26" x14ac:dyDescent="0.25">
      <c r="Z55441">
        <v>400000</v>
      </c>
    </row>
    <row r="55442" spans="26:26" x14ac:dyDescent="0.25">
      <c r="Z55442">
        <v>400000</v>
      </c>
    </row>
    <row r="55443" spans="26:26" x14ac:dyDescent="0.25">
      <c r="Z55443">
        <v>400000</v>
      </c>
    </row>
    <row r="55444" spans="26:26" x14ac:dyDescent="0.25">
      <c r="Z55444">
        <v>400000</v>
      </c>
    </row>
    <row r="55445" spans="26:26" x14ac:dyDescent="0.25">
      <c r="Z55445">
        <v>400000</v>
      </c>
    </row>
    <row r="55446" spans="26:26" x14ac:dyDescent="0.25">
      <c r="Z55446">
        <v>400000</v>
      </c>
    </row>
    <row r="55447" spans="26:26" x14ac:dyDescent="0.25">
      <c r="Z55447">
        <v>400000</v>
      </c>
    </row>
    <row r="55448" spans="26:26" x14ac:dyDescent="0.25">
      <c r="Z55448">
        <v>400000</v>
      </c>
    </row>
    <row r="55449" spans="26:26" x14ac:dyDescent="0.25">
      <c r="Z55449">
        <v>400000</v>
      </c>
    </row>
    <row r="55450" spans="26:26" x14ac:dyDescent="0.25">
      <c r="Z55450">
        <v>400000</v>
      </c>
    </row>
    <row r="55451" spans="26:26" x14ac:dyDescent="0.25">
      <c r="Z55451">
        <v>400000</v>
      </c>
    </row>
    <row r="55452" spans="26:26" x14ac:dyDescent="0.25">
      <c r="Z55452">
        <v>400000</v>
      </c>
    </row>
    <row r="55453" spans="26:26" x14ac:dyDescent="0.25">
      <c r="Z55453">
        <v>400000</v>
      </c>
    </row>
    <row r="55454" spans="26:26" x14ac:dyDescent="0.25">
      <c r="Z55454">
        <v>400000</v>
      </c>
    </row>
    <row r="55455" spans="26:26" x14ac:dyDescent="0.25">
      <c r="Z55455">
        <v>400000</v>
      </c>
    </row>
    <row r="55456" spans="26:26" x14ac:dyDescent="0.25">
      <c r="Z55456">
        <v>400000</v>
      </c>
    </row>
    <row r="55457" spans="26:26" x14ac:dyDescent="0.25">
      <c r="Z55457">
        <v>400000</v>
      </c>
    </row>
    <row r="55458" spans="26:26" x14ac:dyDescent="0.25">
      <c r="Z55458">
        <v>400000</v>
      </c>
    </row>
    <row r="55459" spans="26:26" x14ac:dyDescent="0.25">
      <c r="Z55459">
        <v>400000</v>
      </c>
    </row>
    <row r="55460" spans="26:26" x14ac:dyDescent="0.25">
      <c r="Z55460">
        <v>400000</v>
      </c>
    </row>
    <row r="55461" spans="26:26" x14ac:dyDescent="0.25">
      <c r="Z55461">
        <v>400000</v>
      </c>
    </row>
    <row r="55462" spans="26:26" x14ac:dyDescent="0.25">
      <c r="Z55462">
        <v>400000</v>
      </c>
    </row>
    <row r="55463" spans="26:26" x14ac:dyDescent="0.25">
      <c r="Z55463">
        <v>400000</v>
      </c>
    </row>
    <row r="55464" spans="26:26" x14ac:dyDescent="0.25">
      <c r="Z55464">
        <v>400000</v>
      </c>
    </row>
    <row r="55465" spans="26:26" x14ac:dyDescent="0.25">
      <c r="Z55465">
        <v>400000</v>
      </c>
    </row>
    <row r="55466" spans="26:26" x14ac:dyDescent="0.25">
      <c r="Z55466">
        <v>400000</v>
      </c>
    </row>
    <row r="55467" spans="26:26" x14ac:dyDescent="0.25">
      <c r="Z55467">
        <v>400000</v>
      </c>
    </row>
    <row r="55468" spans="26:26" x14ac:dyDescent="0.25">
      <c r="Z55468">
        <v>400000</v>
      </c>
    </row>
    <row r="55469" spans="26:26" x14ac:dyDescent="0.25">
      <c r="Z55469">
        <v>400000</v>
      </c>
    </row>
    <row r="55470" spans="26:26" x14ac:dyDescent="0.25">
      <c r="Z55470">
        <v>400000</v>
      </c>
    </row>
    <row r="55471" spans="26:26" x14ac:dyDescent="0.25">
      <c r="Z55471">
        <v>400000</v>
      </c>
    </row>
    <row r="55472" spans="26:26" x14ac:dyDescent="0.25">
      <c r="Z55472">
        <v>400000</v>
      </c>
    </row>
    <row r="55473" spans="26:26" x14ac:dyDescent="0.25">
      <c r="Z55473">
        <v>400000</v>
      </c>
    </row>
    <row r="55474" spans="26:26" x14ac:dyDescent="0.25">
      <c r="Z55474">
        <v>400000</v>
      </c>
    </row>
    <row r="55475" spans="26:26" x14ac:dyDescent="0.25">
      <c r="Z55475">
        <v>400000</v>
      </c>
    </row>
    <row r="55476" spans="26:26" x14ac:dyDescent="0.25">
      <c r="Z55476">
        <v>400000</v>
      </c>
    </row>
    <row r="55477" spans="26:26" x14ac:dyDescent="0.25">
      <c r="Z55477">
        <v>400000</v>
      </c>
    </row>
    <row r="55478" spans="26:26" x14ac:dyDescent="0.25">
      <c r="Z55478">
        <v>400000</v>
      </c>
    </row>
    <row r="55479" spans="26:26" x14ac:dyDescent="0.25">
      <c r="Z55479">
        <v>400000</v>
      </c>
    </row>
    <row r="55480" spans="26:26" x14ac:dyDescent="0.25">
      <c r="Z55480">
        <v>400000</v>
      </c>
    </row>
    <row r="55481" spans="26:26" x14ac:dyDescent="0.25">
      <c r="Z55481">
        <v>400000</v>
      </c>
    </row>
    <row r="55482" spans="26:26" x14ac:dyDescent="0.25">
      <c r="Z55482">
        <v>400000</v>
      </c>
    </row>
    <row r="55483" spans="26:26" x14ac:dyDescent="0.25">
      <c r="Z55483">
        <v>400000</v>
      </c>
    </row>
    <row r="55484" spans="26:26" x14ac:dyDescent="0.25">
      <c r="Z55484">
        <v>400000</v>
      </c>
    </row>
    <row r="55485" spans="26:26" x14ac:dyDescent="0.25">
      <c r="Z55485">
        <v>400000</v>
      </c>
    </row>
    <row r="55486" spans="26:26" x14ac:dyDescent="0.25">
      <c r="Z55486">
        <v>400000</v>
      </c>
    </row>
    <row r="55487" spans="26:26" x14ac:dyDescent="0.25">
      <c r="Z55487">
        <v>400000</v>
      </c>
    </row>
    <row r="55488" spans="26:26" x14ac:dyDescent="0.25">
      <c r="Z55488">
        <v>400000</v>
      </c>
    </row>
    <row r="55489" spans="26:26" x14ac:dyDescent="0.25">
      <c r="Z55489">
        <v>400000</v>
      </c>
    </row>
    <row r="55490" spans="26:26" x14ac:dyDescent="0.25">
      <c r="Z55490">
        <v>400000</v>
      </c>
    </row>
    <row r="55491" spans="26:26" x14ac:dyDescent="0.25">
      <c r="Z55491">
        <v>400000</v>
      </c>
    </row>
    <row r="55492" spans="26:26" x14ac:dyDescent="0.25">
      <c r="Z55492">
        <v>400000</v>
      </c>
    </row>
    <row r="55493" spans="26:26" x14ac:dyDescent="0.25">
      <c r="Z55493">
        <v>400000</v>
      </c>
    </row>
    <row r="55494" spans="26:26" x14ac:dyDescent="0.25">
      <c r="Z55494">
        <v>400000</v>
      </c>
    </row>
    <row r="55495" spans="26:26" x14ac:dyDescent="0.25">
      <c r="Z55495">
        <v>400000</v>
      </c>
    </row>
    <row r="55496" spans="26:26" x14ac:dyDescent="0.25">
      <c r="Z55496">
        <v>400000</v>
      </c>
    </row>
    <row r="55497" spans="26:26" x14ac:dyDescent="0.25">
      <c r="Z55497">
        <v>400000</v>
      </c>
    </row>
    <row r="55498" spans="26:26" x14ac:dyDescent="0.25">
      <c r="Z55498">
        <v>400000</v>
      </c>
    </row>
    <row r="55499" spans="26:26" x14ac:dyDescent="0.25">
      <c r="Z55499">
        <v>400000</v>
      </c>
    </row>
    <row r="55500" spans="26:26" x14ac:dyDescent="0.25">
      <c r="Z55500">
        <v>400000</v>
      </c>
    </row>
    <row r="55501" spans="26:26" x14ac:dyDescent="0.25">
      <c r="Z55501">
        <v>400000</v>
      </c>
    </row>
    <row r="55502" spans="26:26" x14ac:dyDescent="0.25">
      <c r="Z55502">
        <v>400000</v>
      </c>
    </row>
    <row r="55503" spans="26:26" x14ac:dyDescent="0.25">
      <c r="Z55503">
        <v>400000</v>
      </c>
    </row>
    <row r="55504" spans="26:26" x14ac:dyDescent="0.25">
      <c r="Z55504">
        <v>400000</v>
      </c>
    </row>
    <row r="55505" spans="26:26" x14ac:dyDescent="0.25">
      <c r="Z55505">
        <v>400000</v>
      </c>
    </row>
    <row r="55506" spans="26:26" x14ac:dyDescent="0.25">
      <c r="Z55506">
        <v>400000</v>
      </c>
    </row>
    <row r="55507" spans="26:26" x14ac:dyDescent="0.25">
      <c r="Z55507">
        <v>400000</v>
      </c>
    </row>
    <row r="55508" spans="26:26" x14ac:dyDescent="0.25">
      <c r="Z55508">
        <v>400000</v>
      </c>
    </row>
    <row r="55509" spans="26:26" x14ac:dyDescent="0.25">
      <c r="Z55509">
        <v>400000</v>
      </c>
    </row>
    <row r="55510" spans="26:26" x14ac:dyDescent="0.25">
      <c r="Z55510">
        <v>400000</v>
      </c>
    </row>
    <row r="55511" spans="26:26" x14ac:dyDescent="0.25">
      <c r="Z55511">
        <v>400000</v>
      </c>
    </row>
    <row r="55512" spans="26:26" x14ac:dyDescent="0.25">
      <c r="Z55512">
        <v>400000</v>
      </c>
    </row>
    <row r="55513" spans="26:26" x14ac:dyDescent="0.25">
      <c r="Z55513">
        <v>400000</v>
      </c>
    </row>
    <row r="55514" spans="26:26" x14ac:dyDescent="0.25">
      <c r="Z55514">
        <v>400000</v>
      </c>
    </row>
    <row r="55515" spans="26:26" x14ac:dyDescent="0.25">
      <c r="Z55515">
        <v>400000</v>
      </c>
    </row>
    <row r="55516" spans="26:26" x14ac:dyDescent="0.25">
      <c r="Z55516">
        <v>400000</v>
      </c>
    </row>
    <row r="55517" spans="26:26" x14ac:dyDescent="0.25">
      <c r="Z55517">
        <v>400000</v>
      </c>
    </row>
    <row r="55518" spans="26:26" x14ac:dyDescent="0.25">
      <c r="Z55518">
        <v>400000</v>
      </c>
    </row>
    <row r="55519" spans="26:26" x14ac:dyDescent="0.25">
      <c r="Z55519">
        <v>400000</v>
      </c>
    </row>
    <row r="55520" spans="26:26" x14ac:dyDescent="0.25">
      <c r="Z55520">
        <v>400000</v>
      </c>
    </row>
    <row r="55521" spans="26:26" x14ac:dyDescent="0.25">
      <c r="Z55521">
        <v>400000</v>
      </c>
    </row>
    <row r="55522" spans="26:26" x14ac:dyDescent="0.25">
      <c r="Z55522">
        <v>400000</v>
      </c>
    </row>
    <row r="55523" spans="26:26" x14ac:dyDescent="0.25">
      <c r="Z55523">
        <v>400000</v>
      </c>
    </row>
    <row r="55524" spans="26:26" x14ac:dyDescent="0.25">
      <c r="Z55524">
        <v>400000</v>
      </c>
    </row>
    <row r="55525" spans="26:26" x14ac:dyDescent="0.25">
      <c r="Z55525">
        <v>400000</v>
      </c>
    </row>
    <row r="55526" spans="26:26" x14ac:dyDescent="0.25">
      <c r="Z55526">
        <v>400000</v>
      </c>
    </row>
    <row r="55527" spans="26:26" x14ac:dyDescent="0.25">
      <c r="Z55527">
        <v>400000</v>
      </c>
    </row>
    <row r="55528" spans="26:26" x14ac:dyDescent="0.25">
      <c r="Z55528">
        <v>400000</v>
      </c>
    </row>
    <row r="55529" spans="26:26" x14ac:dyDescent="0.25">
      <c r="Z55529">
        <v>400000</v>
      </c>
    </row>
    <row r="55530" spans="26:26" x14ac:dyDescent="0.25">
      <c r="Z55530">
        <v>400000</v>
      </c>
    </row>
    <row r="55531" spans="26:26" x14ac:dyDescent="0.25">
      <c r="Z55531">
        <v>400000</v>
      </c>
    </row>
    <row r="55532" spans="26:26" x14ac:dyDescent="0.25">
      <c r="Z55532">
        <v>400000</v>
      </c>
    </row>
    <row r="55533" spans="26:26" x14ac:dyDescent="0.25">
      <c r="Z55533">
        <v>400000</v>
      </c>
    </row>
    <row r="55534" spans="26:26" x14ac:dyDescent="0.25">
      <c r="Z55534">
        <v>400000</v>
      </c>
    </row>
    <row r="55535" spans="26:26" x14ac:dyDescent="0.25">
      <c r="Z55535">
        <v>400000</v>
      </c>
    </row>
    <row r="55536" spans="26:26" x14ac:dyDescent="0.25">
      <c r="Z55536">
        <v>400000</v>
      </c>
    </row>
    <row r="55537" spans="26:26" x14ac:dyDescent="0.25">
      <c r="Z55537">
        <v>400000</v>
      </c>
    </row>
    <row r="55538" spans="26:26" x14ac:dyDescent="0.25">
      <c r="Z55538">
        <v>400000</v>
      </c>
    </row>
    <row r="55539" spans="26:26" x14ac:dyDescent="0.25">
      <c r="Z55539">
        <v>400000</v>
      </c>
    </row>
    <row r="55540" spans="26:26" x14ac:dyDescent="0.25">
      <c r="Z55540">
        <v>400000</v>
      </c>
    </row>
    <row r="55541" spans="26:26" x14ac:dyDescent="0.25">
      <c r="Z55541">
        <v>400000</v>
      </c>
    </row>
    <row r="55542" spans="26:26" x14ac:dyDescent="0.25">
      <c r="Z55542">
        <v>400000</v>
      </c>
    </row>
    <row r="55543" spans="26:26" x14ac:dyDescent="0.25">
      <c r="Z55543">
        <v>400000</v>
      </c>
    </row>
    <row r="55544" spans="26:26" x14ac:dyDescent="0.25">
      <c r="Z55544">
        <v>400000</v>
      </c>
    </row>
    <row r="55545" spans="26:26" x14ac:dyDescent="0.25">
      <c r="Z55545">
        <v>400000</v>
      </c>
    </row>
    <row r="55546" spans="26:26" x14ac:dyDescent="0.25">
      <c r="Z55546">
        <v>400000</v>
      </c>
    </row>
    <row r="55547" spans="26:26" x14ac:dyDescent="0.25">
      <c r="Z55547">
        <v>400000</v>
      </c>
    </row>
    <row r="55548" spans="26:26" x14ac:dyDescent="0.25">
      <c r="Z55548">
        <v>400000</v>
      </c>
    </row>
    <row r="55549" spans="26:26" x14ac:dyDescent="0.25">
      <c r="Z55549">
        <v>400000</v>
      </c>
    </row>
    <row r="55550" spans="26:26" x14ac:dyDescent="0.25">
      <c r="Z55550">
        <v>400000</v>
      </c>
    </row>
    <row r="55551" spans="26:26" x14ac:dyDescent="0.25">
      <c r="Z55551">
        <v>400000</v>
      </c>
    </row>
    <row r="55552" spans="26:26" x14ac:dyDescent="0.25">
      <c r="Z55552">
        <v>400000</v>
      </c>
    </row>
    <row r="55553" spans="26:26" x14ac:dyDescent="0.25">
      <c r="Z55553">
        <v>400000</v>
      </c>
    </row>
    <row r="55554" spans="26:26" x14ac:dyDescent="0.25">
      <c r="Z55554">
        <v>400000</v>
      </c>
    </row>
    <row r="55555" spans="26:26" x14ac:dyDescent="0.25">
      <c r="Z55555">
        <v>400000</v>
      </c>
    </row>
    <row r="55556" spans="26:26" x14ac:dyDescent="0.25">
      <c r="Z55556">
        <v>400000</v>
      </c>
    </row>
    <row r="55557" spans="26:26" x14ac:dyDescent="0.25">
      <c r="Z55557">
        <v>400000</v>
      </c>
    </row>
    <row r="55558" spans="26:26" x14ac:dyDescent="0.25">
      <c r="Z55558">
        <v>400000</v>
      </c>
    </row>
    <row r="55559" spans="26:26" x14ac:dyDescent="0.25">
      <c r="Z55559">
        <v>400000</v>
      </c>
    </row>
    <row r="55560" spans="26:26" x14ac:dyDescent="0.25">
      <c r="Z55560">
        <v>400000</v>
      </c>
    </row>
    <row r="55561" spans="26:26" x14ac:dyDescent="0.25">
      <c r="Z55561">
        <v>400000</v>
      </c>
    </row>
    <row r="55562" spans="26:26" x14ac:dyDescent="0.25">
      <c r="Z55562">
        <v>400000</v>
      </c>
    </row>
    <row r="55563" spans="26:26" x14ac:dyDescent="0.25">
      <c r="Z55563">
        <v>400000</v>
      </c>
    </row>
    <row r="55564" spans="26:26" x14ac:dyDescent="0.25">
      <c r="Z55564">
        <v>400000</v>
      </c>
    </row>
    <row r="55565" spans="26:26" x14ac:dyDescent="0.25">
      <c r="Z55565">
        <v>400000</v>
      </c>
    </row>
    <row r="55566" spans="26:26" x14ac:dyDescent="0.25">
      <c r="Z55566">
        <v>400000</v>
      </c>
    </row>
    <row r="55567" spans="26:26" x14ac:dyDescent="0.25">
      <c r="Z55567">
        <v>400000</v>
      </c>
    </row>
    <row r="55568" spans="26:26" x14ac:dyDescent="0.25">
      <c r="Z55568">
        <v>400000</v>
      </c>
    </row>
    <row r="55569" spans="26:26" x14ac:dyDescent="0.25">
      <c r="Z55569">
        <v>400000</v>
      </c>
    </row>
    <row r="55570" spans="26:26" x14ac:dyDescent="0.25">
      <c r="Z55570">
        <v>400000</v>
      </c>
    </row>
    <row r="55571" spans="26:26" x14ac:dyDescent="0.25">
      <c r="Z55571">
        <v>400000</v>
      </c>
    </row>
    <row r="55572" spans="26:26" x14ac:dyDescent="0.25">
      <c r="Z55572">
        <v>400000</v>
      </c>
    </row>
    <row r="55573" spans="26:26" x14ac:dyDescent="0.25">
      <c r="Z55573">
        <v>400000</v>
      </c>
    </row>
    <row r="55574" spans="26:26" x14ac:dyDescent="0.25">
      <c r="Z55574">
        <v>400000</v>
      </c>
    </row>
    <row r="55575" spans="26:26" x14ac:dyDescent="0.25">
      <c r="Z55575">
        <v>400000</v>
      </c>
    </row>
    <row r="55576" spans="26:26" x14ac:dyDescent="0.25">
      <c r="Z55576">
        <v>400000</v>
      </c>
    </row>
    <row r="55577" spans="26:26" x14ac:dyDescent="0.25">
      <c r="Z55577">
        <v>400000</v>
      </c>
    </row>
    <row r="55578" spans="26:26" x14ac:dyDescent="0.25">
      <c r="Z55578">
        <v>400000</v>
      </c>
    </row>
    <row r="55579" spans="26:26" x14ac:dyDescent="0.25">
      <c r="Z55579">
        <v>400000</v>
      </c>
    </row>
    <row r="55580" spans="26:26" x14ac:dyDescent="0.25">
      <c r="Z55580">
        <v>400000</v>
      </c>
    </row>
    <row r="55581" spans="26:26" x14ac:dyDescent="0.25">
      <c r="Z55581">
        <v>400000</v>
      </c>
    </row>
    <row r="55582" spans="26:26" x14ac:dyDescent="0.25">
      <c r="Z55582">
        <v>400000</v>
      </c>
    </row>
    <row r="55583" spans="26:26" x14ac:dyDescent="0.25">
      <c r="Z55583">
        <v>400000</v>
      </c>
    </row>
    <row r="55584" spans="26:26" x14ac:dyDescent="0.25">
      <c r="Z55584">
        <v>400000</v>
      </c>
    </row>
    <row r="55585" spans="26:26" x14ac:dyDescent="0.25">
      <c r="Z55585">
        <v>400000</v>
      </c>
    </row>
    <row r="55586" spans="26:26" x14ac:dyDescent="0.25">
      <c r="Z55586">
        <v>400000</v>
      </c>
    </row>
    <row r="55587" spans="26:26" x14ac:dyDescent="0.25">
      <c r="Z55587">
        <v>400000</v>
      </c>
    </row>
    <row r="55588" spans="26:26" x14ac:dyDescent="0.25">
      <c r="Z55588">
        <v>400000</v>
      </c>
    </row>
    <row r="55589" spans="26:26" x14ac:dyDescent="0.25">
      <c r="Z55589">
        <v>400000</v>
      </c>
    </row>
    <row r="55590" spans="26:26" x14ac:dyDescent="0.25">
      <c r="Z55590">
        <v>400000</v>
      </c>
    </row>
    <row r="55591" spans="26:26" x14ac:dyDescent="0.25">
      <c r="Z55591">
        <v>400000</v>
      </c>
    </row>
    <row r="55592" spans="26:26" x14ac:dyDescent="0.25">
      <c r="Z55592">
        <v>400000</v>
      </c>
    </row>
    <row r="55593" spans="26:26" x14ac:dyDescent="0.25">
      <c r="Z55593">
        <v>400000</v>
      </c>
    </row>
    <row r="55594" spans="26:26" x14ac:dyDescent="0.25">
      <c r="Z55594">
        <v>400000</v>
      </c>
    </row>
    <row r="55595" spans="26:26" x14ac:dyDescent="0.25">
      <c r="Z55595">
        <v>400000</v>
      </c>
    </row>
    <row r="55596" spans="26:26" x14ac:dyDescent="0.25">
      <c r="Z55596">
        <v>400000</v>
      </c>
    </row>
    <row r="55597" spans="26:26" x14ac:dyDescent="0.25">
      <c r="Z55597">
        <v>400000</v>
      </c>
    </row>
    <row r="55598" spans="26:26" x14ac:dyDescent="0.25">
      <c r="Z55598">
        <v>400000</v>
      </c>
    </row>
    <row r="55599" spans="26:26" x14ac:dyDescent="0.25">
      <c r="Z55599">
        <v>400000</v>
      </c>
    </row>
    <row r="55600" spans="26:26" x14ac:dyDescent="0.25">
      <c r="Z55600">
        <v>400000</v>
      </c>
    </row>
    <row r="55601" spans="26:26" x14ac:dyDescent="0.25">
      <c r="Z55601">
        <v>400000</v>
      </c>
    </row>
    <row r="55602" spans="26:26" x14ac:dyDescent="0.25">
      <c r="Z55602">
        <v>400000</v>
      </c>
    </row>
    <row r="55603" spans="26:26" x14ac:dyDescent="0.25">
      <c r="Z55603">
        <v>400000</v>
      </c>
    </row>
    <row r="55604" spans="26:26" x14ac:dyDescent="0.25">
      <c r="Z55604">
        <v>400000</v>
      </c>
    </row>
    <row r="55605" spans="26:26" x14ac:dyDescent="0.25">
      <c r="Z55605">
        <v>400000</v>
      </c>
    </row>
    <row r="55606" spans="26:26" x14ac:dyDescent="0.25">
      <c r="Z55606">
        <v>400000</v>
      </c>
    </row>
    <row r="55607" spans="26:26" x14ac:dyDescent="0.25">
      <c r="Z55607">
        <v>400000</v>
      </c>
    </row>
    <row r="55608" spans="26:26" x14ac:dyDescent="0.25">
      <c r="Z55608">
        <v>400000</v>
      </c>
    </row>
    <row r="55609" spans="26:26" x14ac:dyDescent="0.25">
      <c r="Z55609">
        <v>400000</v>
      </c>
    </row>
    <row r="55610" spans="26:26" x14ac:dyDescent="0.25">
      <c r="Z55610">
        <v>400000</v>
      </c>
    </row>
    <row r="55611" spans="26:26" x14ac:dyDescent="0.25">
      <c r="Z55611">
        <v>400000</v>
      </c>
    </row>
    <row r="55612" spans="26:26" x14ac:dyDescent="0.25">
      <c r="Z55612">
        <v>400000</v>
      </c>
    </row>
    <row r="55613" spans="26:26" x14ac:dyDescent="0.25">
      <c r="Z55613">
        <v>400000</v>
      </c>
    </row>
    <row r="55614" spans="26:26" x14ac:dyDescent="0.25">
      <c r="Z55614">
        <v>400000</v>
      </c>
    </row>
    <row r="55615" spans="26:26" x14ac:dyDescent="0.25">
      <c r="Z55615">
        <v>400000</v>
      </c>
    </row>
    <row r="55616" spans="26:26" x14ac:dyDescent="0.25">
      <c r="Z55616">
        <v>400000</v>
      </c>
    </row>
    <row r="55617" spans="26:26" x14ac:dyDescent="0.25">
      <c r="Z55617">
        <v>400000</v>
      </c>
    </row>
    <row r="55618" spans="26:26" x14ac:dyDescent="0.25">
      <c r="Z55618">
        <v>400000</v>
      </c>
    </row>
    <row r="55619" spans="26:26" x14ac:dyDescent="0.25">
      <c r="Z55619">
        <v>400000</v>
      </c>
    </row>
    <row r="55620" spans="26:26" x14ac:dyDescent="0.25">
      <c r="Z55620">
        <v>400000</v>
      </c>
    </row>
    <row r="55621" spans="26:26" x14ac:dyDescent="0.25">
      <c r="Z55621">
        <v>400000</v>
      </c>
    </row>
    <row r="55622" spans="26:26" x14ac:dyDescent="0.25">
      <c r="Z55622">
        <v>400000</v>
      </c>
    </row>
    <row r="55623" spans="26:26" x14ac:dyDescent="0.25">
      <c r="Z55623">
        <v>400000</v>
      </c>
    </row>
    <row r="55624" spans="26:26" x14ac:dyDescent="0.25">
      <c r="Z55624">
        <v>400000</v>
      </c>
    </row>
    <row r="55625" spans="26:26" x14ac:dyDescent="0.25">
      <c r="Z55625">
        <v>400000</v>
      </c>
    </row>
    <row r="55626" spans="26:26" x14ac:dyDescent="0.25">
      <c r="Z55626">
        <v>400000</v>
      </c>
    </row>
    <row r="55627" spans="26:26" x14ac:dyDescent="0.25">
      <c r="Z55627">
        <v>400000</v>
      </c>
    </row>
    <row r="55628" spans="26:26" x14ac:dyDescent="0.25">
      <c r="Z55628">
        <v>400000</v>
      </c>
    </row>
    <row r="55629" spans="26:26" x14ac:dyDescent="0.25">
      <c r="Z55629">
        <v>400000</v>
      </c>
    </row>
    <row r="55630" spans="26:26" x14ac:dyDescent="0.25">
      <c r="Z55630">
        <v>400000</v>
      </c>
    </row>
    <row r="55631" spans="26:26" x14ac:dyDescent="0.25">
      <c r="Z55631">
        <v>400000</v>
      </c>
    </row>
    <row r="55632" spans="26:26" x14ac:dyDescent="0.25">
      <c r="Z55632">
        <v>400000</v>
      </c>
    </row>
    <row r="55633" spans="26:26" x14ac:dyDescent="0.25">
      <c r="Z55633">
        <v>400000</v>
      </c>
    </row>
    <row r="55634" spans="26:26" x14ac:dyDescent="0.25">
      <c r="Z55634">
        <v>400000</v>
      </c>
    </row>
    <row r="55635" spans="26:26" x14ac:dyDescent="0.25">
      <c r="Z55635">
        <v>400000</v>
      </c>
    </row>
    <row r="55636" spans="26:26" x14ac:dyDescent="0.25">
      <c r="Z55636">
        <v>400000</v>
      </c>
    </row>
    <row r="55637" spans="26:26" x14ac:dyDescent="0.25">
      <c r="Z55637">
        <v>400000</v>
      </c>
    </row>
    <row r="55638" spans="26:26" x14ac:dyDescent="0.25">
      <c r="Z55638">
        <v>400000</v>
      </c>
    </row>
    <row r="55639" spans="26:26" x14ac:dyDescent="0.25">
      <c r="Z55639">
        <v>400000</v>
      </c>
    </row>
    <row r="55640" spans="26:26" x14ac:dyDescent="0.25">
      <c r="Z55640">
        <v>400000</v>
      </c>
    </row>
    <row r="55641" spans="26:26" x14ac:dyDescent="0.25">
      <c r="Z55641">
        <v>400000</v>
      </c>
    </row>
    <row r="55642" spans="26:26" x14ac:dyDescent="0.25">
      <c r="Z55642">
        <v>400000</v>
      </c>
    </row>
    <row r="55643" spans="26:26" x14ac:dyDescent="0.25">
      <c r="Z55643">
        <v>400000</v>
      </c>
    </row>
    <row r="55644" spans="26:26" x14ac:dyDescent="0.25">
      <c r="Z55644">
        <v>400000</v>
      </c>
    </row>
    <row r="55645" spans="26:26" x14ac:dyDescent="0.25">
      <c r="Z55645">
        <v>400000</v>
      </c>
    </row>
    <row r="55646" spans="26:26" x14ac:dyDescent="0.25">
      <c r="Z55646">
        <v>400000</v>
      </c>
    </row>
    <row r="55647" spans="26:26" x14ac:dyDescent="0.25">
      <c r="Z55647">
        <v>400000</v>
      </c>
    </row>
    <row r="55648" spans="26:26" x14ac:dyDescent="0.25">
      <c r="Z55648">
        <v>400000</v>
      </c>
    </row>
    <row r="55649" spans="26:26" x14ac:dyDescent="0.25">
      <c r="Z55649">
        <v>400000</v>
      </c>
    </row>
    <row r="55650" spans="26:26" x14ac:dyDescent="0.25">
      <c r="Z55650">
        <v>400000</v>
      </c>
    </row>
    <row r="55651" spans="26:26" x14ac:dyDescent="0.25">
      <c r="Z55651">
        <v>400000</v>
      </c>
    </row>
    <row r="55652" spans="26:26" x14ac:dyDescent="0.25">
      <c r="Z55652">
        <v>400000</v>
      </c>
    </row>
    <row r="55653" spans="26:26" x14ac:dyDescent="0.25">
      <c r="Z55653">
        <v>400000</v>
      </c>
    </row>
    <row r="55654" spans="26:26" x14ac:dyDescent="0.25">
      <c r="Z55654">
        <v>400000</v>
      </c>
    </row>
    <row r="55655" spans="26:26" x14ac:dyDescent="0.25">
      <c r="Z55655">
        <v>400000</v>
      </c>
    </row>
    <row r="55656" spans="26:26" x14ac:dyDescent="0.25">
      <c r="Z55656">
        <v>400000</v>
      </c>
    </row>
    <row r="55657" spans="26:26" x14ac:dyDescent="0.25">
      <c r="Z55657">
        <v>400000</v>
      </c>
    </row>
    <row r="55658" spans="26:26" x14ac:dyDescent="0.25">
      <c r="Z55658">
        <v>400000</v>
      </c>
    </row>
    <row r="55659" spans="26:26" x14ac:dyDescent="0.25">
      <c r="Z55659">
        <v>400000</v>
      </c>
    </row>
    <row r="55660" spans="26:26" x14ac:dyDescent="0.25">
      <c r="Z55660">
        <v>400000</v>
      </c>
    </row>
    <row r="55661" spans="26:26" x14ac:dyDescent="0.25">
      <c r="Z55661">
        <v>400000</v>
      </c>
    </row>
    <row r="55662" spans="26:26" x14ac:dyDescent="0.25">
      <c r="Z55662">
        <v>400000</v>
      </c>
    </row>
    <row r="55663" spans="26:26" x14ac:dyDescent="0.25">
      <c r="Z55663">
        <v>400000</v>
      </c>
    </row>
    <row r="55664" spans="26:26" x14ac:dyDescent="0.25">
      <c r="Z55664">
        <v>400000</v>
      </c>
    </row>
    <row r="55665" spans="26:26" x14ac:dyDescent="0.25">
      <c r="Z55665">
        <v>400000</v>
      </c>
    </row>
    <row r="55666" spans="26:26" x14ac:dyDescent="0.25">
      <c r="Z55666">
        <v>400000</v>
      </c>
    </row>
    <row r="55667" spans="26:26" x14ac:dyDescent="0.25">
      <c r="Z55667">
        <v>400000</v>
      </c>
    </row>
    <row r="55668" spans="26:26" x14ac:dyDescent="0.25">
      <c r="Z55668">
        <v>400000</v>
      </c>
    </row>
    <row r="55669" spans="26:26" x14ac:dyDescent="0.25">
      <c r="Z55669">
        <v>400000</v>
      </c>
    </row>
    <row r="55670" spans="26:26" x14ac:dyDescent="0.25">
      <c r="Z55670">
        <v>400000</v>
      </c>
    </row>
    <row r="55671" spans="26:26" x14ac:dyDescent="0.25">
      <c r="Z55671">
        <v>400000</v>
      </c>
    </row>
    <row r="55672" spans="26:26" x14ac:dyDescent="0.25">
      <c r="Z55672">
        <v>400000</v>
      </c>
    </row>
    <row r="55673" spans="26:26" x14ac:dyDescent="0.25">
      <c r="Z55673">
        <v>400000</v>
      </c>
    </row>
    <row r="55674" spans="26:26" x14ac:dyDescent="0.25">
      <c r="Z55674">
        <v>400000</v>
      </c>
    </row>
    <row r="55675" spans="26:26" x14ac:dyDescent="0.25">
      <c r="Z55675">
        <v>400000</v>
      </c>
    </row>
    <row r="55676" spans="26:26" x14ac:dyDescent="0.25">
      <c r="Z55676">
        <v>400000</v>
      </c>
    </row>
    <row r="55677" spans="26:26" x14ac:dyDescent="0.25">
      <c r="Z55677">
        <v>400000</v>
      </c>
    </row>
    <row r="55678" spans="26:26" x14ac:dyDescent="0.25">
      <c r="Z55678">
        <v>400000</v>
      </c>
    </row>
    <row r="55679" spans="26:26" x14ac:dyDescent="0.25">
      <c r="Z55679">
        <v>400000</v>
      </c>
    </row>
    <row r="55680" spans="26:26" x14ac:dyDescent="0.25">
      <c r="Z55680">
        <v>400000</v>
      </c>
    </row>
    <row r="55681" spans="26:26" x14ac:dyDescent="0.25">
      <c r="Z55681">
        <v>400000</v>
      </c>
    </row>
    <row r="55682" spans="26:26" x14ac:dyDescent="0.25">
      <c r="Z55682">
        <v>400000</v>
      </c>
    </row>
    <row r="55683" spans="26:26" x14ac:dyDescent="0.25">
      <c r="Z55683">
        <v>400000</v>
      </c>
    </row>
    <row r="55684" spans="26:26" x14ac:dyDescent="0.25">
      <c r="Z55684">
        <v>400000</v>
      </c>
    </row>
    <row r="55685" spans="26:26" x14ac:dyDescent="0.25">
      <c r="Z55685">
        <v>400000</v>
      </c>
    </row>
    <row r="55686" spans="26:26" x14ac:dyDescent="0.25">
      <c r="Z55686">
        <v>400000</v>
      </c>
    </row>
    <row r="55687" spans="26:26" x14ac:dyDescent="0.25">
      <c r="Z55687">
        <v>400000</v>
      </c>
    </row>
    <row r="55688" spans="26:26" x14ac:dyDescent="0.25">
      <c r="Z55688">
        <v>400000</v>
      </c>
    </row>
    <row r="55689" spans="26:26" x14ac:dyDescent="0.25">
      <c r="Z55689">
        <v>400000</v>
      </c>
    </row>
    <row r="55690" spans="26:26" x14ac:dyDescent="0.25">
      <c r="Z55690">
        <v>400000</v>
      </c>
    </row>
    <row r="55691" spans="26:26" x14ac:dyDescent="0.25">
      <c r="Z55691">
        <v>400000</v>
      </c>
    </row>
    <row r="55692" spans="26:26" x14ac:dyDescent="0.25">
      <c r="Z55692">
        <v>400000</v>
      </c>
    </row>
    <row r="55693" spans="26:26" x14ac:dyDescent="0.25">
      <c r="Z55693">
        <v>400000</v>
      </c>
    </row>
    <row r="55694" spans="26:26" x14ac:dyDescent="0.25">
      <c r="Z55694">
        <v>400000</v>
      </c>
    </row>
    <row r="55695" spans="26:26" x14ac:dyDescent="0.25">
      <c r="Z55695">
        <v>400000</v>
      </c>
    </row>
    <row r="55696" spans="26:26" x14ac:dyDescent="0.25">
      <c r="Z55696">
        <v>400000</v>
      </c>
    </row>
    <row r="55697" spans="26:26" x14ac:dyDescent="0.25">
      <c r="Z55697">
        <v>400000</v>
      </c>
    </row>
    <row r="55698" spans="26:26" x14ac:dyDescent="0.25">
      <c r="Z55698">
        <v>400000</v>
      </c>
    </row>
    <row r="55699" spans="26:26" x14ac:dyDescent="0.25">
      <c r="Z55699">
        <v>400000</v>
      </c>
    </row>
    <row r="55700" spans="26:26" x14ac:dyDescent="0.25">
      <c r="Z55700">
        <v>400000</v>
      </c>
    </row>
    <row r="55701" spans="26:26" x14ac:dyDescent="0.25">
      <c r="Z55701">
        <v>400000</v>
      </c>
    </row>
    <row r="55702" spans="26:26" x14ac:dyDescent="0.25">
      <c r="Z55702">
        <v>400000</v>
      </c>
    </row>
    <row r="55703" spans="26:26" x14ac:dyDescent="0.25">
      <c r="Z55703">
        <v>400000</v>
      </c>
    </row>
    <row r="55704" spans="26:26" x14ac:dyDescent="0.25">
      <c r="Z55704">
        <v>400000</v>
      </c>
    </row>
    <row r="55705" spans="26:26" x14ac:dyDescent="0.25">
      <c r="Z55705">
        <v>400000</v>
      </c>
    </row>
    <row r="55706" spans="26:26" x14ac:dyDescent="0.25">
      <c r="Z55706">
        <v>400000</v>
      </c>
    </row>
    <row r="55707" spans="26:26" x14ac:dyDescent="0.25">
      <c r="Z55707">
        <v>400000</v>
      </c>
    </row>
    <row r="55708" spans="26:26" x14ac:dyDescent="0.25">
      <c r="Z55708">
        <v>400000</v>
      </c>
    </row>
    <row r="55709" spans="26:26" x14ac:dyDescent="0.25">
      <c r="Z55709">
        <v>400000</v>
      </c>
    </row>
    <row r="55710" spans="26:26" x14ac:dyDescent="0.25">
      <c r="Z55710">
        <v>400000</v>
      </c>
    </row>
    <row r="55711" spans="26:26" x14ac:dyDescent="0.25">
      <c r="Z55711">
        <v>400000</v>
      </c>
    </row>
    <row r="55712" spans="26:26" x14ac:dyDescent="0.25">
      <c r="Z55712">
        <v>400000</v>
      </c>
    </row>
    <row r="55713" spans="26:26" x14ac:dyDescent="0.25">
      <c r="Z55713">
        <v>400000</v>
      </c>
    </row>
    <row r="55714" spans="26:26" x14ac:dyDescent="0.25">
      <c r="Z55714">
        <v>400000</v>
      </c>
    </row>
    <row r="55715" spans="26:26" x14ac:dyDescent="0.25">
      <c r="Z55715">
        <v>400000</v>
      </c>
    </row>
    <row r="55716" spans="26:26" x14ac:dyDescent="0.25">
      <c r="Z55716">
        <v>400000</v>
      </c>
    </row>
    <row r="55717" spans="26:26" x14ac:dyDescent="0.25">
      <c r="Z55717">
        <v>400000</v>
      </c>
    </row>
    <row r="55718" spans="26:26" x14ac:dyDescent="0.25">
      <c r="Z55718">
        <v>400000</v>
      </c>
    </row>
    <row r="55719" spans="26:26" x14ac:dyDescent="0.25">
      <c r="Z55719">
        <v>400000</v>
      </c>
    </row>
    <row r="55720" spans="26:26" x14ac:dyDescent="0.25">
      <c r="Z55720">
        <v>400000</v>
      </c>
    </row>
    <row r="55721" spans="26:26" x14ac:dyDescent="0.25">
      <c r="Z55721">
        <v>400000</v>
      </c>
    </row>
    <row r="55722" spans="26:26" x14ac:dyDescent="0.25">
      <c r="Z55722">
        <v>400000</v>
      </c>
    </row>
    <row r="55723" spans="26:26" x14ac:dyDescent="0.25">
      <c r="Z55723">
        <v>400000</v>
      </c>
    </row>
    <row r="55724" spans="26:26" x14ac:dyDescent="0.25">
      <c r="Z55724">
        <v>400000</v>
      </c>
    </row>
    <row r="55725" spans="26:26" x14ac:dyDescent="0.25">
      <c r="Z55725">
        <v>400000</v>
      </c>
    </row>
    <row r="55726" spans="26:26" x14ac:dyDescent="0.25">
      <c r="Z55726">
        <v>400000</v>
      </c>
    </row>
    <row r="55727" spans="26:26" x14ac:dyDescent="0.25">
      <c r="Z55727">
        <v>400000</v>
      </c>
    </row>
    <row r="55728" spans="26:26" x14ac:dyDescent="0.25">
      <c r="Z55728">
        <v>400000</v>
      </c>
    </row>
    <row r="55729" spans="26:26" x14ac:dyDescent="0.25">
      <c r="Z55729">
        <v>400000</v>
      </c>
    </row>
    <row r="55730" spans="26:26" x14ac:dyDescent="0.25">
      <c r="Z55730">
        <v>400000</v>
      </c>
    </row>
    <row r="55731" spans="26:26" x14ac:dyDescent="0.25">
      <c r="Z55731">
        <v>400000</v>
      </c>
    </row>
    <row r="55732" spans="26:26" x14ac:dyDescent="0.25">
      <c r="Z55732">
        <v>400000</v>
      </c>
    </row>
    <row r="55733" spans="26:26" x14ac:dyDescent="0.25">
      <c r="Z55733">
        <v>400000</v>
      </c>
    </row>
    <row r="55734" spans="26:26" x14ac:dyDescent="0.25">
      <c r="Z55734">
        <v>400000</v>
      </c>
    </row>
    <row r="55735" spans="26:26" x14ac:dyDescent="0.25">
      <c r="Z55735">
        <v>400000</v>
      </c>
    </row>
    <row r="55736" spans="26:26" x14ac:dyDescent="0.25">
      <c r="Z55736">
        <v>400000</v>
      </c>
    </row>
    <row r="55737" spans="26:26" x14ac:dyDescent="0.25">
      <c r="Z55737">
        <v>400000</v>
      </c>
    </row>
    <row r="55738" spans="26:26" x14ac:dyDescent="0.25">
      <c r="Z55738">
        <v>400000</v>
      </c>
    </row>
    <row r="55739" spans="26:26" x14ac:dyDescent="0.25">
      <c r="Z55739">
        <v>400000</v>
      </c>
    </row>
    <row r="55740" spans="26:26" x14ac:dyDescent="0.25">
      <c r="Z55740">
        <v>400000</v>
      </c>
    </row>
    <row r="55741" spans="26:26" x14ac:dyDescent="0.25">
      <c r="Z55741">
        <v>400000</v>
      </c>
    </row>
    <row r="55742" spans="26:26" x14ac:dyDescent="0.25">
      <c r="Z55742">
        <v>400000</v>
      </c>
    </row>
    <row r="55743" spans="26:26" x14ac:dyDescent="0.25">
      <c r="Z55743">
        <v>400000</v>
      </c>
    </row>
    <row r="55744" spans="26:26" x14ac:dyDescent="0.25">
      <c r="Z55744">
        <v>400000</v>
      </c>
    </row>
    <row r="55745" spans="26:26" x14ac:dyDescent="0.25">
      <c r="Z55745">
        <v>400000</v>
      </c>
    </row>
    <row r="55746" spans="26:26" x14ac:dyDescent="0.25">
      <c r="Z55746">
        <v>400000</v>
      </c>
    </row>
    <row r="55747" spans="26:26" x14ac:dyDescent="0.25">
      <c r="Z55747">
        <v>400000</v>
      </c>
    </row>
    <row r="55748" spans="26:26" x14ac:dyDescent="0.25">
      <c r="Z55748">
        <v>400000</v>
      </c>
    </row>
    <row r="55749" spans="26:26" x14ac:dyDescent="0.25">
      <c r="Z55749">
        <v>400000</v>
      </c>
    </row>
    <row r="55750" spans="26:26" x14ac:dyDescent="0.25">
      <c r="Z55750">
        <v>400000</v>
      </c>
    </row>
    <row r="55751" spans="26:26" x14ac:dyDescent="0.25">
      <c r="Z55751">
        <v>400000</v>
      </c>
    </row>
    <row r="55752" spans="26:26" x14ac:dyDescent="0.25">
      <c r="Z55752">
        <v>400000</v>
      </c>
    </row>
    <row r="55753" spans="26:26" x14ac:dyDescent="0.25">
      <c r="Z55753">
        <v>400000</v>
      </c>
    </row>
    <row r="55754" spans="26:26" x14ac:dyDescent="0.25">
      <c r="Z55754">
        <v>400000</v>
      </c>
    </row>
    <row r="55755" spans="26:26" x14ac:dyDescent="0.25">
      <c r="Z55755">
        <v>400000</v>
      </c>
    </row>
    <row r="55756" spans="26:26" x14ac:dyDescent="0.25">
      <c r="Z55756">
        <v>400000</v>
      </c>
    </row>
    <row r="55757" spans="26:26" x14ac:dyDescent="0.25">
      <c r="Z55757">
        <v>400000</v>
      </c>
    </row>
    <row r="55758" spans="26:26" x14ac:dyDescent="0.25">
      <c r="Z55758">
        <v>400000</v>
      </c>
    </row>
    <row r="55759" spans="26:26" x14ac:dyDescent="0.25">
      <c r="Z55759">
        <v>400000</v>
      </c>
    </row>
    <row r="55760" spans="26:26" x14ac:dyDescent="0.25">
      <c r="Z55760">
        <v>400000</v>
      </c>
    </row>
    <row r="55761" spans="26:26" x14ac:dyDescent="0.25">
      <c r="Z55761">
        <v>400000</v>
      </c>
    </row>
    <row r="55762" spans="26:26" x14ac:dyDescent="0.25">
      <c r="Z55762">
        <v>400000</v>
      </c>
    </row>
    <row r="55763" spans="26:26" x14ac:dyDescent="0.25">
      <c r="Z55763">
        <v>400000</v>
      </c>
    </row>
    <row r="55764" spans="26:26" x14ac:dyDescent="0.25">
      <c r="Z55764">
        <v>400000</v>
      </c>
    </row>
    <row r="55765" spans="26:26" x14ac:dyDescent="0.25">
      <c r="Z55765">
        <v>400000</v>
      </c>
    </row>
    <row r="55766" spans="26:26" x14ac:dyDescent="0.25">
      <c r="Z55766">
        <v>400000</v>
      </c>
    </row>
    <row r="55767" spans="26:26" x14ac:dyDescent="0.25">
      <c r="Z55767">
        <v>400000</v>
      </c>
    </row>
    <row r="55768" spans="26:26" x14ac:dyDescent="0.25">
      <c r="Z55768">
        <v>400000</v>
      </c>
    </row>
    <row r="55769" spans="26:26" x14ac:dyDescent="0.25">
      <c r="Z55769">
        <v>400000</v>
      </c>
    </row>
    <row r="55770" spans="26:26" x14ac:dyDescent="0.25">
      <c r="Z55770">
        <v>400000</v>
      </c>
    </row>
    <row r="55771" spans="26:26" x14ac:dyDescent="0.25">
      <c r="Z55771">
        <v>400000</v>
      </c>
    </row>
    <row r="55772" spans="26:26" x14ac:dyDescent="0.25">
      <c r="Z55772">
        <v>400000</v>
      </c>
    </row>
    <row r="55773" spans="26:26" x14ac:dyDescent="0.25">
      <c r="Z55773">
        <v>400000</v>
      </c>
    </row>
    <row r="55774" spans="26:26" x14ac:dyDescent="0.25">
      <c r="Z55774">
        <v>400000</v>
      </c>
    </row>
    <row r="55775" spans="26:26" x14ac:dyDescent="0.25">
      <c r="Z55775">
        <v>400000</v>
      </c>
    </row>
    <row r="55776" spans="26:26" x14ac:dyDescent="0.25">
      <c r="Z55776">
        <v>400000</v>
      </c>
    </row>
    <row r="55777" spans="26:26" x14ac:dyDescent="0.25">
      <c r="Z55777">
        <v>400000</v>
      </c>
    </row>
    <row r="55778" spans="26:26" x14ac:dyDescent="0.25">
      <c r="Z55778">
        <v>400000</v>
      </c>
    </row>
    <row r="55779" spans="26:26" x14ac:dyDescent="0.25">
      <c r="Z55779">
        <v>400000</v>
      </c>
    </row>
    <row r="55780" spans="26:26" x14ac:dyDescent="0.25">
      <c r="Z55780">
        <v>400000</v>
      </c>
    </row>
    <row r="55781" spans="26:26" x14ac:dyDescent="0.25">
      <c r="Z55781">
        <v>400000</v>
      </c>
    </row>
    <row r="55782" spans="26:26" x14ac:dyDescent="0.25">
      <c r="Z55782">
        <v>400000</v>
      </c>
    </row>
    <row r="55783" spans="26:26" x14ac:dyDescent="0.25">
      <c r="Z55783">
        <v>400000</v>
      </c>
    </row>
    <row r="55784" spans="26:26" x14ac:dyDescent="0.25">
      <c r="Z55784">
        <v>400000</v>
      </c>
    </row>
    <row r="55785" spans="26:26" x14ac:dyDescent="0.25">
      <c r="Z55785">
        <v>400000</v>
      </c>
    </row>
    <row r="55786" spans="26:26" x14ac:dyDescent="0.25">
      <c r="Z55786">
        <v>400000</v>
      </c>
    </row>
    <row r="55787" spans="26:26" x14ac:dyDescent="0.25">
      <c r="Z55787">
        <v>400000</v>
      </c>
    </row>
    <row r="55788" spans="26:26" x14ac:dyDescent="0.25">
      <c r="Z55788">
        <v>400000</v>
      </c>
    </row>
    <row r="55789" spans="26:26" x14ac:dyDescent="0.25">
      <c r="Z55789">
        <v>400000</v>
      </c>
    </row>
    <row r="55790" spans="26:26" x14ac:dyDescent="0.25">
      <c r="Z55790">
        <v>400000</v>
      </c>
    </row>
    <row r="55791" spans="26:26" x14ac:dyDescent="0.25">
      <c r="Z55791">
        <v>400000</v>
      </c>
    </row>
    <row r="55792" spans="26:26" x14ac:dyDescent="0.25">
      <c r="Z55792">
        <v>400000</v>
      </c>
    </row>
    <row r="55793" spans="26:26" x14ac:dyDescent="0.25">
      <c r="Z55793">
        <v>400000</v>
      </c>
    </row>
    <row r="55794" spans="26:26" x14ac:dyDescent="0.25">
      <c r="Z55794">
        <v>400000</v>
      </c>
    </row>
    <row r="55795" spans="26:26" x14ac:dyDescent="0.25">
      <c r="Z55795">
        <v>400000</v>
      </c>
    </row>
    <row r="55796" spans="26:26" x14ac:dyDescent="0.25">
      <c r="Z55796">
        <v>400000</v>
      </c>
    </row>
    <row r="55797" spans="26:26" x14ac:dyDescent="0.25">
      <c r="Z55797">
        <v>400000</v>
      </c>
    </row>
    <row r="55798" spans="26:26" x14ac:dyDescent="0.25">
      <c r="Z55798">
        <v>400000</v>
      </c>
    </row>
    <row r="55799" spans="26:26" x14ac:dyDescent="0.25">
      <c r="Z55799">
        <v>400000</v>
      </c>
    </row>
    <row r="55800" spans="26:26" x14ac:dyDescent="0.25">
      <c r="Z55800">
        <v>400000</v>
      </c>
    </row>
    <row r="55801" spans="26:26" x14ac:dyDescent="0.25">
      <c r="Z55801">
        <v>400000</v>
      </c>
    </row>
    <row r="55802" spans="26:26" x14ac:dyDescent="0.25">
      <c r="Z55802">
        <v>400000</v>
      </c>
    </row>
    <row r="55803" spans="26:26" x14ac:dyDescent="0.25">
      <c r="Z55803">
        <v>400000</v>
      </c>
    </row>
    <row r="55804" spans="26:26" x14ac:dyDescent="0.25">
      <c r="Z55804">
        <v>400000</v>
      </c>
    </row>
    <row r="55805" spans="26:26" x14ac:dyDescent="0.25">
      <c r="Z55805">
        <v>400000</v>
      </c>
    </row>
    <row r="55806" spans="26:26" x14ac:dyDescent="0.25">
      <c r="Z55806">
        <v>400000</v>
      </c>
    </row>
    <row r="55807" spans="26:26" x14ac:dyDescent="0.25">
      <c r="Z55807">
        <v>400000</v>
      </c>
    </row>
    <row r="55808" spans="26:26" x14ac:dyDescent="0.25">
      <c r="Z55808">
        <v>400000</v>
      </c>
    </row>
    <row r="55809" spans="26:26" x14ac:dyDescent="0.25">
      <c r="Z55809">
        <v>400000</v>
      </c>
    </row>
    <row r="55810" spans="26:26" x14ac:dyDescent="0.25">
      <c r="Z55810">
        <v>400000</v>
      </c>
    </row>
    <row r="55811" spans="26:26" x14ac:dyDescent="0.25">
      <c r="Z55811">
        <v>400000</v>
      </c>
    </row>
    <row r="55812" spans="26:26" x14ac:dyDescent="0.25">
      <c r="Z55812">
        <v>400000</v>
      </c>
    </row>
    <row r="55813" spans="26:26" x14ac:dyDescent="0.25">
      <c r="Z55813">
        <v>400000</v>
      </c>
    </row>
    <row r="55814" spans="26:26" x14ac:dyDescent="0.25">
      <c r="Z55814">
        <v>400000</v>
      </c>
    </row>
    <row r="55815" spans="26:26" x14ac:dyDescent="0.25">
      <c r="Z55815">
        <v>400000</v>
      </c>
    </row>
    <row r="55816" spans="26:26" x14ac:dyDescent="0.25">
      <c r="Z55816">
        <v>400000</v>
      </c>
    </row>
    <row r="55817" spans="26:26" x14ac:dyDescent="0.25">
      <c r="Z55817">
        <v>400000</v>
      </c>
    </row>
    <row r="55818" spans="26:26" x14ac:dyDescent="0.25">
      <c r="Z55818">
        <v>400000</v>
      </c>
    </row>
    <row r="55819" spans="26:26" x14ac:dyDescent="0.25">
      <c r="Z55819">
        <v>400000</v>
      </c>
    </row>
    <row r="55820" spans="26:26" x14ac:dyDescent="0.25">
      <c r="Z55820">
        <v>400000</v>
      </c>
    </row>
    <row r="55821" spans="26:26" x14ac:dyDescent="0.25">
      <c r="Z55821">
        <v>400000</v>
      </c>
    </row>
    <row r="55822" spans="26:26" x14ac:dyDescent="0.25">
      <c r="Z55822">
        <v>400000</v>
      </c>
    </row>
    <row r="55823" spans="26:26" x14ac:dyDescent="0.25">
      <c r="Z55823">
        <v>400000</v>
      </c>
    </row>
    <row r="55824" spans="26:26" x14ac:dyDescent="0.25">
      <c r="Z55824">
        <v>400000</v>
      </c>
    </row>
    <row r="55825" spans="26:26" x14ac:dyDescent="0.25">
      <c r="Z55825">
        <v>400000</v>
      </c>
    </row>
    <row r="55826" spans="26:26" x14ac:dyDescent="0.25">
      <c r="Z55826">
        <v>400000</v>
      </c>
    </row>
    <row r="55827" spans="26:26" x14ac:dyDescent="0.25">
      <c r="Z55827">
        <v>400000</v>
      </c>
    </row>
    <row r="55828" spans="26:26" x14ac:dyDescent="0.25">
      <c r="Z55828">
        <v>400000</v>
      </c>
    </row>
    <row r="55829" spans="26:26" x14ac:dyDescent="0.25">
      <c r="Z55829">
        <v>400000</v>
      </c>
    </row>
    <row r="55830" spans="26:26" x14ac:dyDescent="0.25">
      <c r="Z55830">
        <v>400000</v>
      </c>
    </row>
    <row r="55831" spans="26:26" x14ac:dyDescent="0.25">
      <c r="Z55831">
        <v>400000</v>
      </c>
    </row>
    <row r="55832" spans="26:26" x14ac:dyDescent="0.25">
      <c r="Z55832">
        <v>400000</v>
      </c>
    </row>
    <row r="55833" spans="26:26" x14ac:dyDescent="0.25">
      <c r="Z55833">
        <v>400000</v>
      </c>
    </row>
    <row r="55834" spans="26:26" x14ac:dyDescent="0.25">
      <c r="Z55834">
        <v>400000</v>
      </c>
    </row>
    <row r="55835" spans="26:26" x14ac:dyDescent="0.25">
      <c r="Z55835">
        <v>400000</v>
      </c>
    </row>
    <row r="55836" spans="26:26" x14ac:dyDescent="0.25">
      <c r="Z55836">
        <v>400000</v>
      </c>
    </row>
    <row r="55837" spans="26:26" x14ac:dyDescent="0.25">
      <c r="Z55837">
        <v>400000</v>
      </c>
    </row>
    <row r="55838" spans="26:26" x14ac:dyDescent="0.25">
      <c r="Z55838">
        <v>400000</v>
      </c>
    </row>
    <row r="55839" spans="26:26" x14ac:dyDescent="0.25">
      <c r="Z55839">
        <v>400000</v>
      </c>
    </row>
    <row r="55840" spans="26:26" x14ac:dyDescent="0.25">
      <c r="Z55840">
        <v>400000</v>
      </c>
    </row>
    <row r="55841" spans="26:26" x14ac:dyDescent="0.25">
      <c r="Z55841">
        <v>400000</v>
      </c>
    </row>
    <row r="55842" spans="26:26" x14ac:dyDescent="0.25">
      <c r="Z55842">
        <v>400000</v>
      </c>
    </row>
    <row r="55843" spans="26:26" x14ac:dyDescent="0.25">
      <c r="Z55843">
        <v>400000</v>
      </c>
    </row>
    <row r="55844" spans="26:26" x14ac:dyDescent="0.25">
      <c r="Z55844">
        <v>400000</v>
      </c>
    </row>
    <row r="55845" spans="26:26" x14ac:dyDescent="0.25">
      <c r="Z55845">
        <v>400000</v>
      </c>
    </row>
    <row r="55846" spans="26:26" x14ac:dyDescent="0.25">
      <c r="Z55846">
        <v>400000</v>
      </c>
    </row>
    <row r="55847" spans="26:26" x14ac:dyDescent="0.25">
      <c r="Z55847">
        <v>400000</v>
      </c>
    </row>
    <row r="55848" spans="26:26" x14ac:dyDescent="0.25">
      <c r="Z55848">
        <v>400000</v>
      </c>
    </row>
    <row r="55849" spans="26:26" x14ac:dyDescent="0.25">
      <c r="Z55849">
        <v>400000</v>
      </c>
    </row>
    <row r="55850" spans="26:26" x14ac:dyDescent="0.25">
      <c r="Z55850">
        <v>400000</v>
      </c>
    </row>
    <row r="55851" spans="26:26" x14ac:dyDescent="0.25">
      <c r="Z55851">
        <v>400000</v>
      </c>
    </row>
    <row r="55852" spans="26:26" x14ac:dyDescent="0.25">
      <c r="Z55852">
        <v>400000</v>
      </c>
    </row>
    <row r="55853" spans="26:26" x14ac:dyDescent="0.25">
      <c r="Z55853">
        <v>400000</v>
      </c>
    </row>
    <row r="55854" spans="26:26" x14ac:dyDescent="0.25">
      <c r="Z55854">
        <v>400000</v>
      </c>
    </row>
    <row r="55855" spans="26:26" x14ac:dyDescent="0.25">
      <c r="Z55855">
        <v>400000</v>
      </c>
    </row>
    <row r="55856" spans="26:26" x14ac:dyDescent="0.25">
      <c r="Z55856">
        <v>400000</v>
      </c>
    </row>
    <row r="55857" spans="26:26" x14ac:dyDescent="0.25">
      <c r="Z55857">
        <v>400000</v>
      </c>
    </row>
    <row r="55858" spans="26:26" x14ac:dyDescent="0.25">
      <c r="Z55858">
        <v>400000</v>
      </c>
    </row>
    <row r="55859" spans="26:26" x14ac:dyDescent="0.25">
      <c r="Z55859">
        <v>400000</v>
      </c>
    </row>
    <row r="55860" spans="26:26" x14ac:dyDescent="0.25">
      <c r="Z55860">
        <v>400000</v>
      </c>
    </row>
    <row r="55861" spans="26:26" x14ac:dyDescent="0.25">
      <c r="Z55861">
        <v>400000</v>
      </c>
    </row>
    <row r="55862" spans="26:26" x14ac:dyDescent="0.25">
      <c r="Z55862">
        <v>400000</v>
      </c>
    </row>
    <row r="55863" spans="26:26" x14ac:dyDescent="0.25">
      <c r="Z55863">
        <v>400000</v>
      </c>
    </row>
    <row r="55864" spans="26:26" x14ac:dyDescent="0.25">
      <c r="Z55864">
        <v>400000</v>
      </c>
    </row>
    <row r="55865" spans="26:26" x14ac:dyDescent="0.25">
      <c r="Z55865">
        <v>400000</v>
      </c>
    </row>
    <row r="55866" spans="26:26" x14ac:dyDescent="0.25">
      <c r="Z55866">
        <v>400000</v>
      </c>
    </row>
    <row r="55867" spans="26:26" x14ac:dyDescent="0.25">
      <c r="Z55867">
        <v>400000</v>
      </c>
    </row>
    <row r="55868" spans="26:26" x14ac:dyDescent="0.25">
      <c r="Z55868">
        <v>400000</v>
      </c>
    </row>
    <row r="55869" spans="26:26" x14ac:dyDescent="0.25">
      <c r="Z55869">
        <v>400000</v>
      </c>
    </row>
    <row r="55870" spans="26:26" x14ac:dyDescent="0.25">
      <c r="Z55870">
        <v>400000</v>
      </c>
    </row>
    <row r="55871" spans="26:26" x14ac:dyDescent="0.25">
      <c r="Z55871">
        <v>400000</v>
      </c>
    </row>
    <row r="55872" spans="26:26" x14ac:dyDescent="0.25">
      <c r="Z55872">
        <v>400000</v>
      </c>
    </row>
    <row r="55873" spans="26:26" x14ac:dyDescent="0.25">
      <c r="Z55873">
        <v>400000</v>
      </c>
    </row>
    <row r="55874" spans="26:26" x14ac:dyDescent="0.25">
      <c r="Z55874">
        <v>400000</v>
      </c>
    </row>
    <row r="55875" spans="26:26" x14ac:dyDescent="0.25">
      <c r="Z55875">
        <v>400000</v>
      </c>
    </row>
    <row r="55876" spans="26:26" x14ac:dyDescent="0.25">
      <c r="Z55876">
        <v>400000</v>
      </c>
    </row>
    <row r="55877" spans="26:26" x14ac:dyDescent="0.25">
      <c r="Z55877">
        <v>400000</v>
      </c>
    </row>
    <row r="55878" spans="26:26" x14ac:dyDescent="0.25">
      <c r="Z55878">
        <v>400000</v>
      </c>
    </row>
    <row r="55879" spans="26:26" x14ac:dyDescent="0.25">
      <c r="Z55879">
        <v>400000</v>
      </c>
    </row>
    <row r="55880" spans="26:26" x14ac:dyDescent="0.25">
      <c r="Z55880">
        <v>400000</v>
      </c>
    </row>
    <row r="55881" spans="26:26" x14ac:dyDescent="0.25">
      <c r="Z55881">
        <v>400000</v>
      </c>
    </row>
    <row r="55882" spans="26:26" x14ac:dyDescent="0.25">
      <c r="Z55882">
        <v>400000</v>
      </c>
    </row>
    <row r="55883" spans="26:26" x14ac:dyDescent="0.25">
      <c r="Z55883">
        <v>400000</v>
      </c>
    </row>
    <row r="55884" spans="26:26" x14ac:dyDescent="0.25">
      <c r="Z55884">
        <v>400000</v>
      </c>
    </row>
    <row r="55885" spans="26:26" x14ac:dyDescent="0.25">
      <c r="Z55885">
        <v>400000</v>
      </c>
    </row>
    <row r="55886" spans="26:26" x14ac:dyDescent="0.25">
      <c r="Z55886">
        <v>400000</v>
      </c>
    </row>
    <row r="55887" spans="26:26" x14ac:dyDescent="0.25">
      <c r="Z55887">
        <v>400000</v>
      </c>
    </row>
    <row r="55888" spans="26:26" x14ac:dyDescent="0.25">
      <c r="Z55888">
        <v>400000</v>
      </c>
    </row>
    <row r="55889" spans="26:26" x14ac:dyDescent="0.25">
      <c r="Z55889">
        <v>400000</v>
      </c>
    </row>
    <row r="55890" spans="26:26" x14ac:dyDescent="0.25">
      <c r="Z55890">
        <v>400000</v>
      </c>
    </row>
    <row r="55891" spans="26:26" x14ac:dyDescent="0.25">
      <c r="Z55891">
        <v>400000</v>
      </c>
    </row>
    <row r="55892" spans="26:26" x14ac:dyDescent="0.25">
      <c r="Z55892">
        <v>400000</v>
      </c>
    </row>
    <row r="55893" spans="26:26" x14ac:dyDescent="0.25">
      <c r="Z55893">
        <v>400000</v>
      </c>
    </row>
    <row r="55894" spans="26:26" x14ac:dyDescent="0.25">
      <c r="Z55894">
        <v>400000</v>
      </c>
    </row>
    <row r="55895" spans="26:26" x14ac:dyDescent="0.25">
      <c r="Z55895">
        <v>400000</v>
      </c>
    </row>
    <row r="55896" spans="26:26" x14ac:dyDescent="0.25">
      <c r="Z55896">
        <v>400000</v>
      </c>
    </row>
    <row r="55897" spans="26:26" x14ac:dyDescent="0.25">
      <c r="Z55897">
        <v>400000</v>
      </c>
    </row>
    <row r="55898" spans="26:26" x14ac:dyDescent="0.25">
      <c r="Z55898">
        <v>400000</v>
      </c>
    </row>
    <row r="55899" spans="26:26" x14ac:dyDescent="0.25">
      <c r="Z55899">
        <v>400000</v>
      </c>
    </row>
    <row r="55900" spans="26:26" x14ac:dyDescent="0.25">
      <c r="Z55900">
        <v>400000</v>
      </c>
    </row>
    <row r="55901" spans="26:26" x14ac:dyDescent="0.25">
      <c r="Z55901">
        <v>400000</v>
      </c>
    </row>
    <row r="55902" spans="26:26" x14ac:dyDescent="0.25">
      <c r="Z55902">
        <v>400000</v>
      </c>
    </row>
    <row r="55903" spans="26:26" x14ac:dyDescent="0.25">
      <c r="Z55903">
        <v>400000</v>
      </c>
    </row>
    <row r="55904" spans="26:26" x14ac:dyDescent="0.25">
      <c r="Z55904">
        <v>400000</v>
      </c>
    </row>
    <row r="55905" spans="26:26" x14ac:dyDescent="0.25">
      <c r="Z55905">
        <v>400000</v>
      </c>
    </row>
    <row r="55906" spans="26:26" x14ac:dyDescent="0.25">
      <c r="Z55906">
        <v>400000</v>
      </c>
    </row>
    <row r="55907" spans="26:26" x14ac:dyDescent="0.25">
      <c r="Z55907">
        <v>400000</v>
      </c>
    </row>
    <row r="55908" spans="26:26" x14ac:dyDescent="0.25">
      <c r="Z55908">
        <v>400000</v>
      </c>
    </row>
    <row r="55909" spans="26:26" x14ac:dyDescent="0.25">
      <c r="Z55909">
        <v>400000</v>
      </c>
    </row>
    <row r="55910" spans="26:26" x14ac:dyDescent="0.25">
      <c r="Z55910">
        <v>400000</v>
      </c>
    </row>
    <row r="55911" spans="26:26" x14ac:dyDescent="0.25">
      <c r="Z55911">
        <v>400000</v>
      </c>
    </row>
    <row r="55912" spans="26:26" x14ac:dyDescent="0.25">
      <c r="Z55912">
        <v>400000</v>
      </c>
    </row>
    <row r="55913" spans="26:26" x14ac:dyDescent="0.25">
      <c r="Z55913">
        <v>400000</v>
      </c>
    </row>
    <row r="55914" spans="26:26" x14ac:dyDescent="0.25">
      <c r="Z55914">
        <v>400000</v>
      </c>
    </row>
    <row r="55915" spans="26:26" x14ac:dyDescent="0.25">
      <c r="Z55915">
        <v>400000</v>
      </c>
    </row>
    <row r="55916" spans="26:26" x14ac:dyDescent="0.25">
      <c r="Z55916">
        <v>400000</v>
      </c>
    </row>
    <row r="55917" spans="26:26" x14ac:dyDescent="0.25">
      <c r="Z55917">
        <v>400000</v>
      </c>
    </row>
    <row r="55918" spans="26:26" x14ac:dyDescent="0.25">
      <c r="Z55918">
        <v>400000</v>
      </c>
    </row>
    <row r="55919" spans="26:26" x14ac:dyDescent="0.25">
      <c r="Z55919">
        <v>400000</v>
      </c>
    </row>
    <row r="55920" spans="26:26" x14ac:dyDescent="0.25">
      <c r="Z55920">
        <v>400000</v>
      </c>
    </row>
    <row r="55921" spans="26:26" x14ac:dyDescent="0.25">
      <c r="Z55921">
        <v>400000</v>
      </c>
    </row>
    <row r="55922" spans="26:26" x14ac:dyDescent="0.25">
      <c r="Z55922">
        <v>400000</v>
      </c>
    </row>
    <row r="55923" spans="26:26" x14ac:dyDescent="0.25">
      <c r="Z55923">
        <v>400000</v>
      </c>
    </row>
    <row r="55924" spans="26:26" x14ac:dyDescent="0.25">
      <c r="Z55924">
        <v>400000</v>
      </c>
    </row>
    <row r="55925" spans="26:26" x14ac:dyDescent="0.25">
      <c r="Z55925">
        <v>400000</v>
      </c>
    </row>
    <row r="55926" spans="26:26" x14ac:dyDescent="0.25">
      <c r="Z55926">
        <v>400000</v>
      </c>
    </row>
    <row r="55927" spans="26:26" x14ac:dyDescent="0.25">
      <c r="Z55927">
        <v>400000</v>
      </c>
    </row>
    <row r="55928" spans="26:26" x14ac:dyDescent="0.25">
      <c r="Z55928">
        <v>400000</v>
      </c>
    </row>
    <row r="55929" spans="26:26" x14ac:dyDescent="0.25">
      <c r="Z55929">
        <v>400000</v>
      </c>
    </row>
    <row r="55930" spans="26:26" x14ac:dyDescent="0.25">
      <c r="Z55930">
        <v>400000</v>
      </c>
    </row>
    <row r="55931" spans="26:26" x14ac:dyDescent="0.25">
      <c r="Z55931">
        <v>400000</v>
      </c>
    </row>
    <row r="55932" spans="26:26" x14ac:dyDescent="0.25">
      <c r="Z55932">
        <v>400000</v>
      </c>
    </row>
    <row r="55933" spans="26:26" x14ac:dyDescent="0.25">
      <c r="Z55933">
        <v>400000</v>
      </c>
    </row>
    <row r="55934" spans="26:26" x14ac:dyDescent="0.25">
      <c r="Z55934">
        <v>400000</v>
      </c>
    </row>
    <row r="55935" spans="26:26" x14ac:dyDescent="0.25">
      <c r="Z55935">
        <v>400000</v>
      </c>
    </row>
    <row r="55936" spans="26:26" x14ac:dyDescent="0.25">
      <c r="Z55936">
        <v>400000</v>
      </c>
    </row>
    <row r="55937" spans="26:26" x14ac:dyDescent="0.25">
      <c r="Z55937">
        <v>400000</v>
      </c>
    </row>
    <row r="55938" spans="26:26" x14ac:dyDescent="0.25">
      <c r="Z55938">
        <v>400000</v>
      </c>
    </row>
    <row r="55939" spans="26:26" x14ac:dyDescent="0.25">
      <c r="Z55939">
        <v>400000</v>
      </c>
    </row>
    <row r="55940" spans="26:26" x14ac:dyDescent="0.25">
      <c r="Z55940">
        <v>400000</v>
      </c>
    </row>
    <row r="55941" spans="26:26" x14ac:dyDescent="0.25">
      <c r="Z55941">
        <v>400000</v>
      </c>
    </row>
    <row r="55942" spans="26:26" x14ac:dyDescent="0.25">
      <c r="Z55942">
        <v>400000</v>
      </c>
    </row>
    <row r="55943" spans="26:26" x14ac:dyDescent="0.25">
      <c r="Z55943">
        <v>400000</v>
      </c>
    </row>
    <row r="55944" spans="26:26" x14ac:dyDescent="0.25">
      <c r="Z55944">
        <v>400000</v>
      </c>
    </row>
    <row r="55945" spans="26:26" x14ac:dyDescent="0.25">
      <c r="Z55945">
        <v>400000</v>
      </c>
    </row>
    <row r="55946" spans="26:26" x14ac:dyDescent="0.25">
      <c r="Z55946">
        <v>400000</v>
      </c>
    </row>
    <row r="55947" spans="26:26" x14ac:dyDescent="0.25">
      <c r="Z55947">
        <v>400000</v>
      </c>
    </row>
    <row r="55948" spans="26:26" x14ac:dyDescent="0.25">
      <c r="Z55948">
        <v>400000</v>
      </c>
    </row>
    <row r="55949" spans="26:26" x14ac:dyDescent="0.25">
      <c r="Z55949">
        <v>400000</v>
      </c>
    </row>
    <row r="55950" spans="26:26" x14ac:dyDescent="0.25">
      <c r="Z55950">
        <v>400000</v>
      </c>
    </row>
    <row r="55951" spans="26:26" x14ac:dyDescent="0.25">
      <c r="Z55951">
        <v>400000</v>
      </c>
    </row>
    <row r="55952" spans="26:26" x14ac:dyDescent="0.25">
      <c r="Z55952">
        <v>400000</v>
      </c>
    </row>
    <row r="55953" spans="26:26" x14ac:dyDescent="0.25">
      <c r="Z55953">
        <v>400000</v>
      </c>
    </row>
    <row r="55954" spans="26:26" x14ac:dyDescent="0.25">
      <c r="Z55954">
        <v>400000</v>
      </c>
    </row>
    <row r="55955" spans="26:26" x14ac:dyDescent="0.25">
      <c r="Z55955">
        <v>400000</v>
      </c>
    </row>
    <row r="55956" spans="26:26" x14ac:dyDescent="0.25">
      <c r="Z55956">
        <v>400000</v>
      </c>
    </row>
    <row r="55957" spans="26:26" x14ac:dyDescent="0.25">
      <c r="Z55957">
        <v>400000</v>
      </c>
    </row>
    <row r="55958" spans="26:26" x14ac:dyDescent="0.25">
      <c r="Z55958">
        <v>400000</v>
      </c>
    </row>
    <row r="55959" spans="26:26" x14ac:dyDescent="0.25">
      <c r="Z55959">
        <v>400000</v>
      </c>
    </row>
    <row r="55960" spans="26:26" x14ac:dyDescent="0.25">
      <c r="Z55960">
        <v>400000</v>
      </c>
    </row>
    <row r="55961" spans="26:26" x14ac:dyDescent="0.25">
      <c r="Z55961">
        <v>400000</v>
      </c>
    </row>
    <row r="55962" spans="26:26" x14ac:dyDescent="0.25">
      <c r="Z55962">
        <v>400000</v>
      </c>
    </row>
    <row r="55963" spans="26:26" x14ac:dyDescent="0.25">
      <c r="Z55963">
        <v>400000</v>
      </c>
    </row>
    <row r="55964" spans="26:26" x14ac:dyDescent="0.25">
      <c r="Z55964">
        <v>400000</v>
      </c>
    </row>
    <row r="55965" spans="26:26" x14ac:dyDescent="0.25">
      <c r="Z55965">
        <v>400000</v>
      </c>
    </row>
    <row r="55966" spans="26:26" x14ac:dyDescent="0.25">
      <c r="Z55966">
        <v>400000</v>
      </c>
    </row>
    <row r="55967" spans="26:26" x14ac:dyDescent="0.25">
      <c r="Z55967">
        <v>400000</v>
      </c>
    </row>
    <row r="55968" spans="26:26" x14ac:dyDescent="0.25">
      <c r="Z55968">
        <v>400000</v>
      </c>
    </row>
    <row r="55969" spans="26:26" x14ac:dyDescent="0.25">
      <c r="Z55969">
        <v>400000</v>
      </c>
    </row>
    <row r="55970" spans="26:26" x14ac:dyDescent="0.25">
      <c r="Z55970">
        <v>400000</v>
      </c>
    </row>
    <row r="55971" spans="26:26" x14ac:dyDescent="0.25">
      <c r="Z55971">
        <v>400000</v>
      </c>
    </row>
    <row r="55972" spans="26:26" x14ac:dyDescent="0.25">
      <c r="Z55972">
        <v>400000</v>
      </c>
    </row>
    <row r="55973" spans="26:26" x14ac:dyDescent="0.25">
      <c r="Z55973">
        <v>400000</v>
      </c>
    </row>
    <row r="55974" spans="26:26" x14ac:dyDescent="0.25">
      <c r="Z55974">
        <v>400000</v>
      </c>
    </row>
    <row r="55975" spans="26:26" x14ac:dyDescent="0.25">
      <c r="Z55975">
        <v>400000</v>
      </c>
    </row>
    <row r="55976" spans="26:26" x14ac:dyDescent="0.25">
      <c r="Z55976">
        <v>400000</v>
      </c>
    </row>
    <row r="55977" spans="26:26" x14ac:dyDescent="0.25">
      <c r="Z55977">
        <v>400000</v>
      </c>
    </row>
    <row r="55978" spans="26:26" x14ac:dyDescent="0.25">
      <c r="Z55978">
        <v>400000</v>
      </c>
    </row>
    <row r="55979" spans="26:26" x14ac:dyDescent="0.25">
      <c r="Z55979">
        <v>400000</v>
      </c>
    </row>
    <row r="55980" spans="26:26" x14ac:dyDescent="0.25">
      <c r="Z55980">
        <v>400000</v>
      </c>
    </row>
    <row r="55981" spans="26:26" x14ac:dyDescent="0.25">
      <c r="Z55981">
        <v>400000</v>
      </c>
    </row>
    <row r="55982" spans="26:26" x14ac:dyDescent="0.25">
      <c r="Z55982">
        <v>400000</v>
      </c>
    </row>
    <row r="55983" spans="26:26" x14ac:dyDescent="0.25">
      <c r="Z55983">
        <v>400000</v>
      </c>
    </row>
    <row r="55984" spans="26:26" x14ac:dyDescent="0.25">
      <c r="Z55984">
        <v>400000</v>
      </c>
    </row>
    <row r="55985" spans="26:26" x14ac:dyDescent="0.25">
      <c r="Z55985">
        <v>400000</v>
      </c>
    </row>
    <row r="55986" spans="26:26" x14ac:dyDescent="0.25">
      <c r="Z55986">
        <v>400000</v>
      </c>
    </row>
    <row r="55987" spans="26:26" x14ac:dyDescent="0.25">
      <c r="Z55987">
        <v>400000</v>
      </c>
    </row>
    <row r="55988" spans="26:26" x14ac:dyDescent="0.25">
      <c r="Z55988">
        <v>400000</v>
      </c>
    </row>
    <row r="55989" spans="26:26" x14ac:dyDescent="0.25">
      <c r="Z55989">
        <v>400000</v>
      </c>
    </row>
    <row r="55990" spans="26:26" x14ac:dyDescent="0.25">
      <c r="Z55990">
        <v>400000</v>
      </c>
    </row>
    <row r="55991" spans="26:26" x14ac:dyDescent="0.25">
      <c r="Z55991">
        <v>400000</v>
      </c>
    </row>
    <row r="55992" spans="26:26" x14ac:dyDescent="0.25">
      <c r="Z55992">
        <v>400000</v>
      </c>
    </row>
    <row r="55993" spans="26:26" x14ac:dyDescent="0.25">
      <c r="Z55993">
        <v>400000</v>
      </c>
    </row>
    <row r="55994" spans="26:26" x14ac:dyDescent="0.25">
      <c r="Z55994">
        <v>400000</v>
      </c>
    </row>
    <row r="55995" spans="26:26" x14ac:dyDescent="0.25">
      <c r="Z55995">
        <v>400000</v>
      </c>
    </row>
    <row r="55996" spans="26:26" x14ac:dyDescent="0.25">
      <c r="Z55996">
        <v>400000</v>
      </c>
    </row>
    <row r="55997" spans="26:26" x14ac:dyDescent="0.25">
      <c r="Z55997">
        <v>400000</v>
      </c>
    </row>
    <row r="55998" spans="26:26" x14ac:dyDescent="0.25">
      <c r="Z55998">
        <v>400000</v>
      </c>
    </row>
    <row r="55999" spans="26:26" x14ac:dyDescent="0.25">
      <c r="Z55999">
        <v>400000</v>
      </c>
    </row>
    <row r="56000" spans="26:26" x14ac:dyDescent="0.25">
      <c r="Z56000">
        <v>400000</v>
      </c>
    </row>
    <row r="56001" spans="26:26" x14ac:dyDescent="0.25">
      <c r="Z56001">
        <v>400000</v>
      </c>
    </row>
    <row r="56002" spans="26:26" x14ac:dyDescent="0.25">
      <c r="Z56002">
        <v>400000</v>
      </c>
    </row>
    <row r="56003" spans="26:26" x14ac:dyDescent="0.25">
      <c r="Z56003">
        <v>400000</v>
      </c>
    </row>
    <row r="56004" spans="26:26" x14ac:dyDescent="0.25">
      <c r="Z56004">
        <v>400000</v>
      </c>
    </row>
    <row r="56005" spans="26:26" x14ac:dyDescent="0.25">
      <c r="Z56005">
        <v>400000</v>
      </c>
    </row>
    <row r="56006" spans="26:26" x14ac:dyDescent="0.25">
      <c r="Z56006">
        <v>400000</v>
      </c>
    </row>
    <row r="56007" spans="26:26" x14ac:dyDescent="0.25">
      <c r="Z56007">
        <v>400000</v>
      </c>
    </row>
    <row r="56008" spans="26:26" x14ac:dyDescent="0.25">
      <c r="Z56008">
        <v>400000</v>
      </c>
    </row>
    <row r="56009" spans="26:26" x14ac:dyDescent="0.25">
      <c r="Z56009">
        <v>400000</v>
      </c>
    </row>
    <row r="56010" spans="26:26" x14ac:dyDescent="0.25">
      <c r="Z56010">
        <v>400000</v>
      </c>
    </row>
    <row r="56011" spans="26:26" x14ac:dyDescent="0.25">
      <c r="Z56011">
        <v>400000</v>
      </c>
    </row>
    <row r="56012" spans="26:26" x14ac:dyDescent="0.25">
      <c r="Z56012">
        <v>400000</v>
      </c>
    </row>
    <row r="56013" spans="26:26" x14ac:dyDescent="0.25">
      <c r="Z56013">
        <v>400000</v>
      </c>
    </row>
    <row r="56014" spans="26:26" x14ac:dyDescent="0.25">
      <c r="Z56014">
        <v>400000</v>
      </c>
    </row>
    <row r="56015" spans="26:26" x14ac:dyDescent="0.25">
      <c r="Z56015">
        <v>400000</v>
      </c>
    </row>
    <row r="56016" spans="26:26" x14ac:dyDescent="0.25">
      <c r="Z56016">
        <v>400000</v>
      </c>
    </row>
    <row r="56017" spans="26:26" x14ac:dyDescent="0.25">
      <c r="Z56017">
        <v>400000</v>
      </c>
    </row>
    <row r="56018" spans="26:26" x14ac:dyDescent="0.25">
      <c r="Z56018">
        <v>400000</v>
      </c>
    </row>
    <row r="56019" spans="26:26" x14ac:dyDescent="0.25">
      <c r="Z56019">
        <v>400000</v>
      </c>
    </row>
    <row r="56020" spans="26:26" x14ac:dyDescent="0.25">
      <c r="Z56020">
        <v>400000</v>
      </c>
    </row>
    <row r="56021" spans="26:26" x14ac:dyDescent="0.25">
      <c r="Z56021">
        <v>400000</v>
      </c>
    </row>
    <row r="56022" spans="26:26" x14ac:dyDescent="0.25">
      <c r="Z56022">
        <v>400000</v>
      </c>
    </row>
    <row r="56023" spans="26:26" x14ac:dyDescent="0.25">
      <c r="Z56023">
        <v>400000</v>
      </c>
    </row>
    <row r="56024" spans="26:26" x14ac:dyDescent="0.25">
      <c r="Z56024">
        <v>400000</v>
      </c>
    </row>
    <row r="56025" spans="26:26" x14ac:dyDescent="0.25">
      <c r="Z56025">
        <v>400000</v>
      </c>
    </row>
    <row r="56026" spans="26:26" x14ac:dyDescent="0.25">
      <c r="Z56026">
        <v>400000</v>
      </c>
    </row>
    <row r="56027" spans="26:26" x14ac:dyDescent="0.25">
      <c r="Z56027">
        <v>400000</v>
      </c>
    </row>
    <row r="56028" spans="26:26" x14ac:dyDescent="0.25">
      <c r="Z56028">
        <v>400000</v>
      </c>
    </row>
    <row r="56029" spans="26:26" x14ac:dyDescent="0.25">
      <c r="Z56029">
        <v>400000</v>
      </c>
    </row>
    <row r="56030" spans="26:26" x14ac:dyDescent="0.25">
      <c r="Z56030">
        <v>400000</v>
      </c>
    </row>
    <row r="56031" spans="26:26" x14ac:dyDescent="0.25">
      <c r="Z56031">
        <v>400000</v>
      </c>
    </row>
    <row r="56032" spans="26:26" x14ac:dyDescent="0.25">
      <c r="Z56032">
        <v>400000</v>
      </c>
    </row>
    <row r="56033" spans="26:26" x14ac:dyDescent="0.25">
      <c r="Z56033">
        <v>400000</v>
      </c>
    </row>
    <row r="56034" spans="26:26" x14ac:dyDescent="0.25">
      <c r="Z56034">
        <v>400000</v>
      </c>
    </row>
    <row r="56035" spans="26:26" x14ac:dyDescent="0.25">
      <c r="Z56035">
        <v>400000</v>
      </c>
    </row>
    <row r="56036" spans="26:26" x14ac:dyDescent="0.25">
      <c r="Z56036">
        <v>400000</v>
      </c>
    </row>
    <row r="56037" spans="26:26" x14ac:dyDescent="0.25">
      <c r="Z56037">
        <v>400000</v>
      </c>
    </row>
    <row r="56038" spans="26:26" x14ac:dyDescent="0.25">
      <c r="Z56038">
        <v>400000</v>
      </c>
    </row>
    <row r="56039" spans="26:26" x14ac:dyDescent="0.25">
      <c r="Z56039">
        <v>400000</v>
      </c>
    </row>
    <row r="56040" spans="26:26" x14ac:dyDescent="0.25">
      <c r="Z56040">
        <v>400000</v>
      </c>
    </row>
    <row r="56041" spans="26:26" x14ac:dyDescent="0.25">
      <c r="Z56041">
        <v>400000</v>
      </c>
    </row>
    <row r="56042" spans="26:26" x14ac:dyDescent="0.25">
      <c r="Z56042">
        <v>400000</v>
      </c>
    </row>
    <row r="56043" spans="26:26" x14ac:dyDescent="0.25">
      <c r="Z56043">
        <v>400000</v>
      </c>
    </row>
    <row r="56044" spans="26:26" x14ac:dyDescent="0.25">
      <c r="Z56044">
        <v>400000</v>
      </c>
    </row>
    <row r="56045" spans="26:26" x14ac:dyDescent="0.25">
      <c r="Z56045">
        <v>400000</v>
      </c>
    </row>
    <row r="56046" spans="26:26" x14ac:dyDescent="0.25">
      <c r="Z56046">
        <v>400000</v>
      </c>
    </row>
    <row r="56047" spans="26:26" x14ac:dyDescent="0.25">
      <c r="Z56047">
        <v>400000</v>
      </c>
    </row>
    <row r="56048" spans="26:26" x14ac:dyDescent="0.25">
      <c r="Z56048">
        <v>400000</v>
      </c>
    </row>
    <row r="56049" spans="26:26" x14ac:dyDescent="0.25">
      <c r="Z56049">
        <v>400000</v>
      </c>
    </row>
    <row r="56050" spans="26:26" x14ac:dyDescent="0.25">
      <c r="Z56050">
        <v>400000</v>
      </c>
    </row>
    <row r="56051" spans="26:26" x14ac:dyDescent="0.25">
      <c r="Z56051">
        <v>400000</v>
      </c>
    </row>
    <row r="56052" spans="26:26" x14ac:dyDescent="0.25">
      <c r="Z56052">
        <v>400000</v>
      </c>
    </row>
    <row r="56053" spans="26:26" x14ac:dyDescent="0.25">
      <c r="Z56053">
        <v>400000</v>
      </c>
    </row>
    <row r="56054" spans="26:26" x14ac:dyDescent="0.25">
      <c r="Z56054">
        <v>400000</v>
      </c>
    </row>
    <row r="56055" spans="26:26" x14ac:dyDescent="0.25">
      <c r="Z56055">
        <v>400000</v>
      </c>
    </row>
    <row r="56056" spans="26:26" x14ac:dyDescent="0.25">
      <c r="Z56056">
        <v>400000</v>
      </c>
    </row>
    <row r="56057" spans="26:26" x14ac:dyDescent="0.25">
      <c r="Z56057">
        <v>400000</v>
      </c>
    </row>
    <row r="56058" spans="26:26" x14ac:dyDescent="0.25">
      <c r="Z56058">
        <v>400000</v>
      </c>
    </row>
    <row r="56059" spans="26:26" x14ac:dyDescent="0.25">
      <c r="Z56059">
        <v>400000</v>
      </c>
    </row>
    <row r="56060" spans="26:26" x14ac:dyDescent="0.25">
      <c r="Z56060">
        <v>400000</v>
      </c>
    </row>
    <row r="56061" spans="26:26" x14ac:dyDescent="0.25">
      <c r="Z56061">
        <v>400000</v>
      </c>
    </row>
    <row r="56062" spans="26:26" x14ac:dyDescent="0.25">
      <c r="Z56062">
        <v>400000</v>
      </c>
    </row>
    <row r="56063" spans="26:26" x14ac:dyDescent="0.25">
      <c r="Z56063">
        <v>400000</v>
      </c>
    </row>
    <row r="56064" spans="26:26" x14ac:dyDescent="0.25">
      <c r="Z56064">
        <v>400000</v>
      </c>
    </row>
    <row r="56065" spans="26:26" x14ac:dyDescent="0.25">
      <c r="Z56065">
        <v>400000</v>
      </c>
    </row>
    <row r="56066" spans="26:26" x14ac:dyDescent="0.25">
      <c r="Z56066">
        <v>400000</v>
      </c>
    </row>
    <row r="56067" spans="26:26" x14ac:dyDescent="0.25">
      <c r="Z56067">
        <v>400000</v>
      </c>
    </row>
    <row r="56068" spans="26:26" x14ac:dyDescent="0.25">
      <c r="Z56068">
        <v>400000</v>
      </c>
    </row>
    <row r="56069" spans="26:26" x14ac:dyDescent="0.25">
      <c r="Z56069">
        <v>400000</v>
      </c>
    </row>
    <row r="56070" spans="26:26" x14ac:dyDescent="0.25">
      <c r="Z56070">
        <v>400000</v>
      </c>
    </row>
    <row r="56071" spans="26:26" x14ac:dyDescent="0.25">
      <c r="Z56071">
        <v>400000</v>
      </c>
    </row>
    <row r="56072" spans="26:26" x14ac:dyDescent="0.25">
      <c r="Z56072">
        <v>400000</v>
      </c>
    </row>
    <row r="56073" spans="26:26" x14ac:dyDescent="0.25">
      <c r="Z56073">
        <v>400000</v>
      </c>
    </row>
    <row r="56074" spans="26:26" x14ac:dyDescent="0.25">
      <c r="Z56074">
        <v>400000</v>
      </c>
    </row>
    <row r="56075" spans="26:26" x14ac:dyDescent="0.25">
      <c r="Z56075">
        <v>400000</v>
      </c>
    </row>
    <row r="56076" spans="26:26" x14ac:dyDescent="0.25">
      <c r="Z56076">
        <v>400000</v>
      </c>
    </row>
    <row r="56077" spans="26:26" x14ac:dyDescent="0.25">
      <c r="Z56077">
        <v>400000</v>
      </c>
    </row>
    <row r="56078" spans="26:26" x14ac:dyDescent="0.25">
      <c r="Z56078">
        <v>400000</v>
      </c>
    </row>
    <row r="56079" spans="26:26" x14ac:dyDescent="0.25">
      <c r="Z56079">
        <v>400000</v>
      </c>
    </row>
    <row r="56080" spans="26:26" x14ac:dyDescent="0.25">
      <c r="Z56080">
        <v>400000</v>
      </c>
    </row>
    <row r="56081" spans="26:26" x14ac:dyDescent="0.25">
      <c r="Z56081">
        <v>400000</v>
      </c>
    </row>
    <row r="56082" spans="26:26" x14ac:dyDescent="0.25">
      <c r="Z56082">
        <v>400000</v>
      </c>
    </row>
    <row r="56083" spans="26:26" x14ac:dyDescent="0.25">
      <c r="Z56083">
        <v>400000</v>
      </c>
    </row>
    <row r="56084" spans="26:26" x14ac:dyDescent="0.25">
      <c r="Z56084">
        <v>400000</v>
      </c>
    </row>
    <row r="56085" spans="26:26" x14ac:dyDescent="0.25">
      <c r="Z56085">
        <v>400000</v>
      </c>
    </row>
    <row r="56086" spans="26:26" x14ac:dyDescent="0.25">
      <c r="Z56086">
        <v>400000</v>
      </c>
    </row>
    <row r="56087" spans="26:26" x14ac:dyDescent="0.25">
      <c r="Z56087">
        <v>400000</v>
      </c>
    </row>
    <row r="56088" spans="26:26" x14ac:dyDescent="0.25">
      <c r="Z56088">
        <v>400000</v>
      </c>
    </row>
    <row r="56089" spans="26:26" x14ac:dyDescent="0.25">
      <c r="Z56089">
        <v>400000</v>
      </c>
    </row>
    <row r="56090" spans="26:26" x14ac:dyDescent="0.25">
      <c r="Z56090">
        <v>400000</v>
      </c>
    </row>
    <row r="56091" spans="26:26" x14ac:dyDescent="0.25">
      <c r="Z56091">
        <v>400000</v>
      </c>
    </row>
    <row r="56092" spans="26:26" x14ac:dyDescent="0.25">
      <c r="Z56092">
        <v>400000</v>
      </c>
    </row>
    <row r="56093" spans="26:26" x14ac:dyDescent="0.25">
      <c r="Z56093">
        <v>400000</v>
      </c>
    </row>
    <row r="56094" spans="26:26" x14ac:dyDescent="0.25">
      <c r="Z56094">
        <v>400000</v>
      </c>
    </row>
    <row r="56095" spans="26:26" x14ac:dyDescent="0.25">
      <c r="Z56095">
        <v>400000</v>
      </c>
    </row>
    <row r="56096" spans="26:26" x14ac:dyDescent="0.25">
      <c r="Z56096">
        <v>400000</v>
      </c>
    </row>
    <row r="56097" spans="26:26" x14ac:dyDescent="0.25">
      <c r="Z56097">
        <v>400000</v>
      </c>
    </row>
    <row r="56098" spans="26:26" x14ac:dyDescent="0.25">
      <c r="Z56098">
        <v>400000</v>
      </c>
    </row>
    <row r="56099" spans="26:26" x14ac:dyDescent="0.25">
      <c r="Z56099">
        <v>400000</v>
      </c>
    </row>
    <row r="56100" spans="26:26" x14ac:dyDescent="0.25">
      <c r="Z56100">
        <v>400000</v>
      </c>
    </row>
    <row r="56101" spans="26:26" x14ac:dyDescent="0.25">
      <c r="Z56101">
        <v>400000</v>
      </c>
    </row>
    <row r="56102" spans="26:26" x14ac:dyDescent="0.25">
      <c r="Z56102">
        <v>400000</v>
      </c>
    </row>
    <row r="56103" spans="26:26" x14ac:dyDescent="0.25">
      <c r="Z56103">
        <v>400000</v>
      </c>
    </row>
    <row r="56104" spans="26:26" x14ac:dyDescent="0.25">
      <c r="Z56104">
        <v>400000</v>
      </c>
    </row>
    <row r="56105" spans="26:26" x14ac:dyDescent="0.25">
      <c r="Z56105">
        <v>400000</v>
      </c>
    </row>
    <row r="56106" spans="26:26" x14ac:dyDescent="0.25">
      <c r="Z56106">
        <v>400000</v>
      </c>
    </row>
    <row r="56107" spans="26:26" x14ac:dyDescent="0.25">
      <c r="Z56107">
        <v>400000</v>
      </c>
    </row>
    <row r="56108" spans="26:26" x14ac:dyDescent="0.25">
      <c r="Z56108">
        <v>400000</v>
      </c>
    </row>
    <row r="56109" spans="26:26" x14ac:dyDescent="0.25">
      <c r="Z56109">
        <v>400000</v>
      </c>
    </row>
    <row r="56110" spans="26:26" x14ac:dyDescent="0.25">
      <c r="Z56110">
        <v>400000</v>
      </c>
    </row>
    <row r="56111" spans="26:26" x14ac:dyDescent="0.25">
      <c r="Z56111">
        <v>400000</v>
      </c>
    </row>
    <row r="56112" spans="26:26" x14ac:dyDescent="0.25">
      <c r="Z56112">
        <v>400000</v>
      </c>
    </row>
    <row r="56113" spans="26:26" x14ac:dyDescent="0.25">
      <c r="Z56113">
        <v>400000</v>
      </c>
    </row>
    <row r="56114" spans="26:26" x14ac:dyDescent="0.25">
      <c r="Z56114">
        <v>400000</v>
      </c>
    </row>
    <row r="56115" spans="26:26" x14ac:dyDescent="0.25">
      <c r="Z56115">
        <v>400000</v>
      </c>
    </row>
    <row r="56116" spans="26:26" x14ac:dyDescent="0.25">
      <c r="Z56116">
        <v>400000</v>
      </c>
    </row>
    <row r="56117" spans="26:26" x14ac:dyDescent="0.25">
      <c r="Z56117">
        <v>400000</v>
      </c>
    </row>
    <row r="56118" spans="26:26" x14ac:dyDescent="0.25">
      <c r="Z56118">
        <v>400000</v>
      </c>
    </row>
    <row r="56119" spans="26:26" x14ac:dyDescent="0.25">
      <c r="Z56119">
        <v>400000</v>
      </c>
    </row>
    <row r="56120" spans="26:26" x14ac:dyDescent="0.25">
      <c r="Z56120">
        <v>400000</v>
      </c>
    </row>
    <row r="56121" spans="26:26" x14ac:dyDescent="0.25">
      <c r="Z56121">
        <v>400000</v>
      </c>
    </row>
    <row r="56122" spans="26:26" x14ac:dyDescent="0.25">
      <c r="Z56122">
        <v>400000</v>
      </c>
    </row>
    <row r="56123" spans="26:26" x14ac:dyDescent="0.25">
      <c r="Z56123">
        <v>400000</v>
      </c>
    </row>
    <row r="56124" spans="26:26" x14ac:dyDescent="0.25">
      <c r="Z56124">
        <v>400000</v>
      </c>
    </row>
    <row r="56125" spans="26:26" x14ac:dyDescent="0.25">
      <c r="Z56125">
        <v>400000</v>
      </c>
    </row>
    <row r="56126" spans="26:26" x14ac:dyDescent="0.25">
      <c r="Z56126">
        <v>400000</v>
      </c>
    </row>
    <row r="56127" spans="26:26" x14ac:dyDescent="0.25">
      <c r="Z56127">
        <v>400000</v>
      </c>
    </row>
    <row r="56128" spans="26:26" x14ac:dyDescent="0.25">
      <c r="Z56128">
        <v>400000</v>
      </c>
    </row>
    <row r="56129" spans="26:26" x14ac:dyDescent="0.25">
      <c r="Z56129">
        <v>400000</v>
      </c>
    </row>
    <row r="56130" spans="26:26" x14ac:dyDescent="0.25">
      <c r="Z56130">
        <v>400000</v>
      </c>
    </row>
    <row r="56131" spans="26:26" x14ac:dyDescent="0.25">
      <c r="Z56131">
        <v>400000</v>
      </c>
    </row>
    <row r="56132" spans="26:26" x14ac:dyDescent="0.25">
      <c r="Z56132">
        <v>400000</v>
      </c>
    </row>
    <row r="56133" spans="26:26" x14ac:dyDescent="0.25">
      <c r="Z56133">
        <v>400000</v>
      </c>
    </row>
    <row r="56134" spans="26:26" x14ac:dyDescent="0.25">
      <c r="Z56134">
        <v>400000</v>
      </c>
    </row>
    <row r="56135" spans="26:26" x14ac:dyDescent="0.25">
      <c r="Z56135">
        <v>400000</v>
      </c>
    </row>
    <row r="56136" spans="26:26" x14ac:dyDescent="0.25">
      <c r="Z56136">
        <v>400000</v>
      </c>
    </row>
    <row r="56137" spans="26:26" x14ac:dyDescent="0.25">
      <c r="Z56137">
        <v>400000</v>
      </c>
    </row>
    <row r="56138" spans="26:26" x14ac:dyDescent="0.25">
      <c r="Z56138">
        <v>400000</v>
      </c>
    </row>
    <row r="56139" spans="26:26" x14ac:dyDescent="0.25">
      <c r="Z56139">
        <v>400000</v>
      </c>
    </row>
    <row r="56140" spans="26:26" x14ac:dyDescent="0.25">
      <c r="Z56140">
        <v>400000</v>
      </c>
    </row>
    <row r="56141" spans="26:26" x14ac:dyDescent="0.25">
      <c r="Z56141">
        <v>400000</v>
      </c>
    </row>
    <row r="56142" spans="26:26" x14ac:dyDescent="0.25">
      <c r="Z56142">
        <v>400000</v>
      </c>
    </row>
    <row r="56143" spans="26:26" x14ac:dyDescent="0.25">
      <c r="Z56143">
        <v>400000</v>
      </c>
    </row>
    <row r="56144" spans="26:26" x14ac:dyDescent="0.25">
      <c r="Z56144">
        <v>400000</v>
      </c>
    </row>
    <row r="56145" spans="26:26" x14ac:dyDescent="0.25">
      <c r="Z56145">
        <v>400000</v>
      </c>
    </row>
    <row r="56146" spans="26:26" x14ac:dyDescent="0.25">
      <c r="Z56146">
        <v>400000</v>
      </c>
    </row>
    <row r="56147" spans="26:26" x14ac:dyDescent="0.25">
      <c r="Z56147">
        <v>400000</v>
      </c>
    </row>
    <row r="56148" spans="26:26" x14ac:dyDescent="0.25">
      <c r="Z56148">
        <v>400000</v>
      </c>
    </row>
    <row r="56149" spans="26:26" x14ac:dyDescent="0.25">
      <c r="Z56149">
        <v>400000</v>
      </c>
    </row>
    <row r="56150" spans="26:26" x14ac:dyDescent="0.25">
      <c r="Z56150">
        <v>400000</v>
      </c>
    </row>
    <row r="56151" spans="26:26" x14ac:dyDescent="0.25">
      <c r="Z56151">
        <v>400000</v>
      </c>
    </row>
    <row r="56152" spans="26:26" x14ac:dyDescent="0.25">
      <c r="Z56152">
        <v>400000</v>
      </c>
    </row>
    <row r="56153" spans="26:26" x14ac:dyDescent="0.25">
      <c r="Z56153">
        <v>400000</v>
      </c>
    </row>
    <row r="56154" spans="26:26" x14ac:dyDescent="0.25">
      <c r="Z56154">
        <v>400000</v>
      </c>
    </row>
    <row r="56155" spans="26:26" x14ac:dyDescent="0.25">
      <c r="Z56155">
        <v>400000</v>
      </c>
    </row>
    <row r="56156" spans="26:26" x14ac:dyDescent="0.25">
      <c r="Z56156">
        <v>400000</v>
      </c>
    </row>
    <row r="56157" spans="26:26" x14ac:dyDescent="0.25">
      <c r="Z56157">
        <v>400000</v>
      </c>
    </row>
    <row r="56158" spans="26:26" x14ac:dyDescent="0.25">
      <c r="Z56158">
        <v>400000</v>
      </c>
    </row>
    <row r="56159" spans="26:26" x14ac:dyDescent="0.25">
      <c r="Z56159">
        <v>400000</v>
      </c>
    </row>
    <row r="56160" spans="26:26" x14ac:dyDescent="0.25">
      <c r="Z56160">
        <v>400000</v>
      </c>
    </row>
    <row r="56161" spans="26:26" x14ac:dyDescent="0.25">
      <c r="Z56161">
        <v>400000</v>
      </c>
    </row>
    <row r="56162" spans="26:26" x14ac:dyDescent="0.25">
      <c r="Z56162">
        <v>400000</v>
      </c>
    </row>
    <row r="56163" spans="26:26" x14ac:dyDescent="0.25">
      <c r="Z56163">
        <v>400000</v>
      </c>
    </row>
    <row r="56164" spans="26:26" x14ac:dyDescent="0.25">
      <c r="Z56164">
        <v>400000</v>
      </c>
    </row>
    <row r="56165" spans="26:26" x14ac:dyDescent="0.25">
      <c r="Z56165">
        <v>400000</v>
      </c>
    </row>
    <row r="56166" spans="26:26" x14ac:dyDescent="0.25">
      <c r="Z56166">
        <v>400000</v>
      </c>
    </row>
    <row r="56167" spans="26:26" x14ac:dyDescent="0.25">
      <c r="Z56167">
        <v>400000</v>
      </c>
    </row>
    <row r="56168" spans="26:26" x14ac:dyDescent="0.25">
      <c r="Z56168">
        <v>400000</v>
      </c>
    </row>
    <row r="56169" spans="26:26" x14ac:dyDescent="0.25">
      <c r="Z56169">
        <v>400000</v>
      </c>
    </row>
    <row r="56170" spans="26:26" x14ac:dyDescent="0.25">
      <c r="Z56170">
        <v>400000</v>
      </c>
    </row>
    <row r="56171" spans="26:26" x14ac:dyDescent="0.25">
      <c r="Z56171">
        <v>400000</v>
      </c>
    </row>
    <row r="56172" spans="26:26" x14ac:dyDescent="0.25">
      <c r="Z56172">
        <v>400000</v>
      </c>
    </row>
    <row r="56173" spans="26:26" x14ac:dyDescent="0.25">
      <c r="Z56173">
        <v>400000</v>
      </c>
    </row>
    <row r="56174" spans="26:26" x14ac:dyDescent="0.25">
      <c r="Z56174">
        <v>400000</v>
      </c>
    </row>
    <row r="56175" spans="26:26" x14ac:dyDescent="0.25">
      <c r="Z56175">
        <v>400000</v>
      </c>
    </row>
    <row r="56176" spans="26:26" x14ac:dyDescent="0.25">
      <c r="Z56176">
        <v>400000</v>
      </c>
    </row>
    <row r="56177" spans="26:26" x14ac:dyDescent="0.25">
      <c r="Z56177">
        <v>400000</v>
      </c>
    </row>
    <row r="56178" spans="26:26" x14ac:dyDescent="0.25">
      <c r="Z56178">
        <v>400000</v>
      </c>
    </row>
    <row r="56179" spans="26:26" x14ac:dyDescent="0.25">
      <c r="Z56179">
        <v>400000</v>
      </c>
    </row>
    <row r="56180" spans="26:26" x14ac:dyDescent="0.25">
      <c r="Z56180">
        <v>400000</v>
      </c>
    </row>
    <row r="56181" spans="26:26" x14ac:dyDescent="0.25">
      <c r="Z56181">
        <v>400000</v>
      </c>
    </row>
    <row r="56182" spans="26:26" x14ac:dyDescent="0.25">
      <c r="Z56182">
        <v>400000</v>
      </c>
    </row>
    <row r="56183" spans="26:26" x14ac:dyDescent="0.25">
      <c r="Z56183">
        <v>400000</v>
      </c>
    </row>
    <row r="56184" spans="26:26" x14ac:dyDescent="0.25">
      <c r="Z56184">
        <v>400000</v>
      </c>
    </row>
    <row r="56185" spans="26:26" x14ac:dyDescent="0.25">
      <c r="Z56185">
        <v>400000</v>
      </c>
    </row>
    <row r="56186" spans="26:26" x14ac:dyDescent="0.25">
      <c r="Z56186">
        <v>400000</v>
      </c>
    </row>
    <row r="56187" spans="26:26" x14ac:dyDescent="0.25">
      <c r="Z56187">
        <v>400000</v>
      </c>
    </row>
    <row r="56188" spans="26:26" x14ac:dyDescent="0.25">
      <c r="Z56188">
        <v>400000</v>
      </c>
    </row>
    <row r="56189" spans="26:26" x14ac:dyDescent="0.25">
      <c r="Z56189">
        <v>400000</v>
      </c>
    </row>
    <row r="56190" spans="26:26" x14ac:dyDescent="0.25">
      <c r="Z56190">
        <v>400000</v>
      </c>
    </row>
    <row r="56191" spans="26:26" x14ac:dyDescent="0.25">
      <c r="Z56191">
        <v>400000</v>
      </c>
    </row>
    <row r="56192" spans="26:26" x14ac:dyDescent="0.25">
      <c r="Z56192">
        <v>400000</v>
      </c>
    </row>
    <row r="56193" spans="26:26" x14ac:dyDescent="0.25">
      <c r="Z56193">
        <v>400000</v>
      </c>
    </row>
    <row r="56194" spans="26:26" x14ac:dyDescent="0.25">
      <c r="Z56194">
        <v>400000</v>
      </c>
    </row>
    <row r="56195" spans="26:26" x14ac:dyDescent="0.25">
      <c r="Z56195">
        <v>400000</v>
      </c>
    </row>
    <row r="56196" spans="26:26" x14ac:dyDescent="0.25">
      <c r="Z56196">
        <v>400000</v>
      </c>
    </row>
    <row r="56197" spans="26:26" x14ac:dyDescent="0.25">
      <c r="Z56197">
        <v>400000</v>
      </c>
    </row>
    <row r="56198" spans="26:26" x14ac:dyDescent="0.25">
      <c r="Z56198">
        <v>400000</v>
      </c>
    </row>
    <row r="56199" spans="26:26" x14ac:dyDescent="0.25">
      <c r="Z56199">
        <v>400000</v>
      </c>
    </row>
    <row r="56200" spans="26:26" x14ac:dyDescent="0.25">
      <c r="Z56200">
        <v>400000</v>
      </c>
    </row>
    <row r="56201" spans="26:26" x14ac:dyDescent="0.25">
      <c r="Z56201">
        <v>400000</v>
      </c>
    </row>
    <row r="56202" spans="26:26" x14ac:dyDescent="0.25">
      <c r="Z56202">
        <v>400000</v>
      </c>
    </row>
    <row r="56203" spans="26:26" x14ac:dyDescent="0.25">
      <c r="Z56203">
        <v>400000</v>
      </c>
    </row>
    <row r="56204" spans="26:26" x14ac:dyDescent="0.25">
      <c r="Z56204">
        <v>400000</v>
      </c>
    </row>
    <row r="56205" spans="26:26" x14ac:dyDescent="0.25">
      <c r="Z56205">
        <v>400000</v>
      </c>
    </row>
    <row r="56206" spans="26:26" x14ac:dyDescent="0.25">
      <c r="Z56206">
        <v>400000</v>
      </c>
    </row>
    <row r="56207" spans="26:26" x14ac:dyDescent="0.25">
      <c r="Z56207">
        <v>400000</v>
      </c>
    </row>
    <row r="56208" spans="26:26" x14ac:dyDescent="0.25">
      <c r="Z56208">
        <v>400000</v>
      </c>
    </row>
    <row r="56209" spans="26:26" x14ac:dyDescent="0.25">
      <c r="Z56209">
        <v>400000</v>
      </c>
    </row>
    <row r="56210" spans="26:26" x14ac:dyDescent="0.25">
      <c r="Z56210">
        <v>400000</v>
      </c>
    </row>
    <row r="56211" spans="26:26" x14ac:dyDescent="0.25">
      <c r="Z56211">
        <v>400000</v>
      </c>
    </row>
    <row r="56212" spans="26:26" x14ac:dyDescent="0.25">
      <c r="Z56212">
        <v>400000</v>
      </c>
    </row>
    <row r="56213" spans="26:26" x14ac:dyDescent="0.25">
      <c r="Z56213">
        <v>400000</v>
      </c>
    </row>
    <row r="56214" spans="26:26" x14ac:dyDescent="0.25">
      <c r="Z56214">
        <v>400000</v>
      </c>
    </row>
    <row r="56215" spans="26:26" x14ac:dyDescent="0.25">
      <c r="Z56215">
        <v>400000</v>
      </c>
    </row>
    <row r="56216" spans="26:26" x14ac:dyDescent="0.25">
      <c r="Z56216">
        <v>400000</v>
      </c>
    </row>
    <row r="56217" spans="26:26" x14ac:dyDescent="0.25">
      <c r="Z56217">
        <v>400000</v>
      </c>
    </row>
    <row r="56218" spans="26:26" x14ac:dyDescent="0.25">
      <c r="Z56218">
        <v>400000</v>
      </c>
    </row>
    <row r="56219" spans="26:26" x14ac:dyDescent="0.25">
      <c r="Z56219">
        <v>400000</v>
      </c>
    </row>
    <row r="56220" spans="26:26" x14ac:dyDescent="0.25">
      <c r="Z56220">
        <v>400000</v>
      </c>
    </row>
    <row r="56221" spans="26:26" x14ac:dyDescent="0.25">
      <c r="Z56221">
        <v>400000</v>
      </c>
    </row>
    <row r="56222" spans="26:26" x14ac:dyDescent="0.25">
      <c r="Z56222">
        <v>400000</v>
      </c>
    </row>
    <row r="56223" spans="26:26" x14ac:dyDescent="0.25">
      <c r="Z56223">
        <v>400000</v>
      </c>
    </row>
    <row r="56224" spans="26:26" x14ac:dyDescent="0.25">
      <c r="Z56224">
        <v>400000</v>
      </c>
    </row>
    <row r="56225" spans="26:26" x14ac:dyDescent="0.25">
      <c r="Z56225">
        <v>400000</v>
      </c>
    </row>
    <row r="56226" spans="26:26" x14ac:dyDescent="0.25">
      <c r="Z56226">
        <v>400000</v>
      </c>
    </row>
    <row r="56227" spans="26:26" x14ac:dyDescent="0.25">
      <c r="Z56227">
        <v>400000</v>
      </c>
    </row>
    <row r="56228" spans="26:26" x14ac:dyDescent="0.25">
      <c r="Z56228">
        <v>400000</v>
      </c>
    </row>
    <row r="56229" spans="26:26" x14ac:dyDescent="0.25">
      <c r="Z56229">
        <v>400000</v>
      </c>
    </row>
    <row r="56230" spans="26:26" x14ac:dyDescent="0.25">
      <c r="Z56230">
        <v>400000</v>
      </c>
    </row>
    <row r="56231" spans="26:26" x14ac:dyDescent="0.25">
      <c r="Z56231">
        <v>400000</v>
      </c>
    </row>
    <row r="56232" spans="26:26" x14ac:dyDescent="0.25">
      <c r="Z56232">
        <v>400000</v>
      </c>
    </row>
    <row r="56233" spans="26:26" x14ac:dyDescent="0.25">
      <c r="Z56233">
        <v>400000</v>
      </c>
    </row>
    <row r="56234" spans="26:26" x14ac:dyDescent="0.25">
      <c r="Z56234">
        <v>400000</v>
      </c>
    </row>
    <row r="56235" spans="26:26" x14ac:dyDescent="0.25">
      <c r="Z56235">
        <v>400000</v>
      </c>
    </row>
    <row r="56236" spans="26:26" x14ac:dyDescent="0.25">
      <c r="Z56236">
        <v>400000</v>
      </c>
    </row>
    <row r="56237" spans="26:26" x14ac:dyDescent="0.25">
      <c r="Z56237">
        <v>400000</v>
      </c>
    </row>
    <row r="56238" spans="26:26" x14ac:dyDescent="0.25">
      <c r="Z56238">
        <v>400000</v>
      </c>
    </row>
    <row r="56239" spans="26:26" x14ac:dyDescent="0.25">
      <c r="Z56239">
        <v>400000</v>
      </c>
    </row>
    <row r="56240" spans="26:26" x14ac:dyDescent="0.25">
      <c r="Z56240">
        <v>400000</v>
      </c>
    </row>
    <row r="56241" spans="26:26" x14ac:dyDescent="0.25">
      <c r="Z56241">
        <v>400000</v>
      </c>
    </row>
    <row r="56242" spans="26:26" x14ac:dyDescent="0.25">
      <c r="Z56242">
        <v>400000</v>
      </c>
    </row>
    <row r="56243" spans="26:26" x14ac:dyDescent="0.25">
      <c r="Z56243">
        <v>400000</v>
      </c>
    </row>
    <row r="56244" spans="26:26" x14ac:dyDescent="0.25">
      <c r="Z56244">
        <v>400000</v>
      </c>
    </row>
    <row r="56245" spans="26:26" x14ac:dyDescent="0.25">
      <c r="Z56245">
        <v>400000</v>
      </c>
    </row>
    <row r="56246" spans="26:26" x14ac:dyDescent="0.25">
      <c r="Z56246">
        <v>400000</v>
      </c>
    </row>
    <row r="56247" spans="26:26" x14ac:dyDescent="0.25">
      <c r="Z56247">
        <v>400000</v>
      </c>
    </row>
    <row r="56248" spans="26:26" x14ac:dyDescent="0.25">
      <c r="Z56248">
        <v>400000</v>
      </c>
    </row>
    <row r="56249" spans="26:26" x14ac:dyDescent="0.25">
      <c r="Z56249">
        <v>400000</v>
      </c>
    </row>
    <row r="56250" spans="26:26" x14ac:dyDescent="0.25">
      <c r="Z56250">
        <v>400000</v>
      </c>
    </row>
    <row r="56251" spans="26:26" x14ac:dyDescent="0.25">
      <c r="Z56251">
        <v>400000</v>
      </c>
    </row>
    <row r="56252" spans="26:26" x14ac:dyDescent="0.25">
      <c r="Z56252">
        <v>400000</v>
      </c>
    </row>
    <row r="56253" spans="26:26" x14ac:dyDescent="0.25">
      <c r="Z56253">
        <v>400000</v>
      </c>
    </row>
    <row r="56254" spans="26:26" x14ac:dyDescent="0.25">
      <c r="Z56254">
        <v>400000</v>
      </c>
    </row>
    <row r="56255" spans="26:26" x14ac:dyDescent="0.25">
      <c r="Z56255">
        <v>400000</v>
      </c>
    </row>
    <row r="56256" spans="26:26" x14ac:dyDescent="0.25">
      <c r="Z56256">
        <v>400000</v>
      </c>
    </row>
    <row r="56257" spans="26:26" x14ac:dyDescent="0.25">
      <c r="Z56257">
        <v>400000</v>
      </c>
    </row>
    <row r="56258" spans="26:26" x14ac:dyDescent="0.25">
      <c r="Z56258">
        <v>400000</v>
      </c>
    </row>
    <row r="56259" spans="26:26" x14ac:dyDescent="0.25">
      <c r="Z56259">
        <v>400000</v>
      </c>
    </row>
    <row r="56260" spans="26:26" x14ac:dyDescent="0.25">
      <c r="Z56260">
        <v>400000</v>
      </c>
    </row>
    <row r="56261" spans="26:26" x14ac:dyDescent="0.25">
      <c r="Z56261">
        <v>400000</v>
      </c>
    </row>
    <row r="56262" spans="26:26" x14ac:dyDescent="0.25">
      <c r="Z56262">
        <v>400000</v>
      </c>
    </row>
    <row r="56263" spans="26:26" x14ac:dyDescent="0.25">
      <c r="Z56263">
        <v>400000</v>
      </c>
    </row>
    <row r="56264" spans="26:26" x14ac:dyDescent="0.25">
      <c r="Z56264">
        <v>400000</v>
      </c>
    </row>
    <row r="56265" spans="26:26" x14ac:dyDescent="0.25">
      <c r="Z56265">
        <v>400000</v>
      </c>
    </row>
    <row r="56266" spans="26:26" x14ac:dyDescent="0.25">
      <c r="Z56266">
        <v>400000</v>
      </c>
    </row>
    <row r="56267" spans="26:26" x14ac:dyDescent="0.25">
      <c r="Z56267">
        <v>400000</v>
      </c>
    </row>
    <row r="56268" spans="26:26" x14ac:dyDescent="0.25">
      <c r="Z56268">
        <v>400000</v>
      </c>
    </row>
    <row r="56269" spans="26:26" x14ac:dyDescent="0.25">
      <c r="Z56269">
        <v>400000</v>
      </c>
    </row>
    <row r="56270" spans="26:26" x14ac:dyDescent="0.25">
      <c r="Z56270">
        <v>400000</v>
      </c>
    </row>
    <row r="56271" spans="26:26" x14ac:dyDescent="0.25">
      <c r="Z56271">
        <v>400000</v>
      </c>
    </row>
    <row r="56272" spans="26:26" x14ac:dyDescent="0.25">
      <c r="Z56272">
        <v>400000</v>
      </c>
    </row>
    <row r="56273" spans="26:26" x14ac:dyDescent="0.25">
      <c r="Z56273">
        <v>400000</v>
      </c>
    </row>
    <row r="56274" spans="26:26" x14ac:dyDescent="0.25">
      <c r="Z56274">
        <v>400000</v>
      </c>
    </row>
    <row r="56275" spans="26:26" x14ac:dyDescent="0.25">
      <c r="Z56275">
        <v>400000</v>
      </c>
    </row>
    <row r="56276" spans="26:26" x14ac:dyDescent="0.25">
      <c r="Z56276">
        <v>400000</v>
      </c>
    </row>
    <row r="56277" spans="26:26" x14ac:dyDescent="0.25">
      <c r="Z56277">
        <v>400000</v>
      </c>
    </row>
    <row r="56278" spans="26:26" x14ac:dyDescent="0.25">
      <c r="Z56278">
        <v>400000</v>
      </c>
    </row>
    <row r="56279" spans="26:26" x14ac:dyDescent="0.25">
      <c r="Z56279">
        <v>400000</v>
      </c>
    </row>
    <row r="56280" spans="26:26" x14ac:dyDescent="0.25">
      <c r="Z56280">
        <v>400000</v>
      </c>
    </row>
    <row r="56281" spans="26:26" x14ac:dyDescent="0.25">
      <c r="Z56281">
        <v>400000</v>
      </c>
    </row>
    <row r="56282" spans="26:26" x14ac:dyDescent="0.25">
      <c r="Z56282">
        <v>400000</v>
      </c>
    </row>
    <row r="56283" spans="26:26" x14ac:dyDescent="0.25">
      <c r="Z56283">
        <v>400000</v>
      </c>
    </row>
    <row r="56284" spans="26:26" x14ac:dyDescent="0.25">
      <c r="Z56284">
        <v>400000</v>
      </c>
    </row>
    <row r="56285" spans="26:26" x14ac:dyDescent="0.25">
      <c r="Z56285">
        <v>400000</v>
      </c>
    </row>
    <row r="56286" spans="26:26" x14ac:dyDescent="0.25">
      <c r="Z56286">
        <v>400000</v>
      </c>
    </row>
    <row r="56287" spans="26:26" x14ac:dyDescent="0.25">
      <c r="Z56287">
        <v>400000</v>
      </c>
    </row>
    <row r="56288" spans="26:26" x14ac:dyDescent="0.25">
      <c r="Z56288">
        <v>400000</v>
      </c>
    </row>
    <row r="56289" spans="26:26" x14ac:dyDescent="0.25">
      <c r="Z56289">
        <v>400000</v>
      </c>
    </row>
    <row r="56290" spans="26:26" x14ac:dyDescent="0.25">
      <c r="Z56290">
        <v>400000</v>
      </c>
    </row>
    <row r="56291" spans="26:26" x14ac:dyDescent="0.25">
      <c r="Z56291">
        <v>400000</v>
      </c>
    </row>
    <row r="56292" spans="26:26" x14ac:dyDescent="0.25">
      <c r="Z56292">
        <v>400000</v>
      </c>
    </row>
    <row r="56293" spans="26:26" x14ac:dyDescent="0.25">
      <c r="Z56293">
        <v>400000</v>
      </c>
    </row>
    <row r="56294" spans="26:26" x14ac:dyDescent="0.25">
      <c r="Z56294">
        <v>400000</v>
      </c>
    </row>
    <row r="56295" spans="26:26" x14ac:dyDescent="0.25">
      <c r="Z56295">
        <v>400000</v>
      </c>
    </row>
    <row r="56296" spans="26:26" x14ac:dyDescent="0.25">
      <c r="Z56296">
        <v>400000</v>
      </c>
    </row>
    <row r="56297" spans="26:26" x14ac:dyDescent="0.25">
      <c r="Z56297">
        <v>400000</v>
      </c>
    </row>
    <row r="56298" spans="26:26" x14ac:dyDescent="0.25">
      <c r="Z56298">
        <v>400000</v>
      </c>
    </row>
    <row r="56299" spans="26:26" x14ac:dyDescent="0.25">
      <c r="Z56299">
        <v>400000</v>
      </c>
    </row>
    <row r="56300" spans="26:26" x14ac:dyDescent="0.25">
      <c r="Z56300">
        <v>400000</v>
      </c>
    </row>
    <row r="56301" spans="26:26" x14ac:dyDescent="0.25">
      <c r="Z56301">
        <v>400000</v>
      </c>
    </row>
    <row r="56302" spans="26:26" x14ac:dyDescent="0.25">
      <c r="Z56302">
        <v>400000</v>
      </c>
    </row>
    <row r="56303" spans="26:26" x14ac:dyDescent="0.25">
      <c r="Z56303">
        <v>400000</v>
      </c>
    </row>
    <row r="56304" spans="26:26" x14ac:dyDescent="0.25">
      <c r="Z56304">
        <v>400000</v>
      </c>
    </row>
    <row r="56305" spans="26:26" x14ac:dyDescent="0.25">
      <c r="Z56305">
        <v>400000</v>
      </c>
    </row>
    <row r="56306" spans="26:26" x14ac:dyDescent="0.25">
      <c r="Z56306">
        <v>400000</v>
      </c>
    </row>
    <row r="56307" spans="26:26" x14ac:dyDescent="0.25">
      <c r="Z56307">
        <v>400000</v>
      </c>
    </row>
    <row r="56308" spans="26:26" x14ac:dyDescent="0.25">
      <c r="Z56308">
        <v>400000</v>
      </c>
    </row>
    <row r="56309" spans="26:26" x14ac:dyDescent="0.25">
      <c r="Z56309">
        <v>400000</v>
      </c>
    </row>
    <row r="56310" spans="26:26" x14ac:dyDescent="0.25">
      <c r="Z56310">
        <v>400000</v>
      </c>
    </row>
    <row r="56311" spans="26:26" x14ac:dyDescent="0.25">
      <c r="Z56311">
        <v>400000</v>
      </c>
    </row>
    <row r="56312" spans="26:26" x14ac:dyDescent="0.25">
      <c r="Z56312">
        <v>400000</v>
      </c>
    </row>
    <row r="56313" spans="26:26" x14ac:dyDescent="0.25">
      <c r="Z56313">
        <v>400000</v>
      </c>
    </row>
    <row r="56314" spans="26:26" x14ac:dyDescent="0.25">
      <c r="Z56314">
        <v>400000</v>
      </c>
    </row>
    <row r="56315" spans="26:26" x14ac:dyDescent="0.25">
      <c r="Z56315">
        <v>400000</v>
      </c>
    </row>
    <row r="56316" spans="26:26" x14ac:dyDescent="0.25">
      <c r="Z56316">
        <v>400000</v>
      </c>
    </row>
    <row r="56317" spans="26:26" x14ac:dyDescent="0.25">
      <c r="Z56317">
        <v>400000</v>
      </c>
    </row>
    <row r="56318" spans="26:26" x14ac:dyDescent="0.25">
      <c r="Z56318">
        <v>400000</v>
      </c>
    </row>
    <row r="56319" spans="26:26" x14ac:dyDescent="0.25">
      <c r="Z56319">
        <v>400000</v>
      </c>
    </row>
    <row r="56320" spans="26:26" x14ac:dyDescent="0.25">
      <c r="Z56320">
        <v>400000</v>
      </c>
    </row>
    <row r="56321" spans="26:26" x14ac:dyDescent="0.25">
      <c r="Z56321">
        <v>400000</v>
      </c>
    </row>
    <row r="56322" spans="26:26" x14ac:dyDescent="0.25">
      <c r="Z56322">
        <v>400000</v>
      </c>
    </row>
    <row r="56323" spans="26:26" x14ac:dyDescent="0.25">
      <c r="Z56323">
        <v>400000</v>
      </c>
    </row>
    <row r="56324" spans="26:26" x14ac:dyDescent="0.25">
      <c r="Z56324">
        <v>400000</v>
      </c>
    </row>
    <row r="56325" spans="26:26" x14ac:dyDescent="0.25">
      <c r="Z56325">
        <v>400000</v>
      </c>
    </row>
    <row r="56326" spans="26:26" x14ac:dyDescent="0.25">
      <c r="Z56326">
        <v>400000</v>
      </c>
    </row>
    <row r="56327" spans="26:26" x14ac:dyDescent="0.25">
      <c r="Z56327">
        <v>400000</v>
      </c>
    </row>
    <row r="56328" spans="26:26" x14ac:dyDescent="0.25">
      <c r="Z56328">
        <v>400000</v>
      </c>
    </row>
    <row r="56329" spans="26:26" x14ac:dyDescent="0.25">
      <c r="Z56329">
        <v>400000</v>
      </c>
    </row>
    <row r="56330" spans="26:26" x14ac:dyDescent="0.25">
      <c r="Z56330">
        <v>400000</v>
      </c>
    </row>
    <row r="56331" spans="26:26" x14ac:dyDescent="0.25">
      <c r="Z56331">
        <v>400000</v>
      </c>
    </row>
    <row r="56332" spans="26:26" x14ac:dyDescent="0.25">
      <c r="Z56332">
        <v>400000</v>
      </c>
    </row>
    <row r="56333" spans="26:26" x14ac:dyDescent="0.25">
      <c r="Z56333">
        <v>400000</v>
      </c>
    </row>
    <row r="56334" spans="26:26" x14ac:dyDescent="0.25">
      <c r="Z56334">
        <v>400000</v>
      </c>
    </row>
    <row r="56335" spans="26:26" x14ac:dyDescent="0.25">
      <c r="Z56335">
        <v>400000</v>
      </c>
    </row>
    <row r="56336" spans="26:26" x14ac:dyDescent="0.25">
      <c r="Z56336">
        <v>400000</v>
      </c>
    </row>
    <row r="56337" spans="26:26" x14ac:dyDescent="0.25">
      <c r="Z56337">
        <v>400000</v>
      </c>
    </row>
    <row r="56338" spans="26:26" x14ac:dyDescent="0.25">
      <c r="Z56338">
        <v>400000</v>
      </c>
    </row>
    <row r="56339" spans="26:26" x14ac:dyDescent="0.25">
      <c r="Z56339">
        <v>400000</v>
      </c>
    </row>
    <row r="56340" spans="26:26" x14ac:dyDescent="0.25">
      <c r="Z56340">
        <v>400000</v>
      </c>
    </row>
    <row r="56341" spans="26:26" x14ac:dyDescent="0.25">
      <c r="Z56341">
        <v>400000</v>
      </c>
    </row>
    <row r="56342" spans="26:26" x14ac:dyDescent="0.25">
      <c r="Z56342">
        <v>400000</v>
      </c>
    </row>
    <row r="56343" spans="26:26" x14ac:dyDescent="0.25">
      <c r="Z56343">
        <v>400000</v>
      </c>
    </row>
    <row r="56344" spans="26:26" x14ac:dyDescent="0.25">
      <c r="Z56344">
        <v>400000</v>
      </c>
    </row>
    <row r="56345" spans="26:26" x14ac:dyDescent="0.25">
      <c r="Z56345">
        <v>400000</v>
      </c>
    </row>
    <row r="56346" spans="26:26" x14ac:dyDescent="0.25">
      <c r="Z56346">
        <v>400000</v>
      </c>
    </row>
    <row r="56347" spans="26:26" x14ac:dyDescent="0.25">
      <c r="Z56347">
        <v>400000</v>
      </c>
    </row>
    <row r="56348" spans="26:26" x14ac:dyDescent="0.25">
      <c r="Z56348">
        <v>400000</v>
      </c>
    </row>
    <row r="56349" spans="26:26" x14ac:dyDescent="0.25">
      <c r="Z56349">
        <v>400000</v>
      </c>
    </row>
    <row r="56350" spans="26:26" x14ac:dyDescent="0.25">
      <c r="Z56350">
        <v>400000</v>
      </c>
    </row>
    <row r="56351" spans="26:26" x14ac:dyDescent="0.25">
      <c r="Z56351">
        <v>400000</v>
      </c>
    </row>
    <row r="56352" spans="26:26" x14ac:dyDescent="0.25">
      <c r="Z56352">
        <v>400000</v>
      </c>
    </row>
    <row r="56353" spans="26:26" x14ac:dyDescent="0.25">
      <c r="Z56353">
        <v>400000</v>
      </c>
    </row>
    <row r="56354" spans="26:26" x14ac:dyDescent="0.25">
      <c r="Z56354">
        <v>400000</v>
      </c>
    </row>
    <row r="56355" spans="26:26" x14ac:dyDescent="0.25">
      <c r="Z56355">
        <v>400000</v>
      </c>
    </row>
    <row r="56356" spans="26:26" x14ac:dyDescent="0.25">
      <c r="Z56356">
        <v>400000</v>
      </c>
    </row>
    <row r="56357" spans="26:26" x14ac:dyDescent="0.25">
      <c r="Z56357">
        <v>400000</v>
      </c>
    </row>
    <row r="56358" spans="26:26" x14ac:dyDescent="0.25">
      <c r="Z56358">
        <v>400000</v>
      </c>
    </row>
    <row r="56359" spans="26:26" x14ac:dyDescent="0.25">
      <c r="Z56359">
        <v>400000</v>
      </c>
    </row>
    <row r="56360" spans="26:26" x14ac:dyDescent="0.25">
      <c r="Z56360">
        <v>400000</v>
      </c>
    </row>
    <row r="56361" spans="26:26" x14ac:dyDescent="0.25">
      <c r="Z56361">
        <v>400000</v>
      </c>
    </row>
    <row r="56362" spans="26:26" x14ac:dyDescent="0.25">
      <c r="Z56362">
        <v>400000</v>
      </c>
    </row>
    <row r="56363" spans="26:26" x14ac:dyDescent="0.25">
      <c r="Z56363">
        <v>400000</v>
      </c>
    </row>
    <row r="56364" spans="26:26" x14ac:dyDescent="0.25">
      <c r="Z56364">
        <v>400000</v>
      </c>
    </row>
    <row r="56365" spans="26:26" x14ac:dyDescent="0.25">
      <c r="Z56365">
        <v>400000</v>
      </c>
    </row>
    <row r="56366" spans="26:26" x14ac:dyDescent="0.25">
      <c r="Z56366">
        <v>400000</v>
      </c>
    </row>
    <row r="56367" spans="26:26" x14ac:dyDescent="0.25">
      <c r="Z56367">
        <v>400000</v>
      </c>
    </row>
    <row r="56368" spans="26:26" x14ac:dyDescent="0.25">
      <c r="Z56368">
        <v>400000</v>
      </c>
    </row>
    <row r="56369" spans="26:26" x14ac:dyDescent="0.25">
      <c r="Z56369">
        <v>400000</v>
      </c>
    </row>
    <row r="56370" spans="26:26" x14ac:dyDescent="0.25">
      <c r="Z56370">
        <v>400000</v>
      </c>
    </row>
    <row r="56371" spans="26:26" x14ac:dyDescent="0.25">
      <c r="Z56371">
        <v>400000</v>
      </c>
    </row>
    <row r="56372" spans="26:26" x14ac:dyDescent="0.25">
      <c r="Z56372">
        <v>400000</v>
      </c>
    </row>
    <row r="56373" spans="26:26" x14ac:dyDescent="0.25">
      <c r="Z56373">
        <v>400000</v>
      </c>
    </row>
    <row r="56374" spans="26:26" x14ac:dyDescent="0.25">
      <c r="Z56374">
        <v>400000</v>
      </c>
    </row>
    <row r="56375" spans="26:26" x14ac:dyDescent="0.25">
      <c r="Z56375">
        <v>400000</v>
      </c>
    </row>
    <row r="56376" spans="26:26" x14ac:dyDescent="0.25">
      <c r="Z56376">
        <v>400000</v>
      </c>
    </row>
    <row r="56377" spans="26:26" x14ac:dyDescent="0.25">
      <c r="Z56377">
        <v>400000</v>
      </c>
    </row>
    <row r="56378" spans="26:26" x14ac:dyDescent="0.25">
      <c r="Z56378">
        <v>400000</v>
      </c>
    </row>
    <row r="56379" spans="26:26" x14ac:dyDescent="0.25">
      <c r="Z56379">
        <v>400000</v>
      </c>
    </row>
    <row r="56380" spans="26:26" x14ac:dyDescent="0.25">
      <c r="Z56380">
        <v>400000</v>
      </c>
    </row>
    <row r="56381" spans="26:26" x14ac:dyDescent="0.25">
      <c r="Z56381">
        <v>400000</v>
      </c>
    </row>
    <row r="56382" spans="26:26" x14ac:dyDescent="0.25">
      <c r="Z56382">
        <v>400000</v>
      </c>
    </row>
    <row r="56383" spans="26:26" x14ac:dyDescent="0.25">
      <c r="Z56383">
        <v>400000</v>
      </c>
    </row>
    <row r="56384" spans="26:26" x14ac:dyDescent="0.25">
      <c r="Z56384">
        <v>400000</v>
      </c>
    </row>
    <row r="56385" spans="26:26" x14ac:dyDescent="0.25">
      <c r="Z56385">
        <v>400000</v>
      </c>
    </row>
    <row r="56386" spans="26:26" x14ac:dyDescent="0.25">
      <c r="Z56386">
        <v>400000</v>
      </c>
    </row>
    <row r="56387" spans="26:26" x14ac:dyDescent="0.25">
      <c r="Z56387">
        <v>400000</v>
      </c>
    </row>
    <row r="56388" spans="26:26" x14ac:dyDescent="0.25">
      <c r="Z56388">
        <v>400000</v>
      </c>
    </row>
    <row r="56389" spans="26:26" x14ac:dyDescent="0.25">
      <c r="Z56389">
        <v>400000</v>
      </c>
    </row>
    <row r="56390" spans="26:26" x14ac:dyDescent="0.25">
      <c r="Z56390">
        <v>400000</v>
      </c>
    </row>
    <row r="56391" spans="26:26" x14ac:dyDescent="0.25">
      <c r="Z56391">
        <v>400000</v>
      </c>
    </row>
    <row r="56392" spans="26:26" x14ac:dyDescent="0.25">
      <c r="Z56392">
        <v>400000</v>
      </c>
    </row>
    <row r="56393" spans="26:26" x14ac:dyDescent="0.25">
      <c r="Z56393">
        <v>400000</v>
      </c>
    </row>
    <row r="56394" spans="26:26" x14ac:dyDescent="0.25">
      <c r="Z56394">
        <v>400000</v>
      </c>
    </row>
    <row r="56395" spans="26:26" x14ac:dyDescent="0.25">
      <c r="Z56395">
        <v>400000</v>
      </c>
    </row>
    <row r="56396" spans="26:26" x14ac:dyDescent="0.25">
      <c r="Z56396">
        <v>400000</v>
      </c>
    </row>
    <row r="56397" spans="26:26" x14ac:dyDescent="0.25">
      <c r="Z56397">
        <v>400000</v>
      </c>
    </row>
    <row r="56398" spans="26:26" x14ac:dyDescent="0.25">
      <c r="Z56398">
        <v>400000</v>
      </c>
    </row>
    <row r="56399" spans="26:26" x14ac:dyDescent="0.25">
      <c r="Z56399">
        <v>400000</v>
      </c>
    </row>
    <row r="56400" spans="26:26" x14ac:dyDescent="0.25">
      <c r="Z56400">
        <v>400000</v>
      </c>
    </row>
    <row r="56401" spans="26:26" x14ac:dyDescent="0.25">
      <c r="Z56401">
        <v>400000</v>
      </c>
    </row>
    <row r="56402" spans="26:26" x14ac:dyDescent="0.25">
      <c r="Z56402">
        <v>400000</v>
      </c>
    </row>
    <row r="56403" spans="26:26" x14ac:dyDescent="0.25">
      <c r="Z56403">
        <v>400000</v>
      </c>
    </row>
    <row r="56404" spans="26:26" x14ac:dyDescent="0.25">
      <c r="Z56404">
        <v>400000</v>
      </c>
    </row>
    <row r="56405" spans="26:26" x14ac:dyDescent="0.25">
      <c r="Z56405">
        <v>400000</v>
      </c>
    </row>
    <row r="56406" spans="26:26" x14ac:dyDescent="0.25">
      <c r="Z56406">
        <v>400000</v>
      </c>
    </row>
    <row r="56407" spans="26:26" x14ac:dyDescent="0.25">
      <c r="Z56407">
        <v>400000</v>
      </c>
    </row>
    <row r="56408" spans="26:26" x14ac:dyDescent="0.25">
      <c r="Z56408">
        <v>400000</v>
      </c>
    </row>
    <row r="56409" spans="26:26" x14ac:dyDescent="0.25">
      <c r="Z56409">
        <v>400000</v>
      </c>
    </row>
    <row r="56410" spans="26:26" x14ac:dyDescent="0.25">
      <c r="Z56410">
        <v>400000</v>
      </c>
    </row>
    <row r="56411" spans="26:26" x14ac:dyDescent="0.25">
      <c r="Z56411">
        <v>400000</v>
      </c>
    </row>
    <row r="56412" spans="26:26" x14ac:dyDescent="0.25">
      <c r="Z56412">
        <v>400000</v>
      </c>
    </row>
    <row r="56413" spans="26:26" x14ac:dyDescent="0.25">
      <c r="Z56413">
        <v>400000</v>
      </c>
    </row>
    <row r="56414" spans="26:26" x14ac:dyDescent="0.25">
      <c r="Z56414">
        <v>400000</v>
      </c>
    </row>
    <row r="56415" spans="26:26" x14ac:dyDescent="0.25">
      <c r="Z56415">
        <v>400000</v>
      </c>
    </row>
    <row r="56416" spans="26:26" x14ac:dyDescent="0.25">
      <c r="Z56416">
        <v>400000</v>
      </c>
    </row>
    <row r="56417" spans="26:26" x14ac:dyDescent="0.25">
      <c r="Z56417">
        <v>400000</v>
      </c>
    </row>
    <row r="56418" spans="26:26" x14ac:dyDescent="0.25">
      <c r="Z56418">
        <v>400000</v>
      </c>
    </row>
    <row r="56419" spans="26:26" x14ac:dyDescent="0.25">
      <c r="Z56419">
        <v>400000</v>
      </c>
    </row>
    <row r="56420" spans="26:26" x14ac:dyDescent="0.25">
      <c r="Z56420">
        <v>400000</v>
      </c>
    </row>
    <row r="56421" spans="26:26" x14ac:dyDescent="0.25">
      <c r="Z56421">
        <v>400000</v>
      </c>
    </row>
    <row r="56422" spans="26:26" x14ac:dyDescent="0.25">
      <c r="Z56422">
        <v>400000</v>
      </c>
    </row>
    <row r="56423" spans="26:26" x14ac:dyDescent="0.25">
      <c r="Z56423">
        <v>400000</v>
      </c>
    </row>
    <row r="56424" spans="26:26" x14ac:dyDescent="0.25">
      <c r="Z56424">
        <v>400000</v>
      </c>
    </row>
    <row r="56425" spans="26:26" x14ac:dyDescent="0.25">
      <c r="Z56425">
        <v>400000</v>
      </c>
    </row>
    <row r="56426" spans="26:26" x14ac:dyDescent="0.25">
      <c r="Z56426">
        <v>400000</v>
      </c>
    </row>
    <row r="56427" spans="26:26" x14ac:dyDescent="0.25">
      <c r="Z56427">
        <v>400000</v>
      </c>
    </row>
    <row r="56428" spans="26:26" x14ac:dyDescent="0.25">
      <c r="Z56428">
        <v>400000</v>
      </c>
    </row>
    <row r="56429" spans="26:26" x14ac:dyDescent="0.25">
      <c r="Z56429">
        <v>400000</v>
      </c>
    </row>
    <row r="56430" spans="26:26" x14ac:dyDescent="0.25">
      <c r="Z56430">
        <v>400000</v>
      </c>
    </row>
    <row r="56431" spans="26:26" x14ac:dyDescent="0.25">
      <c r="Z56431">
        <v>400000</v>
      </c>
    </row>
    <row r="56432" spans="26:26" x14ac:dyDescent="0.25">
      <c r="Z56432">
        <v>400000</v>
      </c>
    </row>
    <row r="56433" spans="26:26" x14ac:dyDescent="0.25">
      <c r="Z56433">
        <v>400000</v>
      </c>
    </row>
    <row r="56434" spans="26:26" x14ac:dyDescent="0.25">
      <c r="Z56434">
        <v>400000</v>
      </c>
    </row>
    <row r="56435" spans="26:26" x14ac:dyDescent="0.25">
      <c r="Z56435">
        <v>400000</v>
      </c>
    </row>
    <row r="56436" spans="26:26" x14ac:dyDescent="0.25">
      <c r="Z56436">
        <v>400000</v>
      </c>
    </row>
    <row r="56437" spans="26:26" x14ac:dyDescent="0.25">
      <c r="Z56437">
        <v>400000</v>
      </c>
    </row>
    <row r="56438" spans="26:26" x14ac:dyDescent="0.25">
      <c r="Z56438">
        <v>400000</v>
      </c>
    </row>
    <row r="56439" spans="26:26" x14ac:dyDescent="0.25">
      <c r="Z56439">
        <v>400000</v>
      </c>
    </row>
    <row r="56440" spans="26:26" x14ac:dyDescent="0.25">
      <c r="Z56440">
        <v>400000</v>
      </c>
    </row>
    <row r="56441" spans="26:26" x14ac:dyDescent="0.25">
      <c r="Z56441">
        <v>400000</v>
      </c>
    </row>
    <row r="56442" spans="26:26" x14ac:dyDescent="0.25">
      <c r="Z56442">
        <v>400000</v>
      </c>
    </row>
    <row r="56443" spans="26:26" x14ac:dyDescent="0.25">
      <c r="Z56443">
        <v>400000</v>
      </c>
    </row>
    <row r="56444" spans="26:26" x14ac:dyDescent="0.25">
      <c r="Z56444">
        <v>400000</v>
      </c>
    </row>
    <row r="56445" spans="26:26" x14ac:dyDescent="0.25">
      <c r="Z56445">
        <v>400000</v>
      </c>
    </row>
    <row r="56446" spans="26:26" x14ac:dyDescent="0.25">
      <c r="Z56446">
        <v>400000</v>
      </c>
    </row>
    <row r="56447" spans="26:26" x14ac:dyDescent="0.25">
      <c r="Z56447">
        <v>400000</v>
      </c>
    </row>
    <row r="56448" spans="26:26" x14ac:dyDescent="0.25">
      <c r="Z56448">
        <v>400000</v>
      </c>
    </row>
    <row r="56449" spans="26:26" x14ac:dyDescent="0.25">
      <c r="Z56449">
        <v>400000</v>
      </c>
    </row>
    <row r="56450" spans="26:26" x14ac:dyDescent="0.25">
      <c r="Z56450">
        <v>400000</v>
      </c>
    </row>
    <row r="56451" spans="26:26" x14ac:dyDescent="0.25">
      <c r="Z56451">
        <v>400000</v>
      </c>
    </row>
    <row r="56452" spans="26:26" x14ac:dyDescent="0.25">
      <c r="Z56452">
        <v>400000</v>
      </c>
    </row>
    <row r="56453" spans="26:26" x14ac:dyDescent="0.25">
      <c r="Z56453">
        <v>400000</v>
      </c>
    </row>
    <row r="56454" spans="26:26" x14ac:dyDescent="0.25">
      <c r="Z56454">
        <v>400000</v>
      </c>
    </row>
    <row r="56455" spans="26:26" x14ac:dyDescent="0.25">
      <c r="Z56455">
        <v>400000</v>
      </c>
    </row>
    <row r="56456" spans="26:26" x14ac:dyDescent="0.25">
      <c r="Z56456">
        <v>400000</v>
      </c>
    </row>
    <row r="56457" spans="26:26" x14ac:dyDescent="0.25">
      <c r="Z56457">
        <v>400000</v>
      </c>
    </row>
    <row r="56458" spans="26:26" x14ac:dyDescent="0.25">
      <c r="Z56458">
        <v>400000</v>
      </c>
    </row>
    <row r="56459" spans="26:26" x14ac:dyDescent="0.25">
      <c r="Z56459">
        <v>400000</v>
      </c>
    </row>
    <row r="56460" spans="26:26" x14ac:dyDescent="0.25">
      <c r="Z56460">
        <v>400000</v>
      </c>
    </row>
    <row r="56461" spans="26:26" x14ac:dyDescent="0.25">
      <c r="Z56461">
        <v>400000</v>
      </c>
    </row>
    <row r="56462" spans="26:26" x14ac:dyDescent="0.25">
      <c r="Z56462">
        <v>400000</v>
      </c>
    </row>
    <row r="56463" spans="26:26" x14ac:dyDescent="0.25">
      <c r="Z56463">
        <v>400000</v>
      </c>
    </row>
    <row r="56464" spans="26:26" x14ac:dyDescent="0.25">
      <c r="Z56464">
        <v>400000</v>
      </c>
    </row>
    <row r="56465" spans="26:26" x14ac:dyDescent="0.25">
      <c r="Z56465">
        <v>400000</v>
      </c>
    </row>
    <row r="56466" spans="26:26" x14ac:dyDescent="0.25">
      <c r="Z56466">
        <v>400000</v>
      </c>
    </row>
    <row r="56467" spans="26:26" x14ac:dyDescent="0.25">
      <c r="Z56467">
        <v>400000</v>
      </c>
    </row>
    <row r="56468" spans="26:26" x14ac:dyDescent="0.25">
      <c r="Z56468">
        <v>400000</v>
      </c>
    </row>
    <row r="56469" spans="26:26" x14ac:dyDescent="0.25">
      <c r="Z56469">
        <v>400000</v>
      </c>
    </row>
    <row r="56470" spans="26:26" x14ac:dyDescent="0.25">
      <c r="Z56470">
        <v>400000</v>
      </c>
    </row>
    <row r="56471" spans="26:26" x14ac:dyDescent="0.25">
      <c r="Z56471">
        <v>400000</v>
      </c>
    </row>
    <row r="56472" spans="26:26" x14ac:dyDescent="0.25">
      <c r="Z56472">
        <v>400000</v>
      </c>
    </row>
    <row r="56473" spans="26:26" x14ac:dyDescent="0.25">
      <c r="Z56473">
        <v>400000</v>
      </c>
    </row>
    <row r="56474" spans="26:26" x14ac:dyDescent="0.25">
      <c r="Z56474">
        <v>400000</v>
      </c>
    </row>
    <row r="56475" spans="26:26" x14ac:dyDescent="0.25">
      <c r="Z56475">
        <v>400000</v>
      </c>
    </row>
    <row r="56476" spans="26:26" x14ac:dyDescent="0.25">
      <c r="Z56476">
        <v>400000</v>
      </c>
    </row>
    <row r="56477" spans="26:26" x14ac:dyDescent="0.25">
      <c r="Z56477">
        <v>400000</v>
      </c>
    </row>
    <row r="56478" spans="26:26" x14ac:dyDescent="0.25">
      <c r="Z56478">
        <v>400000</v>
      </c>
    </row>
    <row r="56479" spans="26:26" x14ac:dyDescent="0.25">
      <c r="Z56479">
        <v>400000</v>
      </c>
    </row>
    <row r="56480" spans="26:26" x14ac:dyDescent="0.25">
      <c r="Z56480">
        <v>400000</v>
      </c>
    </row>
    <row r="56481" spans="26:26" x14ac:dyDescent="0.25">
      <c r="Z56481">
        <v>400000</v>
      </c>
    </row>
    <row r="56482" spans="26:26" x14ac:dyDescent="0.25">
      <c r="Z56482">
        <v>400000</v>
      </c>
    </row>
    <row r="56483" spans="26:26" x14ac:dyDescent="0.25">
      <c r="Z56483">
        <v>400000</v>
      </c>
    </row>
    <row r="56484" spans="26:26" x14ac:dyDescent="0.25">
      <c r="Z56484">
        <v>400000</v>
      </c>
    </row>
    <row r="56485" spans="26:26" x14ac:dyDescent="0.25">
      <c r="Z56485">
        <v>400000</v>
      </c>
    </row>
    <row r="56486" spans="26:26" x14ac:dyDescent="0.25">
      <c r="Z56486">
        <v>400000</v>
      </c>
    </row>
    <row r="56487" spans="26:26" x14ac:dyDescent="0.25">
      <c r="Z56487">
        <v>400000</v>
      </c>
    </row>
    <row r="56488" spans="26:26" x14ac:dyDescent="0.25">
      <c r="Z56488">
        <v>400000</v>
      </c>
    </row>
    <row r="56489" spans="26:26" x14ac:dyDescent="0.25">
      <c r="Z56489">
        <v>400000</v>
      </c>
    </row>
    <row r="56490" spans="26:26" x14ac:dyDescent="0.25">
      <c r="Z56490">
        <v>400000</v>
      </c>
    </row>
    <row r="56491" spans="26:26" x14ac:dyDescent="0.25">
      <c r="Z56491">
        <v>400000</v>
      </c>
    </row>
    <row r="56492" spans="26:26" x14ac:dyDescent="0.25">
      <c r="Z56492">
        <v>400000</v>
      </c>
    </row>
    <row r="56493" spans="26:26" x14ac:dyDescent="0.25">
      <c r="Z56493">
        <v>400000</v>
      </c>
    </row>
    <row r="56494" spans="26:26" x14ac:dyDescent="0.25">
      <c r="Z56494">
        <v>400000</v>
      </c>
    </row>
    <row r="56495" spans="26:26" x14ac:dyDescent="0.25">
      <c r="Z56495">
        <v>400000</v>
      </c>
    </row>
    <row r="56496" spans="26:26" x14ac:dyDescent="0.25">
      <c r="Z56496">
        <v>400000</v>
      </c>
    </row>
    <row r="56497" spans="26:26" x14ac:dyDescent="0.25">
      <c r="Z56497">
        <v>400000</v>
      </c>
    </row>
    <row r="56498" spans="26:26" x14ac:dyDescent="0.25">
      <c r="Z56498">
        <v>400000</v>
      </c>
    </row>
    <row r="56499" spans="26:26" x14ac:dyDescent="0.25">
      <c r="Z56499">
        <v>400000</v>
      </c>
    </row>
    <row r="56500" spans="26:26" x14ac:dyDescent="0.25">
      <c r="Z56500">
        <v>400000</v>
      </c>
    </row>
    <row r="56501" spans="26:26" x14ac:dyDescent="0.25">
      <c r="Z56501">
        <v>400000</v>
      </c>
    </row>
    <row r="56502" spans="26:26" x14ac:dyDescent="0.25">
      <c r="Z56502">
        <v>400000</v>
      </c>
    </row>
    <row r="56503" spans="26:26" x14ac:dyDescent="0.25">
      <c r="Z56503">
        <v>400000</v>
      </c>
    </row>
    <row r="56504" spans="26:26" x14ac:dyDescent="0.25">
      <c r="Z56504">
        <v>400000</v>
      </c>
    </row>
    <row r="56505" spans="26:26" x14ac:dyDescent="0.25">
      <c r="Z56505">
        <v>400000</v>
      </c>
    </row>
    <row r="56506" spans="26:26" x14ac:dyDescent="0.25">
      <c r="Z56506">
        <v>400000</v>
      </c>
    </row>
    <row r="56507" spans="26:26" x14ac:dyDescent="0.25">
      <c r="Z56507">
        <v>400000</v>
      </c>
    </row>
    <row r="56508" spans="26:26" x14ac:dyDescent="0.25">
      <c r="Z56508">
        <v>400000</v>
      </c>
    </row>
    <row r="56509" spans="26:26" x14ac:dyDescent="0.25">
      <c r="Z56509">
        <v>400000</v>
      </c>
    </row>
    <row r="56510" spans="26:26" x14ac:dyDescent="0.25">
      <c r="Z56510">
        <v>400000</v>
      </c>
    </row>
    <row r="56511" spans="26:26" x14ac:dyDescent="0.25">
      <c r="Z56511">
        <v>400000</v>
      </c>
    </row>
    <row r="56512" spans="26:26" x14ac:dyDescent="0.25">
      <c r="Z56512">
        <v>400000</v>
      </c>
    </row>
    <row r="56513" spans="26:26" x14ac:dyDescent="0.25">
      <c r="Z56513">
        <v>400000</v>
      </c>
    </row>
    <row r="56514" spans="26:26" x14ac:dyDescent="0.25">
      <c r="Z56514">
        <v>400000</v>
      </c>
    </row>
    <row r="56515" spans="26:26" x14ac:dyDescent="0.25">
      <c r="Z56515">
        <v>400000</v>
      </c>
    </row>
    <row r="56516" spans="26:26" x14ac:dyDescent="0.25">
      <c r="Z56516">
        <v>400000</v>
      </c>
    </row>
    <row r="56517" spans="26:26" x14ac:dyDescent="0.25">
      <c r="Z56517">
        <v>400000</v>
      </c>
    </row>
    <row r="56518" spans="26:26" x14ac:dyDescent="0.25">
      <c r="Z56518">
        <v>400000</v>
      </c>
    </row>
    <row r="56519" spans="26:26" x14ac:dyDescent="0.25">
      <c r="Z56519">
        <v>400000</v>
      </c>
    </row>
    <row r="56520" spans="26:26" x14ac:dyDescent="0.25">
      <c r="Z56520">
        <v>400000</v>
      </c>
    </row>
    <row r="56521" spans="26:26" x14ac:dyDescent="0.25">
      <c r="Z56521">
        <v>400000</v>
      </c>
    </row>
    <row r="56522" spans="26:26" x14ac:dyDescent="0.25">
      <c r="Z56522">
        <v>400000</v>
      </c>
    </row>
    <row r="56523" spans="26:26" x14ac:dyDescent="0.25">
      <c r="Z56523">
        <v>400000</v>
      </c>
    </row>
    <row r="56524" spans="26:26" x14ac:dyDescent="0.25">
      <c r="Z56524">
        <v>400000</v>
      </c>
    </row>
    <row r="56525" spans="26:26" x14ac:dyDescent="0.25">
      <c r="Z56525">
        <v>400000</v>
      </c>
    </row>
    <row r="56526" spans="26:26" x14ac:dyDescent="0.25">
      <c r="Z56526">
        <v>400000</v>
      </c>
    </row>
    <row r="56527" spans="26:26" x14ac:dyDescent="0.25">
      <c r="Z56527">
        <v>400000</v>
      </c>
    </row>
    <row r="56528" spans="26:26" x14ac:dyDescent="0.25">
      <c r="Z56528">
        <v>400000</v>
      </c>
    </row>
    <row r="56529" spans="26:26" x14ac:dyDescent="0.25">
      <c r="Z56529">
        <v>400000</v>
      </c>
    </row>
    <row r="56530" spans="26:26" x14ac:dyDescent="0.25">
      <c r="Z56530">
        <v>400000</v>
      </c>
    </row>
    <row r="56531" spans="26:26" x14ac:dyDescent="0.25">
      <c r="Z56531">
        <v>400000</v>
      </c>
    </row>
    <row r="56532" spans="26:26" x14ac:dyDescent="0.25">
      <c r="Z56532">
        <v>400000</v>
      </c>
    </row>
    <row r="56533" spans="26:26" x14ac:dyDescent="0.25">
      <c r="Z56533">
        <v>400000</v>
      </c>
    </row>
    <row r="56534" spans="26:26" x14ac:dyDescent="0.25">
      <c r="Z56534">
        <v>400000</v>
      </c>
    </row>
    <row r="56535" spans="26:26" x14ac:dyDescent="0.25">
      <c r="Z56535">
        <v>400000</v>
      </c>
    </row>
    <row r="56536" spans="26:26" x14ac:dyDescent="0.25">
      <c r="Z56536">
        <v>400000</v>
      </c>
    </row>
    <row r="56537" spans="26:26" x14ac:dyDescent="0.25">
      <c r="Z56537">
        <v>400000</v>
      </c>
    </row>
    <row r="56538" spans="26:26" x14ac:dyDescent="0.25">
      <c r="Z56538">
        <v>400000</v>
      </c>
    </row>
    <row r="56539" spans="26:26" x14ac:dyDescent="0.25">
      <c r="Z56539">
        <v>400000</v>
      </c>
    </row>
    <row r="56540" spans="26:26" x14ac:dyDescent="0.25">
      <c r="Z56540">
        <v>400000</v>
      </c>
    </row>
    <row r="56541" spans="26:26" x14ac:dyDescent="0.25">
      <c r="Z56541">
        <v>400000</v>
      </c>
    </row>
    <row r="56542" spans="26:26" x14ac:dyDescent="0.25">
      <c r="Z56542">
        <v>400000</v>
      </c>
    </row>
    <row r="56543" spans="26:26" x14ac:dyDescent="0.25">
      <c r="Z56543">
        <v>400000</v>
      </c>
    </row>
    <row r="56544" spans="26:26" x14ac:dyDescent="0.25">
      <c r="Z56544">
        <v>400000</v>
      </c>
    </row>
    <row r="56545" spans="26:26" x14ac:dyDescent="0.25">
      <c r="Z56545">
        <v>400000</v>
      </c>
    </row>
    <row r="56546" spans="26:26" x14ac:dyDescent="0.25">
      <c r="Z56546">
        <v>400000</v>
      </c>
    </row>
    <row r="56547" spans="26:26" x14ac:dyDescent="0.25">
      <c r="Z56547">
        <v>400000</v>
      </c>
    </row>
    <row r="56548" spans="26:26" x14ac:dyDescent="0.25">
      <c r="Z56548">
        <v>400000</v>
      </c>
    </row>
    <row r="56549" spans="26:26" x14ac:dyDescent="0.25">
      <c r="Z56549">
        <v>400000</v>
      </c>
    </row>
    <row r="56550" spans="26:26" x14ac:dyDescent="0.25">
      <c r="Z56550">
        <v>400000</v>
      </c>
    </row>
    <row r="56551" spans="26:26" x14ac:dyDescent="0.25">
      <c r="Z56551">
        <v>400000</v>
      </c>
    </row>
    <row r="56552" spans="26:26" x14ac:dyDescent="0.25">
      <c r="Z56552">
        <v>400000</v>
      </c>
    </row>
    <row r="56553" spans="26:26" x14ac:dyDescent="0.25">
      <c r="Z56553">
        <v>400000</v>
      </c>
    </row>
    <row r="56554" spans="26:26" x14ac:dyDescent="0.25">
      <c r="Z56554">
        <v>400000</v>
      </c>
    </row>
    <row r="56555" spans="26:26" x14ac:dyDescent="0.25">
      <c r="Z56555">
        <v>400000</v>
      </c>
    </row>
    <row r="56556" spans="26:26" x14ac:dyDescent="0.25">
      <c r="Z56556">
        <v>400000</v>
      </c>
    </row>
    <row r="56557" spans="26:26" x14ac:dyDescent="0.25">
      <c r="Z56557">
        <v>400000</v>
      </c>
    </row>
    <row r="56558" spans="26:26" x14ac:dyDescent="0.25">
      <c r="Z56558">
        <v>400000</v>
      </c>
    </row>
    <row r="56559" spans="26:26" x14ac:dyDescent="0.25">
      <c r="Z56559">
        <v>400000</v>
      </c>
    </row>
    <row r="56560" spans="26:26" x14ac:dyDescent="0.25">
      <c r="Z56560">
        <v>400000</v>
      </c>
    </row>
    <row r="56561" spans="26:26" x14ac:dyDescent="0.25">
      <c r="Z56561">
        <v>400000</v>
      </c>
    </row>
    <row r="56562" spans="26:26" x14ac:dyDescent="0.25">
      <c r="Z56562">
        <v>400000</v>
      </c>
    </row>
    <row r="56563" spans="26:26" x14ac:dyDescent="0.25">
      <c r="Z56563">
        <v>400000</v>
      </c>
    </row>
    <row r="56564" spans="26:26" x14ac:dyDescent="0.25">
      <c r="Z56564">
        <v>400000</v>
      </c>
    </row>
    <row r="56565" spans="26:26" x14ac:dyDescent="0.25">
      <c r="Z56565">
        <v>400000</v>
      </c>
    </row>
    <row r="56566" spans="26:26" x14ac:dyDescent="0.25">
      <c r="Z56566">
        <v>400000</v>
      </c>
    </row>
    <row r="56567" spans="26:26" x14ac:dyDescent="0.25">
      <c r="Z56567">
        <v>400000</v>
      </c>
    </row>
    <row r="56568" spans="26:26" x14ac:dyDescent="0.25">
      <c r="Z56568">
        <v>400000</v>
      </c>
    </row>
    <row r="56569" spans="26:26" x14ac:dyDescent="0.25">
      <c r="Z56569">
        <v>400000</v>
      </c>
    </row>
    <row r="56570" spans="26:26" x14ac:dyDescent="0.25">
      <c r="Z56570">
        <v>400000</v>
      </c>
    </row>
    <row r="56571" spans="26:26" x14ac:dyDescent="0.25">
      <c r="Z56571">
        <v>400000</v>
      </c>
    </row>
    <row r="56572" spans="26:26" x14ac:dyDescent="0.25">
      <c r="Z56572">
        <v>400000</v>
      </c>
    </row>
    <row r="56573" spans="26:26" x14ac:dyDescent="0.25">
      <c r="Z56573">
        <v>400000</v>
      </c>
    </row>
    <row r="56574" spans="26:26" x14ac:dyDescent="0.25">
      <c r="Z56574">
        <v>400000</v>
      </c>
    </row>
    <row r="56575" spans="26:26" x14ac:dyDescent="0.25">
      <c r="Z56575">
        <v>400000</v>
      </c>
    </row>
    <row r="56576" spans="26:26" x14ac:dyDescent="0.25">
      <c r="Z56576">
        <v>400000</v>
      </c>
    </row>
    <row r="56577" spans="26:26" x14ac:dyDescent="0.25">
      <c r="Z56577">
        <v>400000</v>
      </c>
    </row>
    <row r="56578" spans="26:26" x14ac:dyDescent="0.25">
      <c r="Z56578">
        <v>400000</v>
      </c>
    </row>
    <row r="56579" spans="26:26" x14ac:dyDescent="0.25">
      <c r="Z56579">
        <v>400000</v>
      </c>
    </row>
    <row r="56580" spans="26:26" x14ac:dyDescent="0.25">
      <c r="Z56580">
        <v>400000</v>
      </c>
    </row>
    <row r="56581" spans="26:26" x14ac:dyDescent="0.25">
      <c r="Z56581">
        <v>400000</v>
      </c>
    </row>
    <row r="56582" spans="26:26" x14ac:dyDescent="0.25">
      <c r="Z56582">
        <v>400000</v>
      </c>
    </row>
    <row r="56583" spans="26:26" x14ac:dyDescent="0.25">
      <c r="Z56583">
        <v>400000</v>
      </c>
    </row>
    <row r="56584" spans="26:26" x14ac:dyDescent="0.25">
      <c r="Z56584">
        <v>400000</v>
      </c>
    </row>
    <row r="56585" spans="26:26" x14ac:dyDescent="0.25">
      <c r="Z56585">
        <v>400000</v>
      </c>
    </row>
    <row r="56586" spans="26:26" x14ac:dyDescent="0.25">
      <c r="Z56586">
        <v>400000</v>
      </c>
    </row>
    <row r="56587" spans="26:26" x14ac:dyDescent="0.25">
      <c r="Z56587">
        <v>400000</v>
      </c>
    </row>
    <row r="56588" spans="26:26" x14ac:dyDescent="0.25">
      <c r="Z56588">
        <v>400000</v>
      </c>
    </row>
    <row r="56589" spans="26:26" x14ac:dyDescent="0.25">
      <c r="Z56589">
        <v>400000</v>
      </c>
    </row>
    <row r="56590" spans="26:26" x14ac:dyDescent="0.25">
      <c r="Z56590">
        <v>400000</v>
      </c>
    </row>
    <row r="56591" spans="26:26" x14ac:dyDescent="0.25">
      <c r="Z56591">
        <v>400000</v>
      </c>
    </row>
    <row r="56592" spans="26:26" x14ac:dyDescent="0.25">
      <c r="Z56592">
        <v>400000</v>
      </c>
    </row>
    <row r="56593" spans="26:26" x14ac:dyDescent="0.25">
      <c r="Z56593">
        <v>400000</v>
      </c>
    </row>
    <row r="56594" spans="26:26" x14ac:dyDescent="0.25">
      <c r="Z56594">
        <v>400000</v>
      </c>
    </row>
    <row r="56595" spans="26:26" x14ac:dyDescent="0.25">
      <c r="Z56595">
        <v>400000</v>
      </c>
    </row>
    <row r="56596" spans="26:26" x14ac:dyDescent="0.25">
      <c r="Z56596">
        <v>400000</v>
      </c>
    </row>
    <row r="56597" spans="26:26" x14ac:dyDescent="0.25">
      <c r="Z56597">
        <v>400000</v>
      </c>
    </row>
    <row r="56598" spans="26:26" x14ac:dyDescent="0.25">
      <c r="Z56598">
        <v>400000</v>
      </c>
    </row>
    <row r="56599" spans="26:26" x14ac:dyDescent="0.25">
      <c r="Z56599">
        <v>400000</v>
      </c>
    </row>
    <row r="56600" spans="26:26" x14ac:dyDescent="0.25">
      <c r="Z56600">
        <v>400000</v>
      </c>
    </row>
    <row r="56601" spans="26:26" x14ac:dyDescent="0.25">
      <c r="Z56601">
        <v>400000</v>
      </c>
    </row>
    <row r="56602" spans="26:26" x14ac:dyDescent="0.25">
      <c r="Z56602">
        <v>400000</v>
      </c>
    </row>
    <row r="56603" spans="26:26" x14ac:dyDescent="0.25">
      <c r="Z56603">
        <v>400000</v>
      </c>
    </row>
    <row r="56604" spans="26:26" x14ac:dyDescent="0.25">
      <c r="Z56604">
        <v>400000</v>
      </c>
    </row>
    <row r="56605" spans="26:26" x14ac:dyDescent="0.25">
      <c r="Z56605">
        <v>400000</v>
      </c>
    </row>
    <row r="56606" spans="26:26" x14ac:dyDescent="0.25">
      <c r="Z56606">
        <v>400000</v>
      </c>
    </row>
    <row r="56607" spans="26:26" x14ac:dyDescent="0.25">
      <c r="Z56607">
        <v>400000</v>
      </c>
    </row>
    <row r="56608" spans="26:26" x14ac:dyDescent="0.25">
      <c r="Z56608">
        <v>400000</v>
      </c>
    </row>
    <row r="56609" spans="26:26" x14ac:dyDescent="0.25">
      <c r="Z56609">
        <v>400000</v>
      </c>
    </row>
    <row r="56610" spans="26:26" x14ac:dyDescent="0.25">
      <c r="Z56610">
        <v>400000</v>
      </c>
    </row>
    <row r="56611" spans="26:26" x14ac:dyDescent="0.25">
      <c r="Z56611">
        <v>400000</v>
      </c>
    </row>
    <row r="56612" spans="26:26" x14ac:dyDescent="0.25">
      <c r="Z56612">
        <v>400000</v>
      </c>
    </row>
    <row r="56613" spans="26:26" x14ac:dyDescent="0.25">
      <c r="Z56613">
        <v>400000</v>
      </c>
    </row>
    <row r="56614" spans="26:26" x14ac:dyDescent="0.25">
      <c r="Z56614">
        <v>400000</v>
      </c>
    </row>
    <row r="56615" spans="26:26" x14ac:dyDescent="0.25">
      <c r="Z56615">
        <v>400000</v>
      </c>
    </row>
    <row r="56616" spans="26:26" x14ac:dyDescent="0.25">
      <c r="Z56616">
        <v>400000</v>
      </c>
    </row>
    <row r="56617" spans="26:26" x14ac:dyDescent="0.25">
      <c r="Z56617">
        <v>400000</v>
      </c>
    </row>
    <row r="56618" spans="26:26" x14ac:dyDescent="0.25">
      <c r="Z56618">
        <v>400000</v>
      </c>
    </row>
    <row r="56619" spans="26:26" x14ac:dyDescent="0.25">
      <c r="Z56619">
        <v>400000</v>
      </c>
    </row>
    <row r="56620" spans="26:26" x14ac:dyDescent="0.25">
      <c r="Z56620">
        <v>400000</v>
      </c>
    </row>
    <row r="56621" spans="26:26" x14ac:dyDescent="0.25">
      <c r="Z56621">
        <v>400000</v>
      </c>
    </row>
    <row r="56622" spans="26:26" x14ac:dyDescent="0.25">
      <c r="Z56622">
        <v>400000</v>
      </c>
    </row>
    <row r="56623" spans="26:26" x14ac:dyDescent="0.25">
      <c r="Z56623">
        <v>400000</v>
      </c>
    </row>
    <row r="56624" spans="26:26" x14ac:dyDescent="0.25">
      <c r="Z56624">
        <v>400000</v>
      </c>
    </row>
    <row r="56625" spans="26:26" x14ac:dyDescent="0.25">
      <c r="Z56625">
        <v>400000</v>
      </c>
    </row>
    <row r="56626" spans="26:26" x14ac:dyDescent="0.25">
      <c r="Z56626">
        <v>400000</v>
      </c>
    </row>
    <row r="56627" spans="26:26" x14ac:dyDescent="0.25">
      <c r="Z56627">
        <v>400000</v>
      </c>
    </row>
    <row r="56628" spans="26:26" x14ac:dyDescent="0.25">
      <c r="Z56628">
        <v>400000</v>
      </c>
    </row>
    <row r="56629" spans="26:26" x14ac:dyDescent="0.25">
      <c r="Z56629">
        <v>400000</v>
      </c>
    </row>
    <row r="56630" spans="26:26" x14ac:dyDescent="0.25">
      <c r="Z56630">
        <v>400000</v>
      </c>
    </row>
    <row r="56631" spans="26:26" x14ac:dyDescent="0.25">
      <c r="Z56631">
        <v>400000</v>
      </c>
    </row>
    <row r="56632" spans="26:26" x14ac:dyDescent="0.25">
      <c r="Z56632">
        <v>400000</v>
      </c>
    </row>
    <row r="56633" spans="26:26" x14ac:dyDescent="0.25">
      <c r="Z56633">
        <v>400000</v>
      </c>
    </row>
    <row r="56634" spans="26:26" x14ac:dyDescent="0.25">
      <c r="Z56634">
        <v>400000</v>
      </c>
    </row>
    <row r="56635" spans="26:26" x14ac:dyDescent="0.25">
      <c r="Z56635">
        <v>400000</v>
      </c>
    </row>
    <row r="56636" spans="26:26" x14ac:dyDescent="0.25">
      <c r="Z56636">
        <v>400000</v>
      </c>
    </row>
    <row r="56637" spans="26:26" x14ac:dyDescent="0.25">
      <c r="Z56637">
        <v>400000</v>
      </c>
    </row>
    <row r="56638" spans="26:26" x14ac:dyDescent="0.25">
      <c r="Z56638">
        <v>400000</v>
      </c>
    </row>
    <row r="56639" spans="26:26" x14ac:dyDescent="0.25">
      <c r="Z56639">
        <v>400000</v>
      </c>
    </row>
    <row r="56640" spans="26:26" x14ac:dyDescent="0.25">
      <c r="Z56640">
        <v>400000</v>
      </c>
    </row>
    <row r="56641" spans="26:26" x14ac:dyDescent="0.25">
      <c r="Z56641">
        <v>400000</v>
      </c>
    </row>
    <row r="56642" spans="26:26" x14ac:dyDescent="0.25">
      <c r="Z56642">
        <v>400000</v>
      </c>
    </row>
    <row r="56643" spans="26:26" x14ac:dyDescent="0.25">
      <c r="Z56643">
        <v>400000</v>
      </c>
    </row>
    <row r="56644" spans="26:26" x14ac:dyDescent="0.25">
      <c r="Z56644">
        <v>400000</v>
      </c>
    </row>
    <row r="56645" spans="26:26" x14ac:dyDescent="0.25">
      <c r="Z56645">
        <v>400000</v>
      </c>
    </row>
    <row r="56646" spans="26:26" x14ac:dyDescent="0.25">
      <c r="Z56646">
        <v>400000</v>
      </c>
    </row>
    <row r="56647" spans="26:26" x14ac:dyDescent="0.25">
      <c r="Z56647">
        <v>400000</v>
      </c>
    </row>
    <row r="56648" spans="26:26" x14ac:dyDescent="0.25">
      <c r="Z56648">
        <v>400000</v>
      </c>
    </row>
    <row r="56649" spans="26:26" x14ac:dyDescent="0.25">
      <c r="Z56649">
        <v>400000</v>
      </c>
    </row>
    <row r="56650" spans="26:26" x14ac:dyDescent="0.25">
      <c r="Z56650">
        <v>400000</v>
      </c>
    </row>
    <row r="56651" spans="26:26" x14ac:dyDescent="0.25">
      <c r="Z56651">
        <v>400000</v>
      </c>
    </row>
    <row r="56652" spans="26:26" x14ac:dyDescent="0.25">
      <c r="Z56652">
        <v>400000</v>
      </c>
    </row>
    <row r="56653" spans="26:26" x14ac:dyDescent="0.25">
      <c r="Z56653">
        <v>400000</v>
      </c>
    </row>
    <row r="56654" spans="26:26" x14ac:dyDescent="0.25">
      <c r="Z56654">
        <v>400000</v>
      </c>
    </row>
    <row r="56655" spans="26:26" x14ac:dyDescent="0.25">
      <c r="Z56655">
        <v>400000</v>
      </c>
    </row>
    <row r="56656" spans="26:26" x14ac:dyDescent="0.25">
      <c r="Z56656">
        <v>400000</v>
      </c>
    </row>
    <row r="56657" spans="26:26" x14ac:dyDescent="0.25">
      <c r="Z56657">
        <v>400000</v>
      </c>
    </row>
    <row r="56658" spans="26:26" x14ac:dyDescent="0.25">
      <c r="Z56658">
        <v>400000</v>
      </c>
    </row>
    <row r="56659" spans="26:26" x14ac:dyDescent="0.25">
      <c r="Z56659">
        <v>400000</v>
      </c>
    </row>
    <row r="56660" spans="26:26" x14ac:dyDescent="0.25">
      <c r="Z56660">
        <v>400000</v>
      </c>
    </row>
    <row r="56661" spans="26:26" x14ac:dyDescent="0.25">
      <c r="Z56661">
        <v>400000</v>
      </c>
    </row>
    <row r="56662" spans="26:26" x14ac:dyDescent="0.25">
      <c r="Z56662">
        <v>400000</v>
      </c>
    </row>
    <row r="56663" spans="26:26" x14ac:dyDescent="0.25">
      <c r="Z56663">
        <v>400000</v>
      </c>
    </row>
    <row r="56664" spans="26:26" x14ac:dyDescent="0.25">
      <c r="Z56664">
        <v>400000</v>
      </c>
    </row>
    <row r="56665" spans="26:26" x14ac:dyDescent="0.25">
      <c r="Z56665">
        <v>400000</v>
      </c>
    </row>
    <row r="56666" spans="26:26" x14ac:dyDescent="0.25">
      <c r="Z56666">
        <v>400000</v>
      </c>
    </row>
    <row r="56667" spans="26:26" x14ac:dyDescent="0.25">
      <c r="Z56667">
        <v>400000</v>
      </c>
    </row>
    <row r="56668" spans="26:26" x14ac:dyDescent="0.25">
      <c r="Z56668">
        <v>400000</v>
      </c>
    </row>
    <row r="56669" spans="26:26" x14ac:dyDescent="0.25">
      <c r="Z56669">
        <v>400000</v>
      </c>
    </row>
    <row r="56670" spans="26:26" x14ac:dyDescent="0.25">
      <c r="Z56670">
        <v>400000</v>
      </c>
    </row>
    <row r="56671" spans="26:26" x14ac:dyDescent="0.25">
      <c r="Z56671">
        <v>400000</v>
      </c>
    </row>
    <row r="56672" spans="26:26" x14ac:dyDescent="0.25">
      <c r="Z56672">
        <v>400000</v>
      </c>
    </row>
    <row r="56673" spans="26:26" x14ac:dyDescent="0.25">
      <c r="Z56673">
        <v>400000</v>
      </c>
    </row>
    <row r="56674" spans="26:26" x14ac:dyDescent="0.25">
      <c r="Z56674">
        <v>400000</v>
      </c>
    </row>
    <row r="56675" spans="26:26" x14ac:dyDescent="0.25">
      <c r="Z56675">
        <v>400000</v>
      </c>
    </row>
    <row r="56676" spans="26:26" x14ac:dyDescent="0.25">
      <c r="Z56676">
        <v>400000</v>
      </c>
    </row>
    <row r="56677" spans="26:26" x14ac:dyDescent="0.25">
      <c r="Z56677">
        <v>400000</v>
      </c>
    </row>
    <row r="56678" spans="26:26" x14ac:dyDescent="0.25">
      <c r="Z56678">
        <v>400000</v>
      </c>
    </row>
    <row r="56679" spans="26:26" x14ac:dyDescent="0.25">
      <c r="Z56679">
        <v>400000</v>
      </c>
    </row>
    <row r="56680" spans="26:26" x14ac:dyDescent="0.25">
      <c r="Z56680">
        <v>400000</v>
      </c>
    </row>
    <row r="56681" spans="26:26" x14ac:dyDescent="0.25">
      <c r="Z56681">
        <v>400000</v>
      </c>
    </row>
    <row r="56682" spans="26:26" x14ac:dyDescent="0.25">
      <c r="Z56682">
        <v>400000</v>
      </c>
    </row>
    <row r="56683" spans="26:26" x14ac:dyDescent="0.25">
      <c r="Z56683">
        <v>400000</v>
      </c>
    </row>
    <row r="56684" spans="26:26" x14ac:dyDescent="0.25">
      <c r="Z56684">
        <v>400000</v>
      </c>
    </row>
    <row r="56685" spans="26:26" x14ac:dyDescent="0.25">
      <c r="Z56685">
        <v>400000</v>
      </c>
    </row>
    <row r="56686" spans="26:26" x14ac:dyDescent="0.25">
      <c r="Z56686">
        <v>400000</v>
      </c>
    </row>
    <row r="56687" spans="26:26" x14ac:dyDescent="0.25">
      <c r="Z56687">
        <v>400000</v>
      </c>
    </row>
    <row r="56688" spans="26:26" x14ac:dyDescent="0.25">
      <c r="Z56688">
        <v>400000</v>
      </c>
    </row>
    <row r="56689" spans="26:26" x14ac:dyDescent="0.25">
      <c r="Z56689">
        <v>400000</v>
      </c>
    </row>
    <row r="56690" spans="26:26" x14ac:dyDescent="0.25">
      <c r="Z56690">
        <v>400000</v>
      </c>
    </row>
    <row r="56691" spans="26:26" x14ac:dyDescent="0.25">
      <c r="Z56691">
        <v>400000</v>
      </c>
    </row>
    <row r="56692" spans="26:26" x14ac:dyDescent="0.25">
      <c r="Z56692">
        <v>400000</v>
      </c>
    </row>
    <row r="56693" spans="26:26" x14ac:dyDescent="0.25">
      <c r="Z56693">
        <v>400000</v>
      </c>
    </row>
    <row r="56694" spans="26:26" x14ac:dyDescent="0.25">
      <c r="Z56694">
        <v>400000</v>
      </c>
    </row>
    <row r="56695" spans="26:26" x14ac:dyDescent="0.25">
      <c r="Z56695">
        <v>400000</v>
      </c>
    </row>
    <row r="56696" spans="26:26" x14ac:dyDescent="0.25">
      <c r="Z56696">
        <v>400000</v>
      </c>
    </row>
    <row r="56697" spans="26:26" x14ac:dyDescent="0.25">
      <c r="Z56697">
        <v>400000</v>
      </c>
    </row>
    <row r="56698" spans="26:26" x14ac:dyDescent="0.25">
      <c r="Z56698">
        <v>400000</v>
      </c>
    </row>
    <row r="56699" spans="26:26" x14ac:dyDescent="0.25">
      <c r="Z56699">
        <v>400000</v>
      </c>
    </row>
    <row r="56700" spans="26:26" x14ac:dyDescent="0.25">
      <c r="Z56700">
        <v>400000</v>
      </c>
    </row>
    <row r="56701" spans="26:26" x14ac:dyDescent="0.25">
      <c r="Z56701">
        <v>400000</v>
      </c>
    </row>
    <row r="56702" spans="26:26" x14ac:dyDescent="0.25">
      <c r="Z56702">
        <v>400000</v>
      </c>
    </row>
    <row r="56703" spans="26:26" x14ac:dyDescent="0.25">
      <c r="Z56703">
        <v>400000</v>
      </c>
    </row>
    <row r="56704" spans="26:26" x14ac:dyDescent="0.25">
      <c r="Z56704">
        <v>400000</v>
      </c>
    </row>
    <row r="56705" spans="26:26" x14ac:dyDescent="0.25">
      <c r="Z56705">
        <v>400000</v>
      </c>
    </row>
    <row r="56706" spans="26:26" x14ac:dyDescent="0.25">
      <c r="Z56706">
        <v>400000</v>
      </c>
    </row>
    <row r="56707" spans="26:26" x14ac:dyDescent="0.25">
      <c r="Z56707">
        <v>400000</v>
      </c>
    </row>
    <row r="56708" spans="26:26" x14ac:dyDescent="0.25">
      <c r="Z56708">
        <v>400000</v>
      </c>
    </row>
    <row r="56709" spans="26:26" x14ac:dyDescent="0.25">
      <c r="Z56709">
        <v>400000</v>
      </c>
    </row>
    <row r="56710" spans="26:26" x14ac:dyDescent="0.25">
      <c r="Z56710">
        <v>400000</v>
      </c>
    </row>
    <row r="56711" spans="26:26" x14ac:dyDescent="0.25">
      <c r="Z56711">
        <v>400000</v>
      </c>
    </row>
    <row r="56712" spans="26:26" x14ac:dyDescent="0.25">
      <c r="Z56712">
        <v>400000</v>
      </c>
    </row>
    <row r="56713" spans="26:26" x14ac:dyDescent="0.25">
      <c r="Z56713">
        <v>400000</v>
      </c>
    </row>
    <row r="56714" spans="26:26" x14ac:dyDescent="0.25">
      <c r="Z56714">
        <v>400000</v>
      </c>
    </row>
    <row r="56715" spans="26:26" x14ac:dyDescent="0.25">
      <c r="Z56715">
        <v>400000</v>
      </c>
    </row>
    <row r="56716" spans="26:26" x14ac:dyDescent="0.25">
      <c r="Z56716">
        <v>400000</v>
      </c>
    </row>
    <row r="56717" spans="26:26" x14ac:dyDescent="0.25">
      <c r="Z56717">
        <v>400000</v>
      </c>
    </row>
    <row r="56718" spans="26:26" x14ac:dyDescent="0.25">
      <c r="Z56718">
        <v>400000</v>
      </c>
    </row>
    <row r="56719" spans="26:26" x14ac:dyDescent="0.25">
      <c r="Z56719">
        <v>400000</v>
      </c>
    </row>
    <row r="56720" spans="26:26" x14ac:dyDescent="0.25">
      <c r="Z56720">
        <v>400000</v>
      </c>
    </row>
    <row r="56721" spans="26:26" x14ac:dyDescent="0.25">
      <c r="Z56721">
        <v>400000</v>
      </c>
    </row>
    <row r="56722" spans="26:26" x14ac:dyDescent="0.25">
      <c r="Z56722">
        <v>400000</v>
      </c>
    </row>
    <row r="56723" spans="26:26" x14ac:dyDescent="0.25">
      <c r="Z56723">
        <v>400000</v>
      </c>
    </row>
    <row r="56724" spans="26:26" x14ac:dyDescent="0.25">
      <c r="Z56724">
        <v>400000</v>
      </c>
    </row>
    <row r="56725" spans="26:26" x14ac:dyDescent="0.25">
      <c r="Z56725">
        <v>400000</v>
      </c>
    </row>
    <row r="56726" spans="26:26" x14ac:dyDescent="0.25">
      <c r="Z56726">
        <v>400000</v>
      </c>
    </row>
    <row r="56727" spans="26:26" x14ac:dyDescent="0.25">
      <c r="Z56727">
        <v>400000</v>
      </c>
    </row>
    <row r="56728" spans="26:26" x14ac:dyDescent="0.25">
      <c r="Z56728">
        <v>400000</v>
      </c>
    </row>
    <row r="56729" spans="26:26" x14ac:dyDescent="0.25">
      <c r="Z56729">
        <v>400000</v>
      </c>
    </row>
    <row r="56730" spans="26:26" x14ac:dyDescent="0.25">
      <c r="Z56730">
        <v>400000</v>
      </c>
    </row>
    <row r="56731" spans="26:26" x14ac:dyDescent="0.25">
      <c r="Z56731">
        <v>400000</v>
      </c>
    </row>
    <row r="56732" spans="26:26" x14ac:dyDescent="0.25">
      <c r="Z56732">
        <v>400000</v>
      </c>
    </row>
    <row r="56733" spans="26:26" x14ac:dyDescent="0.25">
      <c r="Z56733">
        <v>400000</v>
      </c>
    </row>
    <row r="56734" spans="26:26" x14ac:dyDescent="0.25">
      <c r="Z56734">
        <v>400000</v>
      </c>
    </row>
    <row r="56735" spans="26:26" x14ac:dyDescent="0.25">
      <c r="Z56735">
        <v>400000</v>
      </c>
    </row>
    <row r="56736" spans="26:26" x14ac:dyDescent="0.25">
      <c r="Z56736">
        <v>400000</v>
      </c>
    </row>
    <row r="56737" spans="26:26" x14ac:dyDescent="0.25">
      <c r="Z56737">
        <v>400000</v>
      </c>
    </row>
    <row r="56738" spans="26:26" x14ac:dyDescent="0.25">
      <c r="Z56738">
        <v>400000</v>
      </c>
    </row>
    <row r="56739" spans="26:26" x14ac:dyDescent="0.25">
      <c r="Z56739">
        <v>400000</v>
      </c>
    </row>
    <row r="56740" spans="26:26" x14ac:dyDescent="0.25">
      <c r="Z56740">
        <v>400000</v>
      </c>
    </row>
    <row r="56741" spans="26:26" x14ac:dyDescent="0.25">
      <c r="Z56741">
        <v>400000</v>
      </c>
    </row>
    <row r="56742" spans="26:26" x14ac:dyDescent="0.25">
      <c r="Z56742">
        <v>400000</v>
      </c>
    </row>
    <row r="56743" spans="26:26" x14ac:dyDescent="0.25">
      <c r="Z56743">
        <v>400000</v>
      </c>
    </row>
    <row r="56744" spans="26:26" x14ac:dyDescent="0.25">
      <c r="Z56744">
        <v>400000</v>
      </c>
    </row>
    <row r="56745" spans="26:26" x14ac:dyDescent="0.25">
      <c r="Z56745">
        <v>400000</v>
      </c>
    </row>
    <row r="56746" spans="26:26" x14ac:dyDescent="0.25">
      <c r="Z56746">
        <v>400000</v>
      </c>
    </row>
    <row r="56747" spans="26:26" x14ac:dyDescent="0.25">
      <c r="Z56747">
        <v>400000</v>
      </c>
    </row>
    <row r="56748" spans="26:26" x14ac:dyDescent="0.25">
      <c r="Z56748">
        <v>400000</v>
      </c>
    </row>
    <row r="56749" spans="26:26" x14ac:dyDescent="0.25">
      <c r="Z56749">
        <v>400000</v>
      </c>
    </row>
    <row r="56750" spans="26:26" x14ac:dyDescent="0.25">
      <c r="Z56750">
        <v>400000</v>
      </c>
    </row>
    <row r="56751" spans="26:26" x14ac:dyDescent="0.25">
      <c r="Z56751">
        <v>400000</v>
      </c>
    </row>
    <row r="56752" spans="26:26" x14ac:dyDescent="0.25">
      <c r="Z56752">
        <v>400000</v>
      </c>
    </row>
    <row r="56753" spans="26:26" x14ac:dyDescent="0.25">
      <c r="Z56753">
        <v>400000</v>
      </c>
    </row>
    <row r="56754" spans="26:26" x14ac:dyDescent="0.25">
      <c r="Z56754">
        <v>400000</v>
      </c>
    </row>
    <row r="56755" spans="26:26" x14ac:dyDescent="0.25">
      <c r="Z56755">
        <v>400000</v>
      </c>
    </row>
    <row r="56756" spans="26:26" x14ac:dyDescent="0.25">
      <c r="Z56756">
        <v>400000</v>
      </c>
    </row>
    <row r="56757" spans="26:26" x14ac:dyDescent="0.25">
      <c r="Z56757">
        <v>400000</v>
      </c>
    </row>
    <row r="56758" spans="26:26" x14ac:dyDescent="0.25">
      <c r="Z56758">
        <v>400000</v>
      </c>
    </row>
    <row r="56759" spans="26:26" x14ac:dyDescent="0.25">
      <c r="Z56759">
        <v>400000</v>
      </c>
    </row>
    <row r="56760" spans="26:26" x14ac:dyDescent="0.25">
      <c r="Z56760">
        <v>400000</v>
      </c>
    </row>
    <row r="56761" spans="26:26" x14ac:dyDescent="0.25">
      <c r="Z56761">
        <v>400000</v>
      </c>
    </row>
    <row r="56762" spans="26:26" x14ac:dyDescent="0.25">
      <c r="Z56762">
        <v>400000</v>
      </c>
    </row>
    <row r="56763" spans="26:26" x14ac:dyDescent="0.25">
      <c r="Z56763">
        <v>400000</v>
      </c>
    </row>
    <row r="56764" spans="26:26" x14ac:dyDescent="0.25">
      <c r="Z56764">
        <v>400000</v>
      </c>
    </row>
    <row r="56765" spans="26:26" x14ac:dyDescent="0.25">
      <c r="Z56765">
        <v>400000</v>
      </c>
    </row>
    <row r="56766" spans="26:26" x14ac:dyDescent="0.25">
      <c r="Z56766">
        <v>400000</v>
      </c>
    </row>
    <row r="56767" spans="26:26" x14ac:dyDescent="0.25">
      <c r="Z56767">
        <v>400000</v>
      </c>
    </row>
    <row r="56768" spans="26:26" x14ac:dyDescent="0.25">
      <c r="Z56768">
        <v>400000</v>
      </c>
    </row>
    <row r="56769" spans="26:26" x14ac:dyDescent="0.25">
      <c r="Z56769">
        <v>400000</v>
      </c>
    </row>
    <row r="56770" spans="26:26" x14ac:dyDescent="0.25">
      <c r="Z56770">
        <v>400000</v>
      </c>
    </row>
    <row r="56771" spans="26:26" x14ac:dyDescent="0.25">
      <c r="Z56771">
        <v>400000</v>
      </c>
    </row>
    <row r="56772" spans="26:26" x14ac:dyDescent="0.25">
      <c r="Z56772">
        <v>400000</v>
      </c>
    </row>
    <row r="56773" spans="26:26" x14ac:dyDescent="0.25">
      <c r="Z56773">
        <v>400000</v>
      </c>
    </row>
    <row r="56774" spans="26:26" x14ac:dyDescent="0.25">
      <c r="Z56774">
        <v>400000</v>
      </c>
    </row>
    <row r="56775" spans="26:26" x14ac:dyDescent="0.25">
      <c r="Z56775">
        <v>400000</v>
      </c>
    </row>
    <row r="56776" spans="26:26" x14ac:dyDescent="0.25">
      <c r="Z56776">
        <v>400000</v>
      </c>
    </row>
    <row r="56777" spans="26:26" x14ac:dyDescent="0.25">
      <c r="Z56777">
        <v>400000</v>
      </c>
    </row>
    <row r="56778" spans="26:26" x14ac:dyDescent="0.25">
      <c r="Z56778">
        <v>400000</v>
      </c>
    </row>
    <row r="56779" spans="26:26" x14ac:dyDescent="0.25">
      <c r="Z56779">
        <v>400000</v>
      </c>
    </row>
    <row r="56780" spans="26:26" x14ac:dyDescent="0.25">
      <c r="Z56780">
        <v>400000</v>
      </c>
    </row>
    <row r="56781" spans="26:26" x14ac:dyDescent="0.25">
      <c r="Z56781">
        <v>400000</v>
      </c>
    </row>
    <row r="56782" spans="26:26" x14ac:dyDescent="0.25">
      <c r="Z56782">
        <v>400000</v>
      </c>
    </row>
    <row r="56783" spans="26:26" x14ac:dyDescent="0.25">
      <c r="Z56783">
        <v>400000</v>
      </c>
    </row>
    <row r="56784" spans="26:26" x14ac:dyDescent="0.25">
      <c r="Z56784">
        <v>400000</v>
      </c>
    </row>
    <row r="56785" spans="26:26" x14ac:dyDescent="0.25">
      <c r="Z56785">
        <v>400000</v>
      </c>
    </row>
    <row r="56786" spans="26:26" x14ac:dyDescent="0.25">
      <c r="Z56786">
        <v>400000</v>
      </c>
    </row>
    <row r="56787" spans="26:26" x14ac:dyDescent="0.25">
      <c r="Z56787">
        <v>400000</v>
      </c>
    </row>
    <row r="56788" spans="26:26" x14ac:dyDescent="0.25">
      <c r="Z56788">
        <v>400000</v>
      </c>
    </row>
    <row r="56789" spans="26:26" x14ac:dyDescent="0.25">
      <c r="Z56789">
        <v>400000</v>
      </c>
    </row>
    <row r="56790" spans="26:26" x14ac:dyDescent="0.25">
      <c r="Z56790">
        <v>400000</v>
      </c>
    </row>
    <row r="56791" spans="26:26" x14ac:dyDescent="0.25">
      <c r="Z56791">
        <v>400000</v>
      </c>
    </row>
    <row r="56792" spans="26:26" x14ac:dyDescent="0.25">
      <c r="Z56792">
        <v>400000</v>
      </c>
    </row>
    <row r="56793" spans="26:26" x14ac:dyDescent="0.25">
      <c r="Z56793">
        <v>400000</v>
      </c>
    </row>
    <row r="56794" spans="26:26" x14ac:dyDescent="0.25">
      <c r="Z56794">
        <v>400000</v>
      </c>
    </row>
    <row r="56795" spans="26:26" x14ac:dyDescent="0.25">
      <c r="Z56795">
        <v>400000</v>
      </c>
    </row>
    <row r="56796" spans="26:26" x14ac:dyDescent="0.25">
      <c r="Z56796">
        <v>400000</v>
      </c>
    </row>
    <row r="56797" spans="26:26" x14ac:dyDescent="0.25">
      <c r="Z56797">
        <v>400000</v>
      </c>
    </row>
    <row r="56798" spans="26:26" x14ac:dyDescent="0.25">
      <c r="Z56798">
        <v>400000</v>
      </c>
    </row>
    <row r="56799" spans="26:26" x14ac:dyDescent="0.25">
      <c r="Z56799">
        <v>400000</v>
      </c>
    </row>
    <row r="56800" spans="26:26" x14ac:dyDescent="0.25">
      <c r="Z56800">
        <v>400000</v>
      </c>
    </row>
    <row r="56801" spans="26:26" x14ac:dyDescent="0.25">
      <c r="Z56801">
        <v>400000</v>
      </c>
    </row>
    <row r="56802" spans="26:26" x14ac:dyDescent="0.25">
      <c r="Z56802">
        <v>400000</v>
      </c>
    </row>
    <row r="56803" spans="26:26" x14ac:dyDescent="0.25">
      <c r="Z56803">
        <v>400000</v>
      </c>
    </row>
    <row r="56804" spans="26:26" x14ac:dyDescent="0.25">
      <c r="Z56804">
        <v>400000</v>
      </c>
    </row>
    <row r="56805" spans="26:26" x14ac:dyDescent="0.25">
      <c r="Z56805">
        <v>400000</v>
      </c>
    </row>
    <row r="56806" spans="26:26" x14ac:dyDescent="0.25">
      <c r="Z56806">
        <v>400000</v>
      </c>
    </row>
    <row r="56807" spans="26:26" x14ac:dyDescent="0.25">
      <c r="Z56807">
        <v>400000</v>
      </c>
    </row>
    <row r="56808" spans="26:26" x14ac:dyDescent="0.25">
      <c r="Z56808">
        <v>400000</v>
      </c>
    </row>
    <row r="56809" spans="26:26" x14ac:dyDescent="0.25">
      <c r="Z56809">
        <v>400000</v>
      </c>
    </row>
    <row r="56810" spans="26:26" x14ac:dyDescent="0.25">
      <c r="Z56810">
        <v>400000</v>
      </c>
    </row>
    <row r="56811" spans="26:26" x14ac:dyDescent="0.25">
      <c r="Z56811">
        <v>400000</v>
      </c>
    </row>
    <row r="56812" spans="26:26" x14ac:dyDescent="0.25">
      <c r="Z56812">
        <v>400000</v>
      </c>
    </row>
    <row r="56813" spans="26:26" x14ac:dyDescent="0.25">
      <c r="Z56813">
        <v>400000</v>
      </c>
    </row>
    <row r="56814" spans="26:26" x14ac:dyDescent="0.25">
      <c r="Z56814">
        <v>400000</v>
      </c>
    </row>
    <row r="56815" spans="26:26" x14ac:dyDescent="0.25">
      <c r="Z56815">
        <v>400000</v>
      </c>
    </row>
    <row r="56816" spans="26:26" x14ac:dyDescent="0.25">
      <c r="Z56816">
        <v>400000</v>
      </c>
    </row>
    <row r="56817" spans="26:26" x14ac:dyDescent="0.25">
      <c r="Z56817">
        <v>400000</v>
      </c>
    </row>
    <row r="56818" spans="26:26" x14ac:dyDescent="0.25">
      <c r="Z56818">
        <v>400000</v>
      </c>
    </row>
    <row r="56819" spans="26:26" x14ac:dyDescent="0.25">
      <c r="Z56819">
        <v>400000</v>
      </c>
    </row>
    <row r="56820" spans="26:26" x14ac:dyDescent="0.25">
      <c r="Z56820">
        <v>400000</v>
      </c>
    </row>
    <row r="56821" spans="26:26" x14ac:dyDescent="0.25">
      <c r="Z56821">
        <v>400000</v>
      </c>
    </row>
    <row r="56822" spans="26:26" x14ac:dyDescent="0.25">
      <c r="Z56822">
        <v>400000</v>
      </c>
    </row>
    <row r="56823" spans="26:26" x14ac:dyDescent="0.25">
      <c r="Z56823">
        <v>400000</v>
      </c>
    </row>
    <row r="56824" spans="26:26" x14ac:dyDescent="0.25">
      <c r="Z56824">
        <v>400000</v>
      </c>
    </row>
    <row r="56825" spans="26:26" x14ac:dyDescent="0.25">
      <c r="Z56825">
        <v>400000</v>
      </c>
    </row>
    <row r="56826" spans="26:26" x14ac:dyDescent="0.25">
      <c r="Z56826">
        <v>400000</v>
      </c>
    </row>
    <row r="56827" spans="26:26" x14ac:dyDescent="0.25">
      <c r="Z56827">
        <v>400000</v>
      </c>
    </row>
    <row r="56828" spans="26:26" x14ac:dyDescent="0.25">
      <c r="Z56828">
        <v>400000</v>
      </c>
    </row>
    <row r="56829" spans="26:26" x14ac:dyDescent="0.25">
      <c r="Z56829">
        <v>400000</v>
      </c>
    </row>
    <row r="56830" spans="26:26" x14ac:dyDescent="0.25">
      <c r="Z56830">
        <v>400000</v>
      </c>
    </row>
    <row r="56831" spans="26:26" x14ac:dyDescent="0.25">
      <c r="Z56831">
        <v>400000</v>
      </c>
    </row>
    <row r="56832" spans="26:26" x14ac:dyDescent="0.25">
      <c r="Z56832">
        <v>400000</v>
      </c>
    </row>
    <row r="56833" spans="26:26" x14ac:dyDescent="0.25">
      <c r="Z56833">
        <v>400000</v>
      </c>
    </row>
    <row r="56834" spans="26:26" x14ac:dyDescent="0.25">
      <c r="Z56834">
        <v>400000</v>
      </c>
    </row>
    <row r="56835" spans="26:26" x14ac:dyDescent="0.25">
      <c r="Z56835">
        <v>400000</v>
      </c>
    </row>
    <row r="56836" spans="26:26" x14ac:dyDescent="0.25">
      <c r="Z56836">
        <v>400000</v>
      </c>
    </row>
    <row r="56837" spans="26:26" x14ac:dyDescent="0.25">
      <c r="Z56837">
        <v>400000</v>
      </c>
    </row>
    <row r="56838" spans="26:26" x14ac:dyDescent="0.25">
      <c r="Z56838">
        <v>400000</v>
      </c>
    </row>
    <row r="56839" spans="26:26" x14ac:dyDescent="0.25">
      <c r="Z56839">
        <v>400000</v>
      </c>
    </row>
    <row r="56840" spans="26:26" x14ac:dyDescent="0.25">
      <c r="Z56840">
        <v>400000</v>
      </c>
    </row>
    <row r="56841" spans="26:26" x14ac:dyDescent="0.25">
      <c r="Z56841">
        <v>400000</v>
      </c>
    </row>
    <row r="56842" spans="26:26" x14ac:dyDescent="0.25">
      <c r="Z56842">
        <v>400000</v>
      </c>
    </row>
    <row r="56843" spans="26:26" x14ac:dyDescent="0.25">
      <c r="Z56843">
        <v>400000</v>
      </c>
    </row>
    <row r="56844" spans="26:26" x14ac:dyDescent="0.25">
      <c r="Z56844">
        <v>400000</v>
      </c>
    </row>
    <row r="56845" spans="26:26" x14ac:dyDescent="0.25">
      <c r="Z56845">
        <v>400000</v>
      </c>
    </row>
    <row r="56846" spans="26:26" x14ac:dyDescent="0.25">
      <c r="Z56846">
        <v>400000</v>
      </c>
    </row>
    <row r="56847" spans="26:26" x14ac:dyDescent="0.25">
      <c r="Z56847">
        <v>400000</v>
      </c>
    </row>
    <row r="56848" spans="26:26" x14ac:dyDescent="0.25">
      <c r="Z56848">
        <v>400000</v>
      </c>
    </row>
    <row r="56849" spans="26:26" x14ac:dyDescent="0.25">
      <c r="Z56849">
        <v>400000</v>
      </c>
    </row>
    <row r="56850" spans="26:26" x14ac:dyDescent="0.25">
      <c r="Z56850">
        <v>400000</v>
      </c>
    </row>
    <row r="56851" spans="26:26" x14ac:dyDescent="0.25">
      <c r="Z56851">
        <v>400000</v>
      </c>
    </row>
    <row r="56852" spans="26:26" x14ac:dyDescent="0.25">
      <c r="Z56852">
        <v>400000</v>
      </c>
    </row>
    <row r="56853" spans="26:26" x14ac:dyDescent="0.25">
      <c r="Z56853">
        <v>400000</v>
      </c>
    </row>
    <row r="56854" spans="26:26" x14ac:dyDescent="0.25">
      <c r="Z56854">
        <v>400000</v>
      </c>
    </row>
    <row r="56855" spans="26:26" x14ac:dyDescent="0.25">
      <c r="Z56855">
        <v>400000</v>
      </c>
    </row>
    <row r="56856" spans="26:26" x14ac:dyDescent="0.25">
      <c r="Z56856">
        <v>400000</v>
      </c>
    </row>
    <row r="56857" spans="26:26" x14ac:dyDescent="0.25">
      <c r="Z56857">
        <v>400000</v>
      </c>
    </row>
    <row r="56858" spans="26:26" x14ac:dyDescent="0.25">
      <c r="Z56858">
        <v>400000</v>
      </c>
    </row>
    <row r="56859" spans="26:26" x14ac:dyDescent="0.25">
      <c r="Z56859">
        <v>400000</v>
      </c>
    </row>
    <row r="56860" spans="26:26" x14ac:dyDescent="0.25">
      <c r="Z56860">
        <v>400000</v>
      </c>
    </row>
    <row r="56861" spans="26:26" x14ac:dyDescent="0.25">
      <c r="Z56861">
        <v>400000</v>
      </c>
    </row>
    <row r="56862" spans="26:26" x14ac:dyDescent="0.25">
      <c r="Z56862">
        <v>400000</v>
      </c>
    </row>
    <row r="56863" spans="26:26" x14ac:dyDescent="0.25">
      <c r="Z56863">
        <v>400000</v>
      </c>
    </row>
    <row r="56864" spans="26:26" x14ac:dyDescent="0.25">
      <c r="Z56864">
        <v>400000</v>
      </c>
    </row>
    <row r="56865" spans="26:26" x14ac:dyDescent="0.25">
      <c r="Z56865">
        <v>400000</v>
      </c>
    </row>
    <row r="56866" spans="26:26" x14ac:dyDescent="0.25">
      <c r="Z56866">
        <v>400000</v>
      </c>
    </row>
    <row r="56867" spans="26:26" x14ac:dyDescent="0.25">
      <c r="Z56867">
        <v>400000</v>
      </c>
    </row>
    <row r="56868" spans="26:26" x14ac:dyDescent="0.25">
      <c r="Z56868">
        <v>400000</v>
      </c>
    </row>
    <row r="56869" spans="26:26" x14ac:dyDescent="0.25">
      <c r="Z56869">
        <v>400000</v>
      </c>
    </row>
    <row r="56870" spans="26:26" x14ac:dyDescent="0.25">
      <c r="Z56870">
        <v>400000</v>
      </c>
    </row>
    <row r="56871" spans="26:26" x14ac:dyDescent="0.25">
      <c r="Z56871">
        <v>400000</v>
      </c>
    </row>
    <row r="56872" spans="26:26" x14ac:dyDescent="0.25">
      <c r="Z56872">
        <v>400000</v>
      </c>
    </row>
    <row r="56873" spans="26:26" x14ac:dyDescent="0.25">
      <c r="Z56873">
        <v>400000</v>
      </c>
    </row>
    <row r="56874" spans="26:26" x14ac:dyDescent="0.25">
      <c r="Z56874">
        <v>400000</v>
      </c>
    </row>
    <row r="56875" spans="26:26" x14ac:dyDescent="0.25">
      <c r="Z56875">
        <v>400000</v>
      </c>
    </row>
    <row r="56876" spans="26:26" x14ac:dyDescent="0.25">
      <c r="Z56876">
        <v>400000</v>
      </c>
    </row>
    <row r="56877" spans="26:26" x14ac:dyDescent="0.25">
      <c r="Z56877">
        <v>400000</v>
      </c>
    </row>
    <row r="56878" spans="26:26" x14ac:dyDescent="0.25">
      <c r="Z56878">
        <v>400000</v>
      </c>
    </row>
    <row r="56879" spans="26:26" x14ac:dyDescent="0.25">
      <c r="Z56879">
        <v>400000</v>
      </c>
    </row>
    <row r="56880" spans="26:26" x14ac:dyDescent="0.25">
      <c r="Z56880">
        <v>400000</v>
      </c>
    </row>
    <row r="56881" spans="26:26" x14ac:dyDescent="0.25">
      <c r="Z56881">
        <v>400000</v>
      </c>
    </row>
    <row r="56882" spans="26:26" x14ac:dyDescent="0.25">
      <c r="Z56882">
        <v>400000</v>
      </c>
    </row>
    <row r="56883" spans="26:26" x14ac:dyDescent="0.25">
      <c r="Z56883">
        <v>400000</v>
      </c>
    </row>
    <row r="56884" spans="26:26" x14ac:dyDescent="0.25">
      <c r="Z56884">
        <v>400000</v>
      </c>
    </row>
    <row r="56885" spans="26:26" x14ac:dyDescent="0.25">
      <c r="Z56885">
        <v>400000</v>
      </c>
    </row>
    <row r="56886" spans="26:26" x14ac:dyDescent="0.25">
      <c r="Z56886">
        <v>400000</v>
      </c>
    </row>
    <row r="56887" spans="26:26" x14ac:dyDescent="0.25">
      <c r="Z56887">
        <v>400000</v>
      </c>
    </row>
    <row r="56888" spans="26:26" x14ac:dyDescent="0.25">
      <c r="Z56888">
        <v>400000</v>
      </c>
    </row>
    <row r="56889" spans="26:26" x14ac:dyDescent="0.25">
      <c r="Z56889">
        <v>400000</v>
      </c>
    </row>
    <row r="56890" spans="26:26" x14ac:dyDescent="0.25">
      <c r="Z56890">
        <v>400000</v>
      </c>
    </row>
    <row r="56891" spans="26:26" x14ac:dyDescent="0.25">
      <c r="Z56891">
        <v>400000</v>
      </c>
    </row>
    <row r="56892" spans="26:26" x14ac:dyDescent="0.25">
      <c r="Z56892">
        <v>400000</v>
      </c>
    </row>
    <row r="56893" spans="26:26" x14ac:dyDescent="0.25">
      <c r="Z56893">
        <v>400000</v>
      </c>
    </row>
    <row r="56894" spans="26:26" x14ac:dyDescent="0.25">
      <c r="Z56894">
        <v>400000</v>
      </c>
    </row>
    <row r="56895" spans="26:26" x14ac:dyDescent="0.25">
      <c r="Z56895">
        <v>400000</v>
      </c>
    </row>
    <row r="56896" spans="26:26" x14ac:dyDescent="0.25">
      <c r="Z56896">
        <v>400000</v>
      </c>
    </row>
    <row r="56897" spans="26:26" x14ac:dyDescent="0.25">
      <c r="Z56897">
        <v>400000</v>
      </c>
    </row>
    <row r="56898" spans="26:26" x14ac:dyDescent="0.25">
      <c r="Z56898">
        <v>400000</v>
      </c>
    </row>
    <row r="56899" spans="26:26" x14ac:dyDescent="0.25">
      <c r="Z56899">
        <v>400000</v>
      </c>
    </row>
    <row r="56900" spans="26:26" x14ac:dyDescent="0.25">
      <c r="Z56900">
        <v>400000</v>
      </c>
    </row>
    <row r="56901" spans="26:26" x14ac:dyDescent="0.25">
      <c r="Z56901">
        <v>400000</v>
      </c>
    </row>
    <row r="56902" spans="26:26" x14ac:dyDescent="0.25">
      <c r="Z56902">
        <v>400000</v>
      </c>
    </row>
    <row r="56903" spans="26:26" x14ac:dyDescent="0.25">
      <c r="Z56903">
        <v>400000</v>
      </c>
    </row>
    <row r="56904" spans="26:26" x14ac:dyDescent="0.25">
      <c r="Z56904">
        <v>400000</v>
      </c>
    </row>
    <row r="56905" spans="26:26" x14ac:dyDescent="0.25">
      <c r="Z56905">
        <v>400000</v>
      </c>
    </row>
    <row r="56906" spans="26:26" x14ac:dyDescent="0.25">
      <c r="Z56906">
        <v>400000</v>
      </c>
    </row>
    <row r="56907" spans="26:26" x14ac:dyDescent="0.25">
      <c r="Z56907">
        <v>400000</v>
      </c>
    </row>
    <row r="56908" spans="26:26" x14ac:dyDescent="0.25">
      <c r="Z56908">
        <v>400000</v>
      </c>
    </row>
    <row r="56909" spans="26:26" x14ac:dyDescent="0.25">
      <c r="Z56909">
        <v>400000</v>
      </c>
    </row>
    <row r="56910" spans="26:26" x14ac:dyDescent="0.25">
      <c r="Z56910">
        <v>400000</v>
      </c>
    </row>
    <row r="56911" spans="26:26" x14ac:dyDescent="0.25">
      <c r="Z56911">
        <v>400000</v>
      </c>
    </row>
    <row r="56912" spans="26:26" x14ac:dyDescent="0.25">
      <c r="Z56912">
        <v>400000</v>
      </c>
    </row>
    <row r="56913" spans="26:26" x14ac:dyDescent="0.25">
      <c r="Z56913">
        <v>400000</v>
      </c>
    </row>
    <row r="56914" spans="26:26" x14ac:dyDescent="0.25">
      <c r="Z56914">
        <v>400000</v>
      </c>
    </row>
    <row r="56915" spans="26:26" x14ac:dyDescent="0.25">
      <c r="Z56915">
        <v>400000</v>
      </c>
    </row>
    <row r="56916" spans="26:26" x14ac:dyDescent="0.25">
      <c r="Z56916">
        <v>400000</v>
      </c>
    </row>
    <row r="56917" spans="26:26" x14ac:dyDescent="0.25">
      <c r="Z56917">
        <v>400000</v>
      </c>
    </row>
    <row r="56918" spans="26:26" x14ac:dyDescent="0.25">
      <c r="Z56918">
        <v>400000</v>
      </c>
    </row>
    <row r="56919" spans="26:26" x14ac:dyDescent="0.25">
      <c r="Z56919">
        <v>400000</v>
      </c>
    </row>
    <row r="56920" spans="26:26" x14ac:dyDescent="0.25">
      <c r="Z56920">
        <v>400000</v>
      </c>
    </row>
    <row r="56921" spans="26:26" x14ac:dyDescent="0.25">
      <c r="Z56921">
        <v>400000</v>
      </c>
    </row>
    <row r="56922" spans="26:26" x14ac:dyDescent="0.25">
      <c r="Z56922">
        <v>400000</v>
      </c>
    </row>
    <row r="56923" spans="26:26" x14ac:dyDescent="0.25">
      <c r="Z56923">
        <v>400000</v>
      </c>
    </row>
    <row r="56924" spans="26:26" x14ac:dyDescent="0.25">
      <c r="Z56924">
        <v>400000</v>
      </c>
    </row>
    <row r="56925" spans="26:26" x14ac:dyDescent="0.25">
      <c r="Z56925">
        <v>400000</v>
      </c>
    </row>
    <row r="56926" spans="26:26" x14ac:dyDescent="0.25">
      <c r="Z56926">
        <v>400000</v>
      </c>
    </row>
    <row r="56927" spans="26:26" x14ac:dyDescent="0.25">
      <c r="Z56927">
        <v>400000</v>
      </c>
    </row>
    <row r="56928" spans="26:26" x14ac:dyDescent="0.25">
      <c r="Z56928">
        <v>400000</v>
      </c>
    </row>
    <row r="56929" spans="26:26" x14ac:dyDescent="0.25">
      <c r="Z56929">
        <v>400000</v>
      </c>
    </row>
    <row r="56930" spans="26:26" x14ac:dyDescent="0.25">
      <c r="Z56930">
        <v>400000</v>
      </c>
    </row>
    <row r="56931" spans="26:26" x14ac:dyDescent="0.25">
      <c r="Z56931">
        <v>400000</v>
      </c>
    </row>
    <row r="56932" spans="26:26" x14ac:dyDescent="0.25">
      <c r="Z56932">
        <v>400000</v>
      </c>
    </row>
    <row r="56933" spans="26:26" x14ac:dyDescent="0.25">
      <c r="Z56933">
        <v>400000</v>
      </c>
    </row>
    <row r="56934" spans="26:26" x14ac:dyDescent="0.25">
      <c r="Z56934">
        <v>400000</v>
      </c>
    </row>
    <row r="56935" spans="26:26" x14ac:dyDescent="0.25">
      <c r="Z56935">
        <v>400000</v>
      </c>
    </row>
    <row r="56936" spans="26:26" x14ac:dyDescent="0.25">
      <c r="Z56936">
        <v>400000</v>
      </c>
    </row>
    <row r="56937" spans="26:26" x14ac:dyDescent="0.25">
      <c r="Z56937">
        <v>400000</v>
      </c>
    </row>
    <row r="56938" spans="26:26" x14ac:dyDescent="0.25">
      <c r="Z56938">
        <v>400000</v>
      </c>
    </row>
    <row r="56939" spans="26:26" x14ac:dyDescent="0.25">
      <c r="Z56939">
        <v>400000</v>
      </c>
    </row>
    <row r="56940" spans="26:26" x14ac:dyDescent="0.25">
      <c r="Z56940">
        <v>400000</v>
      </c>
    </row>
    <row r="56941" spans="26:26" x14ac:dyDescent="0.25">
      <c r="Z56941">
        <v>400000</v>
      </c>
    </row>
    <row r="56942" spans="26:26" x14ac:dyDescent="0.25">
      <c r="Z56942">
        <v>400000</v>
      </c>
    </row>
    <row r="56943" spans="26:26" x14ac:dyDescent="0.25">
      <c r="Z56943">
        <v>400000</v>
      </c>
    </row>
    <row r="56944" spans="26:26" x14ac:dyDescent="0.25">
      <c r="Z56944">
        <v>400000</v>
      </c>
    </row>
    <row r="56945" spans="26:26" x14ac:dyDescent="0.25">
      <c r="Z56945">
        <v>400000</v>
      </c>
    </row>
    <row r="56946" spans="26:26" x14ac:dyDescent="0.25">
      <c r="Z56946">
        <v>400000</v>
      </c>
    </row>
    <row r="56947" spans="26:26" x14ac:dyDescent="0.25">
      <c r="Z56947">
        <v>400000</v>
      </c>
    </row>
    <row r="56948" spans="26:26" x14ac:dyDescent="0.25">
      <c r="Z56948">
        <v>400000</v>
      </c>
    </row>
    <row r="56949" spans="26:26" x14ac:dyDescent="0.25">
      <c r="Z56949">
        <v>400000</v>
      </c>
    </row>
    <row r="56950" spans="26:26" x14ac:dyDescent="0.25">
      <c r="Z56950">
        <v>400000</v>
      </c>
    </row>
    <row r="56951" spans="26:26" x14ac:dyDescent="0.25">
      <c r="Z56951">
        <v>400000</v>
      </c>
    </row>
    <row r="56952" spans="26:26" x14ac:dyDescent="0.25">
      <c r="Z56952">
        <v>400000</v>
      </c>
    </row>
    <row r="56953" spans="26:26" x14ac:dyDescent="0.25">
      <c r="Z56953">
        <v>400000</v>
      </c>
    </row>
    <row r="56954" spans="26:26" x14ac:dyDescent="0.25">
      <c r="Z56954">
        <v>400000</v>
      </c>
    </row>
    <row r="56955" spans="26:26" x14ac:dyDescent="0.25">
      <c r="Z56955">
        <v>400000</v>
      </c>
    </row>
    <row r="56956" spans="26:26" x14ac:dyDescent="0.25">
      <c r="Z56956">
        <v>400000</v>
      </c>
    </row>
    <row r="56957" spans="26:26" x14ac:dyDescent="0.25">
      <c r="Z56957">
        <v>400000</v>
      </c>
    </row>
    <row r="56958" spans="26:26" x14ac:dyDescent="0.25">
      <c r="Z56958">
        <v>400000</v>
      </c>
    </row>
    <row r="56959" spans="26:26" x14ac:dyDescent="0.25">
      <c r="Z56959">
        <v>400000</v>
      </c>
    </row>
    <row r="56960" spans="26:26" x14ac:dyDescent="0.25">
      <c r="Z56960">
        <v>400000</v>
      </c>
    </row>
    <row r="56961" spans="26:26" x14ac:dyDescent="0.25">
      <c r="Z56961">
        <v>400000</v>
      </c>
    </row>
    <row r="56962" spans="26:26" x14ac:dyDescent="0.25">
      <c r="Z56962">
        <v>400000</v>
      </c>
    </row>
    <row r="56963" spans="26:26" x14ac:dyDescent="0.25">
      <c r="Z56963">
        <v>400000</v>
      </c>
    </row>
    <row r="56964" spans="26:26" x14ac:dyDescent="0.25">
      <c r="Z56964">
        <v>400000</v>
      </c>
    </row>
    <row r="56965" spans="26:26" x14ac:dyDescent="0.25">
      <c r="Z56965">
        <v>400000</v>
      </c>
    </row>
    <row r="56966" spans="26:26" x14ac:dyDescent="0.25">
      <c r="Z56966">
        <v>400000</v>
      </c>
    </row>
    <row r="56967" spans="26:26" x14ac:dyDescent="0.25">
      <c r="Z56967">
        <v>400000</v>
      </c>
    </row>
    <row r="56968" spans="26:26" x14ac:dyDescent="0.25">
      <c r="Z56968">
        <v>400000</v>
      </c>
    </row>
    <row r="56969" spans="26:26" x14ac:dyDescent="0.25">
      <c r="Z56969">
        <v>400000</v>
      </c>
    </row>
    <row r="56970" spans="26:26" x14ac:dyDescent="0.25">
      <c r="Z56970">
        <v>400000</v>
      </c>
    </row>
    <row r="56971" spans="26:26" x14ac:dyDescent="0.25">
      <c r="Z56971">
        <v>400000</v>
      </c>
    </row>
    <row r="56972" spans="26:26" x14ac:dyDescent="0.25">
      <c r="Z56972">
        <v>400000</v>
      </c>
    </row>
    <row r="56973" spans="26:26" x14ac:dyDescent="0.25">
      <c r="Z56973">
        <v>400000</v>
      </c>
    </row>
    <row r="56974" spans="26:26" x14ac:dyDescent="0.25">
      <c r="Z56974">
        <v>400000</v>
      </c>
    </row>
    <row r="56975" spans="26:26" x14ac:dyDescent="0.25">
      <c r="Z56975">
        <v>400000</v>
      </c>
    </row>
    <row r="56976" spans="26:26" x14ac:dyDescent="0.25">
      <c r="Z56976">
        <v>400000</v>
      </c>
    </row>
    <row r="56977" spans="26:26" x14ac:dyDescent="0.25">
      <c r="Z56977">
        <v>400000</v>
      </c>
    </row>
    <row r="56978" spans="26:26" x14ac:dyDescent="0.25">
      <c r="Z56978">
        <v>400000</v>
      </c>
    </row>
    <row r="56979" spans="26:26" x14ac:dyDescent="0.25">
      <c r="Z56979">
        <v>400000</v>
      </c>
    </row>
    <row r="56980" spans="26:26" x14ac:dyDescent="0.25">
      <c r="Z56980">
        <v>400000</v>
      </c>
    </row>
    <row r="56981" spans="26:26" x14ac:dyDescent="0.25">
      <c r="Z56981">
        <v>400000</v>
      </c>
    </row>
    <row r="56982" spans="26:26" x14ac:dyDescent="0.25">
      <c r="Z56982">
        <v>400000</v>
      </c>
    </row>
    <row r="56983" spans="26:26" x14ac:dyDescent="0.25">
      <c r="Z56983">
        <v>400000</v>
      </c>
    </row>
    <row r="56984" spans="26:26" x14ac:dyDescent="0.25">
      <c r="Z56984">
        <v>400000</v>
      </c>
    </row>
    <row r="56985" spans="26:26" x14ac:dyDescent="0.25">
      <c r="Z56985">
        <v>400000</v>
      </c>
    </row>
    <row r="56986" spans="26:26" x14ac:dyDescent="0.25">
      <c r="Z56986">
        <v>400000</v>
      </c>
    </row>
    <row r="56987" spans="26:26" x14ac:dyDescent="0.25">
      <c r="Z56987">
        <v>400000</v>
      </c>
    </row>
    <row r="56988" spans="26:26" x14ac:dyDescent="0.25">
      <c r="Z56988">
        <v>400000</v>
      </c>
    </row>
    <row r="56989" spans="26:26" x14ac:dyDescent="0.25">
      <c r="Z56989">
        <v>400000</v>
      </c>
    </row>
    <row r="56990" spans="26:26" x14ac:dyDescent="0.25">
      <c r="Z56990">
        <v>400000</v>
      </c>
    </row>
    <row r="56991" spans="26:26" x14ac:dyDescent="0.25">
      <c r="Z56991">
        <v>400000</v>
      </c>
    </row>
    <row r="56992" spans="26:26" x14ac:dyDescent="0.25">
      <c r="Z56992">
        <v>400000</v>
      </c>
    </row>
    <row r="56993" spans="26:26" x14ac:dyDescent="0.25">
      <c r="Z56993">
        <v>400000</v>
      </c>
    </row>
    <row r="56994" spans="26:26" x14ac:dyDescent="0.25">
      <c r="Z56994">
        <v>400000</v>
      </c>
    </row>
    <row r="56995" spans="26:26" x14ac:dyDescent="0.25">
      <c r="Z56995">
        <v>400000</v>
      </c>
    </row>
    <row r="56996" spans="26:26" x14ac:dyDescent="0.25">
      <c r="Z56996">
        <v>400000</v>
      </c>
    </row>
    <row r="56997" spans="26:26" x14ac:dyDescent="0.25">
      <c r="Z56997">
        <v>400000</v>
      </c>
    </row>
    <row r="56998" spans="26:26" x14ac:dyDescent="0.25">
      <c r="Z56998">
        <v>400000</v>
      </c>
    </row>
    <row r="56999" spans="26:26" x14ac:dyDescent="0.25">
      <c r="Z56999">
        <v>400000</v>
      </c>
    </row>
    <row r="57000" spans="26:26" x14ac:dyDescent="0.25">
      <c r="Z57000">
        <v>400000</v>
      </c>
    </row>
    <row r="57001" spans="26:26" x14ac:dyDescent="0.25">
      <c r="Z57001">
        <v>400000</v>
      </c>
    </row>
    <row r="57002" spans="26:26" x14ac:dyDescent="0.25">
      <c r="Z57002">
        <v>400000</v>
      </c>
    </row>
    <row r="57003" spans="26:26" x14ac:dyDescent="0.25">
      <c r="Z57003">
        <v>400000</v>
      </c>
    </row>
    <row r="57004" spans="26:26" x14ac:dyDescent="0.25">
      <c r="Z57004">
        <v>400000</v>
      </c>
    </row>
    <row r="57005" spans="26:26" x14ac:dyDescent="0.25">
      <c r="Z57005">
        <v>400000</v>
      </c>
    </row>
    <row r="57006" spans="26:26" x14ac:dyDescent="0.25">
      <c r="Z57006">
        <v>400000</v>
      </c>
    </row>
    <row r="57007" spans="26:26" x14ac:dyDescent="0.25">
      <c r="Z57007">
        <v>400000</v>
      </c>
    </row>
    <row r="57008" spans="26:26" x14ac:dyDescent="0.25">
      <c r="Z57008">
        <v>400000</v>
      </c>
    </row>
    <row r="57009" spans="26:26" x14ac:dyDescent="0.25">
      <c r="Z57009">
        <v>400000</v>
      </c>
    </row>
    <row r="57010" spans="26:26" x14ac:dyDescent="0.25">
      <c r="Z57010">
        <v>400000</v>
      </c>
    </row>
    <row r="57011" spans="26:26" x14ac:dyDescent="0.25">
      <c r="Z57011">
        <v>400000</v>
      </c>
    </row>
    <row r="57012" spans="26:26" x14ac:dyDescent="0.25">
      <c r="Z57012">
        <v>400000</v>
      </c>
    </row>
    <row r="57013" spans="26:26" x14ac:dyDescent="0.25">
      <c r="Z57013">
        <v>400000</v>
      </c>
    </row>
    <row r="57014" spans="26:26" x14ac:dyDescent="0.25">
      <c r="Z57014">
        <v>400000</v>
      </c>
    </row>
    <row r="57015" spans="26:26" x14ac:dyDescent="0.25">
      <c r="Z57015">
        <v>400000</v>
      </c>
    </row>
    <row r="57016" spans="26:26" x14ac:dyDescent="0.25">
      <c r="Z57016">
        <v>400000</v>
      </c>
    </row>
    <row r="57017" spans="26:26" x14ac:dyDescent="0.25">
      <c r="Z57017">
        <v>400000</v>
      </c>
    </row>
    <row r="57018" spans="26:26" x14ac:dyDescent="0.25">
      <c r="Z57018">
        <v>400000</v>
      </c>
    </row>
    <row r="57019" spans="26:26" x14ac:dyDescent="0.25">
      <c r="Z57019">
        <v>400000</v>
      </c>
    </row>
    <row r="57020" spans="26:26" x14ac:dyDescent="0.25">
      <c r="Z57020">
        <v>400000</v>
      </c>
    </row>
    <row r="57021" spans="26:26" x14ac:dyDescent="0.25">
      <c r="Z57021">
        <v>400000</v>
      </c>
    </row>
    <row r="57022" spans="26:26" x14ac:dyDescent="0.25">
      <c r="Z57022">
        <v>400000</v>
      </c>
    </row>
    <row r="57023" spans="26:26" x14ac:dyDescent="0.25">
      <c r="Z57023">
        <v>400000</v>
      </c>
    </row>
    <row r="57024" spans="26:26" x14ac:dyDescent="0.25">
      <c r="Z57024">
        <v>400000</v>
      </c>
    </row>
    <row r="57025" spans="26:26" x14ac:dyDescent="0.25">
      <c r="Z57025">
        <v>400000</v>
      </c>
    </row>
    <row r="57026" spans="26:26" x14ac:dyDescent="0.25">
      <c r="Z57026">
        <v>400000</v>
      </c>
    </row>
    <row r="57027" spans="26:26" x14ac:dyDescent="0.25">
      <c r="Z57027">
        <v>400000</v>
      </c>
    </row>
    <row r="57028" spans="26:26" x14ac:dyDescent="0.25">
      <c r="Z57028">
        <v>400000</v>
      </c>
    </row>
    <row r="57029" spans="26:26" x14ac:dyDescent="0.25">
      <c r="Z57029">
        <v>400000</v>
      </c>
    </row>
    <row r="57030" spans="26:26" x14ac:dyDescent="0.25">
      <c r="Z57030">
        <v>400000</v>
      </c>
    </row>
    <row r="57031" spans="26:26" x14ac:dyDescent="0.25">
      <c r="Z57031">
        <v>400000</v>
      </c>
    </row>
    <row r="57032" spans="26:26" x14ac:dyDescent="0.25">
      <c r="Z57032">
        <v>400000</v>
      </c>
    </row>
    <row r="57033" spans="26:26" x14ac:dyDescent="0.25">
      <c r="Z57033">
        <v>400000</v>
      </c>
    </row>
    <row r="57034" spans="26:26" x14ac:dyDescent="0.25">
      <c r="Z57034">
        <v>400000</v>
      </c>
    </row>
    <row r="57035" spans="26:26" x14ac:dyDescent="0.25">
      <c r="Z57035">
        <v>400000</v>
      </c>
    </row>
    <row r="57036" spans="26:26" x14ac:dyDescent="0.25">
      <c r="Z57036">
        <v>400000</v>
      </c>
    </row>
    <row r="57037" spans="26:26" x14ac:dyDescent="0.25">
      <c r="Z57037">
        <v>400000</v>
      </c>
    </row>
    <row r="57038" spans="26:26" x14ac:dyDescent="0.25">
      <c r="Z57038">
        <v>400000</v>
      </c>
    </row>
    <row r="57039" spans="26:26" x14ac:dyDescent="0.25">
      <c r="Z57039">
        <v>400000</v>
      </c>
    </row>
    <row r="57040" spans="26:26" x14ac:dyDescent="0.25">
      <c r="Z57040">
        <v>400000</v>
      </c>
    </row>
    <row r="57041" spans="26:26" x14ac:dyDescent="0.25">
      <c r="Z57041">
        <v>400000</v>
      </c>
    </row>
    <row r="57042" spans="26:26" x14ac:dyDescent="0.25">
      <c r="Z57042">
        <v>400000</v>
      </c>
    </row>
    <row r="57043" spans="26:26" x14ac:dyDescent="0.25">
      <c r="Z57043">
        <v>400000</v>
      </c>
    </row>
    <row r="57044" spans="26:26" x14ac:dyDescent="0.25">
      <c r="Z57044">
        <v>400000</v>
      </c>
    </row>
    <row r="57045" spans="26:26" x14ac:dyDescent="0.25">
      <c r="Z57045">
        <v>400000</v>
      </c>
    </row>
    <row r="57046" spans="26:26" x14ac:dyDescent="0.25">
      <c r="Z57046">
        <v>400000</v>
      </c>
    </row>
    <row r="57047" spans="26:26" x14ac:dyDescent="0.25">
      <c r="Z57047">
        <v>400000</v>
      </c>
    </row>
    <row r="57048" spans="26:26" x14ac:dyDescent="0.25">
      <c r="Z57048">
        <v>400000</v>
      </c>
    </row>
    <row r="57049" spans="26:26" x14ac:dyDescent="0.25">
      <c r="Z57049">
        <v>400000</v>
      </c>
    </row>
    <row r="57050" spans="26:26" x14ac:dyDescent="0.25">
      <c r="Z57050">
        <v>400000</v>
      </c>
    </row>
    <row r="57051" spans="26:26" x14ac:dyDescent="0.25">
      <c r="Z57051">
        <v>400000</v>
      </c>
    </row>
    <row r="57052" spans="26:26" x14ac:dyDescent="0.25">
      <c r="Z57052">
        <v>400000</v>
      </c>
    </row>
    <row r="57053" spans="26:26" x14ac:dyDescent="0.25">
      <c r="Z57053">
        <v>400000</v>
      </c>
    </row>
    <row r="57054" spans="26:26" x14ac:dyDescent="0.25">
      <c r="Z57054">
        <v>400000</v>
      </c>
    </row>
    <row r="57055" spans="26:26" x14ac:dyDescent="0.25">
      <c r="Z57055">
        <v>400000</v>
      </c>
    </row>
    <row r="57056" spans="26:26" x14ac:dyDescent="0.25">
      <c r="Z57056">
        <v>400000</v>
      </c>
    </row>
    <row r="57057" spans="26:26" x14ac:dyDescent="0.25">
      <c r="Z57057">
        <v>400000</v>
      </c>
    </row>
    <row r="57058" spans="26:26" x14ac:dyDescent="0.25">
      <c r="Z57058">
        <v>400000</v>
      </c>
    </row>
    <row r="57059" spans="26:26" x14ac:dyDescent="0.25">
      <c r="Z57059">
        <v>400000</v>
      </c>
    </row>
    <row r="57060" spans="26:26" x14ac:dyDescent="0.25">
      <c r="Z57060">
        <v>400000</v>
      </c>
    </row>
    <row r="57061" spans="26:26" x14ac:dyDescent="0.25">
      <c r="Z57061">
        <v>400000</v>
      </c>
    </row>
    <row r="57062" spans="26:26" x14ac:dyDescent="0.25">
      <c r="Z57062">
        <v>400000</v>
      </c>
    </row>
    <row r="57063" spans="26:26" x14ac:dyDescent="0.25">
      <c r="Z57063">
        <v>400000</v>
      </c>
    </row>
    <row r="57064" spans="26:26" x14ac:dyDescent="0.25">
      <c r="Z57064">
        <v>400000</v>
      </c>
    </row>
    <row r="57065" spans="26:26" x14ac:dyDescent="0.25">
      <c r="Z57065">
        <v>400000</v>
      </c>
    </row>
    <row r="57066" spans="26:26" x14ac:dyDescent="0.25">
      <c r="Z57066">
        <v>400000</v>
      </c>
    </row>
    <row r="57067" spans="26:26" x14ac:dyDescent="0.25">
      <c r="Z57067">
        <v>400000</v>
      </c>
    </row>
    <row r="57068" spans="26:26" x14ac:dyDescent="0.25">
      <c r="Z57068">
        <v>400000</v>
      </c>
    </row>
    <row r="57069" spans="26:26" x14ac:dyDescent="0.25">
      <c r="Z57069">
        <v>400000</v>
      </c>
    </row>
    <row r="57070" spans="26:26" x14ac:dyDescent="0.25">
      <c r="Z57070">
        <v>400000</v>
      </c>
    </row>
    <row r="57071" spans="26:26" x14ac:dyDescent="0.25">
      <c r="Z57071">
        <v>400000</v>
      </c>
    </row>
    <row r="57072" spans="26:26" x14ac:dyDescent="0.25">
      <c r="Z57072">
        <v>400000</v>
      </c>
    </row>
    <row r="57073" spans="26:26" x14ac:dyDescent="0.25">
      <c r="Z57073">
        <v>400000</v>
      </c>
    </row>
    <row r="57074" spans="26:26" x14ac:dyDescent="0.25">
      <c r="Z57074">
        <v>400000</v>
      </c>
    </row>
    <row r="57075" spans="26:26" x14ac:dyDescent="0.25">
      <c r="Z57075">
        <v>400000</v>
      </c>
    </row>
    <row r="57076" spans="26:26" x14ac:dyDescent="0.25">
      <c r="Z57076">
        <v>400000</v>
      </c>
    </row>
    <row r="57077" spans="26:26" x14ac:dyDescent="0.25">
      <c r="Z57077">
        <v>400000</v>
      </c>
    </row>
    <row r="57078" spans="26:26" x14ac:dyDescent="0.25">
      <c r="Z57078">
        <v>400000</v>
      </c>
    </row>
    <row r="57079" spans="26:26" x14ac:dyDescent="0.25">
      <c r="Z57079">
        <v>400000</v>
      </c>
    </row>
    <row r="57080" spans="26:26" x14ac:dyDescent="0.25">
      <c r="Z57080">
        <v>400000</v>
      </c>
    </row>
    <row r="57081" spans="26:26" x14ac:dyDescent="0.25">
      <c r="Z57081">
        <v>400000</v>
      </c>
    </row>
    <row r="57082" spans="26:26" x14ac:dyDescent="0.25">
      <c r="Z57082">
        <v>400000</v>
      </c>
    </row>
    <row r="57083" spans="26:26" x14ac:dyDescent="0.25">
      <c r="Z57083">
        <v>400000</v>
      </c>
    </row>
    <row r="57084" spans="26:26" x14ac:dyDescent="0.25">
      <c r="Z57084">
        <v>400000</v>
      </c>
    </row>
    <row r="57085" spans="26:26" x14ac:dyDescent="0.25">
      <c r="Z57085">
        <v>400000</v>
      </c>
    </row>
    <row r="57086" spans="26:26" x14ac:dyDescent="0.25">
      <c r="Z57086">
        <v>400000</v>
      </c>
    </row>
    <row r="57087" spans="26:26" x14ac:dyDescent="0.25">
      <c r="Z57087">
        <v>400000</v>
      </c>
    </row>
    <row r="57088" spans="26:26" x14ac:dyDescent="0.25">
      <c r="Z57088">
        <v>400000</v>
      </c>
    </row>
    <row r="57089" spans="26:26" x14ac:dyDescent="0.25">
      <c r="Z57089">
        <v>400000</v>
      </c>
    </row>
    <row r="57090" spans="26:26" x14ac:dyDescent="0.25">
      <c r="Z57090">
        <v>400000</v>
      </c>
    </row>
    <row r="57091" spans="26:26" x14ac:dyDescent="0.25">
      <c r="Z57091">
        <v>400000</v>
      </c>
    </row>
    <row r="57092" spans="26:26" x14ac:dyDescent="0.25">
      <c r="Z57092">
        <v>400000</v>
      </c>
    </row>
    <row r="57093" spans="26:26" x14ac:dyDescent="0.25">
      <c r="Z57093">
        <v>400000</v>
      </c>
    </row>
    <row r="57094" spans="26:26" x14ac:dyDescent="0.25">
      <c r="Z57094">
        <v>400000</v>
      </c>
    </row>
    <row r="57095" spans="26:26" x14ac:dyDescent="0.25">
      <c r="Z57095">
        <v>400000</v>
      </c>
    </row>
    <row r="57096" spans="26:26" x14ac:dyDescent="0.25">
      <c r="Z57096">
        <v>400000</v>
      </c>
    </row>
    <row r="57097" spans="26:26" x14ac:dyDescent="0.25">
      <c r="Z57097">
        <v>400000</v>
      </c>
    </row>
    <row r="57098" spans="26:26" x14ac:dyDescent="0.25">
      <c r="Z57098">
        <v>400000</v>
      </c>
    </row>
    <row r="57099" spans="26:26" x14ac:dyDescent="0.25">
      <c r="Z57099">
        <v>400000</v>
      </c>
    </row>
    <row r="57100" spans="26:26" x14ac:dyDescent="0.25">
      <c r="Z57100">
        <v>400000</v>
      </c>
    </row>
    <row r="57101" spans="26:26" x14ac:dyDescent="0.25">
      <c r="Z57101">
        <v>400000</v>
      </c>
    </row>
    <row r="57102" spans="26:26" x14ac:dyDescent="0.25">
      <c r="Z57102">
        <v>400000</v>
      </c>
    </row>
    <row r="57103" spans="26:26" x14ac:dyDescent="0.25">
      <c r="Z57103">
        <v>400000</v>
      </c>
    </row>
    <row r="57104" spans="26:26" x14ac:dyDescent="0.25">
      <c r="Z57104">
        <v>400000</v>
      </c>
    </row>
    <row r="57105" spans="26:26" x14ac:dyDescent="0.25">
      <c r="Z57105">
        <v>400000</v>
      </c>
    </row>
    <row r="57106" spans="26:26" x14ac:dyDescent="0.25">
      <c r="Z57106">
        <v>400000</v>
      </c>
    </row>
    <row r="57107" spans="26:26" x14ac:dyDescent="0.25">
      <c r="Z57107">
        <v>400000</v>
      </c>
    </row>
    <row r="57108" spans="26:26" x14ac:dyDescent="0.25">
      <c r="Z57108">
        <v>400000</v>
      </c>
    </row>
    <row r="57109" spans="26:26" x14ac:dyDescent="0.25">
      <c r="Z57109">
        <v>400000</v>
      </c>
    </row>
    <row r="57110" spans="26:26" x14ac:dyDescent="0.25">
      <c r="Z57110">
        <v>400000</v>
      </c>
    </row>
    <row r="57111" spans="26:26" x14ac:dyDescent="0.25">
      <c r="Z57111">
        <v>400000</v>
      </c>
    </row>
    <row r="57112" spans="26:26" x14ac:dyDescent="0.25">
      <c r="Z57112">
        <v>400000</v>
      </c>
    </row>
    <row r="57113" spans="26:26" x14ac:dyDescent="0.25">
      <c r="Z57113">
        <v>400000</v>
      </c>
    </row>
    <row r="57114" spans="26:26" x14ac:dyDescent="0.25">
      <c r="Z57114">
        <v>400000</v>
      </c>
    </row>
    <row r="57115" spans="26:26" x14ac:dyDescent="0.25">
      <c r="Z57115">
        <v>400000</v>
      </c>
    </row>
    <row r="57116" spans="26:26" x14ac:dyDescent="0.25">
      <c r="Z57116">
        <v>400000</v>
      </c>
    </row>
    <row r="57117" spans="26:26" x14ac:dyDescent="0.25">
      <c r="Z57117">
        <v>400000</v>
      </c>
    </row>
    <row r="57118" spans="26:26" x14ac:dyDescent="0.25">
      <c r="Z57118">
        <v>400000</v>
      </c>
    </row>
    <row r="57119" spans="26:26" x14ac:dyDescent="0.25">
      <c r="Z57119">
        <v>400000</v>
      </c>
    </row>
    <row r="57120" spans="26:26" x14ac:dyDescent="0.25">
      <c r="Z57120">
        <v>400000</v>
      </c>
    </row>
    <row r="57121" spans="26:26" x14ac:dyDescent="0.25">
      <c r="Z57121">
        <v>400000</v>
      </c>
    </row>
    <row r="57122" spans="26:26" x14ac:dyDescent="0.25">
      <c r="Z57122">
        <v>400000</v>
      </c>
    </row>
    <row r="57123" spans="26:26" x14ac:dyDescent="0.25">
      <c r="Z57123">
        <v>400000</v>
      </c>
    </row>
    <row r="57124" spans="26:26" x14ac:dyDescent="0.25">
      <c r="Z57124">
        <v>400000</v>
      </c>
    </row>
    <row r="57125" spans="26:26" x14ac:dyDescent="0.25">
      <c r="Z57125">
        <v>400000</v>
      </c>
    </row>
    <row r="57126" spans="26:26" x14ac:dyDescent="0.25">
      <c r="Z57126">
        <v>400000</v>
      </c>
    </row>
    <row r="57127" spans="26:26" x14ac:dyDescent="0.25">
      <c r="Z57127">
        <v>400000</v>
      </c>
    </row>
    <row r="57128" spans="26:26" x14ac:dyDescent="0.25">
      <c r="Z57128">
        <v>400000</v>
      </c>
    </row>
    <row r="57129" spans="26:26" x14ac:dyDescent="0.25">
      <c r="Z57129">
        <v>400000</v>
      </c>
    </row>
    <row r="57130" spans="26:26" x14ac:dyDescent="0.25">
      <c r="Z57130">
        <v>400000</v>
      </c>
    </row>
    <row r="57131" spans="26:26" x14ac:dyDescent="0.25">
      <c r="Z57131">
        <v>400000</v>
      </c>
    </row>
    <row r="57132" spans="26:26" x14ac:dyDescent="0.25">
      <c r="Z57132">
        <v>400000</v>
      </c>
    </row>
    <row r="57133" spans="26:26" x14ac:dyDescent="0.25">
      <c r="Z57133">
        <v>400000</v>
      </c>
    </row>
    <row r="57134" spans="26:26" x14ac:dyDescent="0.25">
      <c r="Z57134">
        <v>400000</v>
      </c>
    </row>
    <row r="57135" spans="26:26" x14ac:dyDescent="0.25">
      <c r="Z57135">
        <v>400000</v>
      </c>
    </row>
    <row r="57136" spans="26:26" x14ac:dyDescent="0.25">
      <c r="Z57136">
        <v>400000</v>
      </c>
    </row>
    <row r="57137" spans="26:26" x14ac:dyDescent="0.25">
      <c r="Z57137">
        <v>400000</v>
      </c>
    </row>
    <row r="57138" spans="26:26" x14ac:dyDescent="0.25">
      <c r="Z57138">
        <v>400000</v>
      </c>
    </row>
    <row r="57139" spans="26:26" x14ac:dyDescent="0.25">
      <c r="Z57139">
        <v>400000</v>
      </c>
    </row>
    <row r="57140" spans="26:26" x14ac:dyDescent="0.25">
      <c r="Z57140">
        <v>400000</v>
      </c>
    </row>
    <row r="57141" spans="26:26" x14ac:dyDescent="0.25">
      <c r="Z57141">
        <v>400000</v>
      </c>
    </row>
    <row r="57142" spans="26:26" x14ac:dyDescent="0.25">
      <c r="Z57142">
        <v>400000</v>
      </c>
    </row>
    <row r="57143" spans="26:26" x14ac:dyDescent="0.25">
      <c r="Z57143">
        <v>400000</v>
      </c>
    </row>
    <row r="57144" spans="26:26" x14ac:dyDescent="0.25">
      <c r="Z57144">
        <v>400000</v>
      </c>
    </row>
    <row r="57145" spans="26:26" x14ac:dyDescent="0.25">
      <c r="Z57145">
        <v>400000</v>
      </c>
    </row>
    <row r="57146" spans="26:26" x14ac:dyDescent="0.25">
      <c r="Z57146">
        <v>400000</v>
      </c>
    </row>
    <row r="57147" spans="26:26" x14ac:dyDescent="0.25">
      <c r="Z57147">
        <v>400000</v>
      </c>
    </row>
    <row r="57148" spans="26:26" x14ac:dyDescent="0.25">
      <c r="Z57148">
        <v>400000</v>
      </c>
    </row>
    <row r="57149" spans="26:26" x14ac:dyDescent="0.25">
      <c r="Z57149">
        <v>400000</v>
      </c>
    </row>
    <row r="57150" spans="26:26" x14ac:dyDescent="0.25">
      <c r="Z57150">
        <v>400000</v>
      </c>
    </row>
    <row r="57151" spans="26:26" x14ac:dyDescent="0.25">
      <c r="Z57151">
        <v>400000</v>
      </c>
    </row>
    <row r="57152" spans="26:26" x14ac:dyDescent="0.25">
      <c r="Z57152">
        <v>400000</v>
      </c>
    </row>
    <row r="57153" spans="26:26" x14ac:dyDescent="0.25">
      <c r="Z57153">
        <v>400000</v>
      </c>
    </row>
    <row r="57154" spans="26:26" x14ac:dyDescent="0.25">
      <c r="Z57154">
        <v>400000</v>
      </c>
    </row>
    <row r="57155" spans="26:26" x14ac:dyDescent="0.25">
      <c r="Z57155">
        <v>400000</v>
      </c>
    </row>
    <row r="57156" spans="26:26" x14ac:dyDescent="0.25">
      <c r="Z57156">
        <v>400000</v>
      </c>
    </row>
    <row r="57157" spans="26:26" x14ac:dyDescent="0.25">
      <c r="Z57157">
        <v>400000</v>
      </c>
    </row>
    <row r="57158" spans="26:26" x14ac:dyDescent="0.25">
      <c r="Z57158">
        <v>400000</v>
      </c>
    </row>
    <row r="57159" spans="26:26" x14ac:dyDescent="0.25">
      <c r="Z57159">
        <v>400000</v>
      </c>
    </row>
    <row r="57160" spans="26:26" x14ac:dyDescent="0.25">
      <c r="Z57160">
        <v>400000</v>
      </c>
    </row>
    <row r="57161" spans="26:26" x14ac:dyDescent="0.25">
      <c r="Z57161">
        <v>400000</v>
      </c>
    </row>
    <row r="57162" spans="26:26" x14ac:dyDescent="0.25">
      <c r="Z57162">
        <v>400000</v>
      </c>
    </row>
    <row r="57163" spans="26:26" x14ac:dyDescent="0.25">
      <c r="Z57163">
        <v>400000</v>
      </c>
    </row>
    <row r="57164" spans="26:26" x14ac:dyDescent="0.25">
      <c r="Z57164">
        <v>400000</v>
      </c>
    </row>
    <row r="57165" spans="26:26" x14ac:dyDescent="0.25">
      <c r="Z57165">
        <v>400000</v>
      </c>
    </row>
    <row r="57166" spans="26:26" x14ac:dyDescent="0.25">
      <c r="Z57166">
        <v>400000</v>
      </c>
    </row>
    <row r="57167" spans="26:26" x14ac:dyDescent="0.25">
      <c r="Z57167">
        <v>400000</v>
      </c>
    </row>
    <row r="57168" spans="26:26" x14ac:dyDescent="0.25">
      <c r="Z57168">
        <v>400000</v>
      </c>
    </row>
    <row r="57169" spans="26:26" x14ac:dyDescent="0.25">
      <c r="Z57169">
        <v>400000</v>
      </c>
    </row>
    <row r="57170" spans="26:26" x14ac:dyDescent="0.25">
      <c r="Z57170">
        <v>400000</v>
      </c>
    </row>
    <row r="57171" spans="26:26" x14ac:dyDescent="0.25">
      <c r="Z57171">
        <v>400000</v>
      </c>
    </row>
    <row r="57172" spans="26:26" x14ac:dyDescent="0.25">
      <c r="Z57172">
        <v>400000</v>
      </c>
    </row>
    <row r="57173" spans="26:26" x14ac:dyDescent="0.25">
      <c r="Z57173">
        <v>400000</v>
      </c>
    </row>
    <row r="57174" spans="26:26" x14ac:dyDescent="0.25">
      <c r="Z57174">
        <v>400000</v>
      </c>
    </row>
    <row r="57175" spans="26:26" x14ac:dyDescent="0.25">
      <c r="Z57175">
        <v>400000</v>
      </c>
    </row>
    <row r="57176" spans="26:26" x14ac:dyDescent="0.25">
      <c r="Z57176">
        <v>400000</v>
      </c>
    </row>
    <row r="57177" spans="26:26" x14ac:dyDescent="0.25">
      <c r="Z57177">
        <v>400000</v>
      </c>
    </row>
    <row r="57178" spans="26:26" x14ac:dyDescent="0.25">
      <c r="Z57178">
        <v>400000</v>
      </c>
    </row>
    <row r="57179" spans="26:26" x14ac:dyDescent="0.25">
      <c r="Z57179">
        <v>400000</v>
      </c>
    </row>
    <row r="57180" spans="26:26" x14ac:dyDescent="0.25">
      <c r="Z57180">
        <v>400000</v>
      </c>
    </row>
    <row r="57181" spans="26:26" x14ac:dyDescent="0.25">
      <c r="Z57181">
        <v>400000</v>
      </c>
    </row>
    <row r="57182" spans="26:26" x14ac:dyDescent="0.25">
      <c r="Z57182">
        <v>400000</v>
      </c>
    </row>
    <row r="57183" spans="26:26" x14ac:dyDescent="0.25">
      <c r="Z57183">
        <v>400000</v>
      </c>
    </row>
    <row r="57184" spans="26:26" x14ac:dyDescent="0.25">
      <c r="Z57184">
        <v>400000</v>
      </c>
    </row>
    <row r="57185" spans="26:26" x14ac:dyDescent="0.25">
      <c r="Z57185">
        <v>400000</v>
      </c>
    </row>
    <row r="57186" spans="26:26" x14ac:dyDescent="0.25">
      <c r="Z57186">
        <v>400000</v>
      </c>
    </row>
    <row r="57187" spans="26:26" x14ac:dyDescent="0.25">
      <c r="Z57187">
        <v>400000</v>
      </c>
    </row>
    <row r="57188" spans="26:26" x14ac:dyDescent="0.25">
      <c r="Z57188">
        <v>400000</v>
      </c>
    </row>
    <row r="57189" spans="26:26" x14ac:dyDescent="0.25">
      <c r="Z57189">
        <v>400000</v>
      </c>
    </row>
    <row r="57190" spans="26:26" x14ac:dyDescent="0.25">
      <c r="Z57190">
        <v>400000</v>
      </c>
    </row>
    <row r="57191" spans="26:26" x14ac:dyDescent="0.25">
      <c r="Z57191">
        <v>400000</v>
      </c>
    </row>
    <row r="57192" spans="26:26" x14ac:dyDescent="0.25">
      <c r="Z57192">
        <v>400000</v>
      </c>
    </row>
    <row r="57193" spans="26:26" x14ac:dyDescent="0.25">
      <c r="Z57193">
        <v>400000</v>
      </c>
    </row>
    <row r="57194" spans="26:26" x14ac:dyDescent="0.25">
      <c r="Z57194">
        <v>400000</v>
      </c>
    </row>
    <row r="57195" spans="26:26" x14ac:dyDescent="0.25">
      <c r="Z57195">
        <v>400000</v>
      </c>
    </row>
    <row r="57196" spans="26:26" x14ac:dyDescent="0.25">
      <c r="Z57196">
        <v>400000</v>
      </c>
    </row>
    <row r="57197" spans="26:26" x14ac:dyDescent="0.25">
      <c r="Z57197">
        <v>400000</v>
      </c>
    </row>
    <row r="57198" spans="26:26" x14ac:dyDescent="0.25">
      <c r="Z57198">
        <v>400000</v>
      </c>
    </row>
    <row r="57199" spans="26:26" x14ac:dyDescent="0.25">
      <c r="Z57199">
        <v>400000</v>
      </c>
    </row>
    <row r="57200" spans="26:26" x14ac:dyDescent="0.25">
      <c r="Z57200">
        <v>400000</v>
      </c>
    </row>
    <row r="57201" spans="26:26" x14ac:dyDescent="0.25">
      <c r="Z57201">
        <v>400000</v>
      </c>
    </row>
    <row r="57202" spans="26:26" x14ac:dyDescent="0.25">
      <c r="Z57202">
        <v>400000</v>
      </c>
    </row>
    <row r="57203" spans="26:26" x14ac:dyDescent="0.25">
      <c r="Z57203">
        <v>400000</v>
      </c>
    </row>
    <row r="57204" spans="26:26" x14ac:dyDescent="0.25">
      <c r="Z57204">
        <v>400000</v>
      </c>
    </row>
    <row r="57205" spans="26:26" x14ac:dyDescent="0.25">
      <c r="Z57205">
        <v>400000</v>
      </c>
    </row>
    <row r="57206" spans="26:26" x14ac:dyDescent="0.25">
      <c r="Z57206">
        <v>400000</v>
      </c>
    </row>
    <row r="57207" spans="26:26" x14ac:dyDescent="0.25">
      <c r="Z57207">
        <v>400000</v>
      </c>
    </row>
    <row r="57208" spans="26:26" x14ac:dyDescent="0.25">
      <c r="Z57208">
        <v>400000</v>
      </c>
    </row>
    <row r="57209" spans="26:26" x14ac:dyDescent="0.25">
      <c r="Z57209">
        <v>400000</v>
      </c>
    </row>
    <row r="57210" spans="26:26" x14ac:dyDescent="0.25">
      <c r="Z57210">
        <v>400000</v>
      </c>
    </row>
    <row r="57211" spans="26:26" x14ac:dyDescent="0.25">
      <c r="Z57211">
        <v>400000</v>
      </c>
    </row>
    <row r="57212" spans="26:26" x14ac:dyDescent="0.25">
      <c r="Z57212">
        <v>400000</v>
      </c>
    </row>
    <row r="57213" spans="26:26" x14ac:dyDescent="0.25">
      <c r="Z57213">
        <v>400000</v>
      </c>
    </row>
    <row r="57214" spans="26:26" x14ac:dyDescent="0.25">
      <c r="Z57214">
        <v>400000</v>
      </c>
    </row>
    <row r="57215" spans="26:26" x14ac:dyDescent="0.25">
      <c r="Z57215">
        <v>400000</v>
      </c>
    </row>
    <row r="57216" spans="26:26" x14ac:dyDescent="0.25">
      <c r="Z57216">
        <v>400000</v>
      </c>
    </row>
    <row r="57217" spans="26:26" x14ac:dyDescent="0.25">
      <c r="Z57217">
        <v>400000</v>
      </c>
    </row>
    <row r="57218" spans="26:26" x14ac:dyDescent="0.25">
      <c r="Z57218">
        <v>400000</v>
      </c>
    </row>
    <row r="57219" spans="26:26" x14ac:dyDescent="0.25">
      <c r="Z57219">
        <v>400000</v>
      </c>
    </row>
    <row r="57220" spans="26:26" x14ac:dyDescent="0.25">
      <c r="Z57220">
        <v>400000</v>
      </c>
    </row>
    <row r="57221" spans="26:26" x14ac:dyDescent="0.25">
      <c r="Z57221">
        <v>400000</v>
      </c>
    </row>
    <row r="57222" spans="26:26" x14ac:dyDescent="0.25">
      <c r="Z57222">
        <v>400000</v>
      </c>
    </row>
    <row r="57223" spans="26:26" x14ac:dyDescent="0.25">
      <c r="Z57223">
        <v>400000</v>
      </c>
    </row>
    <row r="57224" spans="26:26" x14ac:dyDescent="0.25">
      <c r="Z57224">
        <v>400000</v>
      </c>
    </row>
    <row r="57225" spans="26:26" x14ac:dyDescent="0.25">
      <c r="Z57225">
        <v>400000</v>
      </c>
    </row>
    <row r="57226" spans="26:26" x14ac:dyDescent="0.25">
      <c r="Z57226">
        <v>400000</v>
      </c>
    </row>
    <row r="57227" spans="26:26" x14ac:dyDescent="0.25">
      <c r="Z57227">
        <v>400000</v>
      </c>
    </row>
    <row r="57228" spans="26:26" x14ac:dyDescent="0.25">
      <c r="Z57228">
        <v>400000</v>
      </c>
    </row>
    <row r="57229" spans="26:26" x14ac:dyDescent="0.25">
      <c r="Z57229">
        <v>400000</v>
      </c>
    </row>
    <row r="57230" spans="26:26" x14ac:dyDescent="0.25">
      <c r="Z57230">
        <v>400000</v>
      </c>
    </row>
    <row r="57231" spans="26:26" x14ac:dyDescent="0.25">
      <c r="Z57231">
        <v>400000</v>
      </c>
    </row>
    <row r="57232" spans="26:26" x14ac:dyDescent="0.25">
      <c r="Z57232">
        <v>400000</v>
      </c>
    </row>
    <row r="57233" spans="26:26" x14ac:dyDescent="0.25">
      <c r="Z57233">
        <v>400000</v>
      </c>
    </row>
    <row r="57234" spans="26:26" x14ac:dyDescent="0.25">
      <c r="Z57234">
        <v>400000</v>
      </c>
    </row>
    <row r="57235" spans="26:26" x14ac:dyDescent="0.25">
      <c r="Z57235">
        <v>400000</v>
      </c>
    </row>
    <row r="57236" spans="26:26" x14ac:dyDescent="0.25">
      <c r="Z57236">
        <v>400000</v>
      </c>
    </row>
    <row r="57237" spans="26:26" x14ac:dyDescent="0.25">
      <c r="Z57237">
        <v>400000</v>
      </c>
    </row>
    <row r="57238" spans="26:26" x14ac:dyDescent="0.25">
      <c r="Z57238">
        <v>400000</v>
      </c>
    </row>
    <row r="57239" spans="26:26" x14ac:dyDescent="0.25">
      <c r="Z57239">
        <v>400000</v>
      </c>
    </row>
    <row r="57240" spans="26:26" x14ac:dyDescent="0.25">
      <c r="Z57240">
        <v>400000</v>
      </c>
    </row>
    <row r="57241" spans="26:26" x14ac:dyDescent="0.25">
      <c r="Z57241">
        <v>400000</v>
      </c>
    </row>
    <row r="57242" spans="26:26" x14ac:dyDescent="0.25">
      <c r="Z57242">
        <v>400000</v>
      </c>
    </row>
    <row r="57243" spans="26:26" x14ac:dyDescent="0.25">
      <c r="Z57243">
        <v>400000</v>
      </c>
    </row>
    <row r="57244" spans="26:26" x14ac:dyDescent="0.25">
      <c r="Z57244">
        <v>400000</v>
      </c>
    </row>
    <row r="57245" spans="26:26" x14ac:dyDescent="0.25">
      <c r="Z57245">
        <v>400000</v>
      </c>
    </row>
    <row r="57246" spans="26:26" x14ac:dyDescent="0.25">
      <c r="Z57246">
        <v>400000</v>
      </c>
    </row>
    <row r="57247" spans="26:26" x14ac:dyDescent="0.25">
      <c r="Z57247">
        <v>400000</v>
      </c>
    </row>
    <row r="57248" spans="26:26" x14ac:dyDescent="0.25">
      <c r="Z57248">
        <v>400000</v>
      </c>
    </row>
    <row r="57249" spans="26:26" x14ac:dyDescent="0.25">
      <c r="Z57249">
        <v>400000</v>
      </c>
    </row>
    <row r="57250" spans="26:26" x14ac:dyDescent="0.25">
      <c r="Z57250">
        <v>400000</v>
      </c>
    </row>
    <row r="57251" spans="26:26" x14ac:dyDescent="0.25">
      <c r="Z57251">
        <v>400000</v>
      </c>
    </row>
    <row r="57252" spans="26:26" x14ac:dyDescent="0.25">
      <c r="Z57252">
        <v>400000</v>
      </c>
    </row>
    <row r="57253" spans="26:26" x14ac:dyDescent="0.25">
      <c r="Z57253">
        <v>400000</v>
      </c>
    </row>
    <row r="57254" spans="26:26" x14ac:dyDescent="0.25">
      <c r="Z57254">
        <v>400000</v>
      </c>
    </row>
    <row r="57255" spans="26:26" x14ac:dyDescent="0.25">
      <c r="Z57255">
        <v>400000</v>
      </c>
    </row>
    <row r="57256" spans="26:26" x14ac:dyDescent="0.25">
      <c r="Z57256">
        <v>400000</v>
      </c>
    </row>
    <row r="57257" spans="26:26" x14ac:dyDescent="0.25">
      <c r="Z57257">
        <v>400000</v>
      </c>
    </row>
    <row r="57258" spans="26:26" x14ac:dyDescent="0.25">
      <c r="Z57258">
        <v>400000</v>
      </c>
    </row>
    <row r="57259" spans="26:26" x14ac:dyDescent="0.25">
      <c r="Z57259">
        <v>400000</v>
      </c>
    </row>
    <row r="57260" spans="26:26" x14ac:dyDescent="0.25">
      <c r="Z57260">
        <v>400000</v>
      </c>
    </row>
    <row r="57261" spans="26:26" x14ac:dyDescent="0.25">
      <c r="Z57261">
        <v>400000</v>
      </c>
    </row>
    <row r="57262" spans="26:26" x14ac:dyDescent="0.25">
      <c r="Z57262">
        <v>400000</v>
      </c>
    </row>
    <row r="57263" spans="26:26" x14ac:dyDescent="0.25">
      <c r="Z57263">
        <v>400000</v>
      </c>
    </row>
    <row r="57264" spans="26:26" x14ac:dyDescent="0.25">
      <c r="Z57264">
        <v>400000</v>
      </c>
    </row>
    <row r="57265" spans="26:26" x14ac:dyDescent="0.25">
      <c r="Z57265">
        <v>400000</v>
      </c>
    </row>
    <row r="57266" spans="26:26" x14ac:dyDescent="0.25">
      <c r="Z57266">
        <v>400000</v>
      </c>
    </row>
    <row r="57267" spans="26:26" x14ac:dyDescent="0.25">
      <c r="Z57267">
        <v>400000</v>
      </c>
    </row>
    <row r="57268" spans="26:26" x14ac:dyDescent="0.25">
      <c r="Z57268">
        <v>400000</v>
      </c>
    </row>
    <row r="57269" spans="26:26" x14ac:dyDescent="0.25">
      <c r="Z57269">
        <v>400000</v>
      </c>
    </row>
    <row r="57270" spans="26:26" x14ac:dyDescent="0.25">
      <c r="Z57270">
        <v>400000</v>
      </c>
    </row>
  </sheetData>
  <pageMargins left="0.7" right="0.7" top="0.75" bottom="0.75" header="0.3" footer="0.3"/>
  <pageSetup scale="70" fitToWidth="0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471"/>
  <sheetViews>
    <sheetView topLeftCell="N1" workbookViewId="0">
      <selection activeCell="Z1" sqref="Z1"/>
    </sheetView>
  </sheetViews>
  <sheetFormatPr defaultRowHeight="15" x14ac:dyDescent="0.25"/>
  <cols>
    <col min="1" max="1" width="3.7109375" customWidth="1"/>
    <col min="2" max="2" width="14.85546875" customWidth="1"/>
    <col min="4" max="4" width="12.42578125" customWidth="1"/>
    <col min="5" max="5" width="12.5703125" customWidth="1"/>
    <col min="6" max="6" width="13.28515625" bestFit="1" customWidth="1"/>
    <col min="7" max="7" width="10.5703125" customWidth="1"/>
    <col min="8" max="8" width="15.7109375" customWidth="1"/>
    <col min="11" max="11" width="11.5703125" bestFit="1" customWidth="1"/>
    <col min="12" max="12" width="13.28515625" bestFit="1" customWidth="1"/>
    <col min="13" max="15" width="11.5703125" bestFit="1" customWidth="1"/>
    <col min="19" max="19" width="10.5703125" bestFit="1" customWidth="1"/>
  </cols>
  <sheetData>
    <row r="1" spans="1:29" x14ac:dyDescent="0.25">
      <c r="A1" s="1"/>
      <c r="W1" s="73" t="s">
        <v>23</v>
      </c>
      <c r="X1" s="73">
        <v>96000</v>
      </c>
      <c r="Y1" s="73" t="s">
        <v>24</v>
      </c>
      <c r="Z1" s="73">
        <v>400</v>
      </c>
      <c r="AA1" s="80">
        <v>33.333333333333336</v>
      </c>
      <c r="AB1" s="73" t="s">
        <v>4</v>
      </c>
      <c r="AC1" s="73">
        <v>0.03</v>
      </c>
    </row>
    <row r="2" spans="1:29" ht="15.75" thickBot="1" x14ac:dyDescent="0.3">
      <c r="K2" s="2" t="s">
        <v>0</v>
      </c>
      <c r="L2" s="3" t="s">
        <v>1</v>
      </c>
      <c r="M2" s="3" t="s">
        <v>2</v>
      </c>
      <c r="N2" s="3" t="s">
        <v>3</v>
      </c>
      <c r="O2" s="3" t="s">
        <v>4</v>
      </c>
      <c r="P2" s="3" t="s">
        <v>5</v>
      </c>
      <c r="Q2" s="3" t="s">
        <v>6</v>
      </c>
      <c r="R2" s="3" t="s">
        <v>7</v>
      </c>
      <c r="U2" s="81">
        <f>3/12</f>
        <v>0.25</v>
      </c>
      <c r="W2" s="76" t="s">
        <v>2</v>
      </c>
      <c r="X2" s="76">
        <v>380</v>
      </c>
      <c r="Y2" s="76"/>
      <c r="Z2" s="76"/>
      <c r="AA2" s="76"/>
      <c r="AB2" s="76"/>
      <c r="AC2" s="79">
        <f>AC1</f>
        <v>0.03</v>
      </c>
    </row>
    <row r="3" spans="1:29" ht="16.5" thickTop="1" thickBot="1" x14ac:dyDescent="0.3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5" t="s">
        <v>14</v>
      </c>
      <c r="I3" s="4" t="s">
        <v>15</v>
      </c>
      <c r="K3" s="6">
        <f>450*(1-(1+0.0029167)^-336)/0.0029167</f>
        <v>96297.465879786789</v>
      </c>
      <c r="L3" s="7">
        <f>0.035/12</f>
        <v>2.9166666666666668E-3</v>
      </c>
      <c r="M3" s="8">
        <v>450</v>
      </c>
      <c r="N3" s="8">
        <f>H340</f>
        <v>150750</v>
      </c>
      <c r="O3" s="9">
        <f>N3-K3</f>
        <v>54452.534120213211</v>
      </c>
      <c r="P3" s="10">
        <f>O3/K3</f>
        <v>0.56546175564151591</v>
      </c>
      <c r="Q3" s="11" t="s">
        <v>16</v>
      </c>
      <c r="R3" s="9">
        <f>K3/1600</f>
        <v>60.18591617486674</v>
      </c>
      <c r="S3" s="41">
        <f>60*1600</f>
        <v>96000</v>
      </c>
      <c r="AA3">
        <v>379.0523690773</v>
      </c>
      <c r="AC3" s="82"/>
    </row>
    <row r="4" spans="1:29" ht="16.5" thickTop="1" thickBot="1" x14ac:dyDescent="0.3">
      <c r="B4" s="13"/>
      <c r="C4" s="13"/>
      <c r="D4" s="13"/>
      <c r="E4" s="13"/>
      <c r="F4" s="13"/>
      <c r="G4" s="13"/>
      <c r="H4" s="13"/>
      <c r="K4" s="14">
        <f>5400*(1-(1+0.035)^-28)/0.035</f>
        <v>95401.901767250369</v>
      </c>
      <c r="L4" s="15">
        <v>3.5000000000000003E-2</v>
      </c>
      <c r="M4" s="16">
        <f>450*12</f>
        <v>5400</v>
      </c>
      <c r="N4" s="17">
        <f>F33</f>
        <v>151200</v>
      </c>
      <c r="O4" s="17">
        <f>N4-K4</f>
        <v>55798.098232749631</v>
      </c>
      <c r="P4" s="18">
        <f>O4/K4</f>
        <v>0.5848740664402986</v>
      </c>
      <c r="Q4" s="15" t="s">
        <v>17</v>
      </c>
      <c r="R4" s="19">
        <f>K4/1600</f>
        <v>59.626188604531478</v>
      </c>
      <c r="AA4">
        <v>757.15947040129186</v>
      </c>
    </row>
    <row r="5" spans="1:29" ht="15.75" thickTop="1" x14ac:dyDescent="0.25">
      <c r="B5" s="20">
        <v>96000</v>
      </c>
      <c r="C5" s="21">
        <v>3.5000000000000003E-2</v>
      </c>
      <c r="D5" s="22">
        <f t="shared" ref="D5:D69" si="0">B5*(0.035/12)</f>
        <v>280</v>
      </c>
      <c r="E5" s="22">
        <f>B5+D5</f>
        <v>96280</v>
      </c>
      <c r="F5" s="20">
        <f>H5*12</f>
        <v>5400</v>
      </c>
      <c r="G5" s="22">
        <f>E5-H5</f>
        <v>95830</v>
      </c>
      <c r="H5" s="22">
        <v>450</v>
      </c>
      <c r="I5" s="23">
        <v>1</v>
      </c>
      <c r="AA5">
        <v>1134.3236612481523</v>
      </c>
    </row>
    <row r="6" spans="1:29" x14ac:dyDescent="0.25">
      <c r="B6" s="22">
        <f>G5</f>
        <v>95830</v>
      </c>
      <c r="C6" s="21">
        <v>3.5000000000000003E-2</v>
      </c>
      <c r="D6" s="22">
        <f t="shared" si="0"/>
        <v>279.50416666666666</v>
      </c>
      <c r="E6" s="22">
        <f>B6+D6</f>
        <v>96109.504166666666</v>
      </c>
      <c r="F6" s="20">
        <f t="shared" ref="F6:F32" si="1">H6*12</f>
        <v>5400</v>
      </c>
      <c r="G6" s="22">
        <f t="shared" ref="G6:G69" si="2">E6-H6</f>
        <v>95659.504166666666</v>
      </c>
      <c r="H6" s="22">
        <v>450</v>
      </c>
      <c r="I6" s="23">
        <v>2</v>
      </c>
      <c r="AA6">
        <v>1510.5472930156179</v>
      </c>
    </row>
    <row r="7" spans="1:29" x14ac:dyDescent="0.25">
      <c r="B7" s="22">
        <f>G6</f>
        <v>95659.504166666666</v>
      </c>
      <c r="C7" s="21">
        <v>3.5000000000000003E-2</v>
      </c>
      <c r="D7" s="22">
        <f t="shared" si="0"/>
        <v>279.00688715277778</v>
      </c>
      <c r="E7" s="22">
        <f t="shared" ref="E7:E70" si="3">B7+D7</f>
        <v>95938.511053819442</v>
      </c>
      <c r="F7" s="20">
        <f t="shared" si="1"/>
        <v>5400</v>
      </c>
      <c r="G7" s="22">
        <f t="shared" si="2"/>
        <v>95488.511053819442</v>
      </c>
      <c r="H7" s="22">
        <v>450</v>
      </c>
      <c r="I7" s="23">
        <v>3</v>
      </c>
      <c r="AA7">
        <v>1885.8327112375127</v>
      </c>
    </row>
    <row r="8" spans="1:29" x14ac:dyDescent="0.25">
      <c r="B8" s="22">
        <f t="shared" ref="B8:B27" si="4">G7</f>
        <v>95488.511053819442</v>
      </c>
      <c r="C8" s="21">
        <v>3.5000000000000003E-2</v>
      </c>
      <c r="D8" s="22">
        <f t="shared" si="0"/>
        <v>278.50815724030673</v>
      </c>
      <c r="E8" s="22">
        <f t="shared" si="3"/>
        <v>95767.019211059742</v>
      </c>
      <c r="F8" s="20">
        <f t="shared" si="1"/>
        <v>5400</v>
      </c>
      <c r="G8" s="22">
        <f t="shared" si="2"/>
        <v>95317.019211059742</v>
      </c>
      <c r="H8" s="22">
        <v>450</v>
      </c>
      <c r="I8" s="23">
        <v>4</v>
      </c>
      <c r="AA8">
        <v>2260.1822555985009</v>
      </c>
    </row>
    <row r="9" spans="1:29" x14ac:dyDescent="0.25">
      <c r="B9" s="22">
        <f t="shared" si="4"/>
        <v>95317.019211059742</v>
      </c>
      <c r="C9" s="21">
        <v>3.5000000000000003E-2</v>
      </c>
      <c r="D9" s="22">
        <f t="shared" si="0"/>
        <v>278.00797269892428</v>
      </c>
      <c r="E9" s="22">
        <f t="shared" si="3"/>
        <v>95595.027183758662</v>
      </c>
      <c r="F9" s="20">
        <f t="shared" si="1"/>
        <v>5400</v>
      </c>
      <c r="G9" s="22">
        <f t="shared" si="2"/>
        <v>95145.027183758662</v>
      </c>
      <c r="H9" s="22">
        <v>450</v>
      </c>
      <c r="I9" s="23">
        <v>5</v>
      </c>
      <c r="AA9">
        <v>2633.5982599486288</v>
      </c>
    </row>
    <row r="10" spans="1:29" x14ac:dyDescent="0.25">
      <c r="B10" s="22">
        <f t="shared" si="4"/>
        <v>95145.027183758662</v>
      </c>
      <c r="C10" s="21">
        <v>3.5000000000000003E-2</v>
      </c>
      <c r="D10" s="22">
        <f t="shared" si="0"/>
        <v>277.50632928596281</v>
      </c>
      <c r="E10" s="22">
        <f t="shared" si="3"/>
        <v>95422.533513044618</v>
      </c>
      <c r="F10" s="20">
        <f t="shared" si="1"/>
        <v>5400</v>
      </c>
      <c r="G10" s="22">
        <f t="shared" si="2"/>
        <v>94972.533513044618</v>
      </c>
      <c r="H10" s="22">
        <v>450</v>
      </c>
      <c r="I10" s="23">
        <v>6</v>
      </c>
      <c r="AA10">
        <v>3006.0830523178251</v>
      </c>
    </row>
    <row r="11" spans="1:29" x14ac:dyDescent="0.25">
      <c r="B11" s="22">
        <f t="shared" si="4"/>
        <v>94972.533513044618</v>
      </c>
      <c r="C11" s="21">
        <v>3.5000000000000003E-2</v>
      </c>
      <c r="D11" s="22">
        <f t="shared" si="0"/>
        <v>277.00322274638017</v>
      </c>
      <c r="E11" s="22">
        <f t="shared" si="3"/>
        <v>95249.536735791</v>
      </c>
      <c r="F11" s="20">
        <f t="shared" si="1"/>
        <v>5400</v>
      </c>
      <c r="G11" s="22">
        <f t="shared" si="2"/>
        <v>94799.536735791</v>
      </c>
      <c r="H11" s="22">
        <v>450</v>
      </c>
      <c r="I11" s="23">
        <v>7</v>
      </c>
      <c r="AA11">
        <v>3377.6389549304949</v>
      </c>
    </row>
    <row r="12" spans="1:29" x14ac:dyDescent="0.25">
      <c r="B12" s="22">
        <f t="shared" si="4"/>
        <v>94799.536735791</v>
      </c>
      <c r="C12" s="21">
        <v>3.5000000000000003E-2</v>
      </c>
      <c r="D12" s="22">
        <f t="shared" si="0"/>
        <v>276.49864881272379</v>
      </c>
      <c r="E12" s="22">
        <f t="shared" si="3"/>
        <v>95076.035384603718</v>
      </c>
      <c r="F12" s="20">
        <f t="shared" si="1"/>
        <v>5400</v>
      </c>
      <c r="G12" s="22">
        <f t="shared" si="2"/>
        <v>94626.035384603718</v>
      </c>
      <c r="H12" s="22">
        <v>450</v>
      </c>
      <c r="I12" s="23">
        <v>8</v>
      </c>
      <c r="AA12">
        <v>3748.2682842199329</v>
      </c>
    </row>
    <row r="13" spans="1:29" x14ac:dyDescent="0.25">
      <c r="B13" s="22">
        <f t="shared" si="4"/>
        <v>94626.035384603718</v>
      </c>
      <c r="C13" s="21">
        <v>3.5000000000000003E-2</v>
      </c>
      <c r="D13" s="22">
        <f t="shared" si="0"/>
        <v>275.99260320509421</v>
      </c>
      <c r="E13" s="22">
        <f t="shared" si="3"/>
        <v>94902.027987808819</v>
      </c>
      <c r="F13" s="20">
        <f t="shared" si="1"/>
        <v>5400</v>
      </c>
      <c r="G13" s="22">
        <f t="shared" si="2"/>
        <v>94452.027987808819</v>
      </c>
      <c r="H13" s="22">
        <v>450</v>
      </c>
      <c r="I13" s="23">
        <v>9</v>
      </c>
      <c r="AA13">
        <v>4117.9733508428208</v>
      </c>
    </row>
    <row r="14" spans="1:29" x14ac:dyDescent="0.25">
      <c r="B14" s="22">
        <f t="shared" si="4"/>
        <v>94452.027987808819</v>
      </c>
      <c r="C14" s="21">
        <v>3.5000000000000003E-2</v>
      </c>
      <c r="D14" s="22">
        <f t="shared" si="0"/>
        <v>275.48508163110904</v>
      </c>
      <c r="E14" s="22">
        <f t="shared" si="3"/>
        <v>94727.513069439927</v>
      </c>
      <c r="F14" s="20">
        <f t="shared" si="1"/>
        <v>5400</v>
      </c>
      <c r="G14" s="22">
        <f t="shared" si="2"/>
        <v>94277.513069439927</v>
      </c>
      <c r="H14" s="22">
        <v>450</v>
      </c>
      <c r="I14" s="23">
        <v>10</v>
      </c>
      <c r="AA14">
        <v>4486.7564596935836</v>
      </c>
    </row>
    <row r="15" spans="1:29" x14ac:dyDescent="0.25">
      <c r="B15" s="22">
        <f t="shared" si="4"/>
        <v>94277.513069439927</v>
      </c>
      <c r="C15" s="21">
        <v>3.5000000000000003E-2</v>
      </c>
      <c r="D15" s="22">
        <f t="shared" si="0"/>
        <v>274.97607978586649</v>
      </c>
      <c r="E15" s="22">
        <f t="shared" si="3"/>
        <v>94552.489149225788</v>
      </c>
      <c r="F15" s="20">
        <f t="shared" si="1"/>
        <v>5400</v>
      </c>
      <c r="G15" s="22">
        <f t="shared" si="2"/>
        <v>94102.489149225788</v>
      </c>
      <c r="H15" s="22">
        <v>450</v>
      </c>
      <c r="I15" s="23">
        <v>11</v>
      </c>
      <c r="AA15">
        <v>4854.6199099187716</v>
      </c>
    </row>
    <row r="16" spans="1:29" x14ac:dyDescent="0.25">
      <c r="B16" s="22">
        <f t="shared" si="4"/>
        <v>94102.489149225788</v>
      </c>
      <c r="C16" s="21">
        <v>3.5000000000000003E-2</v>
      </c>
      <c r="D16" s="22">
        <f t="shared" si="0"/>
        <v>274.46559335190858</v>
      </c>
      <c r="E16" s="22">
        <f t="shared" si="3"/>
        <v>94376.954742577698</v>
      </c>
      <c r="F16" s="20">
        <f t="shared" si="1"/>
        <v>5400</v>
      </c>
      <c r="G16" s="22">
        <f t="shared" si="2"/>
        <v>93926.954742577698</v>
      </c>
      <c r="H16" s="22">
        <v>450</v>
      </c>
      <c r="I16" s="23">
        <v>12</v>
      </c>
      <c r="AA16">
        <v>5221.5659949314386</v>
      </c>
    </row>
    <row r="17" spans="2:27" x14ac:dyDescent="0.25">
      <c r="B17" s="22">
        <f t="shared" si="4"/>
        <v>93926.954742577698</v>
      </c>
      <c r="C17" s="21">
        <v>3.5000000000000003E-2</v>
      </c>
      <c r="D17" s="22">
        <f t="shared" si="0"/>
        <v>273.95361799918498</v>
      </c>
      <c r="E17" s="22">
        <f t="shared" si="3"/>
        <v>94200.908360576883</v>
      </c>
      <c r="F17" s="20">
        <f t="shared" si="1"/>
        <v>5400</v>
      </c>
      <c r="G17" s="22">
        <f t="shared" si="2"/>
        <v>93750.908360576883</v>
      </c>
      <c r="H17" s="22">
        <v>450</v>
      </c>
      <c r="I17" s="23">
        <v>13</v>
      </c>
      <c r="AA17">
        <v>5587.5970024253629</v>
      </c>
    </row>
    <row r="18" spans="2:27" x14ac:dyDescent="0.25">
      <c r="B18" s="22">
        <f t="shared" si="4"/>
        <v>93750.908360576883</v>
      </c>
      <c r="C18" s="21">
        <v>3.5000000000000003E-2</v>
      </c>
      <c r="D18" s="22">
        <f t="shared" si="0"/>
        <v>273.4401493850159</v>
      </c>
      <c r="E18" s="22">
        <f t="shared" si="3"/>
        <v>94024.348509961899</v>
      </c>
      <c r="F18" s="20">
        <f t="shared" si="1"/>
        <v>5400</v>
      </c>
      <c r="G18" s="22">
        <f t="shared" si="2"/>
        <v>93574.348509961899</v>
      </c>
      <c r="H18" s="22">
        <v>450</v>
      </c>
      <c r="I18" s="23">
        <v>14</v>
      </c>
      <c r="AA18">
        <v>5952.7152143893818</v>
      </c>
    </row>
    <row r="19" spans="2:27" x14ac:dyDescent="0.25">
      <c r="B19" s="24">
        <f t="shared" si="4"/>
        <v>93574.348509961899</v>
      </c>
      <c r="C19" s="21">
        <v>3.5000000000000003E-2</v>
      </c>
      <c r="D19" s="22">
        <f t="shared" si="0"/>
        <v>272.92518315405556</v>
      </c>
      <c r="E19" s="24">
        <f t="shared" si="3"/>
        <v>93847.27369311596</v>
      </c>
      <c r="F19" s="20">
        <f t="shared" si="1"/>
        <v>5400</v>
      </c>
      <c r="G19" s="22">
        <f t="shared" si="2"/>
        <v>93397.27369311596</v>
      </c>
      <c r="H19" s="22">
        <v>450</v>
      </c>
      <c r="I19" s="25">
        <v>15</v>
      </c>
      <c r="AA19">
        <v>6316.9229071215768</v>
      </c>
    </row>
    <row r="20" spans="2:27" x14ac:dyDescent="0.25">
      <c r="B20" s="22">
        <f t="shared" si="4"/>
        <v>93397.27369311596</v>
      </c>
      <c r="C20" s="21">
        <v>3.5000000000000003E-2</v>
      </c>
      <c r="D20" s="22">
        <f t="shared" si="0"/>
        <v>272.40871493825489</v>
      </c>
      <c r="E20" s="22">
        <f t="shared" si="3"/>
        <v>93669.682408054214</v>
      </c>
      <c r="F20" s="20">
        <f t="shared" si="1"/>
        <v>5400</v>
      </c>
      <c r="G20" s="22">
        <f t="shared" si="2"/>
        <v>93219.682408054214</v>
      </c>
      <c r="H20" s="22">
        <v>450</v>
      </c>
      <c r="I20" s="23">
        <v>16</v>
      </c>
      <c r="AA20">
        <v>6680.2223512434521</v>
      </c>
    </row>
    <row r="21" spans="2:27" x14ac:dyDescent="0.25">
      <c r="B21" s="22">
        <f t="shared" si="4"/>
        <v>93219.682408054214</v>
      </c>
      <c r="C21" s="21">
        <v>3.5000000000000003E-2</v>
      </c>
      <c r="D21" s="22">
        <f t="shared" si="0"/>
        <v>271.89074035682478</v>
      </c>
      <c r="E21" s="22">
        <f t="shared" si="3"/>
        <v>93491.573148411044</v>
      </c>
      <c r="F21" s="20">
        <f t="shared" si="1"/>
        <v>5400</v>
      </c>
      <c r="G21" s="22">
        <f t="shared" si="2"/>
        <v>93041.573148411044</v>
      </c>
      <c r="H21" s="22">
        <v>450</v>
      </c>
      <c r="I21" s="23">
        <v>17</v>
      </c>
      <c r="AA21">
        <v>7042.6158117141622</v>
      </c>
    </row>
    <row r="22" spans="2:27" x14ac:dyDescent="0.25">
      <c r="B22" s="22">
        <f t="shared" si="4"/>
        <v>93041.573148411044</v>
      </c>
      <c r="C22" s="21">
        <v>3.5000000000000003E-2</v>
      </c>
      <c r="D22" s="22">
        <f t="shared" si="0"/>
        <v>271.37125501619892</v>
      </c>
      <c r="E22" s="22">
        <f t="shared" si="3"/>
        <v>93312.944403427246</v>
      </c>
      <c r="F22" s="20">
        <f t="shared" si="1"/>
        <v>5400</v>
      </c>
      <c r="G22" s="22">
        <f t="shared" si="2"/>
        <v>92862.944403427246</v>
      </c>
      <c r="H22" s="22">
        <v>450</v>
      </c>
      <c r="I22" s="23">
        <v>18</v>
      </c>
      <c r="J22" t="s">
        <v>18</v>
      </c>
      <c r="K22">
        <f>(1+5%)^1</f>
        <v>1.05</v>
      </c>
      <c r="M22" s="26">
        <f>B5*K22-F5</f>
        <v>95400</v>
      </c>
      <c r="O22">
        <f>337/12</f>
        <v>28.083333333333332</v>
      </c>
      <c r="AA22">
        <v>7404.1055478445342</v>
      </c>
    </row>
    <row r="23" spans="2:27" x14ac:dyDescent="0.25">
      <c r="B23" s="22">
        <f t="shared" si="4"/>
        <v>92862.944403427246</v>
      </c>
      <c r="C23" s="21">
        <v>3.5000000000000003E-2</v>
      </c>
      <c r="D23" s="22">
        <f t="shared" si="0"/>
        <v>270.85025450999615</v>
      </c>
      <c r="E23" s="22">
        <f t="shared" si="3"/>
        <v>93133.794657937236</v>
      </c>
      <c r="F23" s="20">
        <f t="shared" si="1"/>
        <v>5400</v>
      </c>
      <c r="G23" s="22">
        <f t="shared" si="2"/>
        <v>92683.794657937236</v>
      </c>
      <c r="H23" s="22">
        <v>450</v>
      </c>
      <c r="I23" s="23">
        <v>19</v>
      </c>
      <c r="K23">
        <f>(1+5%)^2</f>
        <v>1.1025</v>
      </c>
      <c r="M23" s="26">
        <f>B6*K23-F6</f>
        <v>100252.575</v>
      </c>
      <c r="AA23">
        <v>7764.6938133112544</v>
      </c>
    </row>
    <row r="24" spans="2:27" x14ac:dyDescent="0.25">
      <c r="B24" s="22">
        <f t="shared" si="4"/>
        <v>92683.794657937236</v>
      </c>
      <c r="C24" s="21">
        <v>3.5000000000000003E-2</v>
      </c>
      <c r="D24" s="22">
        <f t="shared" si="0"/>
        <v>270.3277344189836</v>
      </c>
      <c r="E24" s="22">
        <f t="shared" si="3"/>
        <v>92954.122392356221</v>
      </c>
      <c r="F24" s="20">
        <f t="shared" si="1"/>
        <v>5400</v>
      </c>
      <c r="G24" s="22">
        <f t="shared" si="2"/>
        <v>92504.122392356221</v>
      </c>
      <c r="H24" s="22">
        <v>450</v>
      </c>
      <c r="I24" s="23">
        <v>20</v>
      </c>
      <c r="K24" s="12">
        <f>4800*((1-(1+0.05)^(-15))/5%)*(1+0.05)-75000</f>
        <v>-22686.523487569808</v>
      </c>
      <c r="M24" s="26">
        <f>SUM(F5:F19)</f>
        <v>81000</v>
      </c>
      <c r="O24" s="26">
        <f>75000-D5</f>
        <v>74720</v>
      </c>
      <c r="AA24">
        <v>8124.3828561708169</v>
      </c>
    </row>
    <row r="25" spans="2:27" x14ac:dyDescent="0.25">
      <c r="B25" s="22">
        <f t="shared" si="4"/>
        <v>92504.122392356221</v>
      </c>
      <c r="C25" s="21">
        <v>3.5000000000000003E-2</v>
      </c>
      <c r="D25" s="22">
        <f t="shared" si="0"/>
        <v>269.80369031103896</v>
      </c>
      <c r="E25" s="22">
        <f t="shared" si="3"/>
        <v>92773.926082667254</v>
      </c>
      <c r="F25" s="20">
        <f t="shared" si="1"/>
        <v>5400</v>
      </c>
      <c r="G25" s="22">
        <f t="shared" si="2"/>
        <v>92323.926082667254</v>
      </c>
      <c r="H25" s="22">
        <v>450</v>
      </c>
      <c r="I25" s="23">
        <v>21</v>
      </c>
      <c r="AA25">
        <v>8483.1749188736285</v>
      </c>
    </row>
    <row r="26" spans="2:27" x14ac:dyDescent="0.25">
      <c r="B26" s="22">
        <f t="shared" si="4"/>
        <v>92323.926082667254</v>
      </c>
      <c r="C26" s="21">
        <v>3.5000000000000003E-2</v>
      </c>
      <c r="D26" s="22">
        <f t="shared" si="0"/>
        <v>269.27811774111285</v>
      </c>
      <c r="E26" s="22">
        <f t="shared" si="3"/>
        <v>92593.204200408363</v>
      </c>
      <c r="F26" s="20">
        <f t="shared" si="1"/>
        <v>5400</v>
      </c>
      <c r="G26" s="22">
        <f t="shared" si="2"/>
        <v>92143.204200408363</v>
      </c>
      <c r="H26" s="22">
        <v>450</v>
      </c>
      <c r="I26" s="23">
        <v>22</v>
      </c>
      <c r="O26">
        <f>0.05/12</f>
        <v>4.1666666666666666E-3</v>
      </c>
      <c r="AA26">
        <v>8841.0722382779222</v>
      </c>
    </row>
    <row r="27" spans="2:27" x14ac:dyDescent="0.25">
      <c r="B27" s="22">
        <f t="shared" si="4"/>
        <v>92143.204200408363</v>
      </c>
      <c r="C27" s="21">
        <v>3.5000000000000003E-2</v>
      </c>
      <c r="D27" s="22">
        <f t="shared" si="0"/>
        <v>268.75101225119107</v>
      </c>
      <c r="E27" s="22">
        <f t="shared" si="3"/>
        <v>92411.955212659552</v>
      </c>
      <c r="F27" s="20">
        <f t="shared" si="1"/>
        <v>5400</v>
      </c>
      <c r="G27" s="22">
        <f t="shared" si="2"/>
        <v>91961.955212659552</v>
      </c>
      <c r="H27" s="22">
        <v>450</v>
      </c>
      <c r="I27" s="23">
        <v>23</v>
      </c>
      <c r="AA27">
        <v>9198.077045663762</v>
      </c>
    </row>
    <row r="28" spans="2:27" x14ac:dyDescent="0.25">
      <c r="B28" s="22">
        <f>G27</f>
        <v>91961.955212659552</v>
      </c>
      <c r="C28" s="21">
        <v>3.5000000000000003E-2</v>
      </c>
      <c r="D28" s="22">
        <f t="shared" si="0"/>
        <v>268.22236937025701</v>
      </c>
      <c r="E28" s="22">
        <f t="shared" si="3"/>
        <v>92230.177582029806</v>
      </c>
      <c r="F28" s="20">
        <f t="shared" si="1"/>
        <v>5400</v>
      </c>
      <c r="G28" s="22">
        <f t="shared" si="2"/>
        <v>91780.177582029806</v>
      </c>
      <c r="H28" s="22">
        <v>450</v>
      </c>
      <c r="I28" s="23">
        <v>24</v>
      </c>
      <c r="AA28">
        <v>9554.191566746882</v>
      </c>
    </row>
    <row r="29" spans="2:27" x14ac:dyDescent="0.25">
      <c r="B29" s="22">
        <f t="shared" ref="B29:B92" si="5">G28</f>
        <v>91780.177582029806</v>
      </c>
      <c r="C29" s="21">
        <v>3.5000000000000003E-2</v>
      </c>
      <c r="D29" s="22">
        <f t="shared" si="0"/>
        <v>267.69218461425362</v>
      </c>
      <c r="E29" s="22">
        <f t="shared" si="3"/>
        <v>92047.869766644057</v>
      </c>
      <c r="F29" s="20">
        <f t="shared" si="1"/>
        <v>5400</v>
      </c>
      <c r="G29" s="22">
        <f t="shared" si="2"/>
        <v>91597.869766644057</v>
      </c>
      <c r="H29" s="22">
        <v>450</v>
      </c>
      <c r="I29" s="23">
        <v>25</v>
      </c>
      <c r="AA29">
        <v>9909.4180216926416</v>
      </c>
    </row>
    <row r="30" spans="2:27" x14ac:dyDescent="0.25">
      <c r="B30" s="22">
        <f t="shared" si="5"/>
        <v>91597.869766644057</v>
      </c>
      <c r="C30" s="21">
        <v>3.5000000000000003E-2</v>
      </c>
      <c r="D30" s="22">
        <f t="shared" si="0"/>
        <v>267.16045348604518</v>
      </c>
      <c r="E30" s="22">
        <f t="shared" si="3"/>
        <v>91865.030220130095</v>
      </c>
      <c r="F30" s="20">
        <f t="shared" si="1"/>
        <v>5400</v>
      </c>
      <c r="G30" s="22">
        <f t="shared" si="2"/>
        <v>91415.030220130095</v>
      </c>
      <c r="H30" s="22">
        <v>450</v>
      </c>
      <c r="I30" s="23">
        <v>26</v>
      </c>
      <c r="AA30">
        <v>10263.758625129811</v>
      </c>
    </row>
    <row r="31" spans="2:27" x14ac:dyDescent="0.25">
      <c r="B31" s="22">
        <f t="shared" si="5"/>
        <v>91415.030220130095</v>
      </c>
      <c r="C31" s="21">
        <v>3.5000000000000003E-2</v>
      </c>
      <c r="D31" s="22">
        <f t="shared" si="0"/>
        <v>266.62717147537944</v>
      </c>
      <c r="E31" s="22">
        <f t="shared" si="3"/>
        <v>91681.657391605477</v>
      </c>
      <c r="F31" s="20">
        <f t="shared" si="1"/>
        <v>5400</v>
      </c>
      <c r="G31" s="22">
        <f t="shared" si="2"/>
        <v>91231.657391605477</v>
      </c>
      <c r="H31" s="22">
        <v>450</v>
      </c>
      <c r="I31" s="23">
        <v>27</v>
      </c>
      <c r="AA31">
        <v>10617.215586164395</v>
      </c>
    </row>
    <row r="32" spans="2:27" x14ac:dyDescent="0.25">
      <c r="B32" s="27">
        <f t="shared" si="5"/>
        <v>91231.657391605477</v>
      </c>
      <c r="C32" s="28">
        <v>3.5000000000000003E-2</v>
      </c>
      <c r="D32" s="27">
        <f t="shared" si="0"/>
        <v>266.0923340588493</v>
      </c>
      <c r="E32" s="27">
        <f t="shared" si="3"/>
        <v>91497.749725664326</v>
      </c>
      <c r="F32" s="29">
        <f t="shared" si="1"/>
        <v>5400</v>
      </c>
      <c r="G32" s="27">
        <f t="shared" si="2"/>
        <v>91047.749725664326</v>
      </c>
      <c r="H32" s="22">
        <v>450</v>
      </c>
      <c r="I32" s="30">
        <v>28</v>
      </c>
      <c r="AA32">
        <v>10969.791108393405</v>
      </c>
    </row>
    <row r="33" spans="2:27" x14ac:dyDescent="0.25">
      <c r="B33" s="22">
        <f t="shared" si="5"/>
        <v>91047.749725664326</v>
      </c>
      <c r="C33" s="21">
        <v>3.5000000000000003E-2</v>
      </c>
      <c r="D33" s="22">
        <f t="shared" si="0"/>
        <v>265.55593669985427</v>
      </c>
      <c r="E33" s="22">
        <f t="shared" si="3"/>
        <v>91313.305662364175</v>
      </c>
      <c r="F33" s="31">
        <f>SUM(F5:F32)</f>
        <v>151200</v>
      </c>
      <c r="G33" s="22">
        <f t="shared" si="2"/>
        <v>90863.305662364175</v>
      </c>
      <c r="H33" s="22">
        <v>450</v>
      </c>
      <c r="I33" s="23">
        <v>29</v>
      </c>
      <c r="AA33">
        <v>11321.4873899186</v>
      </c>
    </row>
    <row r="34" spans="2:27" x14ac:dyDescent="0.25">
      <c r="B34" s="22">
        <f t="shared" si="5"/>
        <v>90863.305662364175</v>
      </c>
      <c r="C34" s="21">
        <v>3.5000000000000003E-2</v>
      </c>
      <c r="D34" s="22">
        <f t="shared" si="0"/>
        <v>265.01797484856218</v>
      </c>
      <c r="E34" s="22">
        <f t="shared" si="3"/>
        <v>91128.323637212743</v>
      </c>
      <c r="F34" s="20"/>
      <c r="G34" s="22">
        <f t="shared" si="2"/>
        <v>90678.323637212743</v>
      </c>
      <c r="H34" s="22">
        <v>450</v>
      </c>
      <c r="I34" s="23">
        <v>30</v>
      </c>
      <c r="AA34">
        <v>11672.306623360195</v>
      </c>
    </row>
    <row r="35" spans="2:27" x14ac:dyDescent="0.25">
      <c r="B35" s="22">
        <f t="shared" si="5"/>
        <v>90678.323637212743</v>
      </c>
      <c r="C35" s="21">
        <v>3.5000000000000003E-2</v>
      </c>
      <c r="D35" s="22">
        <f t="shared" si="0"/>
        <v>264.47844394187052</v>
      </c>
      <c r="E35" s="22">
        <f t="shared" si="3"/>
        <v>90942.802081154616</v>
      </c>
      <c r="F35" s="20"/>
      <c r="G35" s="22">
        <f t="shared" si="2"/>
        <v>90492.802081154616</v>
      </c>
      <c r="H35" s="22">
        <v>450</v>
      </c>
      <c r="I35" s="23">
        <v>31</v>
      </c>
      <c r="AA35">
        <v>12022.250995870505</v>
      </c>
    </row>
    <row r="36" spans="2:27" x14ac:dyDescent="0.25">
      <c r="B36" s="22">
        <f t="shared" si="5"/>
        <v>90492.802081154616</v>
      </c>
      <c r="C36" s="21">
        <v>3.5000000000000003E-2</v>
      </c>
      <c r="D36" s="22">
        <f t="shared" si="0"/>
        <v>263.93733940336762</v>
      </c>
      <c r="E36" s="22">
        <f t="shared" si="3"/>
        <v>90756.739420557977</v>
      </c>
      <c r="F36" s="20"/>
      <c r="G36" s="22">
        <f t="shared" si="2"/>
        <v>90306.739420557977</v>
      </c>
      <c r="H36" s="22">
        <v>450</v>
      </c>
      <c r="I36" s="23">
        <v>32</v>
      </c>
      <c r="AA36">
        <v>12371.322689147635</v>
      </c>
    </row>
    <row r="37" spans="2:27" x14ac:dyDescent="0.25">
      <c r="B37" s="22">
        <f t="shared" si="5"/>
        <v>90306.739420557977</v>
      </c>
      <c r="C37" s="21">
        <v>3.5000000000000003E-2</v>
      </c>
      <c r="D37" s="22">
        <f t="shared" si="0"/>
        <v>263.39465664329413</v>
      </c>
      <c r="E37" s="22">
        <f t="shared" si="3"/>
        <v>90570.134077201277</v>
      </c>
      <c r="F37" s="20"/>
      <c r="G37" s="22">
        <f t="shared" si="2"/>
        <v>90120.134077201277</v>
      </c>
      <c r="H37" s="22">
        <v>450</v>
      </c>
      <c r="I37" s="23">
        <v>33</v>
      </c>
      <c r="AA37">
        <v>12719.523879448998</v>
      </c>
    </row>
    <row r="38" spans="2:27" x14ac:dyDescent="0.25">
      <c r="B38" s="22">
        <f t="shared" si="5"/>
        <v>90120.134077201277</v>
      </c>
      <c r="C38" s="21">
        <v>3.5000000000000003E-2</v>
      </c>
      <c r="D38" s="22">
        <f t="shared" si="0"/>
        <v>262.85039105850376</v>
      </c>
      <c r="E38" s="22">
        <f t="shared" si="3"/>
        <v>90382.984468259776</v>
      </c>
      <c r="F38" s="20"/>
      <c r="G38" s="22">
        <f t="shared" si="2"/>
        <v>89932.984468259776</v>
      </c>
      <c r="H38" s="22">
        <v>450</v>
      </c>
      <c r="I38" s="23">
        <v>34</v>
      </c>
      <c r="AA38">
        <v>13066.856737604985</v>
      </c>
    </row>
    <row r="39" spans="2:27" x14ac:dyDescent="0.25">
      <c r="B39" s="22">
        <f t="shared" si="5"/>
        <v>89932.984468259776</v>
      </c>
      <c r="C39" s="21">
        <v>3.5000000000000003E-2</v>
      </c>
      <c r="D39" s="22">
        <f t="shared" si="0"/>
        <v>262.30453803242438</v>
      </c>
      <c r="E39" s="22">
        <f t="shared" si="3"/>
        <v>90195.289006292194</v>
      </c>
      <c r="F39" s="20"/>
      <c r="G39" s="22">
        <f t="shared" si="2"/>
        <v>89745.289006292194</v>
      </c>
      <c r="H39" s="22">
        <v>450</v>
      </c>
      <c r="I39" s="23">
        <v>35</v>
      </c>
      <c r="AA39">
        <v>13413.323429032389</v>
      </c>
    </row>
    <row r="40" spans="2:27" x14ac:dyDescent="0.25">
      <c r="B40" s="22">
        <f t="shared" si="5"/>
        <v>89745.289006292194</v>
      </c>
      <c r="C40" s="21">
        <v>3.5000000000000003E-2</v>
      </c>
      <c r="D40" s="22">
        <f t="shared" si="0"/>
        <v>261.75709293501893</v>
      </c>
      <c r="E40" s="22">
        <f t="shared" si="3"/>
        <v>90007.046099227213</v>
      </c>
      <c r="F40" s="20"/>
      <c r="G40" s="22">
        <f t="shared" si="2"/>
        <v>89557.046099227213</v>
      </c>
      <c r="H40" s="22">
        <v>450</v>
      </c>
      <c r="I40" s="23">
        <v>36</v>
      </c>
      <c r="AA40">
        <v>13758.926113748017</v>
      </c>
    </row>
    <row r="41" spans="2:27" x14ac:dyDescent="0.25">
      <c r="B41" s="22">
        <f t="shared" si="5"/>
        <v>89557.046099227213</v>
      </c>
      <c r="C41" s="21">
        <v>3.5000000000000003E-2</v>
      </c>
      <c r="D41" s="22">
        <f t="shared" si="0"/>
        <v>261.20805112274604</v>
      </c>
      <c r="E41" s="22">
        <f t="shared" si="3"/>
        <v>89818.254150349952</v>
      </c>
      <c r="F41" s="20"/>
      <c r="G41" s="22">
        <f t="shared" si="2"/>
        <v>89368.254150349952</v>
      </c>
      <c r="H41" s="22">
        <v>450</v>
      </c>
      <c r="I41" s="23">
        <v>37</v>
      </c>
      <c r="AA41">
        <v>14103.666946382054</v>
      </c>
    </row>
    <row r="42" spans="2:27" x14ac:dyDescent="0.25">
      <c r="B42" s="22">
        <f t="shared" si="5"/>
        <v>89368.254150349952</v>
      </c>
      <c r="C42" s="21">
        <v>3.5000000000000003E-2</v>
      </c>
      <c r="D42" s="22">
        <f t="shared" si="0"/>
        <v>260.65740793852069</v>
      </c>
      <c r="E42" s="22">
        <f t="shared" si="3"/>
        <v>89628.91155828847</v>
      </c>
      <c r="F42" s="20"/>
      <c r="G42" s="22">
        <f t="shared" si="2"/>
        <v>89178.91155828847</v>
      </c>
      <c r="H42" s="22">
        <v>450</v>
      </c>
      <c r="I42" s="23">
        <v>38</v>
      </c>
      <c r="AA42">
        <v>14447.548076191561</v>
      </c>
    </row>
    <row r="43" spans="2:27" x14ac:dyDescent="0.25">
      <c r="B43" s="22">
        <f t="shared" si="5"/>
        <v>89178.91155828847</v>
      </c>
      <c r="C43" s="21">
        <v>3.5000000000000003E-2</v>
      </c>
      <c r="D43" s="22">
        <f t="shared" si="0"/>
        <v>260.10515871167473</v>
      </c>
      <c r="E43" s="22">
        <f t="shared" si="3"/>
        <v>89439.016717000151</v>
      </c>
      <c r="F43" s="20"/>
      <c r="G43" s="22">
        <f t="shared" si="2"/>
        <v>88989.016717000151</v>
      </c>
      <c r="H43" s="22">
        <v>450</v>
      </c>
      <c r="I43" s="23">
        <v>39</v>
      </c>
      <c r="AA43">
        <v>14790.571647073881</v>
      </c>
    </row>
    <row r="44" spans="2:27" x14ac:dyDescent="0.25">
      <c r="B44" s="22">
        <f t="shared" si="5"/>
        <v>88989.016717000151</v>
      </c>
      <c r="C44" s="21">
        <v>3.5000000000000003E-2</v>
      </c>
      <c r="D44" s="22">
        <f t="shared" si="0"/>
        <v>259.5512987579171</v>
      </c>
      <c r="E44" s="22">
        <f t="shared" si="3"/>
        <v>89248.568015758065</v>
      </c>
      <c r="F44" s="20"/>
      <c r="G44" s="22">
        <f t="shared" si="2"/>
        <v>88798.568015758065</v>
      </c>
      <c r="H44" s="22">
        <v>450</v>
      </c>
      <c r="I44" s="23">
        <v>40</v>
      </c>
      <c r="AA44">
        <v>15132.73979757991</v>
      </c>
    </row>
    <row r="45" spans="2:27" x14ac:dyDescent="0.25">
      <c r="B45" s="22">
        <f t="shared" si="5"/>
        <v>88798.568015758065</v>
      </c>
      <c r="C45" s="21">
        <v>3.5000000000000003E-2</v>
      </c>
      <c r="D45" s="22">
        <f t="shared" si="0"/>
        <v>258.99582337929439</v>
      </c>
      <c r="E45" s="22">
        <f t="shared" si="3"/>
        <v>89057.563839137365</v>
      </c>
      <c r="F45" s="20"/>
      <c r="G45" s="22">
        <f t="shared" si="2"/>
        <v>88607.563839137365</v>
      </c>
      <c r="H45" s="22">
        <v>450</v>
      </c>
      <c r="I45" s="23">
        <v>41</v>
      </c>
      <c r="AA45">
        <v>15474.054660927592</v>
      </c>
    </row>
    <row r="46" spans="2:27" x14ac:dyDescent="0.25">
      <c r="B46" s="22">
        <f t="shared" si="5"/>
        <v>88607.563839137365</v>
      </c>
      <c r="C46" s="21">
        <v>3.5000000000000003E-2</v>
      </c>
      <c r="D46" s="22">
        <f t="shared" si="0"/>
        <v>258.43872786415068</v>
      </c>
      <c r="E46" s="22">
        <f t="shared" si="3"/>
        <v>88866.002567001517</v>
      </c>
      <c r="F46" s="20"/>
      <c r="G46" s="22">
        <f t="shared" si="2"/>
        <v>88416.002567001517</v>
      </c>
      <c r="H46" s="22">
        <v>450</v>
      </c>
      <c r="I46" s="23">
        <v>42</v>
      </c>
      <c r="AA46">
        <v>15814.518365015037</v>
      </c>
    </row>
    <row r="47" spans="2:27" x14ac:dyDescent="0.25">
      <c r="B47" s="22">
        <f t="shared" si="5"/>
        <v>88416.002567001517</v>
      </c>
      <c r="C47" s="21">
        <v>3.5000000000000003E-2</v>
      </c>
      <c r="D47" s="22">
        <f t="shared" si="0"/>
        <v>257.88000748708777</v>
      </c>
      <c r="E47" s="22">
        <f t="shared" si="3"/>
        <v>88673.882574488598</v>
      </c>
      <c r="F47" s="20"/>
      <c r="G47" s="22">
        <f t="shared" si="2"/>
        <v>88223.882574488598</v>
      </c>
      <c r="H47" s="22">
        <v>450</v>
      </c>
      <c r="I47" s="23">
        <v>43</v>
      </c>
      <c r="AA47">
        <v>16154.133032433949</v>
      </c>
    </row>
    <row r="48" spans="2:27" x14ac:dyDescent="0.25">
      <c r="B48" s="22">
        <f t="shared" si="5"/>
        <v>88223.882574488598</v>
      </c>
      <c r="C48" s="21">
        <v>3.5000000000000003E-2</v>
      </c>
      <c r="D48" s="22">
        <f t="shared" si="0"/>
        <v>257.3196575089251</v>
      </c>
      <c r="E48" s="22">
        <f t="shared" si="3"/>
        <v>88481.202231997522</v>
      </c>
      <c r="F48" s="20"/>
      <c r="G48" s="22">
        <f t="shared" si="2"/>
        <v>88031.202231997522</v>
      </c>
      <c r="H48" s="22">
        <v>450</v>
      </c>
      <c r="I48" s="23">
        <v>44</v>
      </c>
      <c r="AA48">
        <v>16492.900780482734</v>
      </c>
    </row>
    <row r="49" spans="2:27" x14ac:dyDescent="0.25">
      <c r="B49" s="22">
        <f t="shared" si="5"/>
        <v>88031.202231997522</v>
      </c>
      <c r="C49" s="21">
        <v>3.5000000000000003E-2</v>
      </c>
      <c r="D49" s="22">
        <f t="shared" si="0"/>
        <v>256.75767317665947</v>
      </c>
      <c r="E49" s="22">
        <f t="shared" si="3"/>
        <v>88287.959905174182</v>
      </c>
      <c r="F49" s="20"/>
      <c r="G49" s="22">
        <f t="shared" si="2"/>
        <v>87837.959905174182</v>
      </c>
      <c r="H49" s="22">
        <v>450</v>
      </c>
      <c r="I49" s="23">
        <v>45</v>
      </c>
      <c r="AA49">
        <v>16830.823721179782</v>
      </c>
    </row>
    <row r="50" spans="2:27" x14ac:dyDescent="0.25">
      <c r="B50" s="22">
        <f t="shared" si="5"/>
        <v>87837.959905174182</v>
      </c>
      <c r="C50" s="21">
        <v>3.5000000000000003E-2</v>
      </c>
      <c r="D50" s="22">
        <f t="shared" si="0"/>
        <v>256.19404972342471</v>
      </c>
      <c r="E50" s="22">
        <f t="shared" si="3"/>
        <v>88094.153954897614</v>
      </c>
      <c r="F50" s="20"/>
      <c r="G50" s="22">
        <f t="shared" si="2"/>
        <v>87644.153954897614</v>
      </c>
      <c r="H50" s="22">
        <v>450</v>
      </c>
      <c r="I50" s="23">
        <v>46</v>
      </c>
      <c r="AA50">
        <v>17167.903961276592</v>
      </c>
    </row>
    <row r="51" spans="2:27" x14ac:dyDescent="0.25">
      <c r="B51" s="22">
        <f t="shared" si="5"/>
        <v>87644.153954897614</v>
      </c>
      <c r="C51" s="21">
        <v>3.5000000000000003E-2</v>
      </c>
      <c r="D51" s="22">
        <f t="shared" si="0"/>
        <v>255.6287823684514</v>
      </c>
      <c r="E51" s="22">
        <f t="shared" si="3"/>
        <v>87899.782737266069</v>
      </c>
      <c r="F51" s="20"/>
      <c r="G51" s="22">
        <f t="shared" si="2"/>
        <v>87449.782737266069</v>
      </c>
      <c r="H51" s="22">
        <v>450</v>
      </c>
      <c r="I51" s="23">
        <v>47</v>
      </c>
      <c r="AA51">
        <v>17504.143602270906</v>
      </c>
    </row>
    <row r="52" spans="2:27" x14ac:dyDescent="0.25">
      <c r="B52" s="22">
        <f t="shared" si="5"/>
        <v>87449.782737266069</v>
      </c>
      <c r="C52" s="21">
        <v>3.5000000000000003E-2</v>
      </c>
      <c r="D52" s="22">
        <f t="shared" si="0"/>
        <v>255.06186631702604</v>
      </c>
      <c r="E52" s="22">
        <f t="shared" si="3"/>
        <v>87704.8446035831</v>
      </c>
      <c r="F52" s="20"/>
      <c r="G52" s="22">
        <f t="shared" si="2"/>
        <v>87254.8446035831</v>
      </c>
      <c r="H52" s="22">
        <v>450</v>
      </c>
      <c r="I52" s="23">
        <v>48</v>
      </c>
      <c r="AA52">
        <v>17839.544740419835</v>
      </c>
    </row>
    <row r="53" spans="2:27" x14ac:dyDescent="0.25">
      <c r="B53" s="22">
        <f t="shared" si="5"/>
        <v>87254.8446035831</v>
      </c>
      <c r="C53" s="21">
        <v>3.5000000000000003E-2</v>
      </c>
      <c r="D53" s="22">
        <f t="shared" si="0"/>
        <v>254.49329676045073</v>
      </c>
      <c r="E53" s="22">
        <f t="shared" si="3"/>
        <v>87509.337900343555</v>
      </c>
      <c r="F53" s="20"/>
      <c r="G53" s="22">
        <f t="shared" si="2"/>
        <v>87059.337900343555</v>
      </c>
      <c r="H53" s="22">
        <v>450</v>
      </c>
      <c r="I53" s="23">
        <v>49</v>
      </c>
      <c r="AA53">
        <v>18174.109466752958</v>
      </c>
    </row>
    <row r="54" spans="2:27" x14ac:dyDescent="0.25">
      <c r="B54" s="22">
        <f t="shared" si="5"/>
        <v>87059.337900343555</v>
      </c>
      <c r="C54" s="21">
        <v>3.5000000000000003E-2</v>
      </c>
      <c r="D54" s="22">
        <f t="shared" si="0"/>
        <v>253.92306887600205</v>
      </c>
      <c r="E54" s="22">
        <f t="shared" si="3"/>
        <v>87313.260969219555</v>
      </c>
      <c r="F54" s="20"/>
      <c r="G54" s="22">
        <f t="shared" si="2"/>
        <v>86863.260969219555</v>
      </c>
      <c r="H54" s="22">
        <v>450</v>
      </c>
      <c r="I54" s="23">
        <v>50</v>
      </c>
      <c r="AA54">
        <v>18507.839867085244</v>
      </c>
    </row>
    <row r="55" spans="2:27" x14ac:dyDescent="0.25">
      <c r="B55" s="22">
        <f t="shared" si="5"/>
        <v>86863.260969219555</v>
      </c>
      <c r="C55" s="21">
        <v>3.5000000000000003E-2</v>
      </c>
      <c r="D55" s="22">
        <f t="shared" si="0"/>
        <v>253.35117782689039</v>
      </c>
      <c r="E55" s="22">
        <f t="shared" si="3"/>
        <v>87116.612147046442</v>
      </c>
      <c r="F55" s="20"/>
      <c r="G55" s="22">
        <f t="shared" si="2"/>
        <v>86666.612147046442</v>
      </c>
      <c r="H55" s="22">
        <v>450</v>
      </c>
      <c r="I55" s="23">
        <v>51</v>
      </c>
      <c r="AA55">
        <v>18840.738022030149</v>
      </c>
    </row>
    <row r="56" spans="2:27" x14ac:dyDescent="0.25">
      <c r="B56" s="22">
        <f t="shared" si="5"/>
        <v>86666.612147046442</v>
      </c>
      <c r="C56" s="21">
        <v>3.5000000000000003E-2</v>
      </c>
      <c r="D56" s="22">
        <f t="shared" si="0"/>
        <v>252.77761876221879</v>
      </c>
      <c r="E56" s="22">
        <f t="shared" si="3"/>
        <v>86919.389765808664</v>
      </c>
      <c r="F56" s="20"/>
      <c r="G56" s="22">
        <f t="shared" si="2"/>
        <v>86469.389765808664</v>
      </c>
      <c r="H56" s="22">
        <v>450</v>
      </c>
      <c r="I56" s="23">
        <v>52</v>
      </c>
      <c r="AA56">
        <v>19172.806007012608</v>
      </c>
    </row>
    <row r="57" spans="2:27" x14ac:dyDescent="0.25">
      <c r="B57" s="22">
        <f t="shared" si="5"/>
        <v>86469.389765808664</v>
      </c>
      <c r="C57" s="21">
        <v>3.5000000000000003E-2</v>
      </c>
      <c r="D57" s="22">
        <f t="shared" si="0"/>
        <v>252.20238681694195</v>
      </c>
      <c r="E57" s="22">
        <f t="shared" si="3"/>
        <v>86721.592152625613</v>
      </c>
      <c r="F57" s="20"/>
      <c r="G57" s="22">
        <f t="shared" si="2"/>
        <v>86271.592152625613</v>
      </c>
      <c r="H57" s="22">
        <v>450</v>
      </c>
      <c r="I57" s="23">
        <v>53</v>
      </c>
      <c r="AA57">
        <v>19504.045892281909</v>
      </c>
    </row>
    <row r="58" spans="2:27" x14ac:dyDescent="0.25">
      <c r="B58" s="22">
        <f t="shared" si="5"/>
        <v>86271.592152625613</v>
      </c>
      <c r="C58" s="21">
        <v>3.5000000000000003E-2</v>
      </c>
      <c r="D58" s="22">
        <f t="shared" si="0"/>
        <v>251.62547711182472</v>
      </c>
      <c r="E58" s="22">
        <f t="shared" si="3"/>
        <v>86523.217629737439</v>
      </c>
      <c r="F58" s="20"/>
      <c r="G58" s="22">
        <f t="shared" si="2"/>
        <v>86073.217629737439</v>
      </c>
      <c r="H58" s="22">
        <v>450</v>
      </c>
      <c r="I58" s="23">
        <v>54</v>
      </c>
      <c r="AA58">
        <v>19834.459742924588</v>
      </c>
    </row>
    <row r="59" spans="2:27" x14ac:dyDescent="0.25">
      <c r="B59" s="22">
        <f t="shared" si="5"/>
        <v>86073.217629737439</v>
      </c>
      <c r="C59" s="21">
        <v>3.5000000000000003E-2</v>
      </c>
      <c r="D59" s="22">
        <f t="shared" si="0"/>
        <v>251.04688475340089</v>
      </c>
      <c r="E59" s="22">
        <f t="shared" si="3"/>
        <v>86324.264514490846</v>
      </c>
      <c r="F59" s="20"/>
      <c r="G59" s="22">
        <f t="shared" si="2"/>
        <v>85874.264514490846</v>
      </c>
      <c r="H59" s="22">
        <v>450</v>
      </c>
      <c r="I59" s="23">
        <v>55</v>
      </c>
      <c r="AA59">
        <v>20164.049618877383</v>
      </c>
    </row>
    <row r="60" spans="2:27" x14ac:dyDescent="0.25">
      <c r="B60" s="22">
        <f t="shared" si="5"/>
        <v>85874.264514490846</v>
      </c>
      <c r="C60" s="21">
        <v>3.5000000000000003E-2</v>
      </c>
      <c r="D60" s="22">
        <f t="shared" si="0"/>
        <v>250.46660483393165</v>
      </c>
      <c r="E60" s="22">
        <f t="shared" si="3"/>
        <v>86124.731119324773</v>
      </c>
      <c r="F60" s="20"/>
      <c r="G60" s="22">
        <f t="shared" si="2"/>
        <v>85674.731119324773</v>
      </c>
      <c r="H60" s="22">
        <v>450</v>
      </c>
      <c r="I60" s="23">
        <v>56</v>
      </c>
      <c r="AA60">
        <v>20492.817574940029</v>
      </c>
    </row>
    <row r="61" spans="2:27" x14ac:dyDescent="0.25">
      <c r="B61" s="22">
        <f t="shared" si="5"/>
        <v>85674.731119324773</v>
      </c>
      <c r="C61" s="21">
        <v>3.5000000000000003E-2</v>
      </c>
      <c r="D61" s="22">
        <f t="shared" si="0"/>
        <v>249.88463243136394</v>
      </c>
      <c r="E61" s="22">
        <f t="shared" si="3"/>
        <v>85924.615751756137</v>
      </c>
      <c r="F61" s="20"/>
      <c r="G61" s="22">
        <f t="shared" si="2"/>
        <v>85474.615751756137</v>
      </c>
      <c r="H61" s="22">
        <v>450</v>
      </c>
      <c r="I61" s="23">
        <v>57</v>
      </c>
      <c r="AA61">
        <v>20820.765660788049</v>
      </c>
    </row>
    <row r="62" spans="2:27" x14ac:dyDescent="0.25">
      <c r="B62" s="22">
        <f t="shared" si="5"/>
        <v>85474.615751756137</v>
      </c>
      <c r="C62" s="21">
        <v>3.5000000000000003E-2</v>
      </c>
      <c r="D62" s="22">
        <f t="shared" si="0"/>
        <v>249.30096260928875</v>
      </c>
      <c r="E62" s="22">
        <f t="shared" si="3"/>
        <v>85723.916714365419</v>
      </c>
      <c r="F62" s="20"/>
      <c r="G62" s="22">
        <f t="shared" si="2"/>
        <v>85273.916714365419</v>
      </c>
      <c r="H62" s="22">
        <v>450</v>
      </c>
      <c r="I62" s="23">
        <v>58</v>
      </c>
      <c r="AA62">
        <v>21147.895920985582</v>
      </c>
    </row>
    <row r="63" spans="2:27" x14ac:dyDescent="0.25">
      <c r="B63" s="22">
        <f t="shared" si="5"/>
        <v>85273.916714365419</v>
      </c>
      <c r="C63" s="21">
        <v>3.5000000000000003E-2</v>
      </c>
      <c r="D63" s="22">
        <f t="shared" si="0"/>
        <v>248.71559041689915</v>
      </c>
      <c r="E63" s="22">
        <f t="shared" si="3"/>
        <v>85522.632304782324</v>
      </c>
      <c r="F63" s="20"/>
      <c r="G63" s="22">
        <f t="shared" si="2"/>
        <v>85072.632304782324</v>
      </c>
      <c r="H63" s="22">
        <v>450</v>
      </c>
      <c r="I63" s="23">
        <v>59</v>
      </c>
      <c r="AA63">
        <v>21474.210394998074</v>
      </c>
    </row>
    <row r="64" spans="2:27" x14ac:dyDescent="0.25">
      <c r="B64" s="22">
        <f t="shared" si="5"/>
        <v>85072.632304782324</v>
      </c>
      <c r="C64" s="21">
        <v>3.5000000000000003E-2</v>
      </c>
      <c r="D64" s="22">
        <f t="shared" si="0"/>
        <v>248.12851088894845</v>
      </c>
      <c r="E64" s="22">
        <f t="shared" si="3"/>
        <v>85320.760815671267</v>
      </c>
      <c r="F64" s="20"/>
      <c r="G64" s="22">
        <f t="shared" si="2"/>
        <v>84870.760815671267</v>
      </c>
      <c r="H64" s="22">
        <v>450</v>
      </c>
      <c r="I64" s="23">
        <v>60</v>
      </c>
      <c r="AA64">
        <v>21799.711117205057</v>
      </c>
    </row>
    <row r="65" spans="2:27" x14ac:dyDescent="0.25">
      <c r="B65" s="22">
        <f t="shared" si="5"/>
        <v>84870.760815671267</v>
      </c>
      <c r="C65" s="21">
        <v>3.5000000000000003E-2</v>
      </c>
      <c r="D65" s="22">
        <f t="shared" si="0"/>
        <v>247.53971904570787</v>
      </c>
      <c r="E65" s="22">
        <f t="shared" si="3"/>
        <v>85118.300534716967</v>
      </c>
      <c r="F65" s="20"/>
      <c r="G65" s="22">
        <f t="shared" si="2"/>
        <v>84668.300534716967</v>
      </c>
      <c r="H65" s="22">
        <v>450</v>
      </c>
      <c r="I65" s="23">
        <v>61</v>
      </c>
      <c r="AA65">
        <v>22124.400116912762</v>
      </c>
    </row>
    <row r="66" spans="2:27" x14ac:dyDescent="0.25">
      <c r="B66" s="22">
        <f t="shared" si="5"/>
        <v>84668.300534716967</v>
      </c>
      <c r="C66" s="21">
        <v>3.5000000000000003E-2</v>
      </c>
      <c r="D66" s="22">
        <f t="shared" si="0"/>
        <v>246.9492098929245</v>
      </c>
      <c r="E66" s="22">
        <f t="shared" si="3"/>
        <v>84915.249744609886</v>
      </c>
      <c r="F66" s="20"/>
      <c r="G66" s="22">
        <f t="shared" si="2"/>
        <v>84465.249744609886</v>
      </c>
      <c r="H66" s="22">
        <v>450</v>
      </c>
      <c r="I66" s="23">
        <v>62</v>
      </c>
      <c r="AA66">
        <v>22448.279418366837</v>
      </c>
    </row>
    <row r="67" spans="2:27" x14ac:dyDescent="0.25">
      <c r="B67" s="22">
        <f t="shared" si="5"/>
        <v>84465.249744609886</v>
      </c>
      <c r="C67" s="21">
        <v>3.5000000000000003E-2</v>
      </c>
      <c r="D67" s="22">
        <f t="shared" si="0"/>
        <v>246.35697842177885</v>
      </c>
      <c r="E67" s="22">
        <f t="shared" si="3"/>
        <v>84711.606723031669</v>
      </c>
      <c r="F67" s="20"/>
      <c r="G67" s="22">
        <f t="shared" si="2"/>
        <v>84261.606723031669</v>
      </c>
      <c r="H67" s="22">
        <v>450</v>
      </c>
      <c r="I67" s="23">
        <v>63</v>
      </c>
      <c r="AA67">
        <v>22771.351040764923</v>
      </c>
    </row>
    <row r="68" spans="2:27" x14ac:dyDescent="0.25">
      <c r="B68" s="22">
        <f t="shared" si="5"/>
        <v>84261.606723031669</v>
      </c>
      <c r="C68" s="21">
        <v>3.5000000000000003E-2</v>
      </c>
      <c r="D68" s="22">
        <f t="shared" si="0"/>
        <v>245.76301960884237</v>
      </c>
      <c r="E68" s="22">
        <f t="shared" si="3"/>
        <v>84507.369742640512</v>
      </c>
      <c r="F68" s="20"/>
      <c r="G68" s="22">
        <f t="shared" si="2"/>
        <v>84057.369742640512</v>
      </c>
      <c r="H68" s="22">
        <v>450</v>
      </c>
      <c r="I68" s="23">
        <v>64</v>
      </c>
      <c r="J68">
        <f>I68/12</f>
        <v>5.333333333333333</v>
      </c>
      <c r="AA68">
        <v>23093.616998269241</v>
      </c>
    </row>
    <row r="69" spans="2:27" x14ac:dyDescent="0.25">
      <c r="B69" s="22">
        <f t="shared" si="5"/>
        <v>84057.369742640512</v>
      </c>
      <c r="C69" s="21">
        <v>3.5000000000000003E-2</v>
      </c>
      <c r="D69" s="22">
        <f t="shared" si="0"/>
        <v>245.16732841603485</v>
      </c>
      <c r="E69" s="22">
        <f t="shared" si="3"/>
        <v>84302.537071056548</v>
      </c>
      <c r="F69" s="20"/>
      <c r="G69" s="22">
        <f t="shared" si="2"/>
        <v>83852.537071056548</v>
      </c>
      <c r="H69" s="22">
        <v>450</v>
      </c>
      <c r="I69" s="23">
        <v>65</v>
      </c>
      <c r="AA69">
        <v>23415.079300019181</v>
      </c>
    </row>
    <row r="70" spans="2:27" x14ac:dyDescent="0.25">
      <c r="B70" s="22">
        <f t="shared" si="5"/>
        <v>83852.537071056548</v>
      </c>
      <c r="C70" s="21">
        <v>3.5000000000000003E-2</v>
      </c>
      <c r="D70" s="22">
        <f t="shared" ref="D70:D133" si="6">B70*(0.035/12)</f>
        <v>244.56989979058162</v>
      </c>
      <c r="E70" s="22">
        <f t="shared" si="3"/>
        <v>84097.106970847133</v>
      </c>
      <c r="F70" s="20"/>
      <c r="G70" s="22">
        <f t="shared" ref="G70:G133" si="7">E70-H70</f>
        <v>83647.106970847133</v>
      </c>
      <c r="H70" s="22">
        <v>450</v>
      </c>
      <c r="I70" s="23">
        <v>66</v>
      </c>
      <c r="AA70">
        <v>23735.739950143827</v>
      </c>
    </row>
    <row r="71" spans="2:27" x14ac:dyDescent="0.25">
      <c r="B71" s="22">
        <f t="shared" si="5"/>
        <v>83647.106970847133</v>
      </c>
      <c r="C71" s="21">
        <v>3.5000000000000003E-2</v>
      </c>
      <c r="D71" s="22">
        <f t="shared" si="6"/>
        <v>243.97072866497081</v>
      </c>
      <c r="E71" s="22">
        <f t="shared" ref="E71:E134" si="8">B71+D71</f>
        <v>83891.077699512098</v>
      </c>
      <c r="F71" s="20"/>
      <c r="G71" s="22">
        <f t="shared" si="7"/>
        <v>83441.077699512098</v>
      </c>
      <c r="H71" s="22">
        <v>450</v>
      </c>
      <c r="I71" s="23">
        <v>67</v>
      </c>
      <c r="AA71">
        <v>24055.600947774383</v>
      </c>
    </row>
    <row r="72" spans="2:27" x14ac:dyDescent="0.25">
      <c r="B72" s="22">
        <f t="shared" si="5"/>
        <v>83441.077699512098</v>
      </c>
      <c r="C72" s="21">
        <v>3.5000000000000003E-2</v>
      </c>
      <c r="D72" s="22">
        <f t="shared" si="6"/>
        <v>243.3698099569103</v>
      </c>
      <c r="E72" s="22">
        <f t="shared" si="8"/>
        <v>83684.447509469013</v>
      </c>
      <c r="F72" s="20"/>
      <c r="G72" s="22">
        <f t="shared" si="7"/>
        <v>83234.447509469013</v>
      </c>
      <c r="H72" s="22">
        <v>450</v>
      </c>
      <c r="I72" s="23">
        <v>68</v>
      </c>
      <c r="AA72">
        <v>24374.66428705673</v>
      </c>
    </row>
    <row r="73" spans="2:27" x14ac:dyDescent="0.25">
      <c r="B73" s="22">
        <f t="shared" si="5"/>
        <v>83234.447509469013</v>
      </c>
      <c r="C73" s="21">
        <v>3.5000000000000003E-2</v>
      </c>
      <c r="D73" s="22">
        <f t="shared" si="6"/>
        <v>242.76713856928464</v>
      </c>
      <c r="E73" s="22">
        <f t="shared" si="8"/>
        <v>83477.214648038294</v>
      </c>
      <c r="F73" s="20"/>
      <c r="G73" s="22">
        <f t="shared" si="7"/>
        <v>83027.214648038294</v>
      </c>
      <c r="H73" s="22">
        <v>450</v>
      </c>
      <c r="I73" s="23">
        <v>69</v>
      </c>
      <c r="AA73">
        <v>24692.931957163819</v>
      </c>
    </row>
    <row r="74" spans="2:27" x14ac:dyDescent="0.25">
      <c r="B74" s="22">
        <f t="shared" si="5"/>
        <v>83027.214648038294</v>
      </c>
      <c r="C74" s="21">
        <v>3.5000000000000003E-2</v>
      </c>
      <c r="D74" s="22">
        <f t="shared" si="6"/>
        <v>242.1627093901117</v>
      </c>
      <c r="E74" s="22">
        <f t="shared" si="8"/>
        <v>83269.377357428413</v>
      </c>
      <c r="F74" s="20"/>
      <c r="G74" s="22">
        <f t="shared" si="7"/>
        <v>82819.377357428413</v>
      </c>
      <c r="H74" s="22">
        <v>450</v>
      </c>
      <c r="I74" s="23">
        <v>70</v>
      </c>
      <c r="AA74">
        <v>25010.405942308043</v>
      </c>
    </row>
    <row r="75" spans="2:27" x14ac:dyDescent="0.25">
      <c r="B75" s="22">
        <f t="shared" si="5"/>
        <v>82819.377357428413</v>
      </c>
      <c r="C75" s="21">
        <v>3.5000000000000003E-2</v>
      </c>
      <c r="D75" s="22">
        <f t="shared" si="6"/>
        <v>241.55651729249956</v>
      </c>
      <c r="E75" s="22">
        <f t="shared" si="8"/>
        <v>83060.933874720911</v>
      </c>
      <c r="F75" s="20"/>
      <c r="G75" s="22">
        <f t="shared" si="7"/>
        <v>82610.933874720911</v>
      </c>
      <c r="H75" s="22">
        <v>450</v>
      </c>
      <c r="I75" s="23">
        <v>71</v>
      </c>
      <c r="AA75">
        <v>25327.088221753642</v>
      </c>
    </row>
    <row r="76" spans="2:27" x14ac:dyDescent="0.25">
      <c r="B76" s="22">
        <f t="shared" si="5"/>
        <v>82610.933874720911</v>
      </c>
      <c r="C76" s="21">
        <v>3.5000000000000003E-2</v>
      </c>
      <c r="D76" s="22">
        <f t="shared" si="6"/>
        <v>240.94855713460268</v>
      </c>
      <c r="E76" s="22">
        <f t="shared" si="8"/>
        <v>82851.882431855513</v>
      </c>
      <c r="F76" s="20"/>
      <c r="G76" s="22">
        <f t="shared" si="7"/>
        <v>82401.882431855513</v>
      </c>
      <c r="H76" s="22">
        <v>450</v>
      </c>
      <c r="I76" s="23">
        <v>72</v>
      </c>
      <c r="AA76">
        <v>25642.980769829068</v>
      </c>
    </row>
    <row r="77" spans="2:27" x14ac:dyDescent="0.25">
      <c r="B77" s="22">
        <f t="shared" si="5"/>
        <v>82401.882431855513</v>
      </c>
      <c r="C77" s="21">
        <v>3.5000000000000003E-2</v>
      </c>
      <c r="D77" s="22">
        <f t="shared" si="6"/>
        <v>240.33882375957859</v>
      </c>
      <c r="E77" s="22">
        <f t="shared" si="8"/>
        <v>82642.221255615092</v>
      </c>
      <c r="F77" s="20"/>
      <c r="G77" s="22">
        <f t="shared" si="7"/>
        <v>82192.221255615092</v>
      </c>
      <c r="H77" s="22">
        <v>450</v>
      </c>
      <c r="I77" s="23">
        <v>73</v>
      </c>
      <c r="AA77">
        <v>25958.085555939208</v>
      </c>
    </row>
    <row r="78" spans="2:27" x14ac:dyDescent="0.25">
      <c r="B78" s="22">
        <f t="shared" si="5"/>
        <v>82192.221255615092</v>
      </c>
      <c r="C78" s="21">
        <v>3.5000000000000003E-2</v>
      </c>
      <c r="D78" s="22">
        <f t="shared" si="6"/>
        <v>239.72731199554403</v>
      </c>
      <c r="E78" s="22">
        <f t="shared" si="8"/>
        <v>82431.948567610641</v>
      </c>
      <c r="F78" s="20"/>
      <c r="G78" s="22">
        <f t="shared" si="7"/>
        <v>81981.948567610641</v>
      </c>
      <c r="H78" s="22">
        <v>450</v>
      </c>
      <c r="I78" s="23">
        <v>74</v>
      </c>
      <c r="AA78">
        <v>26272.404544577767</v>
      </c>
    </row>
    <row r="79" spans="2:27" x14ac:dyDescent="0.25">
      <c r="B79" s="22">
        <f t="shared" si="5"/>
        <v>81981.948567610641</v>
      </c>
      <c r="C79" s="21">
        <v>3.5000000000000003E-2</v>
      </c>
      <c r="D79" s="22">
        <f t="shared" si="6"/>
        <v>239.11401665553106</v>
      </c>
      <c r="E79" s="22">
        <f t="shared" si="8"/>
        <v>82221.062584266168</v>
      </c>
      <c r="F79" s="20"/>
      <c r="G79" s="22">
        <f t="shared" si="7"/>
        <v>81771.062584266168</v>
      </c>
      <c r="H79" s="22">
        <v>450</v>
      </c>
      <c r="I79" s="23">
        <v>75</v>
      </c>
      <c r="AA79">
        <v>26585.939695339403</v>
      </c>
    </row>
    <row r="80" spans="2:27" x14ac:dyDescent="0.25">
      <c r="B80" s="22">
        <f t="shared" si="5"/>
        <v>81771.062584266168</v>
      </c>
      <c r="C80" s="21">
        <v>3.5000000000000003E-2</v>
      </c>
      <c r="D80" s="22">
        <f t="shared" si="6"/>
        <v>238.49893253744301</v>
      </c>
      <c r="E80" s="22">
        <f t="shared" si="8"/>
        <v>82009.561516803617</v>
      </c>
      <c r="F80" s="20"/>
      <c r="G80" s="22">
        <f t="shared" si="7"/>
        <v>81559.561516803617</v>
      </c>
      <c r="H80" s="22">
        <v>450</v>
      </c>
      <c r="I80" s="23">
        <v>76</v>
      </c>
      <c r="AA80">
        <v>26898.692962932069</v>
      </c>
    </row>
    <row r="81" spans="2:27" x14ac:dyDescent="0.25">
      <c r="B81" s="22">
        <f t="shared" si="5"/>
        <v>81559.561516803617</v>
      </c>
      <c r="C81" s="21">
        <v>3.5000000000000003E-2</v>
      </c>
      <c r="D81" s="22">
        <f t="shared" si="6"/>
        <v>237.88205442401056</v>
      </c>
      <c r="E81" s="22">
        <f t="shared" si="8"/>
        <v>81797.443571227632</v>
      </c>
      <c r="F81" s="20"/>
      <c r="G81" s="22">
        <f t="shared" si="7"/>
        <v>81347.443571227632</v>
      </c>
      <c r="H81" s="22">
        <v>450</v>
      </c>
      <c r="I81" s="23">
        <v>77</v>
      </c>
      <c r="AA81">
        <v>27210.666297189091</v>
      </c>
    </row>
    <row r="82" spans="2:27" x14ac:dyDescent="0.25">
      <c r="B82" s="22">
        <f t="shared" si="5"/>
        <v>81347.443571227632</v>
      </c>
      <c r="C82" s="21">
        <v>3.5000000000000003E-2</v>
      </c>
      <c r="D82" s="22">
        <f t="shared" si="6"/>
        <v>237.26337708274727</v>
      </c>
      <c r="E82" s="22">
        <f t="shared" si="8"/>
        <v>81584.706948310384</v>
      </c>
      <c r="F82" s="20"/>
      <c r="G82" s="22">
        <f t="shared" si="7"/>
        <v>81134.706948310384</v>
      </c>
      <c r="H82" s="22">
        <v>450</v>
      </c>
      <c r="I82" s="23">
        <v>78</v>
      </c>
      <c r="AA82">
        <v>27521.861643081371</v>
      </c>
    </row>
    <row r="83" spans="2:27" x14ac:dyDescent="0.25">
      <c r="B83" s="22">
        <f t="shared" si="5"/>
        <v>81134.706948310384</v>
      </c>
      <c r="C83" s="21">
        <v>3.5000000000000003E-2</v>
      </c>
      <c r="D83" s="22">
        <f t="shared" si="6"/>
        <v>236.64289526590531</v>
      </c>
      <c r="E83" s="22">
        <f t="shared" si="8"/>
        <v>81371.349843576289</v>
      </c>
      <c r="F83" s="20"/>
      <c r="G83" s="22">
        <f t="shared" si="7"/>
        <v>80921.349843576289</v>
      </c>
      <c r="H83" s="22">
        <v>450</v>
      </c>
      <c r="I83" s="23">
        <v>79</v>
      </c>
      <c r="AA83">
        <v>27832.28094072955</v>
      </c>
    </row>
    <row r="84" spans="2:27" x14ac:dyDescent="0.25">
      <c r="B84" s="22">
        <f t="shared" si="5"/>
        <v>80921.349843576289</v>
      </c>
      <c r="C84" s="21">
        <v>3.5000000000000003E-2</v>
      </c>
      <c r="D84" s="22">
        <f t="shared" si="6"/>
        <v>236.02060371043086</v>
      </c>
      <c r="E84" s="22">
        <f t="shared" si="8"/>
        <v>81157.370447286725</v>
      </c>
      <c r="F84" s="20"/>
      <c r="G84" s="22">
        <f t="shared" si="7"/>
        <v>80707.370447286725</v>
      </c>
      <c r="H84" s="22">
        <v>450</v>
      </c>
      <c r="I84" s="23">
        <v>80</v>
      </c>
      <c r="AA84">
        <v>28141.926125416012</v>
      </c>
    </row>
    <row r="85" spans="2:27" x14ac:dyDescent="0.25">
      <c r="B85" s="22">
        <f t="shared" si="5"/>
        <v>80707.370447286725</v>
      </c>
      <c r="C85" s="21">
        <v>3.5000000000000003E-2</v>
      </c>
      <c r="D85" s="22">
        <f t="shared" si="6"/>
        <v>235.39649713791962</v>
      </c>
      <c r="E85" s="22">
        <f t="shared" si="8"/>
        <v>80942.766944424642</v>
      </c>
      <c r="F85" s="20"/>
      <c r="G85" s="22">
        <f t="shared" si="7"/>
        <v>80492.766944424642</v>
      </c>
      <c r="H85" s="22">
        <v>450</v>
      </c>
      <c r="I85" s="23">
        <v>81</v>
      </c>
      <c r="AA85">
        <v>28450.799127596998</v>
      </c>
    </row>
    <row r="86" spans="2:27" x14ac:dyDescent="0.25">
      <c r="B86" s="22">
        <f t="shared" si="5"/>
        <v>80492.766944424642</v>
      </c>
      <c r="C86" s="21">
        <v>3.5000000000000003E-2</v>
      </c>
      <c r="D86" s="22">
        <f t="shared" si="6"/>
        <v>234.77057025457188</v>
      </c>
      <c r="E86" s="22">
        <f t="shared" si="8"/>
        <v>80727.537514679221</v>
      </c>
      <c r="F86" s="20"/>
      <c r="G86" s="22">
        <f t="shared" si="7"/>
        <v>80277.537514679221</v>
      </c>
      <c r="H86" s="22">
        <v>450</v>
      </c>
      <c r="I86" s="23">
        <v>82</v>
      </c>
      <c r="AA86">
        <v>28758.901872914706</v>
      </c>
    </row>
    <row r="87" spans="2:27" x14ac:dyDescent="0.25">
      <c r="B87" s="22">
        <f t="shared" si="5"/>
        <v>80277.537514679221</v>
      </c>
      <c r="C87" s="21">
        <v>3.5000000000000003E-2</v>
      </c>
      <c r="D87" s="22">
        <f t="shared" si="6"/>
        <v>234.14281775114773</v>
      </c>
      <c r="E87" s="22">
        <f t="shared" si="8"/>
        <v>80511.680332430362</v>
      </c>
      <c r="F87" s="20"/>
      <c r="G87" s="22">
        <f t="shared" si="7"/>
        <v>80061.680332430362</v>
      </c>
      <c r="H87" s="22">
        <v>450</v>
      </c>
      <c r="I87" s="23">
        <v>83</v>
      </c>
      <c r="AA87">
        <v>29066.236282209182</v>
      </c>
    </row>
    <row r="88" spans="2:27" x14ac:dyDescent="0.25">
      <c r="B88" s="22">
        <f t="shared" si="5"/>
        <v>80061.680332430362</v>
      </c>
      <c r="C88" s="21">
        <v>3.5000000000000003E-2</v>
      </c>
      <c r="D88" s="22">
        <f t="shared" si="6"/>
        <v>233.51323430292189</v>
      </c>
      <c r="E88" s="22">
        <f t="shared" si="8"/>
        <v>80295.193566733287</v>
      </c>
      <c r="F88" s="20"/>
      <c r="G88" s="22">
        <f t="shared" si="7"/>
        <v>79845.193566733287</v>
      </c>
      <c r="H88" s="22">
        <v>450</v>
      </c>
      <c r="I88" s="23">
        <v>84</v>
      </c>
      <c r="AA88">
        <v>29372.804271530349</v>
      </c>
    </row>
    <row r="89" spans="2:27" x14ac:dyDescent="0.25">
      <c r="B89" s="22">
        <f t="shared" si="5"/>
        <v>79845.193566733287</v>
      </c>
      <c r="C89" s="21">
        <v>3.5000000000000003E-2</v>
      </c>
      <c r="D89" s="22">
        <f t="shared" si="6"/>
        <v>232.88181456963878</v>
      </c>
      <c r="E89" s="22">
        <f t="shared" si="8"/>
        <v>80078.07538130293</v>
      </c>
      <c r="F89" s="20"/>
      <c r="G89" s="22">
        <f t="shared" si="7"/>
        <v>79628.07538130293</v>
      </c>
      <c r="H89" s="22">
        <v>450</v>
      </c>
      <c r="I89" s="23">
        <v>85</v>
      </c>
      <c r="AA89">
        <v>29678.607752149968</v>
      </c>
    </row>
    <row r="90" spans="2:27" x14ac:dyDescent="0.25">
      <c r="B90" s="22">
        <f t="shared" si="5"/>
        <v>79628.07538130293</v>
      </c>
      <c r="C90" s="21">
        <v>3.5000000000000003E-2</v>
      </c>
      <c r="D90" s="22">
        <f t="shared" si="6"/>
        <v>232.24855319546688</v>
      </c>
      <c r="E90" s="22">
        <f t="shared" si="8"/>
        <v>79860.323934498403</v>
      </c>
      <c r="F90" s="20"/>
      <c r="G90" s="22">
        <f t="shared" si="7"/>
        <v>79410.323934498403</v>
      </c>
      <c r="H90" s="22">
        <v>450</v>
      </c>
      <c r="I90" s="23">
        <v>86</v>
      </c>
      <c r="AA90">
        <v>29983.64863057352</v>
      </c>
    </row>
    <row r="91" spans="2:27" x14ac:dyDescent="0.25">
      <c r="B91" s="22">
        <f t="shared" si="5"/>
        <v>79410.323934498403</v>
      </c>
      <c r="C91" s="21">
        <v>3.5000000000000003E-2</v>
      </c>
      <c r="D91" s="22">
        <f t="shared" si="6"/>
        <v>231.61344480895369</v>
      </c>
      <c r="E91" s="22">
        <f t="shared" si="8"/>
        <v>79641.937379307361</v>
      </c>
      <c r="F91" s="20"/>
      <c r="G91" s="22">
        <f t="shared" si="7"/>
        <v>79191.937379307361</v>
      </c>
      <c r="H91" s="22">
        <v>450</v>
      </c>
      <c r="I91" s="23">
        <v>87</v>
      </c>
      <c r="AA91">
        <v>30287.92880855214</v>
      </c>
    </row>
    <row r="92" spans="2:27" x14ac:dyDescent="0.25">
      <c r="B92" s="22">
        <f t="shared" si="5"/>
        <v>79191.937379307361</v>
      </c>
      <c r="C92" s="21">
        <v>3.5000000000000003E-2</v>
      </c>
      <c r="D92" s="22">
        <f t="shared" si="6"/>
        <v>230.9764840229798</v>
      </c>
      <c r="E92" s="22">
        <f t="shared" si="8"/>
        <v>79422.913863330337</v>
      </c>
      <c r="F92" s="20"/>
      <c r="G92" s="22">
        <f t="shared" si="7"/>
        <v>78972.913863330337</v>
      </c>
      <c r="H92" s="22">
        <v>450</v>
      </c>
      <c r="I92" s="23">
        <v>88</v>
      </c>
      <c r="AA92">
        <v>30591.450183094395</v>
      </c>
    </row>
    <row r="93" spans="2:27" x14ac:dyDescent="0.25">
      <c r="B93" s="22">
        <f t="shared" ref="B93:B156" si="9">G92</f>
        <v>78972.913863330337</v>
      </c>
      <c r="C93" s="21">
        <v>3.5000000000000003E-2</v>
      </c>
      <c r="D93" s="22">
        <f t="shared" si="6"/>
        <v>230.3376654347135</v>
      </c>
      <c r="E93" s="22">
        <f t="shared" si="8"/>
        <v>79203.251528765046</v>
      </c>
      <c r="F93" s="20"/>
      <c r="G93" s="22">
        <f t="shared" si="7"/>
        <v>78753.251528765046</v>
      </c>
      <c r="H93" s="22">
        <v>450</v>
      </c>
      <c r="I93" s="23">
        <v>89</v>
      </c>
      <c r="AA93">
        <v>30894.214646478202</v>
      </c>
    </row>
    <row r="94" spans="2:27" x14ac:dyDescent="0.25">
      <c r="B94" s="22">
        <f t="shared" si="9"/>
        <v>78753.251528765046</v>
      </c>
      <c r="C94" s="21">
        <v>3.5000000000000003E-2</v>
      </c>
      <c r="D94" s="22">
        <f t="shared" si="6"/>
        <v>229.69698362556474</v>
      </c>
      <c r="E94" s="22">
        <f t="shared" si="8"/>
        <v>78982.948512390605</v>
      </c>
      <c r="F94" s="20"/>
      <c r="G94" s="22">
        <f t="shared" si="7"/>
        <v>78532.948512390605</v>
      </c>
      <c r="H94" s="22">
        <v>450</v>
      </c>
      <c r="I94" s="23">
        <v>90</v>
      </c>
      <c r="AA94">
        <v>31196.224086262526</v>
      </c>
    </row>
    <row r="95" spans="2:27" x14ac:dyDescent="0.25">
      <c r="B95" s="22">
        <f t="shared" si="9"/>
        <v>78532.948512390605</v>
      </c>
      <c r="C95" s="21">
        <v>3.5000000000000003E-2</v>
      </c>
      <c r="D95" s="22">
        <f t="shared" si="6"/>
        <v>229.05443316113929</v>
      </c>
      <c r="E95" s="22">
        <f t="shared" si="8"/>
        <v>78762.002945551751</v>
      </c>
      <c r="F95" s="20"/>
      <c r="G95" s="22">
        <f t="shared" si="7"/>
        <v>78312.002945551751</v>
      </c>
      <c r="H95" s="22">
        <v>450</v>
      </c>
      <c r="I95" s="23">
        <v>91</v>
      </c>
      <c r="AA95">
        <v>31497.480385299281</v>
      </c>
    </row>
    <row r="96" spans="2:27" x14ac:dyDescent="0.25">
      <c r="B96" s="22">
        <f t="shared" si="9"/>
        <v>78312.002945551751</v>
      </c>
      <c r="C96" s="21">
        <v>3.5000000000000003E-2</v>
      </c>
      <c r="D96" s="22">
        <f t="shared" si="6"/>
        <v>228.41000859119262</v>
      </c>
      <c r="E96" s="22">
        <f t="shared" si="8"/>
        <v>78540.412954142943</v>
      </c>
      <c r="F96" s="20"/>
      <c r="G96" s="22">
        <f t="shared" si="7"/>
        <v>78090.412954142943</v>
      </c>
      <c r="H96" s="22">
        <v>450</v>
      </c>
      <c r="I96" s="23">
        <v>92</v>
      </c>
      <c r="AA96">
        <v>31797.985421744906</v>
      </c>
    </row>
    <row r="97" spans="2:27" x14ac:dyDescent="0.25">
      <c r="B97" s="22">
        <f t="shared" si="9"/>
        <v>78090.412954142943</v>
      </c>
      <c r="C97" s="21">
        <v>3.5000000000000003E-2</v>
      </c>
      <c r="D97" s="22">
        <f t="shared" si="6"/>
        <v>227.7637044495836</v>
      </c>
      <c r="E97" s="22">
        <f t="shared" si="8"/>
        <v>78318.176658592522</v>
      </c>
      <c r="F97" s="20"/>
      <c r="G97" s="22">
        <f t="shared" si="7"/>
        <v>77868.176658592522</v>
      </c>
      <c r="H97" s="22">
        <v>450</v>
      </c>
      <c r="I97" s="23">
        <v>93</v>
      </c>
      <c r="AA97">
        <v>32097.741069072224</v>
      </c>
    </row>
    <row r="98" spans="2:27" x14ac:dyDescent="0.25">
      <c r="B98" s="22">
        <f t="shared" si="9"/>
        <v>77868.176658592522</v>
      </c>
      <c r="C98" s="21">
        <v>3.5000000000000003E-2</v>
      </c>
      <c r="D98" s="22">
        <f t="shared" si="6"/>
        <v>227.1155152542282</v>
      </c>
      <c r="E98" s="22">
        <f t="shared" si="8"/>
        <v>78095.292173846756</v>
      </c>
      <c r="F98" s="20"/>
      <c r="G98" s="22">
        <f t="shared" si="7"/>
        <v>77645.292173846756</v>
      </c>
      <c r="H98" s="22">
        <v>450</v>
      </c>
      <c r="I98" s="23">
        <v>94</v>
      </c>
      <c r="AA98">
        <v>32396.749196082019</v>
      </c>
    </row>
    <row r="99" spans="2:27" x14ac:dyDescent="0.25">
      <c r="B99" s="22">
        <f t="shared" si="9"/>
        <v>77645.292173846756</v>
      </c>
      <c r="C99" s="21">
        <v>3.5000000000000003E-2</v>
      </c>
      <c r="D99" s="22">
        <f t="shared" si="6"/>
        <v>226.46543550705306</v>
      </c>
      <c r="E99" s="22">
        <f t="shared" si="8"/>
        <v>77871.757609353808</v>
      </c>
      <c r="F99" s="20"/>
      <c r="G99" s="22">
        <f t="shared" si="7"/>
        <v>77421.757609353808</v>
      </c>
      <c r="H99" s="22">
        <v>450</v>
      </c>
      <c r="I99" s="23">
        <v>95</v>
      </c>
      <c r="AA99">
        <v>32695.011666914725</v>
      </c>
    </row>
    <row r="100" spans="2:27" x14ac:dyDescent="0.25">
      <c r="B100" s="22">
        <f t="shared" si="9"/>
        <v>77421.757609353808</v>
      </c>
      <c r="C100" s="21">
        <v>3.5000000000000003E-2</v>
      </c>
      <c r="D100" s="22">
        <f t="shared" si="6"/>
        <v>225.81345969394863</v>
      </c>
      <c r="E100" s="22">
        <f t="shared" si="8"/>
        <v>77647.571069047757</v>
      </c>
      <c r="F100" s="20"/>
      <c r="G100" s="22">
        <f t="shared" si="7"/>
        <v>77197.571069047757</v>
      </c>
      <c r="H100" s="22">
        <v>450</v>
      </c>
      <c r="I100" s="23">
        <v>96</v>
      </c>
      <c r="AA100">
        <v>32992.530341062062</v>
      </c>
    </row>
    <row r="101" spans="2:27" x14ac:dyDescent="0.25">
      <c r="B101" s="22">
        <f t="shared" si="9"/>
        <v>77197.571069047757</v>
      </c>
      <c r="C101" s="21">
        <v>3.5000000000000003E-2</v>
      </c>
      <c r="D101" s="22">
        <f t="shared" si="6"/>
        <v>225.15958228472263</v>
      </c>
      <c r="E101" s="22">
        <f t="shared" si="8"/>
        <v>77422.730651332473</v>
      </c>
      <c r="F101" s="20"/>
      <c r="G101" s="22">
        <f t="shared" si="7"/>
        <v>76972.730651332473</v>
      </c>
      <c r="H101" s="22">
        <v>450</v>
      </c>
      <c r="I101" s="23">
        <v>97</v>
      </c>
      <c r="AA101">
        <v>33289.307073378593</v>
      </c>
    </row>
    <row r="102" spans="2:27" x14ac:dyDescent="0.25">
      <c r="B102" s="22">
        <f t="shared" si="9"/>
        <v>76972.730651332473</v>
      </c>
      <c r="C102" s="21">
        <v>3.5000000000000003E-2</v>
      </c>
      <c r="D102" s="22">
        <f t="shared" si="6"/>
        <v>224.50379773305306</v>
      </c>
      <c r="E102" s="22">
        <f t="shared" si="8"/>
        <v>77197.234449065523</v>
      </c>
      <c r="F102" s="20"/>
      <c r="G102" s="22">
        <f t="shared" si="7"/>
        <v>76747.234449065523</v>
      </c>
      <c r="H102" s="22">
        <v>450</v>
      </c>
      <c r="I102" s="23">
        <v>98</v>
      </c>
      <c r="AA102">
        <v>33585.34371409336</v>
      </c>
    </row>
    <row r="103" spans="2:27" x14ac:dyDescent="0.25">
      <c r="B103" s="22">
        <f t="shared" si="9"/>
        <v>76747.234449065523</v>
      </c>
      <c r="C103" s="21">
        <v>3.5000000000000003E-2</v>
      </c>
      <c r="D103" s="22">
        <f t="shared" si="6"/>
        <v>223.84610047644111</v>
      </c>
      <c r="E103" s="22">
        <f t="shared" si="8"/>
        <v>76971.080549541963</v>
      </c>
      <c r="F103" s="20"/>
      <c r="G103" s="22">
        <f t="shared" si="7"/>
        <v>76521.080549541963</v>
      </c>
      <c r="H103" s="22">
        <v>450</v>
      </c>
      <c r="I103" s="23">
        <v>99</v>
      </c>
      <c r="AA103">
        <v>33880.642108821303</v>
      </c>
    </row>
    <row r="104" spans="2:27" x14ac:dyDescent="0.25">
      <c r="B104" s="22">
        <f t="shared" si="9"/>
        <v>76521.080549541963</v>
      </c>
      <c r="C104" s="21">
        <v>3.5000000000000003E-2</v>
      </c>
      <c r="D104" s="22">
        <f t="shared" si="6"/>
        <v>223.18648493616408</v>
      </c>
      <c r="E104" s="22">
        <f t="shared" si="8"/>
        <v>76744.267034478122</v>
      </c>
      <c r="F104" s="20"/>
      <c r="G104" s="22">
        <f t="shared" si="7"/>
        <v>76294.267034478122</v>
      </c>
      <c r="H104" s="22">
        <v>450</v>
      </c>
      <c r="I104" s="23">
        <v>100</v>
      </c>
      <c r="AA104">
        <v>34175.204098574861</v>
      </c>
    </row>
    <row r="105" spans="2:27" x14ac:dyDescent="0.25">
      <c r="B105" s="22">
        <f t="shared" si="9"/>
        <v>76294.267034478122</v>
      </c>
      <c r="C105" s="21">
        <v>3.5000000000000003E-2</v>
      </c>
      <c r="D105" s="22">
        <f t="shared" si="6"/>
        <v>222.52494551722788</v>
      </c>
      <c r="E105" s="22">
        <f t="shared" si="8"/>
        <v>76516.791979995352</v>
      </c>
      <c r="F105" s="20"/>
      <c r="G105" s="22">
        <f t="shared" si="7"/>
        <v>76066.791979995352</v>
      </c>
      <c r="H105" s="22">
        <v>450</v>
      </c>
      <c r="I105" s="23">
        <v>101</v>
      </c>
      <c r="AA105">
        <v>34469.031519775424</v>
      </c>
    </row>
    <row r="106" spans="2:27" x14ac:dyDescent="0.25">
      <c r="B106" s="22">
        <f t="shared" si="9"/>
        <v>76066.791979995352</v>
      </c>
      <c r="C106" s="21">
        <v>3.5000000000000003E-2</v>
      </c>
      <c r="D106" s="22">
        <f t="shared" si="6"/>
        <v>221.86147660831978</v>
      </c>
      <c r="E106" s="22">
        <f t="shared" si="8"/>
        <v>76288.653456603672</v>
      </c>
      <c r="F106" s="20"/>
      <c r="G106" s="22">
        <f t="shared" si="7"/>
        <v>75838.653456603672</v>
      </c>
      <c r="H106" s="22">
        <v>450</v>
      </c>
      <c r="I106" s="23">
        <v>102</v>
      </c>
      <c r="AA106">
        <v>34762.126204264736</v>
      </c>
    </row>
    <row r="107" spans="2:27" x14ac:dyDescent="0.25">
      <c r="B107" s="22">
        <f t="shared" si="9"/>
        <v>75838.653456603672</v>
      </c>
      <c r="C107" s="21">
        <v>3.5000000000000003E-2</v>
      </c>
      <c r="D107" s="22">
        <f t="shared" si="6"/>
        <v>221.19607258176072</v>
      </c>
      <c r="E107" s="22">
        <f t="shared" si="8"/>
        <v>76059.849529185434</v>
      </c>
      <c r="F107" s="20"/>
      <c r="G107" s="22">
        <f t="shared" si="7"/>
        <v>75609.849529185434</v>
      </c>
      <c r="H107" s="22">
        <v>450</v>
      </c>
      <c r="I107" s="23">
        <v>103</v>
      </c>
      <c r="AA107">
        <v>35054.489979316459</v>
      </c>
    </row>
    <row r="108" spans="2:27" x14ac:dyDescent="0.25">
      <c r="B108" s="22">
        <f t="shared" si="9"/>
        <v>75609.849529185434</v>
      </c>
      <c r="C108" s="21">
        <v>3.5000000000000003E-2</v>
      </c>
      <c r="D108" s="22">
        <f t="shared" si="6"/>
        <v>220.52872779345753</v>
      </c>
      <c r="E108" s="22">
        <f t="shared" si="8"/>
        <v>75830.378256978889</v>
      </c>
      <c r="F108" s="20"/>
      <c r="G108" s="22">
        <f t="shared" si="7"/>
        <v>75380.378256978889</v>
      </c>
      <c r="H108" s="22">
        <v>450</v>
      </c>
      <c r="I108" s="23">
        <v>104</v>
      </c>
      <c r="AA108">
        <v>35346.124667647331</v>
      </c>
    </row>
    <row r="109" spans="2:27" x14ac:dyDescent="0.25">
      <c r="B109" s="22">
        <f t="shared" si="9"/>
        <v>75380.378256978889</v>
      </c>
      <c r="C109" s="21">
        <v>3.5000000000000003E-2</v>
      </c>
      <c r="D109" s="22">
        <f t="shared" si="6"/>
        <v>219.8594365828551</v>
      </c>
      <c r="E109" s="22">
        <f t="shared" si="8"/>
        <v>75600.23769356175</v>
      </c>
      <c r="F109" s="20"/>
      <c r="G109" s="22">
        <f t="shared" si="7"/>
        <v>75150.23769356175</v>
      </c>
      <c r="H109" s="22">
        <v>450</v>
      </c>
      <c r="I109" s="23">
        <v>105</v>
      </c>
      <c r="AA109">
        <v>35637.03208742875</v>
      </c>
    </row>
    <row r="110" spans="2:27" x14ac:dyDescent="0.25">
      <c r="B110" s="22">
        <f t="shared" si="9"/>
        <v>75150.23769356175</v>
      </c>
      <c r="C110" s="21">
        <v>3.5000000000000003E-2</v>
      </c>
      <c r="D110" s="22">
        <f t="shared" si="6"/>
        <v>219.18819327288844</v>
      </c>
      <c r="E110" s="22">
        <f t="shared" si="8"/>
        <v>75369.425886834637</v>
      </c>
      <c r="F110" s="20"/>
      <c r="G110" s="22">
        <f t="shared" si="7"/>
        <v>74919.425886834637</v>
      </c>
      <c r="H110" s="22">
        <v>450</v>
      </c>
      <c r="I110" s="23">
        <v>106</v>
      </c>
      <c r="AA110">
        <v>35927.214052297997</v>
      </c>
    </row>
    <row r="111" spans="2:27" x14ac:dyDescent="0.25">
      <c r="B111" s="22">
        <f t="shared" si="9"/>
        <v>74919.425886834637</v>
      </c>
      <c r="C111" s="21">
        <v>3.5000000000000003E-2</v>
      </c>
      <c r="D111" s="22">
        <f t="shared" si="6"/>
        <v>218.51499216993437</v>
      </c>
      <c r="E111" s="22">
        <f t="shared" si="8"/>
        <v>75137.940879004571</v>
      </c>
      <c r="F111" s="20"/>
      <c r="G111" s="22">
        <f t="shared" si="7"/>
        <v>74687.940879004571</v>
      </c>
      <c r="H111" s="22">
        <v>450</v>
      </c>
      <c r="I111" s="23">
        <v>107</v>
      </c>
      <c r="AA111">
        <v>36216.672371369568</v>
      </c>
    </row>
    <row r="112" spans="2:27" x14ac:dyDescent="0.25">
      <c r="B112" s="22">
        <f t="shared" si="9"/>
        <v>74687.940879004571</v>
      </c>
      <c r="C112" s="21">
        <v>3.5000000000000003E-2</v>
      </c>
      <c r="D112" s="22">
        <f t="shared" si="6"/>
        <v>217.83982756376335</v>
      </c>
      <c r="E112" s="22">
        <f t="shared" si="8"/>
        <v>74905.78070656833</v>
      </c>
      <c r="F112" s="20"/>
      <c r="G112" s="22">
        <f t="shared" si="7"/>
        <v>74455.78070656833</v>
      </c>
      <c r="H112" s="22">
        <v>450</v>
      </c>
      <c r="I112" s="23">
        <v>108</v>
      </c>
      <c r="AA112">
        <v>36505.408849246443</v>
      </c>
    </row>
    <row r="113" spans="2:27" x14ac:dyDescent="0.25">
      <c r="B113" s="22">
        <f t="shared" si="9"/>
        <v>74455.78070656833</v>
      </c>
      <c r="C113" s="21">
        <v>3.5000000000000003E-2</v>
      </c>
      <c r="D113" s="22">
        <f t="shared" si="6"/>
        <v>217.16269372749096</v>
      </c>
      <c r="E113" s="22">
        <f t="shared" si="8"/>
        <v>74672.943400295815</v>
      </c>
      <c r="F113" s="20"/>
      <c r="G113" s="22">
        <f t="shared" si="7"/>
        <v>74222.943400295815</v>
      </c>
      <c r="H113" s="22">
        <v>450</v>
      </c>
      <c r="I113" s="23">
        <v>109</v>
      </c>
      <c r="AA113">
        <v>36793.425286031365</v>
      </c>
    </row>
    <row r="114" spans="2:27" x14ac:dyDescent="0.25">
      <c r="B114" s="22">
        <f t="shared" si="9"/>
        <v>74222.943400295815</v>
      </c>
      <c r="C114" s="21">
        <v>3.5000000000000003E-2</v>
      </c>
      <c r="D114" s="22">
        <f t="shared" si="6"/>
        <v>216.48358491752947</v>
      </c>
      <c r="E114" s="22">
        <f t="shared" si="8"/>
        <v>74439.426985213344</v>
      </c>
      <c r="F114" s="20"/>
      <c r="G114" s="22">
        <f t="shared" si="7"/>
        <v>73989.426985213344</v>
      </c>
      <c r="H114" s="22">
        <v>450</v>
      </c>
      <c r="I114" s="23">
        <v>110</v>
      </c>
      <c r="AA114">
        <v>37080.723477338019</v>
      </c>
    </row>
    <row r="115" spans="2:27" x14ac:dyDescent="0.25">
      <c r="B115" s="22">
        <f t="shared" si="9"/>
        <v>73989.426985213344</v>
      </c>
      <c r="C115" s="21">
        <v>3.5000000000000003E-2</v>
      </c>
      <c r="D115" s="22">
        <f t="shared" si="6"/>
        <v>215.80249537353893</v>
      </c>
      <c r="E115" s="22">
        <f t="shared" si="8"/>
        <v>74205.229480586888</v>
      </c>
      <c r="F115" s="20"/>
      <c r="G115" s="22">
        <f t="shared" si="7"/>
        <v>73755.229480586888</v>
      </c>
      <c r="H115" s="22">
        <v>450</v>
      </c>
      <c r="I115" s="23">
        <v>111</v>
      </c>
      <c r="AA115">
        <v>37367.305214302251</v>
      </c>
    </row>
    <row r="116" spans="2:27" x14ac:dyDescent="0.25">
      <c r="B116" s="22">
        <f t="shared" si="9"/>
        <v>73755.229480586888</v>
      </c>
      <c r="C116" s="21">
        <v>3.5000000000000003E-2</v>
      </c>
      <c r="D116" s="22">
        <f t="shared" si="6"/>
        <v>215.11941931837842</v>
      </c>
      <c r="E116" s="22">
        <f t="shared" si="8"/>
        <v>73970.348899905264</v>
      </c>
      <c r="F116" s="20"/>
      <c r="G116" s="22">
        <f t="shared" si="7"/>
        <v>73520.348899905264</v>
      </c>
      <c r="H116" s="22">
        <v>450</v>
      </c>
      <c r="I116" s="23">
        <v>112</v>
      </c>
      <c r="AA116">
        <v>37653.172283593252</v>
      </c>
    </row>
    <row r="117" spans="2:27" x14ac:dyDescent="0.25">
      <c r="B117" s="22">
        <f t="shared" si="9"/>
        <v>73520.348899905264</v>
      </c>
      <c r="C117" s="21">
        <v>3.5000000000000003E-2</v>
      </c>
      <c r="D117" s="22">
        <f t="shared" si="6"/>
        <v>214.43435095805702</v>
      </c>
      <c r="E117" s="22">
        <f t="shared" si="8"/>
        <v>73734.783250863315</v>
      </c>
      <c r="F117" s="20"/>
      <c r="G117" s="22">
        <f t="shared" si="7"/>
        <v>73284.783250863315</v>
      </c>
      <c r="H117" s="22">
        <v>450</v>
      </c>
      <c r="I117" s="23">
        <v>113</v>
      </c>
      <c r="AA117">
        <v>37938.326467424697</v>
      </c>
    </row>
    <row r="118" spans="2:27" x14ac:dyDescent="0.25">
      <c r="B118" s="22">
        <f t="shared" si="9"/>
        <v>73284.783250863315</v>
      </c>
      <c r="C118" s="21">
        <v>3.5000000000000003E-2</v>
      </c>
      <c r="D118" s="22">
        <f t="shared" si="6"/>
        <v>213.74728448168469</v>
      </c>
      <c r="E118" s="22">
        <f t="shared" si="8"/>
        <v>73498.530535344995</v>
      </c>
      <c r="F118" s="20"/>
      <c r="G118" s="22">
        <f t="shared" si="7"/>
        <v>73048.530535344995</v>
      </c>
      <c r="H118" s="22">
        <v>450</v>
      </c>
      <c r="I118" s="23">
        <v>114</v>
      </c>
      <c r="AA118">
        <v>38222.769543565766</v>
      </c>
    </row>
    <row r="119" spans="2:27" x14ac:dyDescent="0.25">
      <c r="B119" s="22">
        <f t="shared" si="9"/>
        <v>73048.530535344995</v>
      </c>
      <c r="C119" s="21">
        <v>3.5000000000000003E-2</v>
      </c>
      <c r="D119" s="22">
        <f t="shared" si="6"/>
        <v>213.05821406142292</v>
      </c>
      <c r="E119" s="22">
        <f t="shared" si="8"/>
        <v>73261.588749406423</v>
      </c>
      <c r="F119" s="20"/>
      <c r="G119" s="22">
        <f t="shared" si="7"/>
        <v>72811.588749406423</v>
      </c>
      <c r="H119" s="22">
        <v>450</v>
      </c>
      <c r="I119" s="23">
        <v>115</v>
      </c>
      <c r="AA119">
        <v>38506.503285352388</v>
      </c>
    </row>
    <row r="120" spans="2:27" x14ac:dyDescent="0.25">
      <c r="B120" s="22">
        <f t="shared" si="9"/>
        <v>72811.588749406423</v>
      </c>
      <c r="C120" s="21">
        <v>3.5000000000000003E-2</v>
      </c>
      <c r="D120" s="22">
        <f t="shared" si="6"/>
        <v>212.36713385243542</v>
      </c>
      <c r="E120" s="22">
        <f t="shared" si="8"/>
        <v>73023.955883258852</v>
      </c>
      <c r="F120" s="20"/>
      <c r="G120" s="22">
        <f t="shared" si="7"/>
        <v>72573.955883258852</v>
      </c>
      <c r="H120" s="22">
        <v>450</v>
      </c>
      <c r="I120" s="23">
        <v>116</v>
      </c>
      <c r="AA120">
        <v>38789.529461698134</v>
      </c>
    </row>
    <row r="121" spans="2:27" x14ac:dyDescent="0.25">
      <c r="B121" s="22">
        <f t="shared" si="9"/>
        <v>72573.955883258852</v>
      </c>
      <c r="C121" s="21">
        <v>3.5000000000000003E-2</v>
      </c>
      <c r="D121" s="22">
        <f t="shared" si="6"/>
        <v>211.67403799283832</v>
      </c>
      <c r="E121" s="22">
        <f t="shared" si="8"/>
        <v>72785.62992125169</v>
      </c>
      <c r="F121" s="20"/>
      <c r="G121" s="22">
        <f t="shared" si="7"/>
        <v>72335.62992125169</v>
      </c>
      <c r="H121" s="22">
        <v>450</v>
      </c>
      <c r="I121" s="23">
        <v>117</v>
      </c>
      <c r="AA121">
        <v>39071.849837105357</v>
      </c>
    </row>
    <row r="122" spans="2:27" x14ac:dyDescent="0.25">
      <c r="B122" s="22">
        <f t="shared" si="9"/>
        <v>72335.62992125169</v>
      </c>
      <c r="C122" s="21">
        <v>3.5000000000000003E-2</v>
      </c>
      <c r="D122" s="22">
        <f t="shared" si="6"/>
        <v>210.97892060365078</v>
      </c>
      <c r="E122" s="22">
        <f t="shared" si="8"/>
        <v>72546.608841855341</v>
      </c>
      <c r="F122" s="20"/>
      <c r="G122" s="22">
        <f t="shared" si="7"/>
        <v>72096.608841855341</v>
      </c>
      <c r="H122" s="22">
        <v>450</v>
      </c>
      <c r="I122" s="23">
        <v>118</v>
      </c>
      <c r="AA122">
        <v>39353.466171676162</v>
      </c>
    </row>
    <row r="123" spans="2:27" x14ac:dyDescent="0.25">
      <c r="B123" s="22">
        <f t="shared" si="9"/>
        <v>72096.608841855341</v>
      </c>
      <c r="C123" s="21">
        <v>3.5000000000000003E-2</v>
      </c>
      <c r="D123" s="22">
        <f t="shared" si="6"/>
        <v>210.28177578874477</v>
      </c>
      <c r="E123" s="22">
        <f t="shared" si="8"/>
        <v>72306.89061764408</v>
      </c>
      <c r="F123" s="20"/>
      <c r="G123" s="22">
        <f t="shared" si="7"/>
        <v>71856.89061764408</v>
      </c>
      <c r="H123" s="22">
        <v>450</v>
      </c>
      <c r="I123" s="23">
        <v>119</v>
      </c>
      <c r="AA123">
        <v>39634.380221123356</v>
      </c>
    </row>
    <row r="124" spans="2:27" x14ac:dyDescent="0.25">
      <c r="B124" s="22">
        <f t="shared" si="9"/>
        <v>71856.89061764408</v>
      </c>
      <c r="C124" s="21">
        <v>3.5000000000000003E-2</v>
      </c>
      <c r="D124" s="22">
        <f t="shared" si="6"/>
        <v>209.58259763479523</v>
      </c>
      <c r="E124" s="22">
        <f t="shared" si="8"/>
        <v>72066.473215278878</v>
      </c>
      <c r="F124" s="20"/>
      <c r="G124" s="22">
        <f t="shared" si="7"/>
        <v>71616.473215278878</v>
      </c>
      <c r="H124" s="22">
        <v>450</v>
      </c>
      <c r="I124" s="23">
        <v>120</v>
      </c>
      <c r="AA124">
        <v>39914.593736781389</v>
      </c>
    </row>
    <row r="125" spans="2:27" x14ac:dyDescent="0.25">
      <c r="B125" s="22">
        <f t="shared" si="9"/>
        <v>71616.473215278878</v>
      </c>
      <c r="C125" s="21">
        <v>3.5000000000000003E-2</v>
      </c>
      <c r="D125" s="22">
        <f t="shared" si="6"/>
        <v>208.88138021123007</v>
      </c>
      <c r="E125" s="22">
        <f t="shared" si="8"/>
        <v>71825.354595490106</v>
      </c>
      <c r="F125" s="20"/>
      <c r="G125" s="22">
        <f t="shared" si="7"/>
        <v>71375.354595490106</v>
      </c>
      <c r="H125" s="22">
        <v>450</v>
      </c>
      <c r="I125" s="23">
        <v>121</v>
      </c>
      <c r="AA125">
        <v>40194.108465617333</v>
      </c>
    </row>
    <row r="126" spans="2:27" x14ac:dyDescent="0.25">
      <c r="B126" s="22">
        <f t="shared" si="9"/>
        <v>71375.354595490106</v>
      </c>
      <c r="C126" s="21">
        <v>3.5000000000000003E-2</v>
      </c>
      <c r="D126" s="22">
        <f t="shared" si="6"/>
        <v>208.1781175701795</v>
      </c>
      <c r="E126" s="22">
        <f t="shared" si="8"/>
        <v>71583.532713060282</v>
      </c>
      <c r="F126" s="20"/>
      <c r="G126" s="22">
        <f t="shared" si="7"/>
        <v>71133.532713060282</v>
      </c>
      <c r="H126" s="22">
        <v>450</v>
      </c>
      <c r="I126" s="23">
        <v>122</v>
      </c>
      <c r="AA126">
        <v>40472.926150241736</v>
      </c>
    </row>
    <row r="127" spans="2:27" x14ac:dyDescent="0.25">
      <c r="B127" s="22">
        <f t="shared" si="9"/>
        <v>71133.532713060282</v>
      </c>
      <c r="C127" s="21">
        <v>3.5000000000000003E-2</v>
      </c>
      <c r="D127" s="22">
        <f t="shared" si="6"/>
        <v>207.47280374642583</v>
      </c>
      <c r="E127" s="22">
        <f t="shared" si="8"/>
        <v>71341.005516806705</v>
      </c>
      <c r="F127" s="20"/>
      <c r="G127" s="22">
        <f t="shared" si="7"/>
        <v>70891.005516806705</v>
      </c>
      <c r="H127" s="22">
        <v>450</v>
      </c>
      <c r="I127" s="23">
        <v>123</v>
      </c>
      <c r="AA127">
        <v>40751.048528919418</v>
      </c>
    </row>
    <row r="128" spans="2:27" x14ac:dyDescent="0.25">
      <c r="B128" s="22">
        <f t="shared" si="9"/>
        <v>70891.005516806705</v>
      </c>
      <c r="C128" s="21">
        <v>3.5000000000000003E-2</v>
      </c>
      <c r="D128" s="22">
        <f t="shared" si="6"/>
        <v>206.7654327573529</v>
      </c>
      <c r="E128" s="22">
        <f t="shared" si="8"/>
        <v>71097.770949564059</v>
      </c>
      <c r="F128" s="20"/>
      <c r="G128" s="22">
        <f t="shared" si="7"/>
        <v>70647.770949564059</v>
      </c>
      <c r="H128" s="22">
        <v>450</v>
      </c>
      <c r="I128" s="23">
        <v>124</v>
      </c>
      <c r="AA128">
        <v>41028.477335580465</v>
      </c>
    </row>
    <row r="129" spans="2:27" x14ac:dyDescent="0.25">
      <c r="B129" s="22">
        <f t="shared" si="9"/>
        <v>70647.770949564059</v>
      </c>
      <c r="C129" s="21">
        <v>3.5000000000000003E-2</v>
      </c>
      <c r="D129" s="22">
        <f t="shared" si="6"/>
        <v>206.05599860289519</v>
      </c>
      <c r="E129" s="22">
        <f t="shared" si="8"/>
        <v>70853.826948166956</v>
      </c>
      <c r="F129" s="20"/>
      <c r="G129" s="22">
        <f t="shared" si="7"/>
        <v>70403.826948166956</v>
      </c>
      <c r="H129" s="22">
        <v>450</v>
      </c>
      <c r="I129" s="23">
        <v>125</v>
      </c>
      <c r="AA129">
        <v>41305.214299830892</v>
      </c>
    </row>
    <row r="130" spans="2:27" x14ac:dyDescent="0.25">
      <c r="B130" s="22">
        <f t="shared" si="9"/>
        <v>70403.826948166956</v>
      </c>
      <c r="C130" s="21">
        <v>3.5000000000000003E-2</v>
      </c>
      <c r="D130" s="22">
        <f t="shared" si="6"/>
        <v>205.34449526548696</v>
      </c>
      <c r="E130" s="22">
        <f t="shared" si="8"/>
        <v>70609.171443432439</v>
      </c>
      <c r="F130" s="20"/>
      <c r="G130" s="22">
        <f t="shared" si="7"/>
        <v>70159.171443432439</v>
      </c>
      <c r="H130" s="22">
        <v>450</v>
      </c>
      <c r="I130" s="23">
        <v>126</v>
      </c>
      <c r="AA130">
        <v>41581.261146963479</v>
      </c>
    </row>
    <row r="131" spans="2:27" x14ac:dyDescent="0.25">
      <c r="B131" s="22">
        <f t="shared" si="9"/>
        <v>70159.171443432439</v>
      </c>
      <c r="C131" s="21">
        <v>3.5000000000000003E-2</v>
      </c>
      <c r="D131" s="22">
        <f t="shared" si="6"/>
        <v>204.63091671001129</v>
      </c>
      <c r="E131" s="22">
        <f t="shared" si="8"/>
        <v>70363.80236014245</v>
      </c>
      <c r="F131" s="20"/>
      <c r="G131" s="22">
        <f t="shared" si="7"/>
        <v>69913.80236014245</v>
      </c>
      <c r="H131" s="22">
        <v>450</v>
      </c>
      <c r="I131" s="23">
        <v>127</v>
      </c>
      <c r="AA131">
        <v>41856.619597968536</v>
      </c>
    </row>
    <row r="132" spans="2:27" x14ac:dyDescent="0.25">
      <c r="B132" s="22">
        <f t="shared" si="9"/>
        <v>69913.80236014245</v>
      </c>
      <c r="C132" s="21">
        <v>3.5000000000000003E-2</v>
      </c>
      <c r="D132" s="22">
        <f t="shared" si="6"/>
        <v>203.91525688374881</v>
      </c>
      <c r="E132" s="22">
        <f t="shared" si="8"/>
        <v>70117.717617026196</v>
      </c>
      <c r="F132" s="20"/>
      <c r="G132" s="22">
        <f t="shared" si="7"/>
        <v>69667.717617026196</v>
      </c>
      <c r="H132" s="22">
        <v>450</v>
      </c>
      <c r="I132" s="23">
        <v>128</v>
      </c>
      <c r="AA132">
        <v>42131.29136954467</v>
      </c>
    </row>
    <row r="133" spans="2:27" x14ac:dyDescent="0.25">
      <c r="B133" s="22">
        <f t="shared" si="9"/>
        <v>69667.717617026196</v>
      </c>
      <c r="C133" s="21">
        <v>3.5000000000000003E-2</v>
      </c>
      <c r="D133" s="22">
        <f t="shared" si="6"/>
        <v>203.19750971632641</v>
      </c>
      <c r="E133" s="22">
        <f t="shared" si="8"/>
        <v>69870.915126742519</v>
      </c>
      <c r="F133" s="20"/>
      <c r="G133" s="22">
        <f t="shared" si="7"/>
        <v>69420.915126742519</v>
      </c>
      <c r="H133" s="22">
        <v>450</v>
      </c>
      <c r="I133" s="23">
        <v>129</v>
      </c>
      <c r="AA133">
        <v>42405.278174109408</v>
      </c>
    </row>
    <row r="134" spans="2:27" x14ac:dyDescent="0.25">
      <c r="B134" s="22">
        <f t="shared" si="9"/>
        <v>69420.915126742519</v>
      </c>
      <c r="C134" s="21">
        <v>3.5000000000000003E-2</v>
      </c>
      <c r="D134" s="22">
        <f t="shared" ref="D134:D197" si="10">B134*(0.035/12)</f>
        <v>202.47766911966568</v>
      </c>
      <c r="E134" s="22">
        <f t="shared" si="8"/>
        <v>69623.392795862179</v>
      </c>
      <c r="F134" s="20"/>
      <c r="G134" s="22">
        <f t="shared" ref="G134:G197" si="11">E134-H134</f>
        <v>69173.392795862179</v>
      </c>
      <c r="H134" s="22">
        <v>450</v>
      </c>
      <c r="I134" s="23">
        <v>130</v>
      </c>
      <c r="AA134">
        <v>42678.581719809867</v>
      </c>
    </row>
    <row r="135" spans="2:27" x14ac:dyDescent="0.25">
      <c r="B135" s="22">
        <f t="shared" si="9"/>
        <v>69173.392795862179</v>
      </c>
      <c r="C135" s="21">
        <v>3.5000000000000003E-2</v>
      </c>
      <c r="D135" s="22">
        <f t="shared" si="10"/>
        <v>201.75572898793138</v>
      </c>
      <c r="E135" s="22">
        <f t="shared" ref="E135:E198" si="12">B135+D135</f>
        <v>69375.148524850112</v>
      </c>
      <c r="F135" s="20"/>
      <c r="G135" s="22">
        <f t="shared" si="11"/>
        <v>68925.148524850112</v>
      </c>
      <c r="H135" s="22">
        <v>450</v>
      </c>
      <c r="I135" s="23">
        <v>131</v>
      </c>
      <c r="AA135">
        <v>42951.203710533526</v>
      </c>
    </row>
    <row r="136" spans="2:27" x14ac:dyDescent="0.25">
      <c r="B136" s="22">
        <f t="shared" si="9"/>
        <v>68925.148524850112</v>
      </c>
      <c r="C136" s="21">
        <v>3.5000000000000003E-2</v>
      </c>
      <c r="D136" s="22">
        <f t="shared" si="10"/>
        <v>201.03168319747951</v>
      </c>
      <c r="E136" s="22">
        <f t="shared" si="12"/>
        <v>69126.18020804759</v>
      </c>
      <c r="F136" s="20"/>
      <c r="G136" s="22">
        <f t="shared" si="11"/>
        <v>68676.18020804759</v>
      </c>
      <c r="H136" s="22">
        <v>450</v>
      </c>
      <c r="I136" s="23">
        <v>132</v>
      </c>
      <c r="AA136">
        <v>43223.145845918734</v>
      </c>
    </row>
    <row r="137" spans="2:27" x14ac:dyDescent="0.25">
      <c r="B137" s="22">
        <f t="shared" si="9"/>
        <v>68676.18020804759</v>
      </c>
      <c r="C137" s="21">
        <v>3.5000000000000003E-2</v>
      </c>
      <c r="D137" s="22">
        <f t="shared" si="10"/>
        <v>200.30552560680547</v>
      </c>
      <c r="E137" s="22">
        <f t="shared" si="12"/>
        <v>68876.485733654394</v>
      </c>
      <c r="F137" s="20"/>
      <c r="G137" s="22">
        <f t="shared" si="11"/>
        <v>68426.485733654394</v>
      </c>
      <c r="H137" s="22">
        <v>450</v>
      </c>
      <c r="I137" s="23">
        <v>133</v>
      </c>
      <c r="AA137">
        <v>43494.409821365305</v>
      </c>
    </row>
    <row r="138" spans="2:27" x14ac:dyDescent="0.25">
      <c r="B138" s="22">
        <f t="shared" si="9"/>
        <v>68426.485733654394</v>
      </c>
      <c r="C138" s="21">
        <v>3.5000000000000003E-2</v>
      </c>
      <c r="D138" s="22">
        <f t="shared" si="10"/>
        <v>199.57725005649198</v>
      </c>
      <c r="E138" s="22">
        <f t="shared" si="12"/>
        <v>68626.062983710886</v>
      </c>
      <c r="F138" s="20"/>
      <c r="G138" s="22">
        <f t="shared" si="11"/>
        <v>68176.062983710886</v>
      </c>
      <c r="H138" s="22">
        <v>450</v>
      </c>
      <c r="I138" s="23">
        <v>134</v>
      </c>
      <c r="AA138">
        <v>43764.997328045196</v>
      </c>
    </row>
    <row r="139" spans="2:27" x14ac:dyDescent="0.25">
      <c r="B139" s="22">
        <f t="shared" si="9"/>
        <v>68176.062983710886</v>
      </c>
      <c r="C139" s="21">
        <v>3.5000000000000003E-2</v>
      </c>
      <c r="D139" s="22">
        <f t="shared" si="10"/>
        <v>198.84685036915675</v>
      </c>
      <c r="E139" s="22">
        <f t="shared" si="12"/>
        <v>68374.909834080041</v>
      </c>
      <c r="F139" s="20"/>
      <c r="G139" s="22">
        <f t="shared" si="11"/>
        <v>67924.909834080041</v>
      </c>
      <c r="H139" s="22">
        <v>450</v>
      </c>
      <c r="I139" s="23">
        <v>135</v>
      </c>
      <c r="AA139">
        <v>44034.910052912892</v>
      </c>
    </row>
    <row r="140" spans="2:27" x14ac:dyDescent="0.25">
      <c r="B140" s="22">
        <f t="shared" si="9"/>
        <v>67924.909834080041</v>
      </c>
      <c r="C140" s="21">
        <v>3.5000000000000003E-2</v>
      </c>
      <c r="D140" s="22">
        <f t="shared" si="10"/>
        <v>198.11432034940012</v>
      </c>
      <c r="E140" s="22">
        <f t="shared" si="12"/>
        <v>68123.02415442944</v>
      </c>
      <c r="F140" s="20"/>
      <c r="G140" s="22">
        <f t="shared" si="11"/>
        <v>67673.02415442944</v>
      </c>
      <c r="H140" s="22">
        <v>450</v>
      </c>
      <c r="I140" s="23">
        <v>136</v>
      </c>
      <c r="AA140">
        <v>44304.149678716101</v>
      </c>
    </row>
    <row r="141" spans="2:27" x14ac:dyDescent="0.25">
      <c r="B141" s="22">
        <f t="shared" si="9"/>
        <v>67673.02415442944</v>
      </c>
      <c r="C141" s="21">
        <v>3.5000000000000003E-2</v>
      </c>
      <c r="D141" s="22">
        <f t="shared" si="10"/>
        <v>197.37965378375253</v>
      </c>
      <c r="E141" s="22">
        <f t="shared" si="12"/>
        <v>67870.403808213188</v>
      </c>
      <c r="F141" s="20"/>
      <c r="G141" s="22">
        <f t="shared" si="11"/>
        <v>67420.403808213188</v>
      </c>
      <c r="H141" s="22">
        <v>450</v>
      </c>
      <c r="I141" s="23">
        <v>137</v>
      </c>
      <c r="AA141">
        <v>44572.717884006081</v>
      </c>
    </row>
    <row r="142" spans="2:27" x14ac:dyDescent="0.25">
      <c r="B142" s="22">
        <f t="shared" si="9"/>
        <v>67420.403808213188</v>
      </c>
      <c r="C142" s="21">
        <v>3.5000000000000003E-2</v>
      </c>
      <c r="D142" s="22">
        <f t="shared" si="10"/>
        <v>196.64284444062181</v>
      </c>
      <c r="E142" s="22">
        <f t="shared" si="12"/>
        <v>67617.046652653808</v>
      </c>
      <c r="F142" s="20"/>
      <c r="G142" s="22">
        <f t="shared" si="11"/>
        <v>67167.046652653808</v>
      </c>
      <c r="H142" s="22">
        <v>450</v>
      </c>
      <c r="I142" s="23">
        <v>138</v>
      </c>
      <c r="AA142">
        <v>44840.616343148205</v>
      </c>
    </row>
    <row r="143" spans="2:27" x14ac:dyDescent="0.25">
      <c r="B143" s="22">
        <f t="shared" si="9"/>
        <v>67167.046652653808</v>
      </c>
      <c r="C143" s="21">
        <v>3.5000000000000003E-2</v>
      </c>
      <c r="D143" s="22">
        <f t="shared" si="10"/>
        <v>195.90388607024028</v>
      </c>
      <c r="E143" s="22">
        <f t="shared" si="12"/>
        <v>67362.95053872405</v>
      </c>
      <c r="F143" s="20"/>
      <c r="G143" s="22">
        <f t="shared" si="11"/>
        <v>66912.95053872405</v>
      </c>
      <c r="H143" s="22">
        <v>450</v>
      </c>
      <c r="I143" s="23">
        <v>139</v>
      </c>
      <c r="AA143">
        <v>45107.846726332362</v>
      </c>
    </row>
    <row r="144" spans="2:27" x14ac:dyDescent="0.25">
      <c r="B144" s="22">
        <f t="shared" si="9"/>
        <v>66912.95053872405</v>
      </c>
      <c r="C144" s="21">
        <v>3.5000000000000003E-2</v>
      </c>
      <c r="D144" s="22">
        <f t="shared" si="10"/>
        <v>195.16277240461181</v>
      </c>
      <c r="E144" s="22">
        <f t="shared" si="12"/>
        <v>67108.113311128662</v>
      </c>
      <c r="F144" s="20"/>
      <c r="G144" s="22">
        <f t="shared" si="11"/>
        <v>66658.113311128662</v>
      </c>
      <c r="H144" s="22">
        <v>450</v>
      </c>
      <c r="I144" s="23">
        <v>140</v>
      </c>
      <c r="AA144">
        <v>45374.410699583401</v>
      </c>
    </row>
    <row r="145" spans="2:27" x14ac:dyDescent="0.25">
      <c r="B145" s="22">
        <f t="shared" si="9"/>
        <v>66658.113311128662</v>
      </c>
      <c r="C145" s="21">
        <v>3.5000000000000003E-2</v>
      </c>
      <c r="D145" s="22">
        <f t="shared" si="10"/>
        <v>194.41949715745861</v>
      </c>
      <c r="E145" s="22">
        <f t="shared" si="12"/>
        <v>66852.532808286123</v>
      </c>
      <c r="F145" s="20"/>
      <c r="G145" s="22">
        <f t="shared" si="11"/>
        <v>66402.532808286123</v>
      </c>
      <c r="H145" s="22">
        <v>450</v>
      </c>
      <c r="I145" s="23">
        <v>141</v>
      </c>
      <c r="AA145">
        <v>45640.309924771471</v>
      </c>
    </row>
    <row r="146" spans="2:27" x14ac:dyDescent="0.25">
      <c r="B146" s="22">
        <f t="shared" si="9"/>
        <v>66402.532808286123</v>
      </c>
      <c r="C146" s="21">
        <v>3.5000000000000003E-2</v>
      </c>
      <c r="D146" s="22">
        <f t="shared" si="10"/>
        <v>193.67405402416787</v>
      </c>
      <c r="E146" s="22">
        <f t="shared" si="12"/>
        <v>66596.206862310297</v>
      </c>
      <c r="F146" s="20"/>
      <c r="G146" s="22">
        <f t="shared" si="11"/>
        <v>66146.206862310297</v>
      </c>
      <c r="H146" s="22">
        <v>450</v>
      </c>
      <c r="I146" s="23">
        <v>142</v>
      </c>
      <c r="AA146">
        <v>45905.546059622415</v>
      </c>
    </row>
    <row r="147" spans="2:27" x14ac:dyDescent="0.25">
      <c r="B147" s="22">
        <f t="shared" si="9"/>
        <v>66146.206862310297</v>
      </c>
      <c r="C147" s="21">
        <v>3.5000000000000003E-2</v>
      </c>
      <c r="D147" s="22">
        <f t="shared" si="10"/>
        <v>192.92643668173838</v>
      </c>
      <c r="E147" s="22">
        <f t="shared" si="12"/>
        <v>66339.133298992034</v>
      </c>
      <c r="F147" s="20"/>
      <c r="G147" s="22">
        <f t="shared" si="11"/>
        <v>65889.133298992034</v>
      </c>
      <c r="H147" s="22">
        <v>450</v>
      </c>
      <c r="I147" s="23">
        <v>143</v>
      </c>
      <c r="AA147">
        <v>46170.120757728087</v>
      </c>
    </row>
    <row r="148" spans="2:27" x14ac:dyDescent="0.25">
      <c r="B148" s="22">
        <f t="shared" si="9"/>
        <v>65889.133298992034</v>
      </c>
      <c r="C148" s="21">
        <v>3.5000000000000003E-2</v>
      </c>
      <c r="D148" s="22">
        <f t="shared" si="10"/>
        <v>192.17663878872676</v>
      </c>
      <c r="E148" s="22">
        <f t="shared" si="12"/>
        <v>66081.309937780767</v>
      </c>
      <c r="F148" s="20"/>
      <c r="G148" s="22">
        <f t="shared" si="11"/>
        <v>65631.309937780767</v>
      </c>
      <c r="H148" s="22">
        <v>450</v>
      </c>
      <c r="I148" s="23">
        <v>144</v>
      </c>
      <c r="AA148">
        <v>46434.035668556688</v>
      </c>
    </row>
    <row r="149" spans="2:27" x14ac:dyDescent="0.25">
      <c r="B149" s="22">
        <f t="shared" si="9"/>
        <v>65631.309937780767</v>
      </c>
      <c r="C149" s="21">
        <v>3.5000000000000003E-2</v>
      </c>
      <c r="D149" s="22">
        <f t="shared" si="10"/>
        <v>191.42465398519391</v>
      </c>
      <c r="E149" s="22">
        <f t="shared" si="12"/>
        <v>65822.734591765955</v>
      </c>
      <c r="F149" s="20"/>
      <c r="G149" s="22">
        <f t="shared" si="11"/>
        <v>65372.734591765955</v>
      </c>
      <c r="H149" s="22">
        <v>450</v>
      </c>
      <c r="I149" s="23">
        <v>145</v>
      </c>
      <c r="AA149">
        <v>46697.292437463024</v>
      </c>
    </row>
    <row r="150" spans="2:27" x14ac:dyDescent="0.25">
      <c r="B150" s="22">
        <f t="shared" si="9"/>
        <v>65372.734591765955</v>
      </c>
      <c r="C150" s="21">
        <v>3.5000000000000003E-2</v>
      </c>
      <c r="D150" s="22">
        <f t="shared" si="10"/>
        <v>190.6704758926507</v>
      </c>
      <c r="E150" s="22">
        <f t="shared" si="12"/>
        <v>65563.405067658605</v>
      </c>
      <c r="F150" s="20"/>
      <c r="G150" s="22">
        <f t="shared" si="11"/>
        <v>65113.405067658605</v>
      </c>
      <c r="H150" s="22">
        <v>450</v>
      </c>
      <c r="I150" s="23">
        <v>146</v>
      </c>
      <c r="AA150">
        <v>46959.892705698774</v>
      </c>
    </row>
    <row r="151" spans="2:27" x14ac:dyDescent="0.25">
      <c r="B151" s="22">
        <f t="shared" si="9"/>
        <v>65113.405067658605</v>
      </c>
      <c r="C151" s="21">
        <v>3.5000000000000003E-2</v>
      </c>
      <c r="D151" s="22">
        <f t="shared" si="10"/>
        <v>189.91409811400428</v>
      </c>
      <c r="E151" s="22">
        <f t="shared" si="12"/>
        <v>65303.319165772606</v>
      </c>
      <c r="F151" s="20"/>
      <c r="G151" s="22">
        <f t="shared" si="11"/>
        <v>64853.319165772606</v>
      </c>
      <c r="H151" s="22">
        <v>450</v>
      </c>
      <c r="I151" s="23">
        <v>147</v>
      </c>
      <c r="AA151">
        <v>47221.838110422708</v>
      </c>
    </row>
    <row r="152" spans="2:27" x14ac:dyDescent="0.25">
      <c r="B152" s="22">
        <f t="shared" si="9"/>
        <v>64853.319165772606</v>
      </c>
      <c r="C152" s="21">
        <v>3.5000000000000003E-2</v>
      </c>
      <c r="D152" s="22">
        <f t="shared" si="10"/>
        <v>189.15551423350345</v>
      </c>
      <c r="E152" s="22">
        <f t="shared" si="12"/>
        <v>65042.474680006111</v>
      </c>
      <c r="F152" s="20"/>
      <c r="G152" s="22">
        <f t="shared" si="11"/>
        <v>64592.474680006111</v>
      </c>
      <c r="H152" s="22">
        <v>450</v>
      </c>
      <c r="I152" s="23">
        <v>148</v>
      </c>
      <c r="AA152">
        <v>47483.130284710918</v>
      </c>
    </row>
    <row r="153" spans="2:27" x14ac:dyDescent="0.25">
      <c r="B153" s="22">
        <f t="shared" si="9"/>
        <v>64592.474680006111</v>
      </c>
      <c r="C153" s="21">
        <v>3.5000000000000003E-2</v>
      </c>
      <c r="D153" s="22">
        <f t="shared" si="10"/>
        <v>188.3947178166845</v>
      </c>
      <c r="E153" s="22">
        <f t="shared" si="12"/>
        <v>64780.869397822797</v>
      </c>
      <c r="F153" s="20"/>
      <c r="G153" s="22">
        <f t="shared" si="11"/>
        <v>64330.869397822797</v>
      </c>
      <c r="H153" s="22">
        <v>450</v>
      </c>
      <c r="I153" s="23">
        <v>149</v>
      </c>
      <c r="AA153">
        <v>47743.770857567004</v>
      </c>
    </row>
    <row r="154" spans="2:27" x14ac:dyDescent="0.25">
      <c r="B154" s="22">
        <f t="shared" si="9"/>
        <v>64330.869397822797</v>
      </c>
      <c r="C154" s="21">
        <v>3.5000000000000003E-2</v>
      </c>
      <c r="D154" s="22">
        <f t="shared" si="10"/>
        <v>187.63170241031651</v>
      </c>
      <c r="E154" s="22">
        <f t="shared" si="12"/>
        <v>64518.501100233116</v>
      </c>
      <c r="F154" s="20"/>
      <c r="G154" s="22">
        <f t="shared" si="11"/>
        <v>64068.501100233116</v>
      </c>
      <c r="H154" s="22">
        <v>450</v>
      </c>
      <c r="I154" s="23">
        <v>150</v>
      </c>
      <c r="AA154">
        <v>48003.761453932173</v>
      </c>
    </row>
    <row r="155" spans="2:27" x14ac:dyDescent="0.25">
      <c r="B155" s="22">
        <f t="shared" si="9"/>
        <v>64068.501100233116</v>
      </c>
      <c r="C155" s="21">
        <v>3.5000000000000003E-2</v>
      </c>
      <c r="D155" s="22">
        <f t="shared" si="10"/>
        <v>186.8664615423466</v>
      </c>
      <c r="E155" s="22">
        <f t="shared" si="12"/>
        <v>64255.367561775463</v>
      </c>
      <c r="F155" s="20"/>
      <c r="G155" s="22">
        <f t="shared" si="11"/>
        <v>63805.367561775463</v>
      </c>
      <c r="H155" s="22">
        <v>450</v>
      </c>
      <c r="I155" s="23">
        <v>151</v>
      </c>
      <c r="AA155">
        <v>48263.103694695419</v>
      </c>
    </row>
    <row r="156" spans="2:27" x14ac:dyDescent="0.25">
      <c r="B156" s="22">
        <f t="shared" si="9"/>
        <v>63805.367561775463</v>
      </c>
      <c r="C156" s="21">
        <v>3.5000000000000003E-2</v>
      </c>
      <c r="D156" s="22">
        <f t="shared" si="10"/>
        <v>186.0989887218451</v>
      </c>
      <c r="E156" s="22">
        <f t="shared" si="12"/>
        <v>63991.466550497309</v>
      </c>
      <c r="F156" s="20"/>
      <c r="G156" s="22">
        <f t="shared" si="11"/>
        <v>63541.466550497309</v>
      </c>
      <c r="H156" s="22">
        <v>450</v>
      </c>
      <c r="I156" s="23">
        <v>152</v>
      </c>
      <c r="AA156">
        <v>48521.799196703665</v>
      </c>
    </row>
    <row r="157" spans="2:27" x14ac:dyDescent="0.25">
      <c r="B157" s="22">
        <f t="shared" ref="B157:B220" si="13">G156</f>
        <v>63541.466550497309</v>
      </c>
      <c r="C157" s="21">
        <v>3.5000000000000003E-2</v>
      </c>
      <c r="D157" s="22">
        <f t="shared" si="10"/>
        <v>185.3292774389505</v>
      </c>
      <c r="E157" s="22">
        <f t="shared" si="12"/>
        <v>63726.795827936257</v>
      </c>
      <c r="F157" s="20"/>
      <c r="G157" s="22">
        <f t="shared" si="11"/>
        <v>63276.795827936257</v>
      </c>
      <c r="H157" s="22">
        <v>450</v>
      </c>
      <c r="I157" s="23">
        <v>153</v>
      </c>
      <c r="AA157">
        <v>48779.849572771716</v>
      </c>
    </row>
    <row r="158" spans="2:27" x14ac:dyDescent="0.25">
      <c r="B158" s="22">
        <f t="shared" si="13"/>
        <v>63276.795827936257</v>
      </c>
      <c r="C158" s="21">
        <v>3.5000000000000003E-2</v>
      </c>
      <c r="D158" s="22">
        <f t="shared" si="10"/>
        <v>184.55732116481408</v>
      </c>
      <c r="E158" s="22">
        <f t="shared" si="12"/>
        <v>63461.353149101073</v>
      </c>
      <c r="F158" s="20"/>
      <c r="G158" s="22">
        <f t="shared" si="11"/>
        <v>63011.353149101073</v>
      </c>
      <c r="H158" s="22">
        <v>450</v>
      </c>
      <c r="I158" s="23">
        <v>154</v>
      </c>
      <c r="AA158">
        <v>49037.256431692476</v>
      </c>
    </row>
    <row r="159" spans="2:27" x14ac:dyDescent="0.25">
      <c r="B159" s="22">
        <f t="shared" si="13"/>
        <v>63011.353149101073</v>
      </c>
      <c r="C159" s="21">
        <v>3.5000000000000003E-2</v>
      </c>
      <c r="D159" s="22">
        <f t="shared" si="10"/>
        <v>183.78311335154481</v>
      </c>
      <c r="E159" s="22">
        <f t="shared" si="12"/>
        <v>63195.136262452615</v>
      </c>
      <c r="F159" s="20"/>
      <c r="G159" s="22">
        <f t="shared" si="11"/>
        <v>62745.136262452615</v>
      </c>
      <c r="H159" s="22">
        <v>450</v>
      </c>
      <c r="I159" s="23">
        <v>155</v>
      </c>
      <c r="AA159">
        <v>49294.021378246864</v>
      </c>
    </row>
    <row r="160" spans="2:27" x14ac:dyDescent="0.25">
      <c r="B160" s="22">
        <f t="shared" si="13"/>
        <v>62745.136262452615</v>
      </c>
      <c r="C160" s="21">
        <v>3.5000000000000003E-2</v>
      </c>
      <c r="D160" s="22">
        <f t="shared" si="10"/>
        <v>183.00664743215347</v>
      </c>
      <c r="E160" s="22">
        <f t="shared" si="12"/>
        <v>62928.142909884766</v>
      </c>
      <c r="F160" s="20"/>
      <c r="G160" s="22">
        <f t="shared" si="11"/>
        <v>62478.142909884766</v>
      </c>
      <c r="H160" s="22">
        <v>450</v>
      </c>
      <c r="I160" s="23">
        <v>156</v>
      </c>
      <c r="AA160">
        <v>49550.146013213824</v>
      </c>
    </row>
    <row r="161" spans="2:27" x14ac:dyDescent="0.25">
      <c r="B161" s="22">
        <f t="shared" si="13"/>
        <v>62478.142909884766</v>
      </c>
      <c r="C161" s="21">
        <v>3.5000000000000003E-2</v>
      </c>
      <c r="D161" s="22">
        <f t="shared" si="10"/>
        <v>182.22791682049723</v>
      </c>
      <c r="E161" s="22">
        <f t="shared" si="12"/>
        <v>62660.370826705264</v>
      </c>
      <c r="F161" s="20"/>
      <c r="G161" s="22">
        <f t="shared" si="11"/>
        <v>62210.370826705264</v>
      </c>
      <c r="H161" s="22">
        <v>450</v>
      </c>
      <c r="I161" s="23">
        <v>157</v>
      </c>
      <c r="AA161">
        <v>49805.631933380377</v>
      </c>
    </row>
    <row r="162" spans="2:27" x14ac:dyDescent="0.25">
      <c r="B162" s="22">
        <f t="shared" si="13"/>
        <v>62210.370826705264</v>
      </c>
      <c r="C162" s="21">
        <v>3.5000000000000003E-2</v>
      </c>
      <c r="D162" s="22">
        <f t="shared" si="10"/>
        <v>181.4469149112237</v>
      </c>
      <c r="E162" s="22">
        <f t="shared" si="12"/>
        <v>62391.817741616491</v>
      </c>
      <c r="F162" s="20"/>
      <c r="G162" s="22">
        <f t="shared" si="11"/>
        <v>61941.817741616491</v>
      </c>
      <c r="H162" s="22">
        <v>450</v>
      </c>
      <c r="I162" s="23">
        <v>158</v>
      </c>
      <c r="AA162">
        <v>50060.480731551492</v>
      </c>
    </row>
    <row r="163" spans="2:27" x14ac:dyDescent="0.25">
      <c r="B163" s="22">
        <f t="shared" si="13"/>
        <v>61941.817741616491</v>
      </c>
      <c r="C163" s="21">
        <v>3.5000000000000003E-2</v>
      </c>
      <c r="D163" s="22">
        <f t="shared" si="10"/>
        <v>180.66363507971477</v>
      </c>
      <c r="E163" s="22">
        <f t="shared" si="12"/>
        <v>62122.481376696203</v>
      </c>
      <c r="F163" s="20"/>
      <c r="G163" s="22">
        <f t="shared" si="11"/>
        <v>61672.481376696203</v>
      </c>
      <c r="H163" s="22">
        <v>450</v>
      </c>
      <c r="I163" s="23">
        <v>159</v>
      </c>
      <c r="AA163">
        <v>50314.693996560076</v>
      </c>
    </row>
    <row r="164" spans="2:27" x14ac:dyDescent="0.25">
      <c r="B164" s="22">
        <f t="shared" si="13"/>
        <v>61672.481376696203</v>
      </c>
      <c r="C164" s="21">
        <v>3.5000000000000003E-2</v>
      </c>
      <c r="D164" s="22">
        <f t="shared" si="10"/>
        <v>179.8780706820306</v>
      </c>
      <c r="E164" s="22">
        <f t="shared" si="12"/>
        <v>61852.359447378236</v>
      </c>
      <c r="F164" s="20"/>
      <c r="G164" s="22">
        <f t="shared" si="11"/>
        <v>61402.359447378236</v>
      </c>
      <c r="H164" s="22">
        <v>450</v>
      </c>
      <c r="I164" s="23">
        <v>160</v>
      </c>
      <c r="AA164">
        <v>50568.273313276877</v>
      </c>
    </row>
    <row r="165" spans="2:27" x14ac:dyDescent="0.25">
      <c r="B165" s="22">
        <f t="shared" si="13"/>
        <v>61402.359447378236</v>
      </c>
      <c r="C165" s="21">
        <v>3.5000000000000003E-2</v>
      </c>
      <c r="D165" s="22">
        <f t="shared" si="10"/>
        <v>179.09021505485319</v>
      </c>
      <c r="E165" s="22">
        <f t="shared" si="12"/>
        <v>61581.449662433086</v>
      </c>
      <c r="F165" s="20"/>
      <c r="G165" s="22">
        <f t="shared" si="11"/>
        <v>61131.449662433086</v>
      </c>
      <c r="H165" s="22">
        <v>450</v>
      </c>
      <c r="I165" s="23">
        <v>161</v>
      </c>
      <c r="AA165">
        <v>50821.220262620329</v>
      </c>
    </row>
    <row r="166" spans="2:27" x14ac:dyDescent="0.25">
      <c r="B166" s="22">
        <f t="shared" si="13"/>
        <v>61131.449662433086</v>
      </c>
      <c r="C166" s="21">
        <v>3.5000000000000003E-2</v>
      </c>
      <c r="D166" s="22">
        <f t="shared" si="10"/>
        <v>178.30006151542983</v>
      </c>
      <c r="E166" s="22">
        <f t="shared" si="12"/>
        <v>61309.749723948516</v>
      </c>
      <c r="F166" s="20"/>
      <c r="G166" s="22">
        <f t="shared" si="11"/>
        <v>60859.749723948516</v>
      </c>
      <c r="H166" s="22">
        <v>450</v>
      </c>
      <c r="I166" s="23">
        <v>162</v>
      </c>
      <c r="AA166">
        <v>51073.536421566409</v>
      </c>
    </row>
    <row r="167" spans="2:27" x14ac:dyDescent="0.25">
      <c r="B167" s="22">
        <f t="shared" si="13"/>
        <v>60859.749723948516</v>
      </c>
      <c r="C167" s="21">
        <v>3.5000000000000003E-2</v>
      </c>
      <c r="D167" s="22">
        <f t="shared" si="10"/>
        <v>177.50760336151652</v>
      </c>
      <c r="E167" s="22">
        <f t="shared" si="12"/>
        <v>61037.257327310035</v>
      </c>
      <c r="F167" s="20"/>
      <c r="G167" s="22">
        <f t="shared" si="11"/>
        <v>60587.257327310035</v>
      </c>
      <c r="H167" s="22">
        <v>450</v>
      </c>
      <c r="I167" s="23">
        <v>163</v>
      </c>
      <c r="AA167">
        <v>51325.223363158497</v>
      </c>
    </row>
    <row r="168" spans="2:27" x14ac:dyDescent="0.25">
      <c r="B168" s="22">
        <f t="shared" si="13"/>
        <v>60587.257327310035</v>
      </c>
      <c r="C168" s="21">
        <v>3.5000000000000003E-2</v>
      </c>
      <c r="D168" s="22">
        <f t="shared" si="10"/>
        <v>176.71283387132095</v>
      </c>
      <c r="E168" s="22">
        <f t="shared" si="12"/>
        <v>60763.970161181358</v>
      </c>
      <c r="F168" s="20"/>
      <c r="G168" s="22">
        <f t="shared" si="11"/>
        <v>60313.970161181358</v>
      </c>
      <c r="H168" s="22">
        <v>450</v>
      </c>
      <c r="I168" s="23">
        <v>164</v>
      </c>
      <c r="AA168">
        <v>51576.282656517207</v>
      </c>
    </row>
    <row r="169" spans="2:27" x14ac:dyDescent="0.25">
      <c r="B169" s="22">
        <f t="shared" si="13"/>
        <v>60313.970161181358</v>
      </c>
      <c r="C169" s="21">
        <v>3.5000000000000003E-2</v>
      </c>
      <c r="D169" s="22">
        <f t="shared" si="10"/>
        <v>175.91574630344564</v>
      </c>
      <c r="E169" s="22">
        <f t="shared" si="12"/>
        <v>60489.885907484801</v>
      </c>
      <c r="F169" s="20"/>
      <c r="G169" s="22">
        <f t="shared" si="11"/>
        <v>60039.885907484801</v>
      </c>
      <c r="H169" s="22">
        <v>450</v>
      </c>
      <c r="I169" s="23">
        <v>165</v>
      </c>
      <c r="AA169">
        <v>51826.715866850078</v>
      </c>
    </row>
    <row r="170" spans="2:27" x14ac:dyDescent="0.25">
      <c r="B170" s="22">
        <f t="shared" si="13"/>
        <v>60039.885907484801</v>
      </c>
      <c r="C170" s="21">
        <v>3.5000000000000003E-2</v>
      </c>
      <c r="D170" s="22">
        <f t="shared" si="10"/>
        <v>175.11633389683067</v>
      </c>
      <c r="E170" s="22">
        <f t="shared" si="12"/>
        <v>60215.002241381633</v>
      </c>
      <c r="F170" s="20"/>
      <c r="G170" s="22">
        <f t="shared" si="11"/>
        <v>59765.002241381633</v>
      </c>
      <c r="H170" s="22">
        <v>450</v>
      </c>
      <c r="I170" s="23">
        <v>166</v>
      </c>
      <c r="AA170">
        <v>52076.524555461408</v>
      </c>
    </row>
    <row r="171" spans="2:27" x14ac:dyDescent="0.25">
      <c r="B171" s="22">
        <f t="shared" si="13"/>
        <v>59765.002241381633</v>
      </c>
      <c r="C171" s="21">
        <v>3.5000000000000003E-2</v>
      </c>
      <c r="D171" s="22">
        <f t="shared" si="10"/>
        <v>174.31458987069644</v>
      </c>
      <c r="E171" s="22">
        <f t="shared" si="12"/>
        <v>59939.316831252327</v>
      </c>
      <c r="F171" s="20"/>
      <c r="G171" s="22">
        <f t="shared" si="11"/>
        <v>59489.316831252327</v>
      </c>
      <c r="H171" s="22">
        <v>450</v>
      </c>
      <c r="I171" s="23">
        <v>167</v>
      </c>
      <c r="AA171">
        <v>52325.710279762003</v>
      </c>
    </row>
    <row r="172" spans="2:27" x14ac:dyDescent="0.25">
      <c r="B172" s="22">
        <f t="shared" si="13"/>
        <v>59489.316831252327</v>
      </c>
      <c r="C172" s="21">
        <v>3.5000000000000003E-2</v>
      </c>
      <c r="D172" s="22">
        <f t="shared" si="10"/>
        <v>173.51050742448595</v>
      </c>
      <c r="E172" s="22">
        <f t="shared" si="12"/>
        <v>59662.827338676812</v>
      </c>
      <c r="F172" s="20"/>
      <c r="G172" s="22">
        <f t="shared" si="11"/>
        <v>59212.827338676812</v>
      </c>
      <c r="H172" s="22">
        <v>450</v>
      </c>
      <c r="I172" s="23">
        <v>168</v>
      </c>
      <c r="AA172">
        <v>52574.274593278802</v>
      </c>
    </row>
    <row r="173" spans="2:27" x14ac:dyDescent="0.25">
      <c r="B173" s="22">
        <f t="shared" si="13"/>
        <v>59212.827338676812</v>
      </c>
      <c r="C173" s="21">
        <v>3.5000000000000003E-2</v>
      </c>
      <c r="D173" s="22">
        <f t="shared" si="10"/>
        <v>172.70407973780738</v>
      </c>
      <c r="E173" s="22">
        <f t="shared" si="12"/>
        <v>59385.531418414619</v>
      </c>
      <c r="F173" s="20"/>
      <c r="G173" s="22">
        <f t="shared" si="11"/>
        <v>58935.531418414619</v>
      </c>
      <c r="H173" s="22">
        <v>450</v>
      </c>
      <c r="I173" s="23">
        <v>169</v>
      </c>
      <c r="AA173">
        <v>52822.219045664635</v>
      </c>
    </row>
    <row r="174" spans="2:27" x14ac:dyDescent="0.25">
      <c r="B174" s="22">
        <f t="shared" si="13"/>
        <v>58935.531418414619</v>
      </c>
      <c r="C174" s="21">
        <v>3.5000000000000003E-2</v>
      </c>
      <c r="D174" s="22">
        <f t="shared" si="10"/>
        <v>171.89529997037599</v>
      </c>
      <c r="E174" s="22">
        <f t="shared" si="12"/>
        <v>59107.426718384995</v>
      </c>
      <c r="F174" s="20"/>
      <c r="G174" s="22">
        <f t="shared" si="11"/>
        <v>58657.426718384995</v>
      </c>
      <c r="H174" s="22">
        <v>450</v>
      </c>
      <c r="I174" s="23">
        <v>170</v>
      </c>
      <c r="AA174">
        <v>53069.545182707858</v>
      </c>
    </row>
    <row r="175" spans="2:27" x14ac:dyDescent="0.25">
      <c r="B175" s="22">
        <f t="shared" si="13"/>
        <v>58657.426718384995</v>
      </c>
      <c r="C175" s="21">
        <v>3.5000000000000003E-2</v>
      </c>
      <c r="D175" s="22">
        <f t="shared" si="10"/>
        <v>171.08416126195624</v>
      </c>
      <c r="E175" s="22">
        <f t="shared" si="12"/>
        <v>58828.51087964695</v>
      </c>
      <c r="F175" s="20"/>
      <c r="G175" s="22">
        <f t="shared" si="11"/>
        <v>58378.51087964695</v>
      </c>
      <c r="H175" s="22">
        <v>450</v>
      </c>
      <c r="I175" s="23">
        <v>171</v>
      </c>
      <c r="AA175">
        <v>53316.254546341996</v>
      </c>
    </row>
    <row r="176" spans="2:27" x14ac:dyDescent="0.25">
      <c r="B176" s="22">
        <f t="shared" si="13"/>
        <v>58378.51087964695</v>
      </c>
      <c r="C176" s="21">
        <v>3.5000000000000003E-2</v>
      </c>
      <c r="D176" s="22">
        <f t="shared" si="10"/>
        <v>170.27065673230362</v>
      </c>
      <c r="E176" s="22">
        <f t="shared" si="12"/>
        <v>58548.781536379254</v>
      </c>
      <c r="F176" s="20"/>
      <c r="G176" s="22">
        <f t="shared" si="11"/>
        <v>58098.781536379254</v>
      </c>
      <c r="H176" s="22">
        <v>450</v>
      </c>
      <c r="I176" s="23">
        <v>172</v>
      </c>
      <c r="AA176">
        <v>53562.348674655354</v>
      </c>
    </row>
    <row r="177" spans="2:27" x14ac:dyDescent="0.25">
      <c r="B177" s="22">
        <f t="shared" si="13"/>
        <v>58098.781536379254</v>
      </c>
      <c r="C177" s="21">
        <v>3.5000000000000003E-2</v>
      </c>
      <c r="D177" s="22">
        <f t="shared" si="10"/>
        <v>169.45477948110616</v>
      </c>
      <c r="E177" s="22">
        <f t="shared" si="12"/>
        <v>58268.236315860362</v>
      </c>
      <c r="F177" s="20"/>
      <c r="G177" s="22">
        <f t="shared" si="11"/>
        <v>57818.236315860362</v>
      </c>
      <c r="H177" s="22">
        <v>450</v>
      </c>
      <c r="I177" s="23">
        <v>173</v>
      </c>
      <c r="AA177">
        <v>53807.829101900599</v>
      </c>
    </row>
    <row r="178" spans="2:27" x14ac:dyDescent="0.25">
      <c r="B178" s="22">
        <f t="shared" si="13"/>
        <v>57818.236315860362</v>
      </c>
      <c r="C178" s="21">
        <v>3.5000000000000003E-2</v>
      </c>
      <c r="D178" s="22">
        <f t="shared" si="10"/>
        <v>168.63652258792607</v>
      </c>
      <c r="E178" s="22">
        <f t="shared" si="12"/>
        <v>57986.872838448289</v>
      </c>
      <c r="F178" s="20"/>
      <c r="G178" s="22">
        <f t="shared" si="11"/>
        <v>57536.872838448289</v>
      </c>
      <c r="H178" s="22">
        <v>450</v>
      </c>
      <c r="I178" s="23">
        <v>174</v>
      </c>
      <c r="AA178">
        <v>54052.697358504323</v>
      </c>
    </row>
    <row r="179" spans="2:27" x14ac:dyDescent="0.25">
      <c r="B179" s="22">
        <f t="shared" si="13"/>
        <v>57536.872838448289</v>
      </c>
      <c r="C179" s="21">
        <v>3.5000000000000003E-2</v>
      </c>
      <c r="D179" s="22">
        <f t="shared" si="10"/>
        <v>167.81587911214086</v>
      </c>
      <c r="E179" s="22">
        <f t="shared" si="12"/>
        <v>57704.688717560428</v>
      </c>
      <c r="F179" s="20"/>
      <c r="G179" s="22">
        <f t="shared" si="11"/>
        <v>57254.688717560428</v>
      </c>
      <c r="H179" s="22">
        <v>450</v>
      </c>
      <c r="I179" s="23">
        <v>175</v>
      </c>
      <c r="AA179">
        <v>54296.95497107663</v>
      </c>
    </row>
    <row r="180" spans="2:27" x14ac:dyDescent="0.25">
      <c r="B180" s="22">
        <f t="shared" si="13"/>
        <v>57254.688717560428</v>
      </c>
      <c r="C180" s="21">
        <v>3.5000000000000003E-2</v>
      </c>
      <c r="D180" s="22">
        <f t="shared" si="10"/>
        <v>166.99284209288459</v>
      </c>
      <c r="E180" s="22">
        <f t="shared" si="12"/>
        <v>57421.681559653312</v>
      </c>
      <c r="F180" s="20"/>
      <c r="G180" s="22">
        <f t="shared" si="11"/>
        <v>56971.681559653312</v>
      </c>
      <c r="H180" s="22">
        <v>450</v>
      </c>
      <c r="I180" s="23">
        <v>176</v>
      </c>
      <c r="AA180">
        <v>54540.603462420586</v>
      </c>
    </row>
    <row r="181" spans="2:27" x14ac:dyDescent="0.25">
      <c r="B181" s="22">
        <f t="shared" si="13"/>
        <v>56971.681559653312</v>
      </c>
      <c r="C181" s="21">
        <v>3.5000000000000003E-2</v>
      </c>
      <c r="D181" s="22">
        <f t="shared" si="10"/>
        <v>166.16740454898883</v>
      </c>
      <c r="E181" s="22">
        <f t="shared" si="12"/>
        <v>57137.848964202298</v>
      </c>
      <c r="F181" s="20"/>
      <c r="G181" s="22">
        <f t="shared" si="11"/>
        <v>56687.848964202298</v>
      </c>
      <c r="H181" s="22">
        <v>450</v>
      </c>
      <c r="I181" s="23">
        <v>177</v>
      </c>
      <c r="AA181">
        <v>54783.644351541712</v>
      </c>
    </row>
    <row r="182" spans="2:27" x14ac:dyDescent="0.25">
      <c r="B182" s="22">
        <f t="shared" si="13"/>
        <v>56687.848964202298</v>
      </c>
      <c r="C182" s="21">
        <v>3.5000000000000003E-2</v>
      </c>
      <c r="D182" s="22">
        <f t="shared" si="10"/>
        <v>165.33955947892338</v>
      </c>
      <c r="E182" s="22">
        <f t="shared" si="12"/>
        <v>56853.188523681223</v>
      </c>
      <c r="F182" s="20"/>
      <c r="G182" s="22">
        <f t="shared" si="11"/>
        <v>56403.188523681223</v>
      </c>
      <c r="H182" s="22">
        <v>450</v>
      </c>
      <c r="I182" s="23">
        <v>178</v>
      </c>
      <c r="AA182">
        <v>55026.079153657563</v>
      </c>
    </row>
    <row r="183" spans="2:27" x14ac:dyDescent="0.25">
      <c r="B183" s="22">
        <f t="shared" si="13"/>
        <v>56403.188523681223</v>
      </c>
      <c r="C183" s="21">
        <v>3.5000000000000003E-2</v>
      </c>
      <c r="D183" s="22">
        <f t="shared" si="10"/>
        <v>164.50929986073692</v>
      </c>
      <c r="E183" s="22">
        <f t="shared" si="12"/>
        <v>56567.697823541959</v>
      </c>
      <c r="F183" s="20"/>
      <c r="G183" s="22">
        <f t="shared" si="11"/>
        <v>56117.697823541959</v>
      </c>
      <c r="H183" s="22">
        <v>450</v>
      </c>
      <c r="I183" s="23">
        <v>179</v>
      </c>
      <c r="AA183">
        <v>55267.909380207035</v>
      </c>
    </row>
    <row r="184" spans="2:27" x14ac:dyDescent="0.25">
      <c r="B184" s="22">
        <f t="shared" si="13"/>
        <v>56117.697823541959</v>
      </c>
      <c r="C184" s="21">
        <v>3.5000000000000003E-2</v>
      </c>
      <c r="D184" s="22">
        <f t="shared" si="10"/>
        <v>163.67661865199739</v>
      </c>
      <c r="E184" s="22">
        <f t="shared" si="12"/>
        <v>56281.374442193955</v>
      </c>
      <c r="F184" s="20"/>
      <c r="G184" s="22">
        <f t="shared" si="11"/>
        <v>55831.374442193955</v>
      </c>
      <c r="H184" s="22">
        <v>450</v>
      </c>
      <c r="I184" s="23">
        <v>180</v>
      </c>
      <c r="AA184">
        <v>55509.136538859901</v>
      </c>
    </row>
    <row r="185" spans="2:27" x14ac:dyDescent="0.25">
      <c r="B185" s="22">
        <f t="shared" si="13"/>
        <v>55831.374442193955</v>
      </c>
      <c r="C185" s="21">
        <v>3.5000000000000003E-2</v>
      </c>
      <c r="D185" s="22">
        <f t="shared" si="10"/>
        <v>162.84150878973239</v>
      </c>
      <c r="E185" s="22">
        <f t="shared" si="12"/>
        <v>55994.215950983686</v>
      </c>
      <c r="F185" s="20"/>
      <c r="G185" s="22">
        <f t="shared" si="11"/>
        <v>55544.215950983686</v>
      </c>
      <c r="H185" s="22">
        <v>450</v>
      </c>
      <c r="I185" s="23">
        <v>181</v>
      </c>
      <c r="AA185">
        <v>55749.762133526077</v>
      </c>
    </row>
    <row r="186" spans="2:27" x14ac:dyDescent="0.25">
      <c r="B186" s="22">
        <f t="shared" si="13"/>
        <v>55544.215950983686</v>
      </c>
      <c r="C186" s="21">
        <v>3.5000000000000003E-2</v>
      </c>
      <c r="D186" s="22">
        <f t="shared" si="10"/>
        <v>162.00396319036909</v>
      </c>
      <c r="E186" s="22">
        <f t="shared" si="12"/>
        <v>55706.219914174057</v>
      </c>
      <c r="F186" s="20"/>
      <c r="G186" s="22">
        <f t="shared" si="11"/>
        <v>55256.219914174057</v>
      </c>
      <c r="H186" s="22">
        <v>450</v>
      </c>
      <c r="I186" s="23">
        <v>182</v>
      </c>
      <c r="AA186">
        <v>55989.787664365154</v>
      </c>
    </row>
    <row r="187" spans="2:27" x14ac:dyDescent="0.25">
      <c r="B187" s="22">
        <f t="shared" si="13"/>
        <v>55256.219914174057</v>
      </c>
      <c r="C187" s="21">
        <v>3.5000000000000003E-2</v>
      </c>
      <c r="D187" s="22">
        <f t="shared" si="10"/>
        <v>161.16397474967434</v>
      </c>
      <c r="E187" s="22">
        <f t="shared" si="12"/>
        <v>55417.38388892373</v>
      </c>
      <c r="F187" s="20"/>
      <c r="G187" s="22">
        <f t="shared" si="11"/>
        <v>54967.38388892373</v>
      </c>
      <c r="H187" s="22">
        <v>450</v>
      </c>
      <c r="I187" s="23">
        <v>183</v>
      </c>
      <c r="AA187">
        <v>56229.214627795671</v>
      </c>
    </row>
    <row r="188" spans="2:27" x14ac:dyDescent="0.25">
      <c r="B188" s="22">
        <f t="shared" si="13"/>
        <v>54967.38388892373</v>
      </c>
      <c r="C188" s="21">
        <v>3.5000000000000003E-2</v>
      </c>
      <c r="D188" s="22">
        <f t="shared" si="10"/>
        <v>160.32153634269423</v>
      </c>
      <c r="E188" s="22">
        <f t="shared" si="12"/>
        <v>55127.705425266424</v>
      </c>
      <c r="F188" s="20"/>
      <c r="G188" s="22">
        <f t="shared" si="11"/>
        <v>54677.705425266424</v>
      </c>
      <c r="H188" s="22">
        <v>450</v>
      </c>
      <c r="I188" s="23">
        <v>184</v>
      </c>
      <c r="AA188">
        <v>56468.0445165044</v>
      </c>
    </row>
    <row r="189" spans="2:27" x14ac:dyDescent="0.25">
      <c r="B189" s="22">
        <f t="shared" si="13"/>
        <v>54677.705425266424</v>
      </c>
      <c r="C189" s="21">
        <v>3.5000000000000003E-2</v>
      </c>
      <c r="D189" s="22">
        <f t="shared" si="10"/>
        <v>159.47664082369374</v>
      </c>
      <c r="E189" s="22">
        <f t="shared" si="12"/>
        <v>54837.182066090114</v>
      </c>
      <c r="F189" s="20"/>
      <c r="G189" s="22">
        <f t="shared" si="11"/>
        <v>54387.182066090114</v>
      </c>
      <c r="H189" s="22">
        <v>450</v>
      </c>
      <c r="I189" s="23">
        <v>185</v>
      </c>
      <c r="J189">
        <f>I189/12</f>
        <v>15.416666666666666</v>
      </c>
      <c r="AA189">
        <v>56706.278819455758</v>
      </c>
    </row>
    <row r="190" spans="2:27" x14ac:dyDescent="0.25">
      <c r="B190" s="22">
        <f t="shared" si="13"/>
        <v>54387.182066090114</v>
      </c>
      <c r="C190" s="21">
        <v>3.5000000000000003E-2</v>
      </c>
      <c r="D190" s="22">
        <f t="shared" si="10"/>
        <v>158.62928102609618</v>
      </c>
      <c r="E190" s="22">
        <f t="shared" si="12"/>
        <v>54545.811347116207</v>
      </c>
      <c r="F190" s="20"/>
      <c r="G190" s="22">
        <f t="shared" si="11"/>
        <v>54095.811347116207</v>
      </c>
      <c r="H190" s="22">
        <v>450</v>
      </c>
      <c r="I190" s="23">
        <v>186</v>
      </c>
      <c r="AA190">
        <v>56943.919021900991</v>
      </c>
    </row>
    <row r="191" spans="2:27" x14ac:dyDescent="0.25">
      <c r="B191" s="22">
        <f t="shared" si="13"/>
        <v>54095.811347116207</v>
      </c>
      <c r="C191" s="21">
        <v>3.5000000000000003E-2</v>
      </c>
      <c r="D191" s="22">
        <f t="shared" si="10"/>
        <v>157.77944976242227</v>
      </c>
      <c r="E191" s="22">
        <f t="shared" si="12"/>
        <v>54253.590796878627</v>
      </c>
      <c r="F191" s="20"/>
      <c r="G191" s="22">
        <f t="shared" si="11"/>
        <v>53803.590796878627</v>
      </c>
      <c r="H191" s="22">
        <v>450</v>
      </c>
      <c r="I191" s="23">
        <v>187</v>
      </c>
      <c r="AA191">
        <v>57180.966605387512</v>
      </c>
    </row>
    <row r="192" spans="2:27" x14ac:dyDescent="0.25">
      <c r="B192" s="22">
        <f t="shared" si="13"/>
        <v>53803.590796878627</v>
      </c>
      <c r="C192" s="21">
        <v>3.5000000000000003E-2</v>
      </c>
      <c r="D192" s="22">
        <f t="shared" si="10"/>
        <v>156.92713982422933</v>
      </c>
      <c r="E192" s="22">
        <f t="shared" si="12"/>
        <v>53960.517936702854</v>
      </c>
      <c r="F192" s="20"/>
      <c r="G192" s="22">
        <f t="shared" si="11"/>
        <v>53510.517936702854</v>
      </c>
      <c r="H192" s="22">
        <v>450</v>
      </c>
      <c r="I192" s="23">
        <v>188</v>
      </c>
      <c r="AA192">
        <v>57417.42304776809</v>
      </c>
    </row>
    <row r="193" spans="2:27" x14ac:dyDescent="0.25">
      <c r="B193" s="22">
        <f t="shared" si="13"/>
        <v>53510.517936702854</v>
      </c>
      <c r="C193" s="21">
        <v>3.5000000000000003E-2</v>
      </c>
      <c r="D193" s="22">
        <f t="shared" si="10"/>
        <v>156.07234398205</v>
      </c>
      <c r="E193" s="22">
        <f t="shared" si="12"/>
        <v>53666.590280684904</v>
      </c>
      <c r="F193" s="20"/>
      <c r="G193" s="22">
        <f t="shared" si="11"/>
        <v>53216.590280684904</v>
      </c>
      <c r="H193" s="22">
        <v>450</v>
      </c>
      <c r="I193" s="23">
        <v>189</v>
      </c>
      <c r="AA193">
        <v>57653.289823210056</v>
      </c>
    </row>
    <row r="194" spans="2:27" x14ac:dyDescent="0.25">
      <c r="B194" s="22">
        <f t="shared" si="13"/>
        <v>53216.590280684904</v>
      </c>
      <c r="C194" s="21">
        <v>3.5000000000000003E-2</v>
      </c>
      <c r="D194" s="22">
        <f t="shared" si="10"/>
        <v>155.21505498533097</v>
      </c>
      <c r="E194" s="22">
        <f t="shared" si="12"/>
        <v>53371.805335670237</v>
      </c>
      <c r="F194" s="20"/>
      <c r="G194" s="22">
        <f t="shared" si="11"/>
        <v>52921.805335670237</v>
      </c>
      <c r="H194" s="22">
        <v>450</v>
      </c>
      <c r="I194" s="23">
        <v>190</v>
      </c>
      <c r="AA194">
        <v>57888.568402204553</v>
      </c>
    </row>
    <row r="195" spans="2:27" x14ac:dyDescent="0.25">
      <c r="B195" s="22">
        <f t="shared" si="13"/>
        <v>52921.805335670237</v>
      </c>
      <c r="C195" s="21">
        <v>3.5000000000000003E-2</v>
      </c>
      <c r="D195" s="22">
        <f t="shared" si="10"/>
        <v>154.35526556237153</v>
      </c>
      <c r="E195" s="22">
        <f t="shared" si="12"/>
        <v>53076.160601232608</v>
      </c>
      <c r="F195" s="20"/>
      <c r="G195" s="22">
        <f t="shared" si="11"/>
        <v>52626.160601232608</v>
      </c>
      <c r="H195" s="22">
        <v>450</v>
      </c>
      <c r="I195" s="23">
        <v>191</v>
      </c>
      <c r="AA195">
        <v>58123.260251575608</v>
      </c>
    </row>
    <row r="196" spans="2:27" x14ac:dyDescent="0.25">
      <c r="B196" s="22">
        <f t="shared" si="13"/>
        <v>52626.160601232608</v>
      </c>
      <c r="C196" s="21">
        <v>3.5000000000000003E-2</v>
      </c>
      <c r="D196" s="22">
        <f t="shared" si="10"/>
        <v>153.49296842026178</v>
      </c>
      <c r="E196" s="22">
        <f t="shared" si="12"/>
        <v>52779.653569652874</v>
      </c>
      <c r="F196" s="20"/>
      <c r="G196" s="22">
        <f t="shared" si="11"/>
        <v>52329.653569652874</v>
      </c>
      <c r="H196" s="22">
        <v>450</v>
      </c>
      <c r="I196" s="23">
        <v>192</v>
      </c>
      <c r="AA196">
        <v>58357.366834489367</v>
      </c>
    </row>
    <row r="197" spans="2:27" x14ac:dyDescent="0.25">
      <c r="B197" s="22">
        <f t="shared" si="13"/>
        <v>52329.653569652874</v>
      </c>
      <c r="C197" s="21">
        <v>3.5000000000000003E-2</v>
      </c>
      <c r="D197" s="22">
        <f t="shared" si="10"/>
        <v>152.6281562448209</v>
      </c>
      <c r="E197" s="22">
        <f t="shared" si="12"/>
        <v>52482.281725897694</v>
      </c>
      <c r="F197" s="20"/>
      <c r="G197" s="22">
        <f t="shared" si="11"/>
        <v>52032.281725897694</v>
      </c>
      <c r="H197" s="22">
        <v>450</v>
      </c>
      <c r="I197" s="23">
        <v>193</v>
      </c>
      <c r="AA197">
        <v>58590.8896104632</v>
      </c>
    </row>
    <row r="198" spans="2:27" x14ac:dyDescent="0.25">
      <c r="B198" s="22">
        <f t="shared" si="13"/>
        <v>52032.281725897694</v>
      </c>
      <c r="C198" s="21">
        <v>3.5000000000000003E-2</v>
      </c>
      <c r="D198" s="22">
        <f t="shared" ref="D198:D261" si="14">B198*(0.035/12)</f>
        <v>151.76082170053493</v>
      </c>
      <c r="E198" s="22">
        <f t="shared" si="12"/>
        <v>52184.042547598227</v>
      </c>
      <c r="F198" s="20"/>
      <c r="G198" s="22">
        <f t="shared" ref="G198:G261" si="15">E198-H198</f>
        <v>51734.042547598227</v>
      </c>
      <c r="H198" s="22">
        <v>450</v>
      </c>
      <c r="I198" s="23">
        <v>194</v>
      </c>
      <c r="AA198">
        <v>58823.830035374762</v>
      </c>
    </row>
    <row r="199" spans="2:27" x14ac:dyDescent="0.25">
      <c r="B199" s="22">
        <f t="shared" si="13"/>
        <v>51734.042547598227</v>
      </c>
      <c r="C199" s="21">
        <v>3.5000000000000003E-2</v>
      </c>
      <c r="D199" s="22">
        <f t="shared" si="14"/>
        <v>150.89095743049484</v>
      </c>
      <c r="E199" s="22">
        <f t="shared" ref="E199:E262" si="16">B199+D199</f>
        <v>51884.933505028719</v>
      </c>
      <c r="F199" s="20"/>
      <c r="G199" s="22">
        <f t="shared" si="15"/>
        <v>51434.933505028719</v>
      </c>
      <c r="H199" s="22">
        <v>450</v>
      </c>
      <c r="I199" s="23">
        <v>195</v>
      </c>
      <c r="AA199">
        <v>59056.189561471081</v>
      </c>
    </row>
    <row r="200" spans="2:27" x14ac:dyDescent="0.25">
      <c r="B200" s="22">
        <f t="shared" si="13"/>
        <v>51434.933505028719</v>
      </c>
      <c r="C200" s="21">
        <v>3.5000000000000003E-2</v>
      </c>
      <c r="D200" s="22">
        <f t="shared" si="14"/>
        <v>150.01855605633378</v>
      </c>
      <c r="E200" s="22">
        <f t="shared" si="16"/>
        <v>51584.952061085052</v>
      </c>
      <c r="F200" s="20"/>
      <c r="G200" s="22">
        <f t="shared" si="15"/>
        <v>51134.952061085052</v>
      </c>
      <c r="H200" s="22">
        <v>450</v>
      </c>
      <c r="I200" s="23">
        <v>196</v>
      </c>
      <c r="AA200">
        <v>59287.969637377624</v>
      </c>
    </row>
    <row r="201" spans="2:27" x14ac:dyDescent="0.25">
      <c r="B201" s="22">
        <f t="shared" si="13"/>
        <v>51134.952061085052</v>
      </c>
      <c r="C201" s="21">
        <v>3.5000000000000003E-2</v>
      </c>
      <c r="D201" s="22">
        <f t="shared" si="14"/>
        <v>149.14361017816475</v>
      </c>
      <c r="E201" s="22">
        <f t="shared" si="16"/>
        <v>51284.095671263218</v>
      </c>
      <c r="F201" s="20"/>
      <c r="G201" s="22">
        <f t="shared" si="15"/>
        <v>50834.095671263218</v>
      </c>
      <c r="H201" s="22">
        <v>450</v>
      </c>
      <c r="I201" s="23">
        <v>197</v>
      </c>
      <c r="AA201">
        <v>59519.171708107366</v>
      </c>
    </row>
    <row r="202" spans="2:27" x14ac:dyDescent="0.25">
      <c r="B202" s="22">
        <f t="shared" si="13"/>
        <v>50834.095671263218</v>
      </c>
      <c r="C202" s="21">
        <v>3.5000000000000003E-2</v>
      </c>
      <c r="D202" s="22">
        <f t="shared" si="14"/>
        <v>148.26611237451772</v>
      </c>
      <c r="E202" s="22">
        <f t="shared" si="16"/>
        <v>50982.361783637738</v>
      </c>
      <c r="F202" s="20"/>
      <c r="G202" s="22">
        <f t="shared" si="15"/>
        <v>50532.361783637738</v>
      </c>
      <c r="H202" s="22">
        <v>450</v>
      </c>
      <c r="I202" s="23">
        <v>198</v>
      </c>
      <c r="AA202">
        <v>59749.797215069688</v>
      </c>
    </row>
    <row r="203" spans="2:27" x14ac:dyDescent="0.25">
      <c r="B203" s="22">
        <f t="shared" si="13"/>
        <v>50532.361783637738</v>
      </c>
      <c r="C203" s="21">
        <v>3.5000000000000003E-2</v>
      </c>
      <c r="D203" s="22">
        <f t="shared" si="14"/>
        <v>147.38605520227674</v>
      </c>
      <c r="E203" s="22">
        <f t="shared" si="16"/>
        <v>50679.747838840012</v>
      </c>
      <c r="F203" s="20"/>
      <c r="G203" s="22">
        <f t="shared" si="15"/>
        <v>50229.747838840012</v>
      </c>
      <c r="H203" s="22">
        <v>450</v>
      </c>
      <c r="I203" s="23">
        <v>199</v>
      </c>
      <c r="AA203">
        <v>59979.847596079482</v>
      </c>
    </row>
    <row r="204" spans="2:27" x14ac:dyDescent="0.25">
      <c r="B204" s="22">
        <f t="shared" si="13"/>
        <v>50229.747838840012</v>
      </c>
      <c r="C204" s="21">
        <v>3.5000000000000003E-2</v>
      </c>
      <c r="D204" s="22">
        <f t="shared" si="14"/>
        <v>146.5034311966167</v>
      </c>
      <c r="E204" s="22">
        <f t="shared" si="16"/>
        <v>50376.251270036628</v>
      </c>
      <c r="F204" s="20"/>
      <c r="G204" s="22">
        <f t="shared" si="15"/>
        <v>49926.251270036628</v>
      </c>
      <c r="H204" s="22">
        <v>450</v>
      </c>
      <c r="I204" s="23">
        <v>200</v>
      </c>
      <c r="AA204">
        <v>60209.324285366063</v>
      </c>
    </row>
    <row r="205" spans="2:27" x14ac:dyDescent="0.25">
      <c r="B205" s="22">
        <f t="shared" si="13"/>
        <v>49926.251270036628</v>
      </c>
      <c r="C205" s="21">
        <v>3.5000000000000003E-2</v>
      </c>
      <c r="D205" s="22">
        <f t="shared" si="14"/>
        <v>145.61823287094018</v>
      </c>
      <c r="E205" s="22">
        <f t="shared" si="16"/>
        <v>50071.869502907568</v>
      </c>
      <c r="F205" s="20"/>
      <c r="G205" s="22">
        <f t="shared" si="15"/>
        <v>49621.869502907568</v>
      </c>
      <c r="H205" s="22">
        <v>450</v>
      </c>
      <c r="I205" s="23">
        <v>201</v>
      </c>
      <c r="AA205">
        <v>60438.228713582103</v>
      </c>
    </row>
    <row r="206" spans="2:27" x14ac:dyDescent="0.25">
      <c r="B206" s="22">
        <f t="shared" si="13"/>
        <v>49621.869502907568</v>
      </c>
      <c r="C206" s="21">
        <v>3.5000000000000003E-2</v>
      </c>
      <c r="D206" s="22">
        <f t="shared" si="14"/>
        <v>144.73045271681374</v>
      </c>
      <c r="E206" s="22">
        <f t="shared" si="16"/>
        <v>49766.599955624384</v>
      </c>
      <c r="F206" s="20"/>
      <c r="G206" s="22">
        <f t="shared" si="15"/>
        <v>49316.599955624384</v>
      </c>
      <c r="H206" s="22">
        <v>450</v>
      </c>
      <c r="I206" s="23">
        <v>202</v>
      </c>
      <c r="AA206">
        <v>60666.562307812557</v>
      </c>
    </row>
    <row r="207" spans="2:27" x14ac:dyDescent="0.25">
      <c r="B207" s="22">
        <f t="shared" si="13"/>
        <v>49316.599955624384</v>
      </c>
      <c r="C207" s="21">
        <v>3.5000000000000003E-2</v>
      </c>
      <c r="D207" s="22">
        <f t="shared" si="14"/>
        <v>143.84008320390447</v>
      </c>
      <c r="E207" s="22">
        <f t="shared" si="16"/>
        <v>49460.440038828288</v>
      </c>
      <c r="F207" s="20"/>
      <c r="G207" s="22">
        <f t="shared" si="15"/>
        <v>49010.440038828288</v>
      </c>
      <c r="H207" s="22">
        <v>450</v>
      </c>
      <c r="I207" s="23">
        <v>203</v>
      </c>
      <c r="AA207">
        <v>60894.326491583604</v>
      </c>
    </row>
    <row r="208" spans="2:27" x14ac:dyDescent="0.25">
      <c r="B208" s="22">
        <f t="shared" si="13"/>
        <v>49010.440038828288</v>
      </c>
      <c r="C208" s="21">
        <v>3.5000000000000003E-2</v>
      </c>
      <c r="D208" s="22">
        <f t="shared" si="14"/>
        <v>142.94711677991586</v>
      </c>
      <c r="E208" s="22">
        <f t="shared" si="16"/>
        <v>49153.387155608201</v>
      </c>
      <c r="F208" s="20"/>
      <c r="G208" s="22">
        <f t="shared" si="15"/>
        <v>48703.387155608201</v>
      </c>
      <c r="H208" s="22">
        <v>450</v>
      </c>
      <c r="I208" s="23">
        <v>204</v>
      </c>
      <c r="AA208">
        <v>61121.522684871423</v>
      </c>
    </row>
    <row r="209" spans="2:27" x14ac:dyDescent="0.25">
      <c r="B209" s="22">
        <f t="shared" si="13"/>
        <v>48703.387155608201</v>
      </c>
      <c r="C209" s="21">
        <v>3.5000000000000003E-2</v>
      </c>
      <c r="D209" s="22">
        <f t="shared" si="14"/>
        <v>142.05154587052394</v>
      </c>
      <c r="E209" s="22">
        <f t="shared" si="16"/>
        <v>48845.438701478728</v>
      </c>
      <c r="F209" s="20"/>
      <c r="G209" s="22">
        <f t="shared" si="15"/>
        <v>48395.438701478728</v>
      </c>
      <c r="H209" s="22">
        <v>450</v>
      </c>
      <c r="I209" s="23">
        <v>205</v>
      </c>
      <c r="AA209">
        <v>61348.152304111121</v>
      </c>
    </row>
    <row r="210" spans="2:27" x14ac:dyDescent="0.25">
      <c r="B210" s="22">
        <f t="shared" si="13"/>
        <v>48395.438701478728</v>
      </c>
      <c r="C210" s="21">
        <v>3.5000000000000003E-2</v>
      </c>
      <c r="D210" s="22">
        <f t="shared" si="14"/>
        <v>141.15336287931297</v>
      </c>
      <c r="E210" s="22">
        <f t="shared" si="16"/>
        <v>48536.592064358039</v>
      </c>
      <c r="F210" s="20"/>
      <c r="G210" s="22">
        <f t="shared" si="15"/>
        <v>48086.592064358039</v>
      </c>
      <c r="H210" s="22">
        <v>450</v>
      </c>
      <c r="I210" s="23">
        <v>206</v>
      </c>
      <c r="AA210">
        <v>61574.216762205615</v>
      </c>
    </row>
    <row r="211" spans="2:27" x14ac:dyDescent="0.25">
      <c r="B211" s="22">
        <f t="shared" si="13"/>
        <v>48086.592064358039</v>
      </c>
      <c r="C211" s="21">
        <v>3.5000000000000003E-2</v>
      </c>
      <c r="D211" s="22">
        <f t="shared" si="14"/>
        <v>140.25256018771094</v>
      </c>
      <c r="E211" s="22">
        <f t="shared" si="16"/>
        <v>48226.844624545753</v>
      </c>
      <c r="F211" s="20"/>
      <c r="G211" s="22">
        <f t="shared" si="15"/>
        <v>47776.844624545753</v>
      </c>
      <c r="H211" s="22">
        <v>450</v>
      </c>
      <c r="I211" s="23">
        <v>207</v>
      </c>
      <c r="AA211">
        <v>61799.717468534276</v>
      </c>
    </row>
    <row r="212" spans="2:27" x14ac:dyDescent="0.25">
      <c r="B212" s="22">
        <f t="shared" si="13"/>
        <v>47776.844624545753</v>
      </c>
      <c r="C212" s="21">
        <v>3.5000000000000003E-2</v>
      </c>
      <c r="D212" s="22">
        <f t="shared" si="14"/>
        <v>139.34913015492512</v>
      </c>
      <c r="E212" s="22">
        <f t="shared" si="16"/>
        <v>47916.193754700675</v>
      </c>
      <c r="F212" s="20"/>
      <c r="G212" s="22">
        <f t="shared" si="15"/>
        <v>47466.193754700675</v>
      </c>
      <c r="H212" s="22">
        <v>450</v>
      </c>
      <c r="I212" s="23">
        <v>208</v>
      </c>
      <c r="AA212">
        <v>62024.655828961862</v>
      </c>
    </row>
    <row r="213" spans="2:27" x14ac:dyDescent="0.25">
      <c r="B213" s="22">
        <f t="shared" si="13"/>
        <v>47466.193754700675</v>
      </c>
      <c r="C213" s="21">
        <v>3.5000000000000003E-2</v>
      </c>
      <c r="D213" s="22">
        <f t="shared" si="14"/>
        <v>138.44306511787698</v>
      </c>
      <c r="E213" s="22">
        <f t="shared" si="16"/>
        <v>47604.636819818552</v>
      </c>
      <c r="F213" s="20"/>
      <c r="G213" s="22">
        <f t="shared" si="15"/>
        <v>47154.636819818552</v>
      </c>
      <c r="H213" s="22">
        <v>450</v>
      </c>
      <c r="I213" s="23">
        <v>209</v>
      </c>
      <c r="AA213">
        <v>62249.033245847248</v>
      </c>
    </row>
    <row r="214" spans="2:27" x14ac:dyDescent="0.25">
      <c r="B214" s="22">
        <f t="shared" si="13"/>
        <v>47154.636819818552</v>
      </c>
      <c r="C214" s="21">
        <v>3.5000000000000003E-2</v>
      </c>
      <c r="D214" s="22">
        <f t="shared" si="14"/>
        <v>137.53435739113746</v>
      </c>
      <c r="E214" s="22">
        <f t="shared" si="16"/>
        <v>47292.17117720969</v>
      </c>
      <c r="F214" s="20"/>
      <c r="G214" s="22">
        <f t="shared" si="15"/>
        <v>46842.17117720969</v>
      </c>
      <c r="H214" s="22">
        <v>450</v>
      </c>
      <c r="I214" s="23">
        <v>210</v>
      </c>
      <c r="AA214">
        <v>62472.851118052109</v>
      </c>
    </row>
    <row r="215" spans="2:27" x14ac:dyDescent="0.25">
      <c r="B215" s="22">
        <f t="shared" si="13"/>
        <v>46842.17117720969</v>
      </c>
      <c r="C215" s="21">
        <v>3.5000000000000003E-2</v>
      </c>
      <c r="D215" s="22">
        <f t="shared" si="14"/>
        <v>136.6229992668616</v>
      </c>
      <c r="E215" s="22">
        <f t="shared" si="16"/>
        <v>46978.794176476549</v>
      </c>
      <c r="F215" s="20"/>
      <c r="G215" s="22">
        <f t="shared" si="15"/>
        <v>46528.794176476549</v>
      </c>
      <c r="H215" s="22">
        <v>450</v>
      </c>
      <c r="I215" s="23">
        <v>211</v>
      </c>
      <c r="AA215">
        <v>62696.110840949725</v>
      </c>
    </row>
    <row r="216" spans="2:27" x14ac:dyDescent="0.25">
      <c r="B216" s="22">
        <f t="shared" si="13"/>
        <v>46528.794176476549</v>
      </c>
      <c r="C216" s="21">
        <v>3.5000000000000003E-2</v>
      </c>
      <c r="D216" s="22">
        <f t="shared" si="14"/>
        <v>135.70898301472329</v>
      </c>
      <c r="E216" s="22">
        <f t="shared" si="16"/>
        <v>46664.503159491273</v>
      </c>
      <c r="F216" s="20"/>
      <c r="G216" s="22">
        <f t="shared" si="15"/>
        <v>46214.503159491273</v>
      </c>
      <c r="H216" s="22">
        <v>450</v>
      </c>
      <c r="I216" s="23">
        <v>212</v>
      </c>
      <c r="AA216">
        <v>62918.813806433638</v>
      </c>
    </row>
    <row r="217" spans="2:27" x14ac:dyDescent="0.25">
      <c r="B217" s="22">
        <f t="shared" si="13"/>
        <v>46214.503159491273</v>
      </c>
      <c r="C217" s="21">
        <v>3.5000000000000003E-2</v>
      </c>
      <c r="D217" s="22">
        <f t="shared" si="14"/>
        <v>134.79230088184954</v>
      </c>
      <c r="E217" s="22">
        <f t="shared" si="16"/>
        <v>46349.29546037312</v>
      </c>
      <c r="F217" s="20"/>
      <c r="G217" s="22">
        <f t="shared" si="15"/>
        <v>45899.29546037312</v>
      </c>
      <c r="H217" s="22">
        <v>450</v>
      </c>
      <c r="I217" s="23">
        <v>213</v>
      </c>
      <c r="AA217">
        <v>63140.961402926325</v>
      </c>
    </row>
    <row r="218" spans="2:27" x14ac:dyDescent="0.25">
      <c r="B218" s="22">
        <f t="shared" si="13"/>
        <v>45899.29546037312</v>
      </c>
      <c r="C218" s="21">
        <v>3.5000000000000003E-2</v>
      </c>
      <c r="D218" s="22">
        <f t="shared" si="14"/>
        <v>133.87294509275495</v>
      </c>
      <c r="E218" s="22">
        <f t="shared" si="16"/>
        <v>46033.168405465876</v>
      </c>
      <c r="F218" s="20"/>
      <c r="G218" s="22">
        <f t="shared" si="15"/>
        <v>45583.168405465876</v>
      </c>
      <c r="H218" s="22">
        <v>450</v>
      </c>
      <c r="I218" s="23">
        <v>214</v>
      </c>
      <c r="AA218">
        <v>63362.55501538785</v>
      </c>
    </row>
    <row r="219" spans="2:27" x14ac:dyDescent="0.25">
      <c r="B219" s="22">
        <f t="shared" si="13"/>
        <v>45583.168405465876</v>
      </c>
      <c r="C219" s="21">
        <v>3.5000000000000003E-2</v>
      </c>
      <c r="D219" s="22">
        <f t="shared" si="14"/>
        <v>132.95090784927547</v>
      </c>
      <c r="E219" s="22">
        <f t="shared" si="16"/>
        <v>45716.119313315154</v>
      </c>
      <c r="F219" s="20"/>
      <c r="G219" s="22">
        <f t="shared" si="15"/>
        <v>45266.119313315154</v>
      </c>
      <c r="H219" s="22">
        <v>450</v>
      </c>
      <c r="I219" s="23">
        <v>215</v>
      </c>
      <c r="AA219">
        <v>63583.596025324528</v>
      </c>
    </row>
    <row r="220" spans="2:27" x14ac:dyDescent="0.25">
      <c r="B220" s="22">
        <f t="shared" si="13"/>
        <v>45266.119313315154</v>
      </c>
      <c r="C220" s="21">
        <v>3.5000000000000003E-2</v>
      </c>
      <c r="D220" s="22">
        <f t="shared" si="14"/>
        <v>132.02618133050254</v>
      </c>
      <c r="E220" s="22">
        <f t="shared" si="16"/>
        <v>45398.145494645658</v>
      </c>
      <c r="F220" s="20"/>
      <c r="G220" s="22">
        <f t="shared" si="15"/>
        <v>44948.145494645658</v>
      </c>
      <c r="H220" s="22">
        <v>450</v>
      </c>
      <c r="I220" s="23">
        <v>216</v>
      </c>
      <c r="AA220">
        <v>63804.085810797536</v>
      </c>
    </row>
    <row r="221" spans="2:27" x14ac:dyDescent="0.25">
      <c r="B221" s="22">
        <f t="shared" ref="B221:B284" si="17">G220</f>
        <v>44948.145494645658</v>
      </c>
      <c r="C221" s="21">
        <v>3.5000000000000003E-2</v>
      </c>
      <c r="D221" s="22">
        <f t="shared" si="14"/>
        <v>131.0987576927165</v>
      </c>
      <c r="E221" s="22">
        <f t="shared" si="16"/>
        <v>45079.244252338372</v>
      </c>
      <c r="F221" s="20"/>
      <c r="G221" s="22">
        <f t="shared" si="15"/>
        <v>44629.244252338372</v>
      </c>
      <c r="H221" s="22">
        <v>450</v>
      </c>
      <c r="I221" s="23">
        <v>217</v>
      </c>
      <c r="AA221">
        <v>64024.025746431449</v>
      </c>
    </row>
    <row r="222" spans="2:27" x14ac:dyDescent="0.25">
      <c r="B222" s="22">
        <f t="shared" si="17"/>
        <v>44629.244252338372</v>
      </c>
      <c r="C222" s="21">
        <v>3.5000000000000003E-2</v>
      </c>
      <c r="D222" s="22">
        <f t="shared" si="14"/>
        <v>130.16862906932025</v>
      </c>
      <c r="E222" s="22">
        <f t="shared" si="16"/>
        <v>44759.41288140769</v>
      </c>
      <c r="F222" s="20"/>
      <c r="G222" s="22">
        <f t="shared" si="15"/>
        <v>44309.41288140769</v>
      </c>
      <c r="H222" s="22">
        <v>450</v>
      </c>
      <c r="I222" s="23">
        <v>218</v>
      </c>
      <c r="AA222">
        <v>64243.41720342289</v>
      </c>
    </row>
    <row r="223" spans="2:27" x14ac:dyDescent="0.25">
      <c r="B223" s="22">
        <f t="shared" si="17"/>
        <v>44309.41288140769</v>
      </c>
      <c r="C223" s="21">
        <v>3.5000000000000003E-2</v>
      </c>
      <c r="D223" s="22">
        <f t="shared" si="14"/>
        <v>129.23578757077243</v>
      </c>
      <c r="E223" s="22">
        <f t="shared" si="16"/>
        <v>44438.648668978465</v>
      </c>
      <c r="F223" s="20"/>
      <c r="G223" s="22">
        <f t="shared" si="15"/>
        <v>43988.648668978465</v>
      </c>
      <c r="H223" s="22">
        <v>450</v>
      </c>
      <c r="I223" s="23">
        <v>219</v>
      </c>
      <c r="AA223">
        <v>64462.261549548995</v>
      </c>
    </row>
    <row r="224" spans="2:27" x14ac:dyDescent="0.25">
      <c r="B224" s="22">
        <f t="shared" si="17"/>
        <v>43988.648668978465</v>
      </c>
      <c r="C224" s="21">
        <v>3.5000000000000003E-2</v>
      </c>
      <c r="D224" s="22">
        <f t="shared" si="14"/>
        <v>128.30022528452054</v>
      </c>
      <c r="E224" s="22">
        <f t="shared" si="16"/>
        <v>44116.948894262983</v>
      </c>
      <c r="F224" s="20"/>
      <c r="G224" s="22">
        <f t="shared" si="15"/>
        <v>43666.948894262983</v>
      </c>
      <c r="H224" s="22">
        <v>450</v>
      </c>
      <c r="I224" s="23">
        <v>220</v>
      </c>
      <c r="AA224">
        <v>64680.560149176061</v>
      </c>
    </row>
    <row r="225" spans="2:27" x14ac:dyDescent="0.25">
      <c r="B225" s="22">
        <f t="shared" si="17"/>
        <v>43666.948894262983</v>
      </c>
      <c r="C225" s="21">
        <v>3.5000000000000003E-2</v>
      </c>
      <c r="D225" s="22">
        <f t="shared" si="14"/>
        <v>127.3619342749337</v>
      </c>
      <c r="E225" s="22">
        <f t="shared" si="16"/>
        <v>43794.31082853792</v>
      </c>
      <c r="F225" s="20"/>
      <c r="G225" s="22">
        <f t="shared" si="15"/>
        <v>43344.31082853792</v>
      </c>
      <c r="H225" s="22">
        <v>450</v>
      </c>
      <c r="I225" s="23">
        <v>221</v>
      </c>
      <c r="AA225">
        <v>64898.314363267891</v>
      </c>
    </row>
    <row r="226" spans="2:27" x14ac:dyDescent="0.25">
      <c r="B226" s="22">
        <f t="shared" si="17"/>
        <v>43344.31082853792</v>
      </c>
      <c r="C226" s="21">
        <v>3.5000000000000003E-2</v>
      </c>
      <c r="D226" s="22">
        <f t="shared" si="14"/>
        <v>126.42090658323561</v>
      </c>
      <c r="E226" s="22">
        <f t="shared" si="16"/>
        <v>43470.731735121153</v>
      </c>
      <c r="F226" s="20"/>
      <c r="G226" s="22">
        <f t="shared" si="15"/>
        <v>43020.731735121153</v>
      </c>
      <c r="H226" s="22">
        <v>450</v>
      </c>
      <c r="I226" s="23">
        <v>222</v>
      </c>
      <c r="AA226">
        <v>65115.525549394406</v>
      </c>
    </row>
    <row r="227" spans="2:27" x14ac:dyDescent="0.25">
      <c r="B227" s="22">
        <f t="shared" si="17"/>
        <v>43020.731735121153</v>
      </c>
      <c r="C227" s="21">
        <v>3.5000000000000003E-2</v>
      </c>
      <c r="D227" s="22">
        <f t="shared" si="14"/>
        <v>125.47713422743671</v>
      </c>
      <c r="E227" s="22">
        <f t="shared" si="16"/>
        <v>43146.208869348593</v>
      </c>
      <c r="F227" s="20"/>
      <c r="G227" s="22">
        <f t="shared" si="15"/>
        <v>42696.208869348593</v>
      </c>
      <c r="H227" s="22">
        <v>450</v>
      </c>
      <c r="I227" s="23">
        <v>223</v>
      </c>
      <c r="AA227">
        <v>65332.195061740051</v>
      </c>
    </row>
    <row r="228" spans="2:27" x14ac:dyDescent="0.25">
      <c r="B228" s="22">
        <f t="shared" si="17"/>
        <v>42696.208869348593</v>
      </c>
      <c r="C228" s="21">
        <v>3.5000000000000003E-2</v>
      </c>
      <c r="D228" s="22">
        <f t="shared" si="14"/>
        <v>124.53060920226673</v>
      </c>
      <c r="E228" s="22">
        <f t="shared" si="16"/>
        <v>42820.739478550859</v>
      </c>
      <c r="F228" s="20"/>
      <c r="G228" s="22">
        <f t="shared" si="15"/>
        <v>42370.739478550859</v>
      </c>
      <c r="H228" s="22">
        <v>450</v>
      </c>
      <c r="I228" s="23">
        <v>224</v>
      </c>
      <c r="AA228">
        <v>65548.324251112266</v>
      </c>
    </row>
    <row r="229" spans="2:27" x14ac:dyDescent="0.25">
      <c r="B229" s="22">
        <f t="shared" si="17"/>
        <v>42370.739478550859</v>
      </c>
      <c r="C229" s="21">
        <v>3.5000000000000003E-2</v>
      </c>
      <c r="D229" s="22">
        <f t="shared" si="14"/>
        <v>123.58132347910667</v>
      </c>
      <c r="E229" s="22">
        <f t="shared" si="16"/>
        <v>42494.320802029964</v>
      </c>
      <c r="F229" s="20"/>
      <c r="G229" s="22">
        <f t="shared" si="15"/>
        <v>42044.320802029964</v>
      </c>
      <c r="H229" s="22">
        <v>450</v>
      </c>
      <c r="I229" s="23">
        <v>225</v>
      </c>
      <c r="AA229">
        <v>65763.914464949878</v>
      </c>
    </row>
    <row r="230" spans="2:27" x14ac:dyDescent="0.25">
      <c r="B230" s="22">
        <f t="shared" si="17"/>
        <v>42044.320802029964</v>
      </c>
      <c r="C230" s="21">
        <v>3.5000000000000003E-2</v>
      </c>
      <c r="D230" s="22">
        <f t="shared" si="14"/>
        <v>122.62926900592073</v>
      </c>
      <c r="E230" s="22">
        <f t="shared" si="16"/>
        <v>42166.950071035884</v>
      </c>
      <c r="F230" s="20"/>
      <c r="G230" s="22">
        <f t="shared" si="15"/>
        <v>41716.950071035884</v>
      </c>
      <c r="H230" s="22">
        <v>450</v>
      </c>
      <c r="I230" s="23">
        <v>226</v>
      </c>
      <c r="AA230">
        <v>65978.967047331549</v>
      </c>
    </row>
    <row r="231" spans="2:27" x14ac:dyDescent="0.25">
      <c r="B231" s="22">
        <f t="shared" si="17"/>
        <v>41716.950071035884</v>
      </c>
      <c r="C231" s="21">
        <v>3.5000000000000003E-2</v>
      </c>
      <c r="D231" s="22">
        <f t="shared" si="14"/>
        <v>121.67443770718801</v>
      </c>
      <c r="E231" s="22">
        <f t="shared" si="16"/>
        <v>41838.624508743073</v>
      </c>
      <c r="F231" s="20"/>
      <c r="G231" s="22">
        <f t="shared" si="15"/>
        <v>41388.624508743073</v>
      </c>
      <c r="H231" s="22">
        <v>450</v>
      </c>
      <c r="I231" s="23">
        <v>227</v>
      </c>
      <c r="AA231">
        <v>66193.483338984079</v>
      </c>
    </row>
    <row r="232" spans="2:27" x14ac:dyDescent="0.25">
      <c r="B232" s="22">
        <f t="shared" si="17"/>
        <v>41388.624508743073</v>
      </c>
      <c r="C232" s="21">
        <v>3.5000000000000003E-2</v>
      </c>
      <c r="D232" s="22">
        <f t="shared" si="14"/>
        <v>120.71682148383397</v>
      </c>
      <c r="E232" s="22">
        <f t="shared" si="16"/>
        <v>41509.341330226904</v>
      </c>
      <c r="F232" s="20"/>
      <c r="G232" s="22">
        <f t="shared" si="15"/>
        <v>41059.341330226904</v>
      </c>
      <c r="H232" s="22">
        <v>450</v>
      </c>
      <c r="I232" s="23">
        <v>228</v>
      </c>
      <c r="AA232">
        <v>66407.464677290845</v>
      </c>
    </row>
    <row r="233" spans="2:27" x14ac:dyDescent="0.25">
      <c r="B233" s="22">
        <f t="shared" si="17"/>
        <v>41059.341330226904</v>
      </c>
      <c r="C233" s="21">
        <v>3.5000000000000003E-2</v>
      </c>
      <c r="D233" s="22">
        <f t="shared" si="14"/>
        <v>119.75641221316181</v>
      </c>
      <c r="E233" s="22">
        <f t="shared" si="16"/>
        <v>41179.097742440063</v>
      </c>
      <c r="F233" s="20"/>
      <c r="G233" s="22">
        <f t="shared" si="15"/>
        <v>40729.097742440063</v>
      </c>
      <c r="H233" s="22">
        <v>450</v>
      </c>
      <c r="I233" s="23">
        <v>229</v>
      </c>
      <c r="AA233">
        <v>66620.912396300075</v>
      </c>
    </row>
    <row r="234" spans="2:27" x14ac:dyDescent="0.25">
      <c r="B234" s="22">
        <f t="shared" si="17"/>
        <v>40729.097742440063</v>
      </c>
      <c r="C234" s="21">
        <v>3.5000000000000003E-2</v>
      </c>
      <c r="D234" s="22">
        <f t="shared" si="14"/>
        <v>118.79320174878352</v>
      </c>
      <c r="E234" s="22">
        <f t="shared" si="16"/>
        <v>40847.890944188846</v>
      </c>
      <c r="F234" s="20"/>
      <c r="G234" s="22">
        <f t="shared" si="15"/>
        <v>40397.890944188846</v>
      </c>
      <c r="H234" s="22">
        <v>450</v>
      </c>
      <c r="I234" s="23">
        <v>230</v>
      </c>
      <c r="AA234">
        <v>66833.827826733264</v>
      </c>
    </row>
    <row r="235" spans="2:27" x14ac:dyDescent="0.25">
      <c r="B235" s="22">
        <f t="shared" si="17"/>
        <v>40397.890944188846</v>
      </c>
      <c r="C235" s="21">
        <v>3.5000000000000003E-2</v>
      </c>
      <c r="D235" s="22">
        <f t="shared" si="14"/>
        <v>117.82718192055081</v>
      </c>
      <c r="E235" s="22">
        <f t="shared" si="16"/>
        <v>40515.718126109394</v>
      </c>
      <c r="F235" s="20"/>
      <c r="G235" s="22">
        <f t="shared" si="15"/>
        <v>40065.718126109394</v>
      </c>
      <c r="H235" s="22">
        <v>450</v>
      </c>
      <c r="I235" s="23">
        <v>231</v>
      </c>
      <c r="AA235">
        <v>67046.21229599326</v>
      </c>
    </row>
    <row r="236" spans="2:27" x14ac:dyDescent="0.25">
      <c r="B236" s="22">
        <f t="shared" si="17"/>
        <v>40065.718126109394</v>
      </c>
      <c r="C236" s="21">
        <v>3.5000000000000003E-2</v>
      </c>
      <c r="D236" s="22">
        <f t="shared" si="14"/>
        <v>116.85834453448574</v>
      </c>
      <c r="E236" s="22">
        <f t="shared" si="16"/>
        <v>40182.576470643879</v>
      </c>
      <c r="F236" s="20"/>
      <c r="G236" s="22">
        <f t="shared" si="15"/>
        <v>39732.576470643879</v>
      </c>
      <c r="H236" s="22">
        <v>450</v>
      </c>
      <c r="I236" s="23">
        <v>232</v>
      </c>
      <c r="AA236">
        <v>67258.067128172828</v>
      </c>
    </row>
    <row r="237" spans="2:27" x14ac:dyDescent="0.25">
      <c r="B237" s="22">
        <f t="shared" si="17"/>
        <v>39732.576470643879</v>
      </c>
      <c r="C237" s="21">
        <v>3.5000000000000003E-2</v>
      </c>
      <c r="D237" s="22">
        <f t="shared" si="14"/>
        <v>115.88668137271132</v>
      </c>
      <c r="E237" s="22">
        <f t="shared" si="16"/>
        <v>39848.463152016593</v>
      </c>
      <c r="F237" s="20"/>
      <c r="G237" s="22">
        <f t="shared" si="15"/>
        <v>39398.463152016593</v>
      </c>
      <c r="H237" s="22">
        <v>450</v>
      </c>
      <c r="I237" s="23">
        <v>233</v>
      </c>
      <c r="AA237">
        <v>67469.393644062671</v>
      </c>
    </row>
    <row r="238" spans="2:27" x14ac:dyDescent="0.25">
      <c r="B238" s="22">
        <f t="shared" si="17"/>
        <v>39398.463152016593</v>
      </c>
      <c r="C238" s="21">
        <v>3.5000000000000003E-2</v>
      </c>
      <c r="D238" s="22">
        <f t="shared" si="14"/>
        <v>114.91218419338173</v>
      </c>
      <c r="E238" s="22">
        <f t="shared" si="16"/>
        <v>39513.375336209974</v>
      </c>
      <c r="F238" s="20"/>
      <c r="G238" s="22">
        <f t="shared" si="15"/>
        <v>39063.375336209974</v>
      </c>
      <c r="H238" s="22">
        <v>450</v>
      </c>
      <c r="I238" s="23">
        <v>234</v>
      </c>
      <c r="AA238">
        <v>67680.193161159768</v>
      </c>
    </row>
    <row r="239" spans="2:27" x14ac:dyDescent="0.25">
      <c r="B239" s="22">
        <f t="shared" si="17"/>
        <v>39063.375336209974</v>
      </c>
      <c r="C239" s="21">
        <v>3.5000000000000003E-2</v>
      </c>
      <c r="D239" s="22">
        <f t="shared" si="14"/>
        <v>113.93484473061243</v>
      </c>
      <c r="E239" s="22">
        <f t="shared" si="16"/>
        <v>39177.310180940585</v>
      </c>
      <c r="F239" s="20"/>
      <c r="G239" s="22">
        <f t="shared" si="15"/>
        <v>38727.310180940585</v>
      </c>
      <c r="H239" s="22">
        <v>450</v>
      </c>
      <c r="I239" s="23">
        <v>235</v>
      </c>
      <c r="AA239">
        <v>67890.466993675567</v>
      </c>
    </row>
    <row r="240" spans="2:27" x14ac:dyDescent="0.25">
      <c r="B240" s="22">
        <f t="shared" si="17"/>
        <v>38727.310180940585</v>
      </c>
      <c r="C240" s="21">
        <v>3.5000000000000003E-2</v>
      </c>
      <c r="D240" s="22">
        <f t="shared" si="14"/>
        <v>112.95465469441004</v>
      </c>
      <c r="E240" s="22">
        <f t="shared" si="16"/>
        <v>38840.264835634996</v>
      </c>
      <c r="F240" s="20"/>
      <c r="G240" s="22">
        <f t="shared" si="15"/>
        <v>38390.264835634996</v>
      </c>
      <c r="H240" s="22">
        <v>450</v>
      </c>
      <c r="I240" s="23">
        <v>236</v>
      </c>
      <c r="AA240">
        <v>68100.216452544206</v>
      </c>
    </row>
    <row r="241" spans="2:27" x14ac:dyDescent="0.25">
      <c r="B241" s="22">
        <f t="shared" si="17"/>
        <v>38390.264835634996</v>
      </c>
      <c r="C241" s="21">
        <v>3.5000000000000003E-2</v>
      </c>
      <c r="D241" s="22">
        <f t="shared" si="14"/>
        <v>111.97160577060208</v>
      </c>
      <c r="E241" s="22">
        <f t="shared" si="16"/>
        <v>38502.236441405599</v>
      </c>
      <c r="F241" s="20"/>
      <c r="G241" s="22">
        <f t="shared" si="15"/>
        <v>38052.236441405599</v>
      </c>
      <c r="H241" s="22">
        <v>450</v>
      </c>
      <c r="I241" s="23">
        <v>237</v>
      </c>
      <c r="AA241">
        <v>68309.442845430618</v>
      </c>
    </row>
    <row r="242" spans="2:27" x14ac:dyDescent="0.25">
      <c r="B242" s="22">
        <f t="shared" si="17"/>
        <v>38052.236441405599</v>
      </c>
      <c r="C242" s="21">
        <v>3.5000000000000003E-2</v>
      </c>
      <c r="D242" s="22">
        <f t="shared" si="14"/>
        <v>110.98568962076634</v>
      </c>
      <c r="E242" s="22">
        <f t="shared" si="16"/>
        <v>38163.222131026363</v>
      </c>
      <c r="F242" s="20"/>
      <c r="G242" s="22">
        <f t="shared" si="15"/>
        <v>37713.222131026363</v>
      </c>
      <c r="H242" s="22">
        <v>450</v>
      </c>
      <c r="I242" s="23">
        <v>238</v>
      </c>
      <c r="AA242">
        <v>68518.14747673877</v>
      </c>
    </row>
    <row r="243" spans="2:27" x14ac:dyDescent="0.25">
      <c r="B243" s="22">
        <f t="shared" si="17"/>
        <v>37713.222131026363</v>
      </c>
      <c r="C243" s="21">
        <v>3.5000000000000003E-2</v>
      </c>
      <c r="D243" s="22">
        <f t="shared" si="14"/>
        <v>109.99689788216023</v>
      </c>
      <c r="E243" s="22">
        <f t="shared" si="16"/>
        <v>37823.219028908527</v>
      </c>
      <c r="F243" s="20"/>
      <c r="G243" s="22">
        <f t="shared" si="15"/>
        <v>37373.219028908527</v>
      </c>
      <c r="H243" s="22">
        <v>450</v>
      </c>
      <c r="I243" s="23">
        <v>239</v>
      </c>
      <c r="AA243">
        <v>68726.331647619721</v>
      </c>
    </row>
    <row r="244" spans="2:27" x14ac:dyDescent="0.25">
      <c r="B244" s="22">
        <f t="shared" si="17"/>
        <v>37373.219028908527</v>
      </c>
      <c r="C244" s="21">
        <v>3.5000000000000003E-2</v>
      </c>
      <c r="D244" s="22">
        <f t="shared" si="14"/>
        <v>109.00522216764988</v>
      </c>
      <c r="E244" s="22">
        <f t="shared" si="16"/>
        <v>37482.224251076179</v>
      </c>
      <c r="F244" s="20"/>
      <c r="G244" s="22">
        <f t="shared" si="15"/>
        <v>37032.224251076179</v>
      </c>
      <c r="H244" s="22">
        <v>450</v>
      </c>
      <c r="I244" s="23">
        <v>240</v>
      </c>
      <c r="AA244">
        <v>68933.996655979761</v>
      </c>
    </row>
    <row r="245" spans="2:27" x14ac:dyDescent="0.25">
      <c r="B245" s="22">
        <f t="shared" si="17"/>
        <v>37032.224251076179</v>
      </c>
      <c r="C245" s="21">
        <v>3.5000000000000003E-2</v>
      </c>
      <c r="D245" s="22">
        <f t="shared" si="14"/>
        <v>108.01065406563886</v>
      </c>
      <c r="E245" s="22">
        <f t="shared" si="16"/>
        <v>37140.23490514182</v>
      </c>
      <c r="F245" s="20"/>
      <c r="G245" s="22">
        <f t="shared" si="15"/>
        <v>36690.23490514182</v>
      </c>
      <c r="H245" s="22">
        <v>450</v>
      </c>
      <c r="I245" s="23">
        <v>241</v>
      </c>
      <c r="AA245">
        <v>69141.143796488541</v>
      </c>
    </row>
    <row r="246" spans="2:27" x14ac:dyDescent="0.25">
      <c r="B246" s="22">
        <f t="shared" si="17"/>
        <v>36690.23490514182</v>
      </c>
      <c r="C246" s="21">
        <v>3.5000000000000003E-2</v>
      </c>
      <c r="D246" s="22">
        <f t="shared" si="14"/>
        <v>107.01318513999698</v>
      </c>
      <c r="E246" s="22">
        <f t="shared" si="16"/>
        <v>36797.248090281821</v>
      </c>
      <c r="F246" s="20"/>
      <c r="G246" s="22">
        <f t="shared" si="15"/>
        <v>36347.248090281821</v>
      </c>
      <c r="H246" s="22">
        <v>450</v>
      </c>
      <c r="I246" s="23">
        <v>242</v>
      </c>
      <c r="AA246">
        <v>69347.774360587064</v>
      </c>
    </row>
    <row r="247" spans="2:27" x14ac:dyDescent="0.25">
      <c r="B247" s="22">
        <f t="shared" si="17"/>
        <v>36347.248090281821</v>
      </c>
      <c r="C247" s="21">
        <v>3.5000000000000003E-2</v>
      </c>
      <c r="D247" s="22">
        <f t="shared" si="14"/>
        <v>106.01280692998864</v>
      </c>
      <c r="E247" s="22">
        <f t="shared" si="16"/>
        <v>36453.260897211811</v>
      </c>
      <c r="F247" s="20"/>
      <c r="G247" s="22">
        <f t="shared" si="15"/>
        <v>36003.260897211811</v>
      </c>
      <c r="H247" s="22">
        <v>450</v>
      </c>
      <c r="I247" s="23">
        <v>243</v>
      </c>
      <c r="AA247">
        <v>69553.88963649582</v>
      </c>
    </row>
    <row r="248" spans="2:27" x14ac:dyDescent="0.25">
      <c r="B248" s="22">
        <f t="shared" si="17"/>
        <v>36003.260897211811</v>
      </c>
      <c r="C248" s="21">
        <v>3.5000000000000003E-2</v>
      </c>
      <c r="D248" s="22">
        <f t="shared" si="14"/>
        <v>105.00951095020112</v>
      </c>
      <c r="E248" s="22">
        <f t="shared" si="16"/>
        <v>36108.27040816201</v>
      </c>
      <c r="F248" s="20"/>
      <c r="G248" s="22">
        <f t="shared" si="15"/>
        <v>35658.27040816201</v>
      </c>
      <c r="H248" s="22">
        <v>450</v>
      </c>
      <c r="I248" s="23">
        <v>244</v>
      </c>
      <c r="AA248">
        <v>69759.490909222761</v>
      </c>
    </row>
    <row r="249" spans="2:27" x14ac:dyDescent="0.25">
      <c r="B249" s="22">
        <f t="shared" si="17"/>
        <v>35658.27040816201</v>
      </c>
      <c r="C249" s="21">
        <v>3.5000000000000003E-2</v>
      </c>
      <c r="D249" s="22">
        <f t="shared" si="14"/>
        <v>104.00328869047253</v>
      </c>
      <c r="E249" s="22">
        <f t="shared" si="16"/>
        <v>35762.273696852484</v>
      </c>
      <c r="F249" s="20"/>
      <c r="G249" s="22">
        <f t="shared" si="15"/>
        <v>35312.273696852484</v>
      </c>
      <c r="H249" s="22">
        <v>450</v>
      </c>
      <c r="I249" s="23">
        <v>245</v>
      </c>
      <c r="AA249">
        <v>69964.579460571331</v>
      </c>
    </row>
    <row r="250" spans="2:27" x14ac:dyDescent="0.25">
      <c r="B250" s="22">
        <f t="shared" si="17"/>
        <v>35312.273696852484</v>
      </c>
      <c r="C250" s="21">
        <v>3.5000000000000003E-2</v>
      </c>
      <c r="D250" s="22">
        <f t="shared" si="14"/>
        <v>102.99413161581975</v>
      </c>
      <c r="E250" s="22">
        <f t="shared" si="16"/>
        <v>35415.267828468306</v>
      </c>
      <c r="F250" s="20"/>
      <c r="G250" s="22">
        <f t="shared" si="15"/>
        <v>34965.267828468306</v>
      </c>
      <c r="H250" s="22">
        <v>450</v>
      </c>
      <c r="I250" s="23">
        <v>246</v>
      </c>
      <c r="AA250">
        <v>70169.156569148457</v>
      </c>
    </row>
    <row r="251" spans="2:27" x14ac:dyDescent="0.25">
      <c r="B251" s="22">
        <f t="shared" si="17"/>
        <v>34965.267828468306</v>
      </c>
      <c r="C251" s="21">
        <v>3.5000000000000003E-2</v>
      </c>
      <c r="D251" s="22">
        <f t="shared" si="14"/>
        <v>101.9820311663659</v>
      </c>
      <c r="E251" s="22">
        <f t="shared" si="16"/>
        <v>35067.24985963467</v>
      </c>
      <c r="F251" s="20"/>
      <c r="G251" s="22">
        <f t="shared" si="15"/>
        <v>34617.24985963467</v>
      </c>
      <c r="H251" s="22">
        <v>450</v>
      </c>
      <c r="I251" s="23">
        <v>247</v>
      </c>
      <c r="AA251">
        <v>70373.223510372511</v>
      </c>
    </row>
    <row r="252" spans="2:27" x14ac:dyDescent="0.25">
      <c r="B252" s="22">
        <f t="shared" si="17"/>
        <v>34617.24985963467</v>
      </c>
      <c r="C252" s="21">
        <v>3.5000000000000003E-2</v>
      </c>
      <c r="D252" s="22">
        <f t="shared" si="14"/>
        <v>100.9669787572678</v>
      </c>
      <c r="E252" s="22">
        <f t="shared" si="16"/>
        <v>34718.216838391942</v>
      </c>
      <c r="F252" s="20"/>
      <c r="G252" s="22">
        <f t="shared" si="15"/>
        <v>34268.216838391942</v>
      </c>
      <c r="H252" s="22">
        <v>450</v>
      </c>
      <c r="I252" s="23">
        <v>248</v>
      </c>
      <c r="AA252">
        <v>70576.781556481306</v>
      </c>
    </row>
    <row r="253" spans="2:27" x14ac:dyDescent="0.25">
      <c r="B253" s="22">
        <f t="shared" si="17"/>
        <v>34268.216838391942</v>
      </c>
      <c r="C253" s="21">
        <v>3.5000000000000003E-2</v>
      </c>
      <c r="D253" s="22">
        <f t="shared" si="14"/>
        <v>99.948965778643171</v>
      </c>
      <c r="E253" s="22">
        <f t="shared" si="16"/>
        <v>34368.165804170581</v>
      </c>
      <c r="F253" s="20"/>
      <c r="G253" s="22">
        <f t="shared" si="15"/>
        <v>33918.165804170581</v>
      </c>
      <c r="H253" s="22">
        <v>450</v>
      </c>
      <c r="I253" s="23">
        <v>249</v>
      </c>
      <c r="AA253">
        <v>70779.83197653995</v>
      </c>
    </row>
    <row r="254" spans="2:27" x14ac:dyDescent="0.25">
      <c r="B254" s="22">
        <f t="shared" si="17"/>
        <v>33918.165804170581</v>
      </c>
      <c r="C254" s="21">
        <v>3.5000000000000003E-2</v>
      </c>
      <c r="D254" s="22">
        <f t="shared" si="14"/>
        <v>98.927983595497537</v>
      </c>
      <c r="E254" s="22">
        <f t="shared" si="16"/>
        <v>34017.093787766076</v>
      </c>
      <c r="F254" s="20"/>
      <c r="G254" s="22">
        <f t="shared" si="15"/>
        <v>33567.093787766076</v>
      </c>
      <c r="H254" s="22">
        <v>450</v>
      </c>
      <c r="I254" s="23">
        <v>250</v>
      </c>
      <c r="AA254">
        <v>70982.376036448826</v>
      </c>
    </row>
    <row r="255" spans="2:27" x14ac:dyDescent="0.25">
      <c r="B255" s="22">
        <f t="shared" si="17"/>
        <v>33567.093787766076</v>
      </c>
      <c r="C255" s="21">
        <v>3.5000000000000003E-2</v>
      </c>
      <c r="D255" s="22">
        <f t="shared" si="14"/>
        <v>97.904023547651065</v>
      </c>
      <c r="E255" s="22">
        <f t="shared" si="16"/>
        <v>33664.997811313726</v>
      </c>
      <c r="F255" s="20"/>
      <c r="G255" s="22">
        <f t="shared" si="15"/>
        <v>33214.997811313726</v>
      </c>
      <c r="H255" s="22">
        <v>450</v>
      </c>
      <c r="I255" s="23">
        <v>251</v>
      </c>
      <c r="AA255">
        <v>71184.414998951455</v>
      </c>
    </row>
    <row r="256" spans="2:27" x14ac:dyDescent="0.25">
      <c r="B256" s="22">
        <f t="shared" si="17"/>
        <v>33214.997811313726</v>
      </c>
      <c r="C256" s="21">
        <v>3.5000000000000003E-2</v>
      </c>
      <c r="D256" s="22">
        <f t="shared" si="14"/>
        <v>96.877076949665039</v>
      </c>
      <c r="E256" s="22">
        <f t="shared" si="16"/>
        <v>33311.874888263388</v>
      </c>
      <c r="F256" s="20"/>
      <c r="G256" s="22">
        <f t="shared" si="15"/>
        <v>32861.874888263388</v>
      </c>
      <c r="H256" s="22">
        <v>450</v>
      </c>
      <c r="I256" s="23">
        <v>252</v>
      </c>
      <c r="AA256">
        <v>71385.950123642338</v>
      </c>
    </row>
    <row r="257" spans="2:27" x14ac:dyDescent="0.25">
      <c r="B257" s="22">
        <f t="shared" si="17"/>
        <v>32861.874888263388</v>
      </c>
      <c r="C257" s="21">
        <v>3.5000000000000003E-2</v>
      </c>
      <c r="D257" s="22">
        <f t="shared" si="14"/>
        <v>95.847135090768219</v>
      </c>
      <c r="E257" s="22">
        <f t="shared" si="16"/>
        <v>32957.722023354159</v>
      </c>
      <c r="F257" s="20"/>
      <c r="G257" s="22">
        <f t="shared" si="15"/>
        <v>32507.722023354159</v>
      </c>
      <c r="H257" s="22">
        <v>450</v>
      </c>
      <c r="I257" s="23">
        <v>253</v>
      </c>
      <c r="AA257">
        <v>71586.982666974887</v>
      </c>
    </row>
    <row r="258" spans="2:27" x14ac:dyDescent="0.25">
      <c r="B258" s="22">
        <f t="shared" si="17"/>
        <v>32507.722023354159</v>
      </c>
      <c r="C258" s="21">
        <v>3.5000000000000003E-2</v>
      </c>
      <c r="D258" s="22">
        <f t="shared" si="14"/>
        <v>94.814189234782972</v>
      </c>
      <c r="E258" s="22">
        <f t="shared" si="16"/>
        <v>32602.536212588941</v>
      </c>
      <c r="F258" s="20"/>
      <c r="G258" s="22">
        <f t="shared" si="15"/>
        <v>32152.536212588941</v>
      </c>
      <c r="H258" s="22">
        <v>450</v>
      </c>
      <c r="I258" s="23">
        <v>254</v>
      </c>
      <c r="AA258">
        <v>71787.513882269224</v>
      </c>
    </row>
    <row r="259" spans="2:27" x14ac:dyDescent="0.25">
      <c r="B259" s="22">
        <f t="shared" si="17"/>
        <v>32152.536212588941</v>
      </c>
      <c r="C259" s="21">
        <v>3.5000000000000003E-2</v>
      </c>
      <c r="D259" s="22">
        <f t="shared" si="14"/>
        <v>93.778230620051076</v>
      </c>
      <c r="E259" s="22">
        <f t="shared" si="16"/>
        <v>32246.31444320899</v>
      </c>
      <c r="F259" s="20"/>
      <c r="G259" s="22">
        <f t="shared" si="15"/>
        <v>31796.31444320899</v>
      </c>
      <c r="H259" s="22">
        <v>450</v>
      </c>
      <c r="I259" s="23">
        <v>255</v>
      </c>
      <c r="AA259">
        <v>71987.54501971991</v>
      </c>
    </row>
    <row r="260" spans="2:27" x14ac:dyDescent="0.25">
      <c r="B260" s="22">
        <f t="shared" si="17"/>
        <v>31796.31444320899</v>
      </c>
      <c r="C260" s="21">
        <v>3.5000000000000003E-2</v>
      </c>
      <c r="D260" s="22">
        <f t="shared" si="14"/>
        <v>92.739250459359553</v>
      </c>
      <c r="E260" s="22">
        <f t="shared" si="16"/>
        <v>31889.053693668349</v>
      </c>
      <c r="F260" s="20"/>
      <c r="G260" s="22">
        <f t="shared" si="15"/>
        <v>31439.053693668349</v>
      </c>
      <c r="H260" s="22">
        <v>450</v>
      </c>
      <c r="I260" s="23">
        <v>256</v>
      </c>
      <c r="AA260">
        <v>72187.077326403902</v>
      </c>
    </row>
    <row r="261" spans="2:27" x14ac:dyDescent="0.25">
      <c r="B261" s="22">
        <f t="shared" si="17"/>
        <v>31439.053693668349</v>
      </c>
      <c r="C261" s="21">
        <v>3.5000000000000003E-2</v>
      </c>
      <c r="D261" s="22">
        <f t="shared" si="14"/>
        <v>91.697239939866023</v>
      </c>
      <c r="E261" s="22">
        <f t="shared" si="16"/>
        <v>31530.750933608215</v>
      </c>
      <c r="F261" s="20"/>
      <c r="G261" s="22">
        <f t="shared" si="15"/>
        <v>31080.750933608215</v>
      </c>
      <c r="H261" s="22">
        <v>450</v>
      </c>
      <c r="I261" s="23">
        <v>257</v>
      </c>
      <c r="AA261">
        <v>72386.112046288181</v>
      </c>
    </row>
    <row r="262" spans="2:27" x14ac:dyDescent="0.25">
      <c r="B262" s="22">
        <f t="shared" si="17"/>
        <v>31080.750933608215</v>
      </c>
      <c r="C262" s="21">
        <v>3.5000000000000003E-2</v>
      </c>
      <c r="D262" s="22">
        <f t="shared" ref="D262:D325" si="18">B262*(0.035/12)</f>
        <v>90.652190223023965</v>
      </c>
      <c r="E262" s="22">
        <f t="shared" si="16"/>
        <v>31171.403123831238</v>
      </c>
      <c r="F262" s="20"/>
      <c r="G262" s="22">
        <f t="shared" ref="G262:G325" si="19">E262-H262</f>
        <v>30721.403123831238</v>
      </c>
      <c r="H262" s="22">
        <v>450</v>
      </c>
      <c r="I262" s="23">
        <v>258</v>
      </c>
      <c r="AA262">
        <v>72584.650420237565</v>
      </c>
    </row>
    <row r="263" spans="2:27" x14ac:dyDescent="0.25">
      <c r="B263" s="22">
        <f t="shared" si="17"/>
        <v>30721.403123831238</v>
      </c>
      <c r="C263" s="21">
        <v>3.5000000000000003E-2</v>
      </c>
      <c r="D263" s="22">
        <f t="shared" si="18"/>
        <v>89.604092444507785</v>
      </c>
      <c r="E263" s="22">
        <f t="shared" ref="E263:E326" si="20">B263+D263</f>
        <v>30811.007216275746</v>
      </c>
      <c r="F263" s="20"/>
      <c r="G263" s="22">
        <f t="shared" si="19"/>
        <v>30361.007216275746</v>
      </c>
      <c r="H263" s="22">
        <v>450</v>
      </c>
      <c r="I263" s="23">
        <v>259</v>
      </c>
      <c r="AA263">
        <v>72782.693686022525</v>
      </c>
    </row>
    <row r="264" spans="2:27" x14ac:dyDescent="0.25">
      <c r="B264" s="22">
        <f t="shared" si="17"/>
        <v>30361.007216275746</v>
      </c>
      <c r="C264" s="21">
        <v>3.5000000000000003E-2</v>
      </c>
      <c r="D264" s="22">
        <f t="shared" si="18"/>
        <v>88.552937714137599</v>
      </c>
      <c r="E264" s="22">
        <f t="shared" si="20"/>
        <v>30449.560153989885</v>
      </c>
      <c r="F264" s="20"/>
      <c r="G264" s="22">
        <f t="shared" si="19"/>
        <v>29999.560153989885</v>
      </c>
      <c r="H264" s="22">
        <v>450</v>
      </c>
      <c r="I264" s="23">
        <v>260</v>
      </c>
      <c r="AA264">
        <v>72980.24307832669</v>
      </c>
    </row>
    <row r="265" spans="2:27" x14ac:dyDescent="0.25">
      <c r="B265" s="22">
        <f t="shared" si="17"/>
        <v>29999.560153989885</v>
      </c>
      <c r="C265" s="21">
        <v>3.5000000000000003E-2</v>
      </c>
      <c r="D265" s="22">
        <f t="shared" si="18"/>
        <v>87.498717115803842</v>
      </c>
      <c r="E265" s="22">
        <f t="shared" si="20"/>
        <v>30087.058871105688</v>
      </c>
      <c r="F265" s="20"/>
      <c r="G265" s="22">
        <f t="shared" si="19"/>
        <v>29637.058871105688</v>
      </c>
      <c r="H265" s="22">
        <v>450</v>
      </c>
      <c r="I265" s="23">
        <v>261</v>
      </c>
      <c r="AA265">
        <v>73177.299828754796</v>
      </c>
    </row>
    <row r="266" spans="2:27" x14ac:dyDescent="0.25">
      <c r="B266" s="22">
        <f t="shared" si="17"/>
        <v>29637.058871105688</v>
      </c>
      <c r="C266" s="21">
        <v>3.5000000000000003E-2</v>
      </c>
      <c r="D266" s="22">
        <f t="shared" si="18"/>
        <v>86.441421707391598</v>
      </c>
      <c r="E266" s="22">
        <f t="shared" si="20"/>
        <v>29723.500292813078</v>
      </c>
      <c r="F266" s="20"/>
      <c r="G266" s="22">
        <f t="shared" si="19"/>
        <v>29273.500292813078</v>
      </c>
      <c r="H266" s="22">
        <v>450</v>
      </c>
      <c r="I266" s="23">
        <v>262</v>
      </c>
      <c r="AA266">
        <v>73373.865165840209</v>
      </c>
    </row>
    <row r="267" spans="2:27" x14ac:dyDescent="0.25">
      <c r="B267" s="22">
        <f t="shared" si="17"/>
        <v>29273.500292813078</v>
      </c>
      <c r="C267" s="21">
        <v>3.5000000000000003E-2</v>
      </c>
      <c r="D267" s="22">
        <f t="shared" si="18"/>
        <v>85.38104252070481</v>
      </c>
      <c r="E267" s="22">
        <f t="shared" si="20"/>
        <v>29358.881335333783</v>
      </c>
      <c r="F267" s="20"/>
      <c r="G267" s="22">
        <f t="shared" si="19"/>
        <v>28908.881335333783</v>
      </c>
      <c r="H267" s="22">
        <v>450</v>
      </c>
      <c r="I267" s="23">
        <v>263</v>
      </c>
      <c r="AA267">
        <v>73569.940315052561</v>
      </c>
    </row>
    <row r="268" spans="2:27" x14ac:dyDescent="0.25">
      <c r="B268" s="22">
        <f t="shared" si="17"/>
        <v>28908.881335333783</v>
      </c>
      <c r="C268" s="21">
        <v>3.5000000000000003E-2</v>
      </c>
      <c r="D268" s="22">
        <f t="shared" si="18"/>
        <v>84.317570561390198</v>
      </c>
      <c r="E268" s="22">
        <f t="shared" si="20"/>
        <v>28993.198905895173</v>
      </c>
      <c r="F268" s="20"/>
      <c r="G268" s="22">
        <f t="shared" si="19"/>
        <v>28543.198905895173</v>
      </c>
      <c r="H268" s="22">
        <v>450</v>
      </c>
      <c r="I268" s="23">
        <v>264</v>
      </c>
      <c r="AA268">
        <v>73765.526498805542</v>
      </c>
    </row>
    <row r="269" spans="2:27" x14ac:dyDescent="0.25">
      <c r="B269" s="22">
        <f t="shared" si="17"/>
        <v>28543.198905895173</v>
      </c>
      <c r="C269" s="21">
        <v>3.5000000000000003E-2</v>
      </c>
      <c r="D269" s="22">
        <f t="shared" si="18"/>
        <v>83.250996808860918</v>
      </c>
      <c r="E269" s="22">
        <f t="shared" si="20"/>
        <v>28626.449902704033</v>
      </c>
      <c r="F269" s="20"/>
      <c r="G269" s="22">
        <f t="shared" si="19"/>
        <v>28176.449902704033</v>
      </c>
      <c r="H269" s="22">
        <v>450</v>
      </c>
      <c r="I269" s="23">
        <v>265</v>
      </c>
      <c r="AA269">
        <v>73960.624936464388</v>
      </c>
    </row>
    <row r="270" spans="2:27" x14ac:dyDescent="0.25">
      <c r="B270" s="22">
        <f t="shared" si="17"/>
        <v>28176.449902704033</v>
      </c>
      <c r="C270" s="21">
        <v>3.5000000000000003E-2</v>
      </c>
      <c r="D270" s="22">
        <f t="shared" si="18"/>
        <v>82.181312216220093</v>
      </c>
      <c r="E270" s="22">
        <f t="shared" si="20"/>
        <v>28258.631214920253</v>
      </c>
      <c r="F270" s="20"/>
      <c r="G270" s="22">
        <f t="shared" si="19"/>
        <v>27808.631214920253</v>
      </c>
      <c r="H270" s="22">
        <v>450</v>
      </c>
      <c r="I270" s="23">
        <v>266</v>
      </c>
      <c r="AA270">
        <v>74155.236844353494</v>
      </c>
    </row>
    <row r="271" spans="2:27" x14ac:dyDescent="0.25">
      <c r="B271" s="22">
        <f t="shared" si="17"/>
        <v>27808.631214920253</v>
      </c>
      <c r="C271" s="21">
        <v>3.5000000000000003E-2</v>
      </c>
      <c r="D271" s="22">
        <f t="shared" si="18"/>
        <v>81.108507710184071</v>
      </c>
      <c r="E271" s="22">
        <f t="shared" si="20"/>
        <v>27889.739722630438</v>
      </c>
      <c r="F271" s="20"/>
      <c r="G271" s="22">
        <f t="shared" si="19"/>
        <v>27439.739722630438</v>
      </c>
      <c r="H271" s="22">
        <v>450</v>
      </c>
      <c r="I271" s="23">
        <v>267</v>
      </c>
      <c r="AA271">
        <v>74349.363435764084</v>
      </c>
    </row>
    <row r="272" spans="2:27" x14ac:dyDescent="0.25">
      <c r="B272" s="22">
        <f t="shared" si="17"/>
        <v>27439.739722630438</v>
      </c>
      <c r="C272" s="21">
        <v>3.5000000000000003E-2</v>
      </c>
      <c r="D272" s="22">
        <f t="shared" si="18"/>
        <v>80.032574191005452</v>
      </c>
      <c r="E272" s="22">
        <f t="shared" si="20"/>
        <v>27519.772296821444</v>
      </c>
      <c r="F272" s="20"/>
      <c r="G272" s="22">
        <f t="shared" si="19"/>
        <v>27069.772296821444</v>
      </c>
      <c r="H272" s="22">
        <v>450</v>
      </c>
      <c r="I272" s="23">
        <v>268</v>
      </c>
      <c r="AA272">
        <v>74543.005920961688</v>
      </c>
    </row>
    <row r="273" spans="2:27" x14ac:dyDescent="0.25">
      <c r="B273" s="22">
        <f t="shared" si="17"/>
        <v>27069.772296821444</v>
      </c>
      <c r="C273" s="21">
        <v>3.5000000000000003E-2</v>
      </c>
      <c r="D273" s="22">
        <f t="shared" si="18"/>
        <v>78.953502532395888</v>
      </c>
      <c r="E273" s="22">
        <f t="shared" si="20"/>
        <v>27148.725799353841</v>
      </c>
      <c r="F273" s="20"/>
      <c r="G273" s="22">
        <f t="shared" si="19"/>
        <v>26698.725799353841</v>
      </c>
      <c r="H273" s="22">
        <v>450</v>
      </c>
      <c r="I273" s="23">
        <v>269</v>
      </c>
      <c r="AA273">
        <v>74736.165507193684</v>
      </c>
    </row>
    <row r="274" spans="2:27" x14ac:dyDescent="0.25">
      <c r="B274" s="22">
        <f t="shared" si="17"/>
        <v>26698.725799353841</v>
      </c>
      <c r="C274" s="21">
        <v>3.5000000000000003E-2</v>
      </c>
      <c r="D274" s="22">
        <f t="shared" si="18"/>
        <v>77.871283581448708</v>
      </c>
      <c r="E274" s="22">
        <f t="shared" si="20"/>
        <v>26776.597082935288</v>
      </c>
      <c r="F274" s="20"/>
      <c r="G274" s="22">
        <f t="shared" si="19"/>
        <v>26326.597082935288</v>
      </c>
      <c r="H274" s="22">
        <v>450</v>
      </c>
      <c r="I274" s="23">
        <v>270</v>
      </c>
      <c r="AA274">
        <v>74928.843398696947</v>
      </c>
    </row>
    <row r="275" spans="2:27" x14ac:dyDescent="0.25">
      <c r="B275" s="22">
        <f t="shared" si="17"/>
        <v>26326.597082935288</v>
      </c>
      <c r="C275" s="21">
        <v>3.5000000000000003E-2</v>
      </c>
      <c r="D275" s="22">
        <f t="shared" si="18"/>
        <v>76.785908158561256</v>
      </c>
      <c r="E275" s="22">
        <f t="shared" si="20"/>
        <v>26403.382991093851</v>
      </c>
      <c r="F275" s="20"/>
      <c r="G275" s="22">
        <f t="shared" si="19"/>
        <v>25953.382991093851</v>
      </c>
      <c r="H275" s="22">
        <v>450</v>
      </c>
      <c r="I275" s="23">
        <v>271</v>
      </c>
      <c r="AA275">
        <v>75121.040796705172</v>
      </c>
    </row>
    <row r="276" spans="2:27" x14ac:dyDescent="0.25">
      <c r="B276" s="22">
        <f t="shared" si="17"/>
        <v>25953.382991093851</v>
      </c>
      <c r="C276" s="21">
        <v>3.5000000000000003E-2</v>
      </c>
      <c r="D276" s="22">
        <f t="shared" si="18"/>
        <v>75.69736705735707</v>
      </c>
      <c r="E276" s="22">
        <f t="shared" si="20"/>
        <v>26029.080358151208</v>
      </c>
      <c r="F276" s="20"/>
      <c r="G276" s="22">
        <f t="shared" si="19"/>
        <v>25579.080358151208</v>
      </c>
      <c r="H276" s="22">
        <v>450</v>
      </c>
      <c r="I276" s="23">
        <v>272</v>
      </c>
      <c r="AA276">
        <v>75312.75889945653</v>
      </c>
    </row>
    <row r="277" spans="2:27" x14ac:dyDescent="0.25">
      <c r="B277" s="22">
        <f t="shared" si="17"/>
        <v>25579.080358151208</v>
      </c>
      <c r="C277" s="21">
        <v>3.5000000000000003E-2</v>
      </c>
      <c r="D277" s="22">
        <f t="shared" si="18"/>
        <v>74.605651044607697</v>
      </c>
      <c r="E277" s="22">
        <f t="shared" si="20"/>
        <v>25653.686009195815</v>
      </c>
      <c r="F277" s="20"/>
      <c r="G277" s="22">
        <f t="shared" si="19"/>
        <v>25203.686009195815</v>
      </c>
      <c r="H277" s="22">
        <v>450</v>
      </c>
      <c r="I277" s="23">
        <v>273</v>
      </c>
      <c r="AA277">
        <v>75503.998902201027</v>
      </c>
    </row>
    <row r="278" spans="2:27" x14ac:dyDescent="0.25">
      <c r="B278" s="22">
        <f t="shared" si="17"/>
        <v>25203.686009195815</v>
      </c>
      <c r="C278" s="21">
        <v>3.5000000000000003E-2</v>
      </c>
      <c r="D278" s="22">
        <f t="shared" si="18"/>
        <v>73.510750860154459</v>
      </c>
      <c r="E278" s="22">
        <f t="shared" si="20"/>
        <v>25277.196760055969</v>
      </c>
      <c r="F278" s="20"/>
      <c r="G278" s="22">
        <f t="shared" si="19"/>
        <v>24827.196760055969</v>
      </c>
      <c r="H278" s="22">
        <v>450</v>
      </c>
      <c r="I278" s="23">
        <v>274</v>
      </c>
      <c r="AA278">
        <v>75694.761997207999</v>
      </c>
    </row>
    <row r="279" spans="2:27" x14ac:dyDescent="0.25">
      <c r="B279" s="22">
        <f t="shared" si="17"/>
        <v>24827.196760055969</v>
      </c>
      <c r="C279" s="21">
        <v>3.5000000000000003E-2</v>
      </c>
      <c r="D279" s="22">
        <f t="shared" si="18"/>
        <v>72.412657216829913</v>
      </c>
      <c r="E279" s="22">
        <f t="shared" si="20"/>
        <v>24899.609417272801</v>
      </c>
      <c r="F279" s="20"/>
      <c r="G279" s="22">
        <f t="shared" si="19"/>
        <v>24449.609417272801</v>
      </c>
      <c r="H279" s="22">
        <v>450</v>
      </c>
      <c r="I279" s="23">
        <v>275</v>
      </c>
      <c r="AA279">
        <v>75885.049373773567</v>
      </c>
    </row>
    <row r="280" spans="2:27" x14ac:dyDescent="0.25">
      <c r="B280" s="22">
        <f t="shared" si="17"/>
        <v>24449.609417272801</v>
      </c>
      <c r="C280" s="21">
        <v>3.5000000000000003E-2</v>
      </c>
      <c r="D280" s="22">
        <f t="shared" si="18"/>
        <v>71.311360800379006</v>
      </c>
      <c r="E280" s="22">
        <f t="shared" si="20"/>
        <v>24520.920778073181</v>
      </c>
      <c r="F280" s="20"/>
      <c r="G280" s="22">
        <f t="shared" si="19"/>
        <v>24070.920778073181</v>
      </c>
      <c r="H280" s="22">
        <v>450</v>
      </c>
      <c r="I280" s="23">
        <v>276</v>
      </c>
      <c r="AA280">
        <v>76074.862218227994</v>
      </c>
    </row>
    <row r="281" spans="2:27" x14ac:dyDescent="0.25">
      <c r="B281" s="22">
        <f t="shared" si="17"/>
        <v>24070.920778073181</v>
      </c>
      <c r="C281" s="21">
        <v>3.5000000000000003E-2</v>
      </c>
      <c r="D281" s="22">
        <f t="shared" si="18"/>
        <v>70.206852269380121</v>
      </c>
      <c r="E281" s="22">
        <f t="shared" si="20"/>
        <v>24141.127630342562</v>
      </c>
      <c r="F281" s="20"/>
      <c r="G281" s="22">
        <f t="shared" si="19"/>
        <v>23691.127630342562</v>
      </c>
      <c r="H281" s="22">
        <v>450</v>
      </c>
      <c r="I281" s="23">
        <v>277</v>
      </c>
      <c r="AA281">
        <v>76264.201713943112</v>
      </c>
    </row>
    <row r="282" spans="2:27" x14ac:dyDescent="0.25">
      <c r="B282" s="22">
        <f t="shared" si="17"/>
        <v>23691.127630342562</v>
      </c>
      <c r="C282" s="21">
        <v>3.5000000000000003E-2</v>
      </c>
      <c r="D282" s="22">
        <f t="shared" si="18"/>
        <v>69.09912225516581</v>
      </c>
      <c r="E282" s="22">
        <f t="shared" si="20"/>
        <v>23760.22675259773</v>
      </c>
      <c r="F282" s="20"/>
      <c r="G282" s="22">
        <f t="shared" si="19"/>
        <v>23310.22675259773</v>
      </c>
      <c r="H282" s="22">
        <v>450</v>
      </c>
      <c r="I282" s="23">
        <v>278</v>
      </c>
      <c r="AA282">
        <v>76453.069041339782</v>
      </c>
    </row>
    <row r="283" spans="2:27" x14ac:dyDescent="0.25">
      <c r="B283" s="22">
        <f t="shared" si="17"/>
        <v>23310.22675259773</v>
      </c>
      <c r="C283" s="21">
        <v>3.5000000000000003E-2</v>
      </c>
      <c r="D283" s="22">
        <f t="shared" si="18"/>
        <v>67.98816136174338</v>
      </c>
      <c r="E283" s="22">
        <f t="shared" si="20"/>
        <v>23378.214913959473</v>
      </c>
      <c r="F283" s="20"/>
      <c r="G283" s="22">
        <f t="shared" si="19"/>
        <v>22928.214913959473</v>
      </c>
      <c r="H283" s="22">
        <v>450</v>
      </c>
      <c r="I283" s="23">
        <v>279</v>
      </c>
      <c r="AA283">
        <v>76641.465377895031</v>
      </c>
    </row>
    <row r="284" spans="2:27" x14ac:dyDescent="0.25">
      <c r="B284" s="22">
        <f t="shared" si="17"/>
        <v>22928.214913959473</v>
      </c>
      <c r="C284" s="21">
        <v>3.5000000000000003E-2</v>
      </c>
      <c r="D284" s="22">
        <f t="shared" si="18"/>
        <v>66.873960165715133</v>
      </c>
      <c r="E284" s="22">
        <f t="shared" si="20"/>
        <v>22995.088874125187</v>
      </c>
      <c r="F284" s="20"/>
      <c r="G284" s="22">
        <f t="shared" si="19"/>
        <v>22545.088874125187</v>
      </c>
      <c r="H284" s="22">
        <v>450</v>
      </c>
      <c r="I284" s="23">
        <v>280</v>
      </c>
      <c r="AA284">
        <v>76829.391898149639</v>
      </c>
    </row>
    <row r="285" spans="2:27" x14ac:dyDescent="0.25">
      <c r="B285" s="22">
        <f t="shared" ref="B285:B339" si="21">G284</f>
        <v>22545.088874125187</v>
      </c>
      <c r="C285" s="21">
        <v>3.5000000000000003E-2</v>
      </c>
      <c r="D285" s="22">
        <f t="shared" si="18"/>
        <v>65.756509216198467</v>
      </c>
      <c r="E285" s="22">
        <f t="shared" si="20"/>
        <v>22610.845383341384</v>
      </c>
      <c r="F285" s="20"/>
      <c r="G285" s="22">
        <f t="shared" si="19"/>
        <v>22160.845383341384</v>
      </c>
      <c r="H285" s="22">
        <v>450</v>
      </c>
      <c r="I285" s="23">
        <v>281</v>
      </c>
      <c r="AA285">
        <v>77016.849773715367</v>
      </c>
    </row>
    <row r="286" spans="2:27" x14ac:dyDescent="0.25">
      <c r="B286" s="22">
        <f t="shared" si="21"/>
        <v>22160.845383341384</v>
      </c>
      <c r="C286" s="21">
        <v>3.5000000000000003E-2</v>
      </c>
      <c r="D286" s="22">
        <f t="shared" si="18"/>
        <v>64.635799034745702</v>
      </c>
      <c r="E286" s="22">
        <f t="shared" si="20"/>
        <v>22225.48118237613</v>
      </c>
      <c r="F286" s="20"/>
      <c r="G286" s="22">
        <f t="shared" si="19"/>
        <v>21775.48118237613</v>
      </c>
      <c r="H286" s="22">
        <v>450</v>
      </c>
      <c r="I286" s="23">
        <v>282</v>
      </c>
      <c r="AA286">
        <v>77203.840173282151</v>
      </c>
    </row>
    <row r="287" spans="2:27" x14ac:dyDescent="0.25">
      <c r="B287" s="22">
        <f t="shared" si="21"/>
        <v>21775.48118237613</v>
      </c>
      <c r="C287" s="21">
        <v>3.5000000000000003E-2</v>
      </c>
      <c r="D287" s="22">
        <f t="shared" si="18"/>
        <v>63.511820115263717</v>
      </c>
      <c r="E287" s="22">
        <f t="shared" si="20"/>
        <v>21838.993002491396</v>
      </c>
      <c r="F287" s="20"/>
      <c r="G287" s="22">
        <f t="shared" si="19"/>
        <v>21388.993002491396</v>
      </c>
      <c r="H287" s="22">
        <v>450</v>
      </c>
      <c r="I287" s="23">
        <v>283</v>
      </c>
      <c r="AA287">
        <v>77390.364262625575</v>
      </c>
    </row>
    <row r="288" spans="2:27" x14ac:dyDescent="0.25">
      <c r="B288" s="22">
        <f t="shared" si="21"/>
        <v>21388.993002491396</v>
      </c>
      <c r="C288" s="21">
        <v>3.5000000000000003E-2</v>
      </c>
      <c r="D288" s="22">
        <f t="shared" si="18"/>
        <v>62.384562923933238</v>
      </c>
      <c r="E288" s="22">
        <f t="shared" si="20"/>
        <v>21451.377565415329</v>
      </c>
      <c r="F288" s="20"/>
      <c r="G288" s="22">
        <f t="shared" si="19"/>
        <v>21001.377565415329</v>
      </c>
      <c r="H288" s="22">
        <v>450</v>
      </c>
      <c r="I288" s="23">
        <v>284</v>
      </c>
      <c r="AA288">
        <v>77576.423204614039</v>
      </c>
    </row>
    <row r="289" spans="2:27" x14ac:dyDescent="0.25">
      <c r="B289" s="22">
        <f t="shared" si="21"/>
        <v>21001.377565415329</v>
      </c>
      <c r="C289" s="21">
        <v>3.5000000000000003E-2</v>
      </c>
      <c r="D289" s="22">
        <f t="shared" si="18"/>
        <v>61.254017899128044</v>
      </c>
      <c r="E289" s="22">
        <f t="shared" si="20"/>
        <v>21062.631583314458</v>
      </c>
      <c r="F289" s="20"/>
      <c r="G289" s="22">
        <f t="shared" si="19"/>
        <v>20612.631583314458</v>
      </c>
      <c r="H289" s="22">
        <v>450</v>
      </c>
      <c r="I289" s="23">
        <v>285</v>
      </c>
      <c r="AA289">
        <v>77762.018159215993</v>
      </c>
    </row>
    <row r="290" spans="2:27" x14ac:dyDescent="0.25">
      <c r="B290" s="22">
        <f t="shared" si="21"/>
        <v>20612.631583314458</v>
      </c>
      <c r="C290" s="21">
        <v>3.5000000000000003E-2</v>
      </c>
      <c r="D290" s="22">
        <f t="shared" si="18"/>
        <v>60.120175451333836</v>
      </c>
      <c r="E290" s="22">
        <f t="shared" si="20"/>
        <v>20672.751758765793</v>
      </c>
      <c r="F290" s="20"/>
      <c r="G290" s="22">
        <f t="shared" si="19"/>
        <v>20222.751758765793</v>
      </c>
      <c r="H290" s="22">
        <v>450</v>
      </c>
      <c r="I290" s="23">
        <v>286</v>
      </c>
      <c r="AA290">
        <v>77947.150283507217</v>
      </c>
    </row>
    <row r="291" spans="2:27" x14ac:dyDescent="0.25">
      <c r="B291" s="22">
        <f t="shared" si="21"/>
        <v>20222.751758765793</v>
      </c>
      <c r="C291" s="21">
        <v>3.5000000000000003E-2</v>
      </c>
      <c r="D291" s="22">
        <f t="shared" si="18"/>
        <v>58.9830259630669</v>
      </c>
      <c r="E291" s="22">
        <f t="shared" si="20"/>
        <v>20281.734784728858</v>
      </c>
      <c r="F291" s="20"/>
      <c r="G291" s="22">
        <f t="shared" si="19"/>
        <v>19831.734784728858</v>
      </c>
      <c r="H291" s="22">
        <v>450</v>
      </c>
      <c r="I291" s="23">
        <v>287</v>
      </c>
      <c r="AA291">
        <v>78131.820731678017</v>
      </c>
    </row>
    <row r="292" spans="2:27" x14ac:dyDescent="0.25">
      <c r="B292" s="22">
        <f t="shared" si="21"/>
        <v>19831.734784728858</v>
      </c>
      <c r="C292" s="21">
        <v>3.5000000000000003E-2</v>
      </c>
      <c r="D292" s="22">
        <f t="shared" si="18"/>
        <v>57.842559788792506</v>
      </c>
      <c r="E292" s="22">
        <f t="shared" si="20"/>
        <v>19889.577344517649</v>
      </c>
      <c r="F292" s="20"/>
      <c r="G292" s="22">
        <f t="shared" si="19"/>
        <v>19439.577344517649</v>
      </c>
      <c r="H292" s="22">
        <v>450</v>
      </c>
      <c r="I292" s="23">
        <v>288</v>
      </c>
      <c r="AA292">
        <v>78316.030655040406</v>
      </c>
    </row>
    <row r="293" spans="2:27" x14ac:dyDescent="0.25">
      <c r="B293" s="22">
        <f t="shared" si="21"/>
        <v>19439.577344517649</v>
      </c>
      <c r="C293" s="21">
        <v>3.5000000000000003E-2</v>
      </c>
      <c r="D293" s="22">
        <f t="shared" si="18"/>
        <v>56.698767254843148</v>
      </c>
      <c r="E293" s="22">
        <f t="shared" si="20"/>
        <v>19496.276111772491</v>
      </c>
      <c r="F293" s="20"/>
      <c r="G293" s="22">
        <f t="shared" si="19"/>
        <v>19046.276111772491</v>
      </c>
      <c r="H293" s="22">
        <v>450</v>
      </c>
      <c r="I293" s="23">
        <v>289</v>
      </c>
      <c r="AA293">
        <v>78499.781202035345</v>
      </c>
    </row>
    <row r="294" spans="2:27" x14ac:dyDescent="0.25">
      <c r="B294" s="22">
        <f t="shared" si="21"/>
        <v>19046.276111772491</v>
      </c>
      <c r="C294" s="21">
        <v>3.5000000000000003E-2</v>
      </c>
      <c r="D294" s="22">
        <f t="shared" si="18"/>
        <v>55.551638659336433</v>
      </c>
      <c r="E294" s="22">
        <f t="shared" si="20"/>
        <v>19101.827750431828</v>
      </c>
      <c r="F294" s="20"/>
      <c r="G294" s="22">
        <f t="shared" si="19"/>
        <v>18651.827750431828</v>
      </c>
      <c r="H294" s="22">
        <v>450</v>
      </c>
      <c r="I294" s="23">
        <v>290</v>
      </c>
      <c r="AA294">
        <v>78683.073518239733</v>
      </c>
    </row>
    <row r="295" spans="2:27" x14ac:dyDescent="0.25">
      <c r="B295" s="22">
        <f t="shared" si="21"/>
        <v>18651.827750431828</v>
      </c>
      <c r="C295" s="21">
        <v>3.5000000000000003E-2</v>
      </c>
      <c r="D295" s="22">
        <f t="shared" si="18"/>
        <v>54.401164272092835</v>
      </c>
      <c r="E295" s="22">
        <f t="shared" si="20"/>
        <v>18706.228914703923</v>
      </c>
      <c r="F295" s="20"/>
      <c r="G295" s="22">
        <f t="shared" si="19"/>
        <v>18256.228914703923</v>
      </c>
      <c r="H295" s="22">
        <v>450</v>
      </c>
      <c r="I295" s="23">
        <v>291</v>
      </c>
      <c r="AA295">
        <v>78865.908746373796</v>
      </c>
    </row>
    <row r="296" spans="2:27" x14ac:dyDescent="0.25">
      <c r="B296" s="22">
        <f t="shared" si="21"/>
        <v>18256.228914703923</v>
      </c>
      <c r="C296" s="21">
        <v>3.5000000000000003E-2</v>
      </c>
      <c r="D296" s="22">
        <f t="shared" si="18"/>
        <v>53.247334334553109</v>
      </c>
      <c r="E296" s="22">
        <f t="shared" si="20"/>
        <v>18309.476249038475</v>
      </c>
      <c r="F296" s="20"/>
      <c r="G296" s="22">
        <f t="shared" si="19"/>
        <v>17859.476249038475</v>
      </c>
      <c r="H296" s="22">
        <v>450</v>
      </c>
      <c r="I296" s="23">
        <v>292</v>
      </c>
      <c r="AA296">
        <v>79048.288026308015</v>
      </c>
    </row>
    <row r="297" spans="2:27" x14ac:dyDescent="0.25">
      <c r="B297" s="22">
        <f t="shared" si="21"/>
        <v>17859.476249038475</v>
      </c>
      <c r="C297" s="21">
        <v>3.5000000000000003E-2</v>
      </c>
      <c r="D297" s="22">
        <f t="shared" si="18"/>
        <v>52.090139059695552</v>
      </c>
      <c r="E297" s="22">
        <f t="shared" si="20"/>
        <v>17911.56638809817</v>
      </c>
      <c r="F297" s="20"/>
      <c r="G297" s="22">
        <f t="shared" si="19"/>
        <v>17461.56638809817</v>
      </c>
      <c r="H297" s="22">
        <v>450</v>
      </c>
      <c r="I297" s="23">
        <v>293</v>
      </c>
      <c r="AA297">
        <v>79230.212495070329</v>
      </c>
    </row>
    <row r="298" spans="2:27" x14ac:dyDescent="0.25">
      <c r="B298" s="22">
        <f t="shared" si="21"/>
        <v>17461.56638809817</v>
      </c>
      <c r="C298" s="21">
        <v>3.5000000000000003E-2</v>
      </c>
      <c r="D298" s="22">
        <f t="shared" si="18"/>
        <v>50.929568631952996</v>
      </c>
      <c r="E298" s="22">
        <f t="shared" si="20"/>
        <v>17512.495956730123</v>
      </c>
      <c r="F298" s="20"/>
      <c r="G298" s="22">
        <f t="shared" si="19"/>
        <v>17062.495956730123</v>
      </c>
      <c r="H298" s="22">
        <v>450</v>
      </c>
      <c r="I298" s="23">
        <v>294</v>
      </c>
      <c r="AA298">
        <v>79411.683286853193</v>
      </c>
    </row>
    <row r="299" spans="2:27" x14ac:dyDescent="0.25">
      <c r="B299" s="22">
        <f t="shared" si="21"/>
        <v>17062.495956730123</v>
      </c>
      <c r="C299" s="21">
        <v>3.5000000000000003E-2</v>
      </c>
      <c r="D299" s="22">
        <f t="shared" si="18"/>
        <v>49.765613207129526</v>
      </c>
      <c r="E299" s="22">
        <f t="shared" si="20"/>
        <v>17112.261569937251</v>
      </c>
      <c r="F299" s="20"/>
      <c r="G299" s="22">
        <f t="shared" si="19"/>
        <v>16662.261569937251</v>
      </c>
      <c r="H299" s="22">
        <v>450</v>
      </c>
      <c r="I299" s="23">
        <v>295</v>
      </c>
      <c r="AA299">
        <v>79592.701533020649</v>
      </c>
    </row>
    <row r="300" spans="2:27" x14ac:dyDescent="0.25">
      <c r="B300" s="22">
        <f t="shared" si="21"/>
        <v>16662.261569937251</v>
      </c>
      <c r="C300" s="21">
        <v>3.5000000000000003E-2</v>
      </c>
      <c r="D300" s="22">
        <f t="shared" si="18"/>
        <v>48.598262912316983</v>
      </c>
      <c r="E300" s="22">
        <f t="shared" si="20"/>
        <v>16710.859832849568</v>
      </c>
      <c r="F300" s="20"/>
      <c r="G300" s="22">
        <f t="shared" si="19"/>
        <v>16260.859832849568</v>
      </c>
      <c r="H300" s="22">
        <v>450</v>
      </c>
      <c r="I300" s="23">
        <v>296</v>
      </c>
      <c r="AA300">
        <v>79773.268362115341</v>
      </c>
    </row>
    <row r="301" spans="2:27" x14ac:dyDescent="0.25">
      <c r="B301" s="22">
        <f t="shared" si="21"/>
        <v>16260.859832849568</v>
      </c>
      <c r="C301" s="21">
        <v>3.5000000000000003E-2</v>
      </c>
      <c r="D301" s="22">
        <f t="shared" si="18"/>
        <v>47.427507845811242</v>
      </c>
      <c r="E301" s="22">
        <f t="shared" si="20"/>
        <v>16308.287340695379</v>
      </c>
      <c r="F301" s="20"/>
      <c r="G301" s="22">
        <f t="shared" si="19"/>
        <v>15858.287340695379</v>
      </c>
      <c r="H301" s="22">
        <v>450</v>
      </c>
      <c r="I301" s="23">
        <v>297</v>
      </c>
      <c r="AA301">
        <v>79953.384899865676</v>
      </c>
    </row>
    <row r="302" spans="2:27" x14ac:dyDescent="0.25">
      <c r="B302" s="22">
        <f t="shared" si="21"/>
        <v>15858.287340695379</v>
      </c>
      <c r="C302" s="21">
        <v>3.5000000000000003E-2</v>
      </c>
      <c r="D302" s="22">
        <f t="shared" si="18"/>
        <v>46.253338077028189</v>
      </c>
      <c r="E302" s="22">
        <f t="shared" si="20"/>
        <v>15904.540678772406</v>
      </c>
      <c r="F302" s="20"/>
      <c r="G302" s="22">
        <f t="shared" si="19"/>
        <v>15454.540678772406</v>
      </c>
      <c r="H302" s="22">
        <v>450</v>
      </c>
      <c r="I302" s="23">
        <v>298</v>
      </c>
      <c r="AA302">
        <v>80133.052269192689</v>
      </c>
    </row>
    <row r="303" spans="2:27" x14ac:dyDescent="0.25">
      <c r="B303" s="22">
        <f t="shared" si="21"/>
        <v>15454.540678772406</v>
      </c>
      <c r="C303" s="21">
        <v>3.5000000000000003E-2</v>
      </c>
      <c r="D303" s="22">
        <f t="shared" si="18"/>
        <v>45.075743646419518</v>
      </c>
      <c r="E303" s="22">
        <f t="shared" si="20"/>
        <v>15499.616422418825</v>
      </c>
      <c r="F303" s="20"/>
      <c r="G303" s="22">
        <f t="shared" si="19"/>
        <v>15049.616422418825</v>
      </c>
      <c r="H303" s="22">
        <v>450</v>
      </c>
      <c r="I303" s="23">
        <v>299</v>
      </c>
      <c r="AA303">
        <v>80312.271590217148</v>
      </c>
    </row>
    <row r="304" spans="2:27" x14ac:dyDescent="0.25">
      <c r="B304" s="22">
        <f t="shared" si="21"/>
        <v>15049.616422418825</v>
      </c>
      <c r="C304" s="21">
        <v>3.5000000000000003E-2</v>
      </c>
      <c r="D304" s="22">
        <f t="shared" si="18"/>
        <v>43.894714565388242</v>
      </c>
      <c r="E304" s="22">
        <f t="shared" si="20"/>
        <v>15093.511136984212</v>
      </c>
      <c r="F304" s="20"/>
      <c r="G304" s="22">
        <f t="shared" si="19"/>
        <v>14643.511136984212</v>
      </c>
      <c r="H304" s="22">
        <v>450</v>
      </c>
      <c r="I304" s="23">
        <v>300</v>
      </c>
      <c r="AA304">
        <v>80491.043980266477</v>
      </c>
    </row>
    <row r="305" spans="2:27" x14ac:dyDescent="0.25">
      <c r="B305" s="22">
        <f t="shared" si="21"/>
        <v>14643.511136984212</v>
      </c>
      <c r="C305" s="21">
        <v>3.5000000000000003E-2</v>
      </c>
      <c r="D305" s="22">
        <f t="shared" si="18"/>
        <v>42.710240816203957</v>
      </c>
      <c r="E305" s="22">
        <f t="shared" si="20"/>
        <v>14686.221377800417</v>
      </c>
      <c r="F305" s="20"/>
      <c r="G305" s="22">
        <f t="shared" si="19"/>
        <v>14236.221377800417</v>
      </c>
      <c r="H305" s="22">
        <v>450</v>
      </c>
      <c r="I305" s="23">
        <v>301</v>
      </c>
      <c r="AA305">
        <v>80669.370553881774</v>
      </c>
    </row>
    <row r="306" spans="2:27" x14ac:dyDescent="0.25">
      <c r="B306" s="22">
        <f t="shared" si="21"/>
        <v>14236.221377800417</v>
      </c>
      <c r="C306" s="21">
        <v>3.5000000000000003E-2</v>
      </c>
      <c r="D306" s="22">
        <f t="shared" si="18"/>
        <v>41.522312351917883</v>
      </c>
      <c r="E306" s="22">
        <f t="shared" si="20"/>
        <v>14277.743690152334</v>
      </c>
      <c r="F306" s="20"/>
      <c r="G306" s="22">
        <f t="shared" si="19"/>
        <v>13827.743690152334</v>
      </c>
      <c r="H306" s="22">
        <v>450</v>
      </c>
      <c r="I306" s="23">
        <v>302</v>
      </c>
      <c r="AA306">
        <v>80847.252422824691</v>
      </c>
    </row>
    <row r="307" spans="2:27" x14ac:dyDescent="0.25">
      <c r="B307" s="22">
        <f t="shared" si="21"/>
        <v>13827.743690152334</v>
      </c>
      <c r="C307" s="21">
        <v>3.5000000000000003E-2</v>
      </c>
      <c r="D307" s="22">
        <f t="shared" si="18"/>
        <v>40.33091909627764</v>
      </c>
      <c r="E307" s="22">
        <f t="shared" si="20"/>
        <v>13868.074609248612</v>
      </c>
      <c r="F307" s="20"/>
      <c r="G307" s="22">
        <f t="shared" si="19"/>
        <v>13418.074609248612</v>
      </c>
      <c r="H307" s="22">
        <v>450</v>
      </c>
      <c r="I307" s="23">
        <v>303</v>
      </c>
      <c r="AA307">
        <v>81024.690696084479</v>
      </c>
    </row>
    <row r="308" spans="2:27" x14ac:dyDescent="0.25">
      <c r="B308" s="22">
        <f t="shared" si="21"/>
        <v>13418.074609248612</v>
      </c>
      <c r="C308" s="21">
        <v>3.5000000000000003E-2</v>
      </c>
      <c r="D308" s="22">
        <f t="shared" si="18"/>
        <v>39.136050943641784</v>
      </c>
      <c r="E308" s="22">
        <f t="shared" si="20"/>
        <v>13457.210660192253</v>
      </c>
      <c r="F308" s="20"/>
      <c r="G308" s="22">
        <f t="shared" si="19"/>
        <v>13007.210660192253</v>
      </c>
      <c r="H308" s="22">
        <v>450</v>
      </c>
      <c r="I308" s="23">
        <v>304</v>
      </c>
      <c r="AA308">
        <v>81201.686479884782</v>
      </c>
    </row>
    <row r="309" spans="2:27" x14ac:dyDescent="0.25">
      <c r="B309" s="22">
        <f t="shared" si="21"/>
        <v>13007.210660192253</v>
      </c>
      <c r="C309" s="21">
        <v>3.5000000000000003E-2</v>
      </c>
      <c r="D309" s="22">
        <f t="shared" si="18"/>
        <v>37.937697758894075</v>
      </c>
      <c r="E309" s="22">
        <f t="shared" si="20"/>
        <v>13045.148357951148</v>
      </c>
      <c r="F309" s="20"/>
      <c r="G309" s="22">
        <f t="shared" si="19"/>
        <v>12595.148357951148</v>
      </c>
      <c r="H309" s="22">
        <v>450</v>
      </c>
      <c r="I309" s="23">
        <v>305</v>
      </c>
      <c r="AA309">
        <v>81378.240877690536</v>
      </c>
    </row>
    <row r="310" spans="2:27" x14ac:dyDescent="0.25">
      <c r="B310" s="22">
        <f t="shared" si="21"/>
        <v>12595.148357951148</v>
      </c>
      <c r="C310" s="21">
        <v>3.5000000000000003E-2</v>
      </c>
      <c r="D310" s="22">
        <f t="shared" si="18"/>
        <v>36.735849377357518</v>
      </c>
      <c r="E310" s="22">
        <f t="shared" si="20"/>
        <v>12631.884207328505</v>
      </c>
      <c r="F310" s="20"/>
      <c r="G310" s="22">
        <f t="shared" si="19"/>
        <v>12181.884207328505</v>
      </c>
      <c r="H310" s="22">
        <v>450</v>
      </c>
      <c r="I310" s="23">
        <v>306</v>
      </c>
      <c r="AA310">
        <v>81554.354990215012</v>
      </c>
    </row>
    <row r="311" spans="2:27" x14ac:dyDescent="0.25">
      <c r="B311" s="22">
        <f t="shared" si="21"/>
        <v>12181.884207328505</v>
      </c>
      <c r="C311" s="21">
        <v>3.5000000000000003E-2</v>
      </c>
      <c r="D311" s="22">
        <f t="shared" si="18"/>
        <v>35.530495604708143</v>
      </c>
      <c r="E311" s="22">
        <f t="shared" si="20"/>
        <v>12217.414702933213</v>
      </c>
      <c r="F311" s="20"/>
      <c r="G311" s="22">
        <f t="shared" si="19"/>
        <v>11767.414702933213</v>
      </c>
      <c r="H311" s="22">
        <v>450</v>
      </c>
      <c r="I311" s="23">
        <v>307</v>
      </c>
      <c r="AA311">
        <v>81730.029915426436</v>
      </c>
    </row>
    <row r="312" spans="2:27" x14ac:dyDescent="0.25">
      <c r="B312" s="22">
        <f t="shared" si="21"/>
        <v>11767.414702933213</v>
      </c>
      <c r="C312" s="21">
        <v>3.5000000000000003E-2</v>
      </c>
      <c r="D312" s="22">
        <f t="shared" si="18"/>
        <v>34.321626216888539</v>
      </c>
      <c r="E312" s="22">
        <f t="shared" si="20"/>
        <v>11801.736329150101</v>
      </c>
      <c r="F312" s="20"/>
      <c r="G312" s="22">
        <f t="shared" si="19"/>
        <v>11351.736329150101</v>
      </c>
      <c r="H312" s="22">
        <v>450</v>
      </c>
      <c r="I312" s="23">
        <v>308</v>
      </c>
      <c r="AA312">
        <v>81905.266748555048</v>
      </c>
    </row>
    <row r="313" spans="2:27" x14ac:dyDescent="0.25">
      <c r="B313" s="22">
        <f t="shared" si="21"/>
        <v>11351.736329150101</v>
      </c>
      <c r="C313" s="21">
        <v>3.5000000000000003E-2</v>
      </c>
      <c r="D313" s="22">
        <f t="shared" si="18"/>
        <v>33.109230960021129</v>
      </c>
      <c r="E313" s="22">
        <f t="shared" si="20"/>
        <v>11384.845560110121</v>
      </c>
      <c r="F313" s="20"/>
      <c r="G313" s="22">
        <f t="shared" si="19"/>
        <v>10934.845560110121</v>
      </c>
      <c r="H313" s="22">
        <v>450</v>
      </c>
      <c r="I313" s="23">
        <v>309</v>
      </c>
      <c r="AA313">
        <v>82080.066582099782</v>
      </c>
    </row>
    <row r="314" spans="2:27" x14ac:dyDescent="0.25">
      <c r="B314" s="22">
        <f t="shared" si="21"/>
        <v>10934.845560110121</v>
      </c>
      <c r="C314" s="21">
        <v>3.5000000000000003E-2</v>
      </c>
      <c r="D314" s="22">
        <f t="shared" si="18"/>
        <v>31.893299550321188</v>
      </c>
      <c r="E314" s="22">
        <f t="shared" si="20"/>
        <v>10966.738859660443</v>
      </c>
      <c r="F314" s="20"/>
      <c r="G314" s="22">
        <f t="shared" si="19"/>
        <v>10516.738859660443</v>
      </c>
      <c r="H314" s="22">
        <v>450</v>
      </c>
      <c r="I314" s="23">
        <v>310</v>
      </c>
      <c r="AA314">
        <v>82254.430505835204</v>
      </c>
    </row>
    <row r="315" spans="2:27" x14ac:dyDescent="0.25">
      <c r="B315" s="22">
        <f t="shared" si="21"/>
        <v>10516.738859660443</v>
      </c>
      <c r="C315" s="21">
        <v>3.5000000000000003E-2</v>
      </c>
      <c r="D315" s="22">
        <f t="shared" si="18"/>
        <v>30.673821674009627</v>
      </c>
      <c r="E315" s="22">
        <f t="shared" si="20"/>
        <v>10547.412681334454</v>
      </c>
      <c r="F315" s="20"/>
      <c r="G315" s="22">
        <f t="shared" si="19"/>
        <v>10097.412681334454</v>
      </c>
      <c r="H315" s="22">
        <v>450</v>
      </c>
      <c r="I315" s="23">
        <v>311</v>
      </c>
      <c r="AA315">
        <v>82428.35960681815</v>
      </c>
    </row>
    <row r="316" spans="2:27" x14ac:dyDescent="0.25">
      <c r="B316" s="22">
        <f t="shared" si="21"/>
        <v>10097.412681334454</v>
      </c>
      <c r="C316" s="21">
        <v>3.5000000000000003E-2</v>
      </c>
      <c r="D316" s="22">
        <f t="shared" si="18"/>
        <v>29.450786987225491</v>
      </c>
      <c r="E316" s="22">
        <f t="shared" si="20"/>
        <v>10126.863468321679</v>
      </c>
      <c r="F316" s="20"/>
      <c r="G316" s="22">
        <f t="shared" si="19"/>
        <v>9676.8634683216787</v>
      </c>
      <c r="H316" s="22">
        <v>450</v>
      </c>
      <c r="I316" s="23">
        <v>312</v>
      </c>
      <c r="AA316">
        <v>82601.854969394655</v>
      </c>
    </row>
    <row r="317" spans="2:27" x14ac:dyDescent="0.25">
      <c r="B317" s="22">
        <f t="shared" si="21"/>
        <v>9676.8634683216787</v>
      </c>
      <c r="C317" s="21">
        <v>3.5000000000000003E-2</v>
      </c>
      <c r="D317" s="22">
        <f t="shared" si="18"/>
        <v>28.22418511593823</v>
      </c>
      <c r="E317" s="22">
        <f t="shared" si="20"/>
        <v>9705.0876534376166</v>
      </c>
      <c r="F317" s="20"/>
      <c r="G317" s="22">
        <f t="shared" si="19"/>
        <v>9255.0876534376166</v>
      </c>
      <c r="H317" s="22">
        <v>450</v>
      </c>
      <c r="I317" s="23">
        <v>313</v>
      </c>
      <c r="AA317">
        <v>82774.917675206627</v>
      </c>
    </row>
    <row r="318" spans="2:27" x14ac:dyDescent="0.25">
      <c r="B318" s="22">
        <f t="shared" si="21"/>
        <v>9255.0876534376166</v>
      </c>
      <c r="C318" s="21">
        <v>3.5000000000000003E-2</v>
      </c>
      <c r="D318" s="22">
        <f t="shared" si="18"/>
        <v>26.994005655859716</v>
      </c>
      <c r="E318" s="22">
        <f t="shared" si="20"/>
        <v>9282.0816590934755</v>
      </c>
      <c r="F318" s="20"/>
      <c r="G318" s="22">
        <f t="shared" si="19"/>
        <v>8832.0816590934755</v>
      </c>
      <c r="H318" s="22">
        <v>450</v>
      </c>
      <c r="I318" s="23">
        <v>314</v>
      </c>
      <c r="AA318">
        <v>82947.548803198632</v>
      </c>
    </row>
    <row r="319" spans="2:27" x14ac:dyDescent="0.25">
      <c r="B319" s="22">
        <f t="shared" si="21"/>
        <v>8832.0816590934755</v>
      </c>
      <c r="C319" s="21">
        <v>3.5000000000000003E-2</v>
      </c>
      <c r="D319" s="22">
        <f t="shared" si="18"/>
        <v>25.760238172355972</v>
      </c>
      <c r="E319" s="22">
        <f t="shared" si="20"/>
        <v>8857.841897265831</v>
      </c>
      <c r="F319" s="20"/>
      <c r="G319" s="22">
        <f t="shared" si="19"/>
        <v>8407.841897265831</v>
      </c>
      <c r="H319" s="22">
        <v>450</v>
      </c>
      <c r="I319" s="23">
        <v>315</v>
      </c>
      <c r="AA319">
        <v>83119.749429624571</v>
      </c>
    </row>
    <row r="320" spans="2:27" x14ac:dyDescent="0.25">
      <c r="B320" s="22">
        <f t="shared" si="21"/>
        <v>8407.841897265831</v>
      </c>
      <c r="C320" s="21">
        <v>3.5000000000000003E-2</v>
      </c>
      <c r="D320" s="22">
        <f t="shared" si="18"/>
        <v>24.522872200358673</v>
      </c>
      <c r="E320" s="22">
        <f t="shared" si="20"/>
        <v>8432.3647694661904</v>
      </c>
      <c r="F320" s="20"/>
      <c r="G320" s="22">
        <f t="shared" si="19"/>
        <v>7982.3647694661904</v>
      </c>
      <c r="H320" s="22">
        <v>450</v>
      </c>
      <c r="I320" s="23">
        <v>316</v>
      </c>
      <c r="AA320">
        <v>83291.520628054423</v>
      </c>
    </row>
    <row r="321" spans="2:27" x14ac:dyDescent="0.25">
      <c r="B321" s="22">
        <f t="shared" si="21"/>
        <v>7982.3647694661904</v>
      </c>
      <c r="C321" s="21">
        <v>3.5000000000000003E-2</v>
      </c>
      <c r="D321" s="22">
        <f t="shared" si="18"/>
        <v>23.28189724427639</v>
      </c>
      <c r="E321" s="22">
        <f t="shared" si="20"/>
        <v>8005.6466667104669</v>
      </c>
      <c r="F321" s="20"/>
      <c r="G321" s="22">
        <f t="shared" si="19"/>
        <v>7555.6466667104669</v>
      </c>
      <c r="H321" s="22">
        <v>450</v>
      </c>
      <c r="I321" s="23">
        <v>317</v>
      </c>
      <c r="AA321">
        <v>83462.863469380973</v>
      </c>
    </row>
    <row r="322" spans="2:27" x14ac:dyDescent="0.25">
      <c r="B322" s="22">
        <f t="shared" si="21"/>
        <v>7555.6466667104669</v>
      </c>
      <c r="C322" s="21">
        <v>3.5000000000000003E-2</v>
      </c>
      <c r="D322" s="22">
        <f t="shared" si="18"/>
        <v>22.037302777905531</v>
      </c>
      <c r="E322" s="22">
        <f t="shared" si="20"/>
        <v>7577.683969488372</v>
      </c>
      <c r="F322" s="20"/>
      <c r="G322" s="22">
        <f t="shared" si="19"/>
        <v>7127.683969488372</v>
      </c>
      <c r="H322" s="22">
        <v>450</v>
      </c>
      <c r="I322" s="23">
        <v>318</v>
      </c>
      <c r="AA322">
        <v>83633.779021826413</v>
      </c>
    </row>
    <row r="323" spans="2:27" x14ac:dyDescent="0.25">
      <c r="B323" s="22">
        <f t="shared" si="21"/>
        <v>7127.683969488372</v>
      </c>
      <c r="C323" s="21">
        <v>3.5000000000000003E-2</v>
      </c>
      <c r="D323" s="22">
        <f t="shared" si="18"/>
        <v>20.789078244341084</v>
      </c>
      <c r="E323" s="22">
        <f t="shared" si="20"/>
        <v>7148.473047732713</v>
      </c>
      <c r="F323" s="20"/>
      <c r="G323" s="22">
        <f t="shared" si="19"/>
        <v>6698.473047732713</v>
      </c>
      <c r="H323" s="22">
        <v>450</v>
      </c>
      <c r="I323" s="23">
        <v>319</v>
      </c>
      <c r="AA323">
        <v>83804.268350949031</v>
      </c>
    </row>
    <row r="324" spans="2:27" x14ac:dyDescent="0.25">
      <c r="B324" s="22">
        <f t="shared" si="21"/>
        <v>6698.473047732713</v>
      </c>
      <c r="C324" s="21">
        <v>3.5000000000000003E-2</v>
      </c>
      <c r="D324" s="22">
        <f t="shared" si="18"/>
        <v>19.537213055887079</v>
      </c>
      <c r="E324" s="22">
        <f t="shared" si="20"/>
        <v>6718.0102607886001</v>
      </c>
      <c r="F324" s="20"/>
      <c r="G324" s="22">
        <f t="shared" si="19"/>
        <v>6268.0102607886001</v>
      </c>
      <c r="H324" s="22">
        <v>450</v>
      </c>
      <c r="I324" s="23">
        <v>320</v>
      </c>
      <c r="AA324">
        <v>83974.332519649892</v>
      </c>
    </row>
    <row r="325" spans="2:27" x14ac:dyDescent="0.25">
      <c r="B325" s="22">
        <f t="shared" si="21"/>
        <v>6268.0102607886001</v>
      </c>
      <c r="C325" s="21">
        <v>3.5000000000000003E-2</v>
      </c>
      <c r="D325" s="22">
        <f t="shared" si="18"/>
        <v>18.28169659396675</v>
      </c>
      <c r="E325" s="22">
        <f t="shared" si="20"/>
        <v>6286.2919573825666</v>
      </c>
      <c r="F325" s="20"/>
      <c r="G325" s="22">
        <f t="shared" si="19"/>
        <v>5836.2919573825666</v>
      </c>
      <c r="H325" s="22">
        <v>450</v>
      </c>
      <c r="I325" s="23">
        <v>321</v>
      </c>
      <c r="AA325">
        <v>84143.972588179444</v>
      </c>
    </row>
    <row r="326" spans="2:27" x14ac:dyDescent="0.25">
      <c r="B326" s="22">
        <f t="shared" si="21"/>
        <v>5836.2919573825666</v>
      </c>
      <c r="C326" s="21">
        <v>3.5000000000000003E-2</v>
      </c>
      <c r="D326" s="22">
        <f t="shared" ref="D326:D339" si="22">B326*(0.035/12)</f>
        <v>17.022518209032487</v>
      </c>
      <c r="E326" s="22">
        <f t="shared" si="20"/>
        <v>5853.3144755915991</v>
      </c>
      <c r="F326" s="20"/>
      <c r="G326" s="22">
        <f t="shared" ref="G326:G339" si="23">E326-H326</f>
        <v>5403.3144755915991</v>
      </c>
      <c r="H326" s="22">
        <v>450</v>
      </c>
      <c r="I326" s="23">
        <v>322</v>
      </c>
      <c r="AA326">
        <v>84313.189614144081</v>
      </c>
    </row>
    <row r="327" spans="2:27" x14ac:dyDescent="0.25">
      <c r="B327" s="22">
        <f t="shared" si="21"/>
        <v>5403.3144755915991</v>
      </c>
      <c r="C327" s="21">
        <v>3.5000000000000003E-2</v>
      </c>
      <c r="D327" s="22">
        <f t="shared" si="22"/>
        <v>15.759667220475498</v>
      </c>
      <c r="E327" s="22">
        <f t="shared" ref="E327:E339" si="24">B327+D327</f>
        <v>5419.0741428120746</v>
      </c>
      <c r="F327" s="20"/>
      <c r="G327" s="22">
        <f t="shared" si="23"/>
        <v>4969.0741428120746</v>
      </c>
      <c r="H327" s="22">
        <v>450</v>
      </c>
      <c r="I327" s="23">
        <v>323</v>
      </c>
      <c r="AA327">
        <v>84481.984652512794</v>
      </c>
    </row>
    <row r="328" spans="2:27" x14ac:dyDescent="0.25">
      <c r="B328" s="22">
        <f t="shared" si="21"/>
        <v>4969.0741428120746</v>
      </c>
      <c r="C328" s="21">
        <v>3.5000000000000003E-2</v>
      </c>
      <c r="D328" s="22">
        <f t="shared" si="22"/>
        <v>14.493132916535219</v>
      </c>
      <c r="E328" s="22">
        <f t="shared" si="24"/>
        <v>4983.5672757286102</v>
      </c>
      <c r="F328" s="20"/>
      <c r="G328" s="22">
        <f t="shared" si="23"/>
        <v>4533.5672757286102</v>
      </c>
      <c r="H328" s="22">
        <v>450</v>
      </c>
      <c r="I328" s="23">
        <v>324</v>
      </c>
      <c r="AA328">
        <v>84650.358755623747</v>
      </c>
    </row>
    <row r="329" spans="2:27" x14ac:dyDescent="0.25">
      <c r="B329" s="22">
        <f t="shared" si="21"/>
        <v>4533.5672757286102</v>
      </c>
      <c r="C329" s="21">
        <v>3.5000000000000003E-2</v>
      </c>
      <c r="D329" s="22">
        <f t="shared" si="22"/>
        <v>13.222904554208448</v>
      </c>
      <c r="E329" s="22">
        <f t="shared" si="24"/>
        <v>4546.7901802828183</v>
      </c>
      <c r="F329" s="20"/>
      <c r="G329" s="22">
        <f t="shared" si="23"/>
        <v>4096.7901802828183</v>
      </c>
      <c r="H329" s="22">
        <v>450</v>
      </c>
      <c r="I329" s="23">
        <v>325</v>
      </c>
      <c r="AA329">
        <v>84818.312973190754</v>
      </c>
    </row>
    <row r="330" spans="2:27" x14ac:dyDescent="0.25">
      <c r="B330" s="22">
        <f t="shared" si="21"/>
        <v>4096.7901802828183</v>
      </c>
      <c r="C330" s="21">
        <v>3.5000000000000003E-2</v>
      </c>
      <c r="D330" s="22">
        <f t="shared" si="22"/>
        <v>11.94897135915822</v>
      </c>
      <c r="E330" s="22">
        <f t="shared" si="24"/>
        <v>4108.7391516419766</v>
      </c>
      <c r="F330" s="20"/>
      <c r="G330" s="22">
        <f t="shared" si="23"/>
        <v>3658.7391516419766</v>
      </c>
      <c r="H330" s="22">
        <v>450</v>
      </c>
      <c r="I330" s="23">
        <v>326</v>
      </c>
      <c r="AA330">
        <v>84985.848352309971</v>
      </c>
    </row>
    <row r="331" spans="2:27" x14ac:dyDescent="0.25">
      <c r="B331" s="22">
        <f t="shared" si="21"/>
        <v>3658.7391516419766</v>
      </c>
      <c r="C331" s="21">
        <v>3.5000000000000003E-2</v>
      </c>
      <c r="D331" s="22">
        <f t="shared" si="22"/>
        <v>10.671322525622433</v>
      </c>
      <c r="E331" s="22">
        <f t="shared" si="24"/>
        <v>3669.4104741675992</v>
      </c>
      <c r="F331" s="20"/>
      <c r="G331" s="22">
        <f t="shared" si="23"/>
        <v>3219.4104741675992</v>
      </c>
      <c r="H331" s="22">
        <v>450</v>
      </c>
      <c r="I331" s="23">
        <v>327</v>
      </c>
      <c r="AA331">
        <v>85152.965937466302</v>
      </c>
    </row>
    <row r="332" spans="2:27" x14ac:dyDescent="0.25">
      <c r="B332" s="22">
        <f t="shared" si="21"/>
        <v>3219.4104741675992</v>
      </c>
      <c r="C332" s="21">
        <v>3.5000000000000003E-2</v>
      </c>
      <c r="D332" s="22">
        <f t="shared" si="22"/>
        <v>9.3899472163221649</v>
      </c>
      <c r="E332" s="22">
        <f t="shared" si="24"/>
        <v>3228.8004213839213</v>
      </c>
      <c r="F332" s="20"/>
      <c r="G332" s="22">
        <f t="shared" si="23"/>
        <v>2778.8004213839213</v>
      </c>
      <c r="H332" s="22">
        <v>450</v>
      </c>
      <c r="I332" s="23">
        <v>328</v>
      </c>
      <c r="AA332">
        <v>85319.666770539974</v>
      </c>
    </row>
    <row r="333" spans="2:27" x14ac:dyDescent="0.25">
      <c r="B333" s="22">
        <f t="shared" si="21"/>
        <v>2778.8004213839213</v>
      </c>
      <c r="C333" s="21">
        <v>3.5000000000000003E-2</v>
      </c>
      <c r="D333" s="22">
        <f t="shared" si="22"/>
        <v>8.1048345623697706</v>
      </c>
      <c r="E333" s="22">
        <f t="shared" si="24"/>
        <v>2786.9052559462912</v>
      </c>
      <c r="F333" s="20"/>
      <c r="G333" s="22">
        <f t="shared" si="23"/>
        <v>2336.9052559462912</v>
      </c>
      <c r="H333" s="22">
        <v>450</v>
      </c>
      <c r="I333" s="23">
        <v>329</v>
      </c>
      <c r="AA333">
        <v>85485.95189081291</v>
      </c>
    </row>
    <row r="334" spans="2:27" x14ac:dyDescent="0.25">
      <c r="B334" s="22">
        <f t="shared" si="21"/>
        <v>2336.9052559462912</v>
      </c>
      <c r="C334" s="21">
        <v>3.5000000000000003E-2</v>
      </c>
      <c r="D334" s="22">
        <f t="shared" si="22"/>
        <v>6.815973663176683</v>
      </c>
      <c r="E334" s="22">
        <f t="shared" si="24"/>
        <v>2343.7212296094676</v>
      </c>
      <c r="F334" s="20"/>
      <c r="G334" s="22">
        <f t="shared" si="23"/>
        <v>1893.7212296094676</v>
      </c>
      <c r="H334" s="22">
        <v>450</v>
      </c>
      <c r="I334" s="23">
        <v>330</v>
      </c>
      <c r="AA334">
        <v>85651.822334975455</v>
      </c>
    </row>
    <row r="335" spans="2:27" x14ac:dyDescent="0.25">
      <c r="B335" s="22">
        <f t="shared" si="21"/>
        <v>1893.7212296094676</v>
      </c>
      <c r="C335" s="21">
        <v>3.5000000000000003E-2</v>
      </c>
      <c r="D335" s="22">
        <f t="shared" si="22"/>
        <v>5.5233535863609475</v>
      </c>
      <c r="E335" s="22">
        <f t="shared" si="24"/>
        <v>1899.2445831958287</v>
      </c>
      <c r="F335" s="20"/>
      <c r="G335" s="22">
        <f t="shared" si="23"/>
        <v>1449.2445831958287</v>
      </c>
      <c r="H335" s="22">
        <v>450</v>
      </c>
      <c r="I335" s="23">
        <v>331</v>
      </c>
      <c r="AA335">
        <v>85817.279137132646</v>
      </c>
    </row>
    <row r="336" spans="2:27" x14ac:dyDescent="0.25">
      <c r="B336" s="22">
        <f t="shared" si="21"/>
        <v>1449.2445831958287</v>
      </c>
      <c r="C336" s="21">
        <v>3.5000000000000003E-2</v>
      </c>
      <c r="D336" s="22">
        <f t="shared" si="22"/>
        <v>4.2269633676545002</v>
      </c>
      <c r="E336" s="22">
        <f t="shared" si="24"/>
        <v>1453.4715465634831</v>
      </c>
      <c r="F336" s="20"/>
      <c r="G336" s="22">
        <f t="shared" si="23"/>
        <v>1003.4715465634831</v>
      </c>
      <c r="H336" s="22">
        <v>450</v>
      </c>
      <c r="I336" s="23">
        <v>332</v>
      </c>
      <c r="AA336">
        <v>85982.323328810613</v>
      </c>
    </row>
    <row r="337" spans="2:27" x14ac:dyDescent="0.25">
      <c r="B337" s="22">
        <f t="shared" si="21"/>
        <v>1003.4715465634831</v>
      </c>
      <c r="C337" s="21">
        <v>3.5000000000000003E-2</v>
      </c>
      <c r="D337" s="22">
        <f t="shared" si="22"/>
        <v>2.9267920108101593</v>
      </c>
      <c r="E337" s="22">
        <f t="shared" si="24"/>
        <v>1006.3983385742932</v>
      </c>
      <c r="F337" s="20"/>
      <c r="G337" s="22">
        <f t="shared" si="23"/>
        <v>556.39833857429323</v>
      </c>
      <c r="H337" s="22">
        <v>450</v>
      </c>
      <c r="I337" s="23">
        <v>333</v>
      </c>
      <c r="AA337">
        <v>86146.95593896319</v>
      </c>
    </row>
    <row r="338" spans="2:27" x14ac:dyDescent="0.25">
      <c r="B338" s="22">
        <f t="shared" si="21"/>
        <v>556.39833857429323</v>
      </c>
      <c r="C338" s="21">
        <v>3.5000000000000003E-2</v>
      </c>
      <c r="D338" s="22">
        <f t="shared" si="22"/>
        <v>1.6228284875083554</v>
      </c>
      <c r="E338" s="22">
        <f t="shared" si="24"/>
        <v>558.02116706180163</v>
      </c>
      <c r="F338" s="20"/>
      <c r="G338" s="22">
        <f t="shared" si="23"/>
        <v>108.02116706180163</v>
      </c>
      <c r="H338" s="22">
        <v>450</v>
      </c>
      <c r="I338" s="23">
        <v>334</v>
      </c>
      <c r="AA338">
        <v>86311.177993978257</v>
      </c>
    </row>
    <row r="339" spans="2:27" x14ac:dyDescent="0.25">
      <c r="B339" s="42">
        <f t="shared" si="21"/>
        <v>108.02116706180163</v>
      </c>
      <c r="C339" s="43">
        <v>3.5000000000000003E-2</v>
      </c>
      <c r="D339" s="42">
        <f t="shared" si="22"/>
        <v>0.3150617372635881</v>
      </c>
      <c r="E339" s="42">
        <f t="shared" si="24"/>
        <v>108.33622879906522</v>
      </c>
      <c r="F339" s="44"/>
      <c r="G339" s="42">
        <f t="shared" si="23"/>
        <v>-341.66377120093478</v>
      </c>
      <c r="H339" s="42">
        <v>450</v>
      </c>
      <c r="I339" s="45">
        <v>335</v>
      </c>
      <c r="J339" s="13">
        <f>335/12</f>
        <v>27.916666666666668</v>
      </c>
      <c r="AA339">
        <v>86474.990517684026</v>
      </c>
    </row>
    <row r="340" spans="2:27" x14ac:dyDescent="0.25">
      <c r="B340" s="24"/>
      <c r="C340" s="46"/>
      <c r="D340" s="24">
        <f>SUM(D5:D339)</f>
        <v>54408.336228799162</v>
      </c>
      <c r="E340" s="24"/>
      <c r="F340" s="47"/>
      <c r="G340" s="24"/>
      <c r="H340" s="22">
        <f>SUM(H5:H339)</f>
        <v>150750</v>
      </c>
      <c r="I340" s="25"/>
      <c r="J340" s="13">
        <f>336/12</f>
        <v>28</v>
      </c>
      <c r="AA340">
        <v>86638.394531355632</v>
      </c>
    </row>
    <row r="341" spans="2:27" x14ac:dyDescent="0.25">
      <c r="B341" s="48"/>
      <c r="C341" s="49"/>
      <c r="D341" s="48"/>
      <c r="E341" s="48"/>
      <c r="F341" s="50"/>
      <c r="G341" s="48"/>
      <c r="H341" s="35"/>
      <c r="I341" s="38"/>
      <c r="AA341">
        <v>86801.391053721338</v>
      </c>
    </row>
    <row r="342" spans="2:27" x14ac:dyDescent="0.25">
      <c r="B342" s="48"/>
      <c r="C342" s="49"/>
      <c r="D342" s="48"/>
      <c r="E342" s="48"/>
      <c r="F342" s="50"/>
      <c r="G342" s="48"/>
      <c r="H342" s="35"/>
      <c r="I342" s="38"/>
      <c r="AA342">
        <v>86963.981100968915</v>
      </c>
    </row>
    <row r="343" spans="2:27" x14ac:dyDescent="0.25">
      <c r="B343" s="48"/>
      <c r="C343" s="49"/>
      <c r="D343" s="48"/>
      <c r="E343" s="48"/>
      <c r="F343" s="50"/>
      <c r="G343" s="48"/>
      <c r="H343" s="35"/>
      <c r="I343" s="51"/>
      <c r="AA343">
        <v>87126.165686752021</v>
      </c>
    </row>
    <row r="344" spans="2:27" x14ac:dyDescent="0.25">
      <c r="B344" s="48"/>
      <c r="C344" s="49"/>
      <c r="D344" s="48"/>
      <c r="E344" s="48"/>
      <c r="F344" s="50"/>
      <c r="G344" s="48"/>
      <c r="H344" s="35"/>
      <c r="I344" s="38"/>
      <c r="AA344">
        <v>87287.945822196532</v>
      </c>
    </row>
    <row r="345" spans="2:27" x14ac:dyDescent="0.25">
      <c r="B345" s="48"/>
      <c r="C345" s="49"/>
      <c r="D345" s="48"/>
      <c r="E345" s="48"/>
      <c r="F345" s="50"/>
      <c r="G345" s="48"/>
      <c r="H345" s="35"/>
      <c r="I345" s="38"/>
      <c r="AA345">
        <v>87449.322515906766</v>
      </c>
    </row>
    <row r="346" spans="2:27" x14ac:dyDescent="0.25">
      <c r="B346" s="48"/>
      <c r="C346" s="49"/>
      <c r="D346" s="48"/>
      <c r="E346" s="48"/>
      <c r="F346" s="50"/>
      <c r="G346" s="48"/>
      <c r="H346" s="35"/>
      <c r="I346" s="51"/>
      <c r="AA346">
        <v>87610.296773971844</v>
      </c>
    </row>
    <row r="347" spans="2:27" x14ac:dyDescent="0.25">
      <c r="B347" s="48"/>
      <c r="C347" s="49"/>
      <c r="D347" s="48"/>
      <c r="E347" s="48"/>
      <c r="F347" s="50"/>
      <c r="G347" s="48"/>
      <c r="H347" s="35"/>
      <c r="I347" s="38"/>
      <c r="AA347">
        <v>87770.869599971891</v>
      </c>
    </row>
    <row r="348" spans="2:27" x14ac:dyDescent="0.25">
      <c r="B348" s="48"/>
      <c r="C348" s="49"/>
      <c r="D348" s="48"/>
      <c r="E348" s="48"/>
      <c r="F348" s="50"/>
      <c r="G348" s="48"/>
      <c r="H348" s="35"/>
      <c r="I348" s="38"/>
      <c r="AA348">
        <v>87931.041994984436</v>
      </c>
    </row>
    <row r="349" spans="2:27" x14ac:dyDescent="0.25">
      <c r="B349" s="48"/>
      <c r="C349" s="49"/>
      <c r="D349" s="48"/>
      <c r="E349" s="48"/>
      <c r="F349" s="50"/>
      <c r="G349" s="48"/>
      <c r="H349" s="35"/>
      <c r="I349" s="51"/>
      <c r="AA349">
        <v>88090.814957590454</v>
      </c>
    </row>
    <row r="350" spans="2:27" x14ac:dyDescent="0.25">
      <c r="B350" s="48"/>
      <c r="C350" s="49"/>
      <c r="D350" s="48"/>
      <c r="E350" s="48"/>
      <c r="F350" s="50"/>
      <c r="G350" s="48"/>
      <c r="H350" s="35"/>
      <c r="I350" s="38"/>
      <c r="AA350">
        <v>88250.189483880749</v>
      </c>
    </row>
    <row r="351" spans="2:27" x14ac:dyDescent="0.25">
      <c r="B351" s="48"/>
      <c r="C351" s="49"/>
      <c r="D351" s="48"/>
      <c r="E351" s="48"/>
      <c r="F351" s="50"/>
      <c r="G351" s="48"/>
      <c r="H351" s="35"/>
      <c r="I351" s="38"/>
      <c r="AA351">
        <v>88409.166567462104</v>
      </c>
    </row>
    <row r="352" spans="2:27" x14ac:dyDescent="0.25">
      <c r="B352" s="48"/>
      <c r="C352" s="49"/>
      <c r="D352" s="48"/>
      <c r="E352" s="48"/>
      <c r="F352" s="50"/>
      <c r="G352" s="48"/>
      <c r="H352" s="35"/>
      <c r="I352" s="51"/>
      <c r="J352">
        <f>I352/12</f>
        <v>0</v>
      </c>
      <c r="AA352">
        <v>88567.747199463411</v>
      </c>
    </row>
    <row r="353" spans="2:27" x14ac:dyDescent="0.25">
      <c r="B353" s="48"/>
      <c r="C353" s="49"/>
      <c r="D353" s="48"/>
      <c r="E353" s="48"/>
      <c r="F353" s="50"/>
      <c r="G353" s="48"/>
      <c r="H353" s="35"/>
      <c r="I353" s="38"/>
      <c r="AA353">
        <v>88725.932368542082</v>
      </c>
    </row>
    <row r="354" spans="2:27" x14ac:dyDescent="0.25">
      <c r="B354" s="48"/>
      <c r="C354" s="49"/>
      <c r="D354" s="48"/>
      <c r="E354" s="48"/>
      <c r="F354" s="50"/>
      <c r="G354" s="48"/>
      <c r="H354" s="35"/>
      <c r="I354" s="38"/>
      <c r="AA354">
        <v>88883.723060889839</v>
      </c>
    </row>
    <row r="355" spans="2:27" x14ac:dyDescent="0.25">
      <c r="B355" s="48"/>
      <c r="C355" s="49"/>
      <c r="D355" s="48"/>
      <c r="E355" s="48"/>
      <c r="F355" s="50"/>
      <c r="G355" s="48"/>
      <c r="H355" s="35"/>
      <c r="I355" s="51"/>
      <c r="AA355">
        <v>89041.12026023923</v>
      </c>
    </row>
    <row r="356" spans="2:27" x14ac:dyDescent="0.25">
      <c r="B356" s="48"/>
      <c r="C356" s="49"/>
      <c r="D356" s="48"/>
      <c r="E356" s="48"/>
      <c r="F356" s="50"/>
      <c r="G356" s="48"/>
      <c r="H356" s="35"/>
      <c r="I356" s="38"/>
      <c r="AA356">
        <v>89198.124947869554</v>
      </c>
    </row>
    <row r="357" spans="2:27" x14ac:dyDescent="0.25">
      <c r="B357" s="48"/>
      <c r="C357" s="49"/>
      <c r="D357" s="48"/>
      <c r="E357" s="48"/>
      <c r="F357" s="50"/>
      <c r="G357" s="48"/>
      <c r="H357" s="35"/>
      <c r="I357" s="38"/>
      <c r="AA357">
        <v>89354.738102613032</v>
      </c>
    </row>
    <row r="358" spans="2:27" x14ac:dyDescent="0.25">
      <c r="B358" s="48"/>
      <c r="C358" s="49"/>
      <c r="D358" s="48"/>
      <c r="E358" s="48"/>
      <c r="F358" s="50"/>
      <c r="G358" s="48"/>
      <c r="H358" s="35"/>
      <c r="I358" s="51"/>
      <c r="AA358">
        <v>89510.960700860873</v>
      </c>
    </row>
    <row r="359" spans="2:27" x14ac:dyDescent="0.25">
      <c r="B359" s="48"/>
      <c r="C359" s="49"/>
      <c r="D359" s="48"/>
      <c r="E359" s="48"/>
      <c r="F359" s="50"/>
      <c r="G359" s="48"/>
      <c r="H359" s="35"/>
      <c r="I359" s="38"/>
      <c r="AA359">
        <v>89666.793716569446</v>
      </c>
    </row>
    <row r="360" spans="2:27" x14ac:dyDescent="0.25">
      <c r="B360" s="48"/>
      <c r="C360" s="49"/>
      <c r="D360" s="48"/>
      <c r="E360" s="48"/>
      <c r="F360" s="50"/>
      <c r="G360" s="48"/>
      <c r="H360" s="35"/>
      <c r="I360" s="38"/>
      <c r="AA360">
        <v>89822.238121266273</v>
      </c>
    </row>
    <row r="361" spans="2:27" x14ac:dyDescent="0.25">
      <c r="B361" s="48"/>
      <c r="C361" s="49"/>
      <c r="D361" s="48"/>
      <c r="E361" s="48"/>
      <c r="F361" s="50"/>
      <c r="G361" s="48"/>
      <c r="H361" s="35"/>
      <c r="I361" s="51"/>
      <c r="AA361">
        <v>89977.294884056115</v>
      </c>
    </row>
    <row r="362" spans="2:27" x14ac:dyDescent="0.25">
      <c r="B362" s="48"/>
      <c r="C362" s="49"/>
      <c r="D362" s="48"/>
      <c r="E362" s="48"/>
      <c r="F362" s="50"/>
      <c r="G362" s="48"/>
      <c r="H362" s="35"/>
      <c r="I362" s="38"/>
      <c r="AA362">
        <v>90131.964971627051</v>
      </c>
    </row>
    <row r="363" spans="2:27" x14ac:dyDescent="0.25">
      <c r="B363" s="48"/>
      <c r="C363" s="49"/>
      <c r="D363" s="48"/>
      <c r="E363" s="48"/>
      <c r="F363" s="50"/>
      <c r="G363" s="48"/>
      <c r="H363" s="35"/>
      <c r="I363" s="38"/>
      <c r="AA363">
        <v>90286.249348256402</v>
      </c>
    </row>
    <row r="364" spans="2:27" x14ac:dyDescent="0.25">
      <c r="B364" s="48"/>
      <c r="C364" s="49"/>
      <c r="D364" s="48"/>
      <c r="E364" s="48"/>
      <c r="F364" s="50"/>
      <c r="G364" s="48"/>
      <c r="H364" s="35"/>
      <c r="I364" s="51"/>
      <c r="AA364">
        <v>90440.148975816861</v>
      </c>
    </row>
    <row r="365" spans="2:27" x14ac:dyDescent="0.25">
      <c r="B365" s="48"/>
      <c r="C365" s="49"/>
      <c r="D365" s="48"/>
      <c r="E365" s="48"/>
      <c r="F365" s="50"/>
      <c r="G365" s="48"/>
      <c r="H365" s="35"/>
      <c r="I365" s="38"/>
      <c r="AA365">
        <v>90593.664813782409</v>
      </c>
    </row>
    <row r="366" spans="2:27" x14ac:dyDescent="0.25">
      <c r="B366" s="48"/>
      <c r="C366" s="49"/>
      <c r="D366" s="48"/>
      <c r="E366" s="48"/>
      <c r="F366" s="50"/>
      <c r="G366" s="48"/>
      <c r="H366" s="35"/>
      <c r="I366" s="38"/>
      <c r="AA366">
        <v>90746.797819234314</v>
      </c>
    </row>
    <row r="367" spans="2:27" x14ac:dyDescent="0.25">
      <c r="B367" s="48"/>
      <c r="C367" s="49"/>
      <c r="D367" s="48"/>
      <c r="E367" s="48"/>
      <c r="F367" s="50"/>
      <c r="G367" s="48"/>
      <c r="H367" s="35"/>
      <c r="I367" s="51"/>
      <c r="AA367">
        <v>90899.548946867144</v>
      </c>
    </row>
    <row r="368" spans="2:27" x14ac:dyDescent="0.25">
      <c r="B368" s="48"/>
      <c r="C368" s="49"/>
      <c r="D368" s="48"/>
      <c r="E368" s="48"/>
      <c r="F368" s="50"/>
      <c r="G368" s="48"/>
      <c r="H368" s="35"/>
      <c r="I368" s="38"/>
      <c r="AA368">
        <v>91051.919148994653</v>
      </c>
    </row>
    <row r="369" spans="2:27" x14ac:dyDescent="0.25">
      <c r="B369" s="48"/>
      <c r="C369" s="49"/>
      <c r="D369" s="48"/>
      <c r="E369" s="48"/>
      <c r="F369" s="50"/>
      <c r="G369" s="48"/>
      <c r="H369" s="35"/>
      <c r="I369" s="38"/>
      <c r="AA369">
        <v>91203.90937555577</v>
      </c>
    </row>
    <row r="370" spans="2:27" x14ac:dyDescent="0.25">
      <c r="B370" s="48"/>
      <c r="C370" s="49"/>
      <c r="D370" s="48"/>
      <c r="E370" s="48"/>
      <c r="F370" s="50"/>
      <c r="G370" s="48"/>
      <c r="H370" s="35"/>
      <c r="I370" s="51"/>
      <c r="J370">
        <f>I370/12</f>
        <v>0</v>
      </c>
      <c r="AA370">
        <v>91355.520574120455</v>
      </c>
    </row>
    <row r="371" spans="2:27" x14ac:dyDescent="0.25">
      <c r="B371" s="48"/>
      <c r="C371" s="49"/>
      <c r="D371" s="48"/>
      <c r="E371" s="48"/>
      <c r="F371" s="50"/>
      <c r="G371" s="48"/>
      <c r="H371" s="35"/>
      <c r="I371" s="38"/>
      <c r="AA371">
        <v>91506.753689895719</v>
      </c>
    </row>
    <row r="372" spans="2:27" x14ac:dyDescent="0.25">
      <c r="B372" s="48"/>
      <c r="C372" s="49"/>
      <c r="D372" s="48"/>
      <c r="E372" s="48"/>
      <c r="F372" s="50"/>
      <c r="G372" s="48"/>
      <c r="H372" s="35"/>
      <c r="I372" s="38"/>
      <c r="AA372">
        <v>91657.60966573139</v>
      </c>
    </row>
    <row r="373" spans="2:27" x14ac:dyDescent="0.25">
      <c r="B373" s="48"/>
      <c r="C373" s="49"/>
      <c r="D373" s="48"/>
      <c r="E373" s="48"/>
      <c r="F373" s="50"/>
      <c r="G373" s="48"/>
      <c r="H373" s="35"/>
      <c r="I373" s="51"/>
      <c r="AA373">
        <v>91808.08944212606</v>
      </c>
    </row>
    <row r="374" spans="2:27" x14ac:dyDescent="0.25">
      <c r="B374" s="48"/>
      <c r="C374" s="49"/>
      <c r="D374" s="48"/>
      <c r="E374" s="48"/>
      <c r="F374" s="50"/>
      <c r="G374" s="48"/>
      <c r="H374" s="35"/>
      <c r="I374" s="38"/>
      <c r="AA374">
        <v>91958.193957232987</v>
      </c>
    </row>
    <row r="375" spans="2:27" x14ac:dyDescent="0.25">
      <c r="B375" s="48"/>
      <c r="C375" s="49"/>
      <c r="D375" s="48"/>
      <c r="E375" s="48"/>
      <c r="F375" s="50"/>
      <c r="G375" s="48"/>
      <c r="H375" s="35"/>
      <c r="I375" s="38"/>
      <c r="AA375">
        <v>92107.924146865815</v>
      </c>
    </row>
    <row r="376" spans="2:27" x14ac:dyDescent="0.25">
      <c r="B376" s="48"/>
      <c r="C376" s="49"/>
      <c r="D376" s="48"/>
      <c r="E376" s="48"/>
      <c r="F376" s="50"/>
      <c r="G376" s="48"/>
      <c r="H376" s="35"/>
      <c r="I376" s="51"/>
      <c r="AA376">
        <v>92257.280944504557</v>
      </c>
    </row>
    <row r="377" spans="2:27" x14ac:dyDescent="0.25">
      <c r="B377" s="48"/>
      <c r="C377" s="49"/>
      <c r="D377" s="48"/>
      <c r="E377" s="48"/>
      <c r="F377" s="50"/>
      <c r="G377" s="48"/>
      <c r="H377" s="35"/>
      <c r="I377" s="38"/>
      <c r="AA377">
        <v>92406.265281301297</v>
      </c>
    </row>
    <row r="378" spans="2:27" x14ac:dyDescent="0.25">
      <c r="B378" s="48"/>
      <c r="C378" s="49"/>
      <c r="D378" s="48"/>
      <c r="E378" s="48"/>
      <c r="F378" s="50"/>
      <c r="G378" s="48"/>
      <c r="H378" s="35"/>
      <c r="I378" s="38"/>
      <c r="AA378">
        <v>92554.878086086072</v>
      </c>
    </row>
    <row r="379" spans="2:27" x14ac:dyDescent="0.25">
      <c r="B379" s="48"/>
      <c r="C379" s="49"/>
      <c r="D379" s="48"/>
      <c r="E379" s="48"/>
      <c r="F379" s="50"/>
      <c r="G379" s="48"/>
      <c r="H379" s="35"/>
      <c r="I379" s="51"/>
      <c r="AA379">
        <v>92703.120285372643</v>
      </c>
    </row>
    <row r="380" spans="2:27" x14ac:dyDescent="0.25">
      <c r="B380" s="48"/>
      <c r="C380" s="49"/>
      <c r="D380" s="48"/>
      <c r="E380" s="48"/>
      <c r="F380" s="50"/>
      <c r="G380" s="48"/>
      <c r="H380" s="35"/>
      <c r="I380" s="38"/>
      <c r="AA380">
        <v>92850.992803364221</v>
      </c>
    </row>
    <row r="381" spans="2:27" x14ac:dyDescent="0.25">
      <c r="B381" s="48"/>
      <c r="C381" s="49"/>
      <c r="D381" s="48"/>
      <c r="E381" s="48"/>
      <c r="F381" s="50"/>
      <c r="G381" s="48"/>
      <c r="H381" s="35"/>
      <c r="I381" s="38"/>
      <c r="AA381">
        <v>92998.496561959328</v>
      </c>
    </row>
    <row r="382" spans="2:27" x14ac:dyDescent="0.25">
      <c r="B382" s="48"/>
      <c r="C382" s="49"/>
      <c r="D382" s="48"/>
      <c r="E382" s="48"/>
      <c r="F382" s="50"/>
      <c r="G382" s="48"/>
      <c r="H382" s="35"/>
      <c r="I382" s="51"/>
      <c r="AA382">
        <v>93145.632480757442</v>
      </c>
    </row>
    <row r="383" spans="2:27" x14ac:dyDescent="0.25">
      <c r="B383" s="48"/>
      <c r="C383" s="49"/>
      <c r="D383" s="48"/>
      <c r="E383" s="48"/>
      <c r="F383" s="50"/>
      <c r="G383" s="48"/>
      <c r="H383" s="35"/>
      <c r="I383" s="38"/>
      <c r="AA383">
        <v>93292.401477064763</v>
      </c>
    </row>
    <row r="384" spans="2:27" x14ac:dyDescent="0.25">
      <c r="B384" s="48"/>
      <c r="C384" s="49"/>
      <c r="D384" s="48"/>
      <c r="E384" s="48"/>
      <c r="F384" s="50"/>
      <c r="G384" s="48"/>
      <c r="H384" s="35"/>
      <c r="I384" s="38"/>
      <c r="AA384">
        <v>93438.804465900015</v>
      </c>
    </row>
    <row r="385" spans="2:27" x14ac:dyDescent="0.25">
      <c r="B385" s="48"/>
      <c r="C385" s="49"/>
      <c r="D385" s="48"/>
      <c r="E385" s="48"/>
      <c r="F385" s="50"/>
      <c r="G385" s="48"/>
      <c r="H385" s="35"/>
      <c r="I385" s="51"/>
      <c r="AA385">
        <v>93584.84236000001</v>
      </c>
    </row>
    <row r="386" spans="2:27" x14ac:dyDescent="0.25">
      <c r="B386" s="48"/>
      <c r="C386" s="49"/>
      <c r="D386" s="48"/>
      <c r="E386" s="48"/>
      <c r="F386" s="50"/>
      <c r="G386" s="48"/>
      <c r="H386" s="35"/>
      <c r="I386" s="38"/>
      <c r="AA386">
        <v>93730.516069825433</v>
      </c>
    </row>
    <row r="387" spans="2:27" x14ac:dyDescent="0.25">
      <c r="B387" s="48"/>
      <c r="C387" s="49"/>
      <c r="D387" s="48"/>
      <c r="E387" s="48"/>
      <c r="F387" s="50"/>
      <c r="G387" s="48"/>
      <c r="H387" s="35"/>
      <c r="I387" s="38"/>
      <c r="AA387">
        <v>93875.826503566524</v>
      </c>
    </row>
    <row r="388" spans="2:27" x14ac:dyDescent="0.25">
      <c r="B388" s="48"/>
      <c r="C388" s="49"/>
      <c r="D388" s="48"/>
      <c r="E388" s="48"/>
      <c r="F388" s="50"/>
      <c r="G388" s="48"/>
      <c r="H388" s="35"/>
      <c r="I388" s="51"/>
      <c r="AA388">
        <v>94020.774567148663</v>
      </c>
    </row>
    <row r="389" spans="2:27" x14ac:dyDescent="0.25">
      <c r="B389" s="48"/>
      <c r="C389" s="49"/>
      <c r="D389" s="48"/>
      <c r="E389" s="48"/>
      <c r="F389" s="50"/>
      <c r="G389" s="48"/>
      <c r="H389" s="35"/>
      <c r="I389" s="38"/>
      <c r="AA389">
        <v>94165.361164238057</v>
      </c>
    </row>
    <row r="390" spans="2:27" x14ac:dyDescent="0.25">
      <c r="B390" s="48"/>
      <c r="C390" s="49"/>
      <c r="D390" s="48"/>
      <c r="E390" s="48"/>
      <c r="F390" s="50"/>
      <c r="G390" s="48"/>
      <c r="H390" s="35"/>
      <c r="I390" s="38"/>
      <c r="AA390">
        <v>94309.587196247434</v>
      </c>
    </row>
    <row r="391" spans="2:27" x14ac:dyDescent="0.25">
      <c r="B391" s="48"/>
      <c r="C391" s="49"/>
      <c r="D391" s="48"/>
      <c r="E391" s="48"/>
      <c r="F391" s="50"/>
      <c r="G391" s="48"/>
      <c r="H391" s="35"/>
      <c r="I391" s="51"/>
      <c r="AA391">
        <v>94453.453562341572</v>
      </c>
    </row>
    <row r="392" spans="2:27" x14ac:dyDescent="0.25">
      <c r="B392" s="48"/>
      <c r="C392" s="49"/>
      <c r="D392" s="48"/>
      <c r="E392" s="48"/>
      <c r="F392" s="50"/>
      <c r="G392" s="48"/>
      <c r="H392" s="35"/>
      <c r="I392" s="38"/>
      <c r="AA392">
        <v>94596.961159442973</v>
      </c>
    </row>
    <row r="393" spans="2:27" x14ac:dyDescent="0.25">
      <c r="B393" s="48"/>
      <c r="C393" s="49"/>
      <c r="D393" s="48"/>
      <c r="E393" s="48"/>
      <c r="F393" s="50"/>
      <c r="G393" s="48"/>
      <c r="H393" s="35"/>
      <c r="I393" s="38"/>
      <c r="AA393">
        <v>94740.11088223735</v>
      </c>
    </row>
    <row r="394" spans="2:27" x14ac:dyDescent="0.25">
      <c r="B394" s="48"/>
      <c r="C394" s="49"/>
      <c r="D394" s="48"/>
      <c r="E394" s="48"/>
      <c r="F394" s="50"/>
      <c r="G394" s="48"/>
      <c r="H394" s="35"/>
      <c r="I394" s="51"/>
      <c r="AA394">
        <v>94882.903623179416</v>
      </c>
    </row>
    <row r="395" spans="2:27" x14ac:dyDescent="0.25">
      <c r="B395" s="48"/>
      <c r="C395" s="49"/>
      <c r="D395" s="48"/>
      <c r="E395" s="48"/>
      <c r="F395" s="50"/>
      <c r="G395" s="48"/>
      <c r="H395" s="35"/>
      <c r="I395" s="38"/>
      <c r="AA395">
        <v>95025.340272498186</v>
      </c>
    </row>
    <row r="396" spans="2:27" x14ac:dyDescent="0.25">
      <c r="B396" s="48"/>
      <c r="C396" s="49"/>
      <c r="D396" s="48"/>
      <c r="E396" s="48"/>
      <c r="F396" s="50"/>
      <c r="G396" s="48"/>
      <c r="H396" s="35"/>
      <c r="I396" s="38"/>
      <c r="AA396">
        <v>95167.421718202648</v>
      </c>
    </row>
    <row r="397" spans="2:27" x14ac:dyDescent="0.25">
      <c r="B397" s="48"/>
      <c r="C397" s="49"/>
      <c r="D397" s="48"/>
      <c r="E397" s="48"/>
      <c r="F397" s="50"/>
      <c r="G397" s="48"/>
      <c r="H397" s="35"/>
      <c r="I397" s="51"/>
      <c r="AA397">
        <v>95309.148846087424</v>
      </c>
    </row>
    <row r="398" spans="2:27" x14ac:dyDescent="0.25">
      <c r="B398" s="48"/>
      <c r="C398" s="49"/>
      <c r="D398" s="48"/>
      <c r="E398" s="48"/>
      <c r="F398" s="50"/>
      <c r="G398" s="48"/>
      <c r="H398" s="35"/>
      <c r="I398" s="38"/>
      <c r="AA398">
        <v>95450.5225397381</v>
      </c>
    </row>
    <row r="399" spans="2:27" x14ac:dyDescent="0.25">
      <c r="B399" s="48"/>
      <c r="C399" s="49"/>
      <c r="D399" s="48"/>
      <c r="E399" s="48"/>
      <c r="F399" s="50"/>
      <c r="G399" s="48"/>
      <c r="H399" s="35"/>
      <c r="I399" s="38"/>
      <c r="AA399">
        <v>95591.54368053675</v>
      </c>
    </row>
    <row r="400" spans="2:27" x14ac:dyDescent="0.25">
      <c r="B400" s="48"/>
      <c r="C400" s="49"/>
      <c r="D400" s="48"/>
      <c r="E400" s="48"/>
      <c r="F400" s="50"/>
      <c r="G400" s="48"/>
      <c r="H400" s="35"/>
      <c r="I400" s="51"/>
      <c r="AA400">
        <v>95732.213147667557</v>
      </c>
    </row>
    <row r="401" spans="2:27" x14ac:dyDescent="0.25">
      <c r="B401" s="48"/>
      <c r="C401" s="49"/>
      <c r="D401" s="48"/>
      <c r="E401" s="48"/>
      <c r="F401" s="50"/>
      <c r="G401" s="48"/>
      <c r="H401" s="35"/>
      <c r="I401" s="38"/>
      <c r="AA401">
        <v>95872.531818122268</v>
      </c>
    </row>
    <row r="402" spans="2:27" x14ac:dyDescent="0.25">
      <c r="B402" s="48"/>
      <c r="C402" s="49"/>
      <c r="D402" s="48"/>
      <c r="E402" s="48"/>
      <c r="F402" s="50"/>
      <c r="G402" s="48"/>
      <c r="H402" s="35"/>
      <c r="I402" s="38"/>
      <c r="AA402">
        <v>96012.500566705494</v>
      </c>
    </row>
    <row r="403" spans="2:27" x14ac:dyDescent="0.25">
      <c r="B403" s="48"/>
      <c r="C403" s="49"/>
      <c r="D403" s="48"/>
      <c r="E403" s="48"/>
      <c r="F403" s="50"/>
      <c r="G403" s="48"/>
      <c r="H403" s="35"/>
      <c r="I403" s="51"/>
      <c r="AA403">
        <v>88561.163402931939</v>
      </c>
    </row>
    <row r="404" spans="2:27" x14ac:dyDescent="0.25">
      <c r="B404" s="48"/>
      <c r="C404" s="49"/>
      <c r="D404" s="48"/>
      <c r="E404" s="48"/>
      <c r="F404" s="50"/>
      <c r="G404" s="48"/>
      <c r="H404" s="35"/>
      <c r="I404" s="38"/>
      <c r="AA404">
        <v>88689.439803423375</v>
      </c>
    </row>
    <row r="405" spans="2:27" x14ac:dyDescent="0.25">
      <c r="B405" s="48"/>
      <c r="C405" s="49"/>
      <c r="D405" s="48"/>
      <c r="E405" s="48"/>
      <c r="F405" s="50"/>
      <c r="G405" s="48"/>
      <c r="H405" s="35"/>
      <c r="I405" s="38"/>
      <c r="AA405">
        <v>88817.396312641766</v>
      </c>
    </row>
    <row r="406" spans="2:27" x14ac:dyDescent="0.25">
      <c r="B406" s="48"/>
      <c r="C406" s="49"/>
      <c r="D406" s="48"/>
      <c r="E406" s="48"/>
      <c r="F406" s="50"/>
      <c r="G406" s="48"/>
      <c r="H406" s="35"/>
      <c r="I406" s="51"/>
      <c r="AA406">
        <v>88945.033728320952</v>
      </c>
    </row>
    <row r="407" spans="2:27" x14ac:dyDescent="0.25">
      <c r="B407" s="48"/>
      <c r="C407" s="49"/>
      <c r="D407" s="48"/>
      <c r="E407" s="48"/>
      <c r="F407" s="50"/>
      <c r="G407" s="48"/>
      <c r="H407" s="35"/>
      <c r="I407" s="38"/>
      <c r="AA407">
        <v>89072.352846205453</v>
      </c>
    </row>
    <row r="408" spans="2:27" x14ac:dyDescent="0.25">
      <c r="B408" s="48"/>
      <c r="C408" s="49"/>
      <c r="D408" s="48"/>
      <c r="E408" s="48"/>
      <c r="F408" s="50"/>
      <c r="G408" s="48"/>
      <c r="H408" s="35"/>
      <c r="I408" s="38"/>
      <c r="AA408">
        <v>89199.3544600553</v>
      </c>
    </row>
    <row r="409" spans="2:27" x14ac:dyDescent="0.25">
      <c r="B409" s="48"/>
      <c r="C409" s="49"/>
      <c r="D409" s="48"/>
      <c r="E409" s="48"/>
      <c r="F409" s="50"/>
      <c r="G409" s="48"/>
      <c r="H409" s="35"/>
      <c r="I409" s="51"/>
      <c r="AA409">
        <v>89326.039361651172</v>
      </c>
    </row>
    <row r="410" spans="2:27" x14ac:dyDescent="0.25">
      <c r="B410" s="48"/>
      <c r="C410" s="49"/>
      <c r="D410" s="48"/>
      <c r="E410" s="48"/>
      <c r="F410" s="50"/>
      <c r="G410" s="48"/>
      <c r="H410" s="35"/>
      <c r="I410" s="38"/>
      <c r="AA410">
        <v>89452.408340799171</v>
      </c>
    </row>
    <row r="411" spans="2:27" x14ac:dyDescent="0.25">
      <c r="B411" s="48"/>
      <c r="C411" s="49"/>
      <c r="D411" s="48"/>
      <c r="E411" s="48"/>
      <c r="F411" s="50"/>
      <c r="G411" s="48"/>
      <c r="H411" s="35"/>
      <c r="I411" s="38"/>
      <c r="AA411">
        <v>89578.46218533584</v>
      </c>
    </row>
    <row r="412" spans="2:27" x14ac:dyDescent="0.25">
      <c r="B412" s="48"/>
      <c r="C412" s="49"/>
      <c r="D412" s="48"/>
      <c r="E412" s="48"/>
      <c r="F412" s="50"/>
      <c r="G412" s="48"/>
      <c r="H412" s="35"/>
      <c r="I412" s="51"/>
      <c r="AA412">
        <v>89704.201681132981</v>
      </c>
    </row>
    <row r="413" spans="2:27" x14ac:dyDescent="0.25">
      <c r="B413" s="48"/>
      <c r="C413" s="49"/>
      <c r="D413" s="48"/>
      <c r="E413" s="48"/>
      <c r="F413" s="50"/>
      <c r="G413" s="48"/>
      <c r="H413" s="35"/>
      <c r="I413" s="38"/>
      <c r="AA413">
        <v>89829.627612102733</v>
      </c>
    </row>
    <row r="414" spans="2:27" x14ac:dyDescent="0.25">
      <c r="B414" s="48"/>
      <c r="C414" s="49"/>
      <c r="D414" s="48"/>
      <c r="E414" s="48"/>
      <c r="F414" s="50"/>
      <c r="G414" s="48"/>
      <c r="H414" s="35"/>
      <c r="I414" s="38"/>
      <c r="AA414">
        <v>89954.740760202243</v>
      </c>
    </row>
    <row r="415" spans="2:27" x14ac:dyDescent="0.25">
      <c r="B415" s="48"/>
      <c r="C415" s="49"/>
      <c r="D415" s="48"/>
      <c r="E415" s="48"/>
      <c r="F415" s="50"/>
      <c r="G415" s="48"/>
      <c r="H415" s="35"/>
      <c r="I415" s="51"/>
      <c r="AA415">
        <v>90079.541905438644</v>
      </c>
    </row>
    <row r="416" spans="2:27" x14ac:dyDescent="0.25">
      <c r="B416" s="48"/>
      <c r="C416" s="49"/>
      <c r="D416" s="48"/>
      <c r="E416" s="48"/>
      <c r="F416" s="50"/>
      <c r="G416" s="48"/>
      <c r="H416" s="35"/>
      <c r="I416" s="38"/>
      <c r="AA416">
        <v>90204.031825873943</v>
      </c>
    </row>
    <row r="417" spans="2:27" x14ac:dyDescent="0.25">
      <c r="B417" s="48"/>
      <c r="C417" s="49"/>
      <c r="D417" s="48"/>
      <c r="E417" s="48"/>
      <c r="F417" s="50"/>
      <c r="G417" s="48"/>
      <c r="H417" s="35"/>
      <c r="I417" s="38"/>
      <c r="AA417">
        <v>90328.211297629881</v>
      </c>
    </row>
    <row r="418" spans="2:27" x14ac:dyDescent="0.25">
      <c r="B418" s="48"/>
      <c r="C418" s="49"/>
      <c r="D418" s="48"/>
      <c r="E418" s="48"/>
      <c r="F418" s="50"/>
      <c r="G418" s="48"/>
      <c r="H418" s="35"/>
      <c r="I418" s="51"/>
      <c r="J418" s="40"/>
      <c r="AA418">
        <v>90452.081094892637</v>
      </c>
    </row>
    <row r="419" spans="2:27" x14ac:dyDescent="0.25">
      <c r="B419" s="48"/>
      <c r="C419" s="49"/>
      <c r="D419" s="48"/>
      <c r="E419" s="48"/>
      <c r="F419" s="50"/>
      <c r="G419" s="48"/>
      <c r="H419" s="48"/>
      <c r="I419" s="51"/>
      <c r="J419" s="40"/>
      <c r="AA419">
        <v>90575.641989917829</v>
      </c>
    </row>
    <row r="420" spans="2:27" x14ac:dyDescent="0.25">
      <c r="B420" s="48"/>
      <c r="C420" s="49"/>
      <c r="D420" s="48"/>
      <c r="E420" s="48"/>
      <c r="F420" s="50"/>
      <c r="G420" s="48"/>
      <c r="H420" s="48"/>
      <c r="I420" s="51"/>
      <c r="AA420">
        <v>90698.894753035245</v>
      </c>
    </row>
    <row r="421" spans="2:27" x14ac:dyDescent="0.25">
      <c r="B421" s="48"/>
      <c r="C421" s="49"/>
      <c r="D421" s="48"/>
      <c r="E421" s="48"/>
      <c r="F421" s="50"/>
      <c r="G421" s="48"/>
      <c r="H421" s="48"/>
      <c r="I421" s="51"/>
      <c r="AA421">
        <v>90821.840152653604</v>
      </c>
    </row>
    <row r="422" spans="2:27" x14ac:dyDescent="0.25">
      <c r="B422" s="48"/>
      <c r="C422" s="49"/>
      <c r="D422" s="48"/>
      <c r="E422" s="48"/>
      <c r="F422" s="50"/>
      <c r="G422" s="48"/>
      <c r="H422" s="48"/>
      <c r="I422" s="51"/>
      <c r="AA422">
        <v>90944.47895526544</v>
      </c>
    </row>
    <row r="423" spans="2:27" x14ac:dyDescent="0.25">
      <c r="B423" s="48"/>
      <c r="C423" s="49"/>
      <c r="D423" s="48"/>
      <c r="E423" s="48"/>
      <c r="F423" s="50"/>
      <c r="G423" s="48"/>
      <c r="H423" s="48"/>
      <c r="I423" s="51"/>
      <c r="AA423">
        <v>91066.81192545181</v>
      </c>
    </row>
    <row r="424" spans="2:27" x14ac:dyDescent="0.25">
      <c r="B424" s="48"/>
      <c r="C424" s="49"/>
      <c r="D424" s="48"/>
      <c r="E424" s="48"/>
      <c r="F424" s="50"/>
      <c r="G424" s="48"/>
      <c r="H424" s="48"/>
      <c r="I424" s="51"/>
      <c r="AA424">
        <v>91188.839825887102</v>
      </c>
    </row>
    <row r="425" spans="2:27" x14ac:dyDescent="0.25">
      <c r="B425" s="48"/>
      <c r="C425" s="49"/>
      <c r="D425" s="48"/>
      <c r="E425" s="48"/>
      <c r="F425" s="50"/>
      <c r="G425" s="48"/>
      <c r="H425" s="48"/>
      <c r="I425" s="51"/>
      <c r="AA425">
        <v>91310.563417343728</v>
      </c>
    </row>
    <row r="426" spans="2:27" x14ac:dyDescent="0.25">
      <c r="B426" s="48"/>
      <c r="C426" s="49"/>
      <c r="D426" s="48"/>
      <c r="E426" s="48"/>
      <c r="F426" s="50"/>
      <c r="G426" s="48"/>
      <c r="H426" s="48"/>
      <c r="I426" s="51"/>
      <c r="AA426">
        <v>91431.983458696981</v>
      </c>
    </row>
    <row r="427" spans="2:27" x14ac:dyDescent="0.25">
      <c r="B427" s="48"/>
      <c r="C427" s="49"/>
      <c r="D427" s="48"/>
      <c r="E427" s="48"/>
      <c r="F427" s="50"/>
      <c r="G427" s="48"/>
      <c r="H427" s="48"/>
      <c r="I427" s="51"/>
      <c r="AA427">
        <v>91553.100706929661</v>
      </c>
    </row>
    <row r="428" spans="2:27" x14ac:dyDescent="0.25">
      <c r="B428" s="48"/>
      <c r="C428" s="49"/>
      <c r="D428" s="48"/>
      <c r="E428" s="48"/>
      <c r="F428" s="50"/>
      <c r="G428" s="48"/>
      <c r="H428" s="48"/>
      <c r="I428" s="51"/>
      <c r="AA428">
        <v>91673.915917136808</v>
      </c>
    </row>
    <row r="429" spans="2:27" x14ac:dyDescent="0.25">
      <c r="B429" s="48"/>
      <c r="C429" s="49"/>
      <c r="D429" s="48"/>
      <c r="E429" s="48"/>
      <c r="F429" s="50"/>
      <c r="G429" s="48"/>
      <c r="H429" s="48"/>
      <c r="I429" s="51"/>
      <c r="AA429">
        <v>91794.429842530473</v>
      </c>
    </row>
    <row r="430" spans="2:27" x14ac:dyDescent="0.25">
      <c r="B430" s="48"/>
      <c r="C430" s="49"/>
      <c r="D430" s="48"/>
      <c r="E430" s="48"/>
      <c r="F430" s="50"/>
      <c r="G430" s="48"/>
      <c r="H430" s="48"/>
      <c r="I430" s="51"/>
      <c r="AA430">
        <v>91914.64323444436</v>
      </c>
    </row>
    <row r="431" spans="2:27" x14ac:dyDescent="0.25">
      <c r="B431" s="48"/>
      <c r="C431" s="49"/>
      <c r="D431" s="48"/>
      <c r="E431" s="48"/>
      <c r="F431" s="50"/>
      <c r="G431" s="48"/>
      <c r="H431" s="48"/>
      <c r="I431" s="51"/>
      <c r="AA431">
        <v>92034.556842338512</v>
      </c>
    </row>
    <row r="432" spans="2:27" x14ac:dyDescent="0.25">
      <c r="B432" s="48"/>
      <c r="C432" s="49"/>
      <c r="D432" s="48"/>
      <c r="E432" s="48"/>
      <c r="F432" s="50"/>
      <c r="G432" s="48"/>
      <c r="H432" s="48"/>
      <c r="I432" s="51"/>
      <c r="AA432">
        <v>92154.171413804012</v>
      </c>
    </row>
    <row r="433" spans="2:27" x14ac:dyDescent="0.25">
      <c r="B433" s="48"/>
      <c r="C433" s="49"/>
      <c r="D433" s="48"/>
      <c r="E433" s="48"/>
      <c r="F433" s="50"/>
      <c r="G433" s="48"/>
      <c r="H433" s="48"/>
      <c r="I433" s="51"/>
      <c r="AA433">
        <v>92273.487694567593</v>
      </c>
    </row>
    <row r="434" spans="2:27" x14ac:dyDescent="0.25">
      <c r="B434" s="48"/>
      <c r="C434" s="49"/>
      <c r="D434" s="48"/>
      <c r="E434" s="48"/>
      <c r="F434" s="50"/>
      <c r="G434" s="48"/>
      <c r="H434" s="48"/>
      <c r="I434" s="51"/>
      <c r="AA434">
        <v>92392.506428496345</v>
      </c>
    </row>
    <row r="435" spans="2:27" x14ac:dyDescent="0.25">
      <c r="B435" s="48"/>
      <c r="C435" s="49"/>
      <c r="D435" s="48"/>
      <c r="E435" s="48"/>
      <c r="F435" s="50"/>
      <c r="G435" s="48"/>
      <c r="H435" s="48"/>
      <c r="I435" s="51"/>
      <c r="AA435">
        <v>92511.228357602333</v>
      </c>
    </row>
    <row r="436" spans="2:27" x14ac:dyDescent="0.25">
      <c r="B436" s="48"/>
      <c r="C436" s="49"/>
      <c r="D436" s="48"/>
      <c r="E436" s="48"/>
      <c r="F436" s="50"/>
      <c r="G436" s="48"/>
      <c r="H436" s="48"/>
      <c r="I436" s="51"/>
      <c r="AA436">
        <v>92629.654222047218</v>
      </c>
    </row>
    <row r="437" spans="2:27" x14ac:dyDescent="0.25">
      <c r="B437" s="48"/>
      <c r="C437" s="49"/>
      <c r="D437" s="48"/>
      <c r="E437" s="48"/>
      <c r="F437" s="50"/>
      <c r="G437" s="48"/>
      <c r="H437" s="48"/>
      <c r="I437" s="51"/>
      <c r="AA437">
        <v>92747.784760146838</v>
      </c>
    </row>
    <row r="438" spans="2:27" x14ac:dyDescent="0.25">
      <c r="B438" s="48"/>
      <c r="C438" s="49"/>
      <c r="D438" s="48"/>
      <c r="E438" s="48"/>
      <c r="F438" s="50"/>
      <c r="G438" s="48"/>
      <c r="H438" s="48"/>
      <c r="I438" s="51"/>
      <c r="AA438">
        <v>92865.620708375893</v>
      </c>
    </row>
    <row r="439" spans="2:27" x14ac:dyDescent="0.25">
      <c r="B439" s="48"/>
      <c r="C439" s="49"/>
      <c r="D439" s="48"/>
      <c r="E439" s="48"/>
      <c r="F439" s="50"/>
      <c r="G439" s="48"/>
      <c r="H439" s="48"/>
      <c r="I439" s="51"/>
      <c r="AA439">
        <v>92983.162801372469</v>
      </c>
    </row>
    <row r="440" spans="2:27" x14ac:dyDescent="0.25">
      <c r="B440" s="48"/>
      <c r="C440" s="49"/>
      <c r="D440" s="48"/>
      <c r="E440" s="48"/>
      <c r="F440" s="50"/>
      <c r="G440" s="48"/>
      <c r="H440" s="48"/>
      <c r="I440" s="51"/>
      <c r="AA440">
        <v>93100.411771942599</v>
      </c>
    </row>
    <row r="441" spans="2:27" x14ac:dyDescent="0.25">
      <c r="B441" s="48"/>
      <c r="C441" s="49"/>
      <c r="D441" s="48"/>
      <c r="E441" s="48"/>
      <c r="F441" s="50"/>
      <c r="G441" s="48"/>
      <c r="H441" s="48"/>
      <c r="I441" s="51"/>
      <c r="AA441">
        <v>93217.368351064943</v>
      </c>
    </row>
    <row r="442" spans="2:27" x14ac:dyDescent="0.25">
      <c r="B442" s="48"/>
      <c r="C442" s="49"/>
      <c r="D442" s="48"/>
      <c r="E442" s="48"/>
      <c r="F442" s="50"/>
      <c r="G442" s="48"/>
      <c r="H442" s="48"/>
      <c r="I442" s="51"/>
      <c r="AA442">
        <v>93334.033267895196</v>
      </c>
    </row>
    <row r="443" spans="2:27" x14ac:dyDescent="0.25">
      <c r="B443" s="48"/>
      <c r="C443" s="49"/>
      <c r="D443" s="48"/>
      <c r="E443" s="48"/>
      <c r="F443" s="50"/>
      <c r="G443" s="48"/>
      <c r="H443" s="48"/>
      <c r="I443" s="51"/>
      <c r="AA443">
        <v>93450.407249770768</v>
      </c>
    </row>
    <row r="444" spans="2:27" x14ac:dyDescent="0.25">
      <c r="B444" s="48"/>
      <c r="C444" s="49"/>
      <c r="D444" s="48"/>
      <c r="E444" s="48"/>
      <c r="F444" s="50"/>
      <c r="G444" s="48"/>
      <c r="H444" s="48"/>
      <c r="I444" s="51"/>
      <c r="AA444">
        <v>93566.491022215239</v>
      </c>
    </row>
    <row r="445" spans="2:27" x14ac:dyDescent="0.25">
      <c r="B445" s="48"/>
      <c r="C445" s="49"/>
      <c r="D445" s="48"/>
      <c r="E445" s="48"/>
      <c r="F445" s="50"/>
      <c r="G445" s="48"/>
      <c r="H445" s="48"/>
      <c r="I445" s="51"/>
      <c r="AA445">
        <v>93682.285308942868</v>
      </c>
    </row>
    <row r="446" spans="2:27" x14ac:dyDescent="0.25">
      <c r="B446" s="48"/>
      <c r="C446" s="49"/>
      <c r="D446" s="48"/>
      <c r="E446" s="48"/>
      <c r="F446" s="50"/>
      <c r="G446" s="48"/>
      <c r="H446" s="48"/>
      <c r="I446" s="51"/>
      <c r="AA446">
        <v>93797.790831863225</v>
      </c>
    </row>
    <row r="447" spans="2:27" x14ac:dyDescent="0.25">
      <c r="B447" s="48"/>
      <c r="C447" s="49"/>
      <c r="D447" s="48"/>
      <c r="E447" s="48"/>
      <c r="F447" s="50"/>
      <c r="G447" s="48"/>
      <c r="H447" s="48"/>
      <c r="I447" s="51"/>
      <c r="AA447">
        <v>93913.008311085505</v>
      </c>
    </row>
    <row r="448" spans="2:27" x14ac:dyDescent="0.25">
      <c r="B448" s="48"/>
      <c r="C448" s="49"/>
      <c r="D448" s="48"/>
      <c r="E448" s="48"/>
      <c r="F448" s="50"/>
      <c r="G448" s="48"/>
      <c r="H448" s="48"/>
      <c r="I448" s="51"/>
      <c r="AA448">
        <v>94027.938464923194</v>
      </c>
    </row>
    <row r="449" spans="2:27" x14ac:dyDescent="0.25">
      <c r="B449" s="48"/>
      <c r="C449" s="49"/>
      <c r="D449" s="48"/>
      <c r="E449" s="48"/>
      <c r="F449" s="50"/>
      <c r="G449" s="48"/>
      <c r="H449" s="48"/>
      <c r="I449" s="51"/>
      <c r="AA449">
        <v>94142.582009898426</v>
      </c>
    </row>
    <row r="450" spans="2:27" x14ac:dyDescent="0.25">
      <c r="B450" s="48"/>
      <c r="C450" s="49"/>
      <c r="D450" s="48"/>
      <c r="E450" s="48"/>
      <c r="F450" s="50"/>
      <c r="G450" s="48"/>
      <c r="H450" s="48"/>
      <c r="I450" s="51"/>
      <c r="AA450">
        <v>94256.939660746575</v>
      </c>
    </row>
    <row r="451" spans="2:27" x14ac:dyDescent="0.25">
      <c r="B451" s="48"/>
      <c r="C451" s="49"/>
      <c r="D451" s="48"/>
      <c r="E451" s="48"/>
      <c r="F451" s="50"/>
      <c r="G451" s="48"/>
      <c r="H451" s="48"/>
      <c r="I451" s="51"/>
      <c r="AA451">
        <v>94371.012130420509</v>
      </c>
    </row>
    <row r="452" spans="2:27" x14ac:dyDescent="0.25">
      <c r="B452" s="48"/>
      <c r="C452" s="49"/>
      <c r="D452" s="48"/>
      <c r="E452" s="48"/>
      <c r="F452" s="50"/>
      <c r="G452" s="48"/>
      <c r="H452" s="48"/>
      <c r="I452" s="51"/>
      <c r="AA452">
        <v>94484.80013009526</v>
      </c>
    </row>
    <row r="453" spans="2:27" x14ac:dyDescent="0.25">
      <c r="B453" s="48"/>
      <c r="C453" s="49"/>
      <c r="D453" s="48"/>
      <c r="E453" s="48"/>
      <c r="F453" s="50"/>
      <c r="G453" s="48"/>
      <c r="H453" s="48"/>
      <c r="I453" s="51"/>
      <c r="AA453">
        <v>94598.304369172343</v>
      </c>
    </row>
    <row r="454" spans="2:27" x14ac:dyDescent="0.25">
      <c r="B454" s="48"/>
      <c r="C454" s="49"/>
      <c r="D454" s="48"/>
      <c r="E454" s="48"/>
      <c r="F454" s="50"/>
      <c r="G454" s="48"/>
      <c r="H454" s="48"/>
      <c r="I454" s="51"/>
      <c r="AA454">
        <v>94711.525555284141</v>
      </c>
    </row>
    <row r="455" spans="2:27" x14ac:dyDescent="0.25">
      <c r="B455" s="48"/>
      <c r="C455" s="49"/>
      <c r="D455" s="48"/>
      <c r="E455" s="48"/>
      <c r="F455" s="50"/>
      <c r="G455" s="48"/>
      <c r="H455" s="48"/>
      <c r="I455" s="51"/>
      <c r="AA455">
        <v>94824.464394298382</v>
      </c>
    </row>
    <row r="456" spans="2:27" x14ac:dyDescent="0.25">
      <c r="B456" s="48"/>
      <c r="C456" s="49"/>
      <c r="D456" s="48"/>
      <c r="E456" s="48"/>
      <c r="F456" s="50"/>
      <c r="G456" s="48"/>
      <c r="H456" s="48"/>
      <c r="I456" s="51"/>
      <c r="AA456">
        <v>94937.121590322567</v>
      </c>
    </row>
    <row r="457" spans="2:27" x14ac:dyDescent="0.25">
      <c r="B457" s="48"/>
      <c r="C457" s="49"/>
      <c r="D457" s="48"/>
      <c r="E457" s="48"/>
      <c r="F457" s="50"/>
      <c r="G457" s="48"/>
      <c r="H457" s="48"/>
      <c r="I457" s="51"/>
      <c r="AA457">
        <v>95049.497845708291</v>
      </c>
    </row>
    <row r="458" spans="2:27" x14ac:dyDescent="0.25">
      <c r="B458" s="48"/>
      <c r="C458" s="49"/>
      <c r="D458" s="48"/>
      <c r="E458" s="48"/>
      <c r="F458" s="50"/>
      <c r="G458" s="48"/>
      <c r="H458" s="48"/>
      <c r="I458" s="51"/>
      <c r="AA458">
        <v>95161.593861055662</v>
      </c>
    </row>
    <row r="459" spans="2:27" x14ac:dyDescent="0.25">
      <c r="B459" s="48"/>
      <c r="C459" s="49"/>
      <c r="D459" s="48"/>
      <c r="E459" s="48"/>
      <c r="F459" s="50"/>
      <c r="G459" s="48"/>
      <c r="H459" s="48"/>
      <c r="I459" s="51"/>
      <c r="AA459">
        <v>95273.410335217617</v>
      </c>
    </row>
    <row r="460" spans="2:27" x14ac:dyDescent="0.25">
      <c r="B460" s="48"/>
      <c r="C460" s="49"/>
      <c r="D460" s="48"/>
      <c r="E460" s="48"/>
      <c r="F460" s="50"/>
      <c r="G460" s="48"/>
      <c r="H460" s="48"/>
      <c r="I460" s="51"/>
      <c r="AA460">
        <v>95384.947965304353</v>
      </c>
    </row>
    <row r="461" spans="2:27" x14ac:dyDescent="0.25">
      <c r="B461" s="48"/>
      <c r="C461" s="49"/>
      <c r="D461" s="48"/>
      <c r="E461" s="48"/>
      <c r="F461" s="50"/>
      <c r="G461" s="48"/>
      <c r="H461" s="48"/>
      <c r="I461" s="51"/>
      <c r="AA461">
        <v>95496.207446687622</v>
      </c>
    </row>
    <row r="462" spans="2:27" x14ac:dyDescent="0.25">
      <c r="B462" s="40"/>
      <c r="C462" s="40"/>
      <c r="D462" s="40"/>
      <c r="E462" s="40"/>
      <c r="F462" s="40"/>
      <c r="G462" s="40"/>
      <c r="H462" s="40"/>
      <c r="I462" s="40"/>
      <c r="AA462">
        <v>95607.189473005114</v>
      </c>
    </row>
    <row r="463" spans="2:27" x14ac:dyDescent="0.25">
      <c r="B463" s="40"/>
      <c r="C463" s="40"/>
      <c r="D463" s="40"/>
      <c r="E463" s="40"/>
      <c r="F463" s="40"/>
      <c r="G463" s="40"/>
      <c r="H463" s="40"/>
      <c r="I463" s="40"/>
      <c r="AA463">
        <v>95717.894736164686</v>
      </c>
    </row>
    <row r="464" spans="2:27" x14ac:dyDescent="0.25">
      <c r="B464" s="40"/>
      <c r="C464" s="40"/>
      <c r="D464" s="40"/>
      <c r="E464" s="40"/>
      <c r="F464" s="40"/>
      <c r="G464" s="40"/>
      <c r="H464" s="40"/>
      <c r="I464" s="40"/>
      <c r="AA464">
        <v>95828.323926348821</v>
      </c>
    </row>
    <row r="465" spans="2:27" x14ac:dyDescent="0.25">
      <c r="B465" s="40"/>
      <c r="C465" s="40"/>
      <c r="D465" s="40"/>
      <c r="E465" s="40"/>
      <c r="F465" s="40"/>
      <c r="G465" s="40"/>
      <c r="H465" s="40"/>
      <c r="I465" s="40"/>
      <c r="AA465">
        <v>95938.477732018771</v>
      </c>
    </row>
    <row r="466" spans="2:27" x14ac:dyDescent="0.25">
      <c r="B466" s="40"/>
      <c r="C466" s="40"/>
      <c r="D466" s="40"/>
      <c r="E466" s="40"/>
      <c r="F466" s="40"/>
      <c r="G466" s="40"/>
      <c r="H466" s="40"/>
      <c r="I466" s="40"/>
      <c r="AA466">
        <v>96048.356839918968</v>
      </c>
    </row>
    <row r="467" spans="2:27" x14ac:dyDescent="0.25">
      <c r="B467" s="40"/>
      <c r="C467" s="40"/>
      <c r="D467" s="40"/>
      <c r="E467" s="40"/>
      <c r="F467" s="40"/>
      <c r="G467" s="40"/>
      <c r="H467" s="40"/>
      <c r="I467" s="40"/>
    </row>
    <row r="468" spans="2:27" x14ac:dyDescent="0.25">
      <c r="B468" s="40"/>
      <c r="C468" s="40"/>
      <c r="D468" s="40"/>
      <c r="E468" s="40"/>
      <c r="F468" s="40"/>
      <c r="G468" s="40"/>
      <c r="H468" s="40"/>
      <c r="I468" s="40"/>
    </row>
    <row r="469" spans="2:27" x14ac:dyDescent="0.25">
      <c r="B469" s="40"/>
      <c r="C469" s="40"/>
      <c r="D469" s="40"/>
      <c r="E469" s="40"/>
      <c r="F469" s="40"/>
      <c r="G469" s="40"/>
      <c r="H469" s="40"/>
      <c r="I469" s="40"/>
    </row>
    <row r="470" spans="2:27" x14ac:dyDescent="0.25">
      <c r="B470" s="40"/>
      <c r="C470" s="40"/>
      <c r="D470" s="40"/>
      <c r="E470" s="40"/>
      <c r="F470" s="40"/>
      <c r="G470" s="40"/>
      <c r="H470" s="40"/>
      <c r="I470" s="40"/>
    </row>
    <row r="471" spans="2:27" x14ac:dyDescent="0.25">
      <c r="B471" s="40"/>
      <c r="C471" s="40"/>
      <c r="D471" s="40"/>
      <c r="E471" s="40"/>
      <c r="F471" s="40"/>
      <c r="G471" s="40"/>
      <c r="H471" s="40"/>
      <c r="I471" s="4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471"/>
  <sheetViews>
    <sheetView topLeftCell="Q1" workbookViewId="0">
      <selection activeCell="W1" sqref="W1:AC2"/>
    </sheetView>
  </sheetViews>
  <sheetFormatPr defaultRowHeight="15" x14ac:dyDescent="0.25"/>
  <cols>
    <col min="1" max="1" width="3.7109375" customWidth="1"/>
    <col min="2" max="2" width="14.85546875" customWidth="1"/>
    <col min="4" max="4" width="12.42578125" customWidth="1"/>
    <col min="5" max="5" width="12.5703125" customWidth="1"/>
    <col min="6" max="6" width="13.28515625" bestFit="1" customWidth="1"/>
    <col min="7" max="7" width="10.5703125" customWidth="1"/>
    <col min="8" max="8" width="15.7109375" customWidth="1"/>
    <col min="10" max="10" width="4.7109375" customWidth="1"/>
    <col min="11" max="11" width="11.5703125" bestFit="1" customWidth="1"/>
    <col min="12" max="12" width="13.28515625" bestFit="1" customWidth="1"/>
    <col min="13" max="13" width="10.5703125" bestFit="1" customWidth="1"/>
    <col min="14" max="15" width="11.5703125" bestFit="1" customWidth="1"/>
    <col min="19" max="21" width="10.5703125" bestFit="1" customWidth="1"/>
    <col min="25" max="25" width="14.5703125" bestFit="1" customWidth="1"/>
  </cols>
  <sheetData>
    <row r="1" spans="1:29" x14ac:dyDescent="0.25">
      <c r="A1" s="1"/>
      <c r="W1" s="72" t="s">
        <v>23</v>
      </c>
      <c r="X1" s="73">
        <v>41000</v>
      </c>
      <c r="Y1" s="74" t="s">
        <v>24</v>
      </c>
      <c r="Z1" s="73">
        <v>224</v>
      </c>
      <c r="AA1" s="73">
        <v>18.666666666666668</v>
      </c>
      <c r="AB1" s="74" t="s">
        <v>4</v>
      </c>
      <c r="AC1" s="73">
        <v>3.5000400000000001E-2</v>
      </c>
    </row>
    <row r="2" spans="1:29" ht="15.75" thickBot="1" x14ac:dyDescent="0.3">
      <c r="K2" s="2" t="s">
        <v>0</v>
      </c>
      <c r="L2" s="3" t="s">
        <v>1</v>
      </c>
      <c r="M2" s="3" t="s">
        <v>2</v>
      </c>
      <c r="N2" s="3" t="s">
        <v>3</v>
      </c>
      <c r="O2" s="3" t="s">
        <v>4</v>
      </c>
      <c r="P2" s="3" t="s">
        <v>5</v>
      </c>
      <c r="Q2" s="3" t="s">
        <v>6</v>
      </c>
      <c r="R2" s="3" t="s">
        <v>7</v>
      </c>
      <c r="W2" s="75" t="s">
        <v>2</v>
      </c>
      <c r="X2" s="77">
        <v>250</v>
      </c>
      <c r="Y2" s="76"/>
      <c r="Z2" s="76"/>
      <c r="AA2" s="76"/>
      <c r="AB2" s="76"/>
      <c r="AC2" s="76"/>
    </row>
    <row r="3" spans="1:29" ht="16.5" thickTop="1" thickBot="1" x14ac:dyDescent="0.3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5" t="s">
        <v>14</v>
      </c>
      <c r="I3" s="4" t="s">
        <v>15</v>
      </c>
      <c r="K3" s="6">
        <f>250*(1-(1+0.0029167)^-224)/0.0029167</f>
        <v>41073.845805943303</v>
      </c>
      <c r="L3" s="7">
        <f>0.035/12</f>
        <v>2.9166666666666668E-3</v>
      </c>
      <c r="M3" s="8">
        <v>250</v>
      </c>
      <c r="N3" s="8">
        <f>H229</f>
        <v>56000</v>
      </c>
      <c r="O3" s="9">
        <f>D229</f>
        <v>14857.944747025642</v>
      </c>
      <c r="P3" s="10">
        <f>O3/K3</f>
        <v>0.36173736487260533</v>
      </c>
      <c r="Q3" s="11">
        <v>224</v>
      </c>
      <c r="R3" s="9">
        <f>K3/1600</f>
        <v>25.671153628714563</v>
      </c>
      <c r="S3" s="52">
        <f>60*1600</f>
        <v>96000</v>
      </c>
      <c r="T3" s="12">
        <v>55000</v>
      </c>
      <c r="U3" s="53">
        <f>S3-T3</f>
        <v>41000</v>
      </c>
      <c r="AA3">
        <v>249.27294559958335</v>
      </c>
    </row>
    <row r="4" spans="1:29" ht="16.5" thickTop="1" thickBot="1" x14ac:dyDescent="0.3">
      <c r="B4" s="13"/>
      <c r="C4" s="13"/>
      <c r="D4" s="13"/>
      <c r="E4" s="13"/>
      <c r="F4" s="13"/>
      <c r="G4" s="13"/>
      <c r="H4" s="13"/>
      <c r="K4" s="14">
        <f>3000*(1-(1+0.035)^-19)/0.035</f>
        <v>41129.512252561784</v>
      </c>
      <c r="L4" s="15">
        <v>3.5000000000000003E-2</v>
      </c>
      <c r="M4" s="16">
        <v>3000</v>
      </c>
      <c r="N4" s="17">
        <f>3000*Q4</f>
        <v>57000</v>
      </c>
      <c r="O4" s="17">
        <f>N4-K4</f>
        <v>15870.487747438216</v>
      </c>
      <c r="P4" s="18">
        <f>O4/K4</f>
        <v>0.38586617925306688</v>
      </c>
      <c r="Q4" s="15">
        <v>19</v>
      </c>
      <c r="R4" s="19">
        <f>K4/1600</f>
        <v>25.705945157851115</v>
      </c>
      <c r="AA4">
        <v>497.82095123112884</v>
      </c>
    </row>
    <row r="5" spans="1:29" ht="15.75" thickTop="1" x14ac:dyDescent="0.25">
      <c r="B5" s="20">
        <v>41000</v>
      </c>
      <c r="C5" s="21">
        <v>3.5000000000000003E-2</v>
      </c>
      <c r="D5" s="22">
        <f t="shared" ref="D5:D69" si="0">B5*(0.035/12)</f>
        <v>119.58333333333334</v>
      </c>
      <c r="E5" s="22">
        <f>B5+D5</f>
        <v>41119.583333333336</v>
      </c>
      <c r="F5" s="20">
        <f>H5*12</f>
        <v>3000</v>
      </c>
      <c r="G5" s="22">
        <f>E5-H5</f>
        <v>40869.583333333336</v>
      </c>
      <c r="H5" s="22">
        <v>250</v>
      </c>
      <c r="I5" s="23">
        <v>1</v>
      </c>
      <c r="AA5">
        <v>745.64612517783246</v>
      </c>
    </row>
    <row r="6" spans="1:29" x14ac:dyDescent="0.25">
      <c r="B6" s="22">
        <f>G5</f>
        <v>40869.583333333336</v>
      </c>
      <c r="C6" s="21">
        <v>3.5000000000000003E-2</v>
      </c>
      <c r="D6" s="22">
        <f t="shared" si="0"/>
        <v>119.20295138888891</v>
      </c>
      <c r="E6" s="22">
        <f>B6+D6</f>
        <v>40988.786284722228</v>
      </c>
      <c r="F6" s="20">
        <f t="shared" ref="F6:F69" si="1">H6*12</f>
        <v>3000</v>
      </c>
      <c r="G6" s="22">
        <f t="shared" ref="G6:G69" si="2">E6-H6</f>
        <v>40738.786284722228</v>
      </c>
      <c r="H6" s="22">
        <v>250</v>
      </c>
      <c r="I6" s="23">
        <v>2</v>
      </c>
      <c r="AA6">
        <v>992.75056959151243</v>
      </c>
    </row>
    <row r="7" spans="1:29" x14ac:dyDescent="0.25">
      <c r="B7" s="22">
        <f>G6</f>
        <v>40738.786284722228</v>
      </c>
      <c r="C7" s="21">
        <v>3.5000000000000003E-2</v>
      </c>
      <c r="D7" s="22">
        <f t="shared" si="0"/>
        <v>118.8214599971065</v>
      </c>
      <c r="E7" s="22">
        <f t="shared" ref="E7:E70" si="3">B7+D7</f>
        <v>40857.607744719331</v>
      </c>
      <c r="F7" s="20">
        <f t="shared" si="1"/>
        <v>3000</v>
      </c>
      <c r="G7" s="22">
        <f t="shared" si="2"/>
        <v>40607.607744719331</v>
      </c>
      <c r="H7" s="22">
        <v>250</v>
      </c>
      <c r="I7" s="23">
        <v>3</v>
      </c>
      <c r="AA7">
        <v>1239.1363805104902</v>
      </c>
    </row>
    <row r="8" spans="1:29" x14ac:dyDescent="0.25">
      <c r="B8" s="22">
        <f t="shared" ref="B8:B27" si="4">G7</f>
        <v>40607.607744719331</v>
      </c>
      <c r="C8" s="21">
        <v>3.5000000000000003E-2</v>
      </c>
      <c r="D8" s="22">
        <f t="shared" si="0"/>
        <v>118.43885592209806</v>
      </c>
      <c r="E8" s="22">
        <f t="shared" si="3"/>
        <v>40726.046600641428</v>
      </c>
      <c r="F8" s="20">
        <f t="shared" si="1"/>
        <v>3000</v>
      </c>
      <c r="G8" s="22">
        <f t="shared" si="2"/>
        <v>40476.046600641428</v>
      </c>
      <c r="H8" s="22">
        <v>250</v>
      </c>
      <c r="I8" s="23">
        <v>4</v>
      </c>
      <c r="AA8">
        <v>1484.8056478773378</v>
      </c>
    </row>
    <row r="9" spans="1:29" x14ac:dyDescent="0.25">
      <c r="B9" s="22">
        <f t="shared" si="4"/>
        <v>40476.046600641428</v>
      </c>
      <c r="C9" s="21">
        <v>3.5000000000000003E-2</v>
      </c>
      <c r="D9" s="22">
        <f t="shared" si="0"/>
        <v>118.0551359185375</v>
      </c>
      <c r="E9" s="22">
        <f t="shared" si="3"/>
        <v>40594.101736559969</v>
      </c>
      <c r="F9" s="20">
        <f t="shared" si="1"/>
        <v>3000</v>
      </c>
      <c r="G9" s="22">
        <f t="shared" si="2"/>
        <v>40344.101736559969</v>
      </c>
      <c r="H9" s="22">
        <v>250</v>
      </c>
      <c r="I9" s="23">
        <v>5</v>
      </c>
      <c r="AA9">
        <v>1729.7604555566249</v>
      </c>
    </row>
    <row r="10" spans="1:29" x14ac:dyDescent="0.25">
      <c r="B10" s="22">
        <f t="shared" si="4"/>
        <v>40344.101736559969</v>
      </c>
      <c r="C10" s="21">
        <v>3.5000000000000003E-2</v>
      </c>
      <c r="D10" s="22">
        <f t="shared" si="0"/>
        <v>117.67029673163324</v>
      </c>
      <c r="E10" s="22">
        <f t="shared" si="3"/>
        <v>40461.7720332916</v>
      </c>
      <c r="F10" s="20">
        <f t="shared" si="1"/>
        <v>3000</v>
      </c>
      <c r="G10" s="22">
        <f t="shared" si="2"/>
        <v>40211.7720332916</v>
      </c>
      <c r="H10" s="22">
        <v>250</v>
      </c>
      <c r="I10" s="23">
        <v>6</v>
      </c>
      <c r="AA10">
        <v>1974.0028813525919</v>
      </c>
    </row>
    <row r="11" spans="1:29" x14ac:dyDescent="0.25">
      <c r="B11" s="22">
        <f t="shared" si="4"/>
        <v>40211.7720332916</v>
      </c>
      <c r="C11" s="21">
        <v>3.5000000000000003E-2</v>
      </c>
      <c r="D11" s="22">
        <f t="shared" si="0"/>
        <v>117.28433509710051</v>
      </c>
      <c r="E11" s="22">
        <f t="shared" si="3"/>
        <v>40329.056368388701</v>
      </c>
      <c r="F11" s="20">
        <f t="shared" si="1"/>
        <v>3000</v>
      </c>
      <c r="G11" s="22">
        <f t="shared" si="2"/>
        <v>40079.056368388701</v>
      </c>
      <c r="H11" s="22">
        <v>250</v>
      </c>
      <c r="I11" s="23">
        <v>7</v>
      </c>
      <c r="AA11">
        <v>2217.5349970267712</v>
      </c>
    </row>
    <row r="12" spans="1:29" x14ac:dyDescent="0.25">
      <c r="B12" s="22">
        <f t="shared" si="4"/>
        <v>40079.056368388701</v>
      </c>
      <c r="C12" s="21">
        <v>3.5000000000000003E-2</v>
      </c>
      <c r="D12" s="22">
        <f t="shared" si="0"/>
        <v>116.89724774113371</v>
      </c>
      <c r="E12" s="22">
        <f t="shared" si="3"/>
        <v>40195.953616129838</v>
      </c>
      <c r="F12" s="20">
        <f t="shared" si="1"/>
        <v>3000</v>
      </c>
      <c r="G12" s="22">
        <f t="shared" si="2"/>
        <v>39945.953616129838</v>
      </c>
      <c r="H12" s="22">
        <v>250</v>
      </c>
      <c r="I12" s="23">
        <v>8</v>
      </c>
      <c r="AA12">
        <v>2460.3588683155645</v>
      </c>
    </row>
    <row r="13" spans="1:29" x14ac:dyDescent="0.25">
      <c r="B13" s="22">
        <f t="shared" si="4"/>
        <v>39945.953616129838</v>
      </c>
      <c r="C13" s="21">
        <v>3.5000000000000003E-2</v>
      </c>
      <c r="D13" s="22">
        <f t="shared" si="0"/>
        <v>116.5090313803787</v>
      </c>
      <c r="E13" s="22">
        <f t="shared" si="3"/>
        <v>40062.46264751022</v>
      </c>
      <c r="F13" s="20">
        <f t="shared" si="1"/>
        <v>3000</v>
      </c>
      <c r="G13" s="22">
        <f t="shared" si="2"/>
        <v>39812.46264751022</v>
      </c>
      <c r="H13" s="22">
        <v>250</v>
      </c>
      <c r="I13" s="23">
        <v>9</v>
      </c>
      <c r="AA13">
        <v>2702.4765549477534</v>
      </c>
    </row>
    <row r="14" spans="1:29" x14ac:dyDescent="0.25">
      <c r="B14" s="22">
        <f t="shared" si="4"/>
        <v>39812.46264751022</v>
      </c>
      <c r="C14" s="21">
        <v>3.5000000000000003E-2</v>
      </c>
      <c r="D14" s="22">
        <f t="shared" si="0"/>
        <v>116.11968272190481</v>
      </c>
      <c r="E14" s="22">
        <f t="shared" si="3"/>
        <v>39928.582330232122</v>
      </c>
      <c r="F14" s="20">
        <f t="shared" si="1"/>
        <v>3000</v>
      </c>
      <c r="G14" s="22">
        <f t="shared" si="2"/>
        <v>39678.582330232122</v>
      </c>
      <c r="H14" s="22">
        <v>250</v>
      </c>
      <c r="I14" s="23">
        <v>10</v>
      </c>
      <c r="AA14">
        <v>2943.8901106619992</v>
      </c>
    </row>
    <row r="15" spans="1:29" x14ac:dyDescent="0.25">
      <c r="B15" s="22">
        <f t="shared" si="4"/>
        <v>39678.582330232122</v>
      </c>
      <c r="C15" s="21">
        <v>3.5000000000000003E-2</v>
      </c>
      <c r="D15" s="22">
        <f t="shared" si="0"/>
        <v>115.72919846317703</v>
      </c>
      <c r="E15" s="22">
        <f t="shared" si="3"/>
        <v>39794.311528695296</v>
      </c>
      <c r="F15" s="20">
        <f t="shared" si="1"/>
        <v>3000</v>
      </c>
      <c r="G15" s="22">
        <f t="shared" si="2"/>
        <v>39544.311528695296</v>
      </c>
      <c r="H15" s="22">
        <v>250</v>
      </c>
      <c r="I15" s="23">
        <v>11</v>
      </c>
      <c r="AA15">
        <v>3184.6015832242169</v>
      </c>
    </row>
    <row r="16" spans="1:29" x14ac:dyDescent="0.25">
      <c r="B16" s="22">
        <f t="shared" si="4"/>
        <v>39544.311528695296</v>
      </c>
      <c r="C16" s="21">
        <v>3.5000000000000003E-2</v>
      </c>
      <c r="D16" s="22">
        <f t="shared" si="0"/>
        <v>115.33757529202795</v>
      </c>
      <c r="E16" s="22">
        <f t="shared" si="3"/>
        <v>39659.649103987322</v>
      </c>
      <c r="F16" s="20">
        <f t="shared" si="1"/>
        <v>3000</v>
      </c>
      <c r="G16" s="22">
        <f t="shared" si="2"/>
        <v>39409.649103987322</v>
      </c>
      <c r="H16" s="22">
        <v>250</v>
      </c>
      <c r="I16" s="23">
        <v>12</v>
      </c>
      <c r="AA16">
        <v>3424.6130144449926</v>
      </c>
    </row>
    <row r="17" spans="2:27" x14ac:dyDescent="0.25">
      <c r="B17" s="22">
        <f t="shared" si="4"/>
        <v>39409.649103987322</v>
      </c>
      <c r="C17" s="21">
        <v>3.5000000000000003E-2</v>
      </c>
      <c r="D17" s="22">
        <f t="shared" si="0"/>
        <v>114.9448098866297</v>
      </c>
      <c r="E17" s="22">
        <f t="shared" si="3"/>
        <v>39524.593913873949</v>
      </c>
      <c r="F17" s="20">
        <f t="shared" si="1"/>
        <v>3000</v>
      </c>
      <c r="G17" s="22">
        <f t="shared" si="2"/>
        <v>39274.593913873949</v>
      </c>
      <c r="H17" s="22">
        <v>250</v>
      </c>
      <c r="I17" s="23">
        <v>13</v>
      </c>
      <c r="AA17">
        <v>3663.926440196883</v>
      </c>
    </row>
    <row r="18" spans="2:27" x14ac:dyDescent="0.25">
      <c r="B18" s="22">
        <f t="shared" si="4"/>
        <v>39274.593913873949</v>
      </c>
      <c r="C18" s="21">
        <v>3.5000000000000003E-2</v>
      </c>
      <c r="D18" s="22">
        <f t="shared" si="0"/>
        <v>114.55089891546569</v>
      </c>
      <c r="E18" s="22">
        <f t="shared" si="3"/>
        <v>39389.144812789411</v>
      </c>
      <c r="F18" s="20">
        <f t="shared" si="1"/>
        <v>3000</v>
      </c>
      <c r="G18" s="22">
        <f t="shared" si="2"/>
        <v>39139.144812789411</v>
      </c>
      <c r="H18" s="22">
        <v>250</v>
      </c>
      <c r="I18" s="23">
        <v>14</v>
      </c>
      <c r="AA18">
        <v>3902.5438904316675</v>
      </c>
    </row>
    <row r="19" spans="2:27" x14ac:dyDescent="0.25">
      <c r="B19" s="24">
        <f t="shared" si="4"/>
        <v>39139.144812789411</v>
      </c>
      <c r="C19" s="21">
        <v>3.5000000000000003E-2</v>
      </c>
      <c r="D19" s="22">
        <f t="shared" si="0"/>
        <v>114.15583903730246</v>
      </c>
      <c r="E19" s="24">
        <f t="shared" si="3"/>
        <v>39253.300651826714</v>
      </c>
      <c r="F19" s="20">
        <f t="shared" si="1"/>
        <v>3000</v>
      </c>
      <c r="G19" s="22">
        <f t="shared" si="2"/>
        <v>39003.300651826714</v>
      </c>
      <c r="H19" s="22">
        <v>250</v>
      </c>
      <c r="I19" s="25">
        <v>15</v>
      </c>
      <c r="AA19">
        <v>4140.4673891975999</v>
      </c>
    </row>
    <row r="20" spans="2:27" x14ac:dyDescent="0.25">
      <c r="B20" s="22">
        <f t="shared" si="4"/>
        <v>39003.300651826714</v>
      </c>
      <c r="C20" s="21">
        <v>3.5000000000000003E-2</v>
      </c>
      <c r="D20" s="22">
        <f t="shared" si="0"/>
        <v>113.75962690116125</v>
      </c>
      <c r="E20" s="22">
        <f t="shared" si="3"/>
        <v>39117.060278727877</v>
      </c>
      <c r="F20" s="20">
        <f t="shared" si="1"/>
        <v>3000</v>
      </c>
      <c r="G20" s="22">
        <f t="shared" si="2"/>
        <v>38867.060278727877</v>
      </c>
      <c r="H20" s="22">
        <v>250</v>
      </c>
      <c r="I20" s="23">
        <v>16</v>
      </c>
      <c r="AA20">
        <v>4377.6989546565592</v>
      </c>
    </row>
    <row r="21" spans="2:27" x14ac:dyDescent="0.25">
      <c r="B21" s="22">
        <f t="shared" si="4"/>
        <v>38867.060278727877</v>
      </c>
      <c r="C21" s="21">
        <v>3.5000000000000003E-2</v>
      </c>
      <c r="D21" s="22">
        <f t="shared" si="0"/>
        <v>113.36225914628965</v>
      </c>
      <c r="E21" s="22">
        <f t="shared" si="3"/>
        <v>38980.422537874168</v>
      </c>
      <c r="F21" s="20">
        <f t="shared" si="1"/>
        <v>3000</v>
      </c>
      <c r="G21" s="22">
        <f t="shared" si="2"/>
        <v>38730.422537874168</v>
      </c>
      <c r="H21" s="22">
        <v>250</v>
      </c>
      <c r="I21" s="23">
        <v>17</v>
      </c>
      <c r="AA21">
        <v>4614.2405991011756</v>
      </c>
    </row>
    <row r="22" spans="2:27" x14ac:dyDescent="0.25">
      <c r="B22" s="22">
        <f t="shared" si="4"/>
        <v>38730.422537874168</v>
      </c>
      <c r="C22" s="21">
        <v>3.5000000000000003E-2</v>
      </c>
      <c r="D22" s="22">
        <f t="shared" si="0"/>
        <v>112.96373240213299</v>
      </c>
      <c r="E22" s="22">
        <f t="shared" si="3"/>
        <v>38843.3862702763</v>
      </c>
      <c r="F22" s="20">
        <f t="shared" si="1"/>
        <v>3000</v>
      </c>
      <c r="G22" s="22">
        <f t="shared" si="2"/>
        <v>38593.3862702763</v>
      </c>
      <c r="H22" s="22">
        <v>250</v>
      </c>
      <c r="I22" s="23">
        <v>18</v>
      </c>
      <c r="J22" t="s">
        <v>18</v>
      </c>
      <c r="K22">
        <f>(1+5%)^1</f>
        <v>1.05</v>
      </c>
      <c r="M22" s="26">
        <f>B5*K22-F5</f>
        <v>40050</v>
      </c>
      <c r="O22">
        <f>337/12</f>
        <v>28.083333333333332</v>
      </c>
      <c r="AA22">
        <v>4850.0943289718671</v>
      </c>
    </row>
    <row r="23" spans="2:27" x14ac:dyDescent="0.25">
      <c r="B23" s="22">
        <f t="shared" si="4"/>
        <v>38593.3862702763</v>
      </c>
      <c r="C23" s="21">
        <v>3.5000000000000003E-2</v>
      </c>
      <c r="D23" s="22">
        <f t="shared" si="0"/>
        <v>112.56404328830588</v>
      </c>
      <c r="E23" s="22">
        <f t="shared" si="3"/>
        <v>38705.950313564608</v>
      </c>
      <c r="F23" s="20">
        <f t="shared" si="1"/>
        <v>3000</v>
      </c>
      <c r="G23" s="22">
        <f t="shared" si="2"/>
        <v>38455.950313564608</v>
      </c>
      <c r="H23" s="22">
        <v>250</v>
      </c>
      <c r="I23" s="23">
        <v>19</v>
      </c>
      <c r="K23">
        <f>(1+5%)^2</f>
        <v>1.1025</v>
      </c>
      <c r="M23" s="26">
        <f>B6*K23-F6</f>
        <v>42058.715625000004</v>
      </c>
      <c r="AA23">
        <v>5085.2621448739264</v>
      </c>
    </row>
    <row r="24" spans="2:27" x14ac:dyDescent="0.25">
      <c r="B24" s="22">
        <f t="shared" si="4"/>
        <v>38455.950313564608</v>
      </c>
      <c r="C24" s="21">
        <v>3.5000000000000003E-2</v>
      </c>
      <c r="D24" s="22">
        <f t="shared" si="0"/>
        <v>112.16318841456345</v>
      </c>
      <c r="E24" s="22">
        <f t="shared" si="3"/>
        <v>38568.113501979169</v>
      </c>
      <c r="F24" s="20">
        <f t="shared" si="1"/>
        <v>3000</v>
      </c>
      <c r="G24" s="22">
        <f t="shared" si="2"/>
        <v>38318.113501979169</v>
      </c>
      <c r="H24" s="22">
        <v>250</v>
      </c>
      <c r="I24" s="23">
        <v>20</v>
      </c>
      <c r="K24" s="12">
        <f>4800*((1-(1+0.05)^(-15))/5%)*(1+0.05)-75000</f>
        <v>-22686.523487569808</v>
      </c>
      <c r="M24" s="26">
        <f>SUM(F5:F19)</f>
        <v>45000</v>
      </c>
      <c r="O24" s="26">
        <f>75000-D5</f>
        <v>74880.416666666672</v>
      </c>
      <c r="AA24">
        <v>5319.7460415944188</v>
      </c>
    </row>
    <row r="25" spans="2:27" x14ac:dyDescent="0.25">
      <c r="B25" s="22">
        <f t="shared" si="4"/>
        <v>38318.113501979169</v>
      </c>
      <c r="C25" s="21">
        <v>3.5000000000000003E-2</v>
      </c>
      <c r="D25" s="22">
        <f t="shared" si="0"/>
        <v>111.76116438077258</v>
      </c>
      <c r="E25" s="22">
        <f t="shared" si="3"/>
        <v>38429.874666359945</v>
      </c>
      <c r="F25" s="20">
        <f t="shared" si="1"/>
        <v>3000</v>
      </c>
      <c r="G25" s="22">
        <f t="shared" si="2"/>
        <v>38179.874666359945</v>
      </c>
      <c r="H25" s="22">
        <v>250</v>
      </c>
      <c r="I25" s="23">
        <v>21</v>
      </c>
      <c r="AA25">
        <v>5553.548008119139</v>
      </c>
    </row>
    <row r="26" spans="2:27" x14ac:dyDescent="0.25">
      <c r="B26" s="22">
        <f t="shared" si="4"/>
        <v>38179.874666359945</v>
      </c>
      <c r="C26" s="21">
        <v>3.5000000000000003E-2</v>
      </c>
      <c r="D26" s="22">
        <f t="shared" si="0"/>
        <v>111.35796777688317</v>
      </c>
      <c r="E26" s="22">
        <f t="shared" si="3"/>
        <v>38291.232634136832</v>
      </c>
      <c r="F26" s="20">
        <f t="shared" si="1"/>
        <v>3000</v>
      </c>
      <c r="G26" s="22">
        <f t="shared" si="2"/>
        <v>38041.232634136832</v>
      </c>
      <c r="H26" s="22">
        <v>250</v>
      </c>
      <c r="I26" s="23">
        <v>22</v>
      </c>
      <c r="O26">
        <f>0.05/12</f>
        <v>4.1666666666666666E-3</v>
      </c>
      <c r="AA26">
        <v>5786.6700276495039</v>
      </c>
    </row>
    <row r="27" spans="2:27" x14ac:dyDescent="0.25">
      <c r="B27" s="22">
        <f t="shared" si="4"/>
        <v>38041.232634136832</v>
      </c>
      <c r="C27" s="21">
        <v>3.5000000000000003E-2</v>
      </c>
      <c r="D27" s="22">
        <f t="shared" si="0"/>
        <v>110.95359518289909</v>
      </c>
      <c r="E27" s="22">
        <f t="shared" si="3"/>
        <v>38152.186229319734</v>
      </c>
      <c r="F27" s="20">
        <f t="shared" si="1"/>
        <v>3000</v>
      </c>
      <c r="G27" s="22">
        <f t="shared" si="2"/>
        <v>37902.186229319734</v>
      </c>
      <c r="H27" s="22">
        <v>250</v>
      </c>
      <c r="I27" s="23">
        <v>23</v>
      </c>
      <c r="AA27">
        <v>6019.1140776193224</v>
      </c>
    </row>
    <row r="28" spans="2:27" x14ac:dyDescent="0.25">
      <c r="B28" s="22">
        <f>G27</f>
        <v>37902.186229319734</v>
      </c>
      <c r="C28" s="21">
        <v>3.5000000000000003E-2</v>
      </c>
      <c r="D28" s="22">
        <f t="shared" si="0"/>
        <v>110.54804316884923</v>
      </c>
      <c r="E28" s="22">
        <f t="shared" si="3"/>
        <v>38012.734272488582</v>
      </c>
      <c r="F28" s="20">
        <f t="shared" si="1"/>
        <v>3000</v>
      </c>
      <c r="G28" s="22">
        <f t="shared" si="2"/>
        <v>37762.734272488582</v>
      </c>
      <c r="H28" s="22">
        <v>250</v>
      </c>
      <c r="I28" s="23">
        <v>24</v>
      </c>
      <c r="AA28">
        <v>6250.8821297116028</v>
      </c>
    </row>
    <row r="29" spans="2:27" x14ac:dyDescent="0.25">
      <c r="B29" s="22">
        <f t="shared" ref="B29:B92" si="5">G28</f>
        <v>37762.734272488582</v>
      </c>
      <c r="C29" s="21">
        <v>3.5000000000000003E-2</v>
      </c>
      <c r="D29" s="22">
        <f t="shared" si="0"/>
        <v>110.14130829475837</v>
      </c>
      <c r="E29" s="22">
        <f t="shared" si="3"/>
        <v>37872.875580783344</v>
      </c>
      <c r="F29" s="20">
        <f t="shared" si="1"/>
        <v>3000</v>
      </c>
      <c r="G29" s="22">
        <f t="shared" si="2"/>
        <v>37622.875580783344</v>
      </c>
      <c r="H29" s="22">
        <v>250</v>
      </c>
      <c r="I29" s="23">
        <v>25</v>
      </c>
      <c r="AA29">
        <v>6481.9761498752641</v>
      </c>
    </row>
    <row r="30" spans="2:27" x14ac:dyDescent="0.25">
      <c r="B30" s="22">
        <f t="shared" si="5"/>
        <v>37622.875580783344</v>
      </c>
      <c r="C30" s="21">
        <v>3.5000000000000003E-2</v>
      </c>
      <c r="D30" s="22">
        <f t="shared" si="0"/>
        <v>109.7333871106181</v>
      </c>
      <c r="E30" s="22">
        <f t="shared" si="3"/>
        <v>37732.608967893961</v>
      </c>
      <c r="F30" s="20">
        <f t="shared" si="1"/>
        <v>3000</v>
      </c>
      <c r="G30" s="22">
        <f t="shared" si="2"/>
        <v>37482.608967893961</v>
      </c>
      <c r="H30" s="22">
        <v>250</v>
      </c>
      <c r="I30" s="23">
        <v>26</v>
      </c>
      <c r="AA30">
        <v>6712.3980983418396</v>
      </c>
    </row>
    <row r="31" spans="2:27" x14ac:dyDescent="0.25">
      <c r="B31" s="22">
        <f t="shared" si="5"/>
        <v>37482.608967893961</v>
      </c>
      <c r="C31" s="21">
        <v>3.5000000000000003E-2</v>
      </c>
      <c r="D31" s="22">
        <f t="shared" si="0"/>
        <v>109.32427615635739</v>
      </c>
      <c r="E31" s="22">
        <f t="shared" si="3"/>
        <v>37591.93324405032</v>
      </c>
      <c r="F31" s="20">
        <f t="shared" si="1"/>
        <v>3000</v>
      </c>
      <c r="G31" s="22">
        <f t="shared" si="2"/>
        <v>37341.93324405032</v>
      </c>
      <c r="H31" s="22">
        <v>250</v>
      </c>
      <c r="I31" s="23">
        <v>27</v>
      </c>
      <c r="AA31">
        <v>6942.149929642067</v>
      </c>
    </row>
    <row r="32" spans="2:27" x14ac:dyDescent="0.25">
      <c r="B32" s="27">
        <f t="shared" si="5"/>
        <v>37341.93324405032</v>
      </c>
      <c r="C32" s="28">
        <v>3.5000000000000003E-2</v>
      </c>
      <c r="D32" s="27">
        <f t="shared" si="0"/>
        <v>108.91397196181344</v>
      </c>
      <c r="E32" s="27">
        <f t="shared" si="3"/>
        <v>37450.847216012131</v>
      </c>
      <c r="F32" s="20">
        <f t="shared" si="1"/>
        <v>3000</v>
      </c>
      <c r="G32" s="27">
        <f t="shared" si="2"/>
        <v>37200.847216012131</v>
      </c>
      <c r="H32" s="22">
        <v>250</v>
      </c>
      <c r="I32" s="30">
        <v>28</v>
      </c>
      <c r="AA32">
        <v>7171.2335926224723</v>
      </c>
    </row>
    <row r="33" spans="2:27" x14ac:dyDescent="0.25">
      <c r="B33" s="22">
        <f t="shared" si="5"/>
        <v>37200.847216012131</v>
      </c>
      <c r="C33" s="21">
        <v>3.5000000000000003E-2</v>
      </c>
      <c r="D33" s="22">
        <f t="shared" si="0"/>
        <v>108.50247104670206</v>
      </c>
      <c r="E33" s="22">
        <f t="shared" si="3"/>
        <v>37309.349687058835</v>
      </c>
      <c r="F33" s="20">
        <f t="shared" si="1"/>
        <v>3000</v>
      </c>
      <c r="G33" s="22">
        <f t="shared" si="2"/>
        <v>37059.349687058835</v>
      </c>
      <c r="H33" s="22">
        <v>250</v>
      </c>
      <c r="I33" s="23">
        <v>29</v>
      </c>
      <c r="AA33">
        <v>7399.6510304619251</v>
      </c>
    </row>
    <row r="34" spans="2:27" x14ac:dyDescent="0.25">
      <c r="B34" s="22">
        <f t="shared" si="5"/>
        <v>37059.349687058835</v>
      </c>
      <c r="C34" s="21">
        <v>3.5000000000000003E-2</v>
      </c>
      <c r="D34" s="22">
        <f t="shared" si="0"/>
        <v>108.08976992058827</v>
      </c>
      <c r="E34" s="22">
        <f t="shared" si="3"/>
        <v>37167.439456979424</v>
      </c>
      <c r="F34" s="20">
        <f t="shared" si="1"/>
        <v>3000</v>
      </c>
      <c r="G34" s="22">
        <f t="shared" si="2"/>
        <v>36917.439456979424</v>
      </c>
      <c r="H34" s="22">
        <v>250</v>
      </c>
      <c r="I34" s="23">
        <v>30</v>
      </c>
      <c r="AA34">
        <v>7627.4041806881251</v>
      </c>
    </row>
    <row r="35" spans="2:27" x14ac:dyDescent="0.25">
      <c r="B35" s="22">
        <f t="shared" si="5"/>
        <v>36917.439456979424</v>
      </c>
      <c r="C35" s="21">
        <v>3.5000000000000003E-2</v>
      </c>
      <c r="D35" s="22">
        <f t="shared" si="0"/>
        <v>107.67586508285666</v>
      </c>
      <c r="E35" s="22">
        <f t="shared" si="3"/>
        <v>37025.11532206228</v>
      </c>
      <c r="F35" s="20">
        <f t="shared" si="1"/>
        <v>3000</v>
      </c>
      <c r="G35" s="22">
        <f t="shared" si="2"/>
        <v>36775.11532206228</v>
      </c>
      <c r="H35" s="22">
        <v>250</v>
      </c>
      <c r="I35" s="23">
        <v>31</v>
      </c>
      <c r="AA35">
        <v>7854.4949751939839</v>
      </c>
    </row>
    <row r="36" spans="2:27" x14ac:dyDescent="0.25">
      <c r="B36" s="22">
        <f t="shared" si="5"/>
        <v>36775.11532206228</v>
      </c>
      <c r="C36" s="21">
        <v>3.5000000000000003E-2</v>
      </c>
      <c r="D36" s="22">
        <f t="shared" si="0"/>
        <v>107.26075302268166</v>
      </c>
      <c r="E36" s="22">
        <f t="shared" si="3"/>
        <v>36882.376075084961</v>
      </c>
      <c r="F36" s="20">
        <f t="shared" si="1"/>
        <v>3000</v>
      </c>
      <c r="G36" s="22">
        <f t="shared" si="2"/>
        <v>36632.376075084961</v>
      </c>
      <c r="H36" s="22">
        <v>250</v>
      </c>
      <c r="I36" s="23">
        <v>32</v>
      </c>
      <c r="AA36">
        <v>8080.9253402540771</v>
      </c>
    </row>
    <row r="37" spans="2:27" x14ac:dyDescent="0.25">
      <c r="B37" s="22">
        <f t="shared" si="5"/>
        <v>36632.376075084961</v>
      </c>
      <c r="C37" s="21">
        <v>3.5000000000000003E-2</v>
      </c>
      <c r="D37" s="22">
        <f t="shared" si="0"/>
        <v>106.84443021899781</v>
      </c>
      <c r="E37" s="22">
        <f t="shared" si="3"/>
        <v>36739.220505303958</v>
      </c>
      <c r="F37" s="20">
        <f t="shared" si="1"/>
        <v>3000</v>
      </c>
      <c r="G37" s="22">
        <f t="shared" si="2"/>
        <v>36489.220505303958</v>
      </c>
      <c r="H37" s="22">
        <v>250</v>
      </c>
      <c r="I37" s="23">
        <v>33</v>
      </c>
      <c r="AA37">
        <v>8306.6971965409321</v>
      </c>
    </row>
    <row r="38" spans="2:27" x14ac:dyDescent="0.25">
      <c r="B38" s="22">
        <f t="shared" si="5"/>
        <v>36489.220505303958</v>
      </c>
      <c r="C38" s="21">
        <v>3.5000000000000003E-2</v>
      </c>
      <c r="D38" s="22">
        <f t="shared" si="0"/>
        <v>106.42689314046989</v>
      </c>
      <c r="E38" s="22">
        <f t="shared" si="3"/>
        <v>36595.647398444431</v>
      </c>
      <c r="F38" s="20">
        <f t="shared" si="1"/>
        <v>3000</v>
      </c>
      <c r="G38" s="22">
        <f t="shared" si="2"/>
        <v>36345.647398444431</v>
      </c>
      <c r="H38" s="22">
        <v>250</v>
      </c>
      <c r="I38" s="23">
        <v>34</v>
      </c>
      <c r="AA38">
        <v>8531.8124591413616</v>
      </c>
    </row>
    <row r="39" spans="2:27" x14ac:dyDescent="0.25">
      <c r="B39" s="22">
        <f t="shared" si="5"/>
        <v>36345.647398444431</v>
      </c>
      <c r="C39" s="21">
        <v>3.5000000000000003E-2</v>
      </c>
      <c r="D39" s="22">
        <f t="shared" si="0"/>
        <v>106.00813824546293</v>
      </c>
      <c r="E39" s="22">
        <f t="shared" si="3"/>
        <v>36451.655536689897</v>
      </c>
      <c r="F39" s="20">
        <f t="shared" si="1"/>
        <v>3000</v>
      </c>
      <c r="G39" s="22">
        <f t="shared" si="2"/>
        <v>36201.655536689897</v>
      </c>
      <c r="H39" s="22">
        <v>250</v>
      </c>
      <c r="I39" s="23">
        <v>35</v>
      </c>
      <c r="AA39">
        <v>8756.2730375726824</v>
      </c>
    </row>
    <row r="40" spans="2:27" x14ac:dyDescent="0.25">
      <c r="B40" s="22">
        <f t="shared" si="5"/>
        <v>36201.655536689897</v>
      </c>
      <c r="C40" s="21">
        <v>3.5000000000000003E-2</v>
      </c>
      <c r="D40" s="22">
        <f t="shared" si="0"/>
        <v>105.58816198201221</v>
      </c>
      <c r="E40" s="22">
        <f t="shared" si="3"/>
        <v>36307.243698671911</v>
      </c>
      <c r="F40" s="20">
        <f t="shared" si="1"/>
        <v>3000</v>
      </c>
      <c r="G40" s="22">
        <f t="shared" si="2"/>
        <v>36057.243698671911</v>
      </c>
      <c r="H40" s="22">
        <v>250</v>
      </c>
      <c r="I40" s="23">
        <v>36</v>
      </c>
      <c r="AA40">
        <v>8980.0808357989099</v>
      </c>
    </row>
    <row r="41" spans="2:27" x14ac:dyDescent="0.25">
      <c r="B41" s="22">
        <f t="shared" si="5"/>
        <v>36057.243698671911</v>
      </c>
      <c r="C41" s="21">
        <v>3.5000000000000003E-2</v>
      </c>
      <c r="D41" s="22">
        <f t="shared" si="0"/>
        <v>105.16696078779307</v>
      </c>
      <c r="E41" s="22">
        <f t="shared" si="3"/>
        <v>36162.410659459703</v>
      </c>
      <c r="F41" s="20">
        <f t="shared" si="1"/>
        <v>3000</v>
      </c>
      <c r="G41" s="22">
        <f t="shared" si="2"/>
        <v>35912.410659459703</v>
      </c>
      <c r="H41" s="22">
        <v>250</v>
      </c>
      <c r="I41" s="23">
        <v>37</v>
      </c>
      <c r="AA41">
        <v>9203.2377522469396</v>
      </c>
    </row>
    <row r="42" spans="2:27" x14ac:dyDescent="0.25">
      <c r="B42" s="22">
        <f t="shared" si="5"/>
        <v>35912.410659459703</v>
      </c>
      <c r="C42" s="21">
        <v>3.5000000000000003E-2</v>
      </c>
      <c r="D42" s="22">
        <f t="shared" si="0"/>
        <v>104.7445310900908</v>
      </c>
      <c r="E42" s="22">
        <f t="shared" si="3"/>
        <v>36017.155190549791</v>
      </c>
      <c r="F42" s="20">
        <f t="shared" si="1"/>
        <v>3000</v>
      </c>
      <c r="G42" s="22">
        <f t="shared" si="2"/>
        <v>35767.155190549791</v>
      </c>
      <c r="H42" s="22">
        <v>250</v>
      </c>
      <c r="I42" s="23">
        <v>38</v>
      </c>
      <c r="AA42">
        <v>9425.7456798226176</v>
      </c>
    </row>
    <row r="43" spans="2:27" x14ac:dyDescent="0.25">
      <c r="B43" s="22">
        <f t="shared" si="5"/>
        <v>35767.155190549791</v>
      </c>
      <c r="C43" s="21">
        <v>3.5000000000000003E-2</v>
      </c>
      <c r="D43" s="22">
        <f t="shared" si="0"/>
        <v>104.32086930577023</v>
      </c>
      <c r="E43" s="22">
        <f t="shared" si="3"/>
        <v>35871.476059855559</v>
      </c>
      <c r="F43" s="20">
        <f t="shared" si="1"/>
        <v>3000</v>
      </c>
      <c r="G43" s="22">
        <f t="shared" si="2"/>
        <v>35621.476059855559</v>
      </c>
      <c r="H43" s="22">
        <v>250</v>
      </c>
      <c r="I43" s="23">
        <v>39</v>
      </c>
      <c r="AA43">
        <v>9647.6065059267821</v>
      </c>
    </row>
    <row r="44" spans="2:27" x14ac:dyDescent="0.25">
      <c r="B44" s="22">
        <f t="shared" si="5"/>
        <v>35621.476059855559</v>
      </c>
      <c r="C44" s="21">
        <v>3.5000000000000003E-2</v>
      </c>
      <c r="D44" s="22">
        <f t="shared" si="0"/>
        <v>103.89597184124538</v>
      </c>
      <c r="E44" s="22">
        <f t="shared" si="3"/>
        <v>35725.372031696803</v>
      </c>
      <c r="F44" s="20">
        <f t="shared" si="1"/>
        <v>3000</v>
      </c>
      <c r="G44" s="22">
        <f t="shared" si="2"/>
        <v>35475.372031696803</v>
      </c>
      <c r="H44" s="22">
        <v>250</v>
      </c>
      <c r="I44" s="23">
        <v>40</v>
      </c>
      <c r="AA44">
        <v>9868.8221124713455</v>
      </c>
    </row>
    <row r="45" spans="2:27" x14ac:dyDescent="0.25">
      <c r="B45" s="22">
        <f t="shared" si="5"/>
        <v>35475.372031696803</v>
      </c>
      <c r="C45" s="21">
        <v>3.5000000000000003E-2</v>
      </c>
      <c r="D45" s="22">
        <f t="shared" si="0"/>
        <v>103.46983509244902</v>
      </c>
      <c r="E45" s="22">
        <f t="shared" si="3"/>
        <v>35578.841866789255</v>
      </c>
      <c r="F45" s="20">
        <f t="shared" si="1"/>
        <v>3000</v>
      </c>
      <c r="G45" s="22">
        <f t="shared" si="2"/>
        <v>35328.841866789255</v>
      </c>
      <c r="H45" s="22">
        <v>250</v>
      </c>
      <c r="I45" s="23">
        <v>41</v>
      </c>
      <c r="AA45">
        <v>10089.394375895183</v>
      </c>
    </row>
    <row r="46" spans="2:27" x14ac:dyDescent="0.25">
      <c r="B46" s="22">
        <f t="shared" si="5"/>
        <v>35328.841866789255</v>
      </c>
      <c r="C46" s="21">
        <v>3.5000000000000003E-2</v>
      </c>
      <c r="D46" s="22">
        <f t="shared" si="0"/>
        <v>103.042455444802</v>
      </c>
      <c r="E46" s="22">
        <f t="shared" si="3"/>
        <v>35431.884322234058</v>
      </c>
      <c r="F46" s="20">
        <f t="shared" si="1"/>
        <v>3000</v>
      </c>
      <c r="G46" s="22">
        <f t="shared" si="2"/>
        <v>35181.884322234058</v>
      </c>
      <c r="H46" s="22">
        <v>250</v>
      </c>
      <c r="I46" s="23">
        <v>42</v>
      </c>
      <c r="AA46">
        <v>10309.325167180074</v>
      </c>
    </row>
    <row r="47" spans="2:27" x14ac:dyDescent="0.25">
      <c r="B47" s="22">
        <f t="shared" si="5"/>
        <v>35181.884322234058</v>
      </c>
      <c r="C47" s="21">
        <v>3.5000000000000003E-2</v>
      </c>
      <c r="D47" s="22">
        <f t="shared" si="0"/>
        <v>102.61382927318267</v>
      </c>
      <c r="E47" s="22">
        <f t="shared" si="3"/>
        <v>35284.498151507243</v>
      </c>
      <c r="F47" s="20">
        <f t="shared" si="1"/>
        <v>3000</v>
      </c>
      <c r="G47" s="22">
        <f t="shared" si="2"/>
        <v>35034.498151507243</v>
      </c>
      <c r="H47" s="22">
        <v>250</v>
      </c>
      <c r="I47" s="23">
        <v>43</v>
      </c>
      <c r="AA47">
        <v>10528.616351866593</v>
      </c>
    </row>
    <row r="48" spans="2:27" x14ac:dyDescent="0.25">
      <c r="B48" s="22">
        <f t="shared" si="5"/>
        <v>35034.498151507243</v>
      </c>
      <c r="C48" s="21">
        <v>3.5000000000000003E-2</v>
      </c>
      <c r="D48" s="22">
        <f t="shared" si="0"/>
        <v>102.18395294189614</v>
      </c>
      <c r="E48" s="22">
        <f t="shared" si="3"/>
        <v>35136.682104449137</v>
      </c>
      <c r="F48" s="20">
        <f t="shared" si="1"/>
        <v>3000</v>
      </c>
      <c r="G48" s="22">
        <f t="shared" si="2"/>
        <v>34886.682104449137</v>
      </c>
      <c r="H48" s="22">
        <v>250</v>
      </c>
      <c r="I48" s="23">
        <v>44</v>
      </c>
      <c r="AA48">
        <v>10747.269790069906</v>
      </c>
    </row>
    <row r="49" spans="2:27" x14ac:dyDescent="0.25">
      <c r="B49" s="22">
        <f t="shared" si="5"/>
        <v>34886.682104449137</v>
      </c>
      <c r="C49" s="21">
        <v>3.5000000000000003E-2</v>
      </c>
      <c r="D49" s="22">
        <f t="shared" si="0"/>
        <v>101.75282280464332</v>
      </c>
      <c r="E49" s="22">
        <f t="shared" si="3"/>
        <v>34988.43492725378</v>
      </c>
      <c r="F49" s="20">
        <f t="shared" si="1"/>
        <v>3000</v>
      </c>
      <c r="G49" s="22">
        <f t="shared" si="2"/>
        <v>34738.43492725378</v>
      </c>
      <c r="H49" s="22">
        <v>250</v>
      </c>
      <c r="I49" s="23">
        <v>45</v>
      </c>
      <c r="AA49">
        <v>10965.287336495554</v>
      </c>
    </row>
    <row r="50" spans="2:27" x14ac:dyDescent="0.25">
      <c r="B50" s="22">
        <f t="shared" si="5"/>
        <v>34738.43492725378</v>
      </c>
      <c r="C50" s="21">
        <v>3.5000000000000003E-2</v>
      </c>
      <c r="D50" s="22">
        <f t="shared" si="0"/>
        <v>101.3204352044902</v>
      </c>
      <c r="E50" s="22">
        <f t="shared" si="3"/>
        <v>34839.755362458272</v>
      </c>
      <c r="F50" s="20">
        <f t="shared" si="1"/>
        <v>3000</v>
      </c>
      <c r="G50" s="22">
        <f t="shared" si="2"/>
        <v>34589.755362458272</v>
      </c>
      <c r="H50" s="22">
        <v>250</v>
      </c>
      <c r="I50" s="23">
        <v>46</v>
      </c>
      <c r="AA50">
        <v>11182.670840455212</v>
      </c>
    </row>
    <row r="51" spans="2:27" x14ac:dyDescent="0.25">
      <c r="B51" s="22">
        <f t="shared" si="5"/>
        <v>34589.755362458272</v>
      </c>
      <c r="C51" s="21">
        <v>3.5000000000000003E-2</v>
      </c>
      <c r="D51" s="22">
        <f t="shared" si="0"/>
        <v>100.88678647383664</v>
      </c>
      <c r="E51" s="22">
        <f t="shared" si="3"/>
        <v>34690.642148932107</v>
      </c>
      <c r="F51" s="20">
        <f t="shared" si="1"/>
        <v>3000</v>
      </c>
      <c r="G51" s="22">
        <f t="shared" si="2"/>
        <v>34440.642148932107</v>
      </c>
      <c r="H51" s="22">
        <v>250</v>
      </c>
      <c r="I51" s="23">
        <v>47</v>
      </c>
      <c r="AA51">
        <v>11399.422145882325</v>
      </c>
    </row>
    <row r="52" spans="2:27" x14ac:dyDescent="0.25">
      <c r="B52" s="22">
        <f t="shared" si="5"/>
        <v>34440.642148932107</v>
      </c>
      <c r="C52" s="21">
        <v>3.5000000000000003E-2</v>
      </c>
      <c r="D52" s="22">
        <f t="shared" si="0"/>
        <v>100.45187293438532</v>
      </c>
      <c r="E52" s="22">
        <f t="shared" si="3"/>
        <v>34541.094021866491</v>
      </c>
      <c r="F52" s="20">
        <f t="shared" si="1"/>
        <v>3000</v>
      </c>
      <c r="G52" s="22">
        <f t="shared" si="2"/>
        <v>34291.094021866491</v>
      </c>
      <c r="H52" s="22">
        <v>250</v>
      </c>
      <c r="I52" s="23">
        <v>48</v>
      </c>
      <c r="AA52">
        <v>11615.543091347792</v>
      </c>
    </row>
    <row r="53" spans="2:27" x14ac:dyDescent="0.25">
      <c r="B53" s="22">
        <f t="shared" si="5"/>
        <v>34291.094021866491</v>
      </c>
      <c r="C53" s="21">
        <v>3.5000000000000003E-2</v>
      </c>
      <c r="D53" s="22">
        <f t="shared" si="0"/>
        <v>100.0156908971106</v>
      </c>
      <c r="E53" s="22">
        <f t="shared" si="3"/>
        <v>34391.109712763602</v>
      </c>
      <c r="F53" s="20">
        <f t="shared" si="1"/>
        <v>3000</v>
      </c>
      <c r="G53" s="22">
        <f t="shared" si="2"/>
        <v>34141.109712763602</v>
      </c>
      <c r="H53" s="22">
        <v>250</v>
      </c>
      <c r="I53" s="23">
        <v>49</v>
      </c>
      <c r="AA53">
        <v>11831.035510075568</v>
      </c>
    </row>
    <row r="54" spans="2:27" x14ac:dyDescent="0.25">
      <c r="B54" s="22">
        <f t="shared" si="5"/>
        <v>34141.109712763602</v>
      </c>
      <c r="C54" s="21">
        <v>3.5000000000000003E-2</v>
      </c>
      <c r="D54" s="22">
        <f t="shared" si="0"/>
        <v>99.578236662227184</v>
      </c>
      <c r="E54" s="22">
        <f t="shared" si="3"/>
        <v>34240.687949425832</v>
      </c>
      <c r="F54" s="20">
        <f t="shared" si="1"/>
        <v>3000</v>
      </c>
      <c r="G54" s="22">
        <f t="shared" si="2"/>
        <v>33990.687949425832</v>
      </c>
      <c r="H54" s="22">
        <v>250</v>
      </c>
      <c r="I54" s="23">
        <v>50</v>
      </c>
      <c r="AA54">
        <v>12045.901229958155</v>
      </c>
    </row>
    <row r="55" spans="2:27" x14ac:dyDescent="0.25">
      <c r="B55" s="22">
        <f t="shared" si="5"/>
        <v>33990.687949425832</v>
      </c>
      <c r="C55" s="21">
        <v>3.5000000000000003E-2</v>
      </c>
      <c r="D55" s="22">
        <f t="shared" si="0"/>
        <v>99.139506519158687</v>
      </c>
      <c r="E55" s="22">
        <f t="shared" si="3"/>
        <v>34089.827455944993</v>
      </c>
      <c r="F55" s="20">
        <f t="shared" si="1"/>
        <v>3000</v>
      </c>
      <c r="G55" s="22">
        <f t="shared" si="2"/>
        <v>33839.827455944993</v>
      </c>
      <c r="H55" s="22">
        <v>250</v>
      </c>
      <c r="I55" s="23">
        <v>51</v>
      </c>
      <c r="AA55">
        <v>12260.142073572171</v>
      </c>
    </row>
    <row r="56" spans="2:27" x14ac:dyDescent="0.25">
      <c r="B56" s="22">
        <f t="shared" si="5"/>
        <v>33839.827455944993</v>
      </c>
      <c r="C56" s="21">
        <v>3.5000000000000003E-2</v>
      </c>
      <c r="D56" s="22">
        <f t="shared" si="0"/>
        <v>98.699496746506227</v>
      </c>
      <c r="E56" s="22">
        <f t="shared" si="3"/>
        <v>33938.5269526915</v>
      </c>
      <c r="F56" s="20">
        <f t="shared" si="1"/>
        <v>3000</v>
      </c>
      <c r="G56" s="22">
        <f t="shared" si="2"/>
        <v>33688.5269526915</v>
      </c>
      <c r="H56" s="22">
        <v>250</v>
      </c>
      <c r="I56" s="23">
        <v>52</v>
      </c>
      <c r="AA56">
        <v>12473.759858193784</v>
      </c>
    </row>
    <row r="57" spans="2:27" x14ac:dyDescent="0.25">
      <c r="B57" s="22">
        <f t="shared" si="5"/>
        <v>33688.5269526915</v>
      </c>
      <c r="C57" s="21">
        <v>3.5000000000000003E-2</v>
      </c>
      <c r="D57" s="22">
        <f t="shared" si="0"/>
        <v>98.258203612016885</v>
      </c>
      <c r="E57" s="22">
        <f t="shared" si="3"/>
        <v>33786.785156303515</v>
      </c>
      <c r="F57" s="20">
        <f t="shared" si="1"/>
        <v>3000</v>
      </c>
      <c r="G57" s="22">
        <f t="shared" si="2"/>
        <v>33536.785156303515</v>
      </c>
      <c r="H57" s="22">
        <v>250</v>
      </c>
      <c r="I57" s="23">
        <v>53</v>
      </c>
      <c r="AA57">
        <v>12686.756395814125</v>
      </c>
    </row>
    <row r="58" spans="2:27" x14ac:dyDescent="0.25">
      <c r="B58" s="22">
        <f t="shared" si="5"/>
        <v>33536.785156303515</v>
      </c>
      <c r="C58" s="21">
        <v>3.5000000000000003E-2</v>
      </c>
      <c r="D58" s="22">
        <f t="shared" si="0"/>
        <v>97.815623372551926</v>
      </c>
      <c r="E58" s="22">
        <f t="shared" si="3"/>
        <v>33634.600779676068</v>
      </c>
      <c r="F58" s="20">
        <f t="shared" si="1"/>
        <v>3000</v>
      </c>
      <c r="G58" s="22">
        <f t="shared" si="2"/>
        <v>33384.600779676068</v>
      </c>
      <c r="H58" s="22">
        <v>250</v>
      </c>
      <c r="I58" s="23">
        <v>54</v>
      </c>
      <c r="AA58">
        <v>12899.133493154643</v>
      </c>
    </row>
    <row r="59" spans="2:27" x14ac:dyDescent="0.25">
      <c r="B59" s="22">
        <f t="shared" si="5"/>
        <v>33384.600779676068</v>
      </c>
      <c r="C59" s="21">
        <v>3.5000000000000003E-2</v>
      </c>
      <c r="D59" s="22">
        <f t="shared" si="0"/>
        <v>97.371752274055197</v>
      </c>
      <c r="E59" s="22">
        <f t="shared" si="3"/>
        <v>33481.972531950123</v>
      </c>
      <c r="F59" s="20">
        <f t="shared" si="1"/>
        <v>3000</v>
      </c>
      <c r="G59" s="22">
        <f t="shared" si="2"/>
        <v>33231.972531950123</v>
      </c>
      <c r="H59" s="22">
        <v>250</v>
      </c>
      <c r="I59" s="23">
        <v>55</v>
      </c>
      <c r="AA59">
        <v>13110.892951682481</v>
      </c>
    </row>
    <row r="60" spans="2:27" x14ac:dyDescent="0.25">
      <c r="B60" s="22">
        <f t="shared" si="5"/>
        <v>33231.972531950123</v>
      </c>
      <c r="C60" s="21">
        <v>3.5000000000000003E-2</v>
      </c>
      <c r="D60" s="22">
        <f t="shared" si="0"/>
        <v>96.926586551521197</v>
      </c>
      <c r="E60" s="22">
        <f t="shared" si="3"/>
        <v>33328.899118501642</v>
      </c>
      <c r="F60" s="20">
        <f t="shared" si="1"/>
        <v>3000</v>
      </c>
      <c r="G60" s="22">
        <f t="shared" si="2"/>
        <v>33078.899118501642</v>
      </c>
      <c r="H60" s="22">
        <v>250</v>
      </c>
      <c r="I60" s="23">
        <v>56</v>
      </c>
      <c r="AA60">
        <v>13322.036567625697</v>
      </c>
    </row>
    <row r="61" spans="2:27" x14ac:dyDescent="0.25">
      <c r="B61" s="22">
        <f t="shared" si="5"/>
        <v>33078.899118501642</v>
      </c>
      <c r="C61" s="21">
        <v>3.5000000000000003E-2</v>
      </c>
      <c r="D61" s="22">
        <f t="shared" si="0"/>
        <v>96.480122428963128</v>
      </c>
      <c r="E61" s="22">
        <f t="shared" si="3"/>
        <v>33175.379240930604</v>
      </c>
      <c r="F61" s="20">
        <f t="shared" si="1"/>
        <v>3000</v>
      </c>
      <c r="G61" s="22">
        <f t="shared" si="2"/>
        <v>32925.379240930604</v>
      </c>
      <c r="H61" s="22">
        <v>250</v>
      </c>
      <c r="I61" s="23">
        <v>57</v>
      </c>
      <c r="AA61">
        <v>13532.566131988533</v>
      </c>
    </row>
    <row r="62" spans="2:27" x14ac:dyDescent="0.25">
      <c r="B62" s="22">
        <f t="shared" si="5"/>
        <v>32925.379240930604</v>
      </c>
      <c r="C62" s="21">
        <v>3.5000000000000003E-2</v>
      </c>
      <c r="D62" s="22">
        <f t="shared" si="0"/>
        <v>96.032356119380935</v>
      </c>
      <c r="E62" s="22">
        <f t="shared" si="3"/>
        <v>33021.411597049984</v>
      </c>
      <c r="F62" s="20">
        <f t="shared" si="1"/>
        <v>3000</v>
      </c>
      <c r="G62" s="22">
        <f t="shared" si="2"/>
        <v>32771.411597049984</v>
      </c>
      <c r="H62" s="22">
        <v>250</v>
      </c>
      <c r="I62" s="23">
        <v>58</v>
      </c>
      <c r="AA62">
        <v>13742.483430566608</v>
      </c>
    </row>
    <row r="63" spans="2:27" x14ac:dyDescent="0.25">
      <c r="B63" s="22">
        <f t="shared" si="5"/>
        <v>32771.411597049984</v>
      </c>
      <c r="C63" s="21">
        <v>3.5000000000000003E-2</v>
      </c>
      <c r="D63" s="22">
        <f t="shared" si="0"/>
        <v>95.583283824729122</v>
      </c>
      <c r="E63" s="22">
        <f t="shared" si="3"/>
        <v>32866.994880874714</v>
      </c>
      <c r="F63" s="20">
        <f t="shared" si="1"/>
        <v>3000</v>
      </c>
      <c r="G63" s="22">
        <f t="shared" si="2"/>
        <v>32616.994880874714</v>
      </c>
      <c r="H63" s="22">
        <v>250</v>
      </c>
      <c r="I63" s="23">
        <v>59</v>
      </c>
      <c r="AA63">
        <v>13951.79024396205</v>
      </c>
    </row>
    <row r="64" spans="2:27" x14ac:dyDescent="0.25">
      <c r="B64" s="22">
        <f t="shared" si="5"/>
        <v>32616.994880874714</v>
      </c>
      <c r="C64" s="21">
        <v>3.5000000000000003E-2</v>
      </c>
      <c r="D64" s="22">
        <f t="shared" si="0"/>
        <v>95.132901735884587</v>
      </c>
      <c r="E64" s="22">
        <f t="shared" si="3"/>
        <v>32712.127782610598</v>
      </c>
      <c r="F64" s="20">
        <f t="shared" si="1"/>
        <v>3000</v>
      </c>
      <c r="G64" s="22">
        <f t="shared" si="2"/>
        <v>32462.127782610598</v>
      </c>
      <c r="H64" s="22">
        <v>250</v>
      </c>
      <c r="I64" s="23">
        <v>60</v>
      </c>
      <c r="AA64">
        <v>14160.488347598621</v>
      </c>
    </row>
    <row r="65" spans="2:27" x14ac:dyDescent="0.25">
      <c r="B65" s="22">
        <f t="shared" si="5"/>
        <v>32462.127782610598</v>
      </c>
      <c r="C65" s="21">
        <v>3.5000000000000003E-2</v>
      </c>
      <c r="D65" s="22">
        <f t="shared" si="0"/>
        <v>94.681206032614242</v>
      </c>
      <c r="E65" s="22">
        <f t="shared" si="3"/>
        <v>32556.808988643214</v>
      </c>
      <c r="F65" s="20">
        <f t="shared" si="1"/>
        <v>3000</v>
      </c>
      <c r="G65" s="22">
        <f t="shared" si="2"/>
        <v>32306.808988643214</v>
      </c>
      <c r="H65" s="22">
        <v>250</v>
      </c>
      <c r="I65" s="23">
        <v>61</v>
      </c>
      <c r="AA65">
        <v>14368.579511736738</v>
      </c>
    </row>
    <row r="66" spans="2:27" x14ac:dyDescent="0.25">
      <c r="B66" s="22">
        <f t="shared" si="5"/>
        <v>32306.808988643214</v>
      </c>
      <c r="C66" s="21">
        <v>3.5000000000000003E-2</v>
      </c>
      <c r="D66" s="22">
        <f t="shared" si="0"/>
        <v>94.228192883542704</v>
      </c>
      <c r="E66" s="22">
        <f t="shared" si="3"/>
        <v>32401.037181526757</v>
      </c>
      <c r="F66" s="20">
        <f t="shared" si="1"/>
        <v>3000</v>
      </c>
      <c r="G66" s="22">
        <f t="shared" si="2"/>
        <v>32151.037181526757</v>
      </c>
      <c r="H66" s="22">
        <v>250</v>
      </c>
      <c r="I66" s="23">
        <v>62</v>
      </c>
      <c r="AA66">
        <v>14576.06550148856</v>
      </c>
    </row>
    <row r="67" spans="2:27" x14ac:dyDescent="0.25">
      <c r="B67" s="22">
        <f t="shared" si="5"/>
        <v>32151.037181526757</v>
      </c>
      <c r="C67" s="21">
        <v>3.5000000000000003E-2</v>
      </c>
      <c r="D67" s="22">
        <f t="shared" si="0"/>
        <v>93.773858446119718</v>
      </c>
      <c r="E67" s="22">
        <f t="shared" si="3"/>
        <v>32244.811039972876</v>
      </c>
      <c r="F67" s="20">
        <f t="shared" si="1"/>
        <v>3000</v>
      </c>
      <c r="G67" s="22">
        <f t="shared" si="2"/>
        <v>31994.811039972876</v>
      </c>
      <c r="H67" s="22">
        <v>250</v>
      </c>
      <c r="I67" s="23">
        <v>63</v>
      </c>
      <c r="AA67">
        <v>14782.948076832869</v>
      </c>
    </row>
    <row r="68" spans="2:27" x14ac:dyDescent="0.25">
      <c r="B68" s="22">
        <f t="shared" si="5"/>
        <v>31994.811039972876</v>
      </c>
      <c r="C68" s="21">
        <v>3.5000000000000003E-2</v>
      </c>
      <c r="D68" s="22">
        <f t="shared" si="0"/>
        <v>93.318198866587565</v>
      </c>
      <c r="E68" s="22">
        <f t="shared" si="3"/>
        <v>32088.129238839465</v>
      </c>
      <c r="F68" s="20">
        <f t="shared" si="1"/>
        <v>3000</v>
      </c>
      <c r="G68" s="22">
        <f t="shared" si="2"/>
        <v>31838.129238839465</v>
      </c>
      <c r="H68" s="22">
        <v>250</v>
      </c>
      <c r="I68" s="23">
        <v>64</v>
      </c>
      <c r="J68">
        <f>I68/12</f>
        <v>5.333333333333333</v>
      </c>
      <c r="AA68">
        <v>14989.228992630071</v>
      </c>
    </row>
    <row r="69" spans="2:27" x14ac:dyDescent="0.25">
      <c r="B69" s="22">
        <f t="shared" si="5"/>
        <v>31838.129238839465</v>
      </c>
      <c r="C69" s="21">
        <v>3.5000000000000003E-2</v>
      </c>
      <c r="D69" s="22">
        <f t="shared" si="0"/>
        <v>92.861210279948438</v>
      </c>
      <c r="E69" s="22">
        <f t="shared" si="3"/>
        <v>31930.990449119414</v>
      </c>
      <c r="F69" s="20">
        <f t="shared" si="1"/>
        <v>3000</v>
      </c>
      <c r="G69" s="22">
        <f t="shared" si="2"/>
        <v>31680.990449119414</v>
      </c>
      <c r="H69" s="22">
        <v>250</v>
      </c>
      <c r="I69" s="23">
        <v>65</v>
      </c>
      <c r="AA69">
        <v>15194.909998637053</v>
      </c>
    </row>
    <row r="70" spans="2:27" x14ac:dyDescent="0.25">
      <c r="B70" s="22">
        <f t="shared" si="5"/>
        <v>31680.990449119414</v>
      </c>
      <c r="C70" s="21">
        <v>3.5000000000000003E-2</v>
      </c>
      <c r="D70" s="22">
        <f t="shared" ref="D70:D133" si="6">B70*(0.035/12)</f>
        <v>92.402888809931625</v>
      </c>
      <c r="E70" s="22">
        <f t="shared" si="3"/>
        <v>31773.393337929345</v>
      </c>
      <c r="F70" s="20">
        <f t="shared" ref="F70:F133" si="7">H70*12</f>
        <v>3000</v>
      </c>
      <c r="G70" s="22">
        <f t="shared" ref="G70:G133" si="8">E70-H70</f>
        <v>31523.393337929345</v>
      </c>
      <c r="H70" s="22">
        <v>250</v>
      </c>
      <c r="I70" s="23">
        <v>66</v>
      </c>
      <c r="AA70">
        <v>15399.992839522023</v>
      </c>
    </row>
    <row r="71" spans="2:27" x14ac:dyDescent="0.25">
      <c r="B71" s="22">
        <f t="shared" si="5"/>
        <v>31523.393337929345</v>
      </c>
      <c r="C71" s="21">
        <v>3.5000000000000003E-2</v>
      </c>
      <c r="D71" s="22">
        <f t="shared" si="6"/>
        <v>91.943230568960587</v>
      </c>
      <c r="E71" s="22">
        <f t="shared" ref="E71:E134" si="9">B71+D71</f>
        <v>31615.336568498304</v>
      </c>
      <c r="F71" s="20">
        <f t="shared" si="7"/>
        <v>3000</v>
      </c>
      <c r="G71" s="22">
        <f t="shared" si="8"/>
        <v>31365.336568498304</v>
      </c>
      <c r="H71" s="22">
        <v>250</v>
      </c>
      <c r="I71" s="23">
        <v>67</v>
      </c>
      <c r="AA71">
        <v>15604.479254879325</v>
      </c>
    </row>
    <row r="72" spans="2:27" x14ac:dyDescent="0.25">
      <c r="B72" s="22">
        <f t="shared" si="5"/>
        <v>31365.336568498304</v>
      </c>
      <c r="C72" s="21">
        <v>3.5000000000000003E-2</v>
      </c>
      <c r="D72" s="22">
        <f t="shared" si="6"/>
        <v>91.482231658120057</v>
      </c>
      <c r="E72" s="22">
        <f t="shared" si="9"/>
        <v>31456.818800156423</v>
      </c>
      <c r="F72" s="20">
        <f t="shared" si="7"/>
        <v>3000</v>
      </c>
      <c r="G72" s="22">
        <f t="shared" si="8"/>
        <v>31206.818800156423</v>
      </c>
      <c r="H72" s="22">
        <v>250</v>
      </c>
      <c r="I72" s="23">
        <v>68</v>
      </c>
      <c r="AA72">
        <v>15808.370979244175</v>
      </c>
    </row>
    <row r="73" spans="2:27" x14ac:dyDescent="0.25">
      <c r="B73" s="22">
        <f t="shared" si="5"/>
        <v>31206.818800156423</v>
      </c>
      <c r="C73" s="21">
        <v>3.5000000000000003E-2</v>
      </c>
      <c r="D73" s="22">
        <f t="shared" si="6"/>
        <v>91.0198881671229</v>
      </c>
      <c r="E73" s="22">
        <f t="shared" si="9"/>
        <v>31297.838688323547</v>
      </c>
      <c r="F73" s="20">
        <f t="shared" si="7"/>
        <v>3000</v>
      </c>
      <c r="G73" s="22">
        <f t="shared" si="8"/>
        <v>31047.838688323547</v>
      </c>
      <c r="H73" s="22">
        <v>250</v>
      </c>
      <c r="I73" s="23">
        <v>69</v>
      </c>
      <c r="AA73">
        <v>16011.669742107373</v>
      </c>
    </row>
    <row r="74" spans="2:27" x14ac:dyDescent="0.25">
      <c r="B74" s="22">
        <f t="shared" si="5"/>
        <v>31047.838688323547</v>
      </c>
      <c r="C74" s="21">
        <v>3.5000000000000003E-2</v>
      </c>
      <c r="D74" s="22">
        <f t="shared" si="6"/>
        <v>90.556196174277019</v>
      </c>
      <c r="E74" s="22">
        <f t="shared" si="9"/>
        <v>31138.394884497826</v>
      </c>
      <c r="F74" s="20">
        <f t="shared" si="7"/>
        <v>3000</v>
      </c>
      <c r="G74" s="22">
        <f t="shared" si="8"/>
        <v>30888.394884497826</v>
      </c>
      <c r="H74" s="22">
        <v>250</v>
      </c>
      <c r="I74" s="23">
        <v>70</v>
      </c>
      <c r="AA74">
        <v>16214.377267930018</v>
      </c>
    </row>
    <row r="75" spans="2:27" x14ac:dyDescent="0.25">
      <c r="B75" s="22">
        <f t="shared" si="5"/>
        <v>30888.394884497826</v>
      </c>
      <c r="C75" s="21">
        <v>3.5000000000000003E-2</v>
      </c>
      <c r="D75" s="22">
        <f t="shared" si="6"/>
        <v>90.091151746451999</v>
      </c>
      <c r="E75" s="22">
        <f t="shared" si="9"/>
        <v>30978.486036244278</v>
      </c>
      <c r="F75" s="20">
        <f t="shared" si="7"/>
        <v>3000</v>
      </c>
      <c r="G75" s="22">
        <f t="shared" si="8"/>
        <v>30728.486036244278</v>
      </c>
      <c r="H75" s="22">
        <v>250</v>
      </c>
      <c r="I75" s="23">
        <v>71</v>
      </c>
      <c r="AA75">
        <v>16416.495276158053</v>
      </c>
    </row>
    <row r="76" spans="2:27" x14ac:dyDescent="0.25">
      <c r="B76" s="22">
        <f t="shared" si="5"/>
        <v>30728.486036244278</v>
      </c>
      <c r="C76" s="21">
        <v>3.5000000000000003E-2</v>
      </c>
      <c r="D76" s="22">
        <f t="shared" si="6"/>
        <v>89.624750939045811</v>
      </c>
      <c r="E76" s="22">
        <f t="shared" si="9"/>
        <v>30818.110787183323</v>
      </c>
      <c r="F76" s="20">
        <f t="shared" si="7"/>
        <v>3000</v>
      </c>
      <c r="G76" s="22">
        <f t="shared" si="8"/>
        <v>30568.110787183323</v>
      </c>
      <c r="H76" s="22">
        <v>250</v>
      </c>
      <c r="I76" s="23">
        <v>72</v>
      </c>
      <c r="AA76">
        <v>16618.025481236935</v>
      </c>
    </row>
    <row r="77" spans="2:27" x14ac:dyDescent="0.25">
      <c r="B77" s="22">
        <f t="shared" si="5"/>
        <v>30568.110787183323</v>
      </c>
      <c r="C77" s="21">
        <v>3.5000000000000003E-2</v>
      </c>
      <c r="D77" s="22">
        <f t="shared" si="6"/>
        <v>89.156989795951361</v>
      </c>
      <c r="E77" s="22">
        <f t="shared" si="9"/>
        <v>30657.267776979275</v>
      </c>
      <c r="F77" s="20">
        <f t="shared" si="7"/>
        <v>3000</v>
      </c>
      <c r="G77" s="22">
        <f t="shared" si="8"/>
        <v>30407.267776979275</v>
      </c>
      <c r="H77" s="22">
        <v>250</v>
      </c>
      <c r="I77" s="23">
        <v>73</v>
      </c>
      <c r="AA77">
        <v>16818.969592626123</v>
      </c>
    </row>
    <row r="78" spans="2:27" x14ac:dyDescent="0.25">
      <c r="B78" s="22">
        <f t="shared" si="5"/>
        <v>30407.267776979275</v>
      </c>
      <c r="C78" s="21">
        <v>3.5000000000000003E-2</v>
      </c>
      <c r="D78" s="22">
        <f t="shared" si="6"/>
        <v>88.687864349522897</v>
      </c>
      <c r="E78" s="22">
        <f t="shared" si="9"/>
        <v>30495.955641328797</v>
      </c>
      <c r="F78" s="20">
        <f t="shared" si="7"/>
        <v>3000</v>
      </c>
      <c r="G78" s="22">
        <f t="shared" si="8"/>
        <v>30245.955641328797</v>
      </c>
      <c r="H78" s="22">
        <v>250</v>
      </c>
      <c r="I78" s="23">
        <v>74</v>
      </c>
      <c r="AA78">
        <v>17019.329314813614</v>
      </c>
    </row>
    <row r="79" spans="2:27" x14ac:dyDescent="0.25">
      <c r="B79" s="22">
        <f t="shared" si="5"/>
        <v>30245.955641328797</v>
      </c>
      <c r="C79" s="21">
        <v>3.5000000000000003E-2</v>
      </c>
      <c r="D79" s="22">
        <f t="shared" si="6"/>
        <v>88.217370620542326</v>
      </c>
      <c r="E79" s="22">
        <f t="shared" si="9"/>
        <v>30334.17301194934</v>
      </c>
      <c r="F79" s="20">
        <f t="shared" si="7"/>
        <v>3000</v>
      </c>
      <c r="G79" s="22">
        <f t="shared" si="8"/>
        <v>30084.17301194934</v>
      </c>
      <c r="H79" s="22">
        <v>250</v>
      </c>
      <c r="I79" s="23">
        <v>75</v>
      </c>
      <c r="AA79">
        <v>17219.106347330362</v>
      </c>
    </row>
    <row r="80" spans="2:27" x14ac:dyDescent="0.25">
      <c r="B80" s="22">
        <f t="shared" si="5"/>
        <v>30084.17301194934</v>
      </c>
      <c r="C80" s="21">
        <v>3.5000000000000003E-2</v>
      </c>
      <c r="D80" s="22">
        <f t="shared" si="6"/>
        <v>87.745504618185578</v>
      </c>
      <c r="E80" s="22">
        <f t="shared" si="9"/>
        <v>30171.918516567526</v>
      </c>
      <c r="F80" s="20">
        <f t="shared" si="7"/>
        <v>3000</v>
      </c>
      <c r="G80" s="22">
        <f t="shared" si="8"/>
        <v>29921.918516567526</v>
      </c>
      <c r="H80" s="22">
        <v>250</v>
      </c>
      <c r="I80" s="23">
        <v>76</v>
      </c>
      <c r="AA80">
        <v>17418.302384764731</v>
      </c>
    </row>
    <row r="81" spans="2:27" x14ac:dyDescent="0.25">
      <c r="B81" s="22">
        <f t="shared" si="5"/>
        <v>29921.918516567526</v>
      </c>
      <c r="C81" s="21">
        <v>3.5000000000000003E-2</v>
      </c>
      <c r="D81" s="22">
        <f t="shared" si="6"/>
        <v>87.272262339988629</v>
      </c>
      <c r="E81" s="22">
        <f t="shared" si="9"/>
        <v>30009.190778907516</v>
      </c>
      <c r="F81" s="20">
        <f t="shared" si="7"/>
        <v>3000</v>
      </c>
      <c r="G81" s="22">
        <f t="shared" si="8"/>
        <v>29759.190778907516</v>
      </c>
      <c r="H81" s="22">
        <v>250</v>
      </c>
      <c r="I81" s="23">
        <v>77</v>
      </c>
      <c r="AA81">
        <v>17616.919116776833</v>
      </c>
    </row>
    <row r="82" spans="2:27" x14ac:dyDescent="0.25">
      <c r="B82" s="22">
        <f t="shared" si="5"/>
        <v>29759.190778907516</v>
      </c>
      <c r="C82" s="21">
        <v>3.5000000000000003E-2</v>
      </c>
      <c r="D82" s="22">
        <f t="shared" si="6"/>
        <v>86.797639771813593</v>
      </c>
      <c r="E82" s="22">
        <f t="shared" si="9"/>
        <v>29845.988418679328</v>
      </c>
      <c r="F82" s="20">
        <f t="shared" si="7"/>
        <v>3000</v>
      </c>
      <c r="G82" s="22">
        <f t="shared" si="8"/>
        <v>29595.988418679328</v>
      </c>
      <c r="H82" s="22">
        <v>250</v>
      </c>
      <c r="I82" s="23">
        <v>78</v>
      </c>
      <c r="AA82">
        <v>17814.958228112908</v>
      </c>
    </row>
    <row r="83" spans="2:27" x14ac:dyDescent="0.25">
      <c r="B83" s="22">
        <f t="shared" si="5"/>
        <v>29595.988418679328</v>
      </c>
      <c r="C83" s="21">
        <v>3.5000000000000003E-2</v>
      </c>
      <c r="D83" s="22">
        <f t="shared" si="6"/>
        <v>86.321632887814715</v>
      </c>
      <c r="E83" s="22">
        <f t="shared" si="9"/>
        <v>29682.310051567143</v>
      </c>
      <c r="F83" s="20">
        <f t="shared" si="7"/>
        <v>3000</v>
      </c>
      <c r="G83" s="22">
        <f t="shared" si="8"/>
        <v>29432.310051567143</v>
      </c>
      <c r="H83" s="22">
        <v>250</v>
      </c>
      <c r="I83" s="23">
        <v>79</v>
      </c>
      <c r="AA83">
        <v>18012.421398619561</v>
      </c>
    </row>
    <row r="84" spans="2:27" x14ac:dyDescent="0.25">
      <c r="B84" s="22">
        <f t="shared" si="5"/>
        <v>29432.310051567143</v>
      </c>
      <c r="C84" s="21">
        <v>3.5000000000000003E-2</v>
      </c>
      <c r="D84" s="22">
        <f t="shared" si="6"/>
        <v>85.844237650404168</v>
      </c>
      <c r="E84" s="22">
        <f t="shared" si="9"/>
        <v>29518.154289217546</v>
      </c>
      <c r="F84" s="20">
        <f t="shared" si="7"/>
        <v>3000</v>
      </c>
      <c r="G84" s="22">
        <f t="shared" si="8"/>
        <v>29268.154289217546</v>
      </c>
      <c r="H84" s="22">
        <v>250</v>
      </c>
      <c r="I84" s="23">
        <v>80</v>
      </c>
      <c r="AA84">
        <v>18209.310303258051</v>
      </c>
    </row>
    <row r="85" spans="2:27" x14ac:dyDescent="0.25">
      <c r="B85" s="22">
        <f t="shared" si="5"/>
        <v>29268.154289217546</v>
      </c>
      <c r="C85" s="21">
        <v>3.5000000000000003E-2</v>
      </c>
      <c r="D85" s="22">
        <f t="shared" si="6"/>
        <v>85.365450010217842</v>
      </c>
      <c r="E85" s="22">
        <f t="shared" si="9"/>
        <v>29353.519739227762</v>
      </c>
      <c r="F85" s="20">
        <f t="shared" si="7"/>
        <v>3000</v>
      </c>
      <c r="G85" s="22">
        <f t="shared" si="8"/>
        <v>29103.519739227762</v>
      </c>
      <c r="H85" s="22">
        <v>250</v>
      </c>
      <c r="I85" s="23">
        <v>81</v>
      </c>
      <c r="AA85">
        <v>18405.626612118493</v>
      </c>
    </row>
    <row r="86" spans="2:27" x14ac:dyDescent="0.25">
      <c r="B86" s="22">
        <f t="shared" si="5"/>
        <v>29103.519739227762</v>
      </c>
      <c r="C86" s="21">
        <v>3.5000000000000003E-2</v>
      </c>
      <c r="D86" s="22">
        <f t="shared" si="6"/>
        <v>84.885265906080974</v>
      </c>
      <c r="E86" s="22">
        <f t="shared" si="9"/>
        <v>29188.405005133842</v>
      </c>
      <c r="F86" s="20">
        <f t="shared" si="7"/>
        <v>3000</v>
      </c>
      <c r="G86" s="22">
        <f t="shared" si="8"/>
        <v>28938.405005133842</v>
      </c>
      <c r="H86" s="22">
        <v>250</v>
      </c>
      <c r="I86" s="23">
        <v>82</v>
      </c>
      <c r="AA86">
        <v>18601.371990434</v>
      </c>
    </row>
    <row r="87" spans="2:27" x14ac:dyDescent="0.25">
      <c r="B87" s="22">
        <f t="shared" si="5"/>
        <v>28938.405005133842</v>
      </c>
      <c r="C87" s="21">
        <v>3.5000000000000003E-2</v>
      </c>
      <c r="D87" s="22">
        <f t="shared" si="6"/>
        <v>84.403681264973713</v>
      </c>
      <c r="E87" s="22">
        <f t="shared" si="9"/>
        <v>29022.808686398814</v>
      </c>
      <c r="F87" s="20">
        <f t="shared" si="7"/>
        <v>3000</v>
      </c>
      <c r="G87" s="22">
        <f t="shared" si="8"/>
        <v>28772.808686398814</v>
      </c>
      <c r="H87" s="22">
        <v>250</v>
      </c>
      <c r="I87" s="23">
        <v>83</v>
      </c>
      <c r="AA87">
        <v>18796.548098594834</v>
      </c>
    </row>
    <row r="88" spans="2:27" x14ac:dyDescent="0.25">
      <c r="B88" s="22">
        <f t="shared" si="5"/>
        <v>28772.808686398814</v>
      </c>
      <c r="C88" s="21">
        <v>3.5000000000000003E-2</v>
      </c>
      <c r="D88" s="22">
        <f t="shared" si="6"/>
        <v>83.920692001996542</v>
      </c>
      <c r="E88" s="22">
        <f t="shared" si="9"/>
        <v>28856.729378400811</v>
      </c>
      <c r="F88" s="20">
        <f t="shared" si="7"/>
        <v>3000</v>
      </c>
      <c r="G88" s="22">
        <f t="shared" si="8"/>
        <v>28606.729378400811</v>
      </c>
      <c r="H88" s="22">
        <v>250</v>
      </c>
      <c r="I88" s="23">
        <v>84</v>
      </c>
      <c r="AA88">
        <v>18991.156592162486</v>
      </c>
    </row>
    <row r="89" spans="2:27" x14ac:dyDescent="0.25">
      <c r="B89" s="22">
        <f t="shared" si="5"/>
        <v>28606.729378400811</v>
      </c>
      <c r="C89" s="21">
        <v>3.5000000000000003E-2</v>
      </c>
      <c r="D89" s="22">
        <f t="shared" si="6"/>
        <v>83.436294020335708</v>
      </c>
      <c r="E89" s="22">
        <f t="shared" si="9"/>
        <v>28690.165672421146</v>
      </c>
      <c r="F89" s="20">
        <f t="shared" si="7"/>
        <v>3000</v>
      </c>
      <c r="G89" s="22">
        <f t="shared" si="8"/>
        <v>28440.165672421146</v>
      </c>
      <c r="H89" s="22">
        <v>250</v>
      </c>
      <c r="I89" s="23">
        <v>85</v>
      </c>
      <c r="AA89">
        <v>19185.199121883692</v>
      </c>
    </row>
    <row r="90" spans="2:27" x14ac:dyDescent="0.25">
      <c r="B90" s="22">
        <f t="shared" si="5"/>
        <v>28440.165672421146</v>
      </c>
      <c r="C90" s="21">
        <v>3.5000000000000003E-2</v>
      </c>
      <c r="D90" s="22">
        <f t="shared" si="6"/>
        <v>82.950483211228345</v>
      </c>
      <c r="E90" s="22">
        <f t="shared" si="9"/>
        <v>28523.116155632375</v>
      </c>
      <c r="F90" s="20">
        <f t="shared" si="7"/>
        <v>3000</v>
      </c>
      <c r="G90" s="22">
        <f t="shared" si="8"/>
        <v>28273.116155632375</v>
      </c>
      <c r="H90" s="22">
        <v>250</v>
      </c>
      <c r="I90" s="23">
        <v>86</v>
      </c>
      <c r="AA90">
        <v>19378.677333704491</v>
      </c>
    </row>
    <row r="91" spans="2:27" x14ac:dyDescent="0.25">
      <c r="B91" s="22">
        <f t="shared" si="5"/>
        <v>28273.116155632375</v>
      </c>
      <c r="C91" s="21">
        <v>3.5000000000000003E-2</v>
      </c>
      <c r="D91" s="22">
        <f t="shared" si="6"/>
        <v>82.463255453927758</v>
      </c>
      <c r="E91" s="22">
        <f t="shared" si="9"/>
        <v>28355.579411086303</v>
      </c>
      <c r="F91" s="20">
        <f t="shared" si="7"/>
        <v>3000</v>
      </c>
      <c r="G91" s="22">
        <f t="shared" si="8"/>
        <v>28105.579411086303</v>
      </c>
      <c r="H91" s="22">
        <v>250</v>
      </c>
      <c r="I91" s="23">
        <v>87</v>
      </c>
      <c r="AA91">
        <v>19571.592868784108</v>
      </c>
    </row>
    <row r="92" spans="2:27" x14ac:dyDescent="0.25">
      <c r="B92" s="22">
        <f t="shared" si="5"/>
        <v>28105.579411086303</v>
      </c>
      <c r="C92" s="21">
        <v>3.5000000000000003E-2</v>
      </c>
      <c r="D92" s="22">
        <f t="shared" si="6"/>
        <v>81.974606615668392</v>
      </c>
      <c r="E92" s="22">
        <f t="shared" si="9"/>
        <v>28187.554017701972</v>
      </c>
      <c r="F92" s="20">
        <f t="shared" si="7"/>
        <v>3000</v>
      </c>
      <c r="G92" s="22">
        <f t="shared" si="8"/>
        <v>27937.554017701972</v>
      </c>
      <c r="H92" s="22">
        <v>250</v>
      </c>
      <c r="I92" s="23">
        <v>88</v>
      </c>
      <c r="AA92">
        <v>19763.947363508971</v>
      </c>
    </row>
    <row r="93" spans="2:27" x14ac:dyDescent="0.25">
      <c r="B93" s="22">
        <f t="shared" ref="B93:B156" si="10">G92</f>
        <v>27937.554017701972</v>
      </c>
      <c r="C93" s="21">
        <v>3.5000000000000003E-2</v>
      </c>
      <c r="D93" s="22">
        <f t="shared" si="6"/>
        <v>81.48453255163075</v>
      </c>
      <c r="E93" s="22">
        <f t="shared" si="9"/>
        <v>28019.038550253601</v>
      </c>
      <c r="F93" s="20">
        <f t="shared" si="7"/>
        <v>3000</v>
      </c>
      <c r="G93" s="22">
        <f t="shared" si="8"/>
        <v>27769.038550253601</v>
      </c>
      <c r="H93" s="22">
        <v>250</v>
      </c>
      <c r="I93" s="23">
        <v>89</v>
      </c>
      <c r="AA93">
        <v>19955.742449506495</v>
      </c>
    </row>
    <row r="94" spans="2:27" x14ac:dyDescent="0.25">
      <c r="B94" s="22">
        <f t="shared" si="10"/>
        <v>27769.038550253601</v>
      </c>
      <c r="C94" s="21">
        <v>3.5000000000000003E-2</v>
      </c>
      <c r="D94" s="22">
        <f t="shared" si="6"/>
        <v>80.993029104906341</v>
      </c>
      <c r="E94" s="22">
        <f t="shared" si="9"/>
        <v>27850.031579358507</v>
      </c>
      <c r="F94" s="20">
        <f t="shared" si="7"/>
        <v>3000</v>
      </c>
      <c r="G94" s="22">
        <f t="shared" si="8"/>
        <v>27600.031579358507</v>
      </c>
      <c r="H94" s="22">
        <v>250</v>
      </c>
      <c r="I94" s="23">
        <v>90</v>
      </c>
      <c r="AA94">
        <v>20146.979753659012</v>
      </c>
    </row>
    <row r="95" spans="2:27" x14ac:dyDescent="0.25">
      <c r="B95" s="22">
        <f t="shared" si="10"/>
        <v>27600.031579358507</v>
      </c>
      <c r="C95" s="21">
        <v>3.5000000000000003E-2</v>
      </c>
      <c r="D95" s="22">
        <f t="shared" si="6"/>
        <v>80.500092106462318</v>
      </c>
      <c r="E95" s="22">
        <f t="shared" si="9"/>
        <v>27680.531671464971</v>
      </c>
      <c r="F95" s="20">
        <f t="shared" si="7"/>
        <v>3000</v>
      </c>
      <c r="G95" s="22">
        <f t="shared" si="8"/>
        <v>27430.531671464971</v>
      </c>
      <c r="H95" s="22">
        <v>250</v>
      </c>
      <c r="I95" s="23">
        <v>91</v>
      </c>
      <c r="AA95">
        <v>20337.660898117476</v>
      </c>
    </row>
    <row r="96" spans="2:27" x14ac:dyDescent="0.25">
      <c r="B96" s="22">
        <f t="shared" si="10"/>
        <v>27430.531671464971</v>
      </c>
      <c r="C96" s="21">
        <v>3.5000000000000003E-2</v>
      </c>
      <c r="D96" s="22">
        <f t="shared" si="6"/>
        <v>80.005717375106173</v>
      </c>
      <c r="E96" s="22">
        <f t="shared" si="9"/>
        <v>27510.537388840075</v>
      </c>
      <c r="F96" s="20">
        <f t="shared" si="7"/>
        <v>3000</v>
      </c>
      <c r="G96" s="22">
        <f t="shared" si="8"/>
        <v>27260.537388840075</v>
      </c>
      <c r="H96" s="22">
        <v>250</v>
      </c>
      <c r="I96" s="23">
        <v>92</v>
      </c>
      <c r="AA96">
        <v>20527.787500315317</v>
      </c>
    </row>
    <row r="97" spans="2:27" x14ac:dyDescent="0.25">
      <c r="B97" s="22">
        <f t="shared" si="10"/>
        <v>27260.537388840075</v>
      </c>
      <c r="C97" s="21">
        <v>3.5000000000000003E-2</v>
      </c>
      <c r="D97" s="22">
        <f t="shared" si="6"/>
        <v>79.509900717450222</v>
      </c>
      <c r="E97" s="22">
        <f t="shared" si="9"/>
        <v>27340.047289557526</v>
      </c>
      <c r="F97" s="20">
        <f t="shared" si="7"/>
        <v>3000</v>
      </c>
      <c r="G97" s="22">
        <f t="shared" si="8"/>
        <v>27090.047289557526</v>
      </c>
      <c r="H97" s="22">
        <v>250</v>
      </c>
      <c r="I97" s="23">
        <v>93</v>
      </c>
      <c r="AA97">
        <v>20717.361172982088</v>
      </c>
    </row>
    <row r="98" spans="2:27" x14ac:dyDescent="0.25">
      <c r="B98" s="22">
        <f t="shared" si="10"/>
        <v>27090.047289557526</v>
      </c>
      <c r="C98" s="21">
        <v>3.5000000000000003E-2</v>
      </c>
      <c r="D98" s="22">
        <f t="shared" si="6"/>
        <v>79.012637927876114</v>
      </c>
      <c r="E98" s="22">
        <f t="shared" si="9"/>
        <v>27169.059927485403</v>
      </c>
      <c r="F98" s="20">
        <f t="shared" si="7"/>
        <v>3000</v>
      </c>
      <c r="G98" s="22">
        <f t="shared" si="8"/>
        <v>26919.059927485403</v>
      </c>
      <c r="H98" s="22">
        <v>250</v>
      </c>
      <c r="I98" s="23">
        <v>94</v>
      </c>
      <c r="AA98">
        <v>20906.38352415718</v>
      </c>
    </row>
    <row r="99" spans="2:27" x14ac:dyDescent="0.25">
      <c r="B99" s="22">
        <f t="shared" si="10"/>
        <v>26919.059927485403</v>
      </c>
      <c r="C99" s="21">
        <v>3.5000000000000003E-2</v>
      </c>
      <c r="D99" s="22">
        <f t="shared" si="6"/>
        <v>78.513924788499097</v>
      </c>
      <c r="E99" s="22">
        <f t="shared" si="9"/>
        <v>26997.573852273901</v>
      </c>
      <c r="F99" s="20">
        <f t="shared" si="7"/>
        <v>3000</v>
      </c>
      <c r="G99" s="22">
        <f t="shared" si="8"/>
        <v>26747.573852273901</v>
      </c>
      <c r="H99" s="22">
        <v>250</v>
      </c>
      <c r="I99" s="23">
        <v>95</v>
      </c>
      <c r="AA99">
        <v>21094.856157203478</v>
      </c>
    </row>
    <row r="100" spans="2:27" x14ac:dyDescent="0.25">
      <c r="B100" s="22">
        <f t="shared" si="10"/>
        <v>26747.573852273901</v>
      </c>
      <c r="C100" s="21">
        <v>3.5000000000000003E-2</v>
      </c>
      <c r="D100" s="22">
        <f t="shared" si="6"/>
        <v>78.013757069132211</v>
      </c>
      <c r="E100" s="22">
        <f t="shared" si="9"/>
        <v>26825.587609343034</v>
      </c>
      <c r="F100" s="20">
        <f t="shared" si="7"/>
        <v>3000</v>
      </c>
      <c r="G100" s="22">
        <f t="shared" si="8"/>
        <v>26575.587609343034</v>
      </c>
      <c r="H100" s="22">
        <v>250</v>
      </c>
      <c r="I100" s="23">
        <v>96</v>
      </c>
      <c r="AA100">
        <v>21282.780670820899</v>
      </c>
    </row>
    <row r="101" spans="2:27" x14ac:dyDescent="0.25">
      <c r="B101" s="22">
        <f t="shared" si="10"/>
        <v>26575.587609343034</v>
      </c>
      <c r="C101" s="21">
        <v>3.5000000000000003E-2</v>
      </c>
      <c r="D101" s="22">
        <f t="shared" si="6"/>
        <v>77.51213052725052</v>
      </c>
      <c r="E101" s="22">
        <f t="shared" si="9"/>
        <v>26653.099739870286</v>
      </c>
      <c r="F101" s="20">
        <f t="shared" si="7"/>
        <v>3000</v>
      </c>
      <c r="G101" s="22">
        <f t="shared" si="8"/>
        <v>26403.099739870286</v>
      </c>
      <c r="H101" s="22">
        <v>250</v>
      </c>
      <c r="I101" s="23">
        <v>97</v>
      </c>
      <c r="AA101">
        <v>21470.15865906002</v>
      </c>
    </row>
    <row r="102" spans="2:27" x14ac:dyDescent="0.25">
      <c r="B102" s="22">
        <f t="shared" si="10"/>
        <v>26403.099739870286</v>
      </c>
      <c r="C102" s="21">
        <v>3.5000000000000003E-2</v>
      </c>
      <c r="D102" s="22">
        <f t="shared" si="6"/>
        <v>77.009040907954997</v>
      </c>
      <c r="E102" s="22">
        <f t="shared" si="9"/>
        <v>26480.108780778242</v>
      </c>
      <c r="F102" s="20">
        <f t="shared" si="7"/>
        <v>3000</v>
      </c>
      <c r="G102" s="22">
        <f t="shared" si="8"/>
        <v>26230.108780778242</v>
      </c>
      <c r="H102" s="22">
        <v>250</v>
      </c>
      <c r="I102" s="23">
        <v>98</v>
      </c>
      <c r="AA102">
        <v>21656.991711335573</v>
      </c>
    </row>
    <row r="103" spans="2:27" x14ac:dyDescent="0.25">
      <c r="B103" s="22">
        <f t="shared" si="10"/>
        <v>26230.108780778242</v>
      </c>
      <c r="C103" s="21">
        <v>3.5000000000000003E-2</v>
      </c>
      <c r="D103" s="22">
        <f t="shared" si="6"/>
        <v>76.504483943936549</v>
      </c>
      <c r="E103" s="22">
        <f t="shared" si="9"/>
        <v>26306.613264722178</v>
      </c>
      <c r="F103" s="20">
        <f t="shared" si="7"/>
        <v>3000</v>
      </c>
      <c r="G103" s="22">
        <f t="shared" si="8"/>
        <v>26056.613264722178</v>
      </c>
      <c r="H103" s="22">
        <v>250</v>
      </c>
      <c r="I103" s="23">
        <v>99</v>
      </c>
      <c r="AA103">
        <v>21843.281412439919</v>
      </c>
    </row>
    <row r="104" spans="2:27" x14ac:dyDescent="0.25">
      <c r="B104" s="22">
        <f t="shared" si="10"/>
        <v>26056.613264722178</v>
      </c>
      <c r="C104" s="21">
        <v>3.5000000000000003E-2</v>
      </c>
      <c r="D104" s="22">
        <f t="shared" si="6"/>
        <v>75.998455355439688</v>
      </c>
      <c r="E104" s="22">
        <f t="shared" si="9"/>
        <v>26132.611720077617</v>
      </c>
      <c r="F104" s="20">
        <f t="shared" si="7"/>
        <v>3000</v>
      </c>
      <c r="G104" s="22">
        <f t="shared" si="8"/>
        <v>25882.611720077617</v>
      </c>
      <c r="H104" s="22">
        <v>250</v>
      </c>
      <c r="I104" s="23">
        <v>100</v>
      </c>
      <c r="AA104">
        <v>22029.029342556492</v>
      </c>
    </row>
    <row r="105" spans="2:27" x14ac:dyDescent="0.25">
      <c r="B105" s="22">
        <f t="shared" si="10"/>
        <v>25882.611720077617</v>
      </c>
      <c r="C105" s="21">
        <v>3.5000000000000003E-2</v>
      </c>
      <c r="D105" s="22">
        <f t="shared" si="6"/>
        <v>75.490950850226383</v>
      </c>
      <c r="E105" s="22">
        <f t="shared" si="9"/>
        <v>25958.102670927845</v>
      </c>
      <c r="F105" s="20">
        <f t="shared" si="7"/>
        <v>3000</v>
      </c>
      <c r="G105" s="22">
        <f t="shared" si="8"/>
        <v>25708.102670927845</v>
      </c>
      <c r="H105" s="22">
        <v>250</v>
      </c>
      <c r="I105" s="23">
        <v>101</v>
      </c>
      <c r="AA105">
        <v>22214.237077273221</v>
      </c>
    </row>
    <row r="106" spans="2:27" x14ac:dyDescent="0.25">
      <c r="B106" s="22">
        <f t="shared" si="10"/>
        <v>25708.102670927845</v>
      </c>
      <c r="C106" s="21">
        <v>3.5000000000000003E-2</v>
      </c>
      <c r="D106" s="22">
        <f t="shared" si="6"/>
        <v>74.98196612353955</v>
      </c>
      <c r="E106" s="22">
        <f t="shared" si="9"/>
        <v>25783.084637051383</v>
      </c>
      <c r="F106" s="20">
        <f t="shared" si="7"/>
        <v>3000</v>
      </c>
      <c r="G106" s="22">
        <f t="shared" si="8"/>
        <v>25533.084637051383</v>
      </c>
      <c r="H106" s="22">
        <v>250</v>
      </c>
      <c r="I106" s="23">
        <v>102</v>
      </c>
      <c r="AA106">
        <v>22398.906187595865</v>
      </c>
    </row>
    <row r="107" spans="2:27" x14ac:dyDescent="0.25">
      <c r="B107" s="22">
        <f t="shared" si="10"/>
        <v>25533.084637051383</v>
      </c>
      <c r="C107" s="21">
        <v>3.5000000000000003E-2</v>
      </c>
      <c r="D107" s="22">
        <f t="shared" si="6"/>
        <v>74.47149685806653</v>
      </c>
      <c r="E107" s="22">
        <f t="shared" si="9"/>
        <v>25607.556133909449</v>
      </c>
      <c r="F107" s="20">
        <f t="shared" si="7"/>
        <v>3000</v>
      </c>
      <c r="G107" s="22">
        <f t="shared" si="8"/>
        <v>25357.556133909449</v>
      </c>
      <c r="H107" s="22">
        <v>250</v>
      </c>
      <c r="I107" s="23">
        <v>103</v>
      </c>
      <c r="AA107">
        <v>22583.03823996137</v>
      </c>
    </row>
    <row r="108" spans="2:27" x14ac:dyDescent="0.25">
      <c r="B108" s="22">
        <f t="shared" si="10"/>
        <v>25357.556133909449</v>
      </c>
      <c r="C108" s="21">
        <v>3.5000000000000003E-2</v>
      </c>
      <c r="D108" s="22">
        <f t="shared" si="6"/>
        <v>73.959538723902568</v>
      </c>
      <c r="E108" s="22">
        <f t="shared" si="9"/>
        <v>25431.515672633352</v>
      </c>
      <c r="F108" s="20">
        <f t="shared" si="7"/>
        <v>3000</v>
      </c>
      <c r="G108" s="22">
        <f t="shared" si="8"/>
        <v>25181.515672633352</v>
      </c>
      <c r="H108" s="22">
        <v>250</v>
      </c>
      <c r="I108" s="23">
        <v>104</v>
      </c>
      <c r="AA108">
        <v>22766.634796251157</v>
      </c>
    </row>
    <row r="109" spans="2:27" x14ac:dyDescent="0.25">
      <c r="B109" s="22">
        <f t="shared" si="10"/>
        <v>25181.515672633352</v>
      </c>
      <c r="C109" s="21">
        <v>3.5000000000000003E-2</v>
      </c>
      <c r="D109" s="22">
        <f t="shared" si="6"/>
        <v>73.446087378513951</v>
      </c>
      <c r="E109" s="22">
        <f t="shared" si="9"/>
        <v>25254.961760011865</v>
      </c>
      <c r="F109" s="20">
        <f t="shared" si="7"/>
        <v>3000</v>
      </c>
      <c r="G109" s="22">
        <f t="shared" si="8"/>
        <v>25004.961760011865</v>
      </c>
      <c r="H109" s="22">
        <v>250</v>
      </c>
      <c r="I109" s="23">
        <v>105</v>
      </c>
      <c r="AA109">
        <v>22949.697413804315</v>
      </c>
    </row>
    <row r="110" spans="2:27" x14ac:dyDescent="0.25">
      <c r="B110" s="22">
        <f t="shared" si="10"/>
        <v>25004.961760011865</v>
      </c>
      <c r="C110" s="21">
        <v>3.5000000000000003E-2</v>
      </c>
      <c r="D110" s="22">
        <f t="shared" si="6"/>
        <v>72.931138466701285</v>
      </c>
      <c r="E110" s="22">
        <f t="shared" si="9"/>
        <v>25077.892898478567</v>
      </c>
      <c r="F110" s="20">
        <f t="shared" si="7"/>
        <v>3000</v>
      </c>
      <c r="G110" s="22">
        <f t="shared" si="8"/>
        <v>24827.892898478567</v>
      </c>
      <c r="H110" s="22">
        <v>250</v>
      </c>
      <c r="I110" s="23">
        <v>106</v>
      </c>
      <c r="AA110">
        <v>23132.227645430896</v>
      </c>
    </row>
    <row r="111" spans="2:27" x14ac:dyDescent="0.25">
      <c r="B111" s="22">
        <f t="shared" si="10"/>
        <v>24827.892898478567</v>
      </c>
      <c r="C111" s="21">
        <v>3.5000000000000003E-2</v>
      </c>
      <c r="D111" s="22">
        <f t="shared" si="6"/>
        <v>72.414687620562489</v>
      </c>
      <c r="E111" s="22">
        <f t="shared" si="9"/>
        <v>24900.30758609913</v>
      </c>
      <c r="F111" s="20">
        <f t="shared" si="7"/>
        <v>3000</v>
      </c>
      <c r="G111" s="22">
        <f t="shared" si="8"/>
        <v>24650.30758609913</v>
      </c>
      <c r="H111" s="22">
        <v>250</v>
      </c>
      <c r="I111" s="23">
        <v>107</v>
      </c>
      <c r="AA111">
        <v>23314.227039425015</v>
      </c>
    </row>
    <row r="112" spans="2:27" x14ac:dyDescent="0.25">
      <c r="B112" s="22">
        <f t="shared" si="10"/>
        <v>24650.30758609913</v>
      </c>
      <c r="C112" s="21">
        <v>3.5000000000000003E-2</v>
      </c>
      <c r="D112" s="22">
        <f t="shared" si="6"/>
        <v>71.896730459455796</v>
      </c>
      <c r="E112" s="22">
        <f t="shared" si="9"/>
        <v>24722.204316558586</v>
      </c>
      <c r="F112" s="20">
        <f t="shared" si="7"/>
        <v>3000</v>
      </c>
      <c r="G112" s="22">
        <f t="shared" si="8"/>
        <v>24472.204316558586</v>
      </c>
      <c r="H112" s="22">
        <v>250</v>
      </c>
      <c r="I112" s="23">
        <v>108</v>
      </c>
      <c r="AA112">
        <v>23495.697139578013</v>
      </c>
    </row>
    <row r="113" spans="2:27" x14ac:dyDescent="0.25">
      <c r="B113" s="22">
        <f t="shared" si="10"/>
        <v>24472.204316558586</v>
      </c>
      <c r="C113" s="21">
        <v>3.5000000000000003E-2</v>
      </c>
      <c r="D113" s="22">
        <f t="shared" si="6"/>
        <v>71.377262589962541</v>
      </c>
      <c r="E113" s="22">
        <f t="shared" si="9"/>
        <v>24543.581579148547</v>
      </c>
      <c r="F113" s="20">
        <f t="shared" si="7"/>
        <v>3000</v>
      </c>
      <c r="G113" s="22">
        <f t="shared" si="8"/>
        <v>24293.581579148547</v>
      </c>
      <c r="H113" s="22">
        <v>250</v>
      </c>
      <c r="I113" s="23">
        <v>109</v>
      </c>
      <c r="AA113">
        <v>23676.639485191561</v>
      </c>
    </row>
    <row r="114" spans="2:27" x14ac:dyDescent="0.25">
      <c r="B114" s="22">
        <f t="shared" si="10"/>
        <v>24293.581579148547</v>
      </c>
      <c r="C114" s="21">
        <v>3.5000000000000003E-2</v>
      </c>
      <c r="D114" s="22">
        <f t="shared" si="6"/>
        <v>70.856279605849934</v>
      </c>
      <c r="E114" s="22">
        <f t="shared" si="9"/>
        <v>24364.437858754398</v>
      </c>
      <c r="F114" s="20">
        <f t="shared" si="7"/>
        <v>3000</v>
      </c>
      <c r="G114" s="22">
        <f t="shared" si="8"/>
        <v>24114.437858754398</v>
      </c>
      <c r="H114" s="22">
        <v>250</v>
      </c>
      <c r="I114" s="23">
        <v>110</v>
      </c>
      <c r="AA114">
        <v>23857.055611090702</v>
      </c>
    </row>
    <row r="115" spans="2:27" x14ac:dyDescent="0.25">
      <c r="B115" s="22">
        <f t="shared" si="10"/>
        <v>24114.437858754398</v>
      </c>
      <c r="C115" s="21">
        <v>3.5000000000000003E-2</v>
      </c>
      <c r="D115" s="22">
        <f t="shared" si="6"/>
        <v>70.333777088033671</v>
      </c>
      <c r="E115" s="22">
        <f t="shared" si="9"/>
        <v>24184.771635842433</v>
      </c>
      <c r="F115" s="20">
        <f t="shared" si="7"/>
        <v>3000</v>
      </c>
      <c r="G115" s="22">
        <f t="shared" si="8"/>
        <v>23934.771635842433</v>
      </c>
      <c r="H115" s="22">
        <v>250</v>
      </c>
      <c r="I115" s="23">
        <v>111</v>
      </c>
      <c r="AA115">
        <v>24036.947047636866</v>
      </c>
    </row>
    <row r="116" spans="2:27" x14ac:dyDescent="0.25">
      <c r="B116" s="22">
        <f t="shared" si="10"/>
        <v>23934.771635842433</v>
      </c>
      <c r="C116" s="21">
        <v>3.5000000000000003E-2</v>
      </c>
      <c r="D116" s="22">
        <f t="shared" si="6"/>
        <v>69.80975060454044</v>
      </c>
      <c r="E116" s="22">
        <f t="shared" si="9"/>
        <v>24004.581386446975</v>
      </c>
      <c r="F116" s="20">
        <f t="shared" si="7"/>
        <v>3000</v>
      </c>
      <c r="G116" s="22">
        <f t="shared" si="8"/>
        <v>23754.581386446975</v>
      </c>
      <c r="H116" s="22">
        <v>250</v>
      </c>
      <c r="I116" s="23">
        <v>112</v>
      </c>
      <c r="AA116">
        <v>24216.315320740869</v>
      </c>
    </row>
    <row r="117" spans="2:27" x14ac:dyDescent="0.25">
      <c r="B117" s="22">
        <f t="shared" si="10"/>
        <v>23754.581386446975</v>
      </c>
      <c r="C117" s="21">
        <v>3.5000000000000003E-2</v>
      </c>
      <c r="D117" s="22">
        <f t="shared" si="6"/>
        <v>69.284195710470343</v>
      </c>
      <c r="E117" s="22">
        <f t="shared" si="9"/>
        <v>23823.865582157447</v>
      </c>
      <c r="F117" s="20">
        <f t="shared" si="7"/>
        <v>3000</v>
      </c>
      <c r="G117" s="22">
        <f t="shared" si="8"/>
        <v>23573.865582157447</v>
      </c>
      <c r="H117" s="22">
        <v>250</v>
      </c>
      <c r="I117" s="23">
        <v>113</v>
      </c>
      <c r="AA117">
        <v>24395.161951875838</v>
      </c>
    </row>
    <row r="118" spans="2:27" x14ac:dyDescent="0.25">
      <c r="B118" s="22">
        <f t="shared" si="10"/>
        <v>23573.865582157447</v>
      </c>
      <c r="C118" s="21">
        <v>3.5000000000000003E-2</v>
      </c>
      <c r="D118" s="22">
        <f t="shared" si="6"/>
        <v>68.757107947959227</v>
      </c>
      <c r="E118" s="22">
        <f t="shared" si="9"/>
        <v>23642.622690105407</v>
      </c>
      <c r="F118" s="20">
        <f t="shared" si="7"/>
        <v>3000</v>
      </c>
      <c r="G118" s="22">
        <f t="shared" si="8"/>
        <v>23392.622690105407</v>
      </c>
      <c r="H118" s="22">
        <v>250</v>
      </c>
      <c r="I118" s="23">
        <v>114</v>
      </c>
      <c r="AA118">
        <v>24573.488458090127</v>
      </c>
    </row>
    <row r="119" spans="2:27" x14ac:dyDescent="0.25">
      <c r="B119" s="22">
        <f t="shared" si="10"/>
        <v>23392.622690105407</v>
      </c>
      <c r="C119" s="21">
        <v>3.5000000000000003E-2</v>
      </c>
      <c r="D119" s="22">
        <f t="shared" si="6"/>
        <v>68.228482846140778</v>
      </c>
      <c r="E119" s="22">
        <f t="shared" si="9"/>
        <v>23460.851172951549</v>
      </c>
      <c r="F119" s="20">
        <f t="shared" si="7"/>
        <v>3000</v>
      </c>
      <c r="G119" s="22">
        <f t="shared" si="8"/>
        <v>23210.851172951549</v>
      </c>
      <c r="H119" s="22">
        <v>250</v>
      </c>
      <c r="I119" s="23">
        <v>115</v>
      </c>
      <c r="AA119">
        <v>24751.296352020199</v>
      </c>
    </row>
    <row r="120" spans="2:27" x14ac:dyDescent="0.25">
      <c r="B120" s="22">
        <f t="shared" si="10"/>
        <v>23210.851172951549</v>
      </c>
      <c r="C120" s="21">
        <v>3.5000000000000003E-2</v>
      </c>
      <c r="D120" s="22">
        <f t="shared" si="6"/>
        <v>67.698315921108687</v>
      </c>
      <c r="E120" s="22">
        <f t="shared" si="9"/>
        <v>23278.549488872657</v>
      </c>
      <c r="F120" s="20">
        <f t="shared" si="7"/>
        <v>3000</v>
      </c>
      <c r="G120" s="22">
        <f t="shared" si="8"/>
        <v>23028.549488872657</v>
      </c>
      <c r="H120" s="22">
        <v>250</v>
      </c>
      <c r="I120" s="23">
        <v>116</v>
      </c>
      <c r="AA120">
        <v>24928.587141903416</v>
      </c>
    </row>
    <row r="121" spans="2:27" x14ac:dyDescent="0.25">
      <c r="B121" s="22">
        <f t="shared" si="10"/>
        <v>23028.549488872657</v>
      </c>
      <c r="C121" s="21">
        <v>3.5000000000000003E-2</v>
      </c>
      <c r="D121" s="22">
        <f t="shared" si="6"/>
        <v>67.166602675878593</v>
      </c>
      <c r="E121" s="22">
        <f t="shared" si="9"/>
        <v>23095.716091548536</v>
      </c>
      <c r="F121" s="20">
        <f t="shared" si="7"/>
        <v>3000</v>
      </c>
      <c r="G121" s="22">
        <f t="shared" si="8"/>
        <v>22845.716091548536</v>
      </c>
      <c r="H121" s="22">
        <v>250</v>
      </c>
      <c r="I121" s="23">
        <v>117</v>
      </c>
      <c r="AA121">
        <v>25105.362331590874</v>
      </c>
    </row>
    <row r="122" spans="2:27" x14ac:dyDescent="0.25">
      <c r="B122" s="22">
        <f t="shared" si="10"/>
        <v>22845.716091548536</v>
      </c>
      <c r="C122" s="21">
        <v>3.5000000000000003E-2</v>
      </c>
      <c r="D122" s="22">
        <f t="shared" si="6"/>
        <v>66.633338600349902</v>
      </c>
      <c r="E122" s="22">
        <f t="shared" si="9"/>
        <v>22912.349430148886</v>
      </c>
      <c r="F122" s="20">
        <f t="shared" si="7"/>
        <v>3000</v>
      </c>
      <c r="G122" s="22">
        <f t="shared" si="8"/>
        <v>22662.349430148886</v>
      </c>
      <c r="H122" s="22">
        <v>250</v>
      </c>
      <c r="I122" s="23">
        <v>118</v>
      </c>
      <c r="AA122">
        <v>25281.623420560129</v>
      </c>
    </row>
    <row r="123" spans="2:27" x14ac:dyDescent="0.25">
      <c r="B123" s="22">
        <f t="shared" si="10"/>
        <v>22662.349430148886</v>
      </c>
      <c r="C123" s="21">
        <v>3.5000000000000003E-2</v>
      </c>
      <c r="D123" s="22">
        <f t="shared" si="6"/>
        <v>66.098519171267583</v>
      </c>
      <c r="E123" s="22">
        <f t="shared" si="9"/>
        <v>22728.447949320154</v>
      </c>
      <c r="F123" s="20">
        <f t="shared" si="7"/>
        <v>3000</v>
      </c>
      <c r="G123" s="22">
        <f t="shared" si="8"/>
        <v>22478.447949320154</v>
      </c>
      <c r="H123" s="22">
        <v>250</v>
      </c>
      <c r="I123" s="23">
        <v>119</v>
      </c>
      <c r="AA123">
        <v>25457.371903927949</v>
      </c>
    </row>
    <row r="124" spans="2:27" x14ac:dyDescent="0.25">
      <c r="B124" s="22">
        <f t="shared" si="10"/>
        <v>22478.447949320154</v>
      </c>
      <c r="C124" s="21">
        <v>3.5000000000000003E-2</v>
      </c>
      <c r="D124" s="22">
        <f t="shared" si="6"/>
        <v>65.56213985218379</v>
      </c>
      <c r="E124" s="22">
        <f t="shared" si="9"/>
        <v>22544.010089172338</v>
      </c>
      <c r="F124" s="20">
        <f t="shared" si="7"/>
        <v>3000</v>
      </c>
      <c r="G124" s="22">
        <f t="shared" si="8"/>
        <v>22294.010089172338</v>
      </c>
      <c r="H124" s="22">
        <v>250</v>
      </c>
      <c r="I124" s="23">
        <v>120</v>
      </c>
      <c r="AA124">
        <v>25632.609272462967</v>
      </c>
    </row>
    <row r="125" spans="2:27" x14ac:dyDescent="0.25">
      <c r="B125" s="22">
        <f t="shared" si="10"/>
        <v>22294.010089172338</v>
      </c>
      <c r="C125" s="21">
        <v>3.5000000000000003E-2</v>
      </c>
      <c r="D125" s="22">
        <f t="shared" si="6"/>
        <v>65.02419609341932</v>
      </c>
      <c r="E125" s="22">
        <f t="shared" si="9"/>
        <v>22359.034285265756</v>
      </c>
      <c r="F125" s="20">
        <f t="shared" si="7"/>
        <v>3000</v>
      </c>
      <c r="G125" s="22">
        <f t="shared" si="8"/>
        <v>22109.034285265756</v>
      </c>
      <c r="H125" s="22">
        <v>250</v>
      </c>
      <c r="I125" s="23">
        <v>121</v>
      </c>
      <c r="AA125">
        <v>25807.337012598324</v>
      </c>
    </row>
    <row r="126" spans="2:27" x14ac:dyDescent="0.25">
      <c r="B126" s="22">
        <f t="shared" si="10"/>
        <v>22109.034285265756</v>
      </c>
      <c r="C126" s="21">
        <v>3.5000000000000003E-2</v>
      </c>
      <c r="D126" s="22">
        <f t="shared" si="6"/>
        <v>64.484683332025128</v>
      </c>
      <c r="E126" s="22">
        <f t="shared" si="9"/>
        <v>22173.518968597782</v>
      </c>
      <c r="F126" s="20">
        <f t="shared" si="7"/>
        <v>3000</v>
      </c>
      <c r="G126" s="22">
        <f t="shared" si="8"/>
        <v>21923.518968597782</v>
      </c>
      <c r="H126" s="22">
        <v>250</v>
      </c>
      <c r="I126" s="23">
        <v>122</v>
      </c>
      <c r="AA126">
        <v>25981.556606444316</v>
      </c>
    </row>
    <row r="127" spans="2:27" x14ac:dyDescent="0.25">
      <c r="B127" s="22">
        <f t="shared" si="10"/>
        <v>21923.518968597782</v>
      </c>
      <c r="C127" s="21">
        <v>3.5000000000000003E-2</v>
      </c>
      <c r="D127" s="22">
        <f t="shared" si="6"/>
        <v>63.943596991743533</v>
      </c>
      <c r="E127" s="22">
        <f t="shared" si="9"/>
        <v>21987.462565589525</v>
      </c>
      <c r="F127" s="20">
        <f t="shared" si="7"/>
        <v>3000</v>
      </c>
      <c r="G127" s="22">
        <f t="shared" si="8"/>
        <v>21737.462565589525</v>
      </c>
      <c r="H127" s="22">
        <v>250</v>
      </c>
      <c r="I127" s="23">
        <v>123</v>
      </c>
      <c r="AA127">
        <v>26155.269531800914</v>
      </c>
    </row>
    <row r="128" spans="2:27" x14ac:dyDescent="0.25">
      <c r="B128" s="22">
        <f t="shared" si="10"/>
        <v>21737.462565589525</v>
      </c>
      <c r="C128" s="21">
        <v>3.5000000000000003E-2</v>
      </c>
      <c r="D128" s="22">
        <f t="shared" si="6"/>
        <v>63.400932482969452</v>
      </c>
      <c r="E128" s="22">
        <f t="shared" si="9"/>
        <v>21800.863498072496</v>
      </c>
      <c r="F128" s="20">
        <f t="shared" si="7"/>
        <v>3000</v>
      </c>
      <c r="G128" s="22">
        <f t="shared" si="8"/>
        <v>21550.863498072496</v>
      </c>
      <c r="H128" s="22">
        <v>250</v>
      </c>
      <c r="I128" s="23">
        <v>124</v>
      </c>
      <c r="AA128">
        <v>26328.477262170352</v>
      </c>
    </row>
    <row r="129" spans="2:27" x14ac:dyDescent="0.25">
      <c r="B129" s="22">
        <f t="shared" si="10"/>
        <v>21550.863498072496</v>
      </c>
      <c r="C129" s="21">
        <v>3.5000000000000003E-2</v>
      </c>
      <c r="D129" s="22">
        <f t="shared" si="6"/>
        <v>62.856685202711454</v>
      </c>
      <c r="E129" s="22">
        <f t="shared" si="9"/>
        <v>21613.720183275207</v>
      </c>
      <c r="F129" s="20">
        <f t="shared" si="7"/>
        <v>3000</v>
      </c>
      <c r="G129" s="22">
        <f t="shared" si="8"/>
        <v>21363.720183275207</v>
      </c>
      <c r="H129" s="22">
        <v>250</v>
      </c>
      <c r="I129" s="23">
        <v>125</v>
      </c>
      <c r="AA129">
        <v>26501.181266769567</v>
      </c>
    </row>
    <row r="130" spans="2:27" x14ac:dyDescent="0.25">
      <c r="B130" s="22">
        <f t="shared" si="10"/>
        <v>21363.720183275207</v>
      </c>
      <c r="C130" s="21">
        <v>3.5000000000000003E-2</v>
      </c>
      <c r="D130" s="22">
        <f t="shared" si="6"/>
        <v>62.310850534552692</v>
      </c>
      <c r="E130" s="22">
        <f t="shared" si="9"/>
        <v>21426.031033809759</v>
      </c>
      <c r="F130" s="20">
        <f t="shared" si="7"/>
        <v>3000</v>
      </c>
      <c r="G130" s="22">
        <f t="shared" si="8"/>
        <v>21176.031033809759</v>
      </c>
      <c r="H130" s="22">
        <v>250</v>
      </c>
      <c r="I130" s="23">
        <v>126</v>
      </c>
      <c r="AA130">
        <v>26673.383010542726</v>
      </c>
    </row>
    <row r="131" spans="2:27" x14ac:dyDescent="0.25">
      <c r="B131" s="22">
        <f t="shared" si="10"/>
        <v>21176.031033809759</v>
      </c>
      <c r="C131" s="21">
        <v>3.5000000000000003E-2</v>
      </c>
      <c r="D131" s="22">
        <f t="shared" si="6"/>
        <v>61.763423848611801</v>
      </c>
      <c r="E131" s="22">
        <f t="shared" si="9"/>
        <v>21237.794457658372</v>
      </c>
      <c r="F131" s="20">
        <f t="shared" si="7"/>
        <v>3000</v>
      </c>
      <c r="G131" s="22">
        <f t="shared" si="8"/>
        <v>20987.794457658372</v>
      </c>
      <c r="H131" s="22">
        <v>250</v>
      </c>
      <c r="I131" s="23">
        <v>127</v>
      </c>
      <c r="AA131">
        <v>26845.083954173591</v>
      </c>
    </row>
    <row r="132" spans="2:27" x14ac:dyDescent="0.25">
      <c r="B132" s="22">
        <f t="shared" si="10"/>
        <v>20987.794457658372</v>
      </c>
      <c r="C132" s="21">
        <v>3.5000000000000003E-2</v>
      </c>
      <c r="D132" s="22">
        <f t="shared" si="6"/>
        <v>61.21440050150359</v>
      </c>
      <c r="E132" s="22">
        <f t="shared" si="9"/>
        <v>21049.008858159876</v>
      </c>
      <c r="F132" s="20">
        <f t="shared" si="7"/>
        <v>3000</v>
      </c>
      <c r="G132" s="22">
        <f t="shared" si="8"/>
        <v>20799.008858159876</v>
      </c>
      <c r="H132" s="22">
        <v>250</v>
      </c>
      <c r="I132" s="23">
        <v>128</v>
      </c>
      <c r="AA132">
        <v>27016.285554097958</v>
      </c>
    </row>
    <row r="133" spans="2:27" x14ac:dyDescent="0.25">
      <c r="B133" s="22">
        <f t="shared" si="10"/>
        <v>20799.008858159876</v>
      </c>
      <c r="C133" s="21">
        <v>3.5000000000000003E-2</v>
      </c>
      <c r="D133" s="22">
        <f t="shared" si="6"/>
        <v>60.663775836299642</v>
      </c>
      <c r="E133" s="22">
        <f t="shared" si="9"/>
        <v>20859.672633996175</v>
      </c>
      <c r="F133" s="20">
        <f t="shared" si="7"/>
        <v>3000</v>
      </c>
      <c r="G133" s="22">
        <f t="shared" si="8"/>
        <v>20609.672633996175</v>
      </c>
      <c r="H133" s="22">
        <v>250</v>
      </c>
      <c r="I133" s="23">
        <v>129</v>
      </c>
      <c r="AA133">
        <v>27186.989262515985</v>
      </c>
    </row>
    <row r="134" spans="2:27" x14ac:dyDescent="0.25">
      <c r="B134" s="22">
        <f t="shared" si="10"/>
        <v>20609.672633996175</v>
      </c>
      <c r="C134" s="21">
        <v>3.5000000000000003E-2</v>
      </c>
      <c r="D134" s="22">
        <f t="shared" ref="D134:D197" si="11">B134*(0.035/12)</f>
        <v>60.111545182488847</v>
      </c>
      <c r="E134" s="22">
        <f t="shared" si="9"/>
        <v>20669.784179178663</v>
      </c>
      <c r="F134" s="20">
        <f t="shared" ref="F134:F197" si="12">H134*12</f>
        <v>3000</v>
      </c>
      <c r="G134" s="22">
        <f t="shared" ref="G134:G197" si="13">E134-H134</f>
        <v>20419.784179178663</v>
      </c>
      <c r="H134" s="22">
        <v>250</v>
      </c>
      <c r="I134" s="23">
        <v>130</v>
      </c>
      <c r="AA134">
        <v>27357.196527404511</v>
      </c>
    </row>
    <row r="135" spans="2:27" x14ac:dyDescent="0.25">
      <c r="B135" s="22">
        <f t="shared" si="10"/>
        <v>20419.784179178663</v>
      </c>
      <c r="C135" s="21">
        <v>3.5000000000000003E-2</v>
      </c>
      <c r="D135" s="22">
        <f t="shared" si="11"/>
        <v>59.557703855937767</v>
      </c>
      <c r="E135" s="22">
        <f t="shared" ref="E135:E198" si="14">B135+D135</f>
        <v>20479.341883034602</v>
      </c>
      <c r="F135" s="20">
        <f t="shared" si="12"/>
        <v>3000</v>
      </c>
      <c r="G135" s="22">
        <f t="shared" si="13"/>
        <v>20229.341883034602</v>
      </c>
      <c r="H135" s="22">
        <v>250</v>
      </c>
      <c r="I135" s="23">
        <v>131</v>
      </c>
      <c r="AA135">
        <v>27526.90879252935</v>
      </c>
    </row>
    <row r="136" spans="2:27" x14ac:dyDescent="0.25">
      <c r="B136" s="22">
        <f t="shared" si="10"/>
        <v>20229.341883034602</v>
      </c>
      <c r="C136" s="21">
        <v>3.5000000000000003E-2</v>
      </c>
      <c r="D136" s="22">
        <f t="shared" si="11"/>
        <v>59.002247158850928</v>
      </c>
      <c r="E136" s="22">
        <f t="shared" si="14"/>
        <v>20288.344130193454</v>
      </c>
      <c r="F136" s="20">
        <f t="shared" si="12"/>
        <v>3000</v>
      </c>
      <c r="G136" s="22">
        <f t="shared" si="13"/>
        <v>20038.344130193454</v>
      </c>
      <c r="H136" s="22">
        <v>250</v>
      </c>
      <c r="I136" s="23">
        <v>132</v>
      </c>
      <c r="AA136">
        <v>27696.127497457521</v>
      </c>
    </row>
    <row r="137" spans="2:27" x14ac:dyDescent="0.25">
      <c r="B137" s="22">
        <f t="shared" si="10"/>
        <v>20038.344130193454</v>
      </c>
      <c r="C137" s="21">
        <v>3.5000000000000003E-2</v>
      </c>
      <c r="D137" s="22">
        <f t="shared" si="11"/>
        <v>58.445170379730911</v>
      </c>
      <c r="E137" s="22">
        <f t="shared" si="14"/>
        <v>20096.789300573186</v>
      </c>
      <c r="F137" s="20">
        <f t="shared" si="12"/>
        <v>3000</v>
      </c>
      <c r="G137" s="22">
        <f t="shared" si="13"/>
        <v>19846.789300573186</v>
      </c>
      <c r="H137" s="22">
        <v>250</v>
      </c>
      <c r="I137" s="23">
        <v>133</v>
      </c>
      <c r="AA137">
        <v>27864.854077569482</v>
      </c>
    </row>
    <row r="138" spans="2:27" x14ac:dyDescent="0.25">
      <c r="B138" s="22">
        <f t="shared" si="10"/>
        <v>19846.789300573186</v>
      </c>
      <c r="C138" s="21">
        <v>3.5000000000000003E-2</v>
      </c>
      <c r="D138" s="22">
        <f t="shared" si="11"/>
        <v>57.886468793338459</v>
      </c>
      <c r="E138" s="22">
        <f t="shared" si="14"/>
        <v>19904.675769366524</v>
      </c>
      <c r="F138" s="20">
        <f t="shared" si="12"/>
        <v>3000</v>
      </c>
      <c r="G138" s="22">
        <f t="shared" si="13"/>
        <v>19654.675769366524</v>
      </c>
      <c r="H138" s="22">
        <v>250</v>
      </c>
      <c r="I138" s="23">
        <v>134</v>
      </c>
      <c r="AA138">
        <v>28033.089964071278</v>
      </c>
    </row>
    <row r="139" spans="2:27" x14ac:dyDescent="0.25">
      <c r="B139" s="22">
        <f t="shared" si="10"/>
        <v>19654.675769366524</v>
      </c>
      <c r="C139" s="21">
        <v>3.5000000000000003E-2</v>
      </c>
      <c r="D139" s="22">
        <f t="shared" si="11"/>
        <v>57.326137660652364</v>
      </c>
      <c r="E139" s="22">
        <f t="shared" si="14"/>
        <v>19712.001907027177</v>
      </c>
      <c r="F139" s="20">
        <f t="shared" si="12"/>
        <v>3000</v>
      </c>
      <c r="G139" s="22">
        <f t="shared" si="13"/>
        <v>19462.001907027177</v>
      </c>
      <c r="H139" s="22">
        <v>250</v>
      </c>
      <c r="I139" s="23">
        <v>135</v>
      </c>
      <c r="AA139">
        <v>28200.836584006716</v>
      </c>
    </row>
    <row r="140" spans="2:27" x14ac:dyDescent="0.25">
      <c r="B140" s="22">
        <f t="shared" si="10"/>
        <v>19462.001907027177</v>
      </c>
      <c r="C140" s="21">
        <v>3.5000000000000003E-2</v>
      </c>
      <c r="D140" s="22">
        <f t="shared" si="11"/>
        <v>56.764172228829267</v>
      </c>
      <c r="E140" s="22">
        <f t="shared" si="14"/>
        <v>19518.766079256005</v>
      </c>
      <c r="F140" s="20">
        <f t="shared" si="12"/>
        <v>3000</v>
      </c>
      <c r="G140" s="22">
        <f t="shared" si="13"/>
        <v>19268.766079256005</v>
      </c>
      <c r="H140" s="22">
        <v>250</v>
      </c>
      <c r="I140" s="23">
        <v>136</v>
      </c>
      <c r="AA140">
        <v>28368.095360269421</v>
      </c>
    </row>
    <row r="141" spans="2:27" x14ac:dyDescent="0.25">
      <c r="B141" s="22">
        <f t="shared" si="10"/>
        <v>19268.766079256005</v>
      </c>
      <c r="C141" s="21">
        <v>3.5000000000000003E-2</v>
      </c>
      <c r="D141" s="22">
        <f t="shared" si="11"/>
        <v>56.200567731163353</v>
      </c>
      <c r="E141" s="22">
        <f t="shared" si="14"/>
        <v>19324.96664698717</v>
      </c>
      <c r="F141" s="20">
        <f t="shared" si="12"/>
        <v>3000</v>
      </c>
      <c r="G141" s="22">
        <f t="shared" si="13"/>
        <v>19074.96664698717</v>
      </c>
      <c r="H141" s="22">
        <v>250</v>
      </c>
      <c r="I141" s="23">
        <v>137</v>
      </c>
      <c r="AA141">
        <v>28534.867711614963</v>
      </c>
    </row>
    <row r="142" spans="2:27" x14ac:dyDescent="0.25">
      <c r="B142" s="22">
        <f t="shared" si="10"/>
        <v>19074.96664698717</v>
      </c>
      <c r="C142" s="21">
        <v>3.5000000000000003E-2</v>
      </c>
      <c r="D142" s="22">
        <f t="shared" si="11"/>
        <v>55.635319387045918</v>
      </c>
      <c r="E142" s="22">
        <f t="shared" si="14"/>
        <v>19130.601966374215</v>
      </c>
      <c r="F142" s="20">
        <f t="shared" si="12"/>
        <v>3000</v>
      </c>
      <c r="G142" s="22">
        <f t="shared" si="13"/>
        <v>18880.601966374215</v>
      </c>
      <c r="H142" s="22">
        <v>250</v>
      </c>
      <c r="I142" s="23">
        <v>138</v>
      </c>
      <c r="AA142">
        <v>28701.155052672839</v>
      </c>
    </row>
    <row r="143" spans="2:27" x14ac:dyDescent="0.25">
      <c r="B143" s="22">
        <f t="shared" si="10"/>
        <v>18880.601966374215</v>
      </c>
      <c r="C143" s="21">
        <v>3.5000000000000003E-2</v>
      </c>
      <c r="D143" s="22">
        <f t="shared" si="11"/>
        <v>55.068422401924799</v>
      </c>
      <c r="E143" s="22">
        <f t="shared" si="14"/>
        <v>18935.67038877614</v>
      </c>
      <c r="F143" s="20">
        <f t="shared" si="12"/>
        <v>3000</v>
      </c>
      <c r="G143" s="22">
        <f t="shared" si="13"/>
        <v>18685.67038877614</v>
      </c>
      <c r="H143" s="22">
        <v>250</v>
      </c>
      <c r="I143" s="23">
        <v>139</v>
      </c>
      <c r="AA143">
        <v>28866.9587939585</v>
      </c>
    </row>
    <row r="144" spans="2:27" x14ac:dyDescent="0.25">
      <c r="B144" s="22">
        <f t="shared" si="10"/>
        <v>18685.67038877614</v>
      </c>
      <c r="C144" s="21">
        <v>3.5000000000000003E-2</v>
      </c>
      <c r="D144" s="22">
        <f t="shared" si="11"/>
        <v>54.499871967263743</v>
      </c>
      <c r="E144" s="22">
        <f t="shared" si="14"/>
        <v>18740.170260743402</v>
      </c>
      <c r="F144" s="20">
        <f t="shared" si="12"/>
        <v>3000</v>
      </c>
      <c r="G144" s="22">
        <f t="shared" si="13"/>
        <v>18490.170260743402</v>
      </c>
      <c r="H144" s="22">
        <v>250</v>
      </c>
      <c r="I144" s="23">
        <v>140</v>
      </c>
      <c r="AA144">
        <v>29032.280341885336</v>
      </c>
    </row>
    <row r="145" spans="2:27" x14ac:dyDescent="0.25">
      <c r="B145" s="22">
        <f t="shared" si="10"/>
        <v>18490.170260743402</v>
      </c>
      <c r="C145" s="21">
        <v>3.5000000000000003E-2</v>
      </c>
      <c r="D145" s="22">
        <f t="shared" si="11"/>
        <v>53.929663260501592</v>
      </c>
      <c r="E145" s="22">
        <f t="shared" si="14"/>
        <v>18544.099924003902</v>
      </c>
      <c r="F145" s="20">
        <f t="shared" si="12"/>
        <v>3000</v>
      </c>
      <c r="G145" s="22">
        <f t="shared" si="13"/>
        <v>18294.099924003902</v>
      </c>
      <c r="H145" s="22">
        <v>250</v>
      </c>
      <c r="I145" s="23">
        <v>141</v>
      </c>
      <c r="AA145">
        <v>29197.121098776537</v>
      </c>
    </row>
    <row r="146" spans="2:27" x14ac:dyDescent="0.25">
      <c r="B146" s="22">
        <f t="shared" si="10"/>
        <v>18294.099924003902</v>
      </c>
      <c r="C146" s="21">
        <v>3.5000000000000003E-2</v>
      </c>
      <c r="D146" s="22">
        <f t="shared" si="11"/>
        <v>53.357791445011379</v>
      </c>
      <c r="E146" s="22">
        <f t="shared" si="14"/>
        <v>18347.457715448912</v>
      </c>
      <c r="F146" s="20">
        <f t="shared" si="12"/>
        <v>3000</v>
      </c>
      <c r="G146" s="22">
        <f t="shared" si="13"/>
        <v>18097.457715448912</v>
      </c>
      <c r="H146" s="22">
        <v>250</v>
      </c>
      <c r="I146" s="23">
        <v>142</v>
      </c>
      <c r="AA146">
        <v>29361.482462877069</v>
      </c>
    </row>
    <row r="147" spans="2:27" x14ac:dyDescent="0.25">
      <c r="B147" s="22">
        <f t="shared" si="10"/>
        <v>18097.457715448912</v>
      </c>
      <c r="C147" s="21">
        <v>3.5000000000000003E-2</v>
      </c>
      <c r="D147" s="22">
        <f t="shared" si="11"/>
        <v>52.784251670059334</v>
      </c>
      <c r="E147" s="22">
        <f t="shared" si="14"/>
        <v>18150.241967118971</v>
      </c>
      <c r="F147" s="20">
        <f t="shared" si="12"/>
        <v>3000</v>
      </c>
      <c r="G147" s="22">
        <f t="shared" si="13"/>
        <v>17900.241967118971</v>
      </c>
      <c r="H147" s="22">
        <v>250</v>
      </c>
      <c r="I147" s="23">
        <v>143</v>
      </c>
      <c r="AA147">
        <v>29525.365828365484</v>
      </c>
    </row>
    <row r="148" spans="2:27" x14ac:dyDescent="0.25">
      <c r="B148" s="22">
        <f t="shared" si="10"/>
        <v>17900.241967118971</v>
      </c>
      <c r="C148" s="21">
        <v>3.5000000000000003E-2</v>
      </c>
      <c r="D148" s="22">
        <f t="shared" si="11"/>
        <v>52.209039070763666</v>
      </c>
      <c r="E148" s="22">
        <f t="shared" si="14"/>
        <v>17952.451006189734</v>
      </c>
      <c r="F148" s="20">
        <f t="shared" si="12"/>
        <v>3000</v>
      </c>
      <c r="G148" s="22">
        <f t="shared" si="13"/>
        <v>17702.451006189734</v>
      </c>
      <c r="H148" s="22">
        <v>250</v>
      </c>
      <c r="I148" s="23">
        <v>144</v>
      </c>
      <c r="AA148">
        <v>29688.772585365747</v>
      </c>
    </row>
    <row r="149" spans="2:27" x14ac:dyDescent="0.25">
      <c r="B149" s="22">
        <f t="shared" si="10"/>
        <v>17702.451006189734</v>
      </c>
      <c r="C149" s="21">
        <v>3.5000000000000003E-2</v>
      </c>
      <c r="D149" s="22">
        <f t="shared" si="11"/>
        <v>51.632148768053398</v>
      </c>
      <c r="E149" s="22">
        <f t="shared" si="14"/>
        <v>17754.083154957789</v>
      </c>
      <c r="F149" s="20">
        <f t="shared" si="12"/>
        <v>3000</v>
      </c>
      <c r="G149" s="22">
        <f t="shared" si="13"/>
        <v>17504.083154957789</v>
      </c>
      <c r="H149" s="22">
        <v>250</v>
      </c>
      <c r="I149" s="23">
        <v>145</v>
      </c>
      <c r="AA149">
        <v>29851.704119959068</v>
      </c>
    </row>
    <row r="150" spans="2:27" x14ac:dyDescent="0.25">
      <c r="B150" s="22">
        <f t="shared" si="10"/>
        <v>17504.083154957789</v>
      </c>
      <c r="C150" s="21">
        <v>3.5000000000000003E-2</v>
      </c>
      <c r="D150" s="22">
        <f t="shared" si="11"/>
        <v>51.053575868626886</v>
      </c>
      <c r="E150" s="22">
        <f t="shared" si="14"/>
        <v>17555.136730826416</v>
      </c>
      <c r="F150" s="20">
        <f t="shared" si="12"/>
        <v>3000</v>
      </c>
      <c r="G150" s="22">
        <f t="shared" si="13"/>
        <v>17305.136730826416</v>
      </c>
      <c r="H150" s="22">
        <v>250</v>
      </c>
      <c r="I150" s="23">
        <v>146</v>
      </c>
      <c r="AA150">
        <v>30014.161814195606</v>
      </c>
    </row>
    <row r="151" spans="2:27" x14ac:dyDescent="0.25">
      <c r="B151" s="22">
        <f t="shared" si="10"/>
        <v>17305.136730826416</v>
      </c>
      <c r="C151" s="21">
        <v>3.5000000000000003E-2</v>
      </c>
      <c r="D151" s="22">
        <f t="shared" si="11"/>
        <v>50.473315464910385</v>
      </c>
      <c r="E151" s="22">
        <f t="shared" si="14"/>
        <v>17355.610046291327</v>
      </c>
      <c r="F151" s="20">
        <f t="shared" si="12"/>
        <v>3000</v>
      </c>
      <c r="G151" s="22">
        <f t="shared" si="13"/>
        <v>17105.610046291327</v>
      </c>
      <c r="H151" s="22">
        <v>250</v>
      </c>
      <c r="I151" s="23">
        <v>147</v>
      </c>
      <c r="AA151">
        <v>30176.147046106245</v>
      </c>
    </row>
    <row r="152" spans="2:27" x14ac:dyDescent="0.25">
      <c r="B152" s="22">
        <f t="shared" si="10"/>
        <v>17105.610046291327</v>
      </c>
      <c r="C152" s="21">
        <v>3.5000000000000003E-2</v>
      </c>
      <c r="D152" s="22">
        <f t="shared" si="11"/>
        <v>49.891362635016371</v>
      </c>
      <c r="E152" s="22">
        <f t="shared" si="14"/>
        <v>17155.501408926342</v>
      </c>
      <c r="F152" s="20">
        <f t="shared" si="12"/>
        <v>3000</v>
      </c>
      <c r="G152" s="22">
        <f t="shared" si="13"/>
        <v>16905.501408926342</v>
      </c>
      <c r="H152" s="22">
        <v>250</v>
      </c>
      <c r="I152" s="23">
        <v>148</v>
      </c>
      <c r="AA152">
        <v>30337.66118971421</v>
      </c>
    </row>
    <row r="153" spans="2:27" x14ac:dyDescent="0.25">
      <c r="B153" s="22">
        <f t="shared" si="10"/>
        <v>16905.501408926342</v>
      </c>
      <c r="C153" s="21">
        <v>3.5000000000000003E-2</v>
      </c>
      <c r="D153" s="22">
        <f t="shared" si="11"/>
        <v>49.307712442701835</v>
      </c>
      <c r="E153" s="22">
        <f t="shared" si="14"/>
        <v>16954.809121369046</v>
      </c>
      <c r="F153" s="20">
        <f t="shared" si="12"/>
        <v>3000</v>
      </c>
      <c r="G153" s="22">
        <f t="shared" si="13"/>
        <v>16704.809121369046</v>
      </c>
      <c r="H153" s="22">
        <v>250</v>
      </c>
      <c r="I153" s="23">
        <v>149</v>
      </c>
      <c r="AA153">
        <v>30498.705615046812</v>
      </c>
    </row>
    <row r="154" spans="2:27" x14ac:dyDescent="0.25">
      <c r="B154" s="22">
        <f t="shared" si="10"/>
        <v>16704.809121369046</v>
      </c>
      <c r="C154" s="21">
        <v>3.5000000000000003E-2</v>
      </c>
      <c r="D154" s="22">
        <f t="shared" si="11"/>
        <v>48.722359937326388</v>
      </c>
      <c r="E154" s="22">
        <f t="shared" si="14"/>
        <v>16753.531481306371</v>
      </c>
      <c r="F154" s="20">
        <f t="shared" si="12"/>
        <v>3000</v>
      </c>
      <c r="G154" s="22">
        <f t="shared" si="13"/>
        <v>16503.531481306371</v>
      </c>
      <c r="H154" s="22">
        <v>250</v>
      </c>
      <c r="I154" s="23">
        <v>150</v>
      </c>
      <c r="AA154">
        <v>30659.281688146995</v>
      </c>
    </row>
    <row r="155" spans="2:27" x14ac:dyDescent="0.25">
      <c r="B155" s="22">
        <f t="shared" si="10"/>
        <v>16503.531481306371</v>
      </c>
      <c r="C155" s="21">
        <v>3.5000000000000003E-2</v>
      </c>
      <c r="D155" s="22">
        <f t="shared" si="11"/>
        <v>48.135300153810249</v>
      </c>
      <c r="E155" s="22">
        <f t="shared" si="14"/>
        <v>16551.666781460182</v>
      </c>
      <c r="F155" s="20">
        <f t="shared" si="12"/>
        <v>3000</v>
      </c>
      <c r="G155" s="22">
        <f t="shared" si="13"/>
        <v>16301.666781460182</v>
      </c>
      <c r="H155" s="22">
        <v>250</v>
      </c>
      <c r="I155" s="23">
        <v>151</v>
      </c>
      <c r="AA155">
        <v>30819.390771084971</v>
      </c>
    </row>
    <row r="156" spans="2:27" x14ac:dyDescent="0.25">
      <c r="B156" s="22">
        <f t="shared" si="10"/>
        <v>16301.666781460182</v>
      </c>
      <c r="C156" s="21">
        <v>3.5000000000000003E-2</v>
      </c>
      <c r="D156" s="22">
        <f t="shared" si="11"/>
        <v>47.546528112592199</v>
      </c>
      <c r="E156" s="22">
        <f t="shared" si="14"/>
        <v>16349.213309572775</v>
      </c>
      <c r="F156" s="20">
        <f t="shared" si="12"/>
        <v>3000</v>
      </c>
      <c r="G156" s="22">
        <f t="shared" si="13"/>
        <v>16099.213309572775</v>
      </c>
      <c r="H156" s="22">
        <v>250</v>
      </c>
      <c r="I156" s="23">
        <v>152</v>
      </c>
      <c r="AA156">
        <v>30979.034221969763</v>
      </c>
    </row>
    <row r="157" spans="2:27" x14ac:dyDescent="0.25">
      <c r="B157" s="22">
        <f t="shared" ref="B157:B220" si="15">G156</f>
        <v>16099.213309572775</v>
      </c>
      <c r="C157" s="21">
        <v>3.5000000000000003E-2</v>
      </c>
      <c r="D157" s="22">
        <f t="shared" si="11"/>
        <v>46.956038819587263</v>
      </c>
      <c r="E157" s="22">
        <f t="shared" si="14"/>
        <v>16146.169348392363</v>
      </c>
      <c r="F157" s="20">
        <f t="shared" si="12"/>
        <v>3000</v>
      </c>
      <c r="G157" s="22">
        <f t="shared" si="13"/>
        <v>15896.169348392363</v>
      </c>
      <c r="H157" s="22">
        <v>250</v>
      </c>
      <c r="I157" s="23">
        <v>153</v>
      </c>
      <c r="AA157">
        <v>31138.21339496069</v>
      </c>
    </row>
    <row r="158" spans="2:27" x14ac:dyDescent="0.25">
      <c r="B158" s="22">
        <f t="shared" si="15"/>
        <v>15896.169348392363</v>
      </c>
      <c r="C158" s="21">
        <v>3.5000000000000003E-2</v>
      </c>
      <c r="D158" s="22">
        <f t="shared" si="11"/>
        <v>46.363827266144391</v>
      </c>
      <c r="E158" s="22">
        <f t="shared" si="14"/>
        <v>15942.533175658507</v>
      </c>
      <c r="F158" s="20">
        <f t="shared" si="12"/>
        <v>3000</v>
      </c>
      <c r="G158" s="22">
        <f t="shared" si="13"/>
        <v>15692.533175658507</v>
      </c>
      <c r="H158" s="22">
        <v>250</v>
      </c>
      <c r="I158" s="23">
        <v>154</v>
      </c>
      <c r="AA158">
        <v>31296.92964027889</v>
      </c>
    </row>
    <row r="159" spans="2:27" x14ac:dyDescent="0.25">
      <c r="B159" s="22">
        <f t="shared" si="15"/>
        <v>15692.533175658507</v>
      </c>
      <c r="C159" s="21">
        <v>3.5000000000000003E-2</v>
      </c>
      <c r="D159" s="22">
        <f t="shared" si="11"/>
        <v>45.769888429003984</v>
      </c>
      <c r="E159" s="22">
        <f t="shared" si="14"/>
        <v>15738.303064087511</v>
      </c>
      <c r="F159" s="20">
        <f t="shared" si="12"/>
        <v>3000</v>
      </c>
      <c r="G159" s="22">
        <f t="shared" si="13"/>
        <v>15488.303064087511</v>
      </c>
      <c r="H159" s="22">
        <v>250</v>
      </c>
      <c r="I159" s="23">
        <v>155</v>
      </c>
      <c r="AA159">
        <v>31455.184304218783</v>
      </c>
    </row>
    <row r="160" spans="2:27" x14ac:dyDescent="0.25">
      <c r="B160" s="22">
        <f t="shared" si="15"/>
        <v>15488.303064087511</v>
      </c>
      <c r="C160" s="21">
        <v>3.5000000000000003E-2</v>
      </c>
      <c r="D160" s="22">
        <f t="shared" si="11"/>
        <v>45.174217270255241</v>
      </c>
      <c r="E160" s="22">
        <f t="shared" si="14"/>
        <v>15533.477281357767</v>
      </c>
      <c r="F160" s="20">
        <f t="shared" si="12"/>
        <v>3000</v>
      </c>
      <c r="G160" s="22">
        <f t="shared" si="13"/>
        <v>15283.477281357767</v>
      </c>
      <c r="H160" s="22">
        <v>250</v>
      </c>
      <c r="I160" s="23">
        <v>156</v>
      </c>
      <c r="AA160">
        <v>31612.978729159444</v>
      </c>
    </row>
    <row r="161" spans="2:27" x14ac:dyDescent="0.25">
      <c r="B161" s="22">
        <f t="shared" si="15"/>
        <v>15283.477281357767</v>
      </c>
      <c r="C161" s="21">
        <v>3.5000000000000003E-2</v>
      </c>
      <c r="D161" s="22">
        <f t="shared" si="11"/>
        <v>44.57680873729349</v>
      </c>
      <c r="E161" s="22">
        <f t="shared" si="14"/>
        <v>15328.05409009506</v>
      </c>
      <c r="F161" s="20">
        <f t="shared" si="12"/>
        <v>3000</v>
      </c>
      <c r="G161" s="22">
        <f t="shared" si="13"/>
        <v>15078.05409009506</v>
      </c>
      <c r="H161" s="22">
        <v>250</v>
      </c>
      <c r="I161" s="23">
        <v>157</v>
      </c>
      <c r="AA161">
        <v>31770.314253576049</v>
      </c>
    </row>
    <row r="162" spans="2:27" x14ac:dyDescent="0.25">
      <c r="B162" s="22">
        <f t="shared" si="15"/>
        <v>15078.05409009506</v>
      </c>
      <c r="C162" s="21">
        <v>3.5000000000000003E-2</v>
      </c>
      <c r="D162" s="22">
        <f t="shared" si="11"/>
        <v>43.977657762777262</v>
      </c>
      <c r="E162" s="22">
        <f t="shared" si="14"/>
        <v>15122.031747857838</v>
      </c>
      <c r="F162" s="20">
        <f t="shared" si="12"/>
        <v>3000</v>
      </c>
      <c r="G162" s="22">
        <f t="shared" si="13"/>
        <v>14872.031747857838</v>
      </c>
      <c r="H162" s="22">
        <v>250</v>
      </c>
      <c r="I162" s="23">
        <v>158</v>
      </c>
      <c r="AA162">
        <v>31927.192212051163</v>
      </c>
    </row>
    <row r="163" spans="2:27" x14ac:dyDescent="0.25">
      <c r="B163" s="22">
        <f t="shared" si="15"/>
        <v>14872.031747857838</v>
      </c>
      <c r="C163" s="21">
        <v>3.5000000000000003E-2</v>
      </c>
      <c r="D163" s="22">
        <f t="shared" si="11"/>
        <v>43.37675926458536</v>
      </c>
      <c r="E163" s="22">
        <f t="shared" si="14"/>
        <v>14915.408507122424</v>
      </c>
      <c r="F163" s="20">
        <f t="shared" si="12"/>
        <v>3000</v>
      </c>
      <c r="G163" s="22">
        <f t="shared" si="13"/>
        <v>14665.408507122424</v>
      </c>
      <c r="H163" s="22">
        <v>250</v>
      </c>
      <c r="I163" s="23">
        <v>159</v>
      </c>
      <c r="AA163">
        <v>32083.613935286125</v>
      </c>
    </row>
    <row r="164" spans="2:27" x14ac:dyDescent="0.25">
      <c r="B164" s="22">
        <f t="shared" si="15"/>
        <v>14665.408507122424</v>
      </c>
      <c r="C164" s="21">
        <v>3.5000000000000003E-2</v>
      </c>
      <c r="D164" s="22">
        <f t="shared" si="11"/>
        <v>42.774108145773738</v>
      </c>
      <c r="E164" s="22">
        <f t="shared" si="14"/>
        <v>14708.182615268197</v>
      </c>
      <c r="F164" s="20">
        <f t="shared" si="12"/>
        <v>3000</v>
      </c>
      <c r="G164" s="22">
        <f t="shared" si="13"/>
        <v>14458.182615268197</v>
      </c>
      <c r="H164" s="22">
        <v>250</v>
      </c>
      <c r="I164" s="23">
        <v>160</v>
      </c>
      <c r="AA164">
        <v>32239.580750112276</v>
      </c>
    </row>
    <row r="165" spans="2:27" x14ac:dyDescent="0.25">
      <c r="B165" s="22">
        <f t="shared" si="15"/>
        <v>14458.182615268197</v>
      </c>
      <c r="C165" s="21">
        <v>3.5000000000000003E-2</v>
      </c>
      <c r="D165" s="22">
        <f t="shared" si="11"/>
        <v>42.169699294532244</v>
      </c>
      <c r="E165" s="22">
        <f t="shared" si="14"/>
        <v>14500.35231456273</v>
      </c>
      <c r="F165" s="20">
        <f t="shared" si="12"/>
        <v>3000</v>
      </c>
      <c r="G165" s="22">
        <f t="shared" si="13"/>
        <v>14250.35231456273</v>
      </c>
      <c r="H165" s="22">
        <v>250</v>
      </c>
      <c r="I165" s="23">
        <v>161</v>
      </c>
      <c r="AA165">
        <v>32395.093979502268</v>
      </c>
    </row>
    <row r="166" spans="2:27" x14ac:dyDescent="0.25">
      <c r="B166" s="22">
        <f t="shared" si="15"/>
        <v>14250.35231456273</v>
      </c>
      <c r="C166" s="21">
        <v>3.5000000000000003E-2</v>
      </c>
      <c r="D166" s="22">
        <f t="shared" si="11"/>
        <v>41.563527584141298</v>
      </c>
      <c r="E166" s="22">
        <f t="shared" si="14"/>
        <v>14291.915842146871</v>
      </c>
      <c r="F166" s="20">
        <f t="shared" si="12"/>
        <v>3000</v>
      </c>
      <c r="G166" s="22">
        <f t="shared" si="13"/>
        <v>14041.915842146871</v>
      </c>
      <c r="H166" s="22">
        <v>250</v>
      </c>
      <c r="I166" s="23">
        <v>162</v>
      </c>
      <c r="AA166">
        <v>32550.154942581241</v>
      </c>
    </row>
    <row r="167" spans="2:27" x14ac:dyDescent="0.25">
      <c r="B167" s="22">
        <f t="shared" si="15"/>
        <v>14041.915842146871</v>
      </c>
      <c r="C167" s="21">
        <v>3.5000000000000003E-2</v>
      </c>
      <c r="D167" s="22">
        <f t="shared" si="11"/>
        <v>40.955587872928376</v>
      </c>
      <c r="E167" s="22">
        <f t="shared" si="14"/>
        <v>14082.871430019799</v>
      </c>
      <c r="F167" s="20">
        <f t="shared" si="12"/>
        <v>3000</v>
      </c>
      <c r="G167" s="22">
        <f t="shared" si="13"/>
        <v>13832.871430019799</v>
      </c>
      <c r="H167" s="22">
        <v>250</v>
      </c>
      <c r="I167" s="23">
        <v>163</v>
      </c>
      <c r="AA167">
        <v>32704.764954638053</v>
      </c>
    </row>
    <row r="168" spans="2:27" x14ac:dyDescent="0.25">
      <c r="B168" s="22">
        <f t="shared" si="15"/>
        <v>13832.871430019799</v>
      </c>
      <c r="C168" s="21">
        <v>3.5000000000000003E-2</v>
      </c>
      <c r="D168" s="22">
        <f t="shared" si="11"/>
        <v>40.345875004224418</v>
      </c>
      <c r="E168" s="22">
        <f t="shared" si="14"/>
        <v>13873.217305024024</v>
      </c>
      <c r="F168" s="20">
        <f t="shared" si="12"/>
        <v>3000</v>
      </c>
      <c r="G168" s="22">
        <f t="shared" si="13"/>
        <v>13623.217305024024</v>
      </c>
      <c r="H168" s="22">
        <v>250</v>
      </c>
      <c r="I168" s="23">
        <v>164</v>
      </c>
      <c r="AA168">
        <v>32858.925327136407</v>
      </c>
    </row>
    <row r="169" spans="2:27" x14ac:dyDescent="0.25">
      <c r="B169" s="22">
        <f t="shared" si="15"/>
        <v>13623.217305024024</v>
      </c>
      <c r="C169" s="21">
        <v>3.5000000000000003E-2</v>
      </c>
      <c r="D169" s="22">
        <f t="shared" si="11"/>
        <v>39.734383806320068</v>
      </c>
      <c r="E169" s="22">
        <f t="shared" si="14"/>
        <v>13662.951688830344</v>
      </c>
      <c r="F169" s="20">
        <f t="shared" si="12"/>
        <v>3000</v>
      </c>
      <c r="G169" s="22">
        <f t="shared" si="13"/>
        <v>13412.951688830344</v>
      </c>
      <c r="H169" s="22">
        <v>250</v>
      </c>
      <c r="I169" s="23">
        <v>165</v>
      </c>
      <c r="AA169">
        <v>33012.637367725962</v>
      </c>
    </row>
    <row r="170" spans="2:27" x14ac:dyDescent="0.25">
      <c r="B170" s="22">
        <f t="shared" si="15"/>
        <v>13412.951688830344</v>
      </c>
      <c r="C170" s="21">
        <v>3.5000000000000003E-2</v>
      </c>
      <c r="D170" s="22">
        <f t="shared" si="11"/>
        <v>39.12110909242184</v>
      </c>
      <c r="E170" s="22">
        <f t="shared" si="14"/>
        <v>13452.072797922767</v>
      </c>
      <c r="F170" s="20">
        <f t="shared" si="12"/>
        <v>3000</v>
      </c>
      <c r="G170" s="22">
        <f t="shared" si="13"/>
        <v>13202.072797922767</v>
      </c>
      <c r="H170" s="22">
        <v>250</v>
      </c>
      <c r="I170" s="23">
        <v>166</v>
      </c>
      <c r="AA170">
        <v>33165.902380253479</v>
      </c>
    </row>
    <row r="171" spans="2:27" x14ac:dyDescent="0.25">
      <c r="B171" s="22">
        <f t="shared" si="15"/>
        <v>13202.072797922767</v>
      </c>
      <c r="C171" s="21">
        <v>3.5000000000000003E-2</v>
      </c>
      <c r="D171" s="22">
        <f t="shared" si="11"/>
        <v>38.506045660608073</v>
      </c>
      <c r="E171" s="22">
        <f t="shared" si="14"/>
        <v>13240.578843583375</v>
      </c>
      <c r="F171" s="20">
        <f t="shared" si="12"/>
        <v>3000</v>
      </c>
      <c r="G171" s="22">
        <f t="shared" si="13"/>
        <v>12990.578843583375</v>
      </c>
      <c r="H171" s="22">
        <v>250</v>
      </c>
      <c r="I171" s="23">
        <v>167</v>
      </c>
      <c r="AA171">
        <v>33318.721664773846</v>
      </c>
    </row>
    <row r="172" spans="2:27" x14ac:dyDescent="0.25">
      <c r="B172" s="22">
        <f t="shared" si="15"/>
        <v>12990.578843583375</v>
      </c>
      <c r="C172" s="21">
        <v>3.5000000000000003E-2</v>
      </c>
      <c r="D172" s="22">
        <f t="shared" si="11"/>
        <v>37.889188293784848</v>
      </c>
      <c r="E172" s="22">
        <f t="shared" si="14"/>
        <v>13028.468031877159</v>
      </c>
      <c r="F172" s="20">
        <f t="shared" si="12"/>
        <v>3000</v>
      </c>
      <c r="G172" s="22">
        <f t="shared" si="13"/>
        <v>12778.468031877159</v>
      </c>
      <c r="H172" s="22">
        <v>250</v>
      </c>
      <c r="I172" s="23">
        <v>168</v>
      </c>
      <c r="AA172">
        <v>33471.096517561084</v>
      </c>
    </row>
    <row r="173" spans="2:27" x14ac:dyDescent="0.25">
      <c r="B173" s="22">
        <f t="shared" si="15"/>
        <v>12778.468031877159</v>
      </c>
      <c r="C173" s="21">
        <v>3.5000000000000003E-2</v>
      </c>
      <c r="D173" s="22">
        <f t="shared" si="11"/>
        <v>37.270531759641713</v>
      </c>
      <c r="E173" s="22">
        <f t="shared" si="14"/>
        <v>12815.7385636368</v>
      </c>
      <c r="F173" s="20">
        <f t="shared" si="12"/>
        <v>3000</v>
      </c>
      <c r="G173" s="22">
        <f t="shared" si="13"/>
        <v>12565.7385636368</v>
      </c>
      <c r="H173" s="22">
        <v>250</v>
      </c>
      <c r="I173" s="23">
        <v>169</v>
      </c>
      <c r="AA173">
        <v>33623.028231119381</v>
      </c>
    </row>
    <row r="174" spans="2:27" x14ac:dyDescent="0.25">
      <c r="B174" s="22">
        <f t="shared" si="15"/>
        <v>12565.7385636368</v>
      </c>
      <c r="C174" s="21">
        <v>3.5000000000000003E-2</v>
      </c>
      <c r="D174" s="22">
        <f t="shared" si="11"/>
        <v>36.650070810607332</v>
      </c>
      <c r="E174" s="22">
        <f t="shared" si="14"/>
        <v>12602.388634447407</v>
      </c>
      <c r="F174" s="20">
        <f t="shared" si="12"/>
        <v>3000</v>
      </c>
      <c r="G174" s="22">
        <f t="shared" si="13"/>
        <v>12352.388634447407</v>
      </c>
      <c r="H174" s="22">
        <v>250</v>
      </c>
      <c r="I174" s="23">
        <v>170</v>
      </c>
      <c r="AA174">
        <v>33774.518094194049</v>
      </c>
    </row>
    <row r="175" spans="2:27" x14ac:dyDescent="0.25">
      <c r="B175" s="22">
        <f t="shared" si="15"/>
        <v>12352.388634447407</v>
      </c>
      <c r="C175" s="21">
        <v>3.5000000000000003E-2</v>
      </c>
      <c r="D175" s="22">
        <f t="shared" si="11"/>
        <v>36.027800183804935</v>
      </c>
      <c r="E175" s="22">
        <f t="shared" si="14"/>
        <v>12388.416434631212</v>
      </c>
      <c r="F175" s="20">
        <f t="shared" si="12"/>
        <v>3000</v>
      </c>
      <c r="G175" s="22">
        <f t="shared" si="13"/>
        <v>12138.416434631212</v>
      </c>
      <c r="H175" s="22">
        <v>250</v>
      </c>
      <c r="I175" s="23">
        <v>171</v>
      </c>
      <c r="AA175">
        <v>33925.567391782446</v>
      </c>
    </row>
    <row r="176" spans="2:27" x14ac:dyDescent="0.25">
      <c r="B176" s="22">
        <f t="shared" si="15"/>
        <v>12138.416434631212</v>
      </c>
      <c r="C176" s="21">
        <v>3.5000000000000003E-2</v>
      </c>
      <c r="D176" s="22">
        <f t="shared" si="11"/>
        <v>35.4037146010077</v>
      </c>
      <c r="E176" s="22">
        <f t="shared" si="14"/>
        <v>12173.820149232219</v>
      </c>
      <c r="F176" s="20">
        <f t="shared" si="12"/>
        <v>3000</v>
      </c>
      <c r="G176" s="22">
        <f t="shared" si="13"/>
        <v>11923.820149232219</v>
      </c>
      <c r="H176" s="22">
        <v>250</v>
      </c>
      <c r="I176" s="23">
        <v>172</v>
      </c>
      <c r="AA176">
        <v>34076.177405144866</v>
      </c>
    </row>
    <row r="177" spans="2:27" x14ac:dyDescent="0.25">
      <c r="B177" s="22">
        <f t="shared" si="15"/>
        <v>11923.820149232219</v>
      </c>
      <c r="C177" s="21">
        <v>3.5000000000000003E-2</v>
      </c>
      <c r="D177" s="22">
        <f t="shared" si="11"/>
        <v>34.777808768593971</v>
      </c>
      <c r="E177" s="22">
        <f t="shared" si="14"/>
        <v>11958.597958000813</v>
      </c>
      <c r="F177" s="20">
        <f t="shared" si="12"/>
        <v>3000</v>
      </c>
      <c r="G177" s="22">
        <f t="shared" si="13"/>
        <v>11708.597958000813</v>
      </c>
      <c r="H177" s="22">
        <v>250</v>
      </c>
      <c r="I177" s="23">
        <v>173</v>
      </c>
      <c r="AA177">
        <v>34226.349411815419</v>
      </c>
    </row>
    <row r="178" spans="2:27" x14ac:dyDescent="0.25">
      <c r="B178" s="22">
        <f t="shared" si="15"/>
        <v>11708.597958000813</v>
      </c>
      <c r="C178" s="21">
        <v>3.5000000000000003E-2</v>
      </c>
      <c r="D178" s="22">
        <f t="shared" si="11"/>
        <v>34.150077377502377</v>
      </c>
      <c r="E178" s="22">
        <f t="shared" si="14"/>
        <v>11742.748035378316</v>
      </c>
      <c r="F178" s="20">
        <f t="shared" si="12"/>
        <v>3000</v>
      </c>
      <c r="G178" s="22">
        <f t="shared" si="13"/>
        <v>11492.748035378316</v>
      </c>
      <c r="H178" s="22">
        <v>250</v>
      </c>
      <c r="I178" s="23">
        <v>174</v>
      </c>
      <c r="AA178">
        <v>34376.084685612906</v>
      </c>
    </row>
    <row r="179" spans="2:27" x14ac:dyDescent="0.25">
      <c r="B179" s="22">
        <f t="shared" si="15"/>
        <v>11492.748035378316</v>
      </c>
      <c r="C179" s="21">
        <v>3.5000000000000003E-2</v>
      </c>
      <c r="D179" s="22">
        <f t="shared" si="11"/>
        <v>33.520515103186753</v>
      </c>
      <c r="E179" s="22">
        <f t="shared" si="14"/>
        <v>11526.268550481502</v>
      </c>
      <c r="F179" s="20">
        <f t="shared" si="12"/>
        <v>3000</v>
      </c>
      <c r="G179" s="22">
        <f t="shared" si="13"/>
        <v>11276.268550481502</v>
      </c>
      <c r="H179" s="22">
        <v>250</v>
      </c>
      <c r="I179" s="23">
        <v>175</v>
      </c>
      <c r="AA179">
        <v>34525.384496651524</v>
      </c>
    </row>
    <row r="180" spans="2:27" x14ac:dyDescent="0.25">
      <c r="B180" s="22">
        <f t="shared" si="15"/>
        <v>11276.268550481502</v>
      </c>
      <c r="C180" s="21">
        <v>3.5000000000000003E-2</v>
      </c>
      <c r="D180" s="22">
        <f t="shared" si="11"/>
        <v>32.889116605571047</v>
      </c>
      <c r="E180" s="22">
        <f t="shared" si="14"/>
        <v>11309.157667087073</v>
      </c>
      <c r="F180" s="20">
        <f t="shared" si="12"/>
        <v>3000</v>
      </c>
      <c r="G180" s="22">
        <f t="shared" si="13"/>
        <v>11059.157667087073</v>
      </c>
      <c r="H180" s="22">
        <v>250</v>
      </c>
      <c r="I180" s="23">
        <v>176</v>
      </c>
      <c r="AA180">
        <v>34674.25011135175</v>
      </c>
    </row>
    <row r="181" spans="2:27" x14ac:dyDescent="0.25">
      <c r="B181" s="22">
        <f t="shared" si="15"/>
        <v>11059.157667087073</v>
      </c>
      <c r="C181" s="21">
        <v>3.5000000000000003E-2</v>
      </c>
      <c r="D181" s="22">
        <f t="shared" si="11"/>
        <v>32.255876529003963</v>
      </c>
      <c r="E181" s="22">
        <f t="shared" si="14"/>
        <v>11091.413543616076</v>
      </c>
      <c r="F181" s="20">
        <f t="shared" si="12"/>
        <v>3000</v>
      </c>
      <c r="G181" s="22">
        <f t="shared" si="13"/>
        <v>10841.413543616076</v>
      </c>
      <c r="H181" s="22">
        <v>250</v>
      </c>
      <c r="I181" s="23">
        <v>177</v>
      </c>
      <c r="AA181">
        <v>34822.682792451007</v>
      </c>
    </row>
    <row r="182" spans="2:27" x14ac:dyDescent="0.25">
      <c r="B182" s="22">
        <f t="shared" si="15"/>
        <v>10841.413543616076</v>
      </c>
      <c r="C182" s="21">
        <v>3.5000000000000003E-2</v>
      </c>
      <c r="D182" s="22">
        <f t="shared" si="11"/>
        <v>31.620789502213555</v>
      </c>
      <c r="E182" s="22">
        <f t="shared" si="14"/>
        <v>10873.03433311829</v>
      </c>
      <c r="F182" s="20">
        <f t="shared" si="12"/>
        <v>3000</v>
      </c>
      <c r="G182" s="22">
        <f t="shared" si="13"/>
        <v>10623.03433311829</v>
      </c>
      <c r="H182" s="22">
        <v>250</v>
      </c>
      <c r="I182" s="23">
        <v>178</v>
      </c>
      <c r="AA182">
        <v>34970.683799014434</v>
      </c>
    </row>
    <row r="183" spans="2:27" x14ac:dyDescent="0.25">
      <c r="B183" s="22">
        <f t="shared" si="15"/>
        <v>10623.03433311829</v>
      </c>
      <c r="C183" s="21">
        <v>3.5000000000000003E-2</v>
      </c>
      <c r="D183" s="22">
        <f t="shared" si="11"/>
        <v>30.98385013826168</v>
      </c>
      <c r="E183" s="22">
        <f t="shared" si="14"/>
        <v>10654.018183256552</v>
      </c>
      <c r="F183" s="20">
        <f t="shared" si="12"/>
        <v>3000</v>
      </c>
      <c r="G183" s="22">
        <f t="shared" si="13"/>
        <v>10404.018183256552</v>
      </c>
      <c r="H183" s="22">
        <v>250</v>
      </c>
      <c r="I183" s="23">
        <v>179</v>
      </c>
      <c r="AA183">
        <v>35118.254386445486</v>
      </c>
    </row>
    <row r="184" spans="2:27" x14ac:dyDescent="0.25">
      <c r="B184" s="22">
        <f t="shared" si="15"/>
        <v>10404.018183256552</v>
      </c>
      <c r="C184" s="21">
        <v>3.5000000000000003E-2</v>
      </c>
      <c r="D184" s="22">
        <f t="shared" si="11"/>
        <v>30.345053034498278</v>
      </c>
      <c r="E184" s="22">
        <f t="shared" si="14"/>
        <v>10434.36323629105</v>
      </c>
      <c r="F184" s="20">
        <f t="shared" si="12"/>
        <v>3000</v>
      </c>
      <c r="G184" s="22">
        <f t="shared" si="13"/>
        <v>10184.36323629105</v>
      </c>
      <c r="H184" s="22">
        <v>250</v>
      </c>
      <c r="I184" s="23">
        <v>180</v>
      </c>
      <c r="AA184">
        <v>35265.395806496694</v>
      </c>
    </row>
    <row r="185" spans="2:27" x14ac:dyDescent="0.25">
      <c r="B185" s="22">
        <f t="shared" si="15"/>
        <v>10184.36323629105</v>
      </c>
      <c r="C185" s="21">
        <v>3.5000000000000003E-2</v>
      </c>
      <c r="D185" s="22">
        <f t="shared" si="11"/>
        <v>29.704392772515565</v>
      </c>
      <c r="E185" s="22">
        <f t="shared" si="14"/>
        <v>10214.067629063566</v>
      </c>
      <c r="F185" s="20">
        <f t="shared" si="12"/>
        <v>3000</v>
      </c>
      <c r="G185" s="22">
        <f t="shared" si="13"/>
        <v>9964.0676290635656</v>
      </c>
      <c r="H185" s="22">
        <v>250</v>
      </c>
      <c r="I185" s="23">
        <v>181</v>
      </c>
      <c r="AA185">
        <v>35412.109307280152</v>
      </c>
    </row>
    <row r="186" spans="2:27" x14ac:dyDescent="0.25">
      <c r="B186" s="22">
        <f t="shared" si="15"/>
        <v>9964.0676290635656</v>
      </c>
      <c r="C186" s="21">
        <v>3.5000000000000003E-2</v>
      </c>
      <c r="D186" s="22">
        <f t="shared" si="11"/>
        <v>29.061863918102066</v>
      </c>
      <c r="E186" s="22">
        <f t="shared" si="14"/>
        <v>9993.1294929816686</v>
      </c>
      <c r="F186" s="20">
        <f t="shared" si="12"/>
        <v>3000</v>
      </c>
      <c r="G186" s="22">
        <f t="shared" si="13"/>
        <v>9743.1294929816686</v>
      </c>
      <c r="H186" s="22">
        <v>250</v>
      </c>
      <c r="I186" s="23">
        <v>182</v>
      </c>
      <c r="AA186">
        <v>35558.39613327822</v>
      </c>
    </row>
    <row r="187" spans="2:27" x14ac:dyDescent="0.25">
      <c r="B187" s="22">
        <f t="shared" si="15"/>
        <v>9743.1294929816686</v>
      </c>
      <c r="C187" s="21">
        <v>3.5000000000000003E-2</v>
      </c>
      <c r="D187" s="22">
        <f t="shared" si="11"/>
        <v>28.417461021196534</v>
      </c>
      <c r="E187" s="22">
        <f t="shared" si="14"/>
        <v>9771.5469540028644</v>
      </c>
      <c r="F187" s="20">
        <f t="shared" si="12"/>
        <v>3000</v>
      </c>
      <c r="G187" s="22">
        <f t="shared" si="13"/>
        <v>9521.5469540028644</v>
      </c>
      <c r="H187" s="22">
        <v>250</v>
      </c>
      <c r="I187" s="23">
        <v>183</v>
      </c>
      <c r="AA187">
        <v>35704.257525354034</v>
      </c>
    </row>
    <row r="188" spans="2:27" x14ac:dyDescent="0.25">
      <c r="B188" s="22">
        <f t="shared" si="15"/>
        <v>9521.5469540028644</v>
      </c>
      <c r="C188" s="21">
        <v>3.5000000000000003E-2</v>
      </c>
      <c r="D188" s="22">
        <f t="shared" si="11"/>
        <v>27.771178615841688</v>
      </c>
      <c r="E188" s="22">
        <f t="shared" si="14"/>
        <v>9549.3181326187059</v>
      </c>
      <c r="F188" s="20">
        <f t="shared" si="12"/>
        <v>3000</v>
      </c>
      <c r="G188" s="22">
        <f t="shared" si="13"/>
        <v>9299.3181326187059</v>
      </c>
      <c r="H188" s="22">
        <v>250</v>
      </c>
      <c r="I188" s="23">
        <v>184</v>
      </c>
      <c r="AA188">
        <v>35849.694720761981</v>
      </c>
    </row>
    <row r="189" spans="2:27" x14ac:dyDescent="0.25">
      <c r="B189" s="22">
        <f t="shared" si="15"/>
        <v>9299.3181326187059</v>
      </c>
      <c r="C189" s="21">
        <v>3.5000000000000003E-2</v>
      </c>
      <c r="D189" s="22">
        <f t="shared" si="11"/>
        <v>27.123011220137894</v>
      </c>
      <c r="E189" s="22">
        <f t="shared" si="14"/>
        <v>9326.4411438388433</v>
      </c>
      <c r="F189" s="20">
        <f t="shared" si="12"/>
        <v>3000</v>
      </c>
      <c r="G189" s="22">
        <f t="shared" si="13"/>
        <v>9076.4411438388433</v>
      </c>
      <c r="H189" s="22">
        <v>250</v>
      </c>
      <c r="I189" s="23">
        <v>185</v>
      </c>
      <c r="J189">
        <f>I189/12</f>
        <v>15.416666666666666</v>
      </c>
      <c r="AA189">
        <v>35994.708953158319</v>
      </c>
    </row>
    <row r="190" spans="2:27" x14ac:dyDescent="0.25">
      <c r="B190" s="22">
        <f t="shared" si="15"/>
        <v>9076.4411438388433</v>
      </c>
      <c r="C190" s="21">
        <v>3.5000000000000003E-2</v>
      </c>
      <c r="D190" s="22">
        <f t="shared" si="11"/>
        <v>26.472953336196628</v>
      </c>
      <c r="E190" s="22">
        <f t="shared" si="14"/>
        <v>9102.9140971750403</v>
      </c>
      <c r="F190" s="20">
        <f t="shared" si="12"/>
        <v>3000</v>
      </c>
      <c r="G190" s="22">
        <f t="shared" si="13"/>
        <v>8852.9140971750403</v>
      </c>
      <c r="H190" s="22">
        <v>250</v>
      </c>
      <c r="I190" s="23">
        <v>186</v>
      </c>
      <c r="AA190">
        <v>36139.301452611486</v>
      </c>
    </row>
    <row r="191" spans="2:27" x14ac:dyDescent="0.25">
      <c r="B191" s="22">
        <f t="shared" si="15"/>
        <v>8852.9140971750403</v>
      </c>
      <c r="C191" s="21">
        <v>3.5000000000000003E-2</v>
      </c>
      <c r="D191" s="22">
        <f t="shared" si="11"/>
        <v>25.820999450093868</v>
      </c>
      <c r="E191" s="22">
        <f t="shared" si="14"/>
        <v>8878.7350966251342</v>
      </c>
      <c r="F191" s="20">
        <f t="shared" si="12"/>
        <v>3000</v>
      </c>
      <c r="G191" s="22">
        <f t="shared" si="13"/>
        <v>8628.7350966251342</v>
      </c>
      <c r="H191" s="22">
        <v>250</v>
      </c>
      <c r="I191" s="23">
        <v>187</v>
      </c>
      <c r="AA191">
        <v>36283.473445612683</v>
      </c>
    </row>
    <row r="192" spans="2:27" x14ac:dyDescent="0.25">
      <c r="B192" s="22">
        <f t="shared" si="15"/>
        <v>8628.7350966251342</v>
      </c>
      <c r="C192" s="21">
        <v>3.5000000000000003E-2</v>
      </c>
      <c r="D192" s="22">
        <f t="shared" si="11"/>
        <v>25.167144031823309</v>
      </c>
      <c r="E192" s="22">
        <f t="shared" si="14"/>
        <v>8653.9022406569584</v>
      </c>
      <c r="F192" s="20">
        <f t="shared" si="12"/>
        <v>3000</v>
      </c>
      <c r="G192" s="22">
        <f t="shared" si="13"/>
        <v>8403.9022406569584</v>
      </c>
      <c r="H192" s="22">
        <v>250</v>
      </c>
      <c r="I192" s="23">
        <v>188</v>
      </c>
      <c r="AA192">
        <v>36427.226155086144</v>
      </c>
    </row>
    <row r="193" spans="2:27" x14ac:dyDescent="0.25">
      <c r="B193" s="22">
        <f t="shared" si="15"/>
        <v>8403.9022406569584</v>
      </c>
      <c r="C193" s="21">
        <v>3.5000000000000003E-2</v>
      </c>
      <c r="D193" s="22">
        <f t="shared" si="11"/>
        <v>24.511381535249463</v>
      </c>
      <c r="E193" s="22">
        <f t="shared" si="14"/>
        <v>8428.4136221922072</v>
      </c>
      <c r="F193" s="20">
        <f t="shared" si="12"/>
        <v>3000</v>
      </c>
      <c r="G193" s="22">
        <f t="shared" si="13"/>
        <v>8178.4136221922072</v>
      </c>
      <c r="H193" s="22">
        <v>250</v>
      </c>
      <c r="I193" s="23">
        <v>189</v>
      </c>
      <c r="AA193">
        <v>36570.560800399624</v>
      </c>
    </row>
    <row r="194" spans="2:27" x14ac:dyDescent="0.25">
      <c r="B194" s="22">
        <f t="shared" si="15"/>
        <v>8178.4136221922072</v>
      </c>
      <c r="C194" s="21">
        <v>3.5000000000000003E-2</v>
      </c>
      <c r="D194" s="22">
        <f t="shared" si="11"/>
        <v>23.853706398060606</v>
      </c>
      <c r="E194" s="22">
        <f t="shared" si="14"/>
        <v>8202.2673285902674</v>
      </c>
      <c r="F194" s="20">
        <f t="shared" si="12"/>
        <v>3000</v>
      </c>
      <c r="G194" s="22">
        <f t="shared" si="13"/>
        <v>7952.2673285902674</v>
      </c>
      <c r="H194" s="22">
        <v>250</v>
      </c>
      <c r="I194" s="23">
        <v>190</v>
      </c>
      <c r="AA194">
        <v>36713.478597374662</v>
      </c>
    </row>
    <row r="195" spans="2:27" x14ac:dyDescent="0.25">
      <c r="B195" s="22">
        <f t="shared" si="15"/>
        <v>7952.2673285902674</v>
      </c>
      <c r="C195" s="21">
        <v>3.5000000000000003E-2</v>
      </c>
      <c r="D195" s="22">
        <f t="shared" si="11"/>
        <v>23.194113041721614</v>
      </c>
      <c r="E195" s="22">
        <f t="shared" si="14"/>
        <v>7975.4614416319891</v>
      </c>
      <c r="F195" s="20">
        <f t="shared" si="12"/>
        <v>3000</v>
      </c>
      <c r="G195" s="22">
        <f t="shared" si="13"/>
        <v>7725.4614416319891</v>
      </c>
      <c r="H195" s="22">
        <v>250</v>
      </c>
      <c r="I195" s="23">
        <v>191</v>
      </c>
      <c r="AA195">
        <v>36855.980758296952</v>
      </c>
    </row>
    <row r="196" spans="2:27" x14ac:dyDescent="0.25">
      <c r="B196" s="22">
        <f t="shared" si="15"/>
        <v>7725.4614416319891</v>
      </c>
      <c r="C196" s="21">
        <v>3.5000000000000003E-2</v>
      </c>
      <c r="D196" s="22">
        <f t="shared" si="11"/>
        <v>22.532595871426636</v>
      </c>
      <c r="E196" s="22">
        <f t="shared" si="14"/>
        <v>7747.9940375034157</v>
      </c>
      <c r="F196" s="20">
        <f t="shared" si="12"/>
        <v>3000</v>
      </c>
      <c r="G196" s="22">
        <f t="shared" si="13"/>
        <v>7497.9940375034157</v>
      </c>
      <c r="H196" s="22">
        <v>250</v>
      </c>
      <c r="I196" s="23">
        <v>192</v>
      </c>
      <c r="AA196">
        <v>36998.068491926548</v>
      </c>
    </row>
    <row r="197" spans="2:27" x14ac:dyDescent="0.25">
      <c r="B197" s="22">
        <f t="shared" si="15"/>
        <v>7497.9940375034157</v>
      </c>
      <c r="C197" s="21">
        <v>3.5000000000000003E-2</v>
      </c>
      <c r="D197" s="22">
        <f t="shared" si="11"/>
        <v>21.86914927605163</v>
      </c>
      <c r="E197" s="22">
        <f t="shared" si="14"/>
        <v>7519.8631867794675</v>
      </c>
      <c r="F197" s="20">
        <f t="shared" si="12"/>
        <v>3000</v>
      </c>
      <c r="G197" s="22">
        <f t="shared" si="13"/>
        <v>7269.8631867794675</v>
      </c>
      <c r="H197" s="22">
        <v>250</v>
      </c>
      <c r="I197" s="23">
        <v>193</v>
      </c>
      <c r="AA197">
        <v>37139.743003508222</v>
      </c>
    </row>
    <row r="198" spans="2:27" x14ac:dyDescent="0.25">
      <c r="B198" s="22">
        <f t="shared" si="15"/>
        <v>7269.8631867794675</v>
      </c>
      <c r="C198" s="21">
        <v>3.5000000000000003E-2</v>
      </c>
      <c r="D198" s="22">
        <f t="shared" ref="D198:D228" si="16">B198*(0.035/12)</f>
        <v>21.203767628106782</v>
      </c>
      <c r="E198" s="22">
        <f t="shared" si="14"/>
        <v>7291.0669544075745</v>
      </c>
      <c r="F198" s="20">
        <f t="shared" ref="F198:F228" si="17">H198*12</f>
        <v>3000</v>
      </c>
      <c r="G198" s="22">
        <f t="shared" ref="G198:G228" si="18">E198-H198</f>
        <v>7041.0669544075745</v>
      </c>
      <c r="H198" s="22">
        <v>250</v>
      </c>
      <c r="I198" s="23">
        <v>194</v>
      </c>
      <c r="AA198">
        <v>37281.005494781595</v>
      </c>
    </row>
    <row r="199" spans="2:27" x14ac:dyDescent="0.25">
      <c r="B199" s="22">
        <f t="shared" si="15"/>
        <v>7041.0669544075745</v>
      </c>
      <c r="C199" s="21">
        <v>3.5000000000000003E-2</v>
      </c>
      <c r="D199" s="22">
        <f t="shared" si="16"/>
        <v>20.53644528368876</v>
      </c>
      <c r="E199" s="22">
        <f t="shared" ref="E199:E228" si="19">B199+D199</f>
        <v>7061.6033996912629</v>
      </c>
      <c r="F199" s="20">
        <f t="shared" si="17"/>
        <v>3000</v>
      </c>
      <c r="G199" s="22">
        <f t="shared" si="18"/>
        <v>6811.6033996912629</v>
      </c>
      <c r="H199" s="22">
        <v>250</v>
      </c>
      <c r="I199" s="23">
        <v>195</v>
      </c>
      <c r="AA199">
        <v>37421.857163991393</v>
      </c>
    </row>
    <row r="200" spans="2:27" x14ac:dyDescent="0.25">
      <c r="B200" s="22">
        <f t="shared" si="15"/>
        <v>6811.6033996912629</v>
      </c>
      <c r="C200" s="21">
        <v>3.5000000000000003E-2</v>
      </c>
      <c r="D200" s="22">
        <f t="shared" si="16"/>
        <v>19.867176582432851</v>
      </c>
      <c r="E200" s="22">
        <f t="shared" si="19"/>
        <v>6831.4705762736958</v>
      </c>
      <c r="F200" s="20">
        <f t="shared" si="17"/>
        <v>3000</v>
      </c>
      <c r="G200" s="22">
        <f t="shared" si="18"/>
        <v>6581.4705762736958</v>
      </c>
      <c r="H200" s="22">
        <v>250</v>
      </c>
      <c r="I200" s="23">
        <v>196</v>
      </c>
      <c r="AA200">
        <v>37562.299205897551</v>
      </c>
    </row>
    <row r="201" spans="2:27" x14ac:dyDescent="0.25">
      <c r="B201" s="22">
        <f t="shared" si="15"/>
        <v>6581.4705762736958</v>
      </c>
      <c r="C201" s="21">
        <v>3.5000000000000003E-2</v>
      </c>
      <c r="D201" s="22">
        <f t="shared" si="16"/>
        <v>19.195955847464948</v>
      </c>
      <c r="E201" s="22">
        <f t="shared" si="19"/>
        <v>6600.6665321211603</v>
      </c>
      <c r="F201" s="20">
        <f t="shared" si="17"/>
        <v>3000</v>
      </c>
      <c r="G201" s="22">
        <f t="shared" si="18"/>
        <v>6350.6665321211603</v>
      </c>
      <c r="H201" s="22">
        <v>250</v>
      </c>
      <c r="I201" s="23">
        <v>197</v>
      </c>
      <c r="AA201">
        <v>37702.332811785425</v>
      </c>
    </row>
    <row r="202" spans="2:27" x14ac:dyDescent="0.25">
      <c r="B202" s="22">
        <f t="shared" si="15"/>
        <v>6350.6665321211603</v>
      </c>
      <c r="C202" s="21">
        <v>3.5000000000000003E-2</v>
      </c>
      <c r="D202" s="22">
        <f t="shared" si="16"/>
        <v>18.522777385353386</v>
      </c>
      <c r="E202" s="22">
        <f t="shared" si="19"/>
        <v>6369.1893095065134</v>
      </c>
      <c r="F202" s="20">
        <f t="shared" si="17"/>
        <v>3000</v>
      </c>
      <c r="G202" s="22">
        <f t="shared" si="18"/>
        <v>6119.1893095065134</v>
      </c>
      <c r="H202" s="22">
        <v>250</v>
      </c>
      <c r="I202" s="23">
        <v>198</v>
      </c>
      <c r="AA202">
        <v>37841.959169475813</v>
      </c>
    </row>
    <row r="203" spans="2:27" x14ac:dyDescent="0.25">
      <c r="B203" s="22">
        <f t="shared" si="15"/>
        <v>6119.1893095065134</v>
      </c>
      <c r="C203" s="21">
        <v>3.5000000000000003E-2</v>
      </c>
      <c r="D203" s="22">
        <f t="shared" si="16"/>
        <v>17.847635486060664</v>
      </c>
      <c r="E203" s="22">
        <f t="shared" si="19"/>
        <v>6137.0369449925738</v>
      </c>
      <c r="F203" s="20">
        <f t="shared" si="17"/>
        <v>3000</v>
      </c>
      <c r="G203" s="22">
        <f t="shared" si="18"/>
        <v>5887.0369449925738</v>
      </c>
      <c r="H203" s="22">
        <v>250</v>
      </c>
      <c r="I203" s="23">
        <v>199</v>
      </c>
      <c r="AA203">
        <v>37981.179463335109</v>
      </c>
    </row>
    <row r="204" spans="2:27" x14ac:dyDescent="0.25">
      <c r="B204" s="22">
        <f t="shared" si="15"/>
        <v>5887.0369449925738</v>
      </c>
      <c r="C204" s="21">
        <v>3.5000000000000003E-2</v>
      </c>
      <c r="D204" s="22">
        <f t="shared" si="16"/>
        <v>17.170524422895006</v>
      </c>
      <c r="E204" s="22">
        <f t="shared" si="19"/>
        <v>5904.2074694154689</v>
      </c>
      <c r="F204" s="20">
        <f t="shared" si="17"/>
        <v>3000</v>
      </c>
      <c r="G204" s="22">
        <f t="shared" si="18"/>
        <v>5654.2074694154689</v>
      </c>
      <c r="H204" s="22">
        <v>250</v>
      </c>
      <c r="I204" s="23">
        <v>200</v>
      </c>
      <c r="AA204">
        <v>38119.994874285287</v>
      </c>
    </row>
    <row r="205" spans="2:27" x14ac:dyDescent="0.25">
      <c r="B205" s="22">
        <f t="shared" si="15"/>
        <v>5654.2074694154689</v>
      </c>
      <c r="C205" s="21">
        <v>3.5000000000000003E-2</v>
      </c>
      <c r="D205" s="22">
        <f t="shared" si="16"/>
        <v>16.491438452461786</v>
      </c>
      <c r="E205" s="22">
        <f t="shared" si="19"/>
        <v>5670.6989078679308</v>
      </c>
      <c r="F205" s="20">
        <f t="shared" si="17"/>
        <v>3000</v>
      </c>
      <c r="G205" s="22">
        <f t="shared" si="18"/>
        <v>5420.6989078679308</v>
      </c>
      <c r="H205" s="22">
        <v>250</v>
      </c>
      <c r="I205" s="23">
        <v>201</v>
      </c>
      <c r="AA205">
        <v>38258.406579813956</v>
      </c>
    </row>
    <row r="206" spans="2:27" x14ac:dyDescent="0.25">
      <c r="B206" s="22">
        <f t="shared" si="15"/>
        <v>5420.6989078679308</v>
      </c>
      <c r="C206" s="21">
        <v>3.5000000000000003E-2</v>
      </c>
      <c r="D206" s="22">
        <f t="shared" si="16"/>
        <v>15.810371814614799</v>
      </c>
      <c r="E206" s="22">
        <f t="shared" si="19"/>
        <v>5436.5092796825456</v>
      </c>
      <c r="F206" s="20">
        <f t="shared" si="17"/>
        <v>3000</v>
      </c>
      <c r="G206" s="22">
        <f t="shared" si="18"/>
        <v>5186.5092796825456</v>
      </c>
      <c r="H206" s="22">
        <v>250</v>
      </c>
      <c r="I206" s="23">
        <v>202</v>
      </c>
      <c r="AA206">
        <v>38396.415753984315</v>
      </c>
    </row>
    <row r="207" spans="2:27" x14ac:dyDescent="0.25">
      <c r="B207" s="22">
        <f t="shared" si="15"/>
        <v>5186.5092796825456</v>
      </c>
      <c r="C207" s="21">
        <v>3.5000000000000003E-2</v>
      </c>
      <c r="D207" s="22">
        <f t="shared" si="16"/>
        <v>15.127318732407426</v>
      </c>
      <c r="E207" s="22">
        <f t="shared" si="19"/>
        <v>5201.6365984149534</v>
      </c>
      <c r="F207" s="20">
        <f t="shared" si="17"/>
        <v>3000</v>
      </c>
      <c r="G207" s="22">
        <f t="shared" si="18"/>
        <v>4951.6365984149534</v>
      </c>
      <c r="H207" s="22">
        <v>250</v>
      </c>
      <c r="I207" s="23">
        <v>203</v>
      </c>
      <c r="AA207">
        <v>38534.023567445154</v>
      </c>
    </row>
    <row r="208" spans="2:27" x14ac:dyDescent="0.25">
      <c r="B208" s="22">
        <f t="shared" si="15"/>
        <v>4951.6365984149534</v>
      </c>
      <c r="C208" s="21">
        <v>3.5000000000000003E-2</v>
      </c>
      <c r="D208" s="22">
        <f t="shared" si="16"/>
        <v>14.442273412043615</v>
      </c>
      <c r="E208" s="22">
        <f t="shared" si="19"/>
        <v>4966.0788718269969</v>
      </c>
      <c r="F208" s="20">
        <f t="shared" si="17"/>
        <v>3000</v>
      </c>
      <c r="G208" s="22">
        <f t="shared" si="18"/>
        <v>4716.0788718269969</v>
      </c>
      <c r="H208" s="22">
        <v>250</v>
      </c>
      <c r="I208" s="23">
        <v>204</v>
      </c>
      <c r="AA208">
        <v>38671.231187440746</v>
      </c>
    </row>
    <row r="209" spans="2:27" x14ac:dyDescent="0.25">
      <c r="B209" s="22">
        <f t="shared" si="15"/>
        <v>4716.0788718269969</v>
      </c>
      <c r="C209" s="21">
        <v>3.5000000000000003E-2</v>
      </c>
      <c r="D209" s="22">
        <f t="shared" si="16"/>
        <v>13.755230042828742</v>
      </c>
      <c r="E209" s="22">
        <f t="shared" si="19"/>
        <v>4729.8341018698256</v>
      </c>
      <c r="F209" s="20">
        <f t="shared" si="17"/>
        <v>3000</v>
      </c>
      <c r="G209" s="22">
        <f t="shared" si="18"/>
        <v>4479.8341018698256</v>
      </c>
      <c r="H209" s="22">
        <v>250</v>
      </c>
      <c r="I209" s="23">
        <v>205</v>
      </c>
      <c r="AA209">
        <v>38808.039777820784</v>
      </c>
    </row>
    <row r="210" spans="2:27" x14ac:dyDescent="0.25">
      <c r="B210" s="22">
        <f t="shared" si="15"/>
        <v>4479.8341018698256</v>
      </c>
      <c r="C210" s="21">
        <v>3.5000000000000003E-2</v>
      </c>
      <c r="D210" s="22">
        <f t="shared" si="16"/>
        <v>13.066182797120325</v>
      </c>
      <c r="E210" s="22">
        <f t="shared" si="19"/>
        <v>4492.9002846669464</v>
      </c>
      <c r="F210" s="20">
        <f t="shared" si="17"/>
        <v>3000</v>
      </c>
      <c r="G210" s="22">
        <f t="shared" si="18"/>
        <v>4242.9002846669464</v>
      </c>
      <c r="H210" s="22">
        <v>250</v>
      </c>
      <c r="I210" s="23">
        <v>206</v>
      </c>
      <c r="AA210">
        <v>38944.450499050203</v>
      </c>
    </row>
    <row r="211" spans="2:27" x14ac:dyDescent="0.25">
      <c r="B211" s="22">
        <f t="shared" si="15"/>
        <v>4242.9002846669464</v>
      </c>
      <c r="C211" s="21">
        <v>3.5000000000000003E-2</v>
      </c>
      <c r="D211" s="22">
        <f t="shared" si="16"/>
        <v>12.375125830278595</v>
      </c>
      <c r="E211" s="22">
        <f t="shared" si="19"/>
        <v>4255.2754104972246</v>
      </c>
      <c r="F211" s="20">
        <f t="shared" si="17"/>
        <v>3000</v>
      </c>
      <c r="G211" s="22">
        <f t="shared" si="18"/>
        <v>4005.2754104972246</v>
      </c>
      <c r="H211" s="22">
        <v>250</v>
      </c>
      <c r="I211" s="23">
        <v>207</v>
      </c>
      <c r="AA211">
        <v>39080.464508219084</v>
      </c>
    </row>
    <row r="212" spans="2:27" x14ac:dyDescent="0.25">
      <c r="B212" s="22">
        <f t="shared" si="15"/>
        <v>4005.2754104972246</v>
      </c>
      <c r="C212" s="21">
        <v>3.5000000000000003E-2</v>
      </c>
      <c r="D212" s="22">
        <f t="shared" si="16"/>
        <v>11.682053280616906</v>
      </c>
      <c r="E212" s="22">
        <f t="shared" si="19"/>
        <v>4016.9574637778414</v>
      </c>
      <c r="F212" s="20">
        <f t="shared" si="17"/>
        <v>3000</v>
      </c>
      <c r="G212" s="22">
        <f t="shared" si="18"/>
        <v>3766.9574637778414</v>
      </c>
      <c r="H212" s="22">
        <v>250</v>
      </c>
      <c r="I212" s="23">
        <v>208</v>
      </c>
      <c r="AA212">
        <v>39216.082959052423</v>
      </c>
    </row>
    <row r="213" spans="2:27" x14ac:dyDescent="0.25">
      <c r="B213" s="22">
        <f t="shared" si="15"/>
        <v>3766.9574637778414</v>
      </c>
      <c r="C213" s="21">
        <v>3.5000000000000003E-2</v>
      </c>
      <c r="D213" s="22">
        <f t="shared" si="16"/>
        <v>10.986959269352038</v>
      </c>
      <c r="E213" s="22">
        <f t="shared" si="19"/>
        <v>3777.9444230471936</v>
      </c>
      <c r="F213" s="20">
        <f t="shared" si="17"/>
        <v>3000</v>
      </c>
      <c r="G213" s="22">
        <f t="shared" si="18"/>
        <v>3527.9444230471936</v>
      </c>
      <c r="H213" s="22">
        <v>250</v>
      </c>
      <c r="I213" s="23">
        <v>209</v>
      </c>
      <c r="AA213">
        <v>39351.307001919929</v>
      </c>
    </row>
    <row r="214" spans="2:27" x14ac:dyDescent="0.25">
      <c r="B214" s="22">
        <f t="shared" si="15"/>
        <v>3527.9444230471936</v>
      </c>
      <c r="C214" s="21">
        <v>3.5000000000000003E-2</v>
      </c>
      <c r="D214" s="22">
        <f t="shared" si="16"/>
        <v>10.289837900554316</v>
      </c>
      <c r="E214" s="22">
        <f t="shared" si="19"/>
        <v>3538.2342609477478</v>
      </c>
      <c r="F214" s="20">
        <f t="shared" si="17"/>
        <v>3000</v>
      </c>
      <c r="G214" s="22">
        <f t="shared" si="18"/>
        <v>3288.2342609477478</v>
      </c>
      <c r="H214" s="22">
        <v>250</v>
      </c>
      <c r="I214" s="23">
        <v>210</v>
      </c>
      <c r="AA214">
        <v>39486.137783845792</v>
      </c>
    </row>
    <row r="215" spans="2:27" x14ac:dyDescent="0.25">
      <c r="B215" s="22">
        <f t="shared" si="15"/>
        <v>3288.2342609477478</v>
      </c>
      <c r="C215" s="21">
        <v>3.5000000000000003E-2</v>
      </c>
      <c r="D215" s="22">
        <f t="shared" si="16"/>
        <v>9.5906832610975989</v>
      </c>
      <c r="E215" s="22">
        <f t="shared" si="19"/>
        <v>3297.8249442088454</v>
      </c>
      <c r="F215" s="20">
        <f t="shared" si="17"/>
        <v>3000</v>
      </c>
      <c r="G215" s="22">
        <f t="shared" si="18"/>
        <v>3047.8249442088454</v>
      </c>
      <c r="H215" s="22">
        <v>250</v>
      </c>
      <c r="I215" s="23">
        <v>211</v>
      </c>
      <c r="AA215">
        <v>39620.576448518405</v>
      </c>
    </row>
    <row r="216" spans="2:27" x14ac:dyDescent="0.25">
      <c r="B216" s="22">
        <f t="shared" si="15"/>
        <v>3047.8249442088454</v>
      </c>
      <c r="C216" s="21">
        <v>3.5000000000000003E-2</v>
      </c>
      <c r="D216" s="22">
        <f t="shared" si="16"/>
        <v>8.8894894206091326</v>
      </c>
      <c r="E216" s="22">
        <f t="shared" si="19"/>
        <v>3056.7144336294546</v>
      </c>
      <c r="F216" s="20">
        <f t="shared" si="17"/>
        <v>3000</v>
      </c>
      <c r="G216" s="22">
        <f t="shared" si="18"/>
        <v>2806.7144336294546</v>
      </c>
      <c r="H216" s="22">
        <v>250</v>
      </c>
      <c r="I216" s="23">
        <v>212</v>
      </c>
      <c r="AA216">
        <v>39754.624136300052</v>
      </c>
    </row>
    <row r="217" spans="2:27" x14ac:dyDescent="0.25">
      <c r="B217" s="22">
        <f t="shared" si="15"/>
        <v>2806.7144336294546</v>
      </c>
      <c r="C217" s="21">
        <v>3.5000000000000003E-2</v>
      </c>
      <c r="D217" s="22">
        <f t="shared" si="16"/>
        <v>8.1862504314192428</v>
      </c>
      <c r="E217" s="22">
        <f t="shared" si="19"/>
        <v>2814.900684060874</v>
      </c>
      <c r="F217" s="20">
        <f t="shared" si="17"/>
        <v>3000</v>
      </c>
      <c r="G217" s="22">
        <f t="shared" si="18"/>
        <v>2564.900684060874</v>
      </c>
      <c r="H217" s="22">
        <v>250</v>
      </c>
      <c r="I217" s="23">
        <v>213</v>
      </c>
      <c r="AA217">
        <v>39888.281984236644</v>
      </c>
    </row>
    <row r="218" spans="2:27" x14ac:dyDescent="0.25">
      <c r="B218" s="22">
        <f t="shared" si="15"/>
        <v>2564.900684060874</v>
      </c>
      <c r="C218" s="21">
        <v>3.5000000000000003E-2</v>
      </c>
      <c r="D218" s="22">
        <f t="shared" si="16"/>
        <v>7.480960328510883</v>
      </c>
      <c r="E218" s="22">
        <f t="shared" si="19"/>
        <v>2572.3816443893847</v>
      </c>
      <c r="F218" s="20">
        <f t="shared" si="17"/>
        <v>3000</v>
      </c>
      <c r="G218" s="22">
        <f t="shared" si="18"/>
        <v>2322.3816443893847</v>
      </c>
      <c r="H218" s="22">
        <v>250</v>
      </c>
      <c r="I218" s="23">
        <v>214</v>
      </c>
      <c r="AA218">
        <v>40021.551126067243</v>
      </c>
    </row>
    <row r="219" spans="2:27" x14ac:dyDescent="0.25">
      <c r="B219" s="22">
        <f t="shared" si="15"/>
        <v>2322.3816443893847</v>
      </c>
      <c r="C219" s="21">
        <v>3.5000000000000003E-2</v>
      </c>
      <c r="D219" s="22">
        <f t="shared" si="16"/>
        <v>6.7736131294690392</v>
      </c>
      <c r="E219" s="22">
        <f t="shared" si="19"/>
        <v>2329.1552575188539</v>
      </c>
      <c r="F219" s="20">
        <f t="shared" si="17"/>
        <v>3000</v>
      </c>
      <c r="G219" s="22">
        <f t="shared" si="18"/>
        <v>2079.1552575188539</v>
      </c>
      <c r="H219" s="22">
        <v>250</v>
      </c>
      <c r="I219" s="23">
        <v>215</v>
      </c>
      <c r="AA219">
        <v>40154.432692233815</v>
      </c>
    </row>
    <row r="220" spans="2:27" x14ac:dyDescent="0.25">
      <c r="B220" s="22">
        <f t="shared" si="15"/>
        <v>2079.1552575188539</v>
      </c>
      <c r="C220" s="21">
        <v>3.5000000000000003E-2</v>
      </c>
      <c r="D220" s="22">
        <f t="shared" si="16"/>
        <v>6.0642028344299908</v>
      </c>
      <c r="E220" s="22">
        <f t="shared" si="19"/>
        <v>2085.2194603532839</v>
      </c>
      <c r="F220" s="20">
        <f t="shared" si="17"/>
        <v>3000</v>
      </c>
      <c r="G220" s="22">
        <f t="shared" si="18"/>
        <v>1835.2194603532839</v>
      </c>
      <c r="H220" s="22">
        <v>250</v>
      </c>
      <c r="I220" s="23">
        <v>216</v>
      </c>
      <c r="AA220">
        <v>40286.927809890709</v>
      </c>
    </row>
    <row r="221" spans="2:27" x14ac:dyDescent="0.25">
      <c r="B221" s="22">
        <f t="shared" ref="B221:B228" si="20">G220</f>
        <v>1835.2194603532839</v>
      </c>
      <c r="C221" s="21">
        <v>3.5000000000000003E-2</v>
      </c>
      <c r="D221" s="22">
        <f t="shared" si="16"/>
        <v>5.352723426030412</v>
      </c>
      <c r="E221" s="22">
        <f t="shared" si="19"/>
        <v>1840.5721837793144</v>
      </c>
      <c r="F221" s="20">
        <f t="shared" si="17"/>
        <v>3000</v>
      </c>
      <c r="G221" s="22">
        <f t="shared" si="18"/>
        <v>1590.5721837793144</v>
      </c>
      <c r="H221" s="22">
        <v>250</v>
      </c>
      <c r="I221" s="23">
        <v>217</v>
      </c>
      <c r="AA221">
        <v>40419.037602914286</v>
      </c>
    </row>
    <row r="222" spans="2:27" x14ac:dyDescent="0.25">
      <c r="B222" s="22">
        <f t="shared" si="20"/>
        <v>1590.5721837793144</v>
      </c>
      <c r="C222" s="21">
        <v>3.5000000000000003E-2</v>
      </c>
      <c r="D222" s="22">
        <f t="shared" si="16"/>
        <v>4.6391688693563342</v>
      </c>
      <c r="E222" s="22">
        <f t="shared" si="19"/>
        <v>1595.2113526486708</v>
      </c>
      <c r="F222" s="20">
        <f t="shared" si="17"/>
        <v>3000</v>
      </c>
      <c r="G222" s="22">
        <f t="shared" si="18"/>
        <v>1345.2113526486708</v>
      </c>
      <c r="H222" s="22">
        <v>250</v>
      </c>
      <c r="I222" s="23">
        <v>218</v>
      </c>
      <c r="AA222">
        <v>40550.763191912454</v>
      </c>
    </row>
    <row r="223" spans="2:27" x14ac:dyDescent="0.25">
      <c r="B223" s="22">
        <f t="shared" si="20"/>
        <v>1345.2113526486708</v>
      </c>
      <c r="C223" s="21">
        <v>3.5000000000000003E-2</v>
      </c>
      <c r="D223" s="22">
        <f t="shared" si="16"/>
        <v>3.9235331118919565</v>
      </c>
      <c r="E223" s="22">
        <f t="shared" si="19"/>
        <v>1349.1348857605626</v>
      </c>
      <c r="F223" s="20">
        <f t="shared" si="17"/>
        <v>3000</v>
      </c>
      <c r="G223" s="22">
        <f t="shared" si="18"/>
        <v>1099.1348857605626</v>
      </c>
      <c r="H223" s="22">
        <v>250</v>
      </c>
      <c r="I223" s="23">
        <v>219</v>
      </c>
      <c r="AA223">
        <v>40682.105694234073</v>
      </c>
    </row>
    <row r="224" spans="2:27" x14ac:dyDescent="0.25">
      <c r="B224" s="22">
        <f t="shared" si="20"/>
        <v>1099.1348857605626</v>
      </c>
      <c r="C224" s="21">
        <v>3.5000000000000003E-2</v>
      </c>
      <c r="D224" s="22">
        <f t="shared" si="16"/>
        <v>3.2058100834683079</v>
      </c>
      <c r="E224" s="22">
        <f t="shared" si="19"/>
        <v>1102.340695844031</v>
      </c>
      <c r="F224" s="20">
        <f t="shared" si="17"/>
        <v>3000</v>
      </c>
      <c r="G224" s="22">
        <f t="shared" si="18"/>
        <v>852.34069584403096</v>
      </c>
      <c r="H224" s="22">
        <v>250</v>
      </c>
      <c r="I224" s="23">
        <v>220</v>
      </c>
      <c r="AA224">
        <v>40813.066223978603</v>
      </c>
    </row>
    <row r="225" spans="2:27" x14ac:dyDescent="0.25">
      <c r="B225" s="22">
        <f t="shared" si="20"/>
        <v>852.34069584403096</v>
      </c>
      <c r="C225" s="21">
        <v>3.5000000000000003E-2</v>
      </c>
      <c r="D225" s="22">
        <f t="shared" si="16"/>
        <v>2.4859936962117573</v>
      </c>
      <c r="E225" s="22">
        <f t="shared" si="19"/>
        <v>854.82668954024268</v>
      </c>
      <c r="F225" s="20">
        <f t="shared" si="17"/>
        <v>3000</v>
      </c>
      <c r="G225" s="22">
        <f t="shared" si="18"/>
        <v>604.82668954024268</v>
      </c>
      <c r="H225" s="22">
        <v>250</v>
      </c>
      <c r="I225" s="23">
        <v>221</v>
      </c>
      <c r="AA225">
        <v>40943.645892005399</v>
      </c>
    </row>
    <row r="226" spans="2:27" x14ac:dyDescent="0.25">
      <c r="B226" s="22">
        <f t="shared" si="20"/>
        <v>604.82668954024268</v>
      </c>
      <c r="C226" s="21">
        <v>3.5000000000000003E-2</v>
      </c>
      <c r="D226" s="22">
        <f t="shared" si="16"/>
        <v>1.7640778444923746</v>
      </c>
      <c r="E226" s="22">
        <f t="shared" si="19"/>
        <v>606.59076738473505</v>
      </c>
      <c r="F226" s="20">
        <f t="shared" si="17"/>
        <v>3000</v>
      </c>
      <c r="G226" s="22">
        <f t="shared" si="18"/>
        <v>356.59076738473505</v>
      </c>
      <c r="H226" s="22">
        <v>250</v>
      </c>
      <c r="I226" s="23">
        <v>222</v>
      </c>
      <c r="AA226">
        <v>41073.845805943209</v>
      </c>
    </row>
    <row r="227" spans="2:27" x14ac:dyDescent="0.25">
      <c r="B227" s="22">
        <f t="shared" si="20"/>
        <v>356.59076738473505</v>
      </c>
      <c r="C227" s="21">
        <v>3.5000000000000003E-2</v>
      </c>
      <c r="D227" s="22">
        <f t="shared" si="16"/>
        <v>1.0400564048721439</v>
      </c>
      <c r="E227" s="22">
        <f t="shared" si="19"/>
        <v>357.63082378960718</v>
      </c>
      <c r="F227" s="20">
        <f t="shared" si="17"/>
        <v>3000</v>
      </c>
      <c r="G227" s="22">
        <f t="shared" si="18"/>
        <v>107.63082378960718</v>
      </c>
      <c r="H227" s="22">
        <v>250</v>
      </c>
      <c r="I227" s="23">
        <v>223</v>
      </c>
    </row>
    <row r="228" spans="2:27" x14ac:dyDescent="0.25">
      <c r="B228" s="42">
        <f t="shared" si="20"/>
        <v>107.63082378960718</v>
      </c>
      <c r="C228" s="43">
        <v>3.5000000000000003E-2</v>
      </c>
      <c r="D228" s="42">
        <f t="shared" si="16"/>
        <v>0.31392323605302097</v>
      </c>
      <c r="E228" s="42">
        <f t="shared" si="19"/>
        <v>107.94474702566019</v>
      </c>
      <c r="F228" s="20">
        <f t="shared" si="17"/>
        <v>3000</v>
      </c>
      <c r="G228" s="42">
        <f t="shared" si="18"/>
        <v>-142.05525297433979</v>
      </c>
      <c r="H228" s="42">
        <v>250</v>
      </c>
      <c r="I228" s="45">
        <v>224</v>
      </c>
      <c r="J228">
        <f>228/12</f>
        <v>19</v>
      </c>
    </row>
    <row r="229" spans="2:27" x14ac:dyDescent="0.25">
      <c r="B229" s="22"/>
      <c r="C229" s="21"/>
      <c r="D229" s="22">
        <f>SUM(D5:D228)</f>
        <v>14857.944747025642</v>
      </c>
      <c r="E229" s="22"/>
      <c r="F229" s="20"/>
      <c r="G229" s="22"/>
      <c r="H229" s="22">
        <f>SUM(H5:H228)</f>
        <v>56000</v>
      </c>
      <c r="I229" s="23"/>
    </row>
    <row r="230" spans="2:27" x14ac:dyDescent="0.25">
      <c r="B230" s="35"/>
      <c r="C230" s="36"/>
      <c r="D230" s="35"/>
      <c r="E230" s="35"/>
      <c r="F230" s="37"/>
      <c r="G230" s="35"/>
      <c r="H230" s="35"/>
      <c r="I230" s="38"/>
    </row>
    <row r="231" spans="2:27" x14ac:dyDescent="0.25">
      <c r="B231" s="35"/>
      <c r="C231" s="36"/>
      <c r="D231" s="35"/>
      <c r="E231" s="35"/>
      <c r="F231" s="37"/>
      <c r="G231" s="35"/>
      <c r="H231" s="35"/>
      <c r="I231" s="38"/>
    </row>
    <row r="232" spans="2:27" x14ac:dyDescent="0.25">
      <c r="B232" s="35"/>
      <c r="C232" s="36"/>
      <c r="D232" s="35"/>
      <c r="E232" s="35"/>
      <c r="F232" s="37"/>
      <c r="G232" s="35"/>
      <c r="H232" s="35"/>
      <c r="I232" s="38"/>
    </row>
    <row r="233" spans="2:27" x14ac:dyDescent="0.25">
      <c r="B233" s="35"/>
      <c r="C233" s="36"/>
      <c r="D233" s="35"/>
      <c r="E233" s="35"/>
      <c r="F233" s="37"/>
      <c r="G233" s="35"/>
      <c r="H233" s="35"/>
      <c r="I233" s="38"/>
    </row>
    <row r="234" spans="2:27" x14ac:dyDescent="0.25">
      <c r="B234" s="35"/>
      <c r="C234" s="36"/>
      <c r="D234" s="35"/>
      <c r="E234" s="35"/>
      <c r="F234" s="37"/>
      <c r="G234" s="35"/>
      <c r="H234" s="35"/>
      <c r="I234" s="38"/>
    </row>
    <row r="235" spans="2:27" x14ac:dyDescent="0.25">
      <c r="B235" s="35"/>
      <c r="C235" s="36"/>
      <c r="D235" s="35"/>
      <c r="E235" s="35"/>
      <c r="F235" s="37"/>
      <c r="G235" s="35"/>
      <c r="H235" s="35"/>
      <c r="I235" s="38"/>
    </row>
    <row r="236" spans="2:27" x14ac:dyDescent="0.25">
      <c r="B236" s="35"/>
      <c r="C236" s="36"/>
      <c r="D236" s="35"/>
      <c r="E236" s="35"/>
      <c r="F236" s="37"/>
      <c r="G236" s="35"/>
      <c r="H236" s="35"/>
      <c r="I236" s="38"/>
    </row>
    <row r="237" spans="2:27" x14ac:dyDescent="0.25">
      <c r="B237" s="35"/>
      <c r="C237" s="36"/>
      <c r="D237" s="35"/>
      <c r="E237" s="35"/>
      <c r="F237" s="37"/>
      <c r="G237" s="35"/>
      <c r="H237" s="35"/>
      <c r="I237" s="38"/>
    </row>
    <row r="238" spans="2:27" x14ac:dyDescent="0.25">
      <c r="B238" s="35"/>
      <c r="C238" s="36"/>
      <c r="D238" s="35"/>
      <c r="E238" s="35"/>
      <c r="F238" s="37"/>
      <c r="G238" s="35"/>
      <c r="H238" s="35"/>
      <c r="I238" s="38"/>
    </row>
    <row r="239" spans="2:27" x14ac:dyDescent="0.25">
      <c r="B239" s="35"/>
      <c r="C239" s="36"/>
      <c r="D239" s="35"/>
      <c r="E239" s="35"/>
      <c r="F239" s="37"/>
      <c r="G239" s="35"/>
      <c r="H239" s="35"/>
      <c r="I239" s="38"/>
    </row>
    <row r="240" spans="2:27" x14ac:dyDescent="0.25">
      <c r="B240" s="35"/>
      <c r="C240" s="36"/>
      <c r="D240" s="35"/>
      <c r="E240" s="35"/>
      <c r="F240" s="37"/>
      <c r="G240" s="35"/>
      <c r="H240" s="35"/>
      <c r="I240" s="38"/>
    </row>
    <row r="241" spans="2:9" x14ac:dyDescent="0.25">
      <c r="B241" s="35"/>
      <c r="C241" s="36"/>
      <c r="D241" s="35"/>
      <c r="E241" s="35"/>
      <c r="F241" s="37"/>
      <c r="G241" s="35"/>
      <c r="H241" s="35"/>
      <c r="I241" s="38"/>
    </row>
    <row r="242" spans="2:9" x14ac:dyDescent="0.25">
      <c r="B242" s="35"/>
      <c r="C242" s="36"/>
      <c r="D242" s="35"/>
      <c r="E242" s="35"/>
      <c r="F242" s="37"/>
      <c r="G242" s="35"/>
      <c r="H242" s="35"/>
      <c r="I242" s="38"/>
    </row>
    <row r="243" spans="2:9" x14ac:dyDescent="0.25">
      <c r="B243" s="35"/>
      <c r="C243" s="36"/>
      <c r="D243" s="35"/>
      <c r="E243" s="35"/>
      <c r="F243" s="37"/>
      <c r="G243" s="35"/>
      <c r="H243" s="35"/>
      <c r="I243" s="38"/>
    </row>
    <row r="244" spans="2:9" x14ac:dyDescent="0.25">
      <c r="B244" s="35"/>
      <c r="C244" s="36"/>
      <c r="D244" s="35"/>
      <c r="E244" s="35"/>
      <c r="F244" s="37"/>
      <c r="G244" s="35"/>
      <c r="H244" s="35"/>
      <c r="I244" s="38"/>
    </row>
    <row r="245" spans="2:9" x14ac:dyDescent="0.25">
      <c r="B245" s="35"/>
      <c r="C245" s="36"/>
      <c r="D245" s="35"/>
      <c r="E245" s="35"/>
      <c r="F245" s="37"/>
      <c r="G245" s="35"/>
      <c r="H245" s="35"/>
      <c r="I245" s="38"/>
    </row>
    <row r="246" spans="2:9" x14ac:dyDescent="0.25">
      <c r="B246" s="35"/>
      <c r="C246" s="36"/>
      <c r="D246" s="35"/>
      <c r="E246" s="35"/>
      <c r="F246" s="37"/>
      <c r="G246" s="35"/>
      <c r="H246" s="35"/>
      <c r="I246" s="38"/>
    </row>
    <row r="247" spans="2:9" x14ac:dyDescent="0.25">
      <c r="B247" s="35"/>
      <c r="C247" s="36"/>
      <c r="D247" s="35"/>
      <c r="E247" s="35"/>
      <c r="F247" s="37"/>
      <c r="G247" s="35"/>
      <c r="H247" s="35"/>
      <c r="I247" s="38"/>
    </row>
    <row r="248" spans="2:9" x14ac:dyDescent="0.25">
      <c r="B248" s="35"/>
      <c r="C248" s="36"/>
      <c r="D248" s="35"/>
      <c r="E248" s="35"/>
      <c r="F248" s="37"/>
      <c r="G248" s="35"/>
      <c r="H248" s="35"/>
      <c r="I248" s="38"/>
    </row>
    <row r="249" spans="2:9" x14ac:dyDescent="0.25">
      <c r="B249" s="35"/>
      <c r="C249" s="36"/>
      <c r="D249" s="35"/>
      <c r="E249" s="35"/>
      <c r="F249" s="37"/>
      <c r="G249" s="35"/>
      <c r="H249" s="35"/>
      <c r="I249" s="38"/>
    </row>
    <row r="250" spans="2:9" x14ac:dyDescent="0.25">
      <c r="B250" s="35"/>
      <c r="C250" s="36"/>
      <c r="D250" s="35"/>
      <c r="E250" s="35"/>
      <c r="F250" s="37"/>
      <c r="G250" s="35"/>
      <c r="H250" s="35"/>
      <c r="I250" s="38"/>
    </row>
    <row r="251" spans="2:9" x14ac:dyDescent="0.25">
      <c r="B251" s="35"/>
      <c r="C251" s="36"/>
      <c r="D251" s="35"/>
      <c r="E251" s="35"/>
      <c r="F251" s="37"/>
      <c r="G251" s="35"/>
      <c r="H251" s="35"/>
      <c r="I251" s="38"/>
    </row>
    <row r="252" spans="2:9" x14ac:dyDescent="0.25">
      <c r="B252" s="35"/>
      <c r="C252" s="36"/>
      <c r="D252" s="35"/>
      <c r="E252" s="35"/>
      <c r="F252" s="37"/>
      <c r="G252" s="35"/>
      <c r="H252" s="35"/>
      <c r="I252" s="38"/>
    </row>
    <row r="253" spans="2:9" x14ac:dyDescent="0.25">
      <c r="B253" s="35"/>
      <c r="C253" s="36"/>
      <c r="D253" s="35"/>
      <c r="E253" s="35"/>
      <c r="F253" s="37"/>
      <c r="G253" s="35"/>
      <c r="H253" s="35"/>
      <c r="I253" s="38"/>
    </row>
    <row r="254" spans="2:9" x14ac:dyDescent="0.25">
      <c r="B254" s="35"/>
      <c r="C254" s="36"/>
      <c r="D254" s="35"/>
      <c r="E254" s="35"/>
      <c r="F254" s="37"/>
      <c r="G254" s="35"/>
      <c r="H254" s="35"/>
      <c r="I254" s="38"/>
    </row>
    <row r="255" spans="2:9" x14ac:dyDescent="0.25">
      <c r="B255" s="35"/>
      <c r="C255" s="36"/>
      <c r="D255" s="35"/>
      <c r="E255" s="35"/>
      <c r="F255" s="37"/>
      <c r="G255" s="35"/>
      <c r="H255" s="35"/>
      <c r="I255" s="38"/>
    </row>
    <row r="256" spans="2:9" x14ac:dyDescent="0.25">
      <c r="B256" s="35"/>
      <c r="C256" s="36"/>
      <c r="D256" s="35"/>
      <c r="E256" s="35"/>
      <c r="F256" s="37"/>
      <c r="G256" s="35"/>
      <c r="H256" s="35"/>
      <c r="I256" s="38"/>
    </row>
    <row r="257" spans="2:9" x14ac:dyDescent="0.25">
      <c r="B257" s="35"/>
      <c r="C257" s="36"/>
      <c r="D257" s="35"/>
      <c r="E257" s="35"/>
      <c r="F257" s="37"/>
      <c r="G257" s="35"/>
      <c r="H257" s="35"/>
      <c r="I257" s="38"/>
    </row>
    <row r="258" spans="2:9" x14ac:dyDescent="0.25">
      <c r="B258" s="35"/>
      <c r="C258" s="36"/>
      <c r="D258" s="35"/>
      <c r="E258" s="35"/>
      <c r="F258" s="37"/>
      <c r="G258" s="35"/>
      <c r="H258" s="35"/>
      <c r="I258" s="38"/>
    </row>
    <row r="259" spans="2:9" x14ac:dyDescent="0.25">
      <c r="B259" s="35"/>
      <c r="C259" s="36"/>
      <c r="D259" s="35"/>
      <c r="E259" s="35"/>
      <c r="F259" s="37"/>
      <c r="G259" s="35"/>
      <c r="H259" s="35"/>
      <c r="I259" s="38"/>
    </row>
    <row r="260" spans="2:9" x14ac:dyDescent="0.25">
      <c r="B260" s="35"/>
      <c r="C260" s="36"/>
      <c r="D260" s="35"/>
      <c r="E260" s="35"/>
      <c r="F260" s="37"/>
      <c r="G260" s="35"/>
      <c r="H260" s="35"/>
      <c r="I260" s="38"/>
    </row>
    <row r="261" spans="2:9" x14ac:dyDescent="0.25">
      <c r="B261" s="35"/>
      <c r="C261" s="36"/>
      <c r="D261" s="35"/>
      <c r="E261" s="35"/>
      <c r="F261" s="37"/>
      <c r="G261" s="35"/>
      <c r="H261" s="35"/>
      <c r="I261" s="38"/>
    </row>
    <row r="262" spans="2:9" x14ac:dyDescent="0.25">
      <c r="B262" s="35"/>
      <c r="C262" s="36"/>
      <c r="D262" s="35"/>
      <c r="E262" s="35"/>
      <c r="F262" s="37"/>
      <c r="G262" s="35"/>
      <c r="H262" s="35"/>
      <c r="I262" s="38"/>
    </row>
    <row r="263" spans="2:9" x14ac:dyDescent="0.25">
      <c r="B263" s="35"/>
      <c r="C263" s="36"/>
      <c r="D263" s="35"/>
      <c r="E263" s="35"/>
      <c r="F263" s="37"/>
      <c r="G263" s="35"/>
      <c r="H263" s="35"/>
      <c r="I263" s="38"/>
    </row>
    <row r="264" spans="2:9" x14ac:dyDescent="0.25">
      <c r="B264" s="35"/>
      <c r="C264" s="36"/>
      <c r="D264" s="35"/>
      <c r="E264" s="35"/>
      <c r="F264" s="37"/>
      <c r="G264" s="35"/>
      <c r="H264" s="35"/>
      <c r="I264" s="38"/>
    </row>
    <row r="265" spans="2:9" x14ac:dyDescent="0.25">
      <c r="B265" s="35"/>
      <c r="C265" s="36"/>
      <c r="D265" s="35"/>
      <c r="E265" s="35"/>
      <c r="F265" s="37"/>
      <c r="G265" s="35"/>
      <c r="H265" s="35"/>
      <c r="I265" s="38"/>
    </row>
    <row r="266" spans="2:9" x14ac:dyDescent="0.25">
      <c r="B266" s="35"/>
      <c r="C266" s="36"/>
      <c r="D266" s="35"/>
      <c r="E266" s="35"/>
      <c r="F266" s="37"/>
      <c r="G266" s="35"/>
      <c r="H266" s="35"/>
      <c r="I266" s="38"/>
    </row>
    <row r="267" spans="2:9" x14ac:dyDescent="0.25">
      <c r="B267" s="35"/>
      <c r="C267" s="36"/>
      <c r="D267" s="35"/>
      <c r="E267" s="35"/>
      <c r="F267" s="37"/>
      <c r="G267" s="35"/>
      <c r="H267" s="35"/>
      <c r="I267" s="38"/>
    </row>
    <row r="268" spans="2:9" x14ac:dyDescent="0.25">
      <c r="B268" s="35"/>
      <c r="C268" s="36"/>
      <c r="D268" s="35"/>
      <c r="E268" s="35"/>
      <c r="F268" s="37"/>
      <c r="G268" s="35"/>
      <c r="H268" s="35"/>
      <c r="I268" s="38"/>
    </row>
    <row r="269" spans="2:9" x14ac:dyDescent="0.25">
      <c r="B269" s="35"/>
      <c r="C269" s="36"/>
      <c r="D269" s="35"/>
      <c r="E269" s="35"/>
      <c r="F269" s="37"/>
      <c r="G269" s="35"/>
      <c r="H269" s="35"/>
      <c r="I269" s="38"/>
    </row>
    <row r="270" spans="2:9" x14ac:dyDescent="0.25">
      <c r="B270" s="35"/>
      <c r="C270" s="36"/>
      <c r="D270" s="35"/>
      <c r="E270" s="35"/>
      <c r="F270" s="37"/>
      <c r="G270" s="35"/>
      <c r="H270" s="35"/>
      <c r="I270" s="38"/>
    </row>
    <row r="271" spans="2:9" x14ac:dyDescent="0.25">
      <c r="B271" s="35"/>
      <c r="C271" s="36"/>
      <c r="D271" s="35"/>
      <c r="E271" s="35"/>
      <c r="F271" s="37"/>
      <c r="G271" s="35"/>
      <c r="H271" s="35"/>
      <c r="I271" s="38"/>
    </row>
    <row r="272" spans="2:9" x14ac:dyDescent="0.25">
      <c r="B272" s="35"/>
      <c r="C272" s="36"/>
      <c r="D272" s="35"/>
      <c r="E272" s="35"/>
      <c r="F272" s="37"/>
      <c r="G272" s="35"/>
      <c r="H272" s="35"/>
      <c r="I272" s="38"/>
    </row>
    <row r="273" spans="2:9" x14ac:dyDescent="0.25">
      <c r="B273" s="35"/>
      <c r="C273" s="36"/>
      <c r="D273" s="35"/>
      <c r="E273" s="35"/>
      <c r="F273" s="37"/>
      <c r="G273" s="35"/>
      <c r="H273" s="35"/>
      <c r="I273" s="38"/>
    </row>
    <row r="274" spans="2:9" x14ac:dyDescent="0.25">
      <c r="B274" s="35"/>
      <c r="C274" s="36"/>
      <c r="D274" s="35"/>
      <c r="E274" s="35"/>
      <c r="F274" s="37"/>
      <c r="G274" s="35"/>
      <c r="H274" s="35"/>
      <c r="I274" s="38"/>
    </row>
    <row r="275" spans="2:9" x14ac:dyDescent="0.25">
      <c r="B275" s="35"/>
      <c r="C275" s="36"/>
      <c r="D275" s="35"/>
      <c r="E275" s="35"/>
      <c r="F275" s="37"/>
      <c r="G275" s="35"/>
      <c r="H275" s="35"/>
      <c r="I275" s="38"/>
    </row>
    <row r="276" spans="2:9" x14ac:dyDescent="0.25">
      <c r="B276" s="35"/>
      <c r="C276" s="36"/>
      <c r="D276" s="35"/>
      <c r="E276" s="35"/>
      <c r="F276" s="37"/>
      <c r="G276" s="35"/>
      <c r="H276" s="35"/>
      <c r="I276" s="38"/>
    </row>
    <row r="277" spans="2:9" x14ac:dyDescent="0.25">
      <c r="B277" s="35"/>
      <c r="C277" s="36"/>
      <c r="D277" s="35"/>
      <c r="E277" s="35"/>
      <c r="F277" s="37"/>
      <c r="G277" s="35"/>
      <c r="H277" s="35"/>
      <c r="I277" s="38"/>
    </row>
    <row r="278" spans="2:9" x14ac:dyDescent="0.25">
      <c r="B278" s="35"/>
      <c r="C278" s="36"/>
      <c r="D278" s="35"/>
      <c r="E278" s="35"/>
      <c r="F278" s="37"/>
      <c r="G278" s="35"/>
      <c r="H278" s="35"/>
      <c r="I278" s="38"/>
    </row>
    <row r="279" spans="2:9" x14ac:dyDescent="0.25">
      <c r="B279" s="35"/>
      <c r="C279" s="36"/>
      <c r="D279" s="35"/>
      <c r="E279" s="35"/>
      <c r="F279" s="37"/>
      <c r="G279" s="35"/>
      <c r="H279" s="35"/>
      <c r="I279" s="38"/>
    </row>
    <row r="280" spans="2:9" x14ac:dyDescent="0.25">
      <c r="B280" s="35"/>
      <c r="C280" s="36"/>
      <c r="D280" s="35"/>
      <c r="E280" s="35"/>
      <c r="F280" s="37"/>
      <c r="G280" s="35"/>
      <c r="H280" s="35"/>
      <c r="I280" s="38"/>
    </row>
    <row r="281" spans="2:9" x14ac:dyDescent="0.25">
      <c r="B281" s="35"/>
      <c r="C281" s="36"/>
      <c r="D281" s="35"/>
      <c r="E281" s="35"/>
      <c r="F281" s="37"/>
      <c r="G281" s="35"/>
      <c r="H281" s="35"/>
      <c r="I281" s="38"/>
    </row>
    <row r="282" spans="2:9" x14ac:dyDescent="0.25">
      <c r="B282" s="35"/>
      <c r="C282" s="36"/>
      <c r="D282" s="35"/>
      <c r="E282" s="35"/>
      <c r="F282" s="37"/>
      <c r="G282" s="35"/>
      <c r="H282" s="35"/>
      <c r="I282" s="38"/>
    </row>
    <row r="283" spans="2:9" x14ac:dyDescent="0.25">
      <c r="B283" s="35"/>
      <c r="C283" s="36"/>
      <c r="D283" s="35"/>
      <c r="E283" s="35"/>
      <c r="F283" s="37"/>
      <c r="G283" s="35"/>
      <c r="H283" s="35"/>
      <c r="I283" s="38"/>
    </row>
    <row r="284" spans="2:9" x14ac:dyDescent="0.25">
      <c r="B284" s="35"/>
      <c r="C284" s="36"/>
      <c r="D284" s="35"/>
      <c r="E284" s="35"/>
      <c r="F284" s="37"/>
      <c r="G284" s="35"/>
      <c r="H284" s="35"/>
      <c r="I284" s="38"/>
    </row>
    <row r="285" spans="2:9" x14ac:dyDescent="0.25">
      <c r="B285" s="35"/>
      <c r="C285" s="36"/>
      <c r="D285" s="35"/>
      <c r="E285" s="35"/>
      <c r="F285" s="37"/>
      <c r="G285" s="35"/>
      <c r="H285" s="35"/>
      <c r="I285" s="38"/>
    </row>
    <row r="286" spans="2:9" x14ac:dyDescent="0.25">
      <c r="B286" s="35"/>
      <c r="C286" s="36"/>
      <c r="D286" s="35"/>
      <c r="E286" s="35"/>
      <c r="F286" s="37"/>
      <c r="G286" s="35"/>
      <c r="H286" s="35"/>
      <c r="I286" s="38"/>
    </row>
    <row r="287" spans="2:9" x14ac:dyDescent="0.25">
      <c r="B287" s="35"/>
      <c r="C287" s="36"/>
      <c r="D287" s="35"/>
      <c r="E287" s="35"/>
      <c r="F287" s="37"/>
      <c r="G287" s="35"/>
      <c r="H287" s="35"/>
      <c r="I287" s="38"/>
    </row>
    <row r="288" spans="2:9" x14ac:dyDescent="0.25">
      <c r="B288" s="35"/>
      <c r="C288" s="36"/>
      <c r="D288" s="35"/>
      <c r="E288" s="35"/>
      <c r="F288" s="37"/>
      <c r="G288" s="35"/>
      <c r="H288" s="35"/>
      <c r="I288" s="38"/>
    </row>
    <row r="289" spans="2:9" x14ac:dyDescent="0.25">
      <c r="B289" s="35"/>
      <c r="C289" s="36"/>
      <c r="D289" s="35"/>
      <c r="E289" s="35"/>
      <c r="F289" s="37"/>
      <c r="G289" s="35"/>
      <c r="H289" s="35"/>
      <c r="I289" s="38"/>
    </row>
    <row r="290" spans="2:9" x14ac:dyDescent="0.25">
      <c r="B290" s="35"/>
      <c r="C290" s="36"/>
      <c r="D290" s="35"/>
      <c r="E290" s="35"/>
      <c r="F290" s="37"/>
      <c r="G290" s="35"/>
      <c r="H290" s="35"/>
      <c r="I290" s="38"/>
    </row>
    <row r="291" spans="2:9" x14ac:dyDescent="0.25">
      <c r="B291" s="35"/>
      <c r="C291" s="36"/>
      <c r="D291" s="35"/>
      <c r="E291" s="35"/>
      <c r="F291" s="37"/>
      <c r="G291" s="35"/>
      <c r="H291" s="35"/>
      <c r="I291" s="38"/>
    </row>
    <row r="292" spans="2:9" x14ac:dyDescent="0.25">
      <c r="B292" s="35"/>
      <c r="C292" s="36"/>
      <c r="D292" s="35"/>
      <c r="E292" s="35"/>
      <c r="F292" s="37"/>
      <c r="G292" s="35"/>
      <c r="H292" s="35"/>
      <c r="I292" s="38"/>
    </row>
    <row r="293" spans="2:9" x14ac:dyDescent="0.25">
      <c r="B293" s="35"/>
      <c r="C293" s="36"/>
      <c r="D293" s="35"/>
      <c r="E293" s="35"/>
      <c r="F293" s="37"/>
      <c r="G293" s="35"/>
      <c r="H293" s="35"/>
      <c r="I293" s="38"/>
    </row>
    <row r="294" spans="2:9" x14ac:dyDescent="0.25">
      <c r="B294" s="35"/>
      <c r="C294" s="36"/>
      <c r="D294" s="35"/>
      <c r="E294" s="35"/>
      <c r="F294" s="37"/>
      <c r="G294" s="35"/>
      <c r="H294" s="35"/>
      <c r="I294" s="38"/>
    </row>
    <row r="295" spans="2:9" x14ac:dyDescent="0.25">
      <c r="B295" s="35"/>
      <c r="C295" s="36"/>
      <c r="D295" s="35"/>
      <c r="E295" s="35"/>
      <c r="F295" s="37"/>
      <c r="G295" s="35"/>
      <c r="H295" s="35"/>
      <c r="I295" s="38"/>
    </row>
    <row r="296" spans="2:9" x14ac:dyDescent="0.25">
      <c r="B296" s="35"/>
      <c r="C296" s="36"/>
      <c r="D296" s="35"/>
      <c r="E296" s="35"/>
      <c r="F296" s="37"/>
      <c r="G296" s="35"/>
      <c r="H296" s="35"/>
      <c r="I296" s="38"/>
    </row>
    <row r="297" spans="2:9" x14ac:dyDescent="0.25">
      <c r="B297" s="35"/>
      <c r="C297" s="36"/>
      <c r="D297" s="35"/>
      <c r="E297" s="35"/>
      <c r="F297" s="37"/>
      <c r="G297" s="35"/>
      <c r="H297" s="35"/>
      <c r="I297" s="38"/>
    </row>
    <row r="298" spans="2:9" x14ac:dyDescent="0.25">
      <c r="B298" s="35"/>
      <c r="C298" s="36"/>
      <c r="D298" s="35"/>
      <c r="E298" s="35"/>
      <c r="F298" s="37"/>
      <c r="G298" s="35"/>
      <c r="H298" s="35"/>
      <c r="I298" s="38"/>
    </row>
    <row r="299" spans="2:9" x14ac:dyDescent="0.25">
      <c r="B299" s="35"/>
      <c r="C299" s="36"/>
      <c r="D299" s="35"/>
      <c r="E299" s="35"/>
      <c r="F299" s="37"/>
      <c r="G299" s="35"/>
      <c r="H299" s="35"/>
      <c r="I299" s="38"/>
    </row>
    <row r="300" spans="2:9" x14ac:dyDescent="0.25">
      <c r="B300" s="35"/>
      <c r="C300" s="36"/>
      <c r="D300" s="35"/>
      <c r="E300" s="35"/>
      <c r="F300" s="37"/>
      <c r="G300" s="35"/>
      <c r="H300" s="35"/>
      <c r="I300" s="38"/>
    </row>
    <row r="301" spans="2:9" x14ac:dyDescent="0.25">
      <c r="B301" s="35"/>
      <c r="C301" s="36"/>
      <c r="D301" s="35"/>
      <c r="E301" s="35"/>
      <c r="F301" s="37"/>
      <c r="G301" s="35"/>
      <c r="H301" s="35"/>
      <c r="I301" s="38"/>
    </row>
    <row r="302" spans="2:9" x14ac:dyDescent="0.25">
      <c r="B302" s="35"/>
      <c r="C302" s="36"/>
      <c r="D302" s="35"/>
      <c r="E302" s="35"/>
      <c r="F302" s="37"/>
      <c r="G302" s="35"/>
      <c r="H302" s="35"/>
      <c r="I302" s="38"/>
    </row>
    <row r="303" spans="2:9" x14ac:dyDescent="0.25">
      <c r="B303" s="35"/>
      <c r="C303" s="36"/>
      <c r="D303" s="35"/>
      <c r="E303" s="35"/>
      <c r="F303" s="37"/>
      <c r="G303" s="35"/>
      <c r="H303" s="35"/>
      <c r="I303" s="38"/>
    </row>
    <row r="304" spans="2:9" x14ac:dyDescent="0.25">
      <c r="B304" s="35"/>
      <c r="C304" s="36"/>
      <c r="D304" s="35"/>
      <c r="E304" s="35"/>
      <c r="F304" s="37"/>
      <c r="G304" s="35"/>
      <c r="H304" s="35"/>
      <c r="I304" s="38"/>
    </row>
    <row r="305" spans="2:9" x14ac:dyDescent="0.25">
      <c r="B305" s="35"/>
      <c r="C305" s="36"/>
      <c r="D305" s="35"/>
      <c r="E305" s="35"/>
      <c r="F305" s="37"/>
      <c r="G305" s="35"/>
      <c r="H305" s="35"/>
      <c r="I305" s="38"/>
    </row>
    <row r="306" spans="2:9" x14ac:dyDescent="0.25">
      <c r="B306" s="35"/>
      <c r="C306" s="36"/>
      <c r="D306" s="35"/>
      <c r="E306" s="35"/>
      <c r="F306" s="37"/>
      <c r="G306" s="35"/>
      <c r="H306" s="35"/>
      <c r="I306" s="38"/>
    </row>
    <row r="307" spans="2:9" x14ac:dyDescent="0.25">
      <c r="B307" s="35"/>
      <c r="C307" s="36"/>
      <c r="D307" s="35"/>
      <c r="E307" s="35"/>
      <c r="F307" s="37"/>
      <c r="G307" s="35"/>
      <c r="H307" s="35"/>
      <c r="I307" s="38"/>
    </row>
    <row r="308" spans="2:9" x14ac:dyDescent="0.25">
      <c r="B308" s="35"/>
      <c r="C308" s="36"/>
      <c r="D308" s="35"/>
      <c r="E308" s="35"/>
      <c r="F308" s="37"/>
      <c r="G308" s="35"/>
      <c r="H308" s="35"/>
      <c r="I308" s="38"/>
    </row>
    <row r="309" spans="2:9" x14ac:dyDescent="0.25">
      <c r="B309" s="35"/>
      <c r="C309" s="36"/>
      <c r="D309" s="35"/>
      <c r="E309" s="35"/>
      <c r="F309" s="37"/>
      <c r="G309" s="35"/>
      <c r="H309" s="35"/>
      <c r="I309" s="38"/>
    </row>
    <row r="310" spans="2:9" x14ac:dyDescent="0.25">
      <c r="B310" s="35"/>
      <c r="C310" s="36"/>
      <c r="D310" s="35"/>
      <c r="E310" s="35"/>
      <c r="F310" s="37"/>
      <c r="G310" s="35"/>
      <c r="H310" s="35"/>
      <c r="I310" s="38"/>
    </row>
    <row r="311" spans="2:9" x14ac:dyDescent="0.25">
      <c r="B311" s="35"/>
      <c r="C311" s="36"/>
      <c r="D311" s="35"/>
      <c r="E311" s="35"/>
      <c r="F311" s="37"/>
      <c r="G311" s="35"/>
      <c r="H311" s="35"/>
      <c r="I311" s="38"/>
    </row>
    <row r="312" spans="2:9" x14ac:dyDescent="0.25">
      <c r="B312" s="35"/>
      <c r="C312" s="36"/>
      <c r="D312" s="35"/>
      <c r="E312" s="35"/>
      <c r="F312" s="37"/>
      <c r="G312" s="35"/>
      <c r="H312" s="35"/>
      <c r="I312" s="38"/>
    </row>
    <row r="313" spans="2:9" x14ac:dyDescent="0.25">
      <c r="B313" s="35"/>
      <c r="C313" s="36"/>
      <c r="D313" s="35"/>
      <c r="E313" s="35"/>
      <c r="F313" s="37"/>
      <c r="G313" s="35"/>
      <c r="H313" s="35"/>
      <c r="I313" s="38"/>
    </row>
    <row r="314" spans="2:9" x14ac:dyDescent="0.25">
      <c r="B314" s="35"/>
      <c r="C314" s="36"/>
      <c r="D314" s="35"/>
      <c r="E314" s="35"/>
      <c r="F314" s="37"/>
      <c r="G314" s="35"/>
      <c r="H314" s="35"/>
      <c r="I314" s="38"/>
    </row>
    <row r="315" spans="2:9" x14ac:dyDescent="0.25">
      <c r="B315" s="35"/>
      <c r="C315" s="36"/>
      <c r="D315" s="35"/>
      <c r="E315" s="35"/>
      <c r="F315" s="37"/>
      <c r="G315" s="35"/>
      <c r="H315" s="35"/>
      <c r="I315" s="38"/>
    </row>
    <row r="316" spans="2:9" x14ac:dyDescent="0.25">
      <c r="B316" s="35"/>
      <c r="C316" s="36"/>
      <c r="D316" s="35"/>
      <c r="E316" s="35"/>
      <c r="F316" s="37"/>
      <c r="G316" s="35"/>
      <c r="H316" s="35"/>
      <c r="I316" s="38"/>
    </row>
    <row r="317" spans="2:9" x14ac:dyDescent="0.25">
      <c r="B317" s="35"/>
      <c r="C317" s="36"/>
      <c r="D317" s="35"/>
      <c r="E317" s="35"/>
      <c r="F317" s="37"/>
      <c r="G317" s="35"/>
      <c r="H317" s="35"/>
      <c r="I317" s="38"/>
    </row>
    <row r="318" spans="2:9" x14ac:dyDescent="0.25">
      <c r="B318" s="35"/>
      <c r="C318" s="36"/>
      <c r="D318" s="35"/>
      <c r="E318" s="35"/>
      <c r="F318" s="37"/>
      <c r="G318" s="35"/>
      <c r="H318" s="35"/>
      <c r="I318" s="38"/>
    </row>
    <row r="319" spans="2:9" x14ac:dyDescent="0.25">
      <c r="B319" s="35"/>
      <c r="C319" s="36"/>
      <c r="D319" s="35"/>
      <c r="E319" s="35"/>
      <c r="F319" s="37"/>
      <c r="G319" s="35"/>
      <c r="H319" s="35"/>
      <c r="I319" s="38"/>
    </row>
    <row r="320" spans="2:9" x14ac:dyDescent="0.25">
      <c r="B320" s="35"/>
      <c r="C320" s="36"/>
      <c r="D320" s="35"/>
      <c r="E320" s="35"/>
      <c r="F320" s="37"/>
      <c r="G320" s="35"/>
      <c r="H320" s="35"/>
      <c r="I320" s="38"/>
    </row>
    <row r="321" spans="2:9" x14ac:dyDescent="0.25">
      <c r="B321" s="35"/>
      <c r="C321" s="36"/>
      <c r="D321" s="35"/>
      <c r="E321" s="35"/>
      <c r="F321" s="37"/>
      <c r="G321" s="35"/>
      <c r="H321" s="35"/>
      <c r="I321" s="38"/>
    </row>
    <row r="322" spans="2:9" x14ac:dyDescent="0.25">
      <c r="B322" s="35"/>
      <c r="C322" s="36"/>
      <c r="D322" s="35"/>
      <c r="E322" s="35"/>
      <c r="F322" s="37"/>
      <c r="G322" s="35"/>
      <c r="H322" s="35"/>
      <c r="I322" s="38"/>
    </row>
    <row r="323" spans="2:9" x14ac:dyDescent="0.25">
      <c r="B323" s="35"/>
      <c r="C323" s="36"/>
      <c r="D323" s="35"/>
      <c r="E323" s="35"/>
      <c r="F323" s="37"/>
      <c r="G323" s="35"/>
      <c r="H323" s="35"/>
      <c r="I323" s="38"/>
    </row>
    <row r="324" spans="2:9" x14ac:dyDescent="0.25">
      <c r="B324" s="35"/>
      <c r="C324" s="36"/>
      <c r="D324" s="35"/>
      <c r="E324" s="35"/>
      <c r="F324" s="37"/>
      <c r="G324" s="35"/>
      <c r="H324" s="35"/>
      <c r="I324" s="38"/>
    </row>
    <row r="325" spans="2:9" x14ac:dyDescent="0.25">
      <c r="B325" s="35"/>
      <c r="C325" s="36"/>
      <c r="D325" s="35"/>
      <c r="E325" s="35"/>
      <c r="F325" s="37"/>
      <c r="G325" s="35"/>
      <c r="H325" s="35"/>
      <c r="I325" s="38"/>
    </row>
    <row r="326" spans="2:9" x14ac:dyDescent="0.25">
      <c r="B326" s="35"/>
      <c r="C326" s="36"/>
      <c r="D326" s="35"/>
      <c r="E326" s="35"/>
      <c r="F326" s="37"/>
      <c r="G326" s="35"/>
      <c r="H326" s="35"/>
      <c r="I326" s="38"/>
    </row>
    <row r="327" spans="2:9" x14ac:dyDescent="0.25">
      <c r="B327" s="35"/>
      <c r="C327" s="36"/>
      <c r="D327" s="35"/>
      <c r="E327" s="35"/>
      <c r="F327" s="37"/>
      <c r="G327" s="35"/>
      <c r="H327" s="35"/>
      <c r="I327" s="38"/>
    </row>
    <row r="328" spans="2:9" x14ac:dyDescent="0.25">
      <c r="B328" s="35"/>
      <c r="C328" s="36"/>
      <c r="D328" s="35"/>
      <c r="E328" s="35"/>
      <c r="F328" s="37"/>
      <c r="G328" s="35"/>
      <c r="H328" s="35"/>
      <c r="I328" s="38"/>
    </row>
    <row r="329" spans="2:9" x14ac:dyDescent="0.25">
      <c r="B329" s="35"/>
      <c r="C329" s="36"/>
      <c r="D329" s="35"/>
      <c r="E329" s="35"/>
      <c r="F329" s="37"/>
      <c r="G329" s="35"/>
      <c r="H329" s="35"/>
      <c r="I329" s="38"/>
    </row>
    <row r="330" spans="2:9" x14ac:dyDescent="0.25">
      <c r="B330" s="35"/>
      <c r="C330" s="36"/>
      <c r="D330" s="35"/>
      <c r="E330" s="35"/>
      <c r="F330" s="37"/>
      <c r="G330" s="35"/>
      <c r="H330" s="35"/>
      <c r="I330" s="38"/>
    </row>
    <row r="331" spans="2:9" x14ac:dyDescent="0.25">
      <c r="B331" s="35"/>
      <c r="C331" s="36"/>
      <c r="D331" s="35"/>
      <c r="E331" s="35"/>
      <c r="F331" s="37"/>
      <c r="G331" s="35"/>
      <c r="H331" s="35"/>
      <c r="I331" s="38"/>
    </row>
    <row r="332" spans="2:9" x14ac:dyDescent="0.25">
      <c r="B332" s="35"/>
      <c r="C332" s="36"/>
      <c r="D332" s="35"/>
      <c r="E332" s="35"/>
      <c r="F332" s="37"/>
      <c r="G332" s="35"/>
      <c r="H332" s="35"/>
      <c r="I332" s="38"/>
    </row>
    <row r="333" spans="2:9" x14ac:dyDescent="0.25">
      <c r="B333" s="35"/>
      <c r="C333" s="36"/>
      <c r="D333" s="35"/>
      <c r="E333" s="35"/>
      <c r="F333" s="37"/>
      <c r="G333" s="35"/>
      <c r="H333" s="35"/>
      <c r="I333" s="38"/>
    </row>
    <row r="334" spans="2:9" x14ac:dyDescent="0.25">
      <c r="B334" s="35"/>
      <c r="C334" s="36"/>
      <c r="D334" s="35"/>
      <c r="E334" s="35"/>
      <c r="F334" s="37"/>
      <c r="G334" s="35"/>
      <c r="H334" s="35"/>
      <c r="I334" s="38"/>
    </row>
    <row r="335" spans="2:9" x14ac:dyDescent="0.25">
      <c r="B335" s="35"/>
      <c r="C335" s="36"/>
      <c r="D335" s="35"/>
      <c r="E335" s="35"/>
      <c r="F335" s="37"/>
      <c r="G335" s="35"/>
      <c r="H335" s="35"/>
      <c r="I335" s="38"/>
    </row>
    <row r="336" spans="2:9" x14ac:dyDescent="0.25">
      <c r="B336" s="35"/>
      <c r="C336" s="36"/>
      <c r="D336" s="35"/>
      <c r="E336" s="35"/>
      <c r="F336" s="37"/>
      <c r="G336" s="35"/>
      <c r="H336" s="35"/>
      <c r="I336" s="38"/>
    </row>
    <row r="337" spans="2:10" x14ac:dyDescent="0.25">
      <c r="B337" s="35"/>
      <c r="C337" s="36"/>
      <c r="D337" s="35"/>
      <c r="E337" s="35"/>
      <c r="F337" s="37"/>
      <c r="G337" s="35"/>
      <c r="H337" s="35"/>
      <c r="I337" s="38"/>
    </row>
    <row r="338" spans="2:10" x14ac:dyDescent="0.25">
      <c r="B338" s="35"/>
      <c r="C338" s="36"/>
      <c r="D338" s="35"/>
      <c r="E338" s="35"/>
      <c r="F338" s="37"/>
      <c r="G338" s="35"/>
      <c r="H338" s="35"/>
      <c r="I338" s="38"/>
    </row>
    <row r="339" spans="2:10" x14ac:dyDescent="0.25">
      <c r="B339" s="35"/>
      <c r="C339" s="36"/>
      <c r="D339" s="35"/>
      <c r="E339" s="35"/>
      <c r="F339" s="37"/>
      <c r="G339" s="35"/>
      <c r="H339" s="35"/>
      <c r="I339" s="38"/>
      <c r="J339" s="13">
        <f>335/12</f>
        <v>27.916666666666668</v>
      </c>
    </row>
    <row r="340" spans="2:10" x14ac:dyDescent="0.25">
      <c r="B340" s="48"/>
      <c r="C340" s="49"/>
      <c r="D340" s="48"/>
      <c r="E340" s="48"/>
      <c r="F340" s="50"/>
      <c r="G340" s="48"/>
      <c r="H340" s="35"/>
      <c r="I340" s="51"/>
      <c r="J340" s="13">
        <f>336/12</f>
        <v>28</v>
      </c>
    </row>
    <row r="341" spans="2:10" x14ac:dyDescent="0.25">
      <c r="B341" s="48"/>
      <c r="C341" s="49"/>
      <c r="D341" s="48"/>
      <c r="E341" s="48"/>
      <c r="F341" s="50"/>
      <c r="G341" s="48"/>
      <c r="H341" s="35"/>
      <c r="I341" s="38"/>
    </row>
    <row r="342" spans="2:10" x14ac:dyDescent="0.25">
      <c r="B342" s="48"/>
      <c r="C342" s="49"/>
      <c r="D342" s="48"/>
      <c r="E342" s="48"/>
      <c r="F342" s="50"/>
      <c r="G342" s="48"/>
      <c r="H342" s="35"/>
      <c r="I342" s="38"/>
    </row>
    <row r="343" spans="2:10" x14ac:dyDescent="0.25">
      <c r="B343" s="48"/>
      <c r="C343" s="49"/>
      <c r="D343" s="48"/>
      <c r="E343" s="48"/>
      <c r="F343" s="50"/>
      <c r="G343" s="48"/>
      <c r="H343" s="35"/>
      <c r="I343" s="51"/>
    </row>
    <row r="344" spans="2:10" x14ac:dyDescent="0.25">
      <c r="B344" s="48"/>
      <c r="C344" s="49"/>
      <c r="D344" s="48"/>
      <c r="E344" s="48"/>
      <c r="F344" s="50"/>
      <c r="G344" s="48"/>
      <c r="H344" s="35"/>
      <c r="I344" s="38"/>
    </row>
    <row r="345" spans="2:10" x14ac:dyDescent="0.25">
      <c r="B345" s="48"/>
      <c r="C345" s="49"/>
      <c r="D345" s="48"/>
      <c r="E345" s="48"/>
      <c r="F345" s="50"/>
      <c r="G345" s="48"/>
      <c r="H345" s="35"/>
      <c r="I345" s="38"/>
    </row>
    <row r="346" spans="2:10" x14ac:dyDescent="0.25">
      <c r="B346" s="48"/>
      <c r="C346" s="49"/>
      <c r="D346" s="48"/>
      <c r="E346" s="48"/>
      <c r="F346" s="50"/>
      <c r="G346" s="48"/>
      <c r="H346" s="35"/>
      <c r="I346" s="51"/>
    </row>
    <row r="347" spans="2:10" x14ac:dyDescent="0.25">
      <c r="B347" s="48"/>
      <c r="C347" s="49"/>
      <c r="D347" s="48"/>
      <c r="E347" s="48"/>
      <c r="F347" s="50"/>
      <c r="G347" s="48"/>
      <c r="H347" s="35"/>
      <c r="I347" s="38"/>
    </row>
    <row r="348" spans="2:10" x14ac:dyDescent="0.25">
      <c r="B348" s="48"/>
      <c r="C348" s="49"/>
      <c r="D348" s="48"/>
      <c r="E348" s="48"/>
      <c r="F348" s="50"/>
      <c r="G348" s="48"/>
      <c r="H348" s="35"/>
      <c r="I348" s="38"/>
    </row>
    <row r="349" spans="2:10" x14ac:dyDescent="0.25">
      <c r="B349" s="48"/>
      <c r="C349" s="49"/>
      <c r="D349" s="48"/>
      <c r="E349" s="48"/>
      <c r="F349" s="50"/>
      <c r="G349" s="48"/>
      <c r="H349" s="35"/>
      <c r="I349" s="51"/>
    </row>
    <row r="350" spans="2:10" x14ac:dyDescent="0.25">
      <c r="B350" s="48"/>
      <c r="C350" s="49"/>
      <c r="D350" s="48"/>
      <c r="E350" s="48"/>
      <c r="F350" s="50"/>
      <c r="G350" s="48"/>
      <c r="H350" s="35"/>
      <c r="I350" s="38"/>
    </row>
    <row r="351" spans="2:10" x14ac:dyDescent="0.25">
      <c r="B351" s="48"/>
      <c r="C351" s="49"/>
      <c r="D351" s="48"/>
      <c r="E351" s="48"/>
      <c r="F351" s="50"/>
      <c r="G351" s="48"/>
      <c r="H351" s="35"/>
      <c r="I351" s="38"/>
    </row>
    <row r="352" spans="2:10" x14ac:dyDescent="0.25">
      <c r="B352" s="48"/>
      <c r="C352" s="49"/>
      <c r="D352" s="48"/>
      <c r="E352" s="48"/>
      <c r="F352" s="50"/>
      <c r="G352" s="48"/>
      <c r="H352" s="35"/>
      <c r="I352" s="51"/>
      <c r="J352">
        <f>I352/12</f>
        <v>0</v>
      </c>
    </row>
    <row r="353" spans="2:9" x14ac:dyDescent="0.25">
      <c r="B353" s="48"/>
      <c r="C353" s="49"/>
      <c r="D353" s="48"/>
      <c r="E353" s="48"/>
      <c r="F353" s="50"/>
      <c r="G353" s="48"/>
      <c r="H353" s="35"/>
      <c r="I353" s="38"/>
    </row>
    <row r="354" spans="2:9" x14ac:dyDescent="0.25">
      <c r="B354" s="48"/>
      <c r="C354" s="49"/>
      <c r="D354" s="48"/>
      <c r="E354" s="48"/>
      <c r="F354" s="50"/>
      <c r="G354" s="48"/>
      <c r="H354" s="35"/>
      <c r="I354" s="38"/>
    </row>
    <row r="355" spans="2:9" x14ac:dyDescent="0.25">
      <c r="B355" s="48"/>
      <c r="C355" s="49"/>
      <c r="D355" s="48"/>
      <c r="E355" s="48"/>
      <c r="F355" s="50"/>
      <c r="G355" s="48"/>
      <c r="H355" s="35"/>
      <c r="I355" s="51"/>
    </row>
    <row r="356" spans="2:9" x14ac:dyDescent="0.25">
      <c r="B356" s="48"/>
      <c r="C356" s="49"/>
      <c r="D356" s="48"/>
      <c r="E356" s="48"/>
      <c r="F356" s="50"/>
      <c r="G356" s="48"/>
      <c r="H356" s="35"/>
      <c r="I356" s="38"/>
    </row>
    <row r="357" spans="2:9" x14ac:dyDescent="0.25">
      <c r="B357" s="48"/>
      <c r="C357" s="49"/>
      <c r="D357" s="48"/>
      <c r="E357" s="48"/>
      <c r="F357" s="50"/>
      <c r="G357" s="48"/>
      <c r="H357" s="35"/>
      <c r="I357" s="38"/>
    </row>
    <row r="358" spans="2:9" x14ac:dyDescent="0.25">
      <c r="B358" s="48"/>
      <c r="C358" s="49"/>
      <c r="D358" s="48"/>
      <c r="E358" s="48"/>
      <c r="F358" s="50"/>
      <c r="G358" s="48"/>
      <c r="H358" s="35"/>
      <c r="I358" s="51"/>
    </row>
    <row r="359" spans="2:9" x14ac:dyDescent="0.25">
      <c r="B359" s="48"/>
      <c r="C359" s="49"/>
      <c r="D359" s="48"/>
      <c r="E359" s="48"/>
      <c r="F359" s="50"/>
      <c r="G359" s="48"/>
      <c r="H359" s="35"/>
      <c r="I359" s="38"/>
    </row>
    <row r="360" spans="2:9" x14ac:dyDescent="0.25">
      <c r="B360" s="48"/>
      <c r="C360" s="49"/>
      <c r="D360" s="48"/>
      <c r="E360" s="48"/>
      <c r="F360" s="50"/>
      <c r="G360" s="48"/>
      <c r="H360" s="35"/>
      <c r="I360" s="38"/>
    </row>
    <row r="361" spans="2:9" x14ac:dyDescent="0.25">
      <c r="B361" s="48"/>
      <c r="C361" s="49"/>
      <c r="D361" s="48"/>
      <c r="E361" s="48"/>
      <c r="F361" s="50"/>
      <c r="G361" s="48"/>
      <c r="H361" s="35"/>
      <c r="I361" s="51"/>
    </row>
    <row r="362" spans="2:9" x14ac:dyDescent="0.25">
      <c r="B362" s="48"/>
      <c r="C362" s="49"/>
      <c r="D362" s="48"/>
      <c r="E362" s="48"/>
      <c r="F362" s="50"/>
      <c r="G362" s="48"/>
      <c r="H362" s="35"/>
      <c r="I362" s="38"/>
    </row>
    <row r="363" spans="2:9" x14ac:dyDescent="0.25">
      <c r="B363" s="48"/>
      <c r="C363" s="49"/>
      <c r="D363" s="48"/>
      <c r="E363" s="48"/>
      <c r="F363" s="50"/>
      <c r="G363" s="48"/>
      <c r="H363" s="35"/>
      <c r="I363" s="38"/>
    </row>
    <row r="364" spans="2:9" x14ac:dyDescent="0.25">
      <c r="B364" s="48"/>
      <c r="C364" s="49"/>
      <c r="D364" s="48"/>
      <c r="E364" s="48"/>
      <c r="F364" s="50"/>
      <c r="G364" s="48"/>
      <c r="H364" s="35"/>
      <c r="I364" s="51"/>
    </row>
    <row r="365" spans="2:9" x14ac:dyDescent="0.25">
      <c r="B365" s="48"/>
      <c r="C365" s="49"/>
      <c r="D365" s="48"/>
      <c r="E365" s="48"/>
      <c r="F365" s="50"/>
      <c r="G365" s="48"/>
      <c r="H365" s="35"/>
      <c r="I365" s="38"/>
    </row>
    <row r="366" spans="2:9" x14ac:dyDescent="0.25">
      <c r="B366" s="48"/>
      <c r="C366" s="49"/>
      <c r="D366" s="48"/>
      <c r="E366" s="48"/>
      <c r="F366" s="50"/>
      <c r="G366" s="48"/>
      <c r="H366" s="35"/>
      <c r="I366" s="38"/>
    </row>
    <row r="367" spans="2:9" x14ac:dyDescent="0.25">
      <c r="B367" s="48"/>
      <c r="C367" s="49"/>
      <c r="D367" s="48"/>
      <c r="E367" s="48"/>
      <c r="F367" s="50"/>
      <c r="G367" s="48"/>
      <c r="H367" s="35"/>
      <c r="I367" s="51"/>
    </row>
    <row r="368" spans="2:9" x14ac:dyDescent="0.25">
      <c r="B368" s="48"/>
      <c r="C368" s="49"/>
      <c r="D368" s="48"/>
      <c r="E368" s="48"/>
      <c r="F368" s="50"/>
      <c r="G368" s="48"/>
      <c r="H368" s="35"/>
      <c r="I368" s="38"/>
    </row>
    <row r="369" spans="2:10" x14ac:dyDescent="0.25">
      <c r="B369" s="48"/>
      <c r="C369" s="49"/>
      <c r="D369" s="48"/>
      <c r="E369" s="48"/>
      <c r="F369" s="50"/>
      <c r="G369" s="48"/>
      <c r="H369" s="35"/>
      <c r="I369" s="38"/>
    </row>
    <row r="370" spans="2:10" x14ac:dyDescent="0.25">
      <c r="B370" s="48"/>
      <c r="C370" s="49"/>
      <c r="D370" s="48"/>
      <c r="E370" s="48"/>
      <c r="F370" s="50"/>
      <c r="G370" s="48"/>
      <c r="H370" s="35"/>
      <c r="I370" s="51"/>
      <c r="J370">
        <f>I370/12</f>
        <v>0</v>
      </c>
    </row>
    <row r="371" spans="2:10" x14ac:dyDescent="0.25">
      <c r="B371" s="48"/>
      <c r="C371" s="49"/>
      <c r="D371" s="48"/>
      <c r="E371" s="48"/>
      <c r="F371" s="50"/>
      <c r="G371" s="48"/>
      <c r="H371" s="35"/>
      <c r="I371" s="38"/>
    </row>
    <row r="372" spans="2:10" x14ac:dyDescent="0.25">
      <c r="B372" s="48"/>
      <c r="C372" s="49"/>
      <c r="D372" s="48"/>
      <c r="E372" s="48"/>
      <c r="F372" s="50"/>
      <c r="G372" s="48"/>
      <c r="H372" s="35"/>
      <c r="I372" s="38"/>
    </row>
    <row r="373" spans="2:10" x14ac:dyDescent="0.25">
      <c r="B373" s="48"/>
      <c r="C373" s="49"/>
      <c r="D373" s="48"/>
      <c r="E373" s="48"/>
      <c r="F373" s="50"/>
      <c r="G373" s="48"/>
      <c r="H373" s="35"/>
      <c r="I373" s="51"/>
    </row>
    <row r="374" spans="2:10" x14ac:dyDescent="0.25">
      <c r="B374" s="48"/>
      <c r="C374" s="49"/>
      <c r="D374" s="48"/>
      <c r="E374" s="48"/>
      <c r="F374" s="50"/>
      <c r="G374" s="48"/>
      <c r="H374" s="35"/>
      <c r="I374" s="38"/>
    </row>
    <row r="375" spans="2:10" x14ac:dyDescent="0.25">
      <c r="B375" s="48"/>
      <c r="C375" s="49"/>
      <c r="D375" s="48"/>
      <c r="E375" s="48"/>
      <c r="F375" s="50"/>
      <c r="G375" s="48"/>
      <c r="H375" s="35"/>
      <c r="I375" s="38"/>
    </row>
    <row r="376" spans="2:10" x14ac:dyDescent="0.25">
      <c r="B376" s="48"/>
      <c r="C376" s="49"/>
      <c r="D376" s="48"/>
      <c r="E376" s="48"/>
      <c r="F376" s="50"/>
      <c r="G376" s="48"/>
      <c r="H376" s="35"/>
      <c r="I376" s="51"/>
    </row>
    <row r="377" spans="2:10" x14ac:dyDescent="0.25">
      <c r="B377" s="48"/>
      <c r="C377" s="49"/>
      <c r="D377" s="48"/>
      <c r="E377" s="48"/>
      <c r="F377" s="50"/>
      <c r="G377" s="48"/>
      <c r="H377" s="35"/>
      <c r="I377" s="38"/>
    </row>
    <row r="378" spans="2:10" x14ac:dyDescent="0.25">
      <c r="B378" s="48"/>
      <c r="C378" s="49"/>
      <c r="D378" s="48"/>
      <c r="E378" s="48"/>
      <c r="F378" s="50"/>
      <c r="G378" s="48"/>
      <c r="H378" s="35"/>
      <c r="I378" s="38"/>
    </row>
    <row r="379" spans="2:10" x14ac:dyDescent="0.25">
      <c r="B379" s="48"/>
      <c r="C379" s="49"/>
      <c r="D379" s="48"/>
      <c r="E379" s="48"/>
      <c r="F379" s="50"/>
      <c r="G379" s="48"/>
      <c r="H379" s="35"/>
      <c r="I379" s="51"/>
    </row>
    <row r="380" spans="2:10" x14ac:dyDescent="0.25">
      <c r="B380" s="48"/>
      <c r="C380" s="49"/>
      <c r="D380" s="48"/>
      <c r="E380" s="48"/>
      <c r="F380" s="50"/>
      <c r="G380" s="48"/>
      <c r="H380" s="35"/>
      <c r="I380" s="38"/>
    </row>
    <row r="381" spans="2:10" x14ac:dyDescent="0.25">
      <c r="B381" s="48"/>
      <c r="C381" s="49"/>
      <c r="D381" s="48"/>
      <c r="E381" s="48"/>
      <c r="F381" s="50"/>
      <c r="G381" s="48"/>
      <c r="H381" s="35"/>
      <c r="I381" s="38"/>
    </row>
    <row r="382" spans="2:10" x14ac:dyDescent="0.25">
      <c r="B382" s="48"/>
      <c r="C382" s="49"/>
      <c r="D382" s="48"/>
      <c r="E382" s="48"/>
      <c r="F382" s="50"/>
      <c r="G382" s="48"/>
      <c r="H382" s="35"/>
      <c r="I382" s="51"/>
    </row>
    <row r="383" spans="2:10" x14ac:dyDescent="0.25">
      <c r="B383" s="48"/>
      <c r="C383" s="49"/>
      <c r="D383" s="48"/>
      <c r="E383" s="48"/>
      <c r="F383" s="50"/>
      <c r="G383" s="48"/>
      <c r="H383" s="35"/>
      <c r="I383" s="38"/>
    </row>
    <row r="384" spans="2:10" x14ac:dyDescent="0.25">
      <c r="B384" s="48"/>
      <c r="C384" s="49"/>
      <c r="D384" s="48"/>
      <c r="E384" s="48"/>
      <c r="F384" s="50"/>
      <c r="G384" s="48"/>
      <c r="H384" s="35"/>
      <c r="I384" s="38"/>
    </row>
    <row r="385" spans="2:9" x14ac:dyDescent="0.25">
      <c r="B385" s="48"/>
      <c r="C385" s="49"/>
      <c r="D385" s="48"/>
      <c r="E385" s="48"/>
      <c r="F385" s="50"/>
      <c r="G385" s="48"/>
      <c r="H385" s="35"/>
      <c r="I385" s="51"/>
    </row>
    <row r="386" spans="2:9" x14ac:dyDescent="0.25">
      <c r="B386" s="48"/>
      <c r="C386" s="49"/>
      <c r="D386" s="48"/>
      <c r="E386" s="48"/>
      <c r="F386" s="50"/>
      <c r="G386" s="48"/>
      <c r="H386" s="35"/>
      <c r="I386" s="38"/>
    </row>
    <row r="387" spans="2:9" x14ac:dyDescent="0.25">
      <c r="B387" s="48"/>
      <c r="C387" s="49"/>
      <c r="D387" s="48"/>
      <c r="E387" s="48"/>
      <c r="F387" s="50"/>
      <c r="G387" s="48"/>
      <c r="H387" s="35"/>
      <c r="I387" s="38"/>
    </row>
    <row r="388" spans="2:9" x14ac:dyDescent="0.25">
      <c r="B388" s="48"/>
      <c r="C388" s="49"/>
      <c r="D388" s="48"/>
      <c r="E388" s="48"/>
      <c r="F388" s="50"/>
      <c r="G388" s="48"/>
      <c r="H388" s="35"/>
      <c r="I388" s="51"/>
    </row>
    <row r="389" spans="2:9" x14ac:dyDescent="0.25">
      <c r="B389" s="48"/>
      <c r="C389" s="49"/>
      <c r="D389" s="48"/>
      <c r="E389" s="48"/>
      <c r="F389" s="50"/>
      <c r="G389" s="48"/>
      <c r="H389" s="35"/>
      <c r="I389" s="38"/>
    </row>
    <row r="390" spans="2:9" x14ac:dyDescent="0.25">
      <c r="B390" s="48"/>
      <c r="C390" s="49"/>
      <c r="D390" s="48"/>
      <c r="E390" s="48"/>
      <c r="F390" s="50"/>
      <c r="G390" s="48"/>
      <c r="H390" s="35"/>
      <c r="I390" s="38"/>
    </row>
    <row r="391" spans="2:9" x14ac:dyDescent="0.25">
      <c r="B391" s="48"/>
      <c r="C391" s="49"/>
      <c r="D391" s="48"/>
      <c r="E391" s="48"/>
      <c r="F391" s="50"/>
      <c r="G391" s="48"/>
      <c r="H391" s="35"/>
      <c r="I391" s="51"/>
    </row>
    <row r="392" spans="2:9" x14ac:dyDescent="0.25">
      <c r="B392" s="48"/>
      <c r="C392" s="49"/>
      <c r="D392" s="48"/>
      <c r="E392" s="48"/>
      <c r="F392" s="50"/>
      <c r="G392" s="48"/>
      <c r="H392" s="35"/>
      <c r="I392" s="38"/>
    </row>
    <row r="393" spans="2:9" x14ac:dyDescent="0.25">
      <c r="B393" s="48"/>
      <c r="C393" s="49"/>
      <c r="D393" s="48"/>
      <c r="E393" s="48"/>
      <c r="F393" s="50"/>
      <c r="G393" s="48"/>
      <c r="H393" s="35"/>
      <c r="I393" s="38"/>
    </row>
    <row r="394" spans="2:9" x14ac:dyDescent="0.25">
      <c r="B394" s="48"/>
      <c r="C394" s="49"/>
      <c r="D394" s="48"/>
      <c r="E394" s="48"/>
      <c r="F394" s="50"/>
      <c r="G394" s="48"/>
      <c r="H394" s="35"/>
      <c r="I394" s="51"/>
    </row>
    <row r="395" spans="2:9" x14ac:dyDescent="0.25">
      <c r="B395" s="48"/>
      <c r="C395" s="49"/>
      <c r="D395" s="48"/>
      <c r="E395" s="48"/>
      <c r="F395" s="50"/>
      <c r="G395" s="48"/>
      <c r="H395" s="35"/>
      <c r="I395" s="38"/>
    </row>
    <row r="396" spans="2:9" x14ac:dyDescent="0.25">
      <c r="B396" s="48"/>
      <c r="C396" s="49"/>
      <c r="D396" s="48"/>
      <c r="E396" s="48"/>
      <c r="F396" s="50"/>
      <c r="G396" s="48"/>
      <c r="H396" s="35"/>
      <c r="I396" s="38"/>
    </row>
    <row r="397" spans="2:9" x14ac:dyDescent="0.25">
      <c r="B397" s="48"/>
      <c r="C397" s="49"/>
      <c r="D397" s="48"/>
      <c r="E397" s="48"/>
      <c r="F397" s="50"/>
      <c r="G397" s="48"/>
      <c r="H397" s="35"/>
      <c r="I397" s="51"/>
    </row>
    <row r="398" spans="2:9" x14ac:dyDescent="0.25">
      <c r="B398" s="48"/>
      <c r="C398" s="49"/>
      <c r="D398" s="48"/>
      <c r="E398" s="48"/>
      <c r="F398" s="50"/>
      <c r="G398" s="48"/>
      <c r="H398" s="35"/>
      <c r="I398" s="38"/>
    </row>
    <row r="399" spans="2:9" x14ac:dyDescent="0.25">
      <c r="B399" s="48"/>
      <c r="C399" s="49"/>
      <c r="D399" s="48"/>
      <c r="E399" s="48"/>
      <c r="F399" s="50"/>
      <c r="G399" s="48"/>
      <c r="H399" s="35"/>
      <c r="I399" s="38"/>
    </row>
    <row r="400" spans="2:9" x14ac:dyDescent="0.25">
      <c r="B400" s="48"/>
      <c r="C400" s="49"/>
      <c r="D400" s="48"/>
      <c r="E400" s="48"/>
      <c r="F400" s="50"/>
      <c r="G400" s="48"/>
      <c r="H400" s="35"/>
      <c r="I400" s="51"/>
    </row>
    <row r="401" spans="2:9" x14ac:dyDescent="0.25">
      <c r="B401" s="48"/>
      <c r="C401" s="49"/>
      <c r="D401" s="48"/>
      <c r="E401" s="48"/>
      <c r="F401" s="50"/>
      <c r="G401" s="48"/>
      <c r="H401" s="35"/>
      <c r="I401" s="38"/>
    </row>
    <row r="402" spans="2:9" x14ac:dyDescent="0.25">
      <c r="B402" s="48"/>
      <c r="C402" s="49"/>
      <c r="D402" s="48"/>
      <c r="E402" s="48"/>
      <c r="F402" s="50"/>
      <c r="G402" s="48"/>
      <c r="H402" s="35"/>
      <c r="I402" s="38"/>
    </row>
    <row r="403" spans="2:9" x14ac:dyDescent="0.25">
      <c r="B403" s="48"/>
      <c r="C403" s="49"/>
      <c r="D403" s="48"/>
      <c r="E403" s="48"/>
      <c r="F403" s="50"/>
      <c r="G403" s="48"/>
      <c r="H403" s="35"/>
      <c r="I403" s="51"/>
    </row>
    <row r="404" spans="2:9" x14ac:dyDescent="0.25">
      <c r="B404" s="48"/>
      <c r="C404" s="49"/>
      <c r="D404" s="48"/>
      <c r="E404" s="48"/>
      <c r="F404" s="50"/>
      <c r="G404" s="48"/>
      <c r="H404" s="35"/>
      <c r="I404" s="38"/>
    </row>
    <row r="405" spans="2:9" x14ac:dyDescent="0.25">
      <c r="B405" s="48"/>
      <c r="C405" s="49"/>
      <c r="D405" s="48"/>
      <c r="E405" s="48"/>
      <c r="F405" s="50"/>
      <c r="G405" s="48"/>
      <c r="H405" s="35"/>
      <c r="I405" s="38"/>
    </row>
    <row r="406" spans="2:9" x14ac:dyDescent="0.25">
      <c r="B406" s="48"/>
      <c r="C406" s="49"/>
      <c r="D406" s="48"/>
      <c r="E406" s="48"/>
      <c r="F406" s="50"/>
      <c r="G406" s="48"/>
      <c r="H406" s="35"/>
      <c r="I406" s="51"/>
    </row>
    <row r="407" spans="2:9" x14ac:dyDescent="0.25">
      <c r="B407" s="48"/>
      <c r="C407" s="49"/>
      <c r="D407" s="48"/>
      <c r="E407" s="48"/>
      <c r="F407" s="50"/>
      <c r="G407" s="48"/>
      <c r="H407" s="35"/>
      <c r="I407" s="38"/>
    </row>
    <row r="408" spans="2:9" x14ac:dyDescent="0.25">
      <c r="B408" s="48"/>
      <c r="C408" s="49"/>
      <c r="D408" s="48"/>
      <c r="E408" s="48"/>
      <c r="F408" s="50"/>
      <c r="G408" s="48"/>
      <c r="H408" s="35"/>
      <c r="I408" s="38"/>
    </row>
    <row r="409" spans="2:9" x14ac:dyDescent="0.25">
      <c r="B409" s="48"/>
      <c r="C409" s="49"/>
      <c r="D409" s="48"/>
      <c r="E409" s="48"/>
      <c r="F409" s="50"/>
      <c r="G409" s="48"/>
      <c r="H409" s="35"/>
      <c r="I409" s="51"/>
    </row>
    <row r="410" spans="2:9" x14ac:dyDescent="0.25">
      <c r="B410" s="48"/>
      <c r="C410" s="49"/>
      <c r="D410" s="48"/>
      <c r="E410" s="48"/>
      <c r="F410" s="50"/>
      <c r="G410" s="48"/>
      <c r="H410" s="35"/>
      <c r="I410" s="38"/>
    </row>
    <row r="411" spans="2:9" x14ac:dyDescent="0.25">
      <c r="B411" s="48"/>
      <c r="C411" s="49"/>
      <c r="D411" s="48"/>
      <c r="E411" s="48"/>
      <c r="F411" s="50"/>
      <c r="G411" s="48"/>
      <c r="H411" s="35"/>
      <c r="I411" s="38"/>
    </row>
    <row r="412" spans="2:9" x14ac:dyDescent="0.25">
      <c r="B412" s="48"/>
      <c r="C412" s="49"/>
      <c r="D412" s="48"/>
      <c r="E412" s="48"/>
      <c r="F412" s="50"/>
      <c r="G412" s="48"/>
      <c r="H412" s="35"/>
      <c r="I412" s="51"/>
    </row>
    <row r="413" spans="2:9" x14ac:dyDescent="0.25">
      <c r="B413" s="48"/>
      <c r="C413" s="49"/>
      <c r="D413" s="48"/>
      <c r="E413" s="48"/>
      <c r="F413" s="50"/>
      <c r="G413" s="48"/>
      <c r="H413" s="35"/>
      <c r="I413" s="38"/>
    </row>
    <row r="414" spans="2:9" x14ac:dyDescent="0.25">
      <c r="B414" s="48"/>
      <c r="C414" s="49"/>
      <c r="D414" s="48"/>
      <c r="E414" s="48"/>
      <c r="F414" s="50"/>
      <c r="G414" s="48"/>
      <c r="H414" s="35"/>
      <c r="I414" s="38"/>
    </row>
    <row r="415" spans="2:9" x14ac:dyDescent="0.25">
      <c r="B415" s="48"/>
      <c r="C415" s="49"/>
      <c r="D415" s="48"/>
      <c r="E415" s="48"/>
      <c r="F415" s="50"/>
      <c r="G415" s="48"/>
      <c r="H415" s="35"/>
      <c r="I415" s="51"/>
    </row>
    <row r="416" spans="2:9" x14ac:dyDescent="0.25">
      <c r="B416" s="48"/>
      <c r="C416" s="49"/>
      <c r="D416" s="48"/>
      <c r="E416" s="48"/>
      <c r="F416" s="50"/>
      <c r="G416" s="48"/>
      <c r="H416" s="35"/>
      <c r="I416" s="38"/>
    </row>
    <row r="417" spans="2:10" x14ac:dyDescent="0.25">
      <c r="B417" s="48"/>
      <c r="C417" s="49"/>
      <c r="D417" s="48"/>
      <c r="E417" s="48"/>
      <c r="F417" s="50"/>
      <c r="G417" s="48"/>
      <c r="H417" s="35"/>
      <c r="I417" s="38"/>
    </row>
    <row r="418" spans="2:10" x14ac:dyDescent="0.25">
      <c r="B418" s="48"/>
      <c r="C418" s="49"/>
      <c r="D418" s="48"/>
      <c r="E418" s="48"/>
      <c r="F418" s="50"/>
      <c r="G418" s="48"/>
      <c r="H418" s="35"/>
      <c r="I418" s="51"/>
      <c r="J418" s="40"/>
    </row>
    <row r="419" spans="2:10" x14ac:dyDescent="0.25">
      <c r="B419" s="48"/>
      <c r="C419" s="49"/>
      <c r="D419" s="48"/>
      <c r="E419" s="48"/>
      <c r="F419" s="50"/>
      <c r="G419" s="48"/>
      <c r="H419" s="48"/>
      <c r="I419" s="51"/>
      <c r="J419" s="40"/>
    </row>
    <row r="420" spans="2:10" x14ac:dyDescent="0.25">
      <c r="B420" s="48"/>
      <c r="C420" s="49"/>
      <c r="D420" s="48"/>
      <c r="E420" s="48"/>
      <c r="F420" s="50"/>
      <c r="G420" s="48"/>
      <c r="H420" s="48"/>
      <c r="I420" s="51"/>
    </row>
    <row r="421" spans="2:10" x14ac:dyDescent="0.25">
      <c r="B421" s="48"/>
      <c r="C421" s="49"/>
      <c r="D421" s="48"/>
      <c r="E421" s="48"/>
      <c r="F421" s="50"/>
      <c r="G421" s="48"/>
      <c r="H421" s="48"/>
      <c r="I421" s="51"/>
    </row>
    <row r="422" spans="2:10" x14ac:dyDescent="0.25">
      <c r="B422" s="48"/>
      <c r="C422" s="49"/>
      <c r="D422" s="48"/>
      <c r="E422" s="48"/>
      <c r="F422" s="50"/>
      <c r="G422" s="48"/>
      <c r="H422" s="48"/>
      <c r="I422" s="51"/>
    </row>
    <row r="423" spans="2:10" x14ac:dyDescent="0.25">
      <c r="B423" s="48"/>
      <c r="C423" s="49"/>
      <c r="D423" s="48"/>
      <c r="E423" s="48"/>
      <c r="F423" s="50"/>
      <c r="G423" s="48"/>
      <c r="H423" s="48"/>
      <c r="I423" s="51"/>
    </row>
    <row r="424" spans="2:10" x14ac:dyDescent="0.25">
      <c r="B424" s="48"/>
      <c r="C424" s="49"/>
      <c r="D424" s="48"/>
      <c r="E424" s="48"/>
      <c r="F424" s="50"/>
      <c r="G424" s="48"/>
      <c r="H424" s="48"/>
      <c r="I424" s="51"/>
    </row>
    <row r="425" spans="2:10" x14ac:dyDescent="0.25">
      <c r="B425" s="48"/>
      <c r="C425" s="49"/>
      <c r="D425" s="48"/>
      <c r="E425" s="48"/>
      <c r="F425" s="50"/>
      <c r="G425" s="48"/>
      <c r="H425" s="48"/>
      <c r="I425" s="51"/>
    </row>
    <row r="426" spans="2:10" x14ac:dyDescent="0.25">
      <c r="B426" s="48"/>
      <c r="C426" s="49"/>
      <c r="D426" s="48"/>
      <c r="E426" s="48"/>
      <c r="F426" s="50"/>
      <c r="G426" s="48"/>
      <c r="H426" s="48"/>
      <c r="I426" s="51"/>
    </row>
    <row r="427" spans="2:10" x14ac:dyDescent="0.25">
      <c r="B427" s="48"/>
      <c r="C427" s="49"/>
      <c r="D427" s="48"/>
      <c r="E427" s="48"/>
      <c r="F427" s="50"/>
      <c r="G427" s="48"/>
      <c r="H427" s="48"/>
      <c r="I427" s="51"/>
    </row>
    <row r="428" spans="2:10" x14ac:dyDescent="0.25">
      <c r="B428" s="48"/>
      <c r="C428" s="49"/>
      <c r="D428" s="48"/>
      <c r="E428" s="48"/>
      <c r="F428" s="50"/>
      <c r="G428" s="48"/>
      <c r="H428" s="48"/>
      <c r="I428" s="51"/>
    </row>
    <row r="429" spans="2:10" x14ac:dyDescent="0.25">
      <c r="B429" s="48"/>
      <c r="C429" s="49"/>
      <c r="D429" s="48"/>
      <c r="E429" s="48"/>
      <c r="F429" s="50"/>
      <c r="G429" s="48"/>
      <c r="H429" s="48"/>
      <c r="I429" s="51"/>
    </row>
    <row r="430" spans="2:10" x14ac:dyDescent="0.25">
      <c r="B430" s="48"/>
      <c r="C430" s="49"/>
      <c r="D430" s="48"/>
      <c r="E430" s="48"/>
      <c r="F430" s="50"/>
      <c r="G430" s="48"/>
      <c r="H430" s="48"/>
      <c r="I430" s="51"/>
    </row>
    <row r="431" spans="2:10" x14ac:dyDescent="0.25">
      <c r="B431" s="48"/>
      <c r="C431" s="49"/>
      <c r="D431" s="48"/>
      <c r="E431" s="48"/>
      <c r="F431" s="50"/>
      <c r="G431" s="48"/>
      <c r="H431" s="48"/>
      <c r="I431" s="51"/>
    </row>
    <row r="432" spans="2:10" x14ac:dyDescent="0.25">
      <c r="B432" s="48"/>
      <c r="C432" s="49"/>
      <c r="D432" s="48"/>
      <c r="E432" s="48"/>
      <c r="F432" s="50"/>
      <c r="G432" s="48"/>
      <c r="H432" s="48"/>
      <c r="I432" s="51"/>
    </row>
    <row r="433" spans="2:9" x14ac:dyDescent="0.25">
      <c r="B433" s="48"/>
      <c r="C433" s="49"/>
      <c r="D433" s="48"/>
      <c r="E433" s="48"/>
      <c r="F433" s="50"/>
      <c r="G433" s="48"/>
      <c r="H433" s="48"/>
      <c r="I433" s="51"/>
    </row>
    <row r="434" spans="2:9" x14ac:dyDescent="0.25">
      <c r="B434" s="48"/>
      <c r="C434" s="49"/>
      <c r="D434" s="48"/>
      <c r="E434" s="48"/>
      <c r="F434" s="50"/>
      <c r="G434" s="48"/>
      <c r="H434" s="48"/>
      <c r="I434" s="51"/>
    </row>
    <row r="435" spans="2:9" x14ac:dyDescent="0.25">
      <c r="B435" s="48"/>
      <c r="C435" s="49"/>
      <c r="D435" s="48"/>
      <c r="E435" s="48"/>
      <c r="F435" s="50"/>
      <c r="G435" s="48"/>
      <c r="H435" s="48"/>
      <c r="I435" s="51"/>
    </row>
    <row r="436" spans="2:9" x14ac:dyDescent="0.25">
      <c r="B436" s="48"/>
      <c r="C436" s="49"/>
      <c r="D436" s="48"/>
      <c r="E436" s="48"/>
      <c r="F436" s="50"/>
      <c r="G436" s="48"/>
      <c r="H436" s="48"/>
      <c r="I436" s="51"/>
    </row>
    <row r="437" spans="2:9" x14ac:dyDescent="0.25">
      <c r="B437" s="48"/>
      <c r="C437" s="49"/>
      <c r="D437" s="48"/>
      <c r="E437" s="48"/>
      <c r="F437" s="50"/>
      <c r="G437" s="48"/>
      <c r="H437" s="48"/>
      <c r="I437" s="51"/>
    </row>
    <row r="438" spans="2:9" x14ac:dyDescent="0.25">
      <c r="B438" s="48"/>
      <c r="C438" s="49"/>
      <c r="D438" s="48"/>
      <c r="E438" s="48"/>
      <c r="F438" s="50"/>
      <c r="G438" s="48"/>
      <c r="H438" s="48"/>
      <c r="I438" s="51"/>
    </row>
    <row r="439" spans="2:9" x14ac:dyDescent="0.25">
      <c r="B439" s="48"/>
      <c r="C439" s="49"/>
      <c r="D439" s="48"/>
      <c r="E439" s="48"/>
      <c r="F439" s="50"/>
      <c r="G439" s="48"/>
      <c r="H439" s="48"/>
      <c r="I439" s="51"/>
    </row>
    <row r="440" spans="2:9" x14ac:dyDescent="0.25">
      <c r="B440" s="48"/>
      <c r="C440" s="49"/>
      <c r="D440" s="48"/>
      <c r="E440" s="48"/>
      <c r="F440" s="50"/>
      <c r="G440" s="48"/>
      <c r="H440" s="48"/>
      <c r="I440" s="51"/>
    </row>
    <row r="441" spans="2:9" x14ac:dyDescent="0.25">
      <c r="B441" s="48"/>
      <c r="C441" s="49"/>
      <c r="D441" s="48"/>
      <c r="E441" s="48"/>
      <c r="F441" s="50"/>
      <c r="G441" s="48"/>
      <c r="H441" s="48"/>
      <c r="I441" s="51"/>
    </row>
    <row r="442" spans="2:9" x14ac:dyDescent="0.25">
      <c r="B442" s="48"/>
      <c r="C442" s="49"/>
      <c r="D442" s="48"/>
      <c r="E442" s="48"/>
      <c r="F442" s="50"/>
      <c r="G442" s="48"/>
      <c r="H442" s="48"/>
      <c r="I442" s="51"/>
    </row>
    <row r="443" spans="2:9" x14ac:dyDescent="0.25">
      <c r="B443" s="48"/>
      <c r="C443" s="49"/>
      <c r="D443" s="48"/>
      <c r="E443" s="48"/>
      <c r="F443" s="50"/>
      <c r="G443" s="48"/>
      <c r="H443" s="48"/>
      <c r="I443" s="51"/>
    </row>
    <row r="444" spans="2:9" x14ac:dyDescent="0.25">
      <c r="B444" s="48"/>
      <c r="C444" s="49"/>
      <c r="D444" s="48"/>
      <c r="E444" s="48"/>
      <c r="F444" s="50"/>
      <c r="G444" s="48"/>
      <c r="H444" s="48"/>
      <c r="I444" s="51"/>
    </row>
    <row r="445" spans="2:9" x14ac:dyDescent="0.25">
      <c r="B445" s="48"/>
      <c r="C445" s="49"/>
      <c r="D445" s="48"/>
      <c r="E445" s="48"/>
      <c r="F445" s="50"/>
      <c r="G445" s="48"/>
      <c r="H445" s="48"/>
      <c r="I445" s="51"/>
    </row>
    <row r="446" spans="2:9" x14ac:dyDescent="0.25">
      <c r="B446" s="48"/>
      <c r="C446" s="49"/>
      <c r="D446" s="48"/>
      <c r="E446" s="48"/>
      <c r="F446" s="50"/>
      <c r="G446" s="48"/>
      <c r="H446" s="48"/>
      <c r="I446" s="51"/>
    </row>
    <row r="447" spans="2:9" x14ac:dyDescent="0.25">
      <c r="B447" s="48"/>
      <c r="C447" s="49"/>
      <c r="D447" s="48"/>
      <c r="E447" s="48"/>
      <c r="F447" s="50"/>
      <c r="G447" s="48"/>
      <c r="H447" s="48"/>
      <c r="I447" s="51"/>
    </row>
    <row r="448" spans="2:9" x14ac:dyDescent="0.25">
      <c r="B448" s="48"/>
      <c r="C448" s="49"/>
      <c r="D448" s="48"/>
      <c r="E448" s="48"/>
      <c r="F448" s="50"/>
      <c r="G448" s="48"/>
      <c r="H448" s="48"/>
      <c r="I448" s="51"/>
    </row>
    <row r="449" spans="2:9" x14ac:dyDescent="0.25">
      <c r="B449" s="48"/>
      <c r="C449" s="49"/>
      <c r="D449" s="48"/>
      <c r="E449" s="48"/>
      <c r="F449" s="50"/>
      <c r="G449" s="48"/>
      <c r="H449" s="48"/>
      <c r="I449" s="51"/>
    </row>
    <row r="450" spans="2:9" x14ac:dyDescent="0.25">
      <c r="B450" s="48"/>
      <c r="C450" s="49"/>
      <c r="D450" s="48"/>
      <c r="E450" s="48"/>
      <c r="F450" s="50"/>
      <c r="G450" s="48"/>
      <c r="H450" s="48"/>
      <c r="I450" s="51"/>
    </row>
    <row r="451" spans="2:9" x14ac:dyDescent="0.25">
      <c r="B451" s="48"/>
      <c r="C451" s="49"/>
      <c r="D451" s="48"/>
      <c r="E451" s="48"/>
      <c r="F451" s="50"/>
      <c r="G451" s="48"/>
      <c r="H451" s="48"/>
      <c r="I451" s="51"/>
    </row>
    <row r="452" spans="2:9" x14ac:dyDescent="0.25">
      <c r="B452" s="48"/>
      <c r="C452" s="49"/>
      <c r="D452" s="48"/>
      <c r="E452" s="48"/>
      <c r="F452" s="50"/>
      <c r="G452" s="48"/>
      <c r="H452" s="48"/>
      <c r="I452" s="51"/>
    </row>
    <row r="453" spans="2:9" x14ac:dyDescent="0.25">
      <c r="B453" s="48"/>
      <c r="C453" s="49"/>
      <c r="D453" s="48"/>
      <c r="E453" s="48"/>
      <c r="F453" s="50"/>
      <c r="G453" s="48"/>
      <c r="H453" s="48"/>
      <c r="I453" s="51"/>
    </row>
    <row r="454" spans="2:9" x14ac:dyDescent="0.25">
      <c r="B454" s="48"/>
      <c r="C454" s="49"/>
      <c r="D454" s="48"/>
      <c r="E454" s="48"/>
      <c r="F454" s="50"/>
      <c r="G454" s="48"/>
      <c r="H454" s="48"/>
      <c r="I454" s="51"/>
    </row>
    <row r="455" spans="2:9" x14ac:dyDescent="0.25">
      <c r="B455" s="48"/>
      <c r="C455" s="49"/>
      <c r="D455" s="48"/>
      <c r="E455" s="48"/>
      <c r="F455" s="50"/>
      <c r="G455" s="48"/>
      <c r="H455" s="48"/>
      <c r="I455" s="51"/>
    </row>
    <row r="456" spans="2:9" x14ac:dyDescent="0.25">
      <c r="B456" s="48"/>
      <c r="C456" s="49"/>
      <c r="D456" s="48"/>
      <c r="E456" s="48"/>
      <c r="F456" s="50"/>
      <c r="G456" s="48"/>
      <c r="H456" s="48"/>
      <c r="I456" s="51"/>
    </row>
    <row r="457" spans="2:9" x14ac:dyDescent="0.25">
      <c r="B457" s="48"/>
      <c r="C457" s="49"/>
      <c r="D457" s="48"/>
      <c r="E457" s="48"/>
      <c r="F457" s="50"/>
      <c r="G457" s="48"/>
      <c r="H457" s="48"/>
      <c r="I457" s="51"/>
    </row>
    <row r="458" spans="2:9" x14ac:dyDescent="0.25">
      <c r="B458" s="48"/>
      <c r="C458" s="49"/>
      <c r="D458" s="48"/>
      <c r="E458" s="48"/>
      <c r="F458" s="50"/>
      <c r="G458" s="48"/>
      <c r="H458" s="48"/>
      <c r="I458" s="51"/>
    </row>
    <row r="459" spans="2:9" x14ac:dyDescent="0.25">
      <c r="B459" s="48"/>
      <c r="C459" s="49"/>
      <c r="D459" s="48"/>
      <c r="E459" s="48"/>
      <c r="F459" s="50"/>
      <c r="G459" s="48"/>
      <c r="H459" s="48"/>
      <c r="I459" s="51"/>
    </row>
    <row r="460" spans="2:9" x14ac:dyDescent="0.25">
      <c r="B460" s="48"/>
      <c r="C460" s="49"/>
      <c r="D460" s="48"/>
      <c r="E460" s="48"/>
      <c r="F460" s="50"/>
      <c r="G460" s="48"/>
      <c r="H460" s="48"/>
      <c r="I460" s="51"/>
    </row>
    <row r="461" spans="2:9" x14ac:dyDescent="0.25">
      <c r="B461" s="48"/>
      <c r="C461" s="49"/>
      <c r="D461" s="48"/>
      <c r="E461" s="48"/>
      <c r="F461" s="50"/>
      <c r="G461" s="48"/>
      <c r="H461" s="48"/>
      <c r="I461" s="51"/>
    </row>
    <row r="462" spans="2:9" x14ac:dyDescent="0.25">
      <c r="B462" s="40"/>
      <c r="C462" s="40"/>
      <c r="D462" s="40"/>
      <c r="E462" s="40"/>
      <c r="F462" s="40"/>
      <c r="G462" s="40"/>
      <c r="H462" s="40"/>
      <c r="I462" s="40"/>
    </row>
    <row r="463" spans="2:9" x14ac:dyDescent="0.25">
      <c r="B463" s="40"/>
      <c r="C463" s="40"/>
      <c r="D463" s="40"/>
      <c r="E463" s="40"/>
      <c r="F463" s="40"/>
      <c r="G463" s="40"/>
      <c r="H463" s="40"/>
      <c r="I463" s="40"/>
    </row>
    <row r="464" spans="2:9" x14ac:dyDescent="0.25">
      <c r="B464" s="40"/>
      <c r="C464" s="40"/>
      <c r="D464" s="40"/>
      <c r="E464" s="40"/>
      <c r="F464" s="40"/>
      <c r="G464" s="40"/>
      <c r="H464" s="40"/>
      <c r="I464" s="40"/>
    </row>
    <row r="465" spans="2:9" x14ac:dyDescent="0.25">
      <c r="B465" s="40"/>
      <c r="C465" s="40"/>
      <c r="D465" s="40"/>
      <c r="E465" s="40"/>
      <c r="F465" s="40"/>
      <c r="G465" s="40"/>
      <c r="H465" s="40"/>
      <c r="I465" s="40"/>
    </row>
    <row r="466" spans="2:9" x14ac:dyDescent="0.25">
      <c r="B466" s="40"/>
      <c r="C466" s="40"/>
      <c r="D466" s="40"/>
      <c r="E466" s="40"/>
      <c r="F466" s="40"/>
      <c r="G466" s="40"/>
      <c r="H466" s="40"/>
      <c r="I466" s="40"/>
    </row>
    <row r="467" spans="2:9" x14ac:dyDescent="0.25">
      <c r="B467" s="40"/>
      <c r="C467" s="40"/>
      <c r="D467" s="40"/>
      <c r="E467" s="40"/>
      <c r="F467" s="40"/>
      <c r="G467" s="40"/>
      <c r="H467" s="40"/>
      <c r="I467" s="40"/>
    </row>
    <row r="468" spans="2:9" x14ac:dyDescent="0.25">
      <c r="B468" s="40"/>
      <c r="C468" s="40"/>
      <c r="D468" s="40"/>
      <c r="E468" s="40"/>
      <c r="F468" s="40"/>
      <c r="G468" s="40"/>
      <c r="H468" s="40"/>
      <c r="I468" s="40"/>
    </row>
    <row r="469" spans="2:9" x14ac:dyDescent="0.25">
      <c r="B469" s="40"/>
      <c r="C469" s="40"/>
      <c r="D469" s="40"/>
      <c r="E469" s="40"/>
      <c r="F469" s="40"/>
      <c r="G469" s="40"/>
      <c r="H469" s="40"/>
      <c r="I469" s="40"/>
    </row>
    <row r="470" spans="2:9" x14ac:dyDescent="0.25">
      <c r="B470" s="40"/>
      <c r="C470" s="40"/>
      <c r="D470" s="40"/>
      <c r="E470" s="40"/>
      <c r="F470" s="40"/>
      <c r="G470" s="40"/>
      <c r="H470" s="40"/>
      <c r="I470" s="40"/>
    </row>
    <row r="471" spans="2:9" x14ac:dyDescent="0.25">
      <c r="B471" s="40"/>
      <c r="C471" s="40"/>
      <c r="D471" s="40"/>
      <c r="E471" s="40"/>
      <c r="F471" s="40"/>
      <c r="G471" s="40"/>
      <c r="H471" s="40"/>
      <c r="I471" s="4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8"/>
  <sheetViews>
    <sheetView workbookViewId="0"/>
  </sheetViews>
  <sheetFormatPr defaultRowHeight="15" x14ac:dyDescent="0.25"/>
  <cols>
    <col min="1" max="1" width="3.7109375" customWidth="1"/>
    <col min="2" max="2" width="14.85546875" customWidth="1"/>
    <col min="4" max="4" width="12.42578125" customWidth="1"/>
    <col min="5" max="5" width="12.5703125" customWidth="1"/>
    <col min="6" max="6" width="13.28515625" bestFit="1" customWidth="1"/>
    <col min="7" max="7" width="10.5703125" customWidth="1"/>
    <col min="8" max="8" width="15.7109375" customWidth="1"/>
    <col min="10" max="10" width="4.7109375" customWidth="1"/>
    <col min="11" max="11" width="11.5703125" bestFit="1" customWidth="1"/>
    <col min="12" max="12" width="13.28515625" bestFit="1" customWidth="1"/>
    <col min="13" max="13" width="10.5703125" bestFit="1" customWidth="1"/>
    <col min="14" max="15" width="11.5703125" bestFit="1" customWidth="1"/>
    <col min="19" max="20" width="10.5703125" bestFit="1" customWidth="1"/>
    <col min="21" max="21" width="11.28515625" bestFit="1" customWidth="1"/>
  </cols>
  <sheetData>
    <row r="1" spans="1:21" x14ac:dyDescent="0.25">
      <c r="A1" s="1"/>
    </row>
    <row r="2" spans="1:21" ht="15.75" thickBot="1" x14ac:dyDescent="0.3">
      <c r="K2" s="2" t="s">
        <v>0</v>
      </c>
      <c r="L2" s="3" t="s">
        <v>1</v>
      </c>
      <c r="M2" s="3" t="s">
        <v>2</v>
      </c>
      <c r="N2" s="3" t="s">
        <v>3</v>
      </c>
      <c r="O2" s="3" t="s">
        <v>4</v>
      </c>
      <c r="P2" s="3" t="s">
        <v>5</v>
      </c>
      <c r="Q2" s="3" t="s">
        <v>21</v>
      </c>
      <c r="R2" s="3" t="s">
        <v>7</v>
      </c>
    </row>
    <row r="3" spans="1:21" ht="16.5" thickTop="1" thickBot="1" x14ac:dyDescent="0.3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5" t="s">
        <v>14</v>
      </c>
      <c r="I3" s="4" t="s">
        <v>15</v>
      </c>
      <c r="K3" s="6">
        <f>360*(1-(1+0.00333333)^-357)/0.00333333</f>
        <v>75079.055390065143</v>
      </c>
      <c r="L3" s="7">
        <f>0.04/12</f>
        <v>3.3333333333333335E-3</v>
      </c>
      <c r="M3" s="8">
        <f>H5</f>
        <v>360</v>
      </c>
      <c r="N3" s="8">
        <f>H362</f>
        <v>128520</v>
      </c>
      <c r="O3" s="9">
        <f>O4</f>
        <v>53260.770463920278</v>
      </c>
      <c r="P3" s="10">
        <f>O3/K3</f>
        <v>0.70939585197509059</v>
      </c>
      <c r="Q3" s="11">
        <v>357</v>
      </c>
      <c r="R3" s="9">
        <f>K3/1600</f>
        <v>46.924409618790712</v>
      </c>
      <c r="S3" s="52"/>
      <c r="T3" s="12">
        <v>55000</v>
      </c>
      <c r="U3" s="53">
        <f>S3-T3</f>
        <v>-55000</v>
      </c>
    </row>
    <row r="4" spans="1:21" ht="16.5" thickTop="1" thickBot="1" x14ac:dyDescent="0.3">
      <c r="B4" s="13"/>
      <c r="C4" s="13"/>
      <c r="D4" s="13"/>
      <c r="E4" s="13"/>
      <c r="F4" s="13"/>
      <c r="G4" s="13"/>
      <c r="H4" s="13"/>
      <c r="K4" s="14">
        <f>4320*(1-(1+0.04)^-29.8)/0.04</f>
        <v>74439.359214095195</v>
      </c>
      <c r="L4" s="15">
        <v>0.04</v>
      </c>
      <c r="M4" s="16">
        <f>F5</f>
        <v>4320</v>
      </c>
      <c r="N4" s="17">
        <f>N3</f>
        <v>128520</v>
      </c>
      <c r="O4" s="17">
        <f>D362</f>
        <v>53260.770463920278</v>
      </c>
      <c r="P4" s="18">
        <f>O4/K4</f>
        <v>0.71549205992943687</v>
      </c>
      <c r="Q4" s="15">
        <f>Q3/12</f>
        <v>29.75</v>
      </c>
      <c r="R4" s="19">
        <f>K4/1600</f>
        <v>46.524599508809494</v>
      </c>
    </row>
    <row r="5" spans="1:21" ht="15.75" thickTop="1" x14ac:dyDescent="0.25">
      <c r="B5" s="20">
        <v>75000</v>
      </c>
      <c r="C5" s="21">
        <v>0.04</v>
      </c>
      <c r="D5" s="22">
        <f>B5*(0.04/12)</f>
        <v>250.00000000000003</v>
      </c>
      <c r="E5" s="22">
        <f>B5+D5</f>
        <v>75250</v>
      </c>
      <c r="F5" s="20">
        <f>H5*12</f>
        <v>4320</v>
      </c>
      <c r="G5" s="22">
        <f>E5-H5</f>
        <v>74890</v>
      </c>
      <c r="H5" s="22">
        <v>360</v>
      </c>
      <c r="I5" s="23">
        <v>1</v>
      </c>
    </row>
    <row r="6" spans="1:21" x14ac:dyDescent="0.25">
      <c r="B6" s="22">
        <f>G5</f>
        <v>74890</v>
      </c>
      <c r="C6" s="21">
        <v>0.04</v>
      </c>
      <c r="D6" s="22">
        <f t="shared" ref="D6:D69" si="0">B6*(0.04/12)</f>
        <v>249.63333333333335</v>
      </c>
      <c r="E6" s="22">
        <f>B6+D6</f>
        <v>75139.633333333331</v>
      </c>
      <c r="F6" s="20">
        <f t="shared" ref="F6:F33" si="1">H6*12</f>
        <v>4320</v>
      </c>
      <c r="G6" s="22">
        <f t="shared" ref="G6:G69" si="2">E6-H6</f>
        <v>74779.633333333331</v>
      </c>
      <c r="H6" s="22">
        <v>360</v>
      </c>
      <c r="I6" s="23">
        <v>2</v>
      </c>
    </row>
    <row r="7" spans="1:21" x14ac:dyDescent="0.25">
      <c r="B7" s="22">
        <f>G6</f>
        <v>74779.633333333331</v>
      </c>
      <c r="C7" s="21">
        <v>0.04</v>
      </c>
      <c r="D7" s="22">
        <f t="shared" si="0"/>
        <v>249.26544444444446</v>
      </c>
      <c r="E7" s="22">
        <f t="shared" ref="E7:E70" si="3">B7+D7</f>
        <v>75028.89877777778</v>
      </c>
      <c r="F7" s="20">
        <f t="shared" si="1"/>
        <v>4320</v>
      </c>
      <c r="G7" s="22">
        <f t="shared" si="2"/>
        <v>74668.89877777778</v>
      </c>
      <c r="H7" s="22">
        <v>360</v>
      </c>
      <c r="I7" s="23">
        <v>3</v>
      </c>
    </row>
    <row r="8" spans="1:21" x14ac:dyDescent="0.25">
      <c r="B8" s="22">
        <f t="shared" ref="B8:B27" si="4">G7</f>
        <v>74668.89877777778</v>
      </c>
      <c r="C8" s="21">
        <v>0.04</v>
      </c>
      <c r="D8" s="22">
        <f t="shared" si="0"/>
        <v>248.89632925925929</v>
      </c>
      <c r="E8" s="22">
        <f t="shared" si="3"/>
        <v>74917.795107037033</v>
      </c>
      <c r="F8" s="20">
        <f t="shared" si="1"/>
        <v>4320</v>
      </c>
      <c r="G8" s="22">
        <f t="shared" si="2"/>
        <v>74557.795107037033</v>
      </c>
      <c r="H8" s="22">
        <v>360</v>
      </c>
      <c r="I8" s="23">
        <v>4</v>
      </c>
    </row>
    <row r="9" spans="1:21" x14ac:dyDescent="0.25">
      <c r="B9" s="22">
        <f t="shared" si="4"/>
        <v>74557.795107037033</v>
      </c>
      <c r="C9" s="21">
        <v>0.04</v>
      </c>
      <c r="D9" s="22">
        <f t="shared" si="0"/>
        <v>248.52598369012347</v>
      </c>
      <c r="E9" s="22">
        <f t="shared" si="3"/>
        <v>74806.321090727157</v>
      </c>
      <c r="F9" s="20">
        <f t="shared" si="1"/>
        <v>4320</v>
      </c>
      <c r="G9" s="22">
        <f t="shared" si="2"/>
        <v>74446.321090727157</v>
      </c>
      <c r="H9" s="22">
        <v>360</v>
      </c>
      <c r="I9" s="23">
        <v>5</v>
      </c>
    </row>
    <row r="10" spans="1:21" x14ac:dyDescent="0.25">
      <c r="B10" s="22">
        <f t="shared" si="4"/>
        <v>74446.321090727157</v>
      </c>
      <c r="C10" s="21">
        <v>0.04</v>
      </c>
      <c r="D10" s="22">
        <f t="shared" si="0"/>
        <v>248.15440363575721</v>
      </c>
      <c r="E10" s="22">
        <f t="shared" si="3"/>
        <v>74694.475494362909</v>
      </c>
      <c r="F10" s="20">
        <f t="shared" si="1"/>
        <v>4320</v>
      </c>
      <c r="G10" s="22">
        <f t="shared" si="2"/>
        <v>74334.475494362909</v>
      </c>
      <c r="H10" s="22">
        <v>360</v>
      </c>
      <c r="I10" s="23">
        <v>6</v>
      </c>
    </row>
    <row r="11" spans="1:21" x14ac:dyDescent="0.25">
      <c r="B11" s="22">
        <f t="shared" si="4"/>
        <v>74334.475494362909</v>
      </c>
      <c r="C11" s="21">
        <v>0.04</v>
      </c>
      <c r="D11" s="22">
        <f t="shared" si="0"/>
        <v>247.7815849812097</v>
      </c>
      <c r="E11" s="22">
        <f t="shared" si="3"/>
        <v>74582.257079344112</v>
      </c>
      <c r="F11" s="20">
        <f t="shared" si="1"/>
        <v>4320</v>
      </c>
      <c r="G11" s="22">
        <f t="shared" si="2"/>
        <v>74222.257079344112</v>
      </c>
      <c r="H11" s="22">
        <v>360</v>
      </c>
      <c r="I11" s="23">
        <v>7</v>
      </c>
    </row>
    <row r="12" spans="1:21" x14ac:dyDescent="0.25">
      <c r="B12" s="22">
        <f t="shared" si="4"/>
        <v>74222.257079344112</v>
      </c>
      <c r="C12" s="21">
        <v>0.04</v>
      </c>
      <c r="D12" s="22">
        <f t="shared" si="0"/>
        <v>247.40752359781374</v>
      </c>
      <c r="E12" s="22">
        <f t="shared" si="3"/>
        <v>74469.664602941921</v>
      </c>
      <c r="F12" s="20">
        <f t="shared" si="1"/>
        <v>4320</v>
      </c>
      <c r="G12" s="22">
        <f t="shared" si="2"/>
        <v>74109.664602941921</v>
      </c>
      <c r="H12" s="22">
        <v>360</v>
      </c>
      <c r="I12" s="23">
        <v>8</v>
      </c>
    </row>
    <row r="13" spans="1:21" x14ac:dyDescent="0.25">
      <c r="B13" s="22">
        <f t="shared" si="4"/>
        <v>74109.664602941921</v>
      </c>
      <c r="C13" s="21">
        <v>0.04</v>
      </c>
      <c r="D13" s="22">
        <f t="shared" si="0"/>
        <v>247.03221534313974</v>
      </c>
      <c r="E13" s="22">
        <f t="shared" si="3"/>
        <v>74356.696818285054</v>
      </c>
      <c r="F13" s="20">
        <f t="shared" si="1"/>
        <v>4320</v>
      </c>
      <c r="G13" s="22">
        <f t="shared" si="2"/>
        <v>73996.696818285054</v>
      </c>
      <c r="H13" s="22">
        <v>360</v>
      </c>
      <c r="I13" s="23">
        <v>9</v>
      </c>
    </row>
    <row r="14" spans="1:21" x14ac:dyDescent="0.25">
      <c r="B14" s="22">
        <f t="shared" si="4"/>
        <v>73996.696818285054</v>
      </c>
      <c r="C14" s="21">
        <v>0.04</v>
      </c>
      <c r="D14" s="22">
        <f t="shared" si="0"/>
        <v>246.65565606095021</v>
      </c>
      <c r="E14" s="22">
        <f t="shared" si="3"/>
        <v>74243.352474346</v>
      </c>
      <c r="F14" s="20">
        <f t="shared" si="1"/>
        <v>4320</v>
      </c>
      <c r="G14" s="22">
        <f t="shared" si="2"/>
        <v>73883.352474346</v>
      </c>
      <c r="H14" s="22">
        <v>360</v>
      </c>
      <c r="I14" s="23">
        <v>10</v>
      </c>
    </row>
    <row r="15" spans="1:21" x14ac:dyDescent="0.25">
      <c r="B15" s="22">
        <f t="shared" si="4"/>
        <v>73883.352474346</v>
      </c>
      <c r="C15" s="21">
        <v>0.04</v>
      </c>
      <c r="D15" s="22">
        <f t="shared" si="0"/>
        <v>246.27784158115335</v>
      </c>
      <c r="E15" s="22">
        <f t="shared" si="3"/>
        <v>74129.630315927148</v>
      </c>
      <c r="F15" s="20">
        <f t="shared" si="1"/>
        <v>4320</v>
      </c>
      <c r="G15" s="22">
        <f t="shared" si="2"/>
        <v>73769.630315927148</v>
      </c>
      <c r="H15" s="22">
        <v>360</v>
      </c>
      <c r="I15" s="23">
        <v>11</v>
      </c>
    </row>
    <row r="16" spans="1:21" x14ac:dyDescent="0.25">
      <c r="B16" s="22">
        <f t="shared" si="4"/>
        <v>73769.630315927148</v>
      </c>
      <c r="C16" s="21">
        <v>0.04</v>
      </c>
      <c r="D16" s="22">
        <f t="shared" si="0"/>
        <v>245.89876771975719</v>
      </c>
      <c r="E16" s="22">
        <f t="shared" si="3"/>
        <v>74015.529083646907</v>
      </c>
      <c r="F16" s="20">
        <f t="shared" si="1"/>
        <v>4320</v>
      </c>
      <c r="G16" s="22">
        <f t="shared" si="2"/>
        <v>73655.529083646907</v>
      </c>
      <c r="H16" s="22">
        <v>360</v>
      </c>
      <c r="I16" s="23">
        <v>12</v>
      </c>
    </row>
    <row r="17" spans="2:15" x14ac:dyDescent="0.25">
      <c r="B17" s="22">
        <f t="shared" si="4"/>
        <v>73655.529083646907</v>
      </c>
      <c r="C17" s="21">
        <v>0.04</v>
      </c>
      <c r="D17" s="22">
        <f t="shared" si="0"/>
        <v>245.51843027882305</v>
      </c>
      <c r="E17" s="22">
        <f t="shared" si="3"/>
        <v>73901.047513925732</v>
      </c>
      <c r="F17" s="20">
        <f t="shared" si="1"/>
        <v>4320</v>
      </c>
      <c r="G17" s="22">
        <f t="shared" si="2"/>
        <v>73541.047513925732</v>
      </c>
      <c r="H17" s="22">
        <v>360</v>
      </c>
      <c r="I17" s="23">
        <v>13</v>
      </c>
    </row>
    <row r="18" spans="2:15" x14ac:dyDescent="0.25">
      <c r="B18" s="22">
        <f t="shared" si="4"/>
        <v>73541.047513925732</v>
      </c>
      <c r="C18" s="21">
        <v>0.04</v>
      </c>
      <c r="D18" s="22">
        <f t="shared" si="0"/>
        <v>245.13682504641912</v>
      </c>
      <c r="E18" s="22">
        <f t="shared" si="3"/>
        <v>73786.184338972147</v>
      </c>
      <c r="F18" s="20">
        <f t="shared" si="1"/>
        <v>4320</v>
      </c>
      <c r="G18" s="22">
        <f t="shared" si="2"/>
        <v>73426.184338972147</v>
      </c>
      <c r="H18" s="22">
        <v>360</v>
      </c>
      <c r="I18" s="23">
        <v>14</v>
      </c>
    </row>
    <row r="19" spans="2:15" x14ac:dyDescent="0.25">
      <c r="B19" s="24">
        <f t="shared" si="4"/>
        <v>73426.184338972147</v>
      </c>
      <c r="C19" s="21">
        <v>0.04</v>
      </c>
      <c r="D19" s="22">
        <f t="shared" si="0"/>
        <v>244.75394779657384</v>
      </c>
      <c r="E19" s="24">
        <f t="shared" si="3"/>
        <v>73670.938286768724</v>
      </c>
      <c r="F19" s="20">
        <f t="shared" si="1"/>
        <v>4320</v>
      </c>
      <c r="G19" s="22">
        <f t="shared" si="2"/>
        <v>73310.938286768724</v>
      </c>
      <c r="H19" s="22">
        <v>360</v>
      </c>
      <c r="I19" s="25">
        <v>15</v>
      </c>
    </row>
    <row r="20" spans="2:15" x14ac:dyDescent="0.25">
      <c r="B20" s="22">
        <f t="shared" si="4"/>
        <v>73310.938286768724</v>
      </c>
      <c r="C20" s="21">
        <v>0.04</v>
      </c>
      <c r="D20" s="22">
        <f t="shared" si="0"/>
        <v>244.36979428922911</v>
      </c>
      <c r="E20" s="22">
        <f t="shared" si="3"/>
        <v>73555.308081057956</v>
      </c>
      <c r="F20" s="20">
        <f t="shared" si="1"/>
        <v>4320</v>
      </c>
      <c r="G20" s="22">
        <f t="shared" si="2"/>
        <v>73195.308081057956</v>
      </c>
      <c r="H20" s="22">
        <v>360</v>
      </c>
      <c r="I20" s="23">
        <v>16</v>
      </c>
    </row>
    <row r="21" spans="2:15" x14ac:dyDescent="0.25">
      <c r="B21" s="22">
        <f t="shared" si="4"/>
        <v>73195.308081057956</v>
      </c>
      <c r="C21" s="21">
        <v>0.04</v>
      </c>
      <c r="D21" s="22">
        <f t="shared" si="0"/>
        <v>243.98436027019321</v>
      </c>
      <c r="E21" s="22">
        <f t="shared" si="3"/>
        <v>73439.292441328143</v>
      </c>
      <c r="F21" s="20">
        <f t="shared" si="1"/>
        <v>4320</v>
      </c>
      <c r="G21" s="22">
        <f t="shared" si="2"/>
        <v>73079.292441328143</v>
      </c>
      <c r="H21" s="22">
        <v>360</v>
      </c>
      <c r="I21" s="23">
        <v>17</v>
      </c>
    </row>
    <row r="22" spans="2:15" x14ac:dyDescent="0.25">
      <c r="B22" s="22">
        <f t="shared" si="4"/>
        <v>73079.292441328143</v>
      </c>
      <c r="C22" s="21">
        <v>0.04</v>
      </c>
      <c r="D22" s="22">
        <f t="shared" si="0"/>
        <v>243.59764147109382</v>
      </c>
      <c r="E22" s="22">
        <f t="shared" si="3"/>
        <v>73322.890082799233</v>
      </c>
      <c r="F22" s="20">
        <f t="shared" si="1"/>
        <v>4320</v>
      </c>
      <c r="G22" s="22">
        <f t="shared" si="2"/>
        <v>72962.890082799233</v>
      </c>
      <c r="H22" s="22">
        <v>360</v>
      </c>
      <c r="I22" s="23">
        <v>18</v>
      </c>
      <c r="J22" t="s">
        <v>18</v>
      </c>
      <c r="K22">
        <f>(1+5%)^1</f>
        <v>1.05</v>
      </c>
      <c r="M22" s="26">
        <f>B5*K22-F5</f>
        <v>74430</v>
      </c>
      <c r="O22">
        <f>337/12</f>
        <v>28.083333333333332</v>
      </c>
    </row>
    <row r="23" spans="2:15" x14ac:dyDescent="0.25">
      <c r="B23" s="22">
        <f t="shared" si="4"/>
        <v>72962.890082799233</v>
      </c>
      <c r="C23" s="21">
        <v>0.04</v>
      </c>
      <c r="D23" s="22">
        <f t="shared" si="0"/>
        <v>243.20963360933078</v>
      </c>
      <c r="E23" s="22">
        <f t="shared" si="3"/>
        <v>73206.099716408557</v>
      </c>
      <c r="F23" s="20">
        <f t="shared" si="1"/>
        <v>4320</v>
      </c>
      <c r="G23" s="22">
        <f t="shared" si="2"/>
        <v>72846.099716408557</v>
      </c>
      <c r="H23" s="22">
        <v>360</v>
      </c>
      <c r="I23" s="23">
        <v>19</v>
      </c>
      <c r="K23">
        <f>(1+5%)^2</f>
        <v>1.1025</v>
      </c>
      <c r="M23" s="26">
        <f>B6*K23-F6</f>
        <v>78246.225000000006</v>
      </c>
    </row>
    <row r="24" spans="2:15" x14ac:dyDescent="0.25">
      <c r="B24" s="22">
        <f t="shared" si="4"/>
        <v>72846.099716408557</v>
      </c>
      <c r="C24" s="21">
        <v>0.04</v>
      </c>
      <c r="D24" s="22">
        <f t="shared" si="0"/>
        <v>242.82033238802853</v>
      </c>
      <c r="E24" s="22">
        <f t="shared" si="3"/>
        <v>73088.920048796586</v>
      </c>
      <c r="F24" s="20">
        <f t="shared" si="1"/>
        <v>4320</v>
      </c>
      <c r="G24" s="22">
        <f t="shared" si="2"/>
        <v>72728.920048796586</v>
      </c>
      <c r="H24" s="22">
        <v>360</v>
      </c>
      <c r="I24" s="23">
        <v>20</v>
      </c>
      <c r="K24" s="12">
        <f>4800*((1-(1+0.05)^(-15))/5%)*(1+0.05)-75000</f>
        <v>-22686.523487569808</v>
      </c>
      <c r="M24" s="26">
        <f>SUM(F5:F19)</f>
        <v>64800</v>
      </c>
      <c r="O24" s="26">
        <f>75000-D5</f>
        <v>74750</v>
      </c>
    </row>
    <row r="25" spans="2:15" x14ac:dyDescent="0.25">
      <c r="B25" s="22">
        <f t="shared" si="4"/>
        <v>72728.920048796586</v>
      </c>
      <c r="C25" s="21">
        <v>0.04</v>
      </c>
      <c r="D25" s="22">
        <f t="shared" si="0"/>
        <v>242.42973349598864</v>
      </c>
      <c r="E25" s="22">
        <f t="shared" si="3"/>
        <v>72971.349782292571</v>
      </c>
      <c r="F25" s="20">
        <f t="shared" si="1"/>
        <v>4320</v>
      </c>
      <c r="G25" s="22">
        <f t="shared" si="2"/>
        <v>72611.349782292571</v>
      </c>
      <c r="H25" s="22">
        <v>360</v>
      </c>
      <c r="I25" s="23">
        <v>21</v>
      </c>
    </row>
    <row r="26" spans="2:15" x14ac:dyDescent="0.25">
      <c r="B26" s="22">
        <f t="shared" si="4"/>
        <v>72611.349782292571</v>
      </c>
      <c r="C26" s="21">
        <v>0.04</v>
      </c>
      <c r="D26" s="22">
        <f t="shared" si="0"/>
        <v>242.03783260764192</v>
      </c>
      <c r="E26" s="22">
        <f t="shared" si="3"/>
        <v>72853.387614900217</v>
      </c>
      <c r="F26" s="20">
        <f t="shared" si="1"/>
        <v>4320</v>
      </c>
      <c r="G26" s="22">
        <f t="shared" si="2"/>
        <v>72493.387614900217</v>
      </c>
      <c r="H26" s="22">
        <v>360</v>
      </c>
      <c r="I26" s="23">
        <v>22</v>
      </c>
      <c r="O26">
        <f>0.05/12</f>
        <v>4.1666666666666666E-3</v>
      </c>
    </row>
    <row r="27" spans="2:15" x14ac:dyDescent="0.25">
      <c r="B27" s="22">
        <f t="shared" si="4"/>
        <v>72493.387614900217</v>
      </c>
      <c r="C27" s="21">
        <v>0.04</v>
      </c>
      <c r="D27" s="22">
        <f t="shared" si="0"/>
        <v>241.64462538300074</v>
      </c>
      <c r="E27" s="22">
        <f t="shared" si="3"/>
        <v>72735.032240283224</v>
      </c>
      <c r="F27" s="20">
        <f t="shared" si="1"/>
        <v>4320</v>
      </c>
      <c r="G27" s="22">
        <f t="shared" si="2"/>
        <v>72375.032240283224</v>
      </c>
      <c r="H27" s="22">
        <v>360</v>
      </c>
      <c r="I27" s="23">
        <v>23</v>
      </c>
    </row>
    <row r="28" spans="2:15" x14ac:dyDescent="0.25">
      <c r="B28" s="22">
        <f>G27</f>
        <v>72375.032240283224</v>
      </c>
      <c r="C28" s="21">
        <v>0.04</v>
      </c>
      <c r="D28" s="22">
        <f t="shared" si="0"/>
        <v>241.25010746761077</v>
      </c>
      <c r="E28" s="22">
        <f t="shared" si="3"/>
        <v>72616.282347750835</v>
      </c>
      <c r="F28" s="20">
        <f t="shared" si="1"/>
        <v>4320</v>
      </c>
      <c r="G28" s="22">
        <f t="shared" si="2"/>
        <v>72256.282347750835</v>
      </c>
      <c r="H28" s="22">
        <v>360</v>
      </c>
      <c r="I28" s="23">
        <v>24</v>
      </c>
    </row>
    <row r="29" spans="2:15" x14ac:dyDescent="0.25">
      <c r="B29" s="22">
        <f t="shared" ref="B29:B92" si="5">G28</f>
        <v>72256.282347750835</v>
      </c>
      <c r="C29" s="21">
        <v>0.04</v>
      </c>
      <c r="D29" s="22">
        <f t="shared" si="0"/>
        <v>240.85427449250281</v>
      </c>
      <c r="E29" s="22">
        <f t="shared" si="3"/>
        <v>72497.136622243343</v>
      </c>
      <c r="F29" s="20">
        <f t="shared" si="1"/>
        <v>4320</v>
      </c>
      <c r="G29" s="22">
        <f t="shared" si="2"/>
        <v>72137.136622243343</v>
      </c>
      <c r="H29" s="22">
        <v>360</v>
      </c>
      <c r="I29" s="23">
        <v>25</v>
      </c>
    </row>
    <row r="30" spans="2:15" x14ac:dyDescent="0.25">
      <c r="B30" s="22">
        <f t="shared" si="5"/>
        <v>72137.136622243343</v>
      </c>
      <c r="C30" s="21">
        <v>0.04</v>
      </c>
      <c r="D30" s="22">
        <f t="shared" si="0"/>
        <v>240.45712207414448</v>
      </c>
      <c r="E30" s="22">
        <f t="shared" si="3"/>
        <v>72377.593744317492</v>
      </c>
      <c r="F30" s="20">
        <f t="shared" si="1"/>
        <v>4320</v>
      </c>
      <c r="G30" s="22">
        <f t="shared" si="2"/>
        <v>72017.593744317492</v>
      </c>
      <c r="H30" s="22">
        <v>360</v>
      </c>
      <c r="I30" s="23">
        <v>26</v>
      </c>
    </row>
    <row r="31" spans="2:15" x14ac:dyDescent="0.25">
      <c r="B31" s="22">
        <f t="shared" si="5"/>
        <v>72017.593744317492</v>
      </c>
      <c r="C31" s="21">
        <v>0.04</v>
      </c>
      <c r="D31" s="22">
        <f t="shared" si="0"/>
        <v>240.05864581439167</v>
      </c>
      <c r="E31" s="22">
        <f t="shared" si="3"/>
        <v>72257.652390131887</v>
      </c>
      <c r="F31" s="20">
        <f t="shared" si="1"/>
        <v>4320</v>
      </c>
      <c r="G31" s="22">
        <f t="shared" si="2"/>
        <v>71897.652390131887</v>
      </c>
      <c r="H31" s="22">
        <v>360</v>
      </c>
      <c r="I31" s="23">
        <v>27</v>
      </c>
    </row>
    <row r="32" spans="2:15" x14ac:dyDescent="0.25">
      <c r="B32" s="24">
        <f t="shared" si="5"/>
        <v>71897.652390131887</v>
      </c>
      <c r="C32" s="46">
        <v>0.04</v>
      </c>
      <c r="D32" s="24">
        <f t="shared" si="0"/>
        <v>239.65884130043963</v>
      </c>
      <c r="E32" s="24">
        <f t="shared" si="3"/>
        <v>72137.311231432323</v>
      </c>
      <c r="F32" s="47">
        <f t="shared" si="1"/>
        <v>4320</v>
      </c>
      <c r="G32" s="24">
        <f t="shared" si="2"/>
        <v>71777.311231432323</v>
      </c>
      <c r="H32" s="24">
        <v>360</v>
      </c>
      <c r="I32" s="25">
        <v>28</v>
      </c>
    </row>
    <row r="33" spans="2:9" x14ac:dyDescent="0.25">
      <c r="B33" s="22">
        <f t="shared" si="5"/>
        <v>71777.311231432323</v>
      </c>
      <c r="C33" s="21">
        <v>0.04</v>
      </c>
      <c r="D33" s="22">
        <f t="shared" si="0"/>
        <v>239.25770410477443</v>
      </c>
      <c r="E33" s="22">
        <f t="shared" si="3"/>
        <v>72016.5689355371</v>
      </c>
      <c r="F33" s="20">
        <f t="shared" si="1"/>
        <v>4320</v>
      </c>
      <c r="G33" s="22">
        <f t="shared" si="2"/>
        <v>71656.5689355371</v>
      </c>
      <c r="H33" s="22">
        <v>360</v>
      </c>
      <c r="I33" s="70">
        <v>29</v>
      </c>
    </row>
    <row r="34" spans="2:9" x14ac:dyDescent="0.25">
      <c r="B34" s="22">
        <f t="shared" si="5"/>
        <v>71656.5689355371</v>
      </c>
      <c r="C34" s="21">
        <v>0.04</v>
      </c>
      <c r="D34" s="22">
        <f t="shared" si="0"/>
        <v>238.85522978512367</v>
      </c>
      <c r="E34" s="22">
        <f t="shared" si="3"/>
        <v>71895.424165322227</v>
      </c>
      <c r="F34" s="71">
        <f>SUM(F5:F33)</f>
        <v>125280</v>
      </c>
      <c r="G34" s="22">
        <f t="shared" si="2"/>
        <v>71535.424165322227</v>
      </c>
      <c r="H34" s="22">
        <v>360</v>
      </c>
      <c r="I34" s="23">
        <v>30</v>
      </c>
    </row>
    <row r="35" spans="2:9" x14ac:dyDescent="0.25">
      <c r="B35" s="22">
        <f t="shared" si="5"/>
        <v>71535.424165322227</v>
      </c>
      <c r="C35" s="21">
        <v>0.04</v>
      </c>
      <c r="D35" s="22">
        <f t="shared" si="0"/>
        <v>238.45141388440743</v>
      </c>
      <c r="E35" s="22">
        <f t="shared" si="3"/>
        <v>71773.875579206637</v>
      </c>
      <c r="F35" s="71">
        <f>F36-F34</f>
        <v>3240</v>
      </c>
      <c r="G35" s="22">
        <f t="shared" si="2"/>
        <v>71413.875579206637</v>
      </c>
      <c r="H35" s="22">
        <v>360</v>
      </c>
      <c r="I35" s="23">
        <v>31</v>
      </c>
    </row>
    <row r="36" spans="2:9" x14ac:dyDescent="0.25">
      <c r="B36" s="22">
        <f t="shared" si="5"/>
        <v>71413.875579206637</v>
      </c>
      <c r="C36" s="21">
        <v>0.04</v>
      </c>
      <c r="D36" s="22">
        <f t="shared" si="0"/>
        <v>238.04625193068881</v>
      </c>
      <c r="E36" s="22">
        <f t="shared" si="3"/>
        <v>71651.921831137326</v>
      </c>
      <c r="F36" s="69">
        <f>H362</f>
        <v>128520</v>
      </c>
      <c r="G36" s="22">
        <f t="shared" si="2"/>
        <v>71291.921831137326</v>
      </c>
      <c r="H36" s="22">
        <v>360</v>
      </c>
      <c r="I36" s="23">
        <v>32</v>
      </c>
    </row>
    <row r="37" spans="2:9" x14ac:dyDescent="0.25">
      <c r="B37" s="22">
        <f t="shared" si="5"/>
        <v>71291.921831137326</v>
      </c>
      <c r="C37" s="21">
        <v>0.04</v>
      </c>
      <c r="D37" s="22">
        <f t="shared" si="0"/>
        <v>237.63973943712443</v>
      </c>
      <c r="E37" s="22">
        <f t="shared" si="3"/>
        <v>71529.561570574457</v>
      </c>
      <c r="F37" s="20"/>
      <c r="G37" s="22">
        <f t="shared" si="2"/>
        <v>71169.561570574457</v>
      </c>
      <c r="H37" s="22">
        <v>360</v>
      </c>
      <c r="I37" s="23">
        <v>33</v>
      </c>
    </row>
    <row r="38" spans="2:9" x14ac:dyDescent="0.25">
      <c r="B38" s="22">
        <f t="shared" si="5"/>
        <v>71169.561570574457</v>
      </c>
      <c r="C38" s="21">
        <v>0.04</v>
      </c>
      <c r="D38" s="22">
        <f t="shared" si="0"/>
        <v>237.23187190191487</v>
      </c>
      <c r="E38" s="22">
        <f t="shared" si="3"/>
        <v>71406.793442476366</v>
      </c>
      <c r="F38" s="20"/>
      <c r="G38" s="22">
        <f t="shared" si="2"/>
        <v>71046.793442476366</v>
      </c>
      <c r="H38" s="22">
        <v>360</v>
      </c>
      <c r="I38" s="23">
        <v>34</v>
      </c>
    </row>
    <row r="39" spans="2:9" x14ac:dyDescent="0.25">
      <c r="B39" s="22">
        <f t="shared" si="5"/>
        <v>71046.793442476366</v>
      </c>
      <c r="C39" s="21">
        <v>0.04</v>
      </c>
      <c r="D39" s="22">
        <f t="shared" si="0"/>
        <v>236.82264480825458</v>
      </c>
      <c r="E39" s="22">
        <f t="shared" si="3"/>
        <v>71283.616087284623</v>
      </c>
      <c r="F39" s="20"/>
      <c r="G39" s="22">
        <f t="shared" si="2"/>
        <v>70923.616087284623</v>
      </c>
      <c r="H39" s="22">
        <v>360</v>
      </c>
      <c r="I39" s="23">
        <v>35</v>
      </c>
    </row>
    <row r="40" spans="2:9" x14ac:dyDescent="0.25">
      <c r="B40" s="22">
        <f t="shared" si="5"/>
        <v>70923.616087284623</v>
      </c>
      <c r="C40" s="21">
        <v>0.04</v>
      </c>
      <c r="D40" s="22">
        <f t="shared" si="0"/>
        <v>236.41205362428209</v>
      </c>
      <c r="E40" s="22">
        <f t="shared" si="3"/>
        <v>71160.028140908908</v>
      </c>
      <c r="F40" s="20"/>
      <c r="G40" s="22">
        <f t="shared" si="2"/>
        <v>70800.028140908908</v>
      </c>
      <c r="H40" s="22">
        <v>360</v>
      </c>
      <c r="I40" s="23">
        <v>36</v>
      </c>
    </row>
    <row r="41" spans="2:9" x14ac:dyDescent="0.25">
      <c r="B41" s="22">
        <f t="shared" si="5"/>
        <v>70800.028140908908</v>
      </c>
      <c r="C41" s="21">
        <v>0.04</v>
      </c>
      <c r="D41" s="22">
        <f t="shared" si="0"/>
        <v>236.0000938030297</v>
      </c>
      <c r="E41" s="22">
        <f t="shared" si="3"/>
        <v>71036.028234711936</v>
      </c>
      <c r="F41" s="20"/>
      <c r="G41" s="22">
        <f t="shared" si="2"/>
        <v>70676.028234711936</v>
      </c>
      <c r="H41" s="22">
        <v>360</v>
      </c>
      <c r="I41" s="23">
        <v>37</v>
      </c>
    </row>
    <row r="42" spans="2:9" x14ac:dyDescent="0.25">
      <c r="B42" s="22">
        <f t="shared" si="5"/>
        <v>70676.028234711936</v>
      </c>
      <c r="C42" s="21">
        <v>0.04</v>
      </c>
      <c r="D42" s="22">
        <f t="shared" si="0"/>
        <v>235.58676078237315</v>
      </c>
      <c r="E42" s="22">
        <f t="shared" si="3"/>
        <v>70911.61499549431</v>
      </c>
      <c r="F42" s="20"/>
      <c r="G42" s="22">
        <f t="shared" si="2"/>
        <v>70551.61499549431</v>
      </c>
      <c r="H42" s="22">
        <v>360</v>
      </c>
      <c r="I42" s="23">
        <v>38</v>
      </c>
    </row>
    <row r="43" spans="2:9" x14ac:dyDescent="0.25">
      <c r="B43" s="22">
        <f t="shared" si="5"/>
        <v>70551.61499549431</v>
      </c>
      <c r="C43" s="21">
        <v>0.04</v>
      </c>
      <c r="D43" s="22">
        <f t="shared" si="0"/>
        <v>235.17204998498104</v>
      </c>
      <c r="E43" s="22">
        <f t="shared" si="3"/>
        <v>70786.787045479286</v>
      </c>
      <c r="F43" s="20"/>
      <c r="G43" s="22">
        <f t="shared" si="2"/>
        <v>70426.787045479286</v>
      </c>
      <c r="H43" s="22">
        <v>360</v>
      </c>
      <c r="I43" s="23">
        <v>39</v>
      </c>
    </row>
    <row r="44" spans="2:9" x14ac:dyDescent="0.25">
      <c r="B44" s="22">
        <f t="shared" si="5"/>
        <v>70426.787045479286</v>
      </c>
      <c r="C44" s="21">
        <v>0.04</v>
      </c>
      <c r="D44" s="22">
        <f t="shared" si="0"/>
        <v>234.75595681826431</v>
      </c>
      <c r="E44" s="22">
        <f t="shared" si="3"/>
        <v>70661.543002297549</v>
      </c>
      <c r="F44" s="20"/>
      <c r="G44" s="22">
        <f t="shared" si="2"/>
        <v>70301.543002297549</v>
      </c>
      <c r="H44" s="22">
        <v>360</v>
      </c>
      <c r="I44" s="23">
        <v>40</v>
      </c>
    </row>
    <row r="45" spans="2:9" x14ac:dyDescent="0.25">
      <c r="B45" s="22">
        <f t="shared" si="5"/>
        <v>70301.543002297549</v>
      </c>
      <c r="C45" s="21">
        <v>0.04</v>
      </c>
      <c r="D45" s="22">
        <f t="shared" si="0"/>
        <v>234.33847667432516</v>
      </c>
      <c r="E45" s="22">
        <f t="shared" si="3"/>
        <v>70535.881478971874</v>
      </c>
      <c r="F45" s="20"/>
      <c r="G45" s="22">
        <f t="shared" si="2"/>
        <v>70175.881478971874</v>
      </c>
      <c r="H45" s="22">
        <v>360</v>
      </c>
      <c r="I45" s="23">
        <v>41</v>
      </c>
    </row>
    <row r="46" spans="2:9" x14ac:dyDescent="0.25">
      <c r="B46" s="22">
        <f t="shared" si="5"/>
        <v>70175.881478971874</v>
      </c>
      <c r="C46" s="21">
        <v>0.04</v>
      </c>
      <c r="D46" s="22">
        <f t="shared" si="0"/>
        <v>233.91960492990626</v>
      </c>
      <c r="E46" s="22">
        <f t="shared" si="3"/>
        <v>70409.801083901781</v>
      </c>
      <c r="F46" s="20"/>
      <c r="G46" s="22">
        <f t="shared" si="2"/>
        <v>70049.801083901781</v>
      </c>
      <c r="H46" s="22">
        <v>360</v>
      </c>
      <c r="I46" s="23">
        <v>42</v>
      </c>
    </row>
    <row r="47" spans="2:9" x14ac:dyDescent="0.25">
      <c r="B47" s="22">
        <f t="shared" si="5"/>
        <v>70049.801083901781</v>
      </c>
      <c r="C47" s="21">
        <v>0.04</v>
      </c>
      <c r="D47" s="22">
        <f t="shared" si="0"/>
        <v>233.4993369463393</v>
      </c>
      <c r="E47" s="22">
        <f t="shared" si="3"/>
        <v>70283.300420848114</v>
      </c>
      <c r="F47" s="20"/>
      <c r="G47" s="22">
        <f t="shared" si="2"/>
        <v>69923.300420848114</v>
      </c>
      <c r="H47" s="22">
        <v>360</v>
      </c>
      <c r="I47" s="23">
        <v>43</v>
      </c>
    </row>
    <row r="48" spans="2:9" x14ac:dyDescent="0.25">
      <c r="B48" s="22">
        <f t="shared" si="5"/>
        <v>69923.300420848114</v>
      </c>
      <c r="C48" s="21">
        <v>0.04</v>
      </c>
      <c r="D48" s="22">
        <f t="shared" si="0"/>
        <v>233.07766806949374</v>
      </c>
      <c r="E48" s="22">
        <f t="shared" si="3"/>
        <v>70156.378088917612</v>
      </c>
      <c r="F48" s="20"/>
      <c r="G48" s="22">
        <f t="shared" si="2"/>
        <v>69796.378088917612</v>
      </c>
      <c r="H48" s="22">
        <v>360</v>
      </c>
      <c r="I48" s="23">
        <v>44</v>
      </c>
    </row>
    <row r="49" spans="2:9" x14ac:dyDescent="0.25">
      <c r="B49" s="22">
        <f t="shared" si="5"/>
        <v>69796.378088917612</v>
      </c>
      <c r="C49" s="21">
        <v>0.04</v>
      </c>
      <c r="D49" s="22">
        <f t="shared" si="0"/>
        <v>232.65459362972538</v>
      </c>
      <c r="E49" s="22">
        <f t="shared" si="3"/>
        <v>70029.032682547331</v>
      </c>
      <c r="F49" s="20"/>
      <c r="G49" s="22">
        <f t="shared" si="2"/>
        <v>69669.032682547331</v>
      </c>
      <c r="H49" s="22">
        <v>360</v>
      </c>
      <c r="I49" s="23">
        <v>45</v>
      </c>
    </row>
    <row r="50" spans="2:9" x14ac:dyDescent="0.25">
      <c r="B50" s="22">
        <f t="shared" si="5"/>
        <v>69669.032682547331</v>
      </c>
      <c r="C50" s="21">
        <v>0.04</v>
      </c>
      <c r="D50" s="22">
        <f t="shared" si="0"/>
        <v>232.23010894182445</v>
      </c>
      <c r="E50" s="22">
        <f t="shared" si="3"/>
        <v>69901.262791489149</v>
      </c>
      <c r="F50" s="20"/>
      <c r="G50" s="22">
        <f t="shared" si="2"/>
        <v>69541.262791489149</v>
      </c>
      <c r="H50" s="22">
        <v>360</v>
      </c>
      <c r="I50" s="23">
        <v>46</v>
      </c>
    </row>
    <row r="51" spans="2:9" x14ac:dyDescent="0.25">
      <c r="B51" s="22">
        <f t="shared" si="5"/>
        <v>69541.262791489149</v>
      </c>
      <c r="C51" s="21">
        <v>0.04</v>
      </c>
      <c r="D51" s="22">
        <f t="shared" si="0"/>
        <v>231.80420930496385</v>
      </c>
      <c r="E51" s="22">
        <f t="shared" si="3"/>
        <v>69773.067000794108</v>
      </c>
      <c r="F51" s="20"/>
      <c r="G51" s="22">
        <f t="shared" si="2"/>
        <v>69413.067000794108</v>
      </c>
      <c r="H51" s="22">
        <v>360</v>
      </c>
      <c r="I51" s="23">
        <v>47</v>
      </c>
    </row>
    <row r="52" spans="2:9" x14ac:dyDescent="0.25">
      <c r="B52" s="22">
        <f t="shared" si="5"/>
        <v>69413.067000794108</v>
      </c>
      <c r="C52" s="21">
        <v>0.04</v>
      </c>
      <c r="D52" s="22">
        <f t="shared" si="0"/>
        <v>231.37689000264703</v>
      </c>
      <c r="E52" s="22">
        <f t="shared" si="3"/>
        <v>69644.443890796756</v>
      </c>
      <c r="F52" s="20"/>
      <c r="G52" s="22">
        <f t="shared" si="2"/>
        <v>69284.443890796756</v>
      </c>
      <c r="H52" s="22">
        <v>360</v>
      </c>
      <c r="I52" s="23">
        <v>48</v>
      </c>
    </row>
    <row r="53" spans="2:9" x14ac:dyDescent="0.25">
      <c r="B53" s="22">
        <f t="shared" si="5"/>
        <v>69284.443890796756</v>
      </c>
      <c r="C53" s="21">
        <v>0.04</v>
      </c>
      <c r="D53" s="22">
        <f t="shared" si="0"/>
        <v>230.94814630265586</v>
      </c>
      <c r="E53" s="22">
        <f t="shared" si="3"/>
        <v>69515.392037099416</v>
      </c>
      <c r="F53" s="20"/>
      <c r="G53" s="22">
        <f t="shared" si="2"/>
        <v>69155.392037099416</v>
      </c>
      <c r="H53" s="22">
        <v>360</v>
      </c>
      <c r="I53" s="23">
        <v>49</v>
      </c>
    </row>
    <row r="54" spans="2:9" x14ac:dyDescent="0.25">
      <c r="B54" s="22">
        <f t="shared" si="5"/>
        <v>69155.392037099416</v>
      </c>
      <c r="C54" s="21">
        <v>0.04</v>
      </c>
      <c r="D54" s="22">
        <f t="shared" si="0"/>
        <v>230.51797345699808</v>
      </c>
      <c r="E54" s="22">
        <f t="shared" si="3"/>
        <v>69385.910010556414</v>
      </c>
      <c r="F54" s="20"/>
      <c r="G54" s="22">
        <f t="shared" si="2"/>
        <v>69025.910010556414</v>
      </c>
      <c r="H54" s="22">
        <v>360</v>
      </c>
      <c r="I54" s="23">
        <v>50</v>
      </c>
    </row>
    <row r="55" spans="2:9" x14ac:dyDescent="0.25">
      <c r="B55" s="22">
        <f t="shared" si="5"/>
        <v>69025.910010556414</v>
      </c>
      <c r="C55" s="21">
        <v>0.04</v>
      </c>
      <c r="D55" s="22">
        <f t="shared" si="0"/>
        <v>230.08636670185473</v>
      </c>
      <c r="E55" s="22">
        <f t="shared" si="3"/>
        <v>69255.996377258271</v>
      </c>
      <c r="F55" s="20"/>
      <c r="G55" s="22">
        <f t="shared" si="2"/>
        <v>68895.996377258271</v>
      </c>
      <c r="H55" s="22">
        <v>360</v>
      </c>
      <c r="I55" s="23">
        <v>51</v>
      </c>
    </row>
    <row r="56" spans="2:9" x14ac:dyDescent="0.25">
      <c r="B56" s="22">
        <f t="shared" si="5"/>
        <v>68895.996377258271</v>
      </c>
      <c r="C56" s="21">
        <v>0.04</v>
      </c>
      <c r="D56" s="22">
        <f t="shared" si="0"/>
        <v>229.65332125752758</v>
      </c>
      <c r="E56" s="22">
        <f t="shared" si="3"/>
        <v>69125.649698515801</v>
      </c>
      <c r="F56" s="20"/>
      <c r="G56" s="22">
        <f t="shared" si="2"/>
        <v>68765.649698515801</v>
      </c>
      <c r="H56" s="22">
        <v>360</v>
      </c>
      <c r="I56" s="23">
        <v>52</v>
      </c>
    </row>
    <row r="57" spans="2:9" x14ac:dyDescent="0.25">
      <c r="B57" s="22">
        <f t="shared" si="5"/>
        <v>68765.649698515801</v>
      </c>
      <c r="C57" s="21">
        <v>0.04</v>
      </c>
      <c r="D57" s="22">
        <f t="shared" si="0"/>
        <v>229.21883232838601</v>
      </c>
      <c r="E57" s="22">
        <f t="shared" si="3"/>
        <v>68994.868530844193</v>
      </c>
      <c r="F57" s="20"/>
      <c r="G57" s="22">
        <f t="shared" si="2"/>
        <v>68634.868530844193</v>
      </c>
      <c r="H57" s="22">
        <v>360</v>
      </c>
      <c r="I57" s="23">
        <v>53</v>
      </c>
    </row>
    <row r="58" spans="2:9" x14ac:dyDescent="0.25">
      <c r="B58" s="22">
        <f t="shared" si="5"/>
        <v>68634.868530844193</v>
      </c>
      <c r="C58" s="21">
        <v>0.04</v>
      </c>
      <c r="D58" s="22">
        <f t="shared" si="0"/>
        <v>228.782895102814</v>
      </c>
      <c r="E58" s="22">
        <f t="shared" si="3"/>
        <v>68863.651425947013</v>
      </c>
      <c r="F58" s="20"/>
      <c r="G58" s="22">
        <f t="shared" si="2"/>
        <v>68503.651425947013</v>
      </c>
      <c r="H58" s="22">
        <v>360</v>
      </c>
      <c r="I58" s="23">
        <v>54</v>
      </c>
    </row>
    <row r="59" spans="2:9" x14ac:dyDescent="0.25">
      <c r="B59" s="22">
        <f t="shared" si="5"/>
        <v>68503.651425947013</v>
      </c>
      <c r="C59" s="21">
        <v>0.04</v>
      </c>
      <c r="D59" s="22">
        <f t="shared" si="0"/>
        <v>228.34550475315672</v>
      </c>
      <c r="E59" s="22">
        <f t="shared" si="3"/>
        <v>68731.996930700174</v>
      </c>
      <c r="F59" s="20"/>
      <c r="G59" s="22">
        <f t="shared" si="2"/>
        <v>68371.996930700174</v>
      </c>
      <c r="H59" s="22">
        <v>360</v>
      </c>
      <c r="I59" s="23">
        <v>55</v>
      </c>
    </row>
    <row r="60" spans="2:9" x14ac:dyDescent="0.25">
      <c r="B60" s="22">
        <f t="shared" si="5"/>
        <v>68371.996930700174</v>
      </c>
      <c r="C60" s="21">
        <v>0.04</v>
      </c>
      <c r="D60" s="22">
        <f t="shared" si="0"/>
        <v>227.90665643566726</v>
      </c>
      <c r="E60" s="22">
        <f t="shared" si="3"/>
        <v>68599.903587135836</v>
      </c>
      <c r="F60" s="20"/>
      <c r="G60" s="22">
        <f t="shared" si="2"/>
        <v>68239.903587135836</v>
      </c>
      <c r="H60" s="22">
        <v>360</v>
      </c>
      <c r="I60" s="23">
        <v>56</v>
      </c>
    </row>
    <row r="61" spans="2:9" x14ac:dyDescent="0.25">
      <c r="B61" s="22">
        <f t="shared" si="5"/>
        <v>68239.903587135836</v>
      </c>
      <c r="C61" s="21">
        <v>0.04</v>
      </c>
      <c r="D61" s="22">
        <f t="shared" si="0"/>
        <v>227.46634529045281</v>
      </c>
      <c r="E61" s="22">
        <f t="shared" si="3"/>
        <v>68467.369932426285</v>
      </c>
      <c r="F61" s="20"/>
      <c r="G61" s="22">
        <f t="shared" si="2"/>
        <v>68107.369932426285</v>
      </c>
      <c r="H61" s="22">
        <v>360</v>
      </c>
      <c r="I61" s="23">
        <v>57</v>
      </c>
    </row>
    <row r="62" spans="2:9" x14ac:dyDescent="0.25">
      <c r="B62" s="22">
        <f t="shared" si="5"/>
        <v>68107.369932426285</v>
      </c>
      <c r="C62" s="21">
        <v>0.04</v>
      </c>
      <c r="D62" s="22">
        <f t="shared" si="0"/>
        <v>227.02456644142097</v>
      </c>
      <c r="E62" s="22">
        <f t="shared" si="3"/>
        <v>68334.39449886771</v>
      </c>
      <c r="F62" s="20"/>
      <c r="G62" s="22">
        <f t="shared" si="2"/>
        <v>67974.39449886771</v>
      </c>
      <c r="H62" s="22">
        <v>360</v>
      </c>
      <c r="I62" s="23">
        <v>58</v>
      </c>
    </row>
    <row r="63" spans="2:9" x14ac:dyDescent="0.25">
      <c r="B63" s="22">
        <f t="shared" si="5"/>
        <v>67974.39449886771</v>
      </c>
      <c r="C63" s="21">
        <v>0.04</v>
      </c>
      <c r="D63" s="22">
        <f t="shared" si="0"/>
        <v>226.58131499622573</v>
      </c>
      <c r="E63" s="22">
        <f t="shared" si="3"/>
        <v>68200.97581386393</v>
      </c>
      <c r="F63" s="20"/>
      <c r="G63" s="22">
        <f t="shared" si="2"/>
        <v>67840.97581386393</v>
      </c>
      <c r="H63" s="22">
        <v>360</v>
      </c>
      <c r="I63" s="23">
        <v>59</v>
      </c>
    </row>
    <row r="64" spans="2:9" x14ac:dyDescent="0.25">
      <c r="B64" s="22">
        <f t="shared" si="5"/>
        <v>67840.97581386393</v>
      </c>
      <c r="C64" s="21">
        <v>0.04</v>
      </c>
      <c r="D64" s="22">
        <f t="shared" si="0"/>
        <v>226.13658604621313</v>
      </c>
      <c r="E64" s="22">
        <f t="shared" si="3"/>
        <v>68067.11239991014</v>
      </c>
      <c r="F64" s="20"/>
      <c r="G64" s="22">
        <f t="shared" si="2"/>
        <v>67707.11239991014</v>
      </c>
      <c r="H64" s="22">
        <v>360</v>
      </c>
      <c r="I64" s="23">
        <v>60</v>
      </c>
    </row>
    <row r="65" spans="2:10" x14ac:dyDescent="0.25">
      <c r="B65" s="22">
        <f t="shared" si="5"/>
        <v>67707.11239991014</v>
      </c>
      <c r="C65" s="21">
        <v>0.04</v>
      </c>
      <c r="D65" s="22">
        <f t="shared" si="0"/>
        <v>225.69037466636715</v>
      </c>
      <c r="E65" s="22">
        <f t="shared" si="3"/>
        <v>67932.802774576514</v>
      </c>
      <c r="F65" s="20"/>
      <c r="G65" s="22">
        <f t="shared" si="2"/>
        <v>67572.802774576514</v>
      </c>
      <c r="H65" s="22">
        <v>360</v>
      </c>
      <c r="I65" s="23">
        <v>61</v>
      </c>
    </row>
    <row r="66" spans="2:10" x14ac:dyDescent="0.25">
      <c r="B66" s="22">
        <f t="shared" si="5"/>
        <v>67572.802774576514</v>
      </c>
      <c r="C66" s="21">
        <v>0.04</v>
      </c>
      <c r="D66" s="22">
        <f t="shared" si="0"/>
        <v>225.24267591525506</v>
      </c>
      <c r="E66" s="22">
        <f t="shared" si="3"/>
        <v>67798.045450491772</v>
      </c>
      <c r="F66" s="20"/>
      <c r="G66" s="22">
        <f t="shared" si="2"/>
        <v>67438.045450491772</v>
      </c>
      <c r="H66" s="22">
        <v>360</v>
      </c>
      <c r="I66" s="23">
        <v>62</v>
      </c>
    </row>
    <row r="67" spans="2:10" x14ac:dyDescent="0.25">
      <c r="B67" s="22">
        <f t="shared" si="5"/>
        <v>67438.045450491772</v>
      </c>
      <c r="C67" s="21">
        <v>0.04</v>
      </c>
      <c r="D67" s="22">
        <f t="shared" si="0"/>
        <v>224.79348483497259</v>
      </c>
      <c r="E67" s="22">
        <f t="shared" si="3"/>
        <v>67662.838935326741</v>
      </c>
      <c r="F67" s="20"/>
      <c r="G67" s="22">
        <f t="shared" si="2"/>
        <v>67302.838935326741</v>
      </c>
      <c r="H67" s="22">
        <v>360</v>
      </c>
      <c r="I67" s="23">
        <v>63</v>
      </c>
    </row>
    <row r="68" spans="2:10" x14ac:dyDescent="0.25">
      <c r="B68" s="22">
        <f t="shared" si="5"/>
        <v>67302.838935326741</v>
      </c>
      <c r="C68" s="21">
        <v>0.04</v>
      </c>
      <c r="D68" s="22">
        <f t="shared" si="0"/>
        <v>224.34279645108916</v>
      </c>
      <c r="E68" s="22">
        <f t="shared" si="3"/>
        <v>67527.181731777833</v>
      </c>
      <c r="F68" s="20"/>
      <c r="G68" s="22">
        <f t="shared" si="2"/>
        <v>67167.181731777833</v>
      </c>
      <c r="H68" s="22">
        <v>360</v>
      </c>
      <c r="I68" s="23">
        <v>64</v>
      </c>
      <c r="J68">
        <f>I68/12</f>
        <v>5.333333333333333</v>
      </c>
    </row>
    <row r="69" spans="2:10" x14ac:dyDescent="0.25">
      <c r="B69" s="22">
        <f t="shared" si="5"/>
        <v>67167.181731777833</v>
      </c>
      <c r="C69" s="21">
        <v>0.04</v>
      </c>
      <c r="D69" s="22">
        <f t="shared" si="0"/>
        <v>223.89060577259278</v>
      </c>
      <c r="E69" s="22">
        <f t="shared" si="3"/>
        <v>67391.072337550431</v>
      </c>
      <c r="F69" s="20"/>
      <c r="G69" s="22">
        <f t="shared" si="2"/>
        <v>67031.072337550431</v>
      </c>
      <c r="H69" s="22">
        <v>360</v>
      </c>
      <c r="I69" s="23">
        <v>65</v>
      </c>
    </row>
    <row r="70" spans="2:10" x14ac:dyDescent="0.25">
      <c r="B70" s="22">
        <f t="shared" si="5"/>
        <v>67031.072337550431</v>
      </c>
      <c r="C70" s="21">
        <v>0.04</v>
      </c>
      <c r="D70" s="22">
        <f t="shared" ref="D70:D133" si="6">B70*(0.04/12)</f>
        <v>223.43690779183478</v>
      </c>
      <c r="E70" s="22">
        <f t="shared" si="3"/>
        <v>67254.509245342269</v>
      </c>
      <c r="F70" s="20"/>
      <c r="G70" s="22">
        <f t="shared" ref="G70:G133" si="7">E70-H70</f>
        <v>66894.509245342269</v>
      </c>
      <c r="H70" s="22">
        <v>360</v>
      </c>
      <c r="I70" s="23">
        <v>66</v>
      </c>
    </row>
    <row r="71" spans="2:10" x14ac:dyDescent="0.25">
      <c r="B71" s="22">
        <f t="shared" si="5"/>
        <v>66894.509245342269</v>
      </c>
      <c r="C71" s="21">
        <v>0.04</v>
      </c>
      <c r="D71" s="22">
        <f t="shared" si="6"/>
        <v>222.98169748447424</v>
      </c>
      <c r="E71" s="22">
        <f t="shared" ref="E71:E134" si="8">B71+D71</f>
        <v>67117.490942826742</v>
      </c>
      <c r="F71" s="20"/>
      <c r="G71" s="22">
        <f t="shared" si="7"/>
        <v>66757.490942826742</v>
      </c>
      <c r="H71" s="22">
        <v>360</v>
      </c>
      <c r="I71" s="23">
        <v>67</v>
      </c>
    </row>
    <row r="72" spans="2:10" x14ac:dyDescent="0.25">
      <c r="B72" s="22">
        <f t="shared" si="5"/>
        <v>66757.490942826742</v>
      </c>
      <c r="C72" s="21">
        <v>0.04</v>
      </c>
      <c r="D72" s="22">
        <f t="shared" si="6"/>
        <v>222.52496980942249</v>
      </c>
      <c r="E72" s="22">
        <f t="shared" si="8"/>
        <v>66980.015912636169</v>
      </c>
      <c r="F72" s="20"/>
      <c r="G72" s="22">
        <f t="shared" si="7"/>
        <v>66620.015912636169</v>
      </c>
      <c r="H72" s="22">
        <v>360</v>
      </c>
      <c r="I72" s="23">
        <v>68</v>
      </c>
    </row>
    <row r="73" spans="2:10" x14ac:dyDescent="0.25">
      <c r="B73" s="22">
        <f t="shared" si="5"/>
        <v>66620.015912636169</v>
      </c>
      <c r="C73" s="21">
        <v>0.04</v>
      </c>
      <c r="D73" s="22">
        <f t="shared" si="6"/>
        <v>222.06671970878725</v>
      </c>
      <c r="E73" s="22">
        <f t="shared" si="8"/>
        <v>66842.082632344958</v>
      </c>
      <c r="F73" s="20"/>
      <c r="G73" s="22">
        <f t="shared" si="7"/>
        <v>66482.082632344958</v>
      </c>
      <c r="H73" s="22">
        <v>360</v>
      </c>
      <c r="I73" s="23">
        <v>69</v>
      </c>
    </row>
    <row r="74" spans="2:10" x14ac:dyDescent="0.25">
      <c r="B74" s="22">
        <f t="shared" si="5"/>
        <v>66482.082632344958</v>
      </c>
      <c r="C74" s="21">
        <v>0.04</v>
      </c>
      <c r="D74" s="22">
        <f t="shared" si="6"/>
        <v>221.60694210781654</v>
      </c>
      <c r="E74" s="22">
        <f t="shared" si="8"/>
        <v>66703.689574452772</v>
      </c>
      <c r="F74" s="20"/>
      <c r="G74" s="22">
        <f t="shared" si="7"/>
        <v>66343.689574452772</v>
      </c>
      <c r="H74" s="22">
        <v>360</v>
      </c>
      <c r="I74" s="23">
        <v>70</v>
      </c>
    </row>
    <row r="75" spans="2:10" x14ac:dyDescent="0.25">
      <c r="B75" s="22">
        <f t="shared" si="5"/>
        <v>66343.689574452772</v>
      </c>
      <c r="C75" s="21">
        <v>0.04</v>
      </c>
      <c r="D75" s="22">
        <f t="shared" si="6"/>
        <v>221.1456319148426</v>
      </c>
      <c r="E75" s="22">
        <f t="shared" si="8"/>
        <v>66564.835206367614</v>
      </c>
      <c r="F75" s="20"/>
      <c r="G75" s="22">
        <f t="shared" si="7"/>
        <v>66204.835206367614</v>
      </c>
      <c r="H75" s="22">
        <v>360</v>
      </c>
      <c r="I75" s="23">
        <v>71</v>
      </c>
    </row>
    <row r="76" spans="2:10" x14ac:dyDescent="0.25">
      <c r="B76" s="22">
        <f t="shared" si="5"/>
        <v>66204.835206367614</v>
      </c>
      <c r="C76" s="21">
        <v>0.04</v>
      </c>
      <c r="D76" s="22">
        <f t="shared" si="6"/>
        <v>220.68278402122539</v>
      </c>
      <c r="E76" s="22">
        <f t="shared" si="8"/>
        <v>66425.517990388835</v>
      </c>
      <c r="F76" s="20"/>
      <c r="G76" s="22">
        <f t="shared" si="7"/>
        <v>66065.517990388835</v>
      </c>
      <c r="H76" s="22">
        <v>360</v>
      </c>
      <c r="I76" s="23">
        <v>72</v>
      </c>
    </row>
    <row r="77" spans="2:10" x14ac:dyDescent="0.25">
      <c r="B77" s="22">
        <f t="shared" si="5"/>
        <v>66065.517990388835</v>
      </c>
      <c r="C77" s="21">
        <v>0.04</v>
      </c>
      <c r="D77" s="22">
        <f t="shared" si="6"/>
        <v>220.21839330129612</v>
      </c>
      <c r="E77" s="22">
        <f t="shared" si="8"/>
        <v>66285.736383690135</v>
      </c>
      <c r="F77" s="20"/>
      <c r="G77" s="22">
        <f t="shared" si="7"/>
        <v>65925.736383690135</v>
      </c>
      <c r="H77" s="22">
        <v>360</v>
      </c>
      <c r="I77" s="23">
        <v>73</v>
      </c>
    </row>
    <row r="78" spans="2:10" x14ac:dyDescent="0.25">
      <c r="B78" s="22">
        <f t="shared" si="5"/>
        <v>65925.736383690135</v>
      </c>
      <c r="C78" s="21">
        <v>0.04</v>
      </c>
      <c r="D78" s="22">
        <f t="shared" si="6"/>
        <v>219.75245461230045</v>
      </c>
      <c r="E78" s="22">
        <f t="shared" si="8"/>
        <v>66145.488838302437</v>
      </c>
      <c r="F78" s="20"/>
      <c r="G78" s="22">
        <f t="shared" si="7"/>
        <v>65785.488838302437</v>
      </c>
      <c r="H78" s="22">
        <v>360</v>
      </c>
      <c r="I78" s="23">
        <v>74</v>
      </c>
    </row>
    <row r="79" spans="2:10" x14ac:dyDescent="0.25">
      <c r="B79" s="22">
        <f t="shared" si="5"/>
        <v>65785.488838302437</v>
      </c>
      <c r="C79" s="21">
        <v>0.04</v>
      </c>
      <c r="D79" s="22">
        <f t="shared" si="6"/>
        <v>219.28496279434148</v>
      </c>
      <c r="E79" s="22">
        <f t="shared" si="8"/>
        <v>66004.773801096773</v>
      </c>
      <c r="F79" s="20"/>
      <c r="G79" s="22">
        <f t="shared" si="7"/>
        <v>65644.773801096773</v>
      </c>
      <c r="H79" s="22">
        <v>360</v>
      </c>
      <c r="I79" s="23">
        <v>75</v>
      </c>
    </row>
    <row r="80" spans="2:10" x14ac:dyDescent="0.25">
      <c r="B80" s="22">
        <f t="shared" si="5"/>
        <v>65644.773801096773</v>
      </c>
      <c r="C80" s="21">
        <v>0.04</v>
      </c>
      <c r="D80" s="22">
        <f t="shared" si="6"/>
        <v>218.8159126703226</v>
      </c>
      <c r="E80" s="22">
        <f t="shared" si="8"/>
        <v>65863.589713767098</v>
      </c>
      <c r="F80" s="20"/>
      <c r="G80" s="22">
        <f t="shared" si="7"/>
        <v>65503.589713767098</v>
      </c>
      <c r="H80" s="22">
        <v>360</v>
      </c>
      <c r="I80" s="23">
        <v>76</v>
      </c>
    </row>
    <row r="81" spans="2:9" x14ac:dyDescent="0.25">
      <c r="B81" s="22">
        <f t="shared" si="5"/>
        <v>65503.589713767098</v>
      </c>
      <c r="C81" s="21">
        <v>0.04</v>
      </c>
      <c r="D81" s="22">
        <f t="shared" si="6"/>
        <v>218.34529904589033</v>
      </c>
      <c r="E81" s="22">
        <f t="shared" si="8"/>
        <v>65721.935012812988</v>
      </c>
      <c r="F81" s="20"/>
      <c r="G81" s="22">
        <f t="shared" si="7"/>
        <v>65361.935012812988</v>
      </c>
      <c r="H81" s="22">
        <v>360</v>
      </c>
      <c r="I81" s="23">
        <v>77</v>
      </c>
    </row>
    <row r="82" spans="2:9" x14ac:dyDescent="0.25">
      <c r="B82" s="22">
        <f t="shared" si="5"/>
        <v>65361.935012812988</v>
      </c>
      <c r="C82" s="21">
        <v>0.04</v>
      </c>
      <c r="D82" s="22">
        <f t="shared" si="6"/>
        <v>217.87311670937663</v>
      </c>
      <c r="E82" s="22">
        <f t="shared" si="8"/>
        <v>65579.808129522367</v>
      </c>
      <c r="F82" s="20"/>
      <c r="G82" s="22">
        <f t="shared" si="7"/>
        <v>65219.808129522367</v>
      </c>
      <c r="H82" s="22">
        <v>360</v>
      </c>
      <c r="I82" s="23">
        <v>78</v>
      </c>
    </row>
    <row r="83" spans="2:9" x14ac:dyDescent="0.25">
      <c r="B83" s="22">
        <f t="shared" si="5"/>
        <v>65219.808129522367</v>
      </c>
      <c r="C83" s="21">
        <v>0.04</v>
      </c>
      <c r="D83" s="22">
        <f t="shared" si="6"/>
        <v>217.39936043174123</v>
      </c>
      <c r="E83" s="22">
        <f t="shared" si="8"/>
        <v>65437.207489954111</v>
      </c>
      <c r="F83" s="20"/>
      <c r="G83" s="22">
        <f t="shared" si="7"/>
        <v>65077.207489954111</v>
      </c>
      <c r="H83" s="22">
        <v>360</v>
      </c>
      <c r="I83" s="23">
        <v>79</v>
      </c>
    </row>
    <row r="84" spans="2:9" x14ac:dyDescent="0.25">
      <c r="B84" s="22">
        <f t="shared" si="5"/>
        <v>65077.207489954111</v>
      </c>
      <c r="C84" s="21">
        <v>0.04</v>
      </c>
      <c r="D84" s="22">
        <f t="shared" si="6"/>
        <v>216.92402496651371</v>
      </c>
      <c r="E84" s="22">
        <f t="shared" si="8"/>
        <v>65294.131514920628</v>
      </c>
      <c r="F84" s="20"/>
      <c r="G84" s="22">
        <f t="shared" si="7"/>
        <v>64934.131514920628</v>
      </c>
      <c r="H84" s="22">
        <v>360</v>
      </c>
      <c r="I84" s="23">
        <v>80</v>
      </c>
    </row>
    <row r="85" spans="2:9" x14ac:dyDescent="0.25">
      <c r="B85" s="22">
        <f t="shared" si="5"/>
        <v>64934.131514920628</v>
      </c>
      <c r="C85" s="21">
        <v>0.04</v>
      </c>
      <c r="D85" s="22">
        <f t="shared" si="6"/>
        <v>216.44710504973543</v>
      </c>
      <c r="E85" s="22">
        <f t="shared" si="8"/>
        <v>65150.578619970365</v>
      </c>
      <c r="F85" s="20"/>
      <c r="G85" s="22">
        <f t="shared" si="7"/>
        <v>64790.578619970365</v>
      </c>
      <c r="H85" s="22">
        <v>360</v>
      </c>
      <c r="I85" s="23">
        <v>81</v>
      </c>
    </row>
    <row r="86" spans="2:9" x14ac:dyDescent="0.25">
      <c r="B86" s="22">
        <f t="shared" si="5"/>
        <v>64790.578619970365</v>
      </c>
      <c r="C86" s="21">
        <v>0.04</v>
      </c>
      <c r="D86" s="22">
        <f t="shared" si="6"/>
        <v>215.96859539990123</v>
      </c>
      <c r="E86" s="22">
        <f t="shared" si="8"/>
        <v>65006.547215370265</v>
      </c>
      <c r="F86" s="20"/>
      <c r="G86" s="22">
        <f t="shared" si="7"/>
        <v>64646.547215370265</v>
      </c>
      <c r="H86" s="22">
        <v>360</v>
      </c>
      <c r="I86" s="23">
        <v>82</v>
      </c>
    </row>
    <row r="87" spans="2:9" x14ac:dyDescent="0.25">
      <c r="B87" s="22">
        <f t="shared" si="5"/>
        <v>64646.547215370265</v>
      </c>
      <c r="C87" s="21">
        <v>0.04</v>
      </c>
      <c r="D87" s="22">
        <f t="shared" si="6"/>
        <v>215.4884907179009</v>
      </c>
      <c r="E87" s="22">
        <f t="shared" si="8"/>
        <v>64862.035706088165</v>
      </c>
      <c r="F87" s="20"/>
      <c r="G87" s="22">
        <f t="shared" si="7"/>
        <v>64502.035706088165</v>
      </c>
      <c r="H87" s="22">
        <v>360</v>
      </c>
      <c r="I87" s="23">
        <v>83</v>
      </c>
    </row>
    <row r="88" spans="2:9" x14ac:dyDescent="0.25">
      <c r="B88" s="22">
        <f t="shared" si="5"/>
        <v>64502.035706088165</v>
      </c>
      <c r="C88" s="21">
        <v>0.04</v>
      </c>
      <c r="D88" s="22">
        <f t="shared" si="6"/>
        <v>215.00678568696057</v>
      </c>
      <c r="E88" s="22">
        <f t="shared" si="8"/>
        <v>64717.042491775122</v>
      </c>
      <c r="F88" s="20"/>
      <c r="G88" s="22">
        <f t="shared" si="7"/>
        <v>64357.042491775122</v>
      </c>
      <c r="H88" s="22">
        <v>360</v>
      </c>
      <c r="I88" s="23">
        <v>84</v>
      </c>
    </row>
    <row r="89" spans="2:9" x14ac:dyDescent="0.25">
      <c r="B89" s="22">
        <f t="shared" si="5"/>
        <v>64357.042491775122</v>
      </c>
      <c r="C89" s="21">
        <v>0.04</v>
      </c>
      <c r="D89" s="22">
        <f t="shared" si="6"/>
        <v>214.52347497258376</v>
      </c>
      <c r="E89" s="22">
        <f t="shared" si="8"/>
        <v>64571.565966747708</v>
      </c>
      <c r="F89" s="20"/>
      <c r="G89" s="22">
        <f t="shared" si="7"/>
        <v>64211.565966747708</v>
      </c>
      <c r="H89" s="22">
        <v>360</v>
      </c>
      <c r="I89" s="23">
        <v>85</v>
      </c>
    </row>
    <row r="90" spans="2:9" x14ac:dyDescent="0.25">
      <c r="B90" s="22">
        <f t="shared" si="5"/>
        <v>64211.565966747708</v>
      </c>
      <c r="C90" s="21">
        <v>0.04</v>
      </c>
      <c r="D90" s="22">
        <f t="shared" si="6"/>
        <v>214.03855322249237</v>
      </c>
      <c r="E90" s="22">
        <f t="shared" si="8"/>
        <v>64425.604519970198</v>
      </c>
      <c r="F90" s="20"/>
      <c r="G90" s="22">
        <f t="shared" si="7"/>
        <v>64065.604519970198</v>
      </c>
      <c r="H90" s="22">
        <v>360</v>
      </c>
      <c r="I90" s="23">
        <v>86</v>
      </c>
    </row>
    <row r="91" spans="2:9" x14ac:dyDescent="0.25">
      <c r="B91" s="22">
        <f t="shared" si="5"/>
        <v>64065.604519970198</v>
      </c>
      <c r="C91" s="21">
        <v>0.04</v>
      </c>
      <c r="D91" s="22">
        <f t="shared" si="6"/>
        <v>213.55201506656735</v>
      </c>
      <c r="E91" s="22">
        <f t="shared" si="8"/>
        <v>64279.156535036767</v>
      </c>
      <c r="F91" s="20"/>
      <c r="G91" s="22">
        <f t="shared" si="7"/>
        <v>63919.156535036767</v>
      </c>
      <c r="H91" s="22">
        <v>360</v>
      </c>
      <c r="I91" s="23">
        <v>87</v>
      </c>
    </row>
    <row r="92" spans="2:9" x14ac:dyDescent="0.25">
      <c r="B92" s="22">
        <f t="shared" si="5"/>
        <v>63919.156535036767</v>
      </c>
      <c r="C92" s="21">
        <v>0.04</v>
      </c>
      <c r="D92" s="22">
        <f t="shared" si="6"/>
        <v>213.06385511678923</v>
      </c>
      <c r="E92" s="22">
        <f t="shared" si="8"/>
        <v>64132.220390153554</v>
      </c>
      <c r="F92" s="20"/>
      <c r="G92" s="22">
        <f t="shared" si="7"/>
        <v>63772.220390153554</v>
      </c>
      <c r="H92" s="22">
        <v>360</v>
      </c>
      <c r="I92" s="23">
        <v>88</v>
      </c>
    </row>
    <row r="93" spans="2:9" x14ac:dyDescent="0.25">
      <c r="B93" s="22">
        <f t="shared" ref="B93:B156" si="9">G92</f>
        <v>63772.220390153554</v>
      </c>
      <c r="C93" s="21">
        <v>0.04</v>
      </c>
      <c r="D93" s="22">
        <f t="shared" si="6"/>
        <v>212.57406796717854</v>
      </c>
      <c r="E93" s="22">
        <f t="shared" si="8"/>
        <v>63984.794458120734</v>
      </c>
      <c r="F93" s="20"/>
      <c r="G93" s="22">
        <f t="shared" si="7"/>
        <v>63624.794458120734</v>
      </c>
      <c r="H93" s="22">
        <v>360</v>
      </c>
      <c r="I93" s="23">
        <v>89</v>
      </c>
    </row>
    <row r="94" spans="2:9" x14ac:dyDescent="0.25">
      <c r="B94" s="22">
        <f t="shared" si="9"/>
        <v>63624.794458120734</v>
      </c>
      <c r="C94" s="21">
        <v>0.04</v>
      </c>
      <c r="D94" s="22">
        <f t="shared" si="6"/>
        <v>212.08264819373579</v>
      </c>
      <c r="E94" s="22">
        <f t="shared" si="8"/>
        <v>63836.877106314467</v>
      </c>
      <c r="F94" s="20"/>
      <c r="G94" s="22">
        <f t="shared" si="7"/>
        <v>63476.877106314467</v>
      </c>
      <c r="H94" s="22">
        <v>360</v>
      </c>
      <c r="I94" s="23">
        <v>90</v>
      </c>
    </row>
    <row r="95" spans="2:9" x14ac:dyDescent="0.25">
      <c r="B95" s="22">
        <f t="shared" si="9"/>
        <v>63476.877106314467</v>
      </c>
      <c r="C95" s="21">
        <v>0.04</v>
      </c>
      <c r="D95" s="22">
        <f t="shared" si="6"/>
        <v>211.58959035438156</v>
      </c>
      <c r="E95" s="22">
        <f t="shared" si="8"/>
        <v>63688.466696668846</v>
      </c>
      <c r="F95" s="20"/>
      <c r="G95" s="22">
        <f t="shared" si="7"/>
        <v>63328.466696668846</v>
      </c>
      <c r="H95" s="22">
        <v>360</v>
      </c>
      <c r="I95" s="23">
        <v>91</v>
      </c>
    </row>
    <row r="96" spans="2:9" x14ac:dyDescent="0.25">
      <c r="B96" s="22">
        <f t="shared" si="9"/>
        <v>63328.466696668846</v>
      </c>
      <c r="C96" s="21">
        <v>0.04</v>
      </c>
      <c r="D96" s="22">
        <f t="shared" si="6"/>
        <v>211.09488898889617</v>
      </c>
      <c r="E96" s="22">
        <f t="shared" si="8"/>
        <v>63539.561585657742</v>
      </c>
      <c r="F96" s="20"/>
      <c r="G96" s="22">
        <f t="shared" si="7"/>
        <v>63179.561585657742</v>
      </c>
      <c r="H96" s="22">
        <v>360</v>
      </c>
      <c r="I96" s="23">
        <v>92</v>
      </c>
    </row>
    <row r="97" spans="2:9" x14ac:dyDescent="0.25">
      <c r="B97" s="22">
        <f t="shared" si="9"/>
        <v>63179.561585657742</v>
      </c>
      <c r="C97" s="21">
        <v>0.04</v>
      </c>
      <c r="D97" s="22">
        <f t="shared" si="6"/>
        <v>210.59853861885915</v>
      </c>
      <c r="E97" s="22">
        <f t="shared" si="8"/>
        <v>63390.160124276605</v>
      </c>
      <c r="F97" s="20"/>
      <c r="G97" s="22">
        <f t="shared" si="7"/>
        <v>63030.160124276605</v>
      </c>
      <c r="H97" s="22">
        <v>360</v>
      </c>
      <c r="I97" s="23">
        <v>93</v>
      </c>
    </row>
    <row r="98" spans="2:9" x14ac:dyDescent="0.25">
      <c r="B98" s="22">
        <f t="shared" si="9"/>
        <v>63030.160124276605</v>
      </c>
      <c r="C98" s="21">
        <v>0.04</v>
      </c>
      <c r="D98" s="22">
        <f t="shared" si="6"/>
        <v>210.10053374758868</v>
      </c>
      <c r="E98" s="22">
        <f t="shared" si="8"/>
        <v>63240.260658024192</v>
      </c>
      <c r="F98" s="20"/>
      <c r="G98" s="22">
        <f t="shared" si="7"/>
        <v>62880.260658024192</v>
      </c>
      <c r="H98" s="22">
        <v>360</v>
      </c>
      <c r="I98" s="23">
        <v>94</v>
      </c>
    </row>
    <row r="99" spans="2:9" x14ac:dyDescent="0.25">
      <c r="B99" s="22">
        <f t="shared" si="9"/>
        <v>62880.260658024192</v>
      </c>
      <c r="C99" s="21">
        <v>0.04</v>
      </c>
      <c r="D99" s="22">
        <f t="shared" si="6"/>
        <v>209.60086886008065</v>
      </c>
      <c r="E99" s="22">
        <f t="shared" si="8"/>
        <v>63089.86152688427</v>
      </c>
      <c r="F99" s="20"/>
      <c r="G99" s="22">
        <f t="shared" si="7"/>
        <v>62729.86152688427</v>
      </c>
      <c r="H99" s="22">
        <v>360</v>
      </c>
      <c r="I99" s="23">
        <v>95</v>
      </c>
    </row>
    <row r="100" spans="2:9" x14ac:dyDescent="0.25">
      <c r="B100" s="22">
        <f t="shared" si="9"/>
        <v>62729.86152688427</v>
      </c>
      <c r="C100" s="21">
        <v>0.04</v>
      </c>
      <c r="D100" s="22">
        <f t="shared" si="6"/>
        <v>209.09953842294757</v>
      </c>
      <c r="E100" s="22">
        <f t="shared" si="8"/>
        <v>62938.961065307216</v>
      </c>
      <c r="F100" s="20"/>
      <c r="G100" s="22">
        <f t="shared" si="7"/>
        <v>62578.961065307216</v>
      </c>
      <c r="H100" s="22">
        <v>360</v>
      </c>
      <c r="I100" s="23">
        <v>96</v>
      </c>
    </row>
    <row r="101" spans="2:9" x14ac:dyDescent="0.25">
      <c r="B101" s="22">
        <f t="shared" si="9"/>
        <v>62578.961065307216</v>
      </c>
      <c r="C101" s="21">
        <v>0.04</v>
      </c>
      <c r="D101" s="22">
        <f t="shared" si="6"/>
        <v>208.59653688435739</v>
      </c>
      <c r="E101" s="22">
        <f t="shared" si="8"/>
        <v>62787.557602191577</v>
      </c>
      <c r="F101" s="20"/>
      <c r="G101" s="22">
        <f t="shared" si="7"/>
        <v>62427.557602191577</v>
      </c>
      <c r="H101" s="22">
        <v>360</v>
      </c>
      <c r="I101" s="23">
        <v>97</v>
      </c>
    </row>
    <row r="102" spans="2:9" x14ac:dyDescent="0.25">
      <c r="B102" s="22">
        <f t="shared" si="9"/>
        <v>62427.557602191577</v>
      </c>
      <c r="C102" s="21">
        <v>0.04</v>
      </c>
      <c r="D102" s="22">
        <f t="shared" si="6"/>
        <v>208.09185867397193</v>
      </c>
      <c r="E102" s="22">
        <f t="shared" si="8"/>
        <v>62635.649460865548</v>
      </c>
      <c r="F102" s="20"/>
      <c r="G102" s="22">
        <f t="shared" si="7"/>
        <v>62275.649460865548</v>
      </c>
      <c r="H102" s="22">
        <v>360</v>
      </c>
      <c r="I102" s="23">
        <v>98</v>
      </c>
    </row>
    <row r="103" spans="2:9" x14ac:dyDescent="0.25">
      <c r="B103" s="22">
        <f t="shared" si="9"/>
        <v>62275.649460865548</v>
      </c>
      <c r="C103" s="21">
        <v>0.04</v>
      </c>
      <c r="D103" s="22">
        <f t="shared" si="6"/>
        <v>207.58549820288516</v>
      </c>
      <c r="E103" s="22">
        <f t="shared" si="8"/>
        <v>62483.234959068432</v>
      </c>
      <c r="F103" s="20"/>
      <c r="G103" s="22">
        <f t="shared" si="7"/>
        <v>62123.234959068432</v>
      </c>
      <c r="H103" s="22">
        <v>360</v>
      </c>
      <c r="I103" s="23">
        <v>99</v>
      </c>
    </row>
    <row r="104" spans="2:9" x14ac:dyDescent="0.25">
      <c r="B104" s="22">
        <f t="shared" si="9"/>
        <v>62123.234959068432</v>
      </c>
      <c r="C104" s="21">
        <v>0.04</v>
      </c>
      <c r="D104" s="22">
        <f t="shared" si="6"/>
        <v>207.07744986356144</v>
      </c>
      <c r="E104" s="22">
        <f t="shared" si="8"/>
        <v>62330.31240893199</v>
      </c>
      <c r="F104" s="20"/>
      <c r="G104" s="22">
        <f t="shared" si="7"/>
        <v>61970.31240893199</v>
      </c>
      <c r="H104" s="22">
        <v>360</v>
      </c>
      <c r="I104" s="23">
        <v>100</v>
      </c>
    </row>
    <row r="105" spans="2:9" x14ac:dyDescent="0.25">
      <c r="B105" s="22">
        <f t="shared" si="9"/>
        <v>61970.31240893199</v>
      </c>
      <c r="C105" s="21">
        <v>0.04</v>
      </c>
      <c r="D105" s="22">
        <f t="shared" si="6"/>
        <v>206.56770802977331</v>
      </c>
      <c r="E105" s="22">
        <f t="shared" si="8"/>
        <v>62176.880116961765</v>
      </c>
      <c r="F105" s="20"/>
      <c r="G105" s="22">
        <f t="shared" si="7"/>
        <v>61816.880116961765</v>
      </c>
      <c r="H105" s="22">
        <v>360</v>
      </c>
      <c r="I105" s="23">
        <v>101</v>
      </c>
    </row>
    <row r="106" spans="2:9" x14ac:dyDescent="0.25">
      <c r="B106" s="22">
        <f t="shared" si="9"/>
        <v>61816.880116961765</v>
      </c>
      <c r="C106" s="21">
        <v>0.04</v>
      </c>
      <c r="D106" s="22">
        <f t="shared" si="6"/>
        <v>206.05626705653924</v>
      </c>
      <c r="E106" s="22">
        <f t="shared" si="8"/>
        <v>62022.936384018307</v>
      </c>
      <c r="F106" s="20"/>
      <c r="G106" s="22">
        <f t="shared" si="7"/>
        <v>61662.936384018307</v>
      </c>
      <c r="H106" s="22">
        <v>360</v>
      </c>
      <c r="I106" s="23">
        <v>102</v>
      </c>
    </row>
    <row r="107" spans="2:9" x14ac:dyDescent="0.25">
      <c r="B107" s="22">
        <f t="shared" si="9"/>
        <v>61662.936384018307</v>
      </c>
      <c r="C107" s="21">
        <v>0.04</v>
      </c>
      <c r="D107" s="22">
        <f t="shared" si="6"/>
        <v>205.54312128006103</v>
      </c>
      <c r="E107" s="22">
        <f t="shared" si="8"/>
        <v>61868.479505298368</v>
      </c>
      <c r="F107" s="20"/>
      <c r="G107" s="22">
        <f t="shared" si="7"/>
        <v>61508.479505298368</v>
      </c>
      <c r="H107" s="22">
        <v>360</v>
      </c>
      <c r="I107" s="23">
        <v>103</v>
      </c>
    </row>
    <row r="108" spans="2:9" x14ac:dyDescent="0.25">
      <c r="B108" s="22">
        <f t="shared" si="9"/>
        <v>61508.479505298368</v>
      </c>
      <c r="C108" s="21">
        <v>0.04</v>
      </c>
      <c r="D108" s="22">
        <f t="shared" si="6"/>
        <v>205.02826501766123</v>
      </c>
      <c r="E108" s="22">
        <f t="shared" si="8"/>
        <v>61713.507770316028</v>
      </c>
      <c r="F108" s="20"/>
      <c r="G108" s="22">
        <f t="shared" si="7"/>
        <v>61353.507770316028</v>
      </c>
      <c r="H108" s="22">
        <v>360</v>
      </c>
      <c r="I108" s="23">
        <v>104</v>
      </c>
    </row>
    <row r="109" spans="2:9" x14ac:dyDescent="0.25">
      <c r="B109" s="22">
        <f t="shared" si="9"/>
        <v>61353.507770316028</v>
      </c>
      <c r="C109" s="21">
        <v>0.04</v>
      </c>
      <c r="D109" s="22">
        <f t="shared" si="6"/>
        <v>204.5116925677201</v>
      </c>
      <c r="E109" s="22">
        <f t="shared" si="8"/>
        <v>61558.019462883749</v>
      </c>
      <c r="F109" s="20"/>
      <c r="G109" s="22">
        <f t="shared" si="7"/>
        <v>61198.019462883749</v>
      </c>
      <c r="H109" s="22">
        <v>360</v>
      </c>
      <c r="I109" s="23">
        <v>105</v>
      </c>
    </row>
    <row r="110" spans="2:9" x14ac:dyDescent="0.25">
      <c r="B110" s="22">
        <f t="shared" si="9"/>
        <v>61198.019462883749</v>
      </c>
      <c r="C110" s="21">
        <v>0.04</v>
      </c>
      <c r="D110" s="22">
        <f t="shared" si="6"/>
        <v>203.99339820961251</v>
      </c>
      <c r="E110" s="22">
        <f t="shared" si="8"/>
        <v>61402.012861093361</v>
      </c>
      <c r="F110" s="20"/>
      <c r="G110" s="22">
        <f t="shared" si="7"/>
        <v>61042.012861093361</v>
      </c>
      <c r="H110" s="22">
        <v>360</v>
      </c>
      <c r="I110" s="23">
        <v>106</v>
      </c>
    </row>
    <row r="111" spans="2:9" x14ac:dyDescent="0.25">
      <c r="B111" s="22">
        <f t="shared" si="9"/>
        <v>61042.012861093361</v>
      </c>
      <c r="C111" s="21">
        <v>0.04</v>
      </c>
      <c r="D111" s="22">
        <f t="shared" si="6"/>
        <v>203.47337620364456</v>
      </c>
      <c r="E111" s="22">
        <f t="shared" si="8"/>
        <v>61245.486237297002</v>
      </c>
      <c r="F111" s="20"/>
      <c r="G111" s="22">
        <f t="shared" si="7"/>
        <v>60885.486237297002</v>
      </c>
      <c r="H111" s="22">
        <v>360</v>
      </c>
      <c r="I111" s="23">
        <v>107</v>
      </c>
    </row>
    <row r="112" spans="2:9" x14ac:dyDescent="0.25">
      <c r="B112" s="22">
        <f t="shared" si="9"/>
        <v>60885.486237297002</v>
      </c>
      <c r="C112" s="21">
        <v>0.04</v>
      </c>
      <c r="D112" s="22">
        <f t="shared" si="6"/>
        <v>202.95162079099001</v>
      </c>
      <c r="E112" s="22">
        <f t="shared" si="8"/>
        <v>61088.437858087993</v>
      </c>
      <c r="F112" s="20"/>
      <c r="G112" s="22">
        <f t="shared" si="7"/>
        <v>60728.437858087993</v>
      </c>
      <c r="H112" s="22">
        <v>360</v>
      </c>
      <c r="I112" s="23">
        <v>108</v>
      </c>
    </row>
    <row r="113" spans="2:9" x14ac:dyDescent="0.25">
      <c r="B113" s="22">
        <f t="shared" si="9"/>
        <v>60728.437858087993</v>
      </c>
      <c r="C113" s="21">
        <v>0.04</v>
      </c>
      <c r="D113" s="22">
        <f t="shared" si="6"/>
        <v>202.42812619362667</v>
      </c>
      <c r="E113" s="22">
        <f t="shared" si="8"/>
        <v>60930.86598428162</v>
      </c>
      <c r="F113" s="20"/>
      <c r="G113" s="22">
        <f t="shared" si="7"/>
        <v>60570.86598428162</v>
      </c>
      <c r="H113" s="22">
        <v>360</v>
      </c>
      <c r="I113" s="23">
        <v>109</v>
      </c>
    </row>
    <row r="114" spans="2:9" x14ac:dyDescent="0.25">
      <c r="B114" s="22">
        <f t="shared" si="9"/>
        <v>60570.86598428162</v>
      </c>
      <c r="C114" s="21">
        <v>0.04</v>
      </c>
      <c r="D114" s="22">
        <f t="shared" si="6"/>
        <v>201.90288661427209</v>
      </c>
      <c r="E114" s="22">
        <f t="shared" si="8"/>
        <v>60772.768870895889</v>
      </c>
      <c r="F114" s="20"/>
      <c r="G114" s="22">
        <f t="shared" si="7"/>
        <v>60412.768870895889</v>
      </c>
      <c r="H114" s="22">
        <v>360</v>
      </c>
      <c r="I114" s="23">
        <v>110</v>
      </c>
    </row>
    <row r="115" spans="2:9" x14ac:dyDescent="0.25">
      <c r="B115" s="22">
        <f t="shared" si="9"/>
        <v>60412.768870895889</v>
      </c>
      <c r="C115" s="21">
        <v>0.04</v>
      </c>
      <c r="D115" s="22">
        <f t="shared" si="6"/>
        <v>201.37589623631965</v>
      </c>
      <c r="E115" s="22">
        <f t="shared" si="8"/>
        <v>60614.144767132209</v>
      </c>
      <c r="F115" s="20"/>
      <c r="G115" s="22">
        <f t="shared" si="7"/>
        <v>60254.144767132209</v>
      </c>
      <c r="H115" s="22">
        <v>360</v>
      </c>
      <c r="I115" s="23">
        <v>111</v>
      </c>
    </row>
    <row r="116" spans="2:9" x14ac:dyDescent="0.25">
      <c r="B116" s="22">
        <f t="shared" si="9"/>
        <v>60254.144767132209</v>
      </c>
      <c r="C116" s="21">
        <v>0.04</v>
      </c>
      <c r="D116" s="22">
        <f t="shared" si="6"/>
        <v>200.84714922377404</v>
      </c>
      <c r="E116" s="22">
        <f t="shared" si="8"/>
        <v>60454.991916355983</v>
      </c>
      <c r="F116" s="20"/>
      <c r="G116" s="22">
        <f t="shared" si="7"/>
        <v>60094.991916355983</v>
      </c>
      <c r="H116" s="22">
        <v>360</v>
      </c>
      <c r="I116" s="23">
        <v>112</v>
      </c>
    </row>
    <row r="117" spans="2:9" x14ac:dyDescent="0.25">
      <c r="B117" s="22">
        <f t="shared" si="9"/>
        <v>60094.991916355983</v>
      </c>
      <c r="C117" s="21">
        <v>0.04</v>
      </c>
      <c r="D117" s="22">
        <f t="shared" si="6"/>
        <v>200.31663972118662</v>
      </c>
      <c r="E117" s="22">
        <f t="shared" si="8"/>
        <v>60295.308556077172</v>
      </c>
      <c r="F117" s="20"/>
      <c r="G117" s="22">
        <f t="shared" si="7"/>
        <v>59935.308556077172</v>
      </c>
      <c r="H117" s="22">
        <v>360</v>
      </c>
      <c r="I117" s="23">
        <v>113</v>
      </c>
    </row>
    <row r="118" spans="2:9" x14ac:dyDescent="0.25">
      <c r="B118" s="22">
        <f t="shared" si="9"/>
        <v>59935.308556077172</v>
      </c>
      <c r="C118" s="21">
        <v>0.04</v>
      </c>
      <c r="D118" s="22">
        <f t="shared" si="6"/>
        <v>199.78436185359058</v>
      </c>
      <c r="E118" s="22">
        <f t="shared" si="8"/>
        <v>60135.092917930764</v>
      </c>
      <c r="F118" s="20"/>
      <c r="G118" s="22">
        <f t="shared" si="7"/>
        <v>59775.092917930764</v>
      </c>
      <c r="H118" s="22">
        <v>360</v>
      </c>
      <c r="I118" s="23">
        <v>114</v>
      </c>
    </row>
    <row r="119" spans="2:9" x14ac:dyDescent="0.25">
      <c r="B119" s="22">
        <f t="shared" si="9"/>
        <v>59775.092917930764</v>
      </c>
      <c r="C119" s="21">
        <v>0.04</v>
      </c>
      <c r="D119" s="22">
        <f t="shared" si="6"/>
        <v>199.25030972643589</v>
      </c>
      <c r="E119" s="22">
        <f t="shared" si="8"/>
        <v>59974.343227657198</v>
      </c>
      <c r="F119" s="20"/>
      <c r="G119" s="22">
        <f t="shared" si="7"/>
        <v>59614.343227657198</v>
      </c>
      <c r="H119" s="22">
        <v>360</v>
      </c>
      <c r="I119" s="23">
        <v>115</v>
      </c>
    </row>
    <row r="120" spans="2:9" x14ac:dyDescent="0.25">
      <c r="B120" s="22">
        <f t="shared" si="9"/>
        <v>59614.343227657198</v>
      </c>
      <c r="C120" s="21">
        <v>0.04</v>
      </c>
      <c r="D120" s="22">
        <f t="shared" si="6"/>
        <v>198.714477425524</v>
      </c>
      <c r="E120" s="22">
        <f t="shared" si="8"/>
        <v>59813.05770508272</v>
      </c>
      <c r="F120" s="20"/>
      <c r="G120" s="22">
        <f t="shared" si="7"/>
        <v>59453.05770508272</v>
      </c>
      <c r="H120" s="22">
        <v>360</v>
      </c>
      <c r="I120" s="23">
        <v>116</v>
      </c>
    </row>
    <row r="121" spans="2:9" x14ac:dyDescent="0.25">
      <c r="B121" s="22">
        <f t="shared" si="9"/>
        <v>59453.05770508272</v>
      </c>
      <c r="C121" s="21">
        <v>0.04</v>
      </c>
      <c r="D121" s="22">
        <f t="shared" si="6"/>
        <v>198.17685901694242</v>
      </c>
      <c r="E121" s="22">
        <f t="shared" si="8"/>
        <v>59651.234564099665</v>
      </c>
      <c r="F121" s="20"/>
      <c r="G121" s="22">
        <f t="shared" si="7"/>
        <v>59291.234564099665</v>
      </c>
      <c r="H121" s="22">
        <v>360</v>
      </c>
      <c r="I121" s="23">
        <v>117</v>
      </c>
    </row>
    <row r="122" spans="2:9" x14ac:dyDescent="0.25">
      <c r="B122" s="22">
        <f t="shared" si="9"/>
        <v>59291.234564099665</v>
      </c>
      <c r="C122" s="21">
        <v>0.04</v>
      </c>
      <c r="D122" s="22">
        <f t="shared" si="6"/>
        <v>197.63744854699888</v>
      </c>
      <c r="E122" s="22">
        <f t="shared" si="8"/>
        <v>59488.872012646665</v>
      </c>
      <c r="F122" s="20"/>
      <c r="G122" s="22">
        <f t="shared" si="7"/>
        <v>59128.872012646665</v>
      </c>
      <c r="H122" s="22">
        <v>360</v>
      </c>
      <c r="I122" s="23">
        <v>118</v>
      </c>
    </row>
    <row r="123" spans="2:9" x14ac:dyDescent="0.25">
      <c r="B123" s="22">
        <f t="shared" si="9"/>
        <v>59128.872012646665</v>
      </c>
      <c r="C123" s="21">
        <v>0.04</v>
      </c>
      <c r="D123" s="22">
        <f t="shared" si="6"/>
        <v>197.09624004215556</v>
      </c>
      <c r="E123" s="22">
        <f t="shared" si="8"/>
        <v>59325.968252688821</v>
      </c>
      <c r="F123" s="20"/>
      <c r="G123" s="22">
        <f t="shared" si="7"/>
        <v>58965.968252688821</v>
      </c>
      <c r="H123" s="22">
        <v>360</v>
      </c>
      <c r="I123" s="23">
        <v>119</v>
      </c>
    </row>
    <row r="124" spans="2:9" x14ac:dyDescent="0.25">
      <c r="B124" s="22">
        <f t="shared" si="9"/>
        <v>58965.968252688821</v>
      </c>
      <c r="C124" s="21">
        <v>0.04</v>
      </c>
      <c r="D124" s="22">
        <f t="shared" si="6"/>
        <v>196.55322750896275</v>
      </c>
      <c r="E124" s="22">
        <f t="shared" si="8"/>
        <v>59162.521480197785</v>
      </c>
      <c r="F124" s="20"/>
      <c r="G124" s="22">
        <f t="shared" si="7"/>
        <v>58802.521480197785</v>
      </c>
      <c r="H124" s="22">
        <v>360</v>
      </c>
      <c r="I124" s="23">
        <v>120</v>
      </c>
    </row>
    <row r="125" spans="2:9" x14ac:dyDescent="0.25">
      <c r="B125" s="22">
        <f t="shared" si="9"/>
        <v>58802.521480197785</v>
      </c>
      <c r="C125" s="21">
        <v>0.04</v>
      </c>
      <c r="D125" s="22">
        <f t="shared" si="6"/>
        <v>196.00840493399264</v>
      </c>
      <c r="E125" s="22">
        <f t="shared" si="8"/>
        <v>58998.529885131778</v>
      </c>
      <c r="F125" s="20"/>
      <c r="G125" s="22">
        <f t="shared" si="7"/>
        <v>58638.529885131778</v>
      </c>
      <c r="H125" s="22">
        <v>360</v>
      </c>
      <c r="I125" s="23">
        <v>121</v>
      </c>
    </row>
    <row r="126" spans="2:9" x14ac:dyDescent="0.25">
      <c r="B126" s="22">
        <f t="shared" si="9"/>
        <v>58638.529885131778</v>
      </c>
      <c r="C126" s="21">
        <v>0.04</v>
      </c>
      <c r="D126" s="22">
        <f t="shared" si="6"/>
        <v>195.46176628377262</v>
      </c>
      <c r="E126" s="22">
        <f t="shared" si="8"/>
        <v>58833.991651415548</v>
      </c>
      <c r="F126" s="20"/>
      <c r="G126" s="22">
        <f t="shared" si="7"/>
        <v>58473.991651415548</v>
      </c>
      <c r="H126" s="22">
        <v>360</v>
      </c>
      <c r="I126" s="23">
        <v>122</v>
      </c>
    </row>
    <row r="127" spans="2:9" x14ac:dyDescent="0.25">
      <c r="B127" s="22">
        <f t="shared" si="9"/>
        <v>58473.991651415548</v>
      </c>
      <c r="C127" s="21">
        <v>0.04</v>
      </c>
      <c r="D127" s="22">
        <f t="shared" si="6"/>
        <v>194.91330550471849</v>
      </c>
      <c r="E127" s="22">
        <f t="shared" si="8"/>
        <v>58668.904956920269</v>
      </c>
      <c r="F127" s="20"/>
      <c r="G127" s="22">
        <f t="shared" si="7"/>
        <v>58308.904956920269</v>
      </c>
      <c r="H127" s="22">
        <v>360</v>
      </c>
      <c r="I127" s="23">
        <v>123</v>
      </c>
    </row>
    <row r="128" spans="2:9" x14ac:dyDescent="0.25">
      <c r="B128" s="22">
        <f t="shared" si="9"/>
        <v>58308.904956920269</v>
      </c>
      <c r="C128" s="21">
        <v>0.04</v>
      </c>
      <c r="D128" s="22">
        <f t="shared" si="6"/>
        <v>194.36301652306759</v>
      </c>
      <c r="E128" s="22">
        <f t="shared" si="8"/>
        <v>58503.267973443333</v>
      </c>
      <c r="F128" s="20"/>
      <c r="G128" s="22">
        <f t="shared" si="7"/>
        <v>58143.267973443333</v>
      </c>
      <c r="H128" s="22">
        <v>360</v>
      </c>
      <c r="I128" s="23">
        <v>124</v>
      </c>
    </row>
    <row r="129" spans="2:9" x14ac:dyDescent="0.25">
      <c r="B129" s="22">
        <f t="shared" si="9"/>
        <v>58143.267973443333</v>
      </c>
      <c r="C129" s="21">
        <v>0.04</v>
      </c>
      <c r="D129" s="22">
        <f t="shared" si="6"/>
        <v>193.81089324481113</v>
      </c>
      <c r="E129" s="22">
        <f t="shared" si="8"/>
        <v>58337.078866688142</v>
      </c>
      <c r="F129" s="20"/>
      <c r="G129" s="22">
        <f t="shared" si="7"/>
        <v>57977.078866688142</v>
      </c>
      <c r="H129" s="22">
        <v>360</v>
      </c>
      <c r="I129" s="23">
        <v>125</v>
      </c>
    </row>
    <row r="130" spans="2:9" x14ac:dyDescent="0.25">
      <c r="B130" s="22">
        <f t="shared" si="9"/>
        <v>57977.078866688142</v>
      </c>
      <c r="C130" s="21">
        <v>0.04</v>
      </c>
      <c r="D130" s="22">
        <f t="shared" si="6"/>
        <v>193.25692955562715</v>
      </c>
      <c r="E130" s="22">
        <f t="shared" si="8"/>
        <v>58170.335796243766</v>
      </c>
      <c r="F130" s="20"/>
      <c r="G130" s="22">
        <f t="shared" si="7"/>
        <v>57810.335796243766</v>
      </c>
      <c r="H130" s="22">
        <v>360</v>
      </c>
      <c r="I130" s="23">
        <v>126</v>
      </c>
    </row>
    <row r="131" spans="2:9" x14ac:dyDescent="0.25">
      <c r="B131" s="22">
        <f t="shared" si="9"/>
        <v>57810.335796243766</v>
      </c>
      <c r="C131" s="21">
        <v>0.04</v>
      </c>
      <c r="D131" s="22">
        <f t="shared" si="6"/>
        <v>192.70111932081255</v>
      </c>
      <c r="E131" s="22">
        <f t="shared" si="8"/>
        <v>58003.036915564575</v>
      </c>
      <c r="F131" s="20"/>
      <c r="G131" s="22">
        <f t="shared" si="7"/>
        <v>57643.036915564575</v>
      </c>
      <c r="H131" s="22">
        <v>360</v>
      </c>
      <c r="I131" s="23">
        <v>127</v>
      </c>
    </row>
    <row r="132" spans="2:9" x14ac:dyDescent="0.25">
      <c r="B132" s="22">
        <f t="shared" si="9"/>
        <v>57643.036915564575</v>
      </c>
      <c r="C132" s="21">
        <v>0.04</v>
      </c>
      <c r="D132" s="22">
        <f t="shared" si="6"/>
        <v>192.14345638521527</v>
      </c>
      <c r="E132" s="22">
        <f t="shared" si="8"/>
        <v>57835.180371949791</v>
      </c>
      <c r="F132" s="20"/>
      <c r="G132" s="22">
        <f t="shared" si="7"/>
        <v>57475.180371949791</v>
      </c>
      <c r="H132" s="22">
        <v>360</v>
      </c>
      <c r="I132" s="23">
        <v>128</v>
      </c>
    </row>
    <row r="133" spans="2:9" x14ac:dyDescent="0.25">
      <c r="B133" s="22">
        <f t="shared" si="9"/>
        <v>57475.180371949791</v>
      </c>
      <c r="C133" s="21">
        <v>0.04</v>
      </c>
      <c r="D133" s="22">
        <f t="shared" si="6"/>
        <v>191.58393457316598</v>
      </c>
      <c r="E133" s="22">
        <f t="shared" si="8"/>
        <v>57666.764306522957</v>
      </c>
      <c r="F133" s="20"/>
      <c r="G133" s="22">
        <f t="shared" si="7"/>
        <v>57306.764306522957</v>
      </c>
      <c r="H133" s="22">
        <v>360</v>
      </c>
      <c r="I133" s="23">
        <v>129</v>
      </c>
    </row>
    <row r="134" spans="2:9" x14ac:dyDescent="0.25">
      <c r="B134" s="22">
        <f t="shared" si="9"/>
        <v>57306.764306522957</v>
      </c>
      <c r="C134" s="21">
        <v>0.04</v>
      </c>
      <c r="D134" s="22">
        <f t="shared" ref="D134:D197" si="10">B134*(0.04/12)</f>
        <v>191.02254768840987</v>
      </c>
      <c r="E134" s="22">
        <f t="shared" si="8"/>
        <v>57497.786854211365</v>
      </c>
      <c r="F134" s="20"/>
      <c r="G134" s="22">
        <f t="shared" ref="G134:G197" si="11">E134-H134</f>
        <v>57137.786854211365</v>
      </c>
      <c r="H134" s="22">
        <v>360</v>
      </c>
      <c r="I134" s="23">
        <v>130</v>
      </c>
    </row>
    <row r="135" spans="2:9" x14ac:dyDescent="0.25">
      <c r="B135" s="22">
        <f t="shared" si="9"/>
        <v>57137.786854211365</v>
      </c>
      <c r="C135" s="21">
        <v>0.04</v>
      </c>
      <c r="D135" s="22">
        <f t="shared" si="10"/>
        <v>190.45928951403789</v>
      </c>
      <c r="E135" s="22">
        <f t="shared" ref="E135:E198" si="12">B135+D135</f>
        <v>57328.246143725402</v>
      </c>
      <c r="F135" s="20"/>
      <c r="G135" s="22">
        <f t="shared" si="11"/>
        <v>56968.246143725402</v>
      </c>
      <c r="H135" s="22">
        <v>360</v>
      </c>
      <c r="I135" s="23">
        <v>131</v>
      </c>
    </row>
    <row r="136" spans="2:9" x14ac:dyDescent="0.25">
      <c r="B136" s="22">
        <f t="shared" si="9"/>
        <v>56968.246143725402</v>
      </c>
      <c r="C136" s="21">
        <v>0.04</v>
      </c>
      <c r="D136" s="22">
        <f t="shared" si="10"/>
        <v>189.89415381241801</v>
      </c>
      <c r="E136" s="22">
        <f t="shared" si="12"/>
        <v>57158.140297537822</v>
      </c>
      <c r="F136" s="20"/>
      <c r="G136" s="22">
        <f t="shared" si="11"/>
        <v>56798.140297537822</v>
      </c>
      <c r="H136" s="22">
        <v>360</v>
      </c>
      <c r="I136" s="23">
        <v>132</v>
      </c>
    </row>
    <row r="137" spans="2:9" x14ac:dyDescent="0.25">
      <c r="B137" s="22">
        <f t="shared" si="9"/>
        <v>56798.140297537822</v>
      </c>
      <c r="C137" s="21">
        <v>0.04</v>
      </c>
      <c r="D137" s="22">
        <f t="shared" si="10"/>
        <v>189.32713432512608</v>
      </c>
      <c r="E137" s="22">
        <f t="shared" si="12"/>
        <v>56987.467431862948</v>
      </c>
      <c r="F137" s="20"/>
      <c r="G137" s="22">
        <f t="shared" si="11"/>
        <v>56627.467431862948</v>
      </c>
      <c r="H137" s="22">
        <v>360</v>
      </c>
      <c r="I137" s="23">
        <v>133</v>
      </c>
    </row>
    <row r="138" spans="2:9" x14ac:dyDescent="0.25">
      <c r="B138" s="22">
        <f t="shared" si="9"/>
        <v>56627.467431862948</v>
      </c>
      <c r="C138" s="21">
        <v>0.04</v>
      </c>
      <c r="D138" s="22">
        <f t="shared" si="10"/>
        <v>188.7582247728765</v>
      </c>
      <c r="E138" s="22">
        <f t="shared" si="12"/>
        <v>56816.225656635826</v>
      </c>
      <c r="F138" s="20"/>
      <c r="G138" s="22">
        <f t="shared" si="11"/>
        <v>56456.225656635826</v>
      </c>
      <c r="H138" s="22">
        <v>360</v>
      </c>
      <c r="I138" s="23">
        <v>134</v>
      </c>
    </row>
    <row r="139" spans="2:9" x14ac:dyDescent="0.25">
      <c r="B139" s="22">
        <f t="shared" si="9"/>
        <v>56456.225656635826</v>
      </c>
      <c r="C139" s="21">
        <v>0.04</v>
      </c>
      <c r="D139" s="22">
        <f t="shared" si="10"/>
        <v>188.18741885545276</v>
      </c>
      <c r="E139" s="22">
        <f t="shared" si="12"/>
        <v>56644.413075491277</v>
      </c>
      <c r="F139" s="20"/>
      <c r="G139" s="22">
        <f t="shared" si="11"/>
        <v>56284.413075491277</v>
      </c>
      <c r="H139" s="22">
        <v>360</v>
      </c>
      <c r="I139" s="23">
        <v>135</v>
      </c>
    </row>
    <row r="140" spans="2:9" x14ac:dyDescent="0.25">
      <c r="B140" s="22">
        <f t="shared" si="9"/>
        <v>56284.413075491277</v>
      </c>
      <c r="C140" s="21">
        <v>0.04</v>
      </c>
      <c r="D140" s="22">
        <f t="shared" si="10"/>
        <v>187.6147102516376</v>
      </c>
      <c r="E140" s="22">
        <f t="shared" si="12"/>
        <v>56472.027785742917</v>
      </c>
      <c r="F140" s="20"/>
      <c r="G140" s="22">
        <f t="shared" si="11"/>
        <v>56112.027785742917</v>
      </c>
      <c r="H140" s="22">
        <v>360</v>
      </c>
      <c r="I140" s="23">
        <v>136</v>
      </c>
    </row>
    <row r="141" spans="2:9" x14ac:dyDescent="0.25">
      <c r="B141" s="22">
        <f t="shared" si="9"/>
        <v>56112.027785742917</v>
      </c>
      <c r="C141" s="21">
        <v>0.04</v>
      </c>
      <c r="D141" s="22">
        <f t="shared" si="10"/>
        <v>187.04009261914308</v>
      </c>
      <c r="E141" s="22">
        <f t="shared" si="12"/>
        <v>56299.067878362061</v>
      </c>
      <c r="F141" s="20"/>
      <c r="G141" s="22">
        <f t="shared" si="11"/>
        <v>55939.067878362061</v>
      </c>
      <c r="H141" s="22">
        <v>360</v>
      </c>
      <c r="I141" s="23">
        <v>137</v>
      </c>
    </row>
    <row r="142" spans="2:9" x14ac:dyDescent="0.25">
      <c r="B142" s="22">
        <f t="shared" si="9"/>
        <v>55939.067878362061</v>
      </c>
      <c r="C142" s="21">
        <v>0.04</v>
      </c>
      <c r="D142" s="22">
        <f t="shared" si="10"/>
        <v>186.46355959454021</v>
      </c>
      <c r="E142" s="22">
        <f t="shared" si="12"/>
        <v>56125.531437956604</v>
      </c>
      <c r="F142" s="20"/>
      <c r="G142" s="22">
        <f t="shared" si="11"/>
        <v>55765.531437956604</v>
      </c>
      <c r="H142" s="22">
        <v>360</v>
      </c>
      <c r="I142" s="23">
        <v>138</v>
      </c>
    </row>
    <row r="143" spans="2:9" x14ac:dyDescent="0.25">
      <c r="B143" s="22">
        <f t="shared" si="9"/>
        <v>55765.531437956604</v>
      </c>
      <c r="C143" s="21">
        <v>0.04</v>
      </c>
      <c r="D143" s="22">
        <f t="shared" si="10"/>
        <v>185.8851047931887</v>
      </c>
      <c r="E143" s="22">
        <f t="shared" si="12"/>
        <v>55951.416542749794</v>
      </c>
      <c r="F143" s="20"/>
      <c r="G143" s="22">
        <f t="shared" si="11"/>
        <v>55591.416542749794</v>
      </c>
      <c r="H143" s="22">
        <v>360</v>
      </c>
      <c r="I143" s="23">
        <v>139</v>
      </c>
    </row>
    <row r="144" spans="2:9" x14ac:dyDescent="0.25">
      <c r="B144" s="22">
        <f t="shared" si="9"/>
        <v>55591.416542749794</v>
      </c>
      <c r="C144" s="21">
        <v>0.04</v>
      </c>
      <c r="D144" s="22">
        <f t="shared" si="10"/>
        <v>185.30472180916598</v>
      </c>
      <c r="E144" s="22">
        <f t="shared" si="12"/>
        <v>55776.721264558961</v>
      </c>
      <c r="F144" s="20"/>
      <c r="G144" s="22">
        <f t="shared" si="11"/>
        <v>55416.721264558961</v>
      </c>
      <c r="H144" s="22">
        <v>360</v>
      </c>
      <c r="I144" s="23">
        <v>140</v>
      </c>
    </row>
    <row r="145" spans="2:9" x14ac:dyDescent="0.25">
      <c r="B145" s="22">
        <f t="shared" si="9"/>
        <v>55416.721264558961</v>
      </c>
      <c r="C145" s="21">
        <v>0.04</v>
      </c>
      <c r="D145" s="22">
        <f t="shared" si="10"/>
        <v>184.72240421519655</v>
      </c>
      <c r="E145" s="22">
        <f t="shared" si="12"/>
        <v>55601.443668774155</v>
      </c>
      <c r="F145" s="20"/>
      <c r="G145" s="22">
        <f t="shared" si="11"/>
        <v>55241.443668774155</v>
      </c>
      <c r="H145" s="22">
        <v>360</v>
      </c>
      <c r="I145" s="23">
        <v>141</v>
      </c>
    </row>
    <row r="146" spans="2:9" x14ac:dyDescent="0.25">
      <c r="B146" s="22">
        <f t="shared" si="9"/>
        <v>55241.443668774155</v>
      </c>
      <c r="C146" s="21">
        <v>0.04</v>
      </c>
      <c r="D146" s="22">
        <f t="shared" si="10"/>
        <v>184.13814556258052</v>
      </c>
      <c r="E146" s="22">
        <f t="shared" si="12"/>
        <v>55425.581814336736</v>
      </c>
      <c r="F146" s="20"/>
      <c r="G146" s="22">
        <f t="shared" si="11"/>
        <v>55065.581814336736</v>
      </c>
      <c r="H146" s="22">
        <v>360</v>
      </c>
      <c r="I146" s="23">
        <v>142</v>
      </c>
    </row>
    <row r="147" spans="2:9" x14ac:dyDescent="0.25">
      <c r="B147" s="22">
        <f t="shared" si="9"/>
        <v>55065.581814336736</v>
      </c>
      <c r="C147" s="21">
        <v>0.04</v>
      </c>
      <c r="D147" s="22">
        <f t="shared" si="10"/>
        <v>183.55193938112245</v>
      </c>
      <c r="E147" s="22">
        <f t="shared" si="12"/>
        <v>55249.133753717855</v>
      </c>
      <c r="F147" s="20"/>
      <c r="G147" s="22">
        <f t="shared" si="11"/>
        <v>54889.133753717855</v>
      </c>
      <c r="H147" s="22">
        <v>360</v>
      </c>
      <c r="I147" s="23">
        <v>143</v>
      </c>
    </row>
    <row r="148" spans="2:9" x14ac:dyDescent="0.25">
      <c r="B148" s="22">
        <f t="shared" si="9"/>
        <v>54889.133753717855</v>
      </c>
      <c r="C148" s="21">
        <v>0.04</v>
      </c>
      <c r="D148" s="22">
        <f t="shared" si="10"/>
        <v>182.96377917905954</v>
      </c>
      <c r="E148" s="22">
        <f t="shared" si="12"/>
        <v>55072.097532896914</v>
      </c>
      <c r="F148" s="20"/>
      <c r="G148" s="22">
        <f t="shared" si="11"/>
        <v>54712.097532896914</v>
      </c>
      <c r="H148" s="22">
        <v>360</v>
      </c>
      <c r="I148" s="23">
        <v>144</v>
      </c>
    </row>
    <row r="149" spans="2:9" x14ac:dyDescent="0.25">
      <c r="B149" s="22">
        <f t="shared" si="9"/>
        <v>54712.097532896914</v>
      </c>
      <c r="C149" s="21">
        <v>0.04</v>
      </c>
      <c r="D149" s="22">
        <f t="shared" si="10"/>
        <v>182.37365844298972</v>
      </c>
      <c r="E149" s="22">
        <f t="shared" si="12"/>
        <v>54894.471191339901</v>
      </c>
      <c r="F149" s="20"/>
      <c r="G149" s="22">
        <f t="shared" si="11"/>
        <v>54534.471191339901</v>
      </c>
      <c r="H149" s="22">
        <v>360</v>
      </c>
      <c r="I149" s="23">
        <v>145</v>
      </c>
    </row>
    <row r="150" spans="2:9" x14ac:dyDescent="0.25">
      <c r="B150" s="22">
        <f t="shared" si="9"/>
        <v>54534.471191339901</v>
      </c>
      <c r="C150" s="21">
        <v>0.04</v>
      </c>
      <c r="D150" s="22">
        <f t="shared" si="10"/>
        <v>181.78157063779969</v>
      </c>
      <c r="E150" s="22">
        <f t="shared" si="12"/>
        <v>54716.252761977703</v>
      </c>
      <c r="F150" s="20"/>
      <c r="G150" s="22">
        <f t="shared" si="11"/>
        <v>54356.252761977703</v>
      </c>
      <c r="H150" s="22">
        <v>360</v>
      </c>
      <c r="I150" s="23">
        <v>146</v>
      </c>
    </row>
    <row r="151" spans="2:9" x14ac:dyDescent="0.25">
      <c r="B151" s="22">
        <f t="shared" si="9"/>
        <v>54356.252761977703</v>
      </c>
      <c r="C151" s="21">
        <v>0.04</v>
      </c>
      <c r="D151" s="22">
        <f t="shared" si="10"/>
        <v>181.18750920659235</v>
      </c>
      <c r="E151" s="22">
        <f t="shared" si="12"/>
        <v>54537.440271184292</v>
      </c>
      <c r="F151" s="20"/>
      <c r="G151" s="22">
        <f t="shared" si="11"/>
        <v>54177.440271184292</v>
      </c>
      <c r="H151" s="22">
        <v>360</v>
      </c>
      <c r="I151" s="23">
        <v>147</v>
      </c>
    </row>
    <row r="152" spans="2:9" x14ac:dyDescent="0.25">
      <c r="B152" s="22">
        <f t="shared" si="9"/>
        <v>54177.440271184292</v>
      </c>
      <c r="C152" s="21">
        <v>0.04</v>
      </c>
      <c r="D152" s="22">
        <f t="shared" si="10"/>
        <v>180.59146757061433</v>
      </c>
      <c r="E152" s="22">
        <f t="shared" si="12"/>
        <v>54358.031738754908</v>
      </c>
      <c r="F152" s="20"/>
      <c r="G152" s="22">
        <f t="shared" si="11"/>
        <v>53998.031738754908</v>
      </c>
      <c r="H152" s="22">
        <v>360</v>
      </c>
      <c r="I152" s="23">
        <v>148</v>
      </c>
    </row>
    <row r="153" spans="2:9" x14ac:dyDescent="0.25">
      <c r="B153" s="22">
        <f t="shared" si="9"/>
        <v>53998.031738754908</v>
      </c>
      <c r="C153" s="21">
        <v>0.04</v>
      </c>
      <c r="D153" s="22">
        <f t="shared" si="10"/>
        <v>179.99343912918303</v>
      </c>
      <c r="E153" s="22">
        <f t="shared" si="12"/>
        <v>54178.02517788409</v>
      </c>
      <c r="F153" s="20"/>
      <c r="G153" s="22">
        <f t="shared" si="11"/>
        <v>53818.02517788409</v>
      </c>
      <c r="H153" s="22">
        <v>360</v>
      </c>
      <c r="I153" s="23">
        <v>149</v>
      </c>
    </row>
    <row r="154" spans="2:9" x14ac:dyDescent="0.25">
      <c r="B154" s="22">
        <f t="shared" si="9"/>
        <v>53818.02517788409</v>
      </c>
      <c r="C154" s="21">
        <v>0.04</v>
      </c>
      <c r="D154" s="22">
        <f t="shared" si="10"/>
        <v>179.39341725961364</v>
      </c>
      <c r="E154" s="22">
        <f t="shared" si="12"/>
        <v>53997.418595143703</v>
      </c>
      <c r="F154" s="20"/>
      <c r="G154" s="22">
        <f t="shared" si="11"/>
        <v>53637.418595143703</v>
      </c>
      <c r="H154" s="22">
        <v>360</v>
      </c>
      <c r="I154" s="23">
        <v>150</v>
      </c>
    </row>
    <row r="155" spans="2:9" x14ac:dyDescent="0.25">
      <c r="B155" s="22">
        <f t="shared" si="9"/>
        <v>53637.418595143703</v>
      </c>
      <c r="C155" s="21">
        <v>0.04</v>
      </c>
      <c r="D155" s="22">
        <f t="shared" si="10"/>
        <v>178.79139531714569</v>
      </c>
      <c r="E155" s="22">
        <f t="shared" si="12"/>
        <v>53816.209990460848</v>
      </c>
      <c r="F155" s="20"/>
      <c r="G155" s="22">
        <f t="shared" si="11"/>
        <v>53456.209990460848</v>
      </c>
      <c r="H155" s="22">
        <v>360</v>
      </c>
      <c r="I155" s="23">
        <v>151</v>
      </c>
    </row>
    <row r="156" spans="2:9" x14ac:dyDescent="0.25">
      <c r="B156" s="22">
        <f t="shared" si="9"/>
        <v>53456.209990460848</v>
      </c>
      <c r="C156" s="21">
        <v>0.04</v>
      </c>
      <c r="D156" s="22">
        <f t="shared" si="10"/>
        <v>178.18736663486951</v>
      </c>
      <c r="E156" s="22">
        <f t="shared" si="12"/>
        <v>53634.397357095717</v>
      </c>
      <c r="F156" s="20"/>
      <c r="G156" s="22">
        <f t="shared" si="11"/>
        <v>53274.397357095717</v>
      </c>
      <c r="H156" s="22">
        <v>360</v>
      </c>
      <c r="I156" s="23">
        <v>152</v>
      </c>
    </row>
    <row r="157" spans="2:9" x14ac:dyDescent="0.25">
      <c r="B157" s="22">
        <f t="shared" ref="B157:B220" si="13">G156</f>
        <v>53274.397357095717</v>
      </c>
      <c r="C157" s="21">
        <v>0.04</v>
      </c>
      <c r="D157" s="22">
        <f t="shared" si="10"/>
        <v>177.5813245236524</v>
      </c>
      <c r="E157" s="22">
        <f t="shared" si="12"/>
        <v>53451.978681619366</v>
      </c>
      <c r="F157" s="20"/>
      <c r="G157" s="22">
        <f t="shared" si="11"/>
        <v>53091.978681619366</v>
      </c>
      <c r="H157" s="22">
        <v>360</v>
      </c>
      <c r="I157" s="23">
        <v>153</v>
      </c>
    </row>
    <row r="158" spans="2:9" x14ac:dyDescent="0.25">
      <c r="B158" s="22">
        <f t="shared" si="13"/>
        <v>53091.978681619366</v>
      </c>
      <c r="C158" s="21">
        <v>0.04</v>
      </c>
      <c r="D158" s="22">
        <f t="shared" si="10"/>
        <v>176.97326227206457</v>
      </c>
      <c r="E158" s="22">
        <f t="shared" si="12"/>
        <v>53268.951943891429</v>
      </c>
      <c r="F158" s="20"/>
      <c r="G158" s="22">
        <f t="shared" si="11"/>
        <v>52908.951943891429</v>
      </c>
      <c r="H158" s="22">
        <v>360</v>
      </c>
      <c r="I158" s="23">
        <v>154</v>
      </c>
    </row>
    <row r="159" spans="2:9" x14ac:dyDescent="0.25">
      <c r="B159" s="22">
        <f t="shared" si="13"/>
        <v>52908.951943891429</v>
      </c>
      <c r="C159" s="21">
        <v>0.04</v>
      </c>
      <c r="D159" s="22">
        <f t="shared" si="10"/>
        <v>176.36317314630477</v>
      </c>
      <c r="E159" s="22">
        <f t="shared" si="12"/>
        <v>53085.315117037731</v>
      </c>
      <c r="F159" s="20"/>
      <c r="G159" s="22">
        <f t="shared" si="11"/>
        <v>52725.315117037731</v>
      </c>
      <c r="H159" s="22">
        <v>360</v>
      </c>
      <c r="I159" s="23">
        <v>155</v>
      </c>
    </row>
    <row r="160" spans="2:9" x14ac:dyDescent="0.25">
      <c r="B160" s="22">
        <f t="shared" si="13"/>
        <v>52725.315117037731</v>
      </c>
      <c r="C160" s="21">
        <v>0.04</v>
      </c>
      <c r="D160" s="22">
        <f t="shared" si="10"/>
        <v>175.75105039012578</v>
      </c>
      <c r="E160" s="22">
        <f t="shared" si="12"/>
        <v>52901.06616742786</v>
      </c>
      <c r="F160" s="20"/>
      <c r="G160" s="22">
        <f t="shared" si="11"/>
        <v>52541.06616742786</v>
      </c>
      <c r="H160" s="22">
        <v>360</v>
      </c>
      <c r="I160" s="23">
        <v>156</v>
      </c>
    </row>
    <row r="161" spans="2:9" x14ac:dyDescent="0.25">
      <c r="B161" s="22">
        <f t="shared" si="13"/>
        <v>52541.06616742786</v>
      </c>
      <c r="C161" s="21">
        <v>0.04</v>
      </c>
      <c r="D161" s="22">
        <f t="shared" si="10"/>
        <v>175.13688722475953</v>
      </c>
      <c r="E161" s="22">
        <f t="shared" si="12"/>
        <v>52716.203054652622</v>
      </c>
      <c r="F161" s="20"/>
      <c r="G161" s="22">
        <f t="shared" si="11"/>
        <v>52356.203054652622</v>
      </c>
      <c r="H161" s="22">
        <v>360</v>
      </c>
      <c r="I161" s="23">
        <v>157</v>
      </c>
    </row>
    <row r="162" spans="2:9" x14ac:dyDescent="0.25">
      <c r="B162" s="22">
        <f t="shared" si="13"/>
        <v>52356.203054652622</v>
      </c>
      <c r="C162" s="21">
        <v>0.04</v>
      </c>
      <c r="D162" s="22">
        <f t="shared" si="10"/>
        <v>174.52067684884207</v>
      </c>
      <c r="E162" s="22">
        <f t="shared" si="12"/>
        <v>52530.723731501464</v>
      </c>
      <c r="F162" s="20"/>
      <c r="G162" s="22">
        <f t="shared" si="11"/>
        <v>52170.723731501464</v>
      </c>
      <c r="H162" s="22">
        <v>360</v>
      </c>
      <c r="I162" s="23">
        <v>158</v>
      </c>
    </row>
    <row r="163" spans="2:9" x14ac:dyDescent="0.25">
      <c r="B163" s="22">
        <f t="shared" si="13"/>
        <v>52170.723731501464</v>
      </c>
      <c r="C163" s="21">
        <v>0.04</v>
      </c>
      <c r="D163" s="22">
        <f t="shared" si="10"/>
        <v>173.90241243833822</v>
      </c>
      <c r="E163" s="22">
        <f t="shared" si="12"/>
        <v>52344.6261439398</v>
      </c>
      <c r="F163" s="20"/>
      <c r="G163" s="22">
        <f t="shared" si="11"/>
        <v>51984.6261439398</v>
      </c>
      <c r="H163" s="22">
        <v>360</v>
      </c>
      <c r="I163" s="23">
        <v>159</v>
      </c>
    </row>
    <row r="164" spans="2:9" x14ac:dyDescent="0.25">
      <c r="B164" s="22">
        <f t="shared" si="13"/>
        <v>51984.6261439398</v>
      </c>
      <c r="C164" s="21">
        <v>0.04</v>
      </c>
      <c r="D164" s="22">
        <f t="shared" si="10"/>
        <v>173.28208714646601</v>
      </c>
      <c r="E164" s="22">
        <f t="shared" si="12"/>
        <v>52157.908231086265</v>
      </c>
      <c r="F164" s="20"/>
      <c r="G164" s="22">
        <f t="shared" si="11"/>
        <v>51797.908231086265</v>
      </c>
      <c r="H164" s="22">
        <v>360</v>
      </c>
      <c r="I164" s="23">
        <v>160</v>
      </c>
    </row>
    <row r="165" spans="2:9" x14ac:dyDescent="0.25">
      <c r="B165" s="22">
        <f t="shared" si="13"/>
        <v>51797.908231086265</v>
      </c>
      <c r="C165" s="21">
        <v>0.04</v>
      </c>
      <c r="D165" s="22">
        <f t="shared" si="10"/>
        <v>172.65969410362089</v>
      </c>
      <c r="E165" s="22">
        <f t="shared" si="12"/>
        <v>51970.567925189884</v>
      </c>
      <c r="F165" s="20"/>
      <c r="G165" s="22">
        <f t="shared" si="11"/>
        <v>51610.567925189884</v>
      </c>
      <c r="H165" s="22">
        <v>360</v>
      </c>
      <c r="I165" s="23">
        <v>161</v>
      </c>
    </row>
    <row r="166" spans="2:9" x14ac:dyDescent="0.25">
      <c r="B166" s="22">
        <f t="shared" si="13"/>
        <v>51610.567925189884</v>
      </c>
      <c r="C166" s="21">
        <v>0.04</v>
      </c>
      <c r="D166" s="22">
        <f t="shared" si="10"/>
        <v>172.03522641729961</v>
      </c>
      <c r="E166" s="22">
        <f t="shared" si="12"/>
        <v>51782.603151607182</v>
      </c>
      <c r="F166" s="20"/>
      <c r="G166" s="22">
        <f t="shared" si="11"/>
        <v>51422.603151607182</v>
      </c>
      <c r="H166" s="22">
        <v>360</v>
      </c>
      <c r="I166" s="23">
        <v>162</v>
      </c>
    </row>
    <row r="167" spans="2:9" x14ac:dyDescent="0.25">
      <c r="B167" s="22">
        <f t="shared" si="13"/>
        <v>51422.603151607182</v>
      </c>
      <c r="C167" s="21">
        <v>0.04</v>
      </c>
      <c r="D167" s="22">
        <f t="shared" si="10"/>
        <v>171.40867717202394</v>
      </c>
      <c r="E167" s="22">
        <f t="shared" si="12"/>
        <v>51594.011828779207</v>
      </c>
      <c r="F167" s="20"/>
      <c r="G167" s="22">
        <f t="shared" si="11"/>
        <v>51234.011828779207</v>
      </c>
      <c r="H167" s="22">
        <v>360</v>
      </c>
      <c r="I167" s="23">
        <v>163</v>
      </c>
    </row>
    <row r="168" spans="2:9" x14ac:dyDescent="0.25">
      <c r="B168" s="22">
        <f t="shared" si="13"/>
        <v>51234.011828779207</v>
      </c>
      <c r="C168" s="21">
        <v>0.04</v>
      </c>
      <c r="D168" s="22">
        <f t="shared" si="10"/>
        <v>170.78003942926404</v>
      </c>
      <c r="E168" s="22">
        <f t="shared" si="12"/>
        <v>51404.791868208471</v>
      </c>
      <c r="F168" s="20"/>
      <c r="G168" s="22">
        <f t="shared" si="11"/>
        <v>51044.791868208471</v>
      </c>
      <c r="H168" s="22">
        <v>360</v>
      </c>
      <c r="I168" s="23">
        <v>164</v>
      </c>
    </row>
    <row r="169" spans="2:9" x14ac:dyDescent="0.25">
      <c r="B169" s="22">
        <f t="shared" si="13"/>
        <v>51044.791868208471</v>
      </c>
      <c r="C169" s="21">
        <v>0.04</v>
      </c>
      <c r="D169" s="22">
        <f t="shared" si="10"/>
        <v>170.14930622736159</v>
      </c>
      <c r="E169" s="22">
        <f t="shared" si="12"/>
        <v>51214.941174435829</v>
      </c>
      <c r="F169" s="20"/>
      <c r="G169" s="22">
        <f t="shared" si="11"/>
        <v>50854.941174435829</v>
      </c>
      <c r="H169" s="22">
        <v>360</v>
      </c>
      <c r="I169" s="23">
        <v>165</v>
      </c>
    </row>
    <row r="170" spans="2:9" x14ac:dyDescent="0.25">
      <c r="B170" s="22">
        <f t="shared" si="13"/>
        <v>50854.941174435829</v>
      </c>
      <c r="C170" s="21">
        <v>0.04</v>
      </c>
      <c r="D170" s="22">
        <f t="shared" si="10"/>
        <v>169.51647058145278</v>
      </c>
      <c r="E170" s="22">
        <f t="shared" si="12"/>
        <v>51024.457645017283</v>
      </c>
      <c r="F170" s="20"/>
      <c r="G170" s="22">
        <f t="shared" si="11"/>
        <v>50664.457645017283</v>
      </c>
      <c r="H170" s="22">
        <v>360</v>
      </c>
      <c r="I170" s="23">
        <v>166</v>
      </c>
    </row>
    <row r="171" spans="2:9" x14ac:dyDescent="0.25">
      <c r="B171" s="22">
        <f t="shared" si="13"/>
        <v>50664.457645017283</v>
      </c>
      <c r="C171" s="21">
        <v>0.04</v>
      </c>
      <c r="D171" s="22">
        <f t="shared" si="10"/>
        <v>168.88152548339096</v>
      </c>
      <c r="E171" s="22">
        <f t="shared" si="12"/>
        <v>50833.339170500672</v>
      </c>
      <c r="F171" s="20"/>
      <c r="G171" s="22">
        <f t="shared" si="11"/>
        <v>50473.339170500672</v>
      </c>
      <c r="H171" s="22">
        <v>360</v>
      </c>
      <c r="I171" s="23">
        <v>167</v>
      </c>
    </row>
    <row r="172" spans="2:9" x14ac:dyDescent="0.25">
      <c r="B172" s="22">
        <f t="shared" si="13"/>
        <v>50473.339170500672</v>
      </c>
      <c r="C172" s="21">
        <v>0.04</v>
      </c>
      <c r="D172" s="22">
        <f t="shared" si="10"/>
        <v>168.24446390166892</v>
      </c>
      <c r="E172" s="22">
        <f t="shared" si="12"/>
        <v>50641.583634402341</v>
      </c>
      <c r="F172" s="20"/>
      <c r="G172" s="22">
        <f t="shared" si="11"/>
        <v>50281.583634402341</v>
      </c>
      <c r="H172" s="22">
        <v>360</v>
      </c>
      <c r="I172" s="23">
        <v>168</v>
      </c>
    </row>
    <row r="173" spans="2:9" x14ac:dyDescent="0.25">
      <c r="B173" s="22">
        <f t="shared" si="13"/>
        <v>50281.583634402341</v>
      </c>
      <c r="C173" s="21">
        <v>0.04</v>
      </c>
      <c r="D173" s="22">
        <f t="shared" si="10"/>
        <v>167.60527878134116</v>
      </c>
      <c r="E173" s="22">
        <f t="shared" si="12"/>
        <v>50449.18891318368</v>
      </c>
      <c r="F173" s="20"/>
      <c r="G173" s="22">
        <f t="shared" si="11"/>
        <v>50089.18891318368</v>
      </c>
      <c r="H173" s="22">
        <v>360</v>
      </c>
      <c r="I173" s="23">
        <v>169</v>
      </c>
    </row>
    <row r="174" spans="2:9" x14ac:dyDescent="0.25">
      <c r="B174" s="22">
        <f t="shared" si="13"/>
        <v>50089.18891318368</v>
      </c>
      <c r="C174" s="21">
        <v>0.04</v>
      </c>
      <c r="D174" s="22">
        <f t="shared" si="10"/>
        <v>166.9639630439456</v>
      </c>
      <c r="E174" s="22">
        <f t="shared" si="12"/>
        <v>50256.152876227628</v>
      </c>
      <c r="F174" s="20"/>
      <c r="G174" s="22">
        <f t="shared" si="11"/>
        <v>49896.152876227628</v>
      </c>
      <c r="H174" s="22">
        <v>360</v>
      </c>
      <c r="I174" s="23">
        <v>170</v>
      </c>
    </row>
    <row r="175" spans="2:9" x14ac:dyDescent="0.25">
      <c r="B175" s="22">
        <f t="shared" si="13"/>
        <v>49896.152876227628</v>
      </c>
      <c r="C175" s="21">
        <v>0.04</v>
      </c>
      <c r="D175" s="22">
        <f t="shared" si="10"/>
        <v>166.32050958742545</v>
      </c>
      <c r="E175" s="22">
        <f t="shared" si="12"/>
        <v>50062.47338581505</v>
      </c>
      <c r="F175" s="20"/>
      <c r="G175" s="22">
        <f t="shared" si="11"/>
        <v>49702.47338581505</v>
      </c>
      <c r="H175" s="22">
        <v>360</v>
      </c>
      <c r="I175" s="23">
        <v>171</v>
      </c>
    </row>
    <row r="176" spans="2:9" x14ac:dyDescent="0.25">
      <c r="B176" s="22">
        <f t="shared" si="13"/>
        <v>49702.47338581505</v>
      </c>
      <c r="C176" s="21">
        <v>0.04</v>
      </c>
      <c r="D176" s="22">
        <f t="shared" si="10"/>
        <v>165.67491128605019</v>
      </c>
      <c r="E176" s="22">
        <f t="shared" si="12"/>
        <v>49868.148297101099</v>
      </c>
      <c r="F176" s="20"/>
      <c r="G176" s="22">
        <f t="shared" si="11"/>
        <v>49508.148297101099</v>
      </c>
      <c r="H176" s="22">
        <v>360</v>
      </c>
      <c r="I176" s="23">
        <v>172</v>
      </c>
    </row>
    <row r="177" spans="2:10" x14ac:dyDescent="0.25">
      <c r="B177" s="22">
        <f t="shared" si="13"/>
        <v>49508.148297101099</v>
      </c>
      <c r="C177" s="21">
        <v>0.04</v>
      </c>
      <c r="D177" s="22">
        <f t="shared" si="10"/>
        <v>165.02716099033699</v>
      </c>
      <c r="E177" s="22">
        <f t="shared" si="12"/>
        <v>49673.175458091435</v>
      </c>
      <c r="F177" s="20"/>
      <c r="G177" s="22">
        <f t="shared" si="11"/>
        <v>49313.175458091435</v>
      </c>
      <c r="H177" s="22">
        <v>360</v>
      </c>
      <c r="I177" s="23">
        <v>173</v>
      </c>
    </row>
    <row r="178" spans="2:10" x14ac:dyDescent="0.25">
      <c r="B178" s="22">
        <f t="shared" si="13"/>
        <v>49313.175458091435</v>
      </c>
      <c r="C178" s="21">
        <v>0.04</v>
      </c>
      <c r="D178" s="22">
        <f t="shared" si="10"/>
        <v>164.37725152697146</v>
      </c>
      <c r="E178" s="22">
        <f t="shared" si="12"/>
        <v>49477.552709618409</v>
      </c>
      <c r="F178" s="20"/>
      <c r="G178" s="22">
        <f t="shared" si="11"/>
        <v>49117.552709618409</v>
      </c>
      <c r="H178" s="22">
        <v>360</v>
      </c>
      <c r="I178" s="23">
        <v>174</v>
      </c>
    </row>
    <row r="179" spans="2:10" x14ac:dyDescent="0.25">
      <c r="B179" s="22">
        <f t="shared" si="13"/>
        <v>49117.552709618409</v>
      </c>
      <c r="C179" s="21">
        <v>0.04</v>
      </c>
      <c r="D179" s="22">
        <f t="shared" si="10"/>
        <v>163.72517569872804</v>
      </c>
      <c r="E179" s="22">
        <f t="shared" si="12"/>
        <v>49281.27788531714</v>
      </c>
      <c r="F179" s="20"/>
      <c r="G179" s="22">
        <f t="shared" si="11"/>
        <v>48921.27788531714</v>
      </c>
      <c r="H179" s="22">
        <v>360</v>
      </c>
      <c r="I179" s="23">
        <v>175</v>
      </c>
    </row>
    <row r="180" spans="2:10" x14ac:dyDescent="0.25">
      <c r="B180" s="22">
        <f t="shared" si="13"/>
        <v>48921.27788531714</v>
      </c>
      <c r="C180" s="21">
        <v>0.04</v>
      </c>
      <c r="D180" s="22">
        <f t="shared" si="10"/>
        <v>163.07092628439048</v>
      </c>
      <c r="E180" s="22">
        <f t="shared" si="12"/>
        <v>49084.348811601529</v>
      </c>
      <c r="F180" s="20"/>
      <c r="G180" s="22">
        <f t="shared" si="11"/>
        <v>48724.348811601529</v>
      </c>
      <c r="H180" s="22">
        <v>360</v>
      </c>
      <c r="I180" s="23">
        <v>176</v>
      </c>
    </row>
    <row r="181" spans="2:10" x14ac:dyDescent="0.25">
      <c r="B181" s="22">
        <f t="shared" si="13"/>
        <v>48724.348811601529</v>
      </c>
      <c r="C181" s="21">
        <v>0.04</v>
      </c>
      <c r="D181" s="22">
        <f t="shared" si="10"/>
        <v>162.41449603867179</v>
      </c>
      <c r="E181" s="22">
        <f t="shared" si="12"/>
        <v>48886.763307640198</v>
      </c>
      <c r="F181" s="20"/>
      <c r="G181" s="22">
        <f t="shared" si="11"/>
        <v>48526.763307640198</v>
      </c>
      <c r="H181" s="22">
        <v>360</v>
      </c>
      <c r="I181" s="23">
        <v>177</v>
      </c>
    </row>
    <row r="182" spans="2:10" x14ac:dyDescent="0.25">
      <c r="B182" s="22">
        <f t="shared" si="13"/>
        <v>48526.763307640198</v>
      </c>
      <c r="C182" s="21">
        <v>0.04</v>
      </c>
      <c r="D182" s="22">
        <f t="shared" si="10"/>
        <v>161.75587769213399</v>
      </c>
      <c r="E182" s="22">
        <f t="shared" si="12"/>
        <v>48688.519185332334</v>
      </c>
      <c r="F182" s="20"/>
      <c r="G182" s="22">
        <f t="shared" si="11"/>
        <v>48328.519185332334</v>
      </c>
      <c r="H182" s="22">
        <v>360</v>
      </c>
      <c r="I182" s="23">
        <v>178</v>
      </c>
    </row>
    <row r="183" spans="2:10" x14ac:dyDescent="0.25">
      <c r="B183" s="22">
        <f t="shared" si="13"/>
        <v>48328.519185332334</v>
      </c>
      <c r="C183" s="21">
        <v>0.04</v>
      </c>
      <c r="D183" s="22">
        <f t="shared" si="10"/>
        <v>161.09506395110779</v>
      </c>
      <c r="E183" s="22">
        <f t="shared" si="12"/>
        <v>48489.614249283441</v>
      </c>
      <c r="F183" s="20"/>
      <c r="G183" s="22">
        <f t="shared" si="11"/>
        <v>48129.614249283441</v>
      </c>
      <c r="H183" s="22">
        <v>360</v>
      </c>
      <c r="I183" s="23">
        <v>179</v>
      </c>
    </row>
    <row r="184" spans="2:10" x14ac:dyDescent="0.25">
      <c r="B184" s="22">
        <f t="shared" si="13"/>
        <v>48129.614249283441</v>
      </c>
      <c r="C184" s="21">
        <v>0.04</v>
      </c>
      <c r="D184" s="22">
        <f t="shared" si="10"/>
        <v>160.43204749761148</v>
      </c>
      <c r="E184" s="22">
        <f t="shared" si="12"/>
        <v>48290.046296781053</v>
      </c>
      <c r="F184" s="20"/>
      <c r="G184" s="22">
        <f t="shared" si="11"/>
        <v>47930.046296781053</v>
      </c>
      <c r="H184" s="22">
        <v>360</v>
      </c>
      <c r="I184" s="23">
        <v>180</v>
      </c>
    </row>
    <row r="185" spans="2:10" x14ac:dyDescent="0.25">
      <c r="B185" s="22">
        <f t="shared" si="13"/>
        <v>47930.046296781053</v>
      </c>
      <c r="C185" s="21">
        <v>0.04</v>
      </c>
      <c r="D185" s="22">
        <f t="shared" si="10"/>
        <v>159.76682098927017</v>
      </c>
      <c r="E185" s="22">
        <f t="shared" si="12"/>
        <v>48089.813117770325</v>
      </c>
      <c r="F185" s="20"/>
      <c r="G185" s="22">
        <f t="shared" si="11"/>
        <v>47729.813117770325</v>
      </c>
      <c r="H185" s="22">
        <v>360</v>
      </c>
      <c r="I185" s="23">
        <v>181</v>
      </c>
    </row>
    <row r="186" spans="2:10" x14ac:dyDescent="0.25">
      <c r="B186" s="22">
        <f t="shared" si="13"/>
        <v>47729.813117770325</v>
      </c>
      <c r="C186" s="21">
        <v>0.04</v>
      </c>
      <c r="D186" s="22">
        <f t="shared" si="10"/>
        <v>159.09937705923443</v>
      </c>
      <c r="E186" s="22">
        <f t="shared" si="12"/>
        <v>47888.912494829558</v>
      </c>
      <c r="F186" s="20"/>
      <c r="G186" s="22">
        <f t="shared" si="11"/>
        <v>47528.912494829558</v>
      </c>
      <c r="H186" s="22">
        <v>360</v>
      </c>
      <c r="I186" s="23">
        <v>182</v>
      </c>
    </row>
    <row r="187" spans="2:10" x14ac:dyDescent="0.25">
      <c r="B187" s="22">
        <f t="shared" si="13"/>
        <v>47528.912494829558</v>
      </c>
      <c r="C187" s="21">
        <v>0.04</v>
      </c>
      <c r="D187" s="22">
        <f t="shared" si="10"/>
        <v>158.42970831609853</v>
      </c>
      <c r="E187" s="22">
        <f t="shared" si="12"/>
        <v>47687.342203145658</v>
      </c>
      <c r="F187" s="20"/>
      <c r="G187" s="22">
        <f t="shared" si="11"/>
        <v>47327.342203145658</v>
      </c>
      <c r="H187" s="22">
        <v>360</v>
      </c>
      <c r="I187" s="23">
        <v>183</v>
      </c>
    </row>
    <row r="188" spans="2:10" x14ac:dyDescent="0.25">
      <c r="B188" s="22">
        <f t="shared" si="13"/>
        <v>47327.342203145658</v>
      </c>
      <c r="C188" s="21">
        <v>0.04</v>
      </c>
      <c r="D188" s="22">
        <f t="shared" si="10"/>
        <v>157.75780734381888</v>
      </c>
      <c r="E188" s="22">
        <f t="shared" si="12"/>
        <v>47485.100010489477</v>
      </c>
      <c r="F188" s="20"/>
      <c r="G188" s="22">
        <f t="shared" si="11"/>
        <v>47125.100010489477</v>
      </c>
      <c r="H188" s="22">
        <v>360</v>
      </c>
      <c r="I188" s="23">
        <v>184</v>
      </c>
    </row>
    <row r="189" spans="2:10" x14ac:dyDescent="0.25">
      <c r="B189" s="22">
        <f t="shared" si="13"/>
        <v>47125.100010489477</v>
      </c>
      <c r="C189" s="21">
        <v>0.04</v>
      </c>
      <c r="D189" s="22">
        <f t="shared" si="10"/>
        <v>157.08366670163161</v>
      </c>
      <c r="E189" s="22">
        <f t="shared" si="12"/>
        <v>47282.183677191111</v>
      </c>
      <c r="F189" s="20"/>
      <c r="G189" s="22">
        <f t="shared" si="11"/>
        <v>46922.183677191111</v>
      </c>
      <c r="H189" s="22">
        <v>360</v>
      </c>
      <c r="I189" s="23">
        <v>185</v>
      </c>
      <c r="J189">
        <f>I189/12</f>
        <v>15.416666666666666</v>
      </c>
    </row>
    <row r="190" spans="2:10" x14ac:dyDescent="0.25">
      <c r="B190" s="22">
        <f t="shared" si="13"/>
        <v>46922.183677191111</v>
      </c>
      <c r="C190" s="21">
        <v>0.04</v>
      </c>
      <c r="D190" s="22">
        <f t="shared" si="10"/>
        <v>156.40727892397038</v>
      </c>
      <c r="E190" s="22">
        <f t="shared" si="12"/>
        <v>47078.590956115084</v>
      </c>
      <c r="F190" s="20"/>
      <c r="G190" s="22">
        <f t="shared" si="11"/>
        <v>46718.590956115084</v>
      </c>
      <c r="H190" s="22">
        <v>360</v>
      </c>
      <c r="I190" s="23">
        <v>186</v>
      </c>
    </row>
    <row r="191" spans="2:10" x14ac:dyDescent="0.25">
      <c r="B191" s="22">
        <f t="shared" si="13"/>
        <v>46718.590956115084</v>
      </c>
      <c r="C191" s="21">
        <v>0.04</v>
      </c>
      <c r="D191" s="22">
        <f t="shared" si="10"/>
        <v>155.72863652038362</v>
      </c>
      <c r="E191" s="22">
        <f t="shared" si="12"/>
        <v>46874.319592635467</v>
      </c>
      <c r="F191" s="20"/>
      <c r="G191" s="22">
        <f t="shared" si="11"/>
        <v>46514.319592635467</v>
      </c>
      <c r="H191" s="22">
        <v>360</v>
      </c>
      <c r="I191" s="23">
        <v>187</v>
      </c>
    </row>
    <row r="192" spans="2:10" x14ac:dyDescent="0.25">
      <c r="B192" s="22">
        <f t="shared" si="13"/>
        <v>46514.319592635467</v>
      </c>
      <c r="C192" s="21">
        <v>0.04</v>
      </c>
      <c r="D192" s="22">
        <f t="shared" si="10"/>
        <v>155.04773197545157</v>
      </c>
      <c r="E192" s="22">
        <f t="shared" si="12"/>
        <v>46669.367324610917</v>
      </c>
      <c r="F192" s="20"/>
      <c r="G192" s="22">
        <f t="shared" si="11"/>
        <v>46309.367324610917</v>
      </c>
      <c r="H192" s="22">
        <v>360</v>
      </c>
      <c r="I192" s="23">
        <v>188</v>
      </c>
    </row>
    <row r="193" spans="2:9" x14ac:dyDescent="0.25">
      <c r="B193" s="22">
        <f t="shared" si="13"/>
        <v>46309.367324610917</v>
      </c>
      <c r="C193" s="21">
        <v>0.04</v>
      </c>
      <c r="D193" s="22">
        <f t="shared" si="10"/>
        <v>154.36455774870308</v>
      </c>
      <c r="E193" s="22">
        <f t="shared" si="12"/>
        <v>46463.731882359622</v>
      </c>
      <c r="F193" s="20"/>
      <c r="G193" s="22">
        <f t="shared" si="11"/>
        <v>46103.731882359622</v>
      </c>
      <c r="H193" s="22">
        <v>360</v>
      </c>
      <c r="I193" s="23">
        <v>189</v>
      </c>
    </row>
    <row r="194" spans="2:9" x14ac:dyDescent="0.25">
      <c r="B194" s="22">
        <f t="shared" si="13"/>
        <v>46103.731882359622</v>
      </c>
      <c r="C194" s="21">
        <v>0.04</v>
      </c>
      <c r="D194" s="22">
        <f t="shared" si="10"/>
        <v>153.67910627453207</v>
      </c>
      <c r="E194" s="22">
        <f t="shared" si="12"/>
        <v>46257.410988634154</v>
      </c>
      <c r="F194" s="20"/>
      <c r="G194" s="22">
        <f t="shared" si="11"/>
        <v>45897.410988634154</v>
      </c>
      <c r="H194" s="22">
        <v>360</v>
      </c>
      <c r="I194" s="23">
        <v>190</v>
      </c>
    </row>
    <row r="195" spans="2:9" x14ac:dyDescent="0.25">
      <c r="B195" s="22">
        <f t="shared" si="13"/>
        <v>45897.410988634154</v>
      </c>
      <c r="C195" s="21">
        <v>0.04</v>
      </c>
      <c r="D195" s="22">
        <f t="shared" si="10"/>
        <v>152.99136996211385</v>
      </c>
      <c r="E195" s="22">
        <f t="shared" si="12"/>
        <v>46050.402358596271</v>
      </c>
      <c r="F195" s="20"/>
      <c r="G195" s="22">
        <f t="shared" si="11"/>
        <v>45690.402358596271</v>
      </c>
      <c r="H195" s="22">
        <v>360</v>
      </c>
      <c r="I195" s="23">
        <v>191</v>
      </c>
    </row>
    <row r="196" spans="2:9" x14ac:dyDescent="0.25">
      <c r="B196" s="22">
        <f t="shared" si="13"/>
        <v>45690.402358596271</v>
      </c>
      <c r="C196" s="21">
        <v>0.04</v>
      </c>
      <c r="D196" s="22">
        <f t="shared" si="10"/>
        <v>152.3013411953209</v>
      </c>
      <c r="E196" s="22">
        <f t="shared" si="12"/>
        <v>45842.703699791593</v>
      </c>
      <c r="F196" s="20"/>
      <c r="G196" s="22">
        <f t="shared" si="11"/>
        <v>45482.703699791593</v>
      </c>
      <c r="H196" s="22">
        <v>360</v>
      </c>
      <c r="I196" s="23">
        <v>192</v>
      </c>
    </row>
    <row r="197" spans="2:9" x14ac:dyDescent="0.25">
      <c r="B197" s="22">
        <f t="shared" si="13"/>
        <v>45482.703699791593</v>
      </c>
      <c r="C197" s="21">
        <v>0.04</v>
      </c>
      <c r="D197" s="22">
        <f t="shared" si="10"/>
        <v>151.60901233263866</v>
      </c>
      <c r="E197" s="22">
        <f t="shared" si="12"/>
        <v>45634.312712124229</v>
      </c>
      <c r="F197" s="20"/>
      <c r="G197" s="22">
        <f t="shared" si="11"/>
        <v>45274.312712124229</v>
      </c>
      <c r="H197" s="22">
        <v>360</v>
      </c>
      <c r="I197" s="23">
        <v>193</v>
      </c>
    </row>
    <row r="198" spans="2:9" x14ac:dyDescent="0.25">
      <c r="B198" s="22">
        <f t="shared" si="13"/>
        <v>45274.312712124229</v>
      </c>
      <c r="C198" s="21">
        <v>0.04</v>
      </c>
      <c r="D198" s="22">
        <f t="shared" ref="D198:D261" si="14">B198*(0.04/12)</f>
        <v>150.91437570708078</v>
      </c>
      <c r="E198" s="22">
        <f t="shared" si="12"/>
        <v>45425.227087831307</v>
      </c>
      <c r="F198" s="20"/>
      <c r="G198" s="22">
        <f t="shared" ref="G198:G228" si="15">E198-H198</f>
        <v>45065.227087831307</v>
      </c>
      <c r="H198" s="22">
        <v>360</v>
      </c>
      <c r="I198" s="23">
        <v>194</v>
      </c>
    </row>
    <row r="199" spans="2:9" x14ac:dyDescent="0.25">
      <c r="B199" s="22">
        <f t="shared" si="13"/>
        <v>45065.227087831307</v>
      </c>
      <c r="C199" s="21">
        <v>0.04</v>
      </c>
      <c r="D199" s="22">
        <f t="shared" si="14"/>
        <v>150.21742362610436</v>
      </c>
      <c r="E199" s="22">
        <f t="shared" ref="E199:E228" si="16">B199+D199</f>
        <v>45215.444511457412</v>
      </c>
      <c r="F199" s="20"/>
      <c r="G199" s="22">
        <f t="shared" si="15"/>
        <v>44855.444511457412</v>
      </c>
      <c r="H199" s="22">
        <v>360</v>
      </c>
      <c r="I199" s="23">
        <v>195</v>
      </c>
    </row>
    <row r="200" spans="2:9" x14ac:dyDescent="0.25">
      <c r="B200" s="22">
        <f t="shared" si="13"/>
        <v>44855.444511457412</v>
      </c>
      <c r="C200" s="21">
        <v>0.04</v>
      </c>
      <c r="D200" s="22">
        <f t="shared" si="14"/>
        <v>149.51814837152472</v>
      </c>
      <c r="E200" s="22">
        <f t="shared" si="16"/>
        <v>45004.96265982894</v>
      </c>
      <c r="F200" s="20"/>
      <c r="G200" s="22">
        <f t="shared" si="15"/>
        <v>44644.96265982894</v>
      </c>
      <c r="H200" s="22">
        <v>360</v>
      </c>
      <c r="I200" s="23">
        <v>196</v>
      </c>
    </row>
    <row r="201" spans="2:9" x14ac:dyDescent="0.25">
      <c r="B201" s="22">
        <f t="shared" si="13"/>
        <v>44644.96265982894</v>
      </c>
      <c r="C201" s="21">
        <v>0.04</v>
      </c>
      <c r="D201" s="22">
        <f t="shared" si="14"/>
        <v>148.81654219942982</v>
      </c>
      <c r="E201" s="22">
        <f t="shared" si="16"/>
        <v>44793.779202028367</v>
      </c>
      <c r="F201" s="20"/>
      <c r="G201" s="22">
        <f t="shared" si="15"/>
        <v>44433.779202028367</v>
      </c>
      <c r="H201" s="22">
        <v>360</v>
      </c>
      <c r="I201" s="23">
        <v>197</v>
      </c>
    </row>
    <row r="202" spans="2:9" x14ac:dyDescent="0.25">
      <c r="B202" s="22">
        <f t="shared" si="13"/>
        <v>44433.779202028367</v>
      </c>
      <c r="C202" s="21">
        <v>0.04</v>
      </c>
      <c r="D202" s="22">
        <f t="shared" si="14"/>
        <v>148.11259734009457</v>
      </c>
      <c r="E202" s="22">
        <f t="shared" si="16"/>
        <v>44581.891799368459</v>
      </c>
      <c r="F202" s="20"/>
      <c r="G202" s="22">
        <f t="shared" si="15"/>
        <v>44221.891799368459</v>
      </c>
      <c r="H202" s="22">
        <v>360</v>
      </c>
      <c r="I202" s="23">
        <v>198</v>
      </c>
    </row>
    <row r="203" spans="2:9" x14ac:dyDescent="0.25">
      <c r="B203" s="22">
        <f t="shared" si="13"/>
        <v>44221.891799368459</v>
      </c>
      <c r="C203" s="21">
        <v>0.04</v>
      </c>
      <c r="D203" s="22">
        <f t="shared" si="14"/>
        <v>147.40630599789486</v>
      </c>
      <c r="E203" s="22">
        <f t="shared" si="16"/>
        <v>44369.298105366353</v>
      </c>
      <c r="F203" s="20"/>
      <c r="G203" s="22">
        <f t="shared" si="15"/>
        <v>44009.298105366353</v>
      </c>
      <c r="H203" s="22">
        <v>360</v>
      </c>
      <c r="I203" s="23">
        <v>199</v>
      </c>
    </row>
    <row r="204" spans="2:9" x14ac:dyDescent="0.25">
      <c r="B204" s="22">
        <f t="shared" si="13"/>
        <v>44009.298105366353</v>
      </c>
      <c r="C204" s="21">
        <v>0.04</v>
      </c>
      <c r="D204" s="22">
        <f t="shared" si="14"/>
        <v>146.69766035122117</v>
      </c>
      <c r="E204" s="22">
        <f t="shared" si="16"/>
        <v>44155.995765717576</v>
      </c>
      <c r="F204" s="20"/>
      <c r="G204" s="22">
        <f t="shared" si="15"/>
        <v>43795.995765717576</v>
      </c>
      <c r="H204" s="22">
        <v>360</v>
      </c>
      <c r="I204" s="23">
        <v>200</v>
      </c>
    </row>
    <row r="205" spans="2:9" x14ac:dyDescent="0.25">
      <c r="B205" s="22">
        <f t="shared" si="13"/>
        <v>43795.995765717576</v>
      </c>
      <c r="C205" s="21">
        <v>0.04</v>
      </c>
      <c r="D205" s="22">
        <f t="shared" si="14"/>
        <v>145.98665255239194</v>
      </c>
      <c r="E205" s="22">
        <f t="shared" si="16"/>
        <v>43941.982418269967</v>
      </c>
      <c r="F205" s="20"/>
      <c r="G205" s="22">
        <f t="shared" si="15"/>
        <v>43581.982418269967</v>
      </c>
      <c r="H205" s="22">
        <v>360</v>
      </c>
      <c r="I205" s="23">
        <v>201</v>
      </c>
    </row>
    <row r="206" spans="2:9" x14ac:dyDescent="0.25">
      <c r="B206" s="22">
        <f t="shared" si="13"/>
        <v>43581.982418269967</v>
      </c>
      <c r="C206" s="21">
        <v>0.04</v>
      </c>
      <c r="D206" s="22">
        <f t="shared" si="14"/>
        <v>145.27327472756656</v>
      </c>
      <c r="E206" s="22">
        <f t="shared" si="16"/>
        <v>43727.255692997533</v>
      </c>
      <c r="F206" s="20"/>
      <c r="G206" s="22">
        <f t="shared" si="15"/>
        <v>43367.255692997533</v>
      </c>
      <c r="H206" s="22">
        <v>360</v>
      </c>
      <c r="I206" s="23">
        <v>202</v>
      </c>
    </row>
    <row r="207" spans="2:9" x14ac:dyDescent="0.25">
      <c r="B207" s="22">
        <f t="shared" si="13"/>
        <v>43367.255692997533</v>
      </c>
      <c r="C207" s="21">
        <v>0.04</v>
      </c>
      <c r="D207" s="22">
        <f t="shared" si="14"/>
        <v>144.55751897665846</v>
      </c>
      <c r="E207" s="22">
        <f t="shared" si="16"/>
        <v>43511.813211974193</v>
      </c>
      <c r="F207" s="20"/>
      <c r="G207" s="22">
        <f t="shared" si="15"/>
        <v>43151.813211974193</v>
      </c>
      <c r="H207" s="22">
        <v>360</v>
      </c>
      <c r="I207" s="23">
        <v>203</v>
      </c>
    </row>
    <row r="208" spans="2:9" x14ac:dyDescent="0.25">
      <c r="B208" s="22">
        <f t="shared" si="13"/>
        <v>43151.813211974193</v>
      </c>
      <c r="C208" s="21">
        <v>0.04</v>
      </c>
      <c r="D208" s="22">
        <f t="shared" si="14"/>
        <v>143.83937737324732</v>
      </c>
      <c r="E208" s="22">
        <f t="shared" si="16"/>
        <v>43295.652589347439</v>
      </c>
      <c r="F208" s="20"/>
      <c r="G208" s="22">
        <f t="shared" si="15"/>
        <v>42935.652589347439</v>
      </c>
      <c r="H208" s="22">
        <v>360</v>
      </c>
      <c r="I208" s="23">
        <v>204</v>
      </c>
    </row>
    <row r="209" spans="2:9" x14ac:dyDescent="0.25">
      <c r="B209" s="22">
        <f t="shared" si="13"/>
        <v>42935.652589347439</v>
      </c>
      <c r="C209" s="21">
        <v>0.04</v>
      </c>
      <c r="D209" s="22">
        <f t="shared" si="14"/>
        <v>143.11884196449148</v>
      </c>
      <c r="E209" s="22">
        <f t="shared" si="16"/>
        <v>43078.771431311929</v>
      </c>
      <c r="F209" s="20"/>
      <c r="G209" s="22">
        <f t="shared" si="15"/>
        <v>42718.771431311929</v>
      </c>
      <c r="H209" s="22">
        <v>360</v>
      </c>
      <c r="I209" s="23">
        <v>205</v>
      </c>
    </row>
    <row r="210" spans="2:9" x14ac:dyDescent="0.25">
      <c r="B210" s="22">
        <f t="shared" si="13"/>
        <v>42718.771431311929</v>
      </c>
      <c r="C210" s="21">
        <v>0.04</v>
      </c>
      <c r="D210" s="22">
        <f t="shared" si="14"/>
        <v>142.39590477103977</v>
      </c>
      <c r="E210" s="22">
        <f t="shared" si="16"/>
        <v>42861.167336082966</v>
      </c>
      <c r="F210" s="20"/>
      <c r="G210" s="22">
        <f t="shared" si="15"/>
        <v>42501.167336082966</v>
      </c>
      <c r="H210" s="22">
        <v>360</v>
      </c>
      <c r="I210" s="23">
        <v>206</v>
      </c>
    </row>
    <row r="211" spans="2:9" x14ac:dyDescent="0.25">
      <c r="B211" s="22">
        <f t="shared" si="13"/>
        <v>42501.167336082966</v>
      </c>
      <c r="C211" s="21">
        <v>0.04</v>
      </c>
      <c r="D211" s="22">
        <f t="shared" si="14"/>
        <v>141.67055778694322</v>
      </c>
      <c r="E211" s="22">
        <f t="shared" si="16"/>
        <v>42642.83789386991</v>
      </c>
      <c r="F211" s="20"/>
      <c r="G211" s="22">
        <f t="shared" si="15"/>
        <v>42282.83789386991</v>
      </c>
      <c r="H211" s="22">
        <v>360</v>
      </c>
      <c r="I211" s="23">
        <v>207</v>
      </c>
    </row>
    <row r="212" spans="2:9" x14ac:dyDescent="0.25">
      <c r="B212" s="22">
        <f t="shared" si="13"/>
        <v>42282.83789386991</v>
      </c>
      <c r="C212" s="21">
        <v>0.04</v>
      </c>
      <c r="D212" s="22">
        <f t="shared" si="14"/>
        <v>140.94279297956638</v>
      </c>
      <c r="E212" s="22">
        <f t="shared" si="16"/>
        <v>42423.780686849474</v>
      </c>
      <c r="F212" s="20"/>
      <c r="G212" s="22">
        <f t="shared" si="15"/>
        <v>42063.780686849474</v>
      </c>
      <c r="H212" s="22">
        <v>360</v>
      </c>
      <c r="I212" s="23">
        <v>208</v>
      </c>
    </row>
    <row r="213" spans="2:9" x14ac:dyDescent="0.25">
      <c r="B213" s="22">
        <f t="shared" si="13"/>
        <v>42063.780686849474</v>
      </c>
      <c r="C213" s="21">
        <v>0.04</v>
      </c>
      <c r="D213" s="22">
        <f t="shared" si="14"/>
        <v>140.21260228949825</v>
      </c>
      <c r="E213" s="22">
        <f t="shared" si="16"/>
        <v>42203.993289138969</v>
      </c>
      <c r="F213" s="20"/>
      <c r="G213" s="22">
        <f t="shared" si="15"/>
        <v>41843.993289138969</v>
      </c>
      <c r="H213" s="22">
        <v>360</v>
      </c>
      <c r="I213" s="23">
        <v>209</v>
      </c>
    </row>
    <row r="214" spans="2:9" x14ac:dyDescent="0.25">
      <c r="B214" s="22">
        <f t="shared" si="13"/>
        <v>41843.993289138969</v>
      </c>
      <c r="C214" s="21">
        <v>0.04</v>
      </c>
      <c r="D214" s="22">
        <f t="shared" si="14"/>
        <v>139.47997763046325</v>
      </c>
      <c r="E214" s="22">
        <f t="shared" si="16"/>
        <v>41983.473266769433</v>
      </c>
      <c r="F214" s="20"/>
      <c r="G214" s="22">
        <f t="shared" si="15"/>
        <v>41623.473266769433</v>
      </c>
      <c r="H214" s="22">
        <v>360</v>
      </c>
      <c r="I214" s="23">
        <v>210</v>
      </c>
    </row>
    <row r="215" spans="2:9" x14ac:dyDescent="0.25">
      <c r="B215" s="22">
        <f t="shared" si="13"/>
        <v>41623.473266769433</v>
      </c>
      <c r="C215" s="21">
        <v>0.04</v>
      </c>
      <c r="D215" s="22">
        <f t="shared" si="14"/>
        <v>138.74491088923145</v>
      </c>
      <c r="E215" s="22">
        <f t="shared" si="16"/>
        <v>41762.218177658666</v>
      </c>
      <c r="F215" s="20"/>
      <c r="G215" s="22">
        <f t="shared" si="15"/>
        <v>41402.218177658666</v>
      </c>
      <c r="H215" s="22">
        <v>360</v>
      </c>
      <c r="I215" s="23">
        <v>211</v>
      </c>
    </row>
    <row r="216" spans="2:9" x14ac:dyDescent="0.25">
      <c r="B216" s="22">
        <f t="shared" si="13"/>
        <v>41402.218177658666</v>
      </c>
      <c r="C216" s="21">
        <v>0.04</v>
      </c>
      <c r="D216" s="22">
        <f t="shared" si="14"/>
        <v>138.0073939255289</v>
      </c>
      <c r="E216" s="22">
        <f t="shared" si="16"/>
        <v>41540.225571584197</v>
      </c>
      <c r="F216" s="20"/>
      <c r="G216" s="22">
        <f t="shared" si="15"/>
        <v>41180.225571584197</v>
      </c>
      <c r="H216" s="22">
        <v>360</v>
      </c>
      <c r="I216" s="23">
        <v>212</v>
      </c>
    </row>
    <row r="217" spans="2:9" x14ac:dyDescent="0.25">
      <c r="B217" s="22">
        <f t="shared" si="13"/>
        <v>41180.225571584197</v>
      </c>
      <c r="C217" s="21">
        <v>0.04</v>
      </c>
      <c r="D217" s="22">
        <f t="shared" si="14"/>
        <v>137.26741857194733</v>
      </c>
      <c r="E217" s="22">
        <f t="shared" si="16"/>
        <v>41317.492990156141</v>
      </c>
      <c r="F217" s="20"/>
      <c r="G217" s="22">
        <f t="shared" si="15"/>
        <v>40957.492990156141</v>
      </c>
      <c r="H217" s="22">
        <v>360</v>
      </c>
      <c r="I217" s="23">
        <v>213</v>
      </c>
    </row>
    <row r="218" spans="2:9" x14ac:dyDescent="0.25">
      <c r="B218" s="22">
        <f t="shared" si="13"/>
        <v>40957.492990156141</v>
      </c>
      <c r="C218" s="21">
        <v>0.04</v>
      </c>
      <c r="D218" s="22">
        <f t="shared" si="14"/>
        <v>136.52497663385381</v>
      </c>
      <c r="E218" s="22">
        <f t="shared" si="16"/>
        <v>41094.017966789994</v>
      </c>
      <c r="F218" s="20"/>
      <c r="G218" s="22">
        <f t="shared" si="15"/>
        <v>40734.017966789994</v>
      </c>
      <c r="H218" s="22">
        <v>360</v>
      </c>
      <c r="I218" s="23">
        <v>214</v>
      </c>
    </row>
    <row r="219" spans="2:9" x14ac:dyDescent="0.25">
      <c r="B219" s="22">
        <f t="shared" si="13"/>
        <v>40734.017966789994</v>
      </c>
      <c r="C219" s="21">
        <v>0.04</v>
      </c>
      <c r="D219" s="22">
        <f t="shared" si="14"/>
        <v>135.78005988929999</v>
      </c>
      <c r="E219" s="22">
        <f t="shared" si="16"/>
        <v>40869.798026679295</v>
      </c>
      <c r="F219" s="20"/>
      <c r="G219" s="22">
        <f t="shared" si="15"/>
        <v>40509.798026679295</v>
      </c>
      <c r="H219" s="22">
        <v>360</v>
      </c>
      <c r="I219" s="23">
        <v>215</v>
      </c>
    </row>
    <row r="220" spans="2:9" x14ac:dyDescent="0.25">
      <c r="B220" s="22">
        <f t="shared" si="13"/>
        <v>40509.798026679295</v>
      </c>
      <c r="C220" s="21">
        <v>0.04</v>
      </c>
      <c r="D220" s="22">
        <f t="shared" si="14"/>
        <v>135.03266008893098</v>
      </c>
      <c r="E220" s="22">
        <f t="shared" si="16"/>
        <v>40644.830686768226</v>
      </c>
      <c r="F220" s="20"/>
      <c r="G220" s="22">
        <f t="shared" si="15"/>
        <v>40284.830686768226</v>
      </c>
      <c r="H220" s="22">
        <v>360</v>
      </c>
      <c r="I220" s="23">
        <v>216</v>
      </c>
    </row>
    <row r="221" spans="2:9" x14ac:dyDescent="0.25">
      <c r="B221" s="22">
        <f t="shared" ref="B221:B228" si="17">G220</f>
        <v>40284.830686768226</v>
      </c>
      <c r="C221" s="21">
        <v>0.04</v>
      </c>
      <c r="D221" s="22">
        <f t="shared" si="14"/>
        <v>134.28276895589408</v>
      </c>
      <c r="E221" s="22">
        <f t="shared" si="16"/>
        <v>40419.113455724117</v>
      </c>
      <c r="F221" s="20"/>
      <c r="G221" s="22">
        <f t="shared" si="15"/>
        <v>40059.113455724117</v>
      </c>
      <c r="H221" s="22">
        <v>360</v>
      </c>
      <c r="I221" s="23">
        <v>217</v>
      </c>
    </row>
    <row r="222" spans="2:9" x14ac:dyDescent="0.25">
      <c r="B222" s="22">
        <f t="shared" si="17"/>
        <v>40059.113455724117</v>
      </c>
      <c r="C222" s="21">
        <v>0.04</v>
      </c>
      <c r="D222" s="22">
        <f t="shared" si="14"/>
        <v>133.53037818574705</v>
      </c>
      <c r="E222" s="22">
        <f t="shared" si="16"/>
        <v>40192.64383390986</v>
      </c>
      <c r="F222" s="20"/>
      <c r="G222" s="22">
        <f t="shared" si="15"/>
        <v>39832.64383390986</v>
      </c>
      <c r="H222" s="22">
        <v>360</v>
      </c>
      <c r="I222" s="23">
        <v>218</v>
      </c>
    </row>
    <row r="223" spans="2:9" x14ac:dyDescent="0.25">
      <c r="B223" s="22">
        <f t="shared" si="17"/>
        <v>39832.64383390986</v>
      </c>
      <c r="C223" s="21">
        <v>0.04</v>
      </c>
      <c r="D223" s="22">
        <f t="shared" si="14"/>
        <v>132.77547944636621</v>
      </c>
      <c r="E223" s="22">
        <f t="shared" si="16"/>
        <v>39965.419313356229</v>
      </c>
      <c r="F223" s="20"/>
      <c r="G223" s="22">
        <f t="shared" si="15"/>
        <v>39605.419313356229</v>
      </c>
      <c r="H223" s="22">
        <v>360</v>
      </c>
      <c r="I223" s="23">
        <v>219</v>
      </c>
    </row>
    <row r="224" spans="2:9" x14ac:dyDescent="0.25">
      <c r="B224" s="22">
        <f t="shared" si="17"/>
        <v>39605.419313356229</v>
      </c>
      <c r="C224" s="21">
        <v>0.04</v>
      </c>
      <c r="D224" s="22">
        <f t="shared" si="14"/>
        <v>132.0180643778541</v>
      </c>
      <c r="E224" s="22">
        <f t="shared" si="16"/>
        <v>39737.437377734081</v>
      </c>
      <c r="F224" s="20"/>
      <c r="G224" s="22">
        <f t="shared" si="15"/>
        <v>39377.437377734081</v>
      </c>
      <c r="H224" s="22">
        <v>360</v>
      </c>
      <c r="I224" s="23">
        <v>220</v>
      </c>
    </row>
    <row r="225" spans="2:10" x14ac:dyDescent="0.25">
      <c r="B225" s="22">
        <f t="shared" si="17"/>
        <v>39377.437377734081</v>
      </c>
      <c r="C225" s="21">
        <v>0.04</v>
      </c>
      <c r="D225" s="22">
        <f t="shared" si="14"/>
        <v>131.25812459244693</v>
      </c>
      <c r="E225" s="22">
        <f t="shared" si="16"/>
        <v>39508.695502326525</v>
      </c>
      <c r="F225" s="20"/>
      <c r="G225" s="22">
        <f t="shared" si="15"/>
        <v>39148.695502326525</v>
      </c>
      <c r="H225" s="22">
        <v>360</v>
      </c>
      <c r="I225" s="23">
        <v>221</v>
      </c>
    </row>
    <row r="226" spans="2:10" x14ac:dyDescent="0.25">
      <c r="B226" s="22">
        <f t="shared" si="17"/>
        <v>39148.695502326525</v>
      </c>
      <c r="C226" s="21">
        <v>0.04</v>
      </c>
      <c r="D226" s="22">
        <f t="shared" si="14"/>
        <v>130.49565167442177</v>
      </c>
      <c r="E226" s="22">
        <f t="shared" si="16"/>
        <v>39279.191154000946</v>
      </c>
      <c r="F226" s="20"/>
      <c r="G226" s="22">
        <f t="shared" si="15"/>
        <v>38919.191154000946</v>
      </c>
      <c r="H226" s="22">
        <v>360</v>
      </c>
      <c r="I226" s="23">
        <v>222</v>
      </c>
    </row>
    <row r="227" spans="2:10" x14ac:dyDescent="0.25">
      <c r="B227" s="22">
        <f t="shared" si="17"/>
        <v>38919.191154000946</v>
      </c>
      <c r="C227" s="21">
        <v>0.04</v>
      </c>
      <c r="D227" s="22">
        <f t="shared" si="14"/>
        <v>129.73063718000316</v>
      </c>
      <c r="E227" s="22">
        <f t="shared" si="16"/>
        <v>39048.921791180946</v>
      </c>
      <c r="F227" s="20"/>
      <c r="G227" s="22">
        <f t="shared" si="15"/>
        <v>38688.921791180946</v>
      </c>
      <c r="H227" s="22">
        <v>360</v>
      </c>
      <c r="I227" s="23">
        <v>223</v>
      </c>
    </row>
    <row r="228" spans="2:10" x14ac:dyDescent="0.25">
      <c r="B228" s="42">
        <f t="shared" si="17"/>
        <v>38688.921791180946</v>
      </c>
      <c r="C228" s="21">
        <v>0.04</v>
      </c>
      <c r="D228" s="22">
        <f t="shared" si="14"/>
        <v>128.96307263726982</v>
      </c>
      <c r="E228" s="42">
        <f t="shared" si="16"/>
        <v>38817.884863818217</v>
      </c>
      <c r="F228" s="44"/>
      <c r="G228" s="42">
        <f t="shared" si="15"/>
        <v>38457.884863818217</v>
      </c>
      <c r="H228" s="22">
        <v>360</v>
      </c>
      <c r="I228" s="45">
        <v>224</v>
      </c>
      <c r="J228">
        <f>228/12</f>
        <v>19</v>
      </c>
    </row>
    <row r="229" spans="2:10" x14ac:dyDescent="0.25">
      <c r="B229" s="42">
        <f t="shared" ref="B229:B292" si="18">G228</f>
        <v>38457.884863818217</v>
      </c>
      <c r="C229" s="21">
        <v>0.04</v>
      </c>
      <c r="D229" s="22">
        <f t="shared" si="14"/>
        <v>128.19294954606073</v>
      </c>
      <c r="E229" s="42">
        <f t="shared" ref="E229:E292" si="19">B229+D229</f>
        <v>38586.077813364274</v>
      </c>
      <c r="F229" s="44"/>
      <c r="G229" s="42">
        <f t="shared" ref="G229:G292" si="20">E229-H229</f>
        <v>38226.077813364274</v>
      </c>
      <c r="H229" s="22">
        <v>360</v>
      </c>
      <c r="I229" s="23">
        <v>225</v>
      </c>
    </row>
    <row r="230" spans="2:10" x14ac:dyDescent="0.25">
      <c r="B230" s="42">
        <f t="shared" si="18"/>
        <v>38226.077813364274</v>
      </c>
      <c r="C230" s="21">
        <v>0.04</v>
      </c>
      <c r="D230" s="22">
        <f t="shared" si="14"/>
        <v>127.42025937788092</v>
      </c>
      <c r="E230" s="42">
        <f t="shared" si="19"/>
        <v>38353.498072742157</v>
      </c>
      <c r="F230" s="44"/>
      <c r="G230" s="42">
        <f t="shared" si="20"/>
        <v>37993.498072742157</v>
      </c>
      <c r="H230" s="22">
        <v>360</v>
      </c>
      <c r="I230" s="23">
        <v>226</v>
      </c>
    </row>
    <row r="231" spans="2:10" x14ac:dyDescent="0.25">
      <c r="B231" s="42">
        <f t="shared" si="18"/>
        <v>37993.498072742157</v>
      </c>
      <c r="C231" s="21">
        <v>0.04</v>
      </c>
      <c r="D231" s="22">
        <f t="shared" si="14"/>
        <v>126.64499357580719</v>
      </c>
      <c r="E231" s="42">
        <f t="shared" si="19"/>
        <v>38120.143066317964</v>
      </c>
      <c r="F231" s="44"/>
      <c r="G231" s="42">
        <f t="shared" si="20"/>
        <v>37760.143066317964</v>
      </c>
      <c r="H231" s="22">
        <v>360</v>
      </c>
      <c r="I231" s="45">
        <v>227</v>
      </c>
    </row>
    <row r="232" spans="2:10" x14ac:dyDescent="0.25">
      <c r="B232" s="42">
        <f t="shared" si="18"/>
        <v>37760.143066317964</v>
      </c>
      <c r="C232" s="21">
        <v>0.04</v>
      </c>
      <c r="D232" s="22">
        <f t="shared" si="14"/>
        <v>125.86714355439322</v>
      </c>
      <c r="E232" s="42">
        <f t="shared" si="19"/>
        <v>37886.010209872358</v>
      </c>
      <c r="F232" s="44"/>
      <c r="G232" s="42">
        <f t="shared" si="20"/>
        <v>37526.010209872358</v>
      </c>
      <c r="H232" s="22">
        <v>360</v>
      </c>
      <c r="I232" s="23">
        <v>228</v>
      </c>
    </row>
    <row r="233" spans="2:10" x14ac:dyDescent="0.25">
      <c r="B233" s="42">
        <f t="shared" si="18"/>
        <v>37526.010209872358</v>
      </c>
      <c r="C233" s="21">
        <v>0.04</v>
      </c>
      <c r="D233" s="22">
        <f t="shared" si="14"/>
        <v>125.08670069957454</v>
      </c>
      <c r="E233" s="42">
        <f t="shared" si="19"/>
        <v>37651.096910571934</v>
      </c>
      <c r="F233" s="44"/>
      <c r="G233" s="42">
        <f t="shared" si="20"/>
        <v>37291.096910571934</v>
      </c>
      <c r="H233" s="22">
        <v>360</v>
      </c>
      <c r="I233" s="23">
        <v>229</v>
      </c>
    </row>
    <row r="234" spans="2:10" x14ac:dyDescent="0.25">
      <c r="B234" s="42">
        <f t="shared" si="18"/>
        <v>37291.096910571934</v>
      </c>
      <c r="C234" s="21">
        <v>0.04</v>
      </c>
      <c r="D234" s="22">
        <f t="shared" si="14"/>
        <v>124.30365636857312</v>
      </c>
      <c r="E234" s="42">
        <f t="shared" si="19"/>
        <v>37415.400566940509</v>
      </c>
      <c r="F234" s="44"/>
      <c r="G234" s="42">
        <f t="shared" si="20"/>
        <v>37055.400566940509</v>
      </c>
      <c r="H234" s="22">
        <v>360</v>
      </c>
      <c r="I234" s="45">
        <v>230</v>
      </c>
    </row>
    <row r="235" spans="2:10" x14ac:dyDescent="0.25">
      <c r="B235" s="42">
        <f t="shared" si="18"/>
        <v>37055.400566940509</v>
      </c>
      <c r="C235" s="21">
        <v>0.04</v>
      </c>
      <c r="D235" s="22">
        <f t="shared" si="14"/>
        <v>123.51800188980171</v>
      </c>
      <c r="E235" s="42">
        <f t="shared" si="19"/>
        <v>37178.918568830311</v>
      </c>
      <c r="F235" s="44"/>
      <c r="G235" s="42">
        <f t="shared" si="20"/>
        <v>36818.918568830311</v>
      </c>
      <c r="H235" s="22">
        <v>360</v>
      </c>
      <c r="I235" s="23">
        <v>231</v>
      </c>
    </row>
    <row r="236" spans="2:10" x14ac:dyDescent="0.25">
      <c r="B236" s="42">
        <f t="shared" si="18"/>
        <v>36818.918568830311</v>
      </c>
      <c r="C236" s="21">
        <v>0.04</v>
      </c>
      <c r="D236" s="22">
        <f t="shared" si="14"/>
        <v>122.72972856276772</v>
      </c>
      <c r="E236" s="42">
        <f t="shared" si="19"/>
        <v>36941.648297393076</v>
      </c>
      <c r="F236" s="44"/>
      <c r="G236" s="42">
        <f t="shared" si="20"/>
        <v>36581.648297393076</v>
      </c>
      <c r="H236" s="22">
        <v>360</v>
      </c>
      <c r="I236" s="23">
        <v>232</v>
      </c>
    </row>
    <row r="237" spans="2:10" x14ac:dyDescent="0.25">
      <c r="B237" s="42">
        <f t="shared" si="18"/>
        <v>36581.648297393076</v>
      </c>
      <c r="C237" s="21">
        <v>0.04</v>
      </c>
      <c r="D237" s="22">
        <f t="shared" si="14"/>
        <v>121.93882765797693</v>
      </c>
      <c r="E237" s="42">
        <f t="shared" si="19"/>
        <v>36703.587125051054</v>
      </c>
      <c r="F237" s="44"/>
      <c r="G237" s="42">
        <f t="shared" si="20"/>
        <v>36343.587125051054</v>
      </c>
      <c r="H237" s="22">
        <v>360</v>
      </c>
      <c r="I237" s="45">
        <v>233</v>
      </c>
    </row>
    <row r="238" spans="2:10" x14ac:dyDescent="0.25">
      <c r="B238" s="42">
        <f t="shared" si="18"/>
        <v>36343.587125051054</v>
      </c>
      <c r="C238" s="21">
        <v>0.04</v>
      </c>
      <c r="D238" s="22">
        <f t="shared" si="14"/>
        <v>121.14529041683686</v>
      </c>
      <c r="E238" s="42">
        <f t="shared" si="19"/>
        <v>36464.732415467894</v>
      </c>
      <c r="F238" s="44"/>
      <c r="G238" s="42">
        <f t="shared" si="20"/>
        <v>36104.732415467894</v>
      </c>
      <c r="H238" s="22">
        <v>360</v>
      </c>
      <c r="I238" s="23">
        <v>234</v>
      </c>
    </row>
    <row r="239" spans="2:10" x14ac:dyDescent="0.25">
      <c r="B239" s="42">
        <f t="shared" si="18"/>
        <v>36104.732415467894</v>
      </c>
      <c r="C239" s="21">
        <v>0.04</v>
      </c>
      <c r="D239" s="22">
        <f t="shared" si="14"/>
        <v>120.34910805155965</v>
      </c>
      <c r="E239" s="42">
        <f t="shared" si="19"/>
        <v>36225.081523519453</v>
      </c>
      <c r="F239" s="44"/>
      <c r="G239" s="42">
        <f t="shared" si="20"/>
        <v>35865.081523519453</v>
      </c>
      <c r="H239" s="22">
        <v>360</v>
      </c>
      <c r="I239" s="23">
        <v>235</v>
      </c>
    </row>
    <row r="240" spans="2:10" x14ac:dyDescent="0.25">
      <c r="B240" s="42">
        <f t="shared" si="18"/>
        <v>35865.081523519453</v>
      </c>
      <c r="C240" s="21">
        <v>0.04</v>
      </c>
      <c r="D240" s="22">
        <f t="shared" si="14"/>
        <v>119.55027174506485</v>
      </c>
      <c r="E240" s="42">
        <f t="shared" si="19"/>
        <v>35984.631795264519</v>
      </c>
      <c r="F240" s="44"/>
      <c r="G240" s="42">
        <f t="shared" si="20"/>
        <v>35624.631795264519</v>
      </c>
      <c r="H240" s="22">
        <v>360</v>
      </c>
      <c r="I240" s="45">
        <v>236</v>
      </c>
    </row>
    <row r="241" spans="2:9" x14ac:dyDescent="0.25">
      <c r="B241" s="42">
        <f t="shared" si="18"/>
        <v>35624.631795264519</v>
      </c>
      <c r="C241" s="21">
        <v>0.04</v>
      </c>
      <c r="D241" s="22">
        <f t="shared" si="14"/>
        <v>118.74877265088173</v>
      </c>
      <c r="E241" s="42">
        <f t="shared" si="19"/>
        <v>35743.380567915403</v>
      </c>
      <c r="F241" s="44"/>
      <c r="G241" s="42">
        <f t="shared" si="20"/>
        <v>35383.380567915403</v>
      </c>
      <c r="H241" s="22">
        <v>360</v>
      </c>
      <c r="I241" s="23">
        <v>237</v>
      </c>
    </row>
    <row r="242" spans="2:9" x14ac:dyDescent="0.25">
      <c r="B242" s="42">
        <f t="shared" si="18"/>
        <v>35383.380567915403</v>
      </c>
      <c r="C242" s="21">
        <v>0.04</v>
      </c>
      <c r="D242" s="22">
        <f t="shared" si="14"/>
        <v>117.94460189305136</v>
      </c>
      <c r="E242" s="42">
        <f t="shared" si="19"/>
        <v>35501.325169808457</v>
      </c>
      <c r="F242" s="44"/>
      <c r="G242" s="42">
        <f t="shared" si="20"/>
        <v>35141.325169808457</v>
      </c>
      <c r="H242" s="22">
        <v>360</v>
      </c>
      <c r="I242" s="23">
        <v>238</v>
      </c>
    </row>
    <row r="243" spans="2:9" x14ac:dyDescent="0.25">
      <c r="B243" s="42">
        <f t="shared" si="18"/>
        <v>35141.325169808457</v>
      </c>
      <c r="C243" s="21">
        <v>0.04</v>
      </c>
      <c r="D243" s="22">
        <f t="shared" si="14"/>
        <v>117.1377505660282</v>
      </c>
      <c r="E243" s="42">
        <f t="shared" si="19"/>
        <v>35258.462920374484</v>
      </c>
      <c r="F243" s="44"/>
      <c r="G243" s="42">
        <f t="shared" si="20"/>
        <v>34898.462920374484</v>
      </c>
      <c r="H243" s="22">
        <v>360</v>
      </c>
      <c r="I243" s="45">
        <v>239</v>
      </c>
    </row>
    <row r="244" spans="2:9" x14ac:dyDescent="0.25">
      <c r="B244" s="42">
        <f t="shared" si="18"/>
        <v>34898.462920374484</v>
      </c>
      <c r="C244" s="21">
        <v>0.04</v>
      </c>
      <c r="D244" s="22">
        <f t="shared" si="14"/>
        <v>116.32820973458162</v>
      </c>
      <c r="E244" s="42">
        <f t="shared" si="19"/>
        <v>35014.791130109064</v>
      </c>
      <c r="F244" s="44"/>
      <c r="G244" s="42">
        <f t="shared" si="20"/>
        <v>34654.791130109064</v>
      </c>
      <c r="H244" s="22">
        <v>360</v>
      </c>
      <c r="I244" s="23">
        <v>240</v>
      </c>
    </row>
    <row r="245" spans="2:9" x14ac:dyDescent="0.25">
      <c r="B245" s="42">
        <f t="shared" si="18"/>
        <v>34654.791130109064</v>
      </c>
      <c r="C245" s="21">
        <v>0.04</v>
      </c>
      <c r="D245" s="22">
        <f t="shared" si="14"/>
        <v>115.51597043369689</v>
      </c>
      <c r="E245" s="42">
        <f t="shared" si="19"/>
        <v>34770.307100542763</v>
      </c>
      <c r="F245" s="44"/>
      <c r="G245" s="42">
        <f t="shared" si="20"/>
        <v>34410.307100542763</v>
      </c>
      <c r="H245" s="22">
        <v>360</v>
      </c>
      <c r="I245" s="23">
        <v>241</v>
      </c>
    </row>
    <row r="246" spans="2:9" x14ac:dyDescent="0.25">
      <c r="B246" s="42">
        <f t="shared" si="18"/>
        <v>34410.307100542763</v>
      </c>
      <c r="C246" s="21">
        <v>0.04</v>
      </c>
      <c r="D246" s="22">
        <f t="shared" si="14"/>
        <v>114.70102366847588</v>
      </c>
      <c r="E246" s="42">
        <f t="shared" si="19"/>
        <v>34525.008124211236</v>
      </c>
      <c r="F246" s="44"/>
      <c r="G246" s="42">
        <f t="shared" si="20"/>
        <v>34165.008124211236</v>
      </c>
      <c r="H246" s="22">
        <v>360</v>
      </c>
      <c r="I246" s="45">
        <v>242</v>
      </c>
    </row>
    <row r="247" spans="2:9" x14ac:dyDescent="0.25">
      <c r="B247" s="42">
        <f t="shared" si="18"/>
        <v>34165.008124211236</v>
      </c>
      <c r="C247" s="21">
        <v>0.04</v>
      </c>
      <c r="D247" s="22">
        <f t="shared" si="14"/>
        <v>113.88336041403745</v>
      </c>
      <c r="E247" s="42">
        <f t="shared" si="19"/>
        <v>34278.891484625274</v>
      </c>
      <c r="F247" s="44"/>
      <c r="G247" s="42">
        <f t="shared" si="20"/>
        <v>33918.891484625274</v>
      </c>
      <c r="H247" s="22">
        <v>360</v>
      </c>
      <c r="I247" s="23">
        <v>243</v>
      </c>
    </row>
    <row r="248" spans="2:9" x14ac:dyDescent="0.25">
      <c r="B248" s="42">
        <f t="shared" si="18"/>
        <v>33918.891484625274</v>
      </c>
      <c r="C248" s="21">
        <v>0.04</v>
      </c>
      <c r="D248" s="22">
        <f t="shared" si="14"/>
        <v>113.06297161541758</v>
      </c>
      <c r="E248" s="42">
        <f t="shared" si="19"/>
        <v>34031.954456240688</v>
      </c>
      <c r="F248" s="44"/>
      <c r="G248" s="42">
        <f t="shared" si="20"/>
        <v>33671.954456240688</v>
      </c>
      <c r="H248" s="22">
        <v>360</v>
      </c>
      <c r="I248" s="23">
        <v>244</v>
      </c>
    </row>
    <row r="249" spans="2:9" x14ac:dyDescent="0.25">
      <c r="B249" s="42">
        <f t="shared" si="18"/>
        <v>33671.954456240688</v>
      </c>
      <c r="C249" s="21">
        <v>0.04</v>
      </c>
      <c r="D249" s="22">
        <f t="shared" si="14"/>
        <v>112.23984818746897</v>
      </c>
      <c r="E249" s="42">
        <f t="shared" si="19"/>
        <v>33784.194304428158</v>
      </c>
      <c r="F249" s="44"/>
      <c r="G249" s="42">
        <f t="shared" si="20"/>
        <v>33424.194304428158</v>
      </c>
      <c r="H249" s="22">
        <v>360</v>
      </c>
      <c r="I249" s="45">
        <v>245</v>
      </c>
    </row>
    <row r="250" spans="2:9" x14ac:dyDescent="0.25">
      <c r="B250" s="42">
        <f t="shared" si="18"/>
        <v>33424.194304428158</v>
      </c>
      <c r="C250" s="21">
        <v>0.04</v>
      </c>
      <c r="D250" s="22">
        <f t="shared" si="14"/>
        <v>111.41398101476054</v>
      </c>
      <c r="E250" s="42">
        <f t="shared" si="19"/>
        <v>33535.608285442919</v>
      </c>
      <c r="F250" s="44"/>
      <c r="G250" s="42">
        <f t="shared" si="20"/>
        <v>33175.608285442919</v>
      </c>
      <c r="H250" s="22">
        <v>360</v>
      </c>
      <c r="I250" s="23">
        <v>246</v>
      </c>
    </row>
    <row r="251" spans="2:9" x14ac:dyDescent="0.25">
      <c r="B251" s="42">
        <f t="shared" si="18"/>
        <v>33175.608285442919</v>
      </c>
      <c r="C251" s="21">
        <v>0.04</v>
      </c>
      <c r="D251" s="22">
        <f t="shared" si="14"/>
        <v>110.5853609514764</v>
      </c>
      <c r="E251" s="42">
        <f t="shared" si="19"/>
        <v>33286.193646394393</v>
      </c>
      <c r="F251" s="44"/>
      <c r="G251" s="42">
        <f t="shared" si="20"/>
        <v>32926.193646394393</v>
      </c>
      <c r="H251" s="22">
        <v>360</v>
      </c>
      <c r="I251" s="23">
        <v>247</v>
      </c>
    </row>
    <row r="252" spans="2:9" x14ac:dyDescent="0.25">
      <c r="B252" s="42">
        <f t="shared" si="18"/>
        <v>32926.193646394393</v>
      </c>
      <c r="C252" s="21">
        <v>0.04</v>
      </c>
      <c r="D252" s="22">
        <f t="shared" si="14"/>
        <v>109.75397882131465</v>
      </c>
      <c r="E252" s="42">
        <f t="shared" si="19"/>
        <v>33035.947625215711</v>
      </c>
      <c r="F252" s="44"/>
      <c r="G252" s="42">
        <f t="shared" si="20"/>
        <v>32675.947625215711</v>
      </c>
      <c r="H252" s="22">
        <v>360</v>
      </c>
      <c r="I252" s="45">
        <v>248</v>
      </c>
    </row>
    <row r="253" spans="2:9" x14ac:dyDescent="0.25">
      <c r="B253" s="42">
        <f t="shared" si="18"/>
        <v>32675.947625215711</v>
      </c>
      <c r="C253" s="21">
        <v>0.04</v>
      </c>
      <c r="D253" s="22">
        <f t="shared" si="14"/>
        <v>108.91982541738571</v>
      </c>
      <c r="E253" s="42">
        <f t="shared" si="19"/>
        <v>32784.867450633094</v>
      </c>
      <c r="F253" s="44"/>
      <c r="G253" s="42">
        <f t="shared" si="20"/>
        <v>32424.867450633094</v>
      </c>
      <c r="H253" s="22">
        <v>360</v>
      </c>
      <c r="I253" s="23">
        <v>249</v>
      </c>
    </row>
    <row r="254" spans="2:9" x14ac:dyDescent="0.25">
      <c r="B254" s="42">
        <f t="shared" si="18"/>
        <v>32424.867450633094</v>
      </c>
      <c r="C254" s="21">
        <v>0.04</v>
      </c>
      <c r="D254" s="22">
        <f t="shared" si="14"/>
        <v>108.08289150211031</v>
      </c>
      <c r="E254" s="42">
        <f t="shared" si="19"/>
        <v>32532.950342135206</v>
      </c>
      <c r="F254" s="44"/>
      <c r="G254" s="42">
        <f t="shared" si="20"/>
        <v>32172.950342135206</v>
      </c>
      <c r="H254" s="22">
        <v>360</v>
      </c>
      <c r="I254" s="23">
        <v>250</v>
      </c>
    </row>
    <row r="255" spans="2:9" x14ac:dyDescent="0.25">
      <c r="B255" s="42">
        <f t="shared" si="18"/>
        <v>32172.950342135206</v>
      </c>
      <c r="C255" s="21">
        <v>0.04</v>
      </c>
      <c r="D255" s="22">
        <f t="shared" si="14"/>
        <v>107.24316780711736</v>
      </c>
      <c r="E255" s="42">
        <f t="shared" si="19"/>
        <v>32280.193509942324</v>
      </c>
      <c r="F255" s="44"/>
      <c r="G255" s="42">
        <f t="shared" si="20"/>
        <v>31920.193509942324</v>
      </c>
      <c r="H255" s="22">
        <v>360</v>
      </c>
      <c r="I255" s="45">
        <v>251</v>
      </c>
    </row>
    <row r="256" spans="2:9" x14ac:dyDescent="0.25">
      <c r="B256" s="42">
        <f t="shared" si="18"/>
        <v>31920.193509942324</v>
      </c>
      <c r="C256" s="21">
        <v>0.04</v>
      </c>
      <c r="D256" s="22">
        <f t="shared" si="14"/>
        <v>106.40064503314109</v>
      </c>
      <c r="E256" s="42">
        <f t="shared" si="19"/>
        <v>32026.594154975464</v>
      </c>
      <c r="F256" s="44"/>
      <c r="G256" s="42">
        <f t="shared" si="20"/>
        <v>31666.594154975464</v>
      </c>
      <c r="H256" s="22">
        <v>360</v>
      </c>
      <c r="I256" s="23">
        <v>252</v>
      </c>
    </row>
    <row r="257" spans="2:9" x14ac:dyDescent="0.25">
      <c r="B257" s="42">
        <f t="shared" si="18"/>
        <v>31666.594154975464</v>
      </c>
      <c r="C257" s="21">
        <v>0.04</v>
      </c>
      <c r="D257" s="22">
        <f t="shared" si="14"/>
        <v>105.55531384991822</v>
      </c>
      <c r="E257" s="42">
        <f t="shared" si="19"/>
        <v>31772.149468825384</v>
      </c>
      <c r="F257" s="44"/>
      <c r="G257" s="42">
        <f t="shared" si="20"/>
        <v>31412.149468825384</v>
      </c>
      <c r="H257" s="22">
        <v>360</v>
      </c>
      <c r="I257" s="23">
        <v>253</v>
      </c>
    </row>
    <row r="258" spans="2:9" x14ac:dyDescent="0.25">
      <c r="B258" s="42">
        <f t="shared" si="18"/>
        <v>31412.149468825384</v>
      </c>
      <c r="C258" s="21">
        <v>0.04</v>
      </c>
      <c r="D258" s="22">
        <f t="shared" si="14"/>
        <v>104.70716489608462</v>
      </c>
      <c r="E258" s="42">
        <f t="shared" si="19"/>
        <v>31516.856633721469</v>
      </c>
      <c r="F258" s="44"/>
      <c r="G258" s="42">
        <f t="shared" si="20"/>
        <v>31156.856633721469</v>
      </c>
      <c r="H258" s="22">
        <v>360</v>
      </c>
      <c r="I258" s="45">
        <v>254</v>
      </c>
    </row>
    <row r="259" spans="2:9" x14ac:dyDescent="0.25">
      <c r="B259" s="42">
        <f t="shared" si="18"/>
        <v>31156.856633721469</v>
      </c>
      <c r="C259" s="21">
        <v>0.04</v>
      </c>
      <c r="D259" s="22">
        <f t="shared" si="14"/>
        <v>103.85618877907157</v>
      </c>
      <c r="E259" s="42">
        <f t="shared" si="19"/>
        <v>31260.71282250054</v>
      </c>
      <c r="F259" s="44"/>
      <c r="G259" s="42">
        <f t="shared" si="20"/>
        <v>30900.71282250054</v>
      </c>
      <c r="H259" s="22">
        <v>360</v>
      </c>
      <c r="I259" s="23">
        <v>255</v>
      </c>
    </row>
    <row r="260" spans="2:9" x14ac:dyDescent="0.25">
      <c r="B260" s="42">
        <f t="shared" si="18"/>
        <v>30900.71282250054</v>
      </c>
      <c r="C260" s="21">
        <v>0.04</v>
      </c>
      <c r="D260" s="22">
        <f t="shared" si="14"/>
        <v>103.00237607500181</v>
      </c>
      <c r="E260" s="42">
        <f t="shared" si="19"/>
        <v>31003.715198575541</v>
      </c>
      <c r="F260" s="44"/>
      <c r="G260" s="42">
        <f t="shared" si="20"/>
        <v>30643.715198575541</v>
      </c>
      <c r="H260" s="22">
        <v>360</v>
      </c>
      <c r="I260" s="23">
        <v>256</v>
      </c>
    </row>
    <row r="261" spans="2:9" x14ac:dyDescent="0.25">
      <c r="B261" s="42">
        <f t="shared" si="18"/>
        <v>30643.715198575541</v>
      </c>
      <c r="C261" s="21">
        <v>0.04</v>
      </c>
      <c r="D261" s="22">
        <f t="shared" si="14"/>
        <v>102.14571732858515</v>
      </c>
      <c r="E261" s="42">
        <f t="shared" si="19"/>
        <v>30745.860915904126</v>
      </c>
      <c r="F261" s="44"/>
      <c r="G261" s="42">
        <f t="shared" si="20"/>
        <v>30385.860915904126</v>
      </c>
      <c r="H261" s="22">
        <v>360</v>
      </c>
      <c r="I261" s="45">
        <v>257</v>
      </c>
    </row>
    <row r="262" spans="2:9" x14ac:dyDescent="0.25">
      <c r="B262" s="42">
        <f t="shared" si="18"/>
        <v>30385.860915904126</v>
      </c>
      <c r="C262" s="21">
        <v>0.04</v>
      </c>
      <c r="D262" s="22">
        <f t="shared" ref="D262:D325" si="21">B262*(0.04/12)</f>
        <v>101.28620305301376</v>
      </c>
      <c r="E262" s="42">
        <f t="shared" si="19"/>
        <v>30487.147118957138</v>
      </c>
      <c r="F262" s="44"/>
      <c r="G262" s="42">
        <f t="shared" si="20"/>
        <v>30127.147118957138</v>
      </c>
      <c r="H262" s="22">
        <v>360</v>
      </c>
      <c r="I262" s="23">
        <v>258</v>
      </c>
    </row>
    <row r="263" spans="2:9" x14ac:dyDescent="0.25">
      <c r="B263" s="42">
        <f t="shared" si="18"/>
        <v>30127.147118957138</v>
      </c>
      <c r="C263" s="21">
        <v>0.04</v>
      </c>
      <c r="D263" s="22">
        <f t="shared" si="21"/>
        <v>100.42382372985713</v>
      </c>
      <c r="E263" s="42">
        <f t="shared" si="19"/>
        <v>30227.570942686994</v>
      </c>
      <c r="F263" s="44"/>
      <c r="G263" s="42">
        <f t="shared" si="20"/>
        <v>29867.570942686994</v>
      </c>
      <c r="H263" s="22">
        <v>360</v>
      </c>
      <c r="I263" s="23">
        <v>259</v>
      </c>
    </row>
    <row r="264" spans="2:9" x14ac:dyDescent="0.25">
      <c r="B264" s="42">
        <f t="shared" si="18"/>
        <v>29867.570942686994</v>
      </c>
      <c r="C264" s="21">
        <v>0.04</v>
      </c>
      <c r="D264" s="22">
        <f t="shared" si="21"/>
        <v>99.558569808956648</v>
      </c>
      <c r="E264" s="42">
        <f t="shared" si="19"/>
        <v>29967.129512495951</v>
      </c>
      <c r="F264" s="44"/>
      <c r="G264" s="42">
        <f t="shared" si="20"/>
        <v>29607.129512495951</v>
      </c>
      <c r="H264" s="22">
        <v>360</v>
      </c>
      <c r="I264" s="45">
        <v>260</v>
      </c>
    </row>
    <row r="265" spans="2:9" x14ac:dyDescent="0.25">
      <c r="B265" s="42">
        <f t="shared" si="18"/>
        <v>29607.129512495951</v>
      </c>
      <c r="C265" s="21">
        <v>0.04</v>
      </c>
      <c r="D265" s="22">
        <f t="shared" si="21"/>
        <v>98.690431708319835</v>
      </c>
      <c r="E265" s="42">
        <f t="shared" si="19"/>
        <v>29705.819944204271</v>
      </c>
      <c r="F265" s="44"/>
      <c r="G265" s="42">
        <f t="shared" si="20"/>
        <v>29345.819944204271</v>
      </c>
      <c r="H265" s="22">
        <v>360</v>
      </c>
      <c r="I265" s="23">
        <v>261</v>
      </c>
    </row>
    <row r="266" spans="2:9" x14ac:dyDescent="0.25">
      <c r="B266" s="42">
        <f t="shared" si="18"/>
        <v>29345.819944204271</v>
      </c>
      <c r="C266" s="21">
        <v>0.04</v>
      </c>
      <c r="D266" s="22">
        <f t="shared" si="21"/>
        <v>97.819399814014247</v>
      </c>
      <c r="E266" s="42">
        <f t="shared" si="19"/>
        <v>29443.639344018287</v>
      </c>
      <c r="F266" s="44"/>
      <c r="G266" s="42">
        <f t="shared" si="20"/>
        <v>29083.639344018287</v>
      </c>
      <c r="H266" s="22">
        <v>360</v>
      </c>
      <c r="I266" s="23">
        <v>262</v>
      </c>
    </row>
    <row r="267" spans="2:9" x14ac:dyDescent="0.25">
      <c r="B267" s="42">
        <f t="shared" si="18"/>
        <v>29083.639344018287</v>
      </c>
      <c r="C267" s="21">
        <v>0.04</v>
      </c>
      <c r="D267" s="22">
        <f t="shared" si="21"/>
        <v>96.945464480060963</v>
      </c>
      <c r="E267" s="42">
        <f t="shared" si="19"/>
        <v>29180.584808498348</v>
      </c>
      <c r="F267" s="44"/>
      <c r="G267" s="42">
        <f t="shared" si="20"/>
        <v>28820.584808498348</v>
      </c>
      <c r="H267" s="22">
        <v>360</v>
      </c>
      <c r="I267" s="45">
        <v>263</v>
      </c>
    </row>
    <row r="268" spans="2:9" x14ac:dyDescent="0.25">
      <c r="B268" s="42">
        <f t="shared" si="18"/>
        <v>28820.584808498348</v>
      </c>
      <c r="C268" s="21">
        <v>0.04</v>
      </c>
      <c r="D268" s="22">
        <f t="shared" si="21"/>
        <v>96.068616028327838</v>
      </c>
      <c r="E268" s="42">
        <f t="shared" si="19"/>
        <v>28916.653424526678</v>
      </c>
      <c r="F268" s="44"/>
      <c r="G268" s="42">
        <f t="shared" si="20"/>
        <v>28556.653424526678</v>
      </c>
      <c r="H268" s="22">
        <v>360</v>
      </c>
      <c r="I268" s="23">
        <v>264</v>
      </c>
    </row>
    <row r="269" spans="2:9" x14ac:dyDescent="0.25">
      <c r="B269" s="42">
        <f t="shared" si="18"/>
        <v>28556.653424526678</v>
      </c>
      <c r="C269" s="21">
        <v>0.04</v>
      </c>
      <c r="D269" s="22">
        <f t="shared" si="21"/>
        <v>95.18884474842227</v>
      </c>
      <c r="E269" s="42">
        <f t="shared" si="19"/>
        <v>28651.842269275101</v>
      </c>
      <c r="F269" s="44"/>
      <c r="G269" s="42">
        <f t="shared" si="20"/>
        <v>28291.842269275101</v>
      </c>
      <c r="H269" s="22">
        <v>360</v>
      </c>
      <c r="I269" s="23">
        <v>265</v>
      </c>
    </row>
    <row r="270" spans="2:9" x14ac:dyDescent="0.25">
      <c r="B270" s="42">
        <f t="shared" si="18"/>
        <v>28291.842269275101</v>
      </c>
      <c r="C270" s="21">
        <v>0.04</v>
      </c>
      <c r="D270" s="22">
        <f t="shared" si="21"/>
        <v>94.306140897583674</v>
      </c>
      <c r="E270" s="42">
        <f t="shared" si="19"/>
        <v>28386.148410172686</v>
      </c>
      <c r="F270" s="44"/>
      <c r="G270" s="42">
        <f t="shared" si="20"/>
        <v>28026.148410172686</v>
      </c>
      <c r="H270" s="22">
        <v>360</v>
      </c>
      <c r="I270" s="45">
        <v>266</v>
      </c>
    </row>
    <row r="271" spans="2:9" x14ac:dyDescent="0.25">
      <c r="B271" s="42">
        <f t="shared" si="18"/>
        <v>28026.148410172686</v>
      </c>
      <c r="C271" s="21">
        <v>0.04</v>
      </c>
      <c r="D271" s="22">
        <f t="shared" si="21"/>
        <v>93.420494700575631</v>
      </c>
      <c r="E271" s="42">
        <f t="shared" si="19"/>
        <v>28119.56890487326</v>
      </c>
      <c r="F271" s="44"/>
      <c r="G271" s="42">
        <f t="shared" si="20"/>
        <v>27759.56890487326</v>
      </c>
      <c r="H271" s="22">
        <v>360</v>
      </c>
      <c r="I271" s="23">
        <v>267</v>
      </c>
    </row>
    <row r="272" spans="2:9" x14ac:dyDescent="0.25">
      <c r="B272" s="42">
        <f t="shared" si="18"/>
        <v>27759.56890487326</v>
      </c>
      <c r="C272" s="21">
        <v>0.04</v>
      </c>
      <c r="D272" s="22">
        <f t="shared" si="21"/>
        <v>92.531896349577536</v>
      </c>
      <c r="E272" s="42">
        <f t="shared" si="19"/>
        <v>27852.100801222838</v>
      </c>
      <c r="F272" s="44"/>
      <c r="G272" s="42">
        <f t="shared" si="20"/>
        <v>27492.100801222838</v>
      </c>
      <c r="H272" s="22">
        <v>360</v>
      </c>
      <c r="I272" s="23">
        <v>268</v>
      </c>
    </row>
    <row r="273" spans="2:9" x14ac:dyDescent="0.25">
      <c r="B273" s="42">
        <f t="shared" si="18"/>
        <v>27492.100801222838</v>
      </c>
      <c r="C273" s="21">
        <v>0.04</v>
      </c>
      <c r="D273" s="22">
        <f t="shared" si="21"/>
        <v>91.640336004076133</v>
      </c>
      <c r="E273" s="42">
        <f t="shared" si="19"/>
        <v>27583.741137226913</v>
      </c>
      <c r="F273" s="44"/>
      <c r="G273" s="42">
        <f t="shared" si="20"/>
        <v>27223.741137226913</v>
      </c>
      <c r="H273" s="22">
        <v>360</v>
      </c>
      <c r="I273" s="45">
        <v>269</v>
      </c>
    </row>
    <row r="274" spans="2:9" x14ac:dyDescent="0.25">
      <c r="B274" s="42">
        <f t="shared" si="18"/>
        <v>27223.741137226913</v>
      </c>
      <c r="C274" s="21">
        <v>0.04</v>
      </c>
      <c r="D274" s="22">
        <f t="shared" si="21"/>
        <v>90.745803790756383</v>
      </c>
      <c r="E274" s="42">
        <f t="shared" si="19"/>
        <v>27314.486941017669</v>
      </c>
      <c r="F274" s="44"/>
      <c r="G274" s="42">
        <f t="shared" si="20"/>
        <v>26954.486941017669</v>
      </c>
      <c r="H274" s="22">
        <v>360</v>
      </c>
      <c r="I274" s="23">
        <v>270</v>
      </c>
    </row>
    <row r="275" spans="2:9" x14ac:dyDescent="0.25">
      <c r="B275" s="42">
        <f t="shared" si="18"/>
        <v>26954.486941017669</v>
      </c>
      <c r="C275" s="21">
        <v>0.04</v>
      </c>
      <c r="D275" s="22">
        <f t="shared" si="21"/>
        <v>89.848289803392234</v>
      </c>
      <c r="E275" s="42">
        <f t="shared" si="19"/>
        <v>27044.33523082106</v>
      </c>
      <c r="F275" s="44"/>
      <c r="G275" s="42">
        <f t="shared" si="20"/>
        <v>26684.33523082106</v>
      </c>
      <c r="H275" s="22">
        <v>360</v>
      </c>
      <c r="I275" s="23">
        <v>271</v>
      </c>
    </row>
    <row r="276" spans="2:9" x14ac:dyDescent="0.25">
      <c r="B276" s="42">
        <f t="shared" si="18"/>
        <v>26684.33523082106</v>
      </c>
      <c r="C276" s="21">
        <v>0.04</v>
      </c>
      <c r="D276" s="22">
        <f t="shared" si="21"/>
        <v>88.947784102736875</v>
      </c>
      <c r="E276" s="42">
        <f t="shared" si="19"/>
        <v>26773.283014923796</v>
      </c>
      <c r="F276" s="44"/>
      <c r="G276" s="42">
        <f t="shared" si="20"/>
        <v>26413.283014923796</v>
      </c>
      <c r="H276" s="22">
        <v>360</v>
      </c>
      <c r="I276" s="45">
        <v>272</v>
      </c>
    </row>
    <row r="277" spans="2:9" x14ac:dyDescent="0.25">
      <c r="B277" s="42">
        <f t="shared" si="18"/>
        <v>26413.283014923796</v>
      </c>
      <c r="C277" s="21">
        <v>0.04</v>
      </c>
      <c r="D277" s="22">
        <f t="shared" si="21"/>
        <v>88.044276716412654</v>
      </c>
      <c r="E277" s="42">
        <f t="shared" si="19"/>
        <v>26501.327291640209</v>
      </c>
      <c r="F277" s="44"/>
      <c r="G277" s="42">
        <f t="shared" si="20"/>
        <v>26141.327291640209</v>
      </c>
      <c r="H277" s="22">
        <v>360</v>
      </c>
      <c r="I277" s="23">
        <v>273</v>
      </c>
    </row>
    <row r="278" spans="2:9" x14ac:dyDescent="0.25">
      <c r="B278" s="42">
        <f t="shared" si="18"/>
        <v>26141.327291640209</v>
      </c>
      <c r="C278" s="21">
        <v>0.04</v>
      </c>
      <c r="D278" s="22">
        <f t="shared" si="21"/>
        <v>87.137757638800707</v>
      </c>
      <c r="E278" s="42">
        <f t="shared" si="19"/>
        <v>26228.46504927901</v>
      </c>
      <c r="F278" s="44"/>
      <c r="G278" s="42">
        <f t="shared" si="20"/>
        <v>25868.46504927901</v>
      </c>
      <c r="H278" s="22">
        <v>360</v>
      </c>
      <c r="I278" s="23">
        <v>274</v>
      </c>
    </row>
    <row r="279" spans="2:9" x14ac:dyDescent="0.25">
      <c r="B279" s="42">
        <f t="shared" si="18"/>
        <v>25868.46504927901</v>
      </c>
      <c r="C279" s="21">
        <v>0.04</v>
      </c>
      <c r="D279" s="22">
        <f t="shared" si="21"/>
        <v>86.228216830930037</v>
      </c>
      <c r="E279" s="42">
        <f t="shared" si="19"/>
        <v>25954.693266109938</v>
      </c>
      <c r="F279" s="44"/>
      <c r="G279" s="42">
        <f t="shared" si="20"/>
        <v>25594.693266109938</v>
      </c>
      <c r="H279" s="22">
        <v>360</v>
      </c>
      <c r="I279" s="45">
        <v>275</v>
      </c>
    </row>
    <row r="280" spans="2:9" x14ac:dyDescent="0.25">
      <c r="B280" s="42">
        <f t="shared" si="18"/>
        <v>25594.693266109938</v>
      </c>
      <c r="C280" s="21">
        <v>0.04</v>
      </c>
      <c r="D280" s="22">
        <f t="shared" si="21"/>
        <v>85.315644220366465</v>
      </c>
      <c r="E280" s="42">
        <f t="shared" si="19"/>
        <v>25680.008910330303</v>
      </c>
      <c r="F280" s="44"/>
      <c r="G280" s="42">
        <f t="shared" si="20"/>
        <v>25320.008910330303</v>
      </c>
      <c r="H280" s="22">
        <v>360</v>
      </c>
      <c r="I280" s="23">
        <v>276</v>
      </c>
    </row>
    <row r="281" spans="2:9" x14ac:dyDescent="0.25">
      <c r="B281" s="42">
        <f t="shared" si="18"/>
        <v>25320.008910330303</v>
      </c>
      <c r="C281" s="21">
        <v>0.04</v>
      </c>
      <c r="D281" s="22">
        <f t="shared" si="21"/>
        <v>84.400029701101019</v>
      </c>
      <c r="E281" s="42">
        <f t="shared" si="19"/>
        <v>25404.408940031404</v>
      </c>
      <c r="F281" s="44"/>
      <c r="G281" s="42">
        <f t="shared" si="20"/>
        <v>25044.408940031404</v>
      </c>
      <c r="H281" s="22">
        <v>360</v>
      </c>
      <c r="I281" s="23">
        <v>277</v>
      </c>
    </row>
    <row r="282" spans="2:9" x14ac:dyDescent="0.25">
      <c r="B282" s="42">
        <f t="shared" si="18"/>
        <v>25044.408940031404</v>
      </c>
      <c r="C282" s="21">
        <v>0.04</v>
      </c>
      <c r="D282" s="22">
        <f t="shared" si="21"/>
        <v>83.481363133438023</v>
      </c>
      <c r="E282" s="42">
        <f t="shared" si="19"/>
        <v>25127.890303164841</v>
      </c>
      <c r="F282" s="44"/>
      <c r="G282" s="42">
        <f t="shared" si="20"/>
        <v>24767.890303164841</v>
      </c>
      <c r="H282" s="22">
        <v>360</v>
      </c>
      <c r="I282" s="45">
        <v>278</v>
      </c>
    </row>
    <row r="283" spans="2:9" x14ac:dyDescent="0.25">
      <c r="B283" s="42">
        <f t="shared" si="18"/>
        <v>24767.890303164841</v>
      </c>
      <c r="C283" s="21">
        <v>0.04</v>
      </c>
      <c r="D283" s="22">
        <f t="shared" si="21"/>
        <v>82.559634343882806</v>
      </c>
      <c r="E283" s="42">
        <f t="shared" si="19"/>
        <v>24850.449937508722</v>
      </c>
      <c r="F283" s="44"/>
      <c r="G283" s="42">
        <f t="shared" si="20"/>
        <v>24490.449937508722</v>
      </c>
      <c r="H283" s="22">
        <v>360</v>
      </c>
      <c r="I283" s="23">
        <v>279</v>
      </c>
    </row>
    <row r="284" spans="2:9" x14ac:dyDescent="0.25">
      <c r="B284" s="42">
        <f t="shared" si="18"/>
        <v>24490.449937508722</v>
      </c>
      <c r="C284" s="21">
        <v>0.04</v>
      </c>
      <c r="D284" s="22">
        <f t="shared" si="21"/>
        <v>81.634833125029076</v>
      </c>
      <c r="E284" s="42">
        <f t="shared" si="19"/>
        <v>24572.084770633752</v>
      </c>
      <c r="F284" s="44"/>
      <c r="G284" s="42">
        <f t="shared" si="20"/>
        <v>24212.084770633752</v>
      </c>
      <c r="H284" s="22">
        <v>360</v>
      </c>
      <c r="I284" s="23">
        <v>280</v>
      </c>
    </row>
    <row r="285" spans="2:9" x14ac:dyDescent="0.25">
      <c r="B285" s="42">
        <f t="shared" si="18"/>
        <v>24212.084770633752</v>
      </c>
      <c r="C285" s="21">
        <v>0.04</v>
      </c>
      <c r="D285" s="22">
        <f t="shared" si="21"/>
        <v>80.706949235445848</v>
      </c>
      <c r="E285" s="42">
        <f t="shared" si="19"/>
        <v>24292.791719869198</v>
      </c>
      <c r="F285" s="44"/>
      <c r="G285" s="42">
        <f t="shared" si="20"/>
        <v>23932.791719869198</v>
      </c>
      <c r="H285" s="22">
        <v>360</v>
      </c>
      <c r="I285" s="45">
        <v>281</v>
      </c>
    </row>
    <row r="286" spans="2:9" x14ac:dyDescent="0.25">
      <c r="B286" s="42">
        <f t="shared" si="18"/>
        <v>23932.791719869198</v>
      </c>
      <c r="C286" s="21">
        <v>0.04</v>
      </c>
      <c r="D286" s="22">
        <f t="shared" si="21"/>
        <v>79.775972399563997</v>
      </c>
      <c r="E286" s="42">
        <f t="shared" si="19"/>
        <v>24012.56769226876</v>
      </c>
      <c r="F286" s="44"/>
      <c r="G286" s="42">
        <f t="shared" si="20"/>
        <v>23652.56769226876</v>
      </c>
      <c r="H286" s="22">
        <v>360</v>
      </c>
      <c r="I286" s="23">
        <v>282</v>
      </c>
    </row>
    <row r="287" spans="2:9" x14ac:dyDescent="0.25">
      <c r="B287" s="42">
        <f t="shared" si="18"/>
        <v>23652.56769226876</v>
      </c>
      <c r="C287" s="21">
        <v>0.04</v>
      </c>
      <c r="D287" s="22">
        <f t="shared" si="21"/>
        <v>78.841892307562532</v>
      </c>
      <c r="E287" s="42">
        <f t="shared" si="19"/>
        <v>23731.409584576322</v>
      </c>
      <c r="F287" s="44"/>
      <c r="G287" s="42">
        <f t="shared" si="20"/>
        <v>23371.409584576322</v>
      </c>
      <c r="H287" s="22">
        <v>360</v>
      </c>
      <c r="I287" s="23">
        <v>283</v>
      </c>
    </row>
    <row r="288" spans="2:9" x14ac:dyDescent="0.25">
      <c r="B288" s="42">
        <f t="shared" si="18"/>
        <v>23371.409584576322</v>
      </c>
      <c r="C288" s="21">
        <v>0.04</v>
      </c>
      <c r="D288" s="22">
        <f t="shared" si="21"/>
        <v>77.904698615254418</v>
      </c>
      <c r="E288" s="42">
        <f t="shared" si="19"/>
        <v>23449.314283191576</v>
      </c>
      <c r="F288" s="44"/>
      <c r="G288" s="42">
        <f t="shared" si="20"/>
        <v>23089.314283191576</v>
      </c>
      <c r="H288" s="22">
        <v>360</v>
      </c>
      <c r="I288" s="45">
        <v>284</v>
      </c>
    </row>
    <row r="289" spans="2:9" x14ac:dyDescent="0.25">
      <c r="B289" s="42">
        <f t="shared" si="18"/>
        <v>23089.314283191576</v>
      </c>
      <c r="C289" s="21">
        <v>0.04</v>
      </c>
      <c r="D289" s="22">
        <f t="shared" si="21"/>
        <v>76.964380943971918</v>
      </c>
      <c r="E289" s="42">
        <f t="shared" si="19"/>
        <v>23166.278664135549</v>
      </c>
      <c r="F289" s="44"/>
      <c r="G289" s="42">
        <f t="shared" si="20"/>
        <v>22806.278664135549</v>
      </c>
      <c r="H289" s="22">
        <v>360</v>
      </c>
      <c r="I289" s="23">
        <v>285</v>
      </c>
    </row>
    <row r="290" spans="2:9" x14ac:dyDescent="0.25">
      <c r="B290" s="42">
        <f t="shared" si="18"/>
        <v>22806.278664135549</v>
      </c>
      <c r="C290" s="21">
        <v>0.04</v>
      </c>
      <c r="D290" s="22">
        <f t="shared" si="21"/>
        <v>76.020928880451834</v>
      </c>
      <c r="E290" s="42">
        <f t="shared" si="19"/>
        <v>22882.299593016</v>
      </c>
      <c r="F290" s="44"/>
      <c r="G290" s="42">
        <f t="shared" si="20"/>
        <v>22522.299593016</v>
      </c>
      <c r="H290" s="22">
        <v>360</v>
      </c>
      <c r="I290" s="23">
        <v>286</v>
      </c>
    </row>
    <row r="291" spans="2:9" x14ac:dyDescent="0.25">
      <c r="B291" s="42">
        <f t="shared" si="18"/>
        <v>22522.299593016</v>
      </c>
      <c r="C291" s="21">
        <v>0.04</v>
      </c>
      <c r="D291" s="22">
        <f t="shared" si="21"/>
        <v>75.074331976720003</v>
      </c>
      <c r="E291" s="42">
        <f t="shared" si="19"/>
        <v>22597.37392499272</v>
      </c>
      <c r="F291" s="44"/>
      <c r="G291" s="42">
        <f t="shared" si="20"/>
        <v>22237.37392499272</v>
      </c>
      <c r="H291" s="22">
        <v>360</v>
      </c>
      <c r="I291" s="45">
        <v>287</v>
      </c>
    </row>
    <row r="292" spans="2:9" x14ac:dyDescent="0.25">
      <c r="B292" s="42">
        <f t="shared" si="18"/>
        <v>22237.37392499272</v>
      </c>
      <c r="C292" s="21">
        <v>0.04</v>
      </c>
      <c r="D292" s="22">
        <f t="shared" si="21"/>
        <v>74.124579749975737</v>
      </c>
      <c r="E292" s="42">
        <f t="shared" si="19"/>
        <v>22311.498504742696</v>
      </c>
      <c r="F292" s="44"/>
      <c r="G292" s="42">
        <f t="shared" si="20"/>
        <v>21951.498504742696</v>
      </c>
      <c r="H292" s="22">
        <v>360</v>
      </c>
      <c r="I292" s="23">
        <v>288</v>
      </c>
    </row>
    <row r="293" spans="2:9" x14ac:dyDescent="0.25">
      <c r="B293" s="42">
        <f t="shared" ref="B293:B331" si="22">G292</f>
        <v>21951.498504742696</v>
      </c>
      <c r="C293" s="21">
        <v>0.04</v>
      </c>
      <c r="D293" s="22">
        <f t="shared" si="21"/>
        <v>73.171661682475658</v>
      </c>
      <c r="E293" s="42">
        <f t="shared" ref="E293:E331" si="23">B293+D293</f>
        <v>22024.67016642517</v>
      </c>
      <c r="F293" s="44"/>
      <c r="G293" s="42">
        <f t="shared" ref="G293:G331" si="24">E293-H293</f>
        <v>21664.67016642517</v>
      </c>
      <c r="H293" s="22">
        <v>360</v>
      </c>
      <c r="I293" s="23">
        <v>289</v>
      </c>
    </row>
    <row r="294" spans="2:9" x14ac:dyDescent="0.25">
      <c r="B294" s="42">
        <f t="shared" si="22"/>
        <v>21664.67016642517</v>
      </c>
      <c r="C294" s="21">
        <v>0.04</v>
      </c>
      <c r="D294" s="22">
        <f t="shared" si="21"/>
        <v>72.215567221417245</v>
      </c>
      <c r="E294" s="42">
        <f t="shared" si="23"/>
        <v>21736.885733646588</v>
      </c>
      <c r="F294" s="44"/>
      <c r="G294" s="42">
        <f t="shared" si="24"/>
        <v>21376.885733646588</v>
      </c>
      <c r="H294" s="22">
        <v>360</v>
      </c>
      <c r="I294" s="45">
        <v>290</v>
      </c>
    </row>
    <row r="295" spans="2:9" x14ac:dyDescent="0.25">
      <c r="B295" s="42">
        <f t="shared" si="22"/>
        <v>21376.885733646588</v>
      </c>
      <c r="C295" s="21">
        <v>0.04</v>
      </c>
      <c r="D295" s="22">
        <f t="shared" si="21"/>
        <v>71.256285778821962</v>
      </c>
      <c r="E295" s="42">
        <f t="shared" si="23"/>
        <v>21448.14201942541</v>
      </c>
      <c r="F295" s="44"/>
      <c r="G295" s="42">
        <f t="shared" si="24"/>
        <v>21088.14201942541</v>
      </c>
      <c r="H295" s="22">
        <v>360</v>
      </c>
      <c r="I295" s="23">
        <v>291</v>
      </c>
    </row>
    <row r="296" spans="2:9" x14ac:dyDescent="0.25">
      <c r="B296" s="42">
        <f t="shared" si="22"/>
        <v>21088.14201942541</v>
      </c>
      <c r="C296" s="21">
        <v>0.04</v>
      </c>
      <c r="D296" s="22">
        <f t="shared" si="21"/>
        <v>70.29380673141803</v>
      </c>
      <c r="E296" s="42">
        <f t="shared" si="23"/>
        <v>21158.435826156827</v>
      </c>
      <c r="F296" s="44"/>
      <c r="G296" s="42">
        <f t="shared" si="24"/>
        <v>20798.435826156827</v>
      </c>
      <c r="H296" s="22">
        <v>360</v>
      </c>
      <c r="I296" s="23">
        <v>292</v>
      </c>
    </row>
    <row r="297" spans="2:9" x14ac:dyDescent="0.25">
      <c r="B297" s="42">
        <f t="shared" si="22"/>
        <v>20798.435826156827</v>
      </c>
      <c r="C297" s="21">
        <v>0.04</v>
      </c>
      <c r="D297" s="22">
        <f t="shared" si="21"/>
        <v>69.328119420522754</v>
      </c>
      <c r="E297" s="42">
        <f t="shared" si="23"/>
        <v>20867.76394557735</v>
      </c>
      <c r="F297" s="44"/>
      <c r="G297" s="42">
        <f t="shared" si="24"/>
        <v>20507.76394557735</v>
      </c>
      <c r="H297" s="22">
        <v>360</v>
      </c>
      <c r="I297" s="45">
        <v>293</v>
      </c>
    </row>
    <row r="298" spans="2:9" x14ac:dyDescent="0.25">
      <c r="B298" s="42">
        <f t="shared" si="22"/>
        <v>20507.76394557735</v>
      </c>
      <c r="C298" s="21">
        <v>0.04</v>
      </c>
      <c r="D298" s="22">
        <f t="shared" si="21"/>
        <v>68.359213151924507</v>
      </c>
      <c r="E298" s="42">
        <f t="shared" si="23"/>
        <v>20576.123158729275</v>
      </c>
      <c r="F298" s="44"/>
      <c r="G298" s="42">
        <f t="shared" si="24"/>
        <v>20216.123158729275</v>
      </c>
      <c r="H298" s="22">
        <v>360</v>
      </c>
      <c r="I298" s="23">
        <v>294</v>
      </c>
    </row>
    <row r="299" spans="2:9" x14ac:dyDescent="0.25">
      <c r="B299" s="42">
        <f t="shared" si="22"/>
        <v>20216.123158729275</v>
      </c>
      <c r="C299" s="21">
        <v>0.04</v>
      </c>
      <c r="D299" s="22">
        <f t="shared" si="21"/>
        <v>67.387077195764249</v>
      </c>
      <c r="E299" s="42">
        <f t="shared" si="23"/>
        <v>20283.510235925038</v>
      </c>
      <c r="F299" s="44"/>
      <c r="G299" s="42">
        <f t="shared" si="24"/>
        <v>19923.510235925038</v>
      </c>
      <c r="H299" s="22">
        <v>360</v>
      </c>
      <c r="I299" s="23">
        <v>295</v>
      </c>
    </row>
    <row r="300" spans="2:9" x14ac:dyDescent="0.25">
      <c r="B300" s="42">
        <f t="shared" si="22"/>
        <v>19923.510235925038</v>
      </c>
      <c r="C300" s="21">
        <v>0.04</v>
      </c>
      <c r="D300" s="22">
        <f t="shared" si="21"/>
        <v>66.411700786416802</v>
      </c>
      <c r="E300" s="42">
        <f t="shared" si="23"/>
        <v>19989.921936711453</v>
      </c>
      <c r="F300" s="44"/>
      <c r="G300" s="42">
        <f t="shared" si="24"/>
        <v>19629.921936711453</v>
      </c>
      <c r="H300" s="22">
        <v>360</v>
      </c>
      <c r="I300" s="45">
        <v>296</v>
      </c>
    </row>
    <row r="301" spans="2:9" x14ac:dyDescent="0.25">
      <c r="B301" s="42">
        <f t="shared" si="22"/>
        <v>19629.921936711453</v>
      </c>
      <c r="C301" s="21">
        <v>0.04</v>
      </c>
      <c r="D301" s="22">
        <f t="shared" si="21"/>
        <v>65.433073122371511</v>
      </c>
      <c r="E301" s="42">
        <f t="shared" si="23"/>
        <v>19695.355009833824</v>
      </c>
      <c r="F301" s="44"/>
      <c r="G301" s="42">
        <f t="shared" si="24"/>
        <v>19335.355009833824</v>
      </c>
      <c r="H301" s="22">
        <v>360</v>
      </c>
      <c r="I301" s="23">
        <v>297</v>
      </c>
    </row>
    <row r="302" spans="2:9" x14ac:dyDescent="0.25">
      <c r="B302" s="42">
        <f t="shared" si="22"/>
        <v>19335.355009833824</v>
      </c>
      <c r="C302" s="21">
        <v>0.04</v>
      </c>
      <c r="D302" s="22">
        <f t="shared" si="21"/>
        <v>64.451183366112744</v>
      </c>
      <c r="E302" s="42">
        <f t="shared" si="23"/>
        <v>19399.806193199936</v>
      </c>
      <c r="F302" s="44"/>
      <c r="G302" s="42">
        <f t="shared" si="24"/>
        <v>19039.806193199936</v>
      </c>
      <c r="H302" s="22">
        <v>360</v>
      </c>
      <c r="I302" s="23">
        <v>298</v>
      </c>
    </row>
    <row r="303" spans="2:9" x14ac:dyDescent="0.25">
      <c r="B303" s="42">
        <f t="shared" si="22"/>
        <v>19039.806193199936</v>
      </c>
      <c r="C303" s="21">
        <v>0.04</v>
      </c>
      <c r="D303" s="22">
        <f t="shared" si="21"/>
        <v>63.466020643999791</v>
      </c>
      <c r="E303" s="42">
        <f t="shared" si="23"/>
        <v>19103.272213843935</v>
      </c>
      <c r="F303" s="44"/>
      <c r="G303" s="42">
        <f t="shared" si="24"/>
        <v>18743.272213843935</v>
      </c>
      <c r="H303" s="22">
        <v>360</v>
      </c>
      <c r="I303" s="45">
        <v>299</v>
      </c>
    </row>
    <row r="304" spans="2:9" x14ac:dyDescent="0.25">
      <c r="B304" s="42">
        <f t="shared" si="22"/>
        <v>18743.272213843935</v>
      </c>
      <c r="C304" s="21">
        <v>0.04</v>
      </c>
      <c r="D304" s="22">
        <f t="shared" si="21"/>
        <v>62.477574046146451</v>
      </c>
      <c r="E304" s="42">
        <f t="shared" si="23"/>
        <v>18805.749787890083</v>
      </c>
      <c r="F304" s="44"/>
      <c r="G304" s="42">
        <f t="shared" si="24"/>
        <v>18445.749787890083</v>
      </c>
      <c r="H304" s="22">
        <v>360</v>
      </c>
      <c r="I304" s="23">
        <v>300</v>
      </c>
    </row>
    <row r="305" spans="2:9" x14ac:dyDescent="0.25">
      <c r="B305" s="42">
        <f t="shared" si="22"/>
        <v>18445.749787890083</v>
      </c>
      <c r="C305" s="21">
        <v>0.04</v>
      </c>
      <c r="D305" s="22">
        <f t="shared" si="21"/>
        <v>61.485832626300279</v>
      </c>
      <c r="E305" s="42">
        <f t="shared" si="23"/>
        <v>18507.235620516385</v>
      </c>
      <c r="F305" s="44"/>
      <c r="G305" s="42">
        <f t="shared" si="24"/>
        <v>18147.235620516385</v>
      </c>
      <c r="H305" s="22">
        <v>360</v>
      </c>
      <c r="I305" s="23">
        <v>301</v>
      </c>
    </row>
    <row r="306" spans="2:9" x14ac:dyDescent="0.25">
      <c r="B306" s="42">
        <f t="shared" si="22"/>
        <v>18147.235620516385</v>
      </c>
      <c r="C306" s="21">
        <v>0.04</v>
      </c>
      <c r="D306" s="22">
        <f t="shared" si="21"/>
        <v>60.49078540172129</v>
      </c>
      <c r="E306" s="42">
        <f t="shared" si="23"/>
        <v>18207.726405918107</v>
      </c>
      <c r="F306" s="44"/>
      <c r="G306" s="42">
        <f t="shared" si="24"/>
        <v>17847.726405918107</v>
      </c>
      <c r="H306" s="22">
        <v>360</v>
      </c>
      <c r="I306" s="45">
        <v>302</v>
      </c>
    </row>
    <row r="307" spans="2:9" x14ac:dyDescent="0.25">
      <c r="B307" s="42">
        <f t="shared" si="22"/>
        <v>17847.726405918107</v>
      </c>
      <c r="C307" s="21">
        <v>0.04</v>
      </c>
      <c r="D307" s="22">
        <f t="shared" si="21"/>
        <v>59.492421353060358</v>
      </c>
      <c r="E307" s="42">
        <f t="shared" si="23"/>
        <v>17907.218827271168</v>
      </c>
      <c r="F307" s="44"/>
      <c r="G307" s="42">
        <f t="shared" si="24"/>
        <v>17547.218827271168</v>
      </c>
      <c r="H307" s="22">
        <v>360</v>
      </c>
      <c r="I307" s="23">
        <v>303</v>
      </c>
    </row>
    <row r="308" spans="2:9" x14ac:dyDescent="0.25">
      <c r="B308" s="42">
        <f t="shared" si="22"/>
        <v>17547.218827271168</v>
      </c>
      <c r="C308" s="21">
        <v>0.04</v>
      </c>
      <c r="D308" s="22">
        <f t="shared" si="21"/>
        <v>58.49072942423723</v>
      </c>
      <c r="E308" s="42">
        <f t="shared" si="23"/>
        <v>17605.709556695405</v>
      </c>
      <c r="F308" s="44"/>
      <c r="G308" s="42">
        <f t="shared" si="24"/>
        <v>17245.709556695405</v>
      </c>
      <c r="H308" s="22">
        <v>360</v>
      </c>
      <c r="I308" s="23">
        <v>304</v>
      </c>
    </row>
    <row r="309" spans="2:9" x14ac:dyDescent="0.25">
      <c r="B309" s="42">
        <f t="shared" si="22"/>
        <v>17245.709556695405</v>
      </c>
      <c r="C309" s="21">
        <v>0.04</v>
      </c>
      <c r="D309" s="22">
        <f t="shared" si="21"/>
        <v>57.485698522318017</v>
      </c>
      <c r="E309" s="42">
        <f t="shared" si="23"/>
        <v>17303.195255217724</v>
      </c>
      <c r="F309" s="44"/>
      <c r="G309" s="42">
        <f t="shared" si="24"/>
        <v>16943.195255217724</v>
      </c>
      <c r="H309" s="22">
        <v>360</v>
      </c>
      <c r="I309" s="45">
        <v>305</v>
      </c>
    </row>
    <row r="310" spans="2:9" x14ac:dyDescent="0.25">
      <c r="B310" s="42">
        <f t="shared" si="22"/>
        <v>16943.195255217724</v>
      </c>
      <c r="C310" s="21">
        <v>0.04</v>
      </c>
      <c r="D310" s="22">
        <f t="shared" si="21"/>
        <v>56.477317517392422</v>
      </c>
      <c r="E310" s="42">
        <f t="shared" si="23"/>
        <v>16999.672572735119</v>
      </c>
      <c r="F310" s="44"/>
      <c r="G310" s="42">
        <f t="shared" si="24"/>
        <v>16639.672572735119</v>
      </c>
      <c r="H310" s="22">
        <v>360</v>
      </c>
      <c r="I310" s="23">
        <v>306</v>
      </c>
    </row>
    <row r="311" spans="2:9" x14ac:dyDescent="0.25">
      <c r="B311" s="42">
        <f t="shared" si="22"/>
        <v>16639.672572735119</v>
      </c>
      <c r="C311" s="21">
        <v>0.04</v>
      </c>
      <c r="D311" s="22">
        <f t="shared" si="21"/>
        <v>55.465575242450399</v>
      </c>
      <c r="E311" s="42">
        <f t="shared" si="23"/>
        <v>16695.13814797757</v>
      </c>
      <c r="F311" s="44"/>
      <c r="G311" s="42">
        <f t="shared" si="24"/>
        <v>16335.13814797757</v>
      </c>
      <c r="H311" s="22">
        <v>360</v>
      </c>
      <c r="I311" s="23">
        <v>307</v>
      </c>
    </row>
    <row r="312" spans="2:9" x14ac:dyDescent="0.25">
      <c r="B312" s="42">
        <f t="shared" si="22"/>
        <v>16335.13814797757</v>
      </c>
      <c r="C312" s="21">
        <v>0.04</v>
      </c>
      <c r="D312" s="22">
        <f t="shared" si="21"/>
        <v>54.450460493258568</v>
      </c>
      <c r="E312" s="42">
        <f t="shared" si="23"/>
        <v>16389.588608470829</v>
      </c>
      <c r="F312" s="44"/>
      <c r="G312" s="42">
        <f t="shared" si="24"/>
        <v>16029.588608470829</v>
      </c>
      <c r="H312" s="22">
        <v>360</v>
      </c>
      <c r="I312" s="45">
        <v>308</v>
      </c>
    </row>
    <row r="313" spans="2:9" x14ac:dyDescent="0.25">
      <c r="B313" s="42">
        <f t="shared" si="22"/>
        <v>16029.588608470829</v>
      </c>
      <c r="C313" s="21">
        <v>0.04</v>
      </c>
      <c r="D313" s="22">
        <f t="shared" si="21"/>
        <v>53.4319620282361</v>
      </c>
      <c r="E313" s="42">
        <f t="shared" si="23"/>
        <v>16083.020570499066</v>
      </c>
      <c r="F313" s="44"/>
      <c r="G313" s="42">
        <f t="shared" si="24"/>
        <v>15723.020570499066</v>
      </c>
      <c r="H313" s="22">
        <v>360</v>
      </c>
      <c r="I313" s="23">
        <v>309</v>
      </c>
    </row>
    <row r="314" spans="2:9" x14ac:dyDescent="0.25">
      <c r="B314" s="42">
        <f t="shared" si="22"/>
        <v>15723.020570499066</v>
      </c>
      <c r="C314" s="21">
        <v>0.04</v>
      </c>
      <c r="D314" s="22">
        <f t="shared" si="21"/>
        <v>52.410068568330225</v>
      </c>
      <c r="E314" s="42">
        <f t="shared" si="23"/>
        <v>15775.430639067396</v>
      </c>
      <c r="F314" s="44"/>
      <c r="G314" s="42">
        <f t="shared" si="24"/>
        <v>15415.430639067396</v>
      </c>
      <c r="H314" s="22">
        <v>360</v>
      </c>
      <c r="I314" s="23">
        <v>310</v>
      </c>
    </row>
    <row r="315" spans="2:9" x14ac:dyDescent="0.25">
      <c r="B315" s="42">
        <f t="shared" si="22"/>
        <v>15415.430639067396</v>
      </c>
      <c r="C315" s="21">
        <v>0.04</v>
      </c>
      <c r="D315" s="22">
        <f t="shared" si="21"/>
        <v>51.384768796891322</v>
      </c>
      <c r="E315" s="42">
        <f t="shared" si="23"/>
        <v>15466.815407864287</v>
      </c>
      <c r="F315" s="44"/>
      <c r="G315" s="42">
        <f t="shared" si="24"/>
        <v>15106.815407864287</v>
      </c>
      <c r="H315" s="22">
        <v>360</v>
      </c>
      <c r="I315" s="45">
        <v>311</v>
      </c>
    </row>
    <row r="316" spans="2:9" x14ac:dyDescent="0.25">
      <c r="B316" s="42">
        <f t="shared" si="22"/>
        <v>15106.815407864287</v>
      </c>
      <c r="C316" s="21">
        <v>0.04</v>
      </c>
      <c r="D316" s="22">
        <f t="shared" si="21"/>
        <v>50.356051359547628</v>
      </c>
      <c r="E316" s="42">
        <f t="shared" si="23"/>
        <v>15157.171459223835</v>
      </c>
      <c r="F316" s="44"/>
      <c r="G316" s="42">
        <f t="shared" si="24"/>
        <v>14797.171459223835</v>
      </c>
      <c r="H316" s="22">
        <v>360</v>
      </c>
      <c r="I316" s="23">
        <v>312</v>
      </c>
    </row>
    <row r="317" spans="2:9" x14ac:dyDescent="0.25">
      <c r="B317" s="42">
        <f t="shared" si="22"/>
        <v>14797.171459223835</v>
      </c>
      <c r="C317" s="21">
        <v>0.04</v>
      </c>
      <c r="D317" s="22">
        <f t="shared" si="21"/>
        <v>49.323904864079452</v>
      </c>
      <c r="E317" s="42">
        <f t="shared" si="23"/>
        <v>14846.495364087914</v>
      </c>
      <c r="F317" s="44"/>
      <c r="G317" s="42">
        <f t="shared" si="24"/>
        <v>14486.495364087914</v>
      </c>
      <c r="H317" s="22">
        <v>360</v>
      </c>
      <c r="I317" s="23">
        <v>313</v>
      </c>
    </row>
    <row r="318" spans="2:9" x14ac:dyDescent="0.25">
      <c r="B318" s="42">
        <f t="shared" si="22"/>
        <v>14486.495364087914</v>
      </c>
      <c r="C318" s="21">
        <v>0.04</v>
      </c>
      <c r="D318" s="22">
        <f t="shared" si="21"/>
        <v>48.28831788029305</v>
      </c>
      <c r="E318" s="42">
        <f t="shared" si="23"/>
        <v>14534.783681968207</v>
      </c>
      <c r="F318" s="44"/>
      <c r="G318" s="42">
        <f t="shared" si="24"/>
        <v>14174.783681968207</v>
      </c>
      <c r="H318" s="22">
        <v>360</v>
      </c>
      <c r="I318" s="45">
        <v>314</v>
      </c>
    </row>
    <row r="319" spans="2:9" x14ac:dyDescent="0.25">
      <c r="B319" s="42">
        <f t="shared" si="22"/>
        <v>14174.783681968207</v>
      </c>
      <c r="C319" s="21">
        <v>0.04</v>
      </c>
      <c r="D319" s="22">
        <f t="shared" si="21"/>
        <v>47.249278939894026</v>
      </c>
      <c r="E319" s="42">
        <f t="shared" si="23"/>
        <v>14222.032960908102</v>
      </c>
      <c r="F319" s="44"/>
      <c r="G319" s="42">
        <f t="shared" si="24"/>
        <v>13862.032960908102</v>
      </c>
      <c r="H319" s="22">
        <v>360</v>
      </c>
      <c r="I319" s="23">
        <v>315</v>
      </c>
    </row>
    <row r="320" spans="2:9" x14ac:dyDescent="0.25">
      <c r="B320" s="42">
        <f t="shared" si="22"/>
        <v>13862.032960908102</v>
      </c>
      <c r="C320" s="21">
        <v>0.04</v>
      </c>
      <c r="D320" s="22">
        <f t="shared" si="21"/>
        <v>46.206776536360344</v>
      </c>
      <c r="E320" s="42">
        <f t="shared" si="23"/>
        <v>13908.239737444463</v>
      </c>
      <c r="F320" s="44"/>
      <c r="G320" s="42">
        <f t="shared" si="24"/>
        <v>13548.239737444463</v>
      </c>
      <c r="H320" s="22">
        <v>360</v>
      </c>
      <c r="I320" s="23">
        <v>316</v>
      </c>
    </row>
    <row r="321" spans="2:9" x14ac:dyDescent="0.25">
      <c r="B321" s="42">
        <f t="shared" si="22"/>
        <v>13548.239737444463</v>
      </c>
      <c r="C321" s="21">
        <v>0.04</v>
      </c>
      <c r="D321" s="22">
        <f t="shared" si="21"/>
        <v>45.160799124814879</v>
      </c>
      <c r="E321" s="42">
        <f t="shared" si="23"/>
        <v>13593.400536569277</v>
      </c>
      <c r="F321" s="44"/>
      <c r="G321" s="42">
        <f t="shared" si="24"/>
        <v>13233.400536569277</v>
      </c>
      <c r="H321" s="22">
        <v>360</v>
      </c>
      <c r="I321" s="45">
        <v>317</v>
      </c>
    </row>
    <row r="322" spans="2:9" x14ac:dyDescent="0.25">
      <c r="B322" s="42">
        <f t="shared" si="22"/>
        <v>13233.400536569277</v>
      </c>
      <c r="C322" s="21">
        <v>0.04</v>
      </c>
      <c r="D322" s="22">
        <f t="shared" si="21"/>
        <v>44.111335121897596</v>
      </c>
      <c r="E322" s="42">
        <f t="shared" si="23"/>
        <v>13277.511871691175</v>
      </c>
      <c r="F322" s="44"/>
      <c r="G322" s="42">
        <f t="shared" si="24"/>
        <v>12917.511871691175</v>
      </c>
      <c r="H322" s="22">
        <v>360</v>
      </c>
      <c r="I322" s="23">
        <v>318</v>
      </c>
    </row>
    <row r="323" spans="2:9" x14ac:dyDescent="0.25">
      <c r="B323" s="42">
        <f t="shared" si="22"/>
        <v>12917.511871691175</v>
      </c>
      <c r="C323" s="21">
        <v>0.04</v>
      </c>
      <c r="D323" s="22">
        <f t="shared" si="21"/>
        <v>43.058372905637249</v>
      </c>
      <c r="E323" s="42">
        <f t="shared" si="23"/>
        <v>12960.570244596813</v>
      </c>
      <c r="F323" s="44"/>
      <c r="G323" s="42">
        <f t="shared" si="24"/>
        <v>12600.570244596813</v>
      </c>
      <c r="H323" s="22">
        <v>360</v>
      </c>
      <c r="I323" s="23">
        <v>319</v>
      </c>
    </row>
    <row r="324" spans="2:9" x14ac:dyDescent="0.25">
      <c r="B324" s="42">
        <f t="shared" si="22"/>
        <v>12600.570244596813</v>
      </c>
      <c r="C324" s="21">
        <v>0.04</v>
      </c>
      <c r="D324" s="22">
        <f t="shared" si="21"/>
        <v>42.001900815322713</v>
      </c>
      <c r="E324" s="42">
        <f t="shared" si="23"/>
        <v>12642.572145412136</v>
      </c>
      <c r="F324" s="44"/>
      <c r="G324" s="42">
        <f t="shared" si="24"/>
        <v>12282.572145412136</v>
      </c>
      <c r="H324" s="22">
        <v>360</v>
      </c>
      <c r="I324" s="45">
        <v>320</v>
      </c>
    </row>
    <row r="325" spans="2:9" x14ac:dyDescent="0.25">
      <c r="B325" s="42">
        <f t="shared" si="22"/>
        <v>12282.572145412136</v>
      </c>
      <c r="C325" s="21">
        <v>0.04</v>
      </c>
      <c r="D325" s="22">
        <f t="shared" si="21"/>
        <v>40.94190715137379</v>
      </c>
      <c r="E325" s="42">
        <f t="shared" si="23"/>
        <v>12323.514052563509</v>
      </c>
      <c r="F325" s="44"/>
      <c r="G325" s="42">
        <f t="shared" si="24"/>
        <v>11963.514052563509</v>
      </c>
      <c r="H325" s="22">
        <v>360</v>
      </c>
      <c r="I325" s="23">
        <v>321</v>
      </c>
    </row>
    <row r="326" spans="2:9" x14ac:dyDescent="0.25">
      <c r="B326" s="42">
        <f t="shared" si="22"/>
        <v>11963.514052563509</v>
      </c>
      <c r="C326" s="21">
        <v>0.04</v>
      </c>
      <c r="D326" s="22">
        <f t="shared" ref="D326:D341" si="25">B326*(0.04/12)</f>
        <v>39.878380175211696</v>
      </c>
      <c r="E326" s="42">
        <f t="shared" si="23"/>
        <v>12003.392432738721</v>
      </c>
      <c r="F326" s="44"/>
      <c r="G326" s="42">
        <f t="shared" si="24"/>
        <v>11643.392432738721</v>
      </c>
      <c r="H326" s="22">
        <v>360</v>
      </c>
      <c r="I326" s="23">
        <v>322</v>
      </c>
    </row>
    <row r="327" spans="2:9" x14ac:dyDescent="0.25">
      <c r="B327" s="42">
        <f t="shared" si="22"/>
        <v>11643.392432738721</v>
      </c>
      <c r="C327" s="21">
        <v>0.04</v>
      </c>
      <c r="D327" s="22">
        <f t="shared" si="25"/>
        <v>38.811308109129072</v>
      </c>
      <c r="E327" s="42">
        <f t="shared" si="23"/>
        <v>11682.20374084785</v>
      </c>
      <c r="F327" s="44"/>
      <c r="G327" s="42">
        <f t="shared" si="24"/>
        <v>11322.20374084785</v>
      </c>
      <c r="H327" s="22">
        <v>360</v>
      </c>
      <c r="I327" s="45">
        <v>323</v>
      </c>
    </row>
    <row r="328" spans="2:9" x14ac:dyDescent="0.25">
      <c r="B328" s="42">
        <f t="shared" si="22"/>
        <v>11322.20374084785</v>
      </c>
      <c r="C328" s="21">
        <v>0.04</v>
      </c>
      <c r="D328" s="22">
        <f t="shared" si="25"/>
        <v>37.7406791361595</v>
      </c>
      <c r="E328" s="42">
        <f t="shared" si="23"/>
        <v>11359.944419984009</v>
      </c>
      <c r="F328" s="44"/>
      <c r="G328" s="42">
        <f t="shared" si="24"/>
        <v>10999.944419984009</v>
      </c>
      <c r="H328" s="22">
        <v>360</v>
      </c>
      <c r="I328" s="23">
        <v>324</v>
      </c>
    </row>
    <row r="329" spans="2:9" x14ac:dyDescent="0.25">
      <c r="B329" s="42">
        <f t="shared" si="22"/>
        <v>10999.944419984009</v>
      </c>
      <c r="C329" s="21">
        <v>0.04</v>
      </c>
      <c r="D329" s="22">
        <f t="shared" si="25"/>
        <v>36.666481399946697</v>
      </c>
      <c r="E329" s="42">
        <f t="shared" si="23"/>
        <v>11036.610901383956</v>
      </c>
      <c r="F329" s="44"/>
      <c r="G329" s="42">
        <f t="shared" si="24"/>
        <v>10676.610901383956</v>
      </c>
      <c r="H329" s="22">
        <v>360</v>
      </c>
      <c r="I329" s="23">
        <v>325</v>
      </c>
    </row>
    <row r="330" spans="2:9" x14ac:dyDescent="0.25">
      <c r="B330" s="42">
        <f t="shared" si="22"/>
        <v>10676.610901383956</v>
      </c>
      <c r="C330" s="21">
        <v>0.04</v>
      </c>
      <c r="D330" s="22">
        <f t="shared" si="25"/>
        <v>35.588703004613187</v>
      </c>
      <c r="E330" s="42">
        <f t="shared" si="23"/>
        <v>10712.199604388568</v>
      </c>
      <c r="F330" s="44"/>
      <c r="G330" s="42">
        <f t="shared" si="24"/>
        <v>10352.199604388568</v>
      </c>
      <c r="H330" s="22">
        <v>360</v>
      </c>
      <c r="I330" s="45">
        <v>326</v>
      </c>
    </row>
    <row r="331" spans="2:9" x14ac:dyDescent="0.25">
      <c r="B331" s="42">
        <f t="shared" si="22"/>
        <v>10352.199604388568</v>
      </c>
      <c r="C331" s="21">
        <v>0.04</v>
      </c>
      <c r="D331" s="22">
        <f t="shared" si="25"/>
        <v>34.507332014628567</v>
      </c>
      <c r="E331" s="42">
        <f t="shared" si="23"/>
        <v>10386.706936403198</v>
      </c>
      <c r="F331" s="44"/>
      <c r="G331" s="42">
        <f t="shared" si="24"/>
        <v>10026.706936403198</v>
      </c>
      <c r="H331" s="22">
        <v>360</v>
      </c>
      <c r="I331" s="23">
        <v>327</v>
      </c>
    </row>
    <row r="332" spans="2:9" x14ac:dyDescent="0.25">
      <c r="B332" s="42">
        <f t="shared" ref="B332:B341" si="26">G331</f>
        <v>10026.706936403198</v>
      </c>
      <c r="C332" s="21">
        <v>0.04</v>
      </c>
      <c r="D332" s="22">
        <f t="shared" si="25"/>
        <v>33.422356454677328</v>
      </c>
      <c r="E332" s="42">
        <f t="shared" ref="E332:E341" si="27">B332+D332</f>
        <v>10060.129292857875</v>
      </c>
      <c r="F332" s="44"/>
      <c r="G332" s="42">
        <f t="shared" ref="G332:G341" si="28">E332-H332</f>
        <v>9700.129292857875</v>
      </c>
      <c r="H332" s="22">
        <v>360</v>
      </c>
      <c r="I332" s="23">
        <v>328</v>
      </c>
    </row>
    <row r="333" spans="2:9" x14ac:dyDescent="0.25">
      <c r="B333" s="42">
        <f t="shared" si="26"/>
        <v>9700.129292857875</v>
      </c>
      <c r="C333" s="21">
        <v>0.04</v>
      </c>
      <c r="D333" s="22">
        <f t="shared" si="25"/>
        <v>32.333764309526252</v>
      </c>
      <c r="E333" s="42">
        <f t="shared" si="27"/>
        <v>9732.4630571674006</v>
      </c>
      <c r="F333" s="44"/>
      <c r="G333" s="42">
        <f t="shared" si="28"/>
        <v>9372.4630571674006</v>
      </c>
      <c r="H333" s="22">
        <v>360</v>
      </c>
      <c r="I333" s="45">
        <v>329</v>
      </c>
    </row>
    <row r="334" spans="2:9" x14ac:dyDescent="0.25">
      <c r="B334" s="42">
        <f t="shared" si="26"/>
        <v>9372.4630571674006</v>
      </c>
      <c r="C334" s="21">
        <v>0.04</v>
      </c>
      <c r="D334" s="22">
        <f t="shared" si="25"/>
        <v>31.241543523891337</v>
      </c>
      <c r="E334" s="42">
        <f t="shared" si="27"/>
        <v>9403.7046006912915</v>
      </c>
      <c r="F334" s="44"/>
      <c r="G334" s="42">
        <f t="shared" si="28"/>
        <v>9043.7046006912915</v>
      </c>
      <c r="H334" s="22">
        <v>360</v>
      </c>
      <c r="I334" s="23">
        <v>330</v>
      </c>
    </row>
    <row r="335" spans="2:9" x14ac:dyDescent="0.25">
      <c r="B335" s="42">
        <f t="shared" si="26"/>
        <v>9043.7046006912915</v>
      </c>
      <c r="C335" s="21">
        <v>0.04</v>
      </c>
      <c r="D335" s="22">
        <f t="shared" si="25"/>
        <v>30.145682002304309</v>
      </c>
      <c r="E335" s="42">
        <f t="shared" si="27"/>
        <v>9073.8502826935965</v>
      </c>
      <c r="F335" s="44"/>
      <c r="G335" s="42">
        <f t="shared" si="28"/>
        <v>8713.8502826935965</v>
      </c>
      <c r="H335" s="22">
        <v>360</v>
      </c>
      <c r="I335" s="23">
        <v>331</v>
      </c>
    </row>
    <row r="336" spans="2:9" x14ac:dyDescent="0.25">
      <c r="B336" s="42">
        <f t="shared" si="26"/>
        <v>8713.8502826935965</v>
      </c>
      <c r="C336" s="21">
        <v>0.04</v>
      </c>
      <c r="D336" s="22">
        <f t="shared" si="25"/>
        <v>29.046167608978656</v>
      </c>
      <c r="E336" s="42">
        <f t="shared" si="27"/>
        <v>8742.8964503025745</v>
      </c>
      <c r="F336" s="44"/>
      <c r="G336" s="42">
        <f t="shared" si="28"/>
        <v>8382.8964503025745</v>
      </c>
      <c r="H336" s="22">
        <v>360</v>
      </c>
      <c r="I336" s="45">
        <v>332</v>
      </c>
    </row>
    <row r="337" spans="2:10" x14ac:dyDescent="0.25">
      <c r="B337" s="42">
        <f t="shared" si="26"/>
        <v>8382.8964503025745</v>
      </c>
      <c r="C337" s="21">
        <v>0.04</v>
      </c>
      <c r="D337" s="22">
        <f t="shared" si="25"/>
        <v>27.942988167675249</v>
      </c>
      <c r="E337" s="42">
        <f t="shared" si="27"/>
        <v>8410.8394384702497</v>
      </c>
      <c r="F337" s="44"/>
      <c r="G337" s="42">
        <f t="shared" si="28"/>
        <v>8050.8394384702497</v>
      </c>
      <c r="H337" s="22">
        <v>360</v>
      </c>
      <c r="I337" s="23">
        <v>333</v>
      </c>
    </row>
    <row r="338" spans="2:10" x14ac:dyDescent="0.25">
      <c r="B338" s="42">
        <f t="shared" si="26"/>
        <v>8050.8394384702497</v>
      </c>
      <c r="C338" s="21">
        <v>0.04</v>
      </c>
      <c r="D338" s="22">
        <f t="shared" si="25"/>
        <v>26.836131461567501</v>
      </c>
      <c r="E338" s="42">
        <f t="shared" si="27"/>
        <v>8077.6755699318173</v>
      </c>
      <c r="F338" s="44"/>
      <c r="G338" s="42">
        <f t="shared" si="28"/>
        <v>7717.6755699318173</v>
      </c>
      <c r="H338" s="22">
        <v>360</v>
      </c>
      <c r="I338" s="23">
        <v>334</v>
      </c>
    </row>
    <row r="339" spans="2:10" x14ac:dyDescent="0.25">
      <c r="B339" s="42">
        <f t="shared" si="26"/>
        <v>7717.6755699318173</v>
      </c>
      <c r="C339" s="21">
        <v>0.04</v>
      </c>
      <c r="D339" s="22">
        <f t="shared" si="25"/>
        <v>25.725585233106059</v>
      </c>
      <c r="E339" s="42">
        <f t="shared" si="27"/>
        <v>7743.4011551649237</v>
      </c>
      <c r="F339" s="44"/>
      <c r="G339" s="42">
        <f t="shared" si="28"/>
        <v>7383.4011551649237</v>
      </c>
      <c r="H339" s="22">
        <v>360</v>
      </c>
      <c r="I339" s="45">
        <v>335</v>
      </c>
      <c r="J339" s="13">
        <f>335/12</f>
        <v>27.916666666666668</v>
      </c>
    </row>
    <row r="340" spans="2:10" x14ac:dyDescent="0.25">
      <c r="B340" s="42">
        <f t="shared" si="26"/>
        <v>7383.4011551649237</v>
      </c>
      <c r="C340" s="21">
        <v>0.04</v>
      </c>
      <c r="D340" s="22">
        <f t="shared" si="25"/>
        <v>24.61133718388308</v>
      </c>
      <c r="E340" s="42">
        <f t="shared" si="27"/>
        <v>7408.0124923488065</v>
      </c>
      <c r="F340" s="44"/>
      <c r="G340" s="42">
        <f t="shared" si="28"/>
        <v>7048.0124923488065</v>
      </c>
      <c r="H340" s="22">
        <v>360</v>
      </c>
      <c r="I340" s="23">
        <v>336</v>
      </c>
      <c r="J340" s="13">
        <f>336/12</f>
        <v>28</v>
      </c>
    </row>
    <row r="341" spans="2:10" x14ac:dyDescent="0.25">
      <c r="B341" s="42">
        <f t="shared" si="26"/>
        <v>7048.0124923488065</v>
      </c>
      <c r="C341" s="43">
        <v>0.04</v>
      </c>
      <c r="D341" s="22">
        <f t="shared" si="25"/>
        <v>23.493374974496025</v>
      </c>
      <c r="E341" s="42">
        <f t="shared" si="27"/>
        <v>7071.5058673233025</v>
      </c>
      <c r="F341" s="44"/>
      <c r="G341" s="42">
        <f t="shared" si="28"/>
        <v>6711.5058673233025</v>
      </c>
      <c r="H341" s="22">
        <v>360</v>
      </c>
      <c r="I341" s="23">
        <v>337</v>
      </c>
      <c r="J341">
        <f>I341/12</f>
        <v>28.083333333333332</v>
      </c>
    </row>
    <row r="342" spans="2:10" x14ac:dyDescent="0.25">
      <c r="B342" s="42">
        <f t="shared" ref="B342:B361" si="29">G341</f>
        <v>6711.5058673233025</v>
      </c>
      <c r="C342" s="43">
        <v>0.04</v>
      </c>
      <c r="D342" s="22">
        <f t="shared" ref="D342:D361" si="30">B342*(0.04/12)</f>
        <v>22.371686224411011</v>
      </c>
      <c r="E342" s="42">
        <f t="shared" ref="E342:E361" si="31">B342+D342</f>
        <v>6733.8775535477134</v>
      </c>
      <c r="F342" s="44"/>
      <c r="G342" s="42">
        <f t="shared" ref="G342:G361" si="32">E342-H342</f>
        <v>6373.8775535477134</v>
      </c>
      <c r="H342" s="22">
        <v>360</v>
      </c>
      <c r="I342" s="23">
        <v>338</v>
      </c>
    </row>
    <row r="343" spans="2:10" x14ac:dyDescent="0.25">
      <c r="B343" s="42">
        <f t="shared" si="29"/>
        <v>6373.8775535477134</v>
      </c>
      <c r="C343" s="43">
        <v>0.04</v>
      </c>
      <c r="D343" s="22">
        <f t="shared" si="30"/>
        <v>21.246258511825712</v>
      </c>
      <c r="E343" s="42">
        <f t="shared" si="31"/>
        <v>6395.123812059539</v>
      </c>
      <c r="F343" s="44"/>
      <c r="G343" s="42">
        <f t="shared" si="32"/>
        <v>6035.123812059539</v>
      </c>
      <c r="H343" s="22">
        <v>360</v>
      </c>
      <c r="I343" s="23">
        <v>339</v>
      </c>
    </row>
    <row r="344" spans="2:10" x14ac:dyDescent="0.25">
      <c r="B344" s="42">
        <f t="shared" si="29"/>
        <v>6035.123812059539</v>
      </c>
      <c r="C344" s="43">
        <v>0.04</v>
      </c>
      <c r="D344" s="22">
        <f t="shared" si="30"/>
        <v>20.117079373531798</v>
      </c>
      <c r="E344" s="42">
        <f t="shared" si="31"/>
        <v>6055.2408914330708</v>
      </c>
      <c r="F344" s="44"/>
      <c r="G344" s="42">
        <f t="shared" si="32"/>
        <v>5695.2408914330708</v>
      </c>
      <c r="H344" s="22">
        <v>360</v>
      </c>
      <c r="I344" s="23">
        <v>340</v>
      </c>
    </row>
    <row r="345" spans="2:10" x14ac:dyDescent="0.25">
      <c r="B345" s="42">
        <f t="shared" si="29"/>
        <v>5695.2408914330708</v>
      </c>
      <c r="C345" s="43">
        <v>0.04</v>
      </c>
      <c r="D345" s="22">
        <f t="shared" si="30"/>
        <v>18.984136304776904</v>
      </c>
      <c r="E345" s="42">
        <f t="shared" si="31"/>
        <v>5714.225027737848</v>
      </c>
      <c r="F345" s="44"/>
      <c r="G345" s="42">
        <f t="shared" si="32"/>
        <v>5354.225027737848</v>
      </c>
      <c r="H345" s="22">
        <v>360</v>
      </c>
      <c r="I345" s="23">
        <v>341</v>
      </c>
    </row>
    <row r="346" spans="2:10" x14ac:dyDescent="0.25">
      <c r="B346" s="42">
        <f t="shared" si="29"/>
        <v>5354.225027737848</v>
      </c>
      <c r="C346" s="43">
        <v>0.04</v>
      </c>
      <c r="D346" s="22">
        <f t="shared" si="30"/>
        <v>17.847416759126162</v>
      </c>
      <c r="E346" s="42">
        <f t="shared" si="31"/>
        <v>5372.0724444969737</v>
      </c>
      <c r="F346" s="44"/>
      <c r="G346" s="42">
        <f t="shared" si="32"/>
        <v>5012.0724444969737</v>
      </c>
      <c r="H346" s="22">
        <v>360</v>
      </c>
      <c r="I346" s="23">
        <v>342</v>
      </c>
    </row>
    <row r="347" spans="2:10" x14ac:dyDescent="0.25">
      <c r="B347" s="42">
        <f t="shared" si="29"/>
        <v>5012.0724444969737</v>
      </c>
      <c r="C347" s="43">
        <v>0.04</v>
      </c>
      <c r="D347" s="22">
        <f t="shared" si="30"/>
        <v>16.706908148323247</v>
      </c>
      <c r="E347" s="42">
        <f t="shared" si="31"/>
        <v>5028.779352645297</v>
      </c>
      <c r="F347" s="44"/>
      <c r="G347" s="42">
        <f t="shared" si="32"/>
        <v>4668.779352645297</v>
      </c>
      <c r="H347" s="22">
        <v>360</v>
      </c>
      <c r="I347" s="23">
        <v>343</v>
      </c>
    </row>
    <row r="348" spans="2:10" x14ac:dyDescent="0.25">
      <c r="B348" s="42">
        <f t="shared" si="29"/>
        <v>4668.779352645297</v>
      </c>
      <c r="C348" s="43">
        <v>0.04</v>
      </c>
      <c r="D348" s="22">
        <f t="shared" si="30"/>
        <v>15.562597842150991</v>
      </c>
      <c r="E348" s="42">
        <f t="shared" si="31"/>
        <v>4684.3419504874482</v>
      </c>
      <c r="F348" s="44"/>
      <c r="G348" s="42">
        <f t="shared" si="32"/>
        <v>4324.3419504874482</v>
      </c>
      <c r="H348" s="22">
        <v>360</v>
      </c>
      <c r="I348" s="23">
        <v>344</v>
      </c>
    </row>
    <row r="349" spans="2:10" x14ac:dyDescent="0.25">
      <c r="B349" s="42">
        <f t="shared" si="29"/>
        <v>4324.3419504874482</v>
      </c>
      <c r="C349" s="43">
        <v>0.04</v>
      </c>
      <c r="D349" s="22">
        <f t="shared" si="30"/>
        <v>14.414473168291495</v>
      </c>
      <c r="E349" s="42">
        <f t="shared" si="31"/>
        <v>4338.75642365574</v>
      </c>
      <c r="F349" s="44"/>
      <c r="G349" s="42">
        <f t="shared" si="32"/>
        <v>3978.75642365574</v>
      </c>
      <c r="H349" s="22">
        <v>360</v>
      </c>
      <c r="I349" s="23">
        <v>345</v>
      </c>
    </row>
    <row r="350" spans="2:10" x14ac:dyDescent="0.25">
      <c r="B350" s="42">
        <f t="shared" si="29"/>
        <v>3978.75642365574</v>
      </c>
      <c r="C350" s="43">
        <v>0.04</v>
      </c>
      <c r="D350" s="22">
        <f t="shared" si="30"/>
        <v>13.262521412185801</v>
      </c>
      <c r="E350" s="42">
        <f t="shared" si="31"/>
        <v>3992.0189450679259</v>
      </c>
      <c r="F350" s="44"/>
      <c r="G350" s="42">
        <f t="shared" si="32"/>
        <v>3632.0189450679259</v>
      </c>
      <c r="H350" s="22">
        <v>360</v>
      </c>
      <c r="I350" s="23">
        <v>346</v>
      </c>
    </row>
    <row r="351" spans="2:10" x14ac:dyDescent="0.25">
      <c r="B351" s="42">
        <f t="shared" si="29"/>
        <v>3632.0189450679259</v>
      </c>
      <c r="C351" s="43">
        <v>0.04</v>
      </c>
      <c r="D351" s="22">
        <f t="shared" si="30"/>
        <v>12.106729816893086</v>
      </c>
      <c r="E351" s="42">
        <f t="shared" si="31"/>
        <v>3644.1256748848191</v>
      </c>
      <c r="F351" s="44"/>
      <c r="G351" s="42">
        <f t="shared" si="32"/>
        <v>3284.1256748848191</v>
      </c>
      <c r="H351" s="22">
        <v>360</v>
      </c>
      <c r="I351" s="23">
        <v>347</v>
      </c>
    </row>
    <row r="352" spans="2:10" x14ac:dyDescent="0.25">
      <c r="B352" s="42">
        <f t="shared" si="29"/>
        <v>3284.1256748848191</v>
      </c>
      <c r="C352" s="43">
        <v>0.04</v>
      </c>
      <c r="D352" s="22">
        <f t="shared" si="30"/>
        <v>10.947085582949398</v>
      </c>
      <c r="E352" s="42">
        <f t="shared" si="31"/>
        <v>3295.0727604677686</v>
      </c>
      <c r="F352" s="44"/>
      <c r="G352" s="42">
        <f t="shared" si="32"/>
        <v>2935.0727604677686</v>
      </c>
      <c r="H352" s="22">
        <v>360</v>
      </c>
      <c r="I352" s="23">
        <v>348</v>
      </c>
      <c r="J352">
        <f>I352/12</f>
        <v>29</v>
      </c>
    </row>
    <row r="353" spans="1:10" x14ac:dyDescent="0.25">
      <c r="B353" s="42">
        <f t="shared" si="29"/>
        <v>2935.0727604677686</v>
      </c>
      <c r="C353" s="43">
        <v>0.04</v>
      </c>
      <c r="D353" s="22">
        <f t="shared" si="30"/>
        <v>9.7835758682258955</v>
      </c>
      <c r="E353" s="42">
        <f t="shared" si="31"/>
        <v>2944.8563363359945</v>
      </c>
      <c r="F353" s="44"/>
      <c r="G353" s="42">
        <f t="shared" si="32"/>
        <v>2584.8563363359945</v>
      </c>
      <c r="H353" s="22">
        <v>360</v>
      </c>
      <c r="I353" s="23">
        <v>349</v>
      </c>
    </row>
    <row r="354" spans="1:10" x14ac:dyDescent="0.25">
      <c r="B354" s="42">
        <f t="shared" si="29"/>
        <v>2584.8563363359945</v>
      </c>
      <c r="C354" s="43">
        <v>0.04</v>
      </c>
      <c r="D354" s="22">
        <f t="shared" si="30"/>
        <v>8.6161877877866484</v>
      </c>
      <c r="E354" s="42">
        <f t="shared" si="31"/>
        <v>2593.4725241237811</v>
      </c>
      <c r="F354" s="44"/>
      <c r="G354" s="42">
        <f t="shared" si="32"/>
        <v>2233.4725241237811</v>
      </c>
      <c r="H354" s="22">
        <v>360</v>
      </c>
      <c r="I354" s="23">
        <v>350</v>
      </c>
    </row>
    <row r="355" spans="1:10" x14ac:dyDescent="0.25">
      <c r="B355" s="42">
        <f t="shared" si="29"/>
        <v>2233.4725241237811</v>
      </c>
      <c r="C355" s="43">
        <v>0.04</v>
      </c>
      <c r="D355" s="22">
        <f t="shared" si="30"/>
        <v>7.4449084137459378</v>
      </c>
      <c r="E355" s="42">
        <f t="shared" si="31"/>
        <v>2240.917432537527</v>
      </c>
      <c r="F355" s="44"/>
      <c r="G355" s="42">
        <f t="shared" si="32"/>
        <v>1880.917432537527</v>
      </c>
      <c r="H355" s="22">
        <v>360</v>
      </c>
      <c r="I355" s="23">
        <v>351</v>
      </c>
    </row>
    <row r="356" spans="1:10" x14ac:dyDescent="0.25">
      <c r="B356" s="42">
        <f t="shared" si="29"/>
        <v>1880.917432537527</v>
      </c>
      <c r="C356" s="43">
        <v>0.04</v>
      </c>
      <c r="D356" s="22">
        <f t="shared" si="30"/>
        <v>6.2697247751250904</v>
      </c>
      <c r="E356" s="42">
        <f t="shared" si="31"/>
        <v>1887.1871573126521</v>
      </c>
      <c r="F356" s="44"/>
      <c r="G356" s="42">
        <f t="shared" si="32"/>
        <v>1527.1871573126521</v>
      </c>
      <c r="H356" s="22">
        <v>360</v>
      </c>
      <c r="I356" s="23">
        <v>352</v>
      </c>
    </row>
    <row r="357" spans="1:10" x14ac:dyDescent="0.25">
      <c r="B357" s="42">
        <f t="shared" si="29"/>
        <v>1527.1871573126521</v>
      </c>
      <c r="C357" s="43">
        <v>0.04</v>
      </c>
      <c r="D357" s="22">
        <f t="shared" si="30"/>
        <v>5.0906238577088407</v>
      </c>
      <c r="E357" s="42">
        <f t="shared" si="31"/>
        <v>1532.2777811703609</v>
      </c>
      <c r="F357" s="44"/>
      <c r="G357" s="42">
        <f t="shared" si="32"/>
        <v>1172.2777811703609</v>
      </c>
      <c r="H357" s="22">
        <v>360</v>
      </c>
      <c r="I357" s="23">
        <v>353</v>
      </c>
    </row>
    <row r="358" spans="1:10" x14ac:dyDescent="0.25">
      <c r="B358" s="42">
        <f t="shared" si="29"/>
        <v>1172.2777811703609</v>
      </c>
      <c r="C358" s="43">
        <v>0.04</v>
      </c>
      <c r="D358" s="22">
        <f t="shared" si="30"/>
        <v>3.907592603901203</v>
      </c>
      <c r="E358" s="42">
        <f t="shared" si="31"/>
        <v>1176.185373774262</v>
      </c>
      <c r="F358" s="44"/>
      <c r="G358" s="42">
        <f t="shared" si="32"/>
        <v>816.18537377426196</v>
      </c>
      <c r="H358" s="22">
        <v>360</v>
      </c>
      <c r="I358" s="23">
        <v>354</v>
      </c>
    </row>
    <row r="359" spans="1:10" x14ac:dyDescent="0.25">
      <c r="B359" s="42">
        <f t="shared" si="29"/>
        <v>816.18537377426196</v>
      </c>
      <c r="C359" s="43">
        <v>0.04</v>
      </c>
      <c r="D359" s="22">
        <f t="shared" si="30"/>
        <v>2.7206179125808734</v>
      </c>
      <c r="E359" s="42">
        <f t="shared" si="31"/>
        <v>818.90599168684287</v>
      </c>
      <c r="F359" s="44"/>
      <c r="G359" s="42">
        <f t="shared" si="32"/>
        <v>458.90599168684287</v>
      </c>
      <c r="H359" s="22">
        <v>360</v>
      </c>
      <c r="I359" s="23">
        <v>355</v>
      </c>
    </row>
    <row r="360" spans="1:10" x14ac:dyDescent="0.25">
      <c r="B360" s="42">
        <f t="shared" si="29"/>
        <v>458.90599168684287</v>
      </c>
      <c r="C360" s="43">
        <v>0.04</v>
      </c>
      <c r="D360" s="22">
        <f t="shared" si="30"/>
        <v>1.529686638956143</v>
      </c>
      <c r="E360" s="42">
        <f t="shared" si="31"/>
        <v>460.43567832579902</v>
      </c>
      <c r="F360" s="44"/>
      <c r="G360" s="42">
        <f t="shared" si="32"/>
        <v>100.43567832579902</v>
      </c>
      <c r="H360" s="22">
        <v>360</v>
      </c>
      <c r="I360" s="23">
        <v>356</v>
      </c>
      <c r="J360">
        <f t="shared" ref="J360:J361" si="33">I360/12</f>
        <v>29.666666666666668</v>
      </c>
    </row>
    <row r="361" spans="1:10" x14ac:dyDescent="0.25">
      <c r="B361" s="42">
        <f t="shared" si="29"/>
        <v>100.43567832579902</v>
      </c>
      <c r="C361" s="43">
        <v>0.04</v>
      </c>
      <c r="D361" s="22">
        <f t="shared" si="30"/>
        <v>0.33478559441933009</v>
      </c>
      <c r="E361" s="42">
        <f t="shared" si="31"/>
        <v>100.77046392021835</v>
      </c>
      <c r="F361" s="44"/>
      <c r="G361" s="42">
        <f t="shared" si="32"/>
        <v>-259.22953607978167</v>
      </c>
      <c r="H361" s="22">
        <v>360</v>
      </c>
      <c r="I361" s="23">
        <v>357</v>
      </c>
      <c r="J361">
        <f t="shared" si="33"/>
        <v>29.75</v>
      </c>
    </row>
    <row r="362" spans="1:10" x14ac:dyDescent="0.25">
      <c r="A362" s="40"/>
      <c r="B362" s="22"/>
      <c r="C362" s="21"/>
      <c r="D362" s="22">
        <f>SUM(D5:D361)</f>
        <v>53260.770463920278</v>
      </c>
      <c r="E362" s="22"/>
      <c r="F362" s="20"/>
      <c r="G362" s="22"/>
      <c r="H362" s="22">
        <f>SUM(H5:H361)</f>
        <v>128520</v>
      </c>
      <c r="I362" s="23"/>
      <c r="J362" s="40"/>
    </row>
    <row r="363" spans="1:10" x14ac:dyDescent="0.25">
      <c r="A363" s="40"/>
      <c r="B363" s="35"/>
      <c r="C363" s="36"/>
      <c r="D363" s="35"/>
      <c r="E363" s="35"/>
      <c r="F363" s="37"/>
      <c r="G363" s="35"/>
      <c r="H363" s="35"/>
      <c r="I363" s="38"/>
      <c r="J363" s="40"/>
    </row>
    <row r="364" spans="1:10" x14ac:dyDescent="0.25">
      <c r="A364" s="40"/>
      <c r="B364" s="35"/>
      <c r="C364" s="36"/>
      <c r="D364" s="35"/>
      <c r="E364" s="35"/>
      <c r="F364" s="37"/>
      <c r="G364" s="35"/>
      <c r="H364" s="35"/>
      <c r="I364" s="38"/>
      <c r="J364" s="40"/>
    </row>
    <row r="365" spans="1:10" x14ac:dyDescent="0.25">
      <c r="A365" s="40"/>
      <c r="B365" s="35"/>
      <c r="C365" s="36"/>
      <c r="D365" s="35"/>
      <c r="E365" s="35"/>
      <c r="F365" s="37"/>
      <c r="G365" s="35"/>
      <c r="H365" s="35"/>
      <c r="I365" s="38"/>
      <c r="J365" s="40"/>
    </row>
    <row r="366" spans="1:10" x14ac:dyDescent="0.25">
      <c r="A366" s="40"/>
      <c r="B366" s="35"/>
      <c r="C366" s="36"/>
      <c r="D366" s="35"/>
      <c r="E366" s="35"/>
      <c r="F366" s="37"/>
      <c r="G366" s="35"/>
      <c r="H366" s="35"/>
      <c r="I366" s="38"/>
      <c r="J366" s="40"/>
    </row>
    <row r="367" spans="1:10" x14ac:dyDescent="0.25">
      <c r="A367" s="40"/>
      <c r="B367" s="35"/>
      <c r="C367" s="36"/>
      <c r="D367" s="35"/>
      <c r="E367" s="35"/>
      <c r="F367" s="37"/>
      <c r="G367" s="35"/>
      <c r="H367" s="35"/>
      <c r="I367" s="38"/>
      <c r="J367" s="40"/>
    </row>
    <row r="368" spans="1:10" x14ac:dyDescent="0.25">
      <c r="A368" s="40"/>
      <c r="B368" s="35"/>
      <c r="C368" s="36"/>
      <c r="D368" s="35"/>
      <c r="E368" s="35"/>
      <c r="F368" s="37"/>
      <c r="G368" s="35"/>
      <c r="H368" s="35"/>
      <c r="I368" s="38"/>
      <c r="J368" s="40"/>
    </row>
    <row r="369" spans="1:10" x14ac:dyDescent="0.25">
      <c r="A369" s="40"/>
      <c r="B369" s="35"/>
      <c r="C369" s="36"/>
      <c r="D369" s="35"/>
      <c r="E369" s="35"/>
      <c r="F369" s="37"/>
      <c r="G369" s="35"/>
      <c r="H369" s="35"/>
      <c r="I369" s="38"/>
      <c r="J369" s="40"/>
    </row>
    <row r="370" spans="1:10" x14ac:dyDescent="0.25">
      <c r="A370" s="40"/>
      <c r="B370" s="35"/>
      <c r="C370" s="36"/>
      <c r="D370" s="35"/>
      <c r="E370" s="35"/>
      <c r="F370" s="37"/>
      <c r="G370" s="35"/>
      <c r="H370" s="35"/>
      <c r="I370" s="38"/>
      <c r="J370" s="40"/>
    </row>
    <row r="371" spans="1:10" x14ac:dyDescent="0.25">
      <c r="A371" s="40"/>
      <c r="B371" s="35"/>
      <c r="C371" s="36"/>
      <c r="D371" s="35"/>
      <c r="E371" s="35"/>
      <c r="F371" s="37"/>
      <c r="G371" s="35"/>
      <c r="H371" s="35"/>
      <c r="I371" s="38"/>
      <c r="J371" s="40"/>
    </row>
    <row r="372" spans="1:10" x14ac:dyDescent="0.25">
      <c r="A372" s="40"/>
      <c r="B372" s="35"/>
      <c r="C372" s="36"/>
      <c r="D372" s="35"/>
      <c r="E372" s="35"/>
      <c r="F372" s="37"/>
      <c r="G372" s="35"/>
      <c r="H372" s="35"/>
      <c r="I372" s="38"/>
      <c r="J372" s="40"/>
    </row>
    <row r="373" spans="1:10" x14ac:dyDescent="0.25">
      <c r="A373" s="40"/>
      <c r="B373" s="35"/>
      <c r="C373" s="36"/>
      <c r="D373" s="35"/>
      <c r="E373" s="35"/>
      <c r="F373" s="37"/>
      <c r="G373" s="35"/>
      <c r="H373" s="35"/>
      <c r="I373" s="38"/>
      <c r="J373" s="40"/>
    </row>
    <row r="374" spans="1:10" x14ac:dyDescent="0.25">
      <c r="A374" s="40"/>
      <c r="B374" s="35"/>
      <c r="C374" s="36"/>
      <c r="D374" s="35"/>
      <c r="E374" s="35"/>
      <c r="F374" s="37"/>
      <c r="G374" s="35"/>
      <c r="H374" s="35"/>
      <c r="I374" s="38"/>
      <c r="J374" s="40"/>
    </row>
    <row r="375" spans="1:10" x14ac:dyDescent="0.25">
      <c r="A375" s="40"/>
      <c r="B375" s="35"/>
      <c r="C375" s="36"/>
      <c r="D375" s="35"/>
      <c r="E375" s="35"/>
      <c r="F375" s="37"/>
      <c r="G375" s="35"/>
      <c r="H375" s="35"/>
      <c r="I375" s="38"/>
      <c r="J375" s="40"/>
    </row>
    <row r="376" spans="1:10" x14ac:dyDescent="0.25">
      <c r="A376" s="40"/>
      <c r="B376" s="35"/>
      <c r="C376" s="36"/>
      <c r="D376" s="35"/>
      <c r="E376" s="35"/>
      <c r="F376" s="37"/>
      <c r="G376" s="35"/>
      <c r="H376" s="35"/>
      <c r="I376" s="38"/>
      <c r="J376" s="40"/>
    </row>
    <row r="377" spans="1:10" x14ac:dyDescent="0.25">
      <c r="A377" s="40"/>
      <c r="B377" s="35"/>
      <c r="C377" s="36"/>
      <c r="D377" s="35"/>
      <c r="E377" s="35"/>
      <c r="F377" s="37"/>
      <c r="G377" s="35"/>
      <c r="H377" s="35"/>
      <c r="I377" s="38"/>
      <c r="J377" s="40"/>
    </row>
    <row r="378" spans="1:10" x14ac:dyDescent="0.25">
      <c r="A378" s="40"/>
      <c r="B378" s="35"/>
      <c r="C378" s="36"/>
      <c r="D378" s="35"/>
      <c r="E378" s="35"/>
      <c r="F378" s="37"/>
      <c r="G378" s="35"/>
      <c r="H378" s="35"/>
      <c r="I378" s="38"/>
      <c r="J378" s="40"/>
    </row>
    <row r="379" spans="1:10" x14ac:dyDescent="0.25">
      <c r="A379" s="40"/>
      <c r="B379" s="35"/>
      <c r="C379" s="36"/>
      <c r="D379" s="35"/>
      <c r="E379" s="35"/>
      <c r="F379" s="37"/>
      <c r="G379" s="35"/>
      <c r="H379" s="35"/>
      <c r="I379" s="38"/>
      <c r="J379" s="40"/>
    </row>
    <row r="380" spans="1:10" x14ac:dyDescent="0.25">
      <c r="A380" s="40"/>
      <c r="B380" s="35"/>
      <c r="C380" s="36"/>
      <c r="D380" s="35"/>
      <c r="E380" s="35"/>
      <c r="F380" s="37"/>
      <c r="G380" s="35"/>
      <c r="H380" s="35"/>
      <c r="I380" s="38"/>
      <c r="J380" s="40"/>
    </row>
    <row r="381" spans="1:10" x14ac:dyDescent="0.25">
      <c r="A381" s="40"/>
      <c r="B381" s="35"/>
      <c r="C381" s="36"/>
      <c r="D381" s="35"/>
      <c r="E381" s="35"/>
      <c r="F381" s="37"/>
      <c r="G381" s="35"/>
      <c r="H381" s="35"/>
      <c r="I381" s="38"/>
      <c r="J381" s="40"/>
    </row>
    <row r="382" spans="1:10" x14ac:dyDescent="0.25">
      <c r="A382" s="40"/>
      <c r="B382" s="35"/>
      <c r="C382" s="36"/>
      <c r="D382" s="35"/>
      <c r="E382" s="35"/>
      <c r="F382" s="37"/>
      <c r="G382" s="35"/>
      <c r="H382" s="35"/>
      <c r="I382" s="38"/>
      <c r="J382" s="40"/>
    </row>
    <row r="383" spans="1:10" x14ac:dyDescent="0.25">
      <c r="A383" s="40"/>
      <c r="B383" s="35"/>
      <c r="C383" s="36"/>
      <c r="D383" s="35"/>
      <c r="E383" s="35"/>
      <c r="F383" s="37"/>
      <c r="G383" s="35"/>
      <c r="H383" s="35"/>
      <c r="I383" s="38"/>
      <c r="J383" s="40"/>
    </row>
    <row r="384" spans="1:10" x14ac:dyDescent="0.25">
      <c r="B384" s="35"/>
      <c r="C384" s="36"/>
      <c r="D384" s="35"/>
      <c r="E384" s="35"/>
      <c r="F384" s="37"/>
      <c r="G384" s="35"/>
      <c r="H384" s="35"/>
      <c r="I384" s="38"/>
    </row>
    <row r="385" spans="2:9" x14ac:dyDescent="0.25">
      <c r="B385" s="35"/>
      <c r="C385" s="36"/>
      <c r="D385" s="35"/>
      <c r="E385" s="35"/>
      <c r="F385" s="37"/>
      <c r="G385" s="35"/>
      <c r="H385" s="35"/>
      <c r="I385" s="38"/>
    </row>
    <row r="386" spans="2:9" x14ac:dyDescent="0.25">
      <c r="B386" s="35"/>
      <c r="C386" s="36"/>
      <c r="D386" s="35"/>
      <c r="E386" s="35"/>
      <c r="F386" s="37"/>
      <c r="G386" s="35"/>
      <c r="H386" s="35"/>
      <c r="I386" s="38"/>
    </row>
    <row r="387" spans="2:9" x14ac:dyDescent="0.25">
      <c r="B387" s="35"/>
      <c r="C387" s="36"/>
      <c r="D387" s="35"/>
      <c r="E387" s="35"/>
      <c r="F387" s="37"/>
      <c r="G387" s="35"/>
      <c r="H387" s="35"/>
      <c r="I387" s="38"/>
    </row>
    <row r="388" spans="2:9" x14ac:dyDescent="0.25">
      <c r="B388" s="35"/>
      <c r="C388" s="36"/>
      <c r="D388" s="35"/>
      <c r="E388" s="35"/>
      <c r="F388" s="37"/>
      <c r="G388" s="35"/>
      <c r="H388" s="35"/>
      <c r="I388" s="38"/>
    </row>
    <row r="389" spans="2:9" x14ac:dyDescent="0.25">
      <c r="B389" s="35"/>
      <c r="C389" s="36"/>
      <c r="D389" s="35"/>
      <c r="E389" s="35"/>
      <c r="F389" s="37"/>
      <c r="G389" s="35"/>
      <c r="H389" s="35"/>
      <c r="I389" s="38"/>
    </row>
    <row r="390" spans="2:9" x14ac:dyDescent="0.25">
      <c r="B390" s="35"/>
      <c r="C390" s="36"/>
      <c r="D390" s="35"/>
      <c r="E390" s="35"/>
      <c r="F390" s="37"/>
      <c r="G390" s="35"/>
      <c r="H390" s="35"/>
      <c r="I390" s="38"/>
    </row>
    <row r="391" spans="2:9" x14ac:dyDescent="0.25">
      <c r="B391" s="35"/>
      <c r="C391" s="36"/>
      <c r="D391" s="35"/>
      <c r="E391" s="35"/>
      <c r="F391" s="37"/>
      <c r="G391" s="35"/>
      <c r="H391" s="35"/>
      <c r="I391" s="38"/>
    </row>
    <row r="392" spans="2:9" x14ac:dyDescent="0.25">
      <c r="B392" s="48"/>
      <c r="C392" s="49"/>
      <c r="D392" s="48"/>
      <c r="E392" s="48"/>
      <c r="F392" s="50"/>
      <c r="G392" s="48"/>
      <c r="H392" s="35"/>
      <c r="I392" s="38"/>
    </row>
    <row r="393" spans="2:9" x14ac:dyDescent="0.25">
      <c r="B393" s="48"/>
      <c r="C393" s="49"/>
      <c r="D393" s="48"/>
      <c r="E393" s="48"/>
      <c r="F393" s="50"/>
      <c r="G393" s="48"/>
      <c r="H393" s="35"/>
      <c r="I393" s="38"/>
    </row>
    <row r="394" spans="2:9" x14ac:dyDescent="0.25">
      <c r="B394" s="48"/>
      <c r="C394" s="49"/>
      <c r="D394" s="48"/>
      <c r="E394" s="48"/>
      <c r="F394" s="50"/>
      <c r="G394" s="48"/>
      <c r="H394" s="35"/>
      <c r="I394" s="51"/>
    </row>
    <row r="395" spans="2:9" x14ac:dyDescent="0.25">
      <c r="B395" s="48"/>
      <c r="C395" s="49"/>
      <c r="D395" s="48"/>
      <c r="E395" s="48"/>
      <c r="F395" s="50"/>
      <c r="G395" s="48"/>
      <c r="H395" s="35"/>
      <c r="I395" s="38"/>
    </row>
    <row r="396" spans="2:9" x14ac:dyDescent="0.25">
      <c r="B396" s="48"/>
      <c r="C396" s="49"/>
      <c r="D396" s="48"/>
      <c r="E396" s="48"/>
      <c r="F396" s="50"/>
      <c r="G396" s="48"/>
      <c r="H396" s="35"/>
      <c r="I396" s="38"/>
    </row>
    <row r="397" spans="2:9" x14ac:dyDescent="0.25">
      <c r="B397" s="48"/>
      <c r="C397" s="49"/>
      <c r="D397" s="48"/>
      <c r="E397" s="48"/>
      <c r="F397" s="50"/>
      <c r="G397" s="48"/>
      <c r="H397" s="35"/>
      <c r="I397" s="51"/>
    </row>
    <row r="398" spans="2:9" x14ac:dyDescent="0.25">
      <c r="B398" s="48"/>
      <c r="C398" s="49"/>
      <c r="D398" s="48"/>
      <c r="E398" s="48"/>
      <c r="F398" s="50"/>
      <c r="G398" s="48"/>
      <c r="H398" s="35"/>
      <c r="I398" s="38"/>
    </row>
    <row r="399" spans="2:9" x14ac:dyDescent="0.25">
      <c r="B399" s="48"/>
      <c r="C399" s="49"/>
      <c r="D399" s="48"/>
      <c r="E399" s="48"/>
      <c r="F399" s="50"/>
      <c r="G399" s="48"/>
      <c r="H399" s="35"/>
      <c r="I399" s="38"/>
    </row>
    <row r="400" spans="2:9" x14ac:dyDescent="0.25">
      <c r="B400" s="48"/>
      <c r="C400" s="49"/>
      <c r="D400" s="48"/>
      <c r="E400" s="48"/>
      <c r="F400" s="50"/>
      <c r="G400" s="48"/>
      <c r="H400" s="35"/>
      <c r="I400" s="51"/>
    </row>
    <row r="401" spans="2:10" x14ac:dyDescent="0.25">
      <c r="B401" s="48"/>
      <c r="C401" s="49"/>
      <c r="D401" s="48"/>
      <c r="E401" s="48"/>
      <c r="F401" s="50"/>
      <c r="G401" s="48"/>
      <c r="H401" s="35"/>
      <c r="I401" s="38"/>
    </row>
    <row r="402" spans="2:10" x14ac:dyDescent="0.25">
      <c r="B402" s="48"/>
      <c r="C402" s="49"/>
      <c r="D402" s="48"/>
      <c r="E402" s="48"/>
      <c r="F402" s="50"/>
      <c r="G402" s="48"/>
      <c r="H402" s="35"/>
      <c r="I402" s="38"/>
    </row>
    <row r="403" spans="2:10" x14ac:dyDescent="0.25">
      <c r="B403" s="48"/>
      <c r="C403" s="49"/>
      <c r="D403" s="48"/>
      <c r="E403" s="48"/>
      <c r="F403" s="50"/>
      <c r="G403" s="48"/>
      <c r="H403" s="35"/>
      <c r="I403" s="51"/>
    </row>
    <row r="404" spans="2:10" x14ac:dyDescent="0.25">
      <c r="B404" s="48"/>
      <c r="C404" s="49"/>
      <c r="D404" s="48"/>
      <c r="E404" s="48"/>
      <c r="F404" s="50"/>
      <c r="G404" s="48"/>
      <c r="H404" s="35"/>
      <c r="I404" s="38"/>
    </row>
    <row r="405" spans="2:10" x14ac:dyDescent="0.25">
      <c r="B405" s="48"/>
      <c r="C405" s="49"/>
      <c r="D405" s="48"/>
      <c r="E405" s="48"/>
      <c r="F405" s="50"/>
      <c r="G405" s="48"/>
      <c r="H405" s="35"/>
      <c r="I405" s="38"/>
    </row>
    <row r="406" spans="2:10" x14ac:dyDescent="0.25">
      <c r="B406" s="48"/>
      <c r="C406" s="49"/>
      <c r="D406" s="48"/>
      <c r="E406" s="48"/>
      <c r="F406" s="50"/>
      <c r="G406" s="48"/>
      <c r="H406" s="35"/>
      <c r="I406" s="51"/>
    </row>
    <row r="407" spans="2:10" x14ac:dyDescent="0.25">
      <c r="B407" s="48"/>
      <c r="C407" s="49"/>
      <c r="D407" s="48"/>
      <c r="E407" s="48"/>
      <c r="F407" s="50"/>
      <c r="G407" s="48"/>
      <c r="H407" s="35"/>
      <c r="I407" s="38"/>
    </row>
    <row r="408" spans="2:10" x14ac:dyDescent="0.25">
      <c r="B408" s="48"/>
      <c r="C408" s="49"/>
      <c r="D408" s="48"/>
      <c r="E408" s="48"/>
      <c r="F408" s="50"/>
      <c r="G408" s="48"/>
      <c r="H408" s="35"/>
      <c r="I408" s="38"/>
    </row>
    <row r="409" spans="2:10" x14ac:dyDescent="0.25">
      <c r="B409" s="48"/>
      <c r="C409" s="49"/>
      <c r="D409" s="48"/>
      <c r="E409" s="48"/>
      <c r="F409" s="50"/>
      <c r="G409" s="48"/>
      <c r="H409" s="35"/>
      <c r="I409" s="51"/>
    </row>
    <row r="410" spans="2:10" x14ac:dyDescent="0.25">
      <c r="B410" s="48"/>
      <c r="C410" s="49"/>
      <c r="D410" s="48"/>
      <c r="E410" s="48"/>
      <c r="F410" s="50"/>
      <c r="G410" s="48"/>
      <c r="H410" s="35"/>
      <c r="I410" s="38"/>
    </row>
    <row r="411" spans="2:10" x14ac:dyDescent="0.25">
      <c r="B411" s="48"/>
      <c r="C411" s="49"/>
      <c r="D411" s="48"/>
      <c r="E411" s="48"/>
      <c r="F411" s="50"/>
      <c r="G411" s="48"/>
      <c r="H411" s="35"/>
      <c r="I411" s="38"/>
    </row>
    <row r="412" spans="2:10" x14ac:dyDescent="0.25">
      <c r="B412" s="48"/>
      <c r="C412" s="49"/>
      <c r="D412" s="48"/>
      <c r="E412" s="48"/>
      <c r="F412" s="50"/>
      <c r="G412" s="48"/>
      <c r="H412" s="35"/>
      <c r="I412" s="51"/>
    </row>
    <row r="413" spans="2:10" x14ac:dyDescent="0.25">
      <c r="B413" s="48"/>
      <c r="C413" s="49"/>
      <c r="D413" s="48"/>
      <c r="E413" s="48"/>
      <c r="F413" s="50"/>
      <c r="G413" s="48"/>
      <c r="H413" s="35"/>
      <c r="I413" s="38"/>
    </row>
    <row r="414" spans="2:10" x14ac:dyDescent="0.25">
      <c r="B414" s="48"/>
      <c r="C414" s="49"/>
      <c r="D414" s="48"/>
      <c r="E414" s="48"/>
      <c r="F414" s="50"/>
      <c r="G414" s="48"/>
      <c r="H414" s="35"/>
      <c r="I414" s="38"/>
    </row>
    <row r="415" spans="2:10" x14ac:dyDescent="0.25">
      <c r="B415" s="48"/>
      <c r="C415" s="49"/>
      <c r="D415" s="48"/>
      <c r="E415" s="48"/>
      <c r="F415" s="50"/>
      <c r="G415" s="48"/>
      <c r="H415" s="35"/>
      <c r="I415" s="51"/>
      <c r="J415" s="40"/>
    </row>
    <row r="416" spans="2:10" x14ac:dyDescent="0.25">
      <c r="B416" s="48"/>
      <c r="C416" s="49"/>
      <c r="D416" s="48"/>
      <c r="E416" s="48"/>
      <c r="F416" s="50"/>
      <c r="G416" s="48"/>
      <c r="H416" s="48"/>
      <c r="I416" s="51"/>
      <c r="J416" s="40"/>
    </row>
    <row r="417" spans="2:9" x14ac:dyDescent="0.25">
      <c r="B417" s="48"/>
      <c r="C417" s="49"/>
      <c r="D417" s="48"/>
      <c r="E417" s="48"/>
      <c r="F417" s="50"/>
      <c r="G417" s="48"/>
      <c r="H417" s="48"/>
      <c r="I417" s="51"/>
    </row>
    <row r="418" spans="2:9" x14ac:dyDescent="0.25">
      <c r="B418" s="48"/>
      <c r="C418" s="49"/>
      <c r="D418" s="48"/>
      <c r="E418" s="48"/>
      <c r="F418" s="50"/>
      <c r="G418" s="48"/>
      <c r="H418" s="48"/>
      <c r="I418" s="51"/>
    </row>
    <row r="419" spans="2:9" x14ac:dyDescent="0.25">
      <c r="B419" s="48"/>
      <c r="C419" s="49"/>
      <c r="D419" s="48"/>
      <c r="E419" s="48"/>
      <c r="F419" s="50"/>
      <c r="G419" s="48"/>
      <c r="H419" s="48"/>
      <c r="I419" s="51"/>
    </row>
    <row r="420" spans="2:9" x14ac:dyDescent="0.25">
      <c r="B420" s="48"/>
      <c r="C420" s="49"/>
      <c r="D420" s="48"/>
      <c r="E420" s="48"/>
      <c r="F420" s="50"/>
      <c r="G420" s="48"/>
      <c r="H420" s="48"/>
      <c r="I420" s="51"/>
    </row>
    <row r="421" spans="2:9" x14ac:dyDescent="0.25">
      <c r="B421" s="48"/>
      <c r="C421" s="49"/>
      <c r="D421" s="48"/>
      <c r="E421" s="48"/>
      <c r="F421" s="50"/>
      <c r="G421" s="48"/>
      <c r="H421" s="48"/>
      <c r="I421" s="51"/>
    </row>
    <row r="422" spans="2:9" x14ac:dyDescent="0.25">
      <c r="B422" s="48"/>
      <c r="C422" s="49"/>
      <c r="D422" s="48"/>
      <c r="E422" s="48"/>
      <c r="F422" s="50"/>
      <c r="G422" s="48"/>
      <c r="H422" s="48"/>
      <c r="I422" s="51"/>
    </row>
    <row r="423" spans="2:9" x14ac:dyDescent="0.25">
      <c r="B423" s="48"/>
      <c r="C423" s="49"/>
      <c r="D423" s="48"/>
      <c r="E423" s="48"/>
      <c r="F423" s="50"/>
      <c r="G423" s="48"/>
      <c r="H423" s="48"/>
      <c r="I423" s="51"/>
    </row>
    <row r="424" spans="2:9" x14ac:dyDescent="0.25">
      <c r="B424" s="48"/>
      <c r="C424" s="49"/>
      <c r="D424" s="48"/>
      <c r="E424" s="48"/>
      <c r="F424" s="50"/>
      <c r="G424" s="48"/>
      <c r="H424" s="48"/>
      <c r="I424" s="51"/>
    </row>
    <row r="425" spans="2:9" x14ac:dyDescent="0.25">
      <c r="B425" s="48"/>
      <c r="C425" s="49"/>
      <c r="D425" s="48"/>
      <c r="E425" s="48"/>
      <c r="F425" s="50"/>
      <c r="G425" s="48"/>
      <c r="H425" s="48"/>
      <c r="I425" s="51"/>
    </row>
    <row r="426" spans="2:9" x14ac:dyDescent="0.25">
      <c r="B426" s="48"/>
      <c r="C426" s="49"/>
      <c r="D426" s="48"/>
      <c r="E426" s="48"/>
      <c r="F426" s="50"/>
      <c r="G426" s="48"/>
      <c r="H426" s="48"/>
      <c r="I426" s="51"/>
    </row>
    <row r="427" spans="2:9" x14ac:dyDescent="0.25">
      <c r="B427" s="48"/>
      <c r="C427" s="49"/>
      <c r="D427" s="48"/>
      <c r="E427" s="48"/>
      <c r="F427" s="50"/>
      <c r="G427" s="48"/>
      <c r="H427" s="48"/>
      <c r="I427" s="51"/>
    </row>
    <row r="428" spans="2:9" x14ac:dyDescent="0.25">
      <c r="B428" s="48"/>
      <c r="C428" s="49"/>
      <c r="D428" s="48"/>
      <c r="E428" s="48"/>
      <c r="F428" s="50"/>
      <c r="G428" s="48"/>
      <c r="H428" s="48"/>
      <c r="I428" s="51"/>
    </row>
    <row r="429" spans="2:9" x14ac:dyDescent="0.25">
      <c r="B429" s="48"/>
      <c r="C429" s="49"/>
      <c r="D429" s="48"/>
      <c r="E429" s="48"/>
      <c r="F429" s="50"/>
      <c r="G429" s="48"/>
      <c r="H429" s="48"/>
      <c r="I429" s="51"/>
    </row>
    <row r="430" spans="2:9" x14ac:dyDescent="0.25">
      <c r="B430" s="48"/>
      <c r="C430" s="49"/>
      <c r="D430" s="48"/>
      <c r="E430" s="48"/>
      <c r="F430" s="50"/>
      <c r="G430" s="48"/>
      <c r="H430" s="48"/>
      <c r="I430" s="51"/>
    </row>
    <row r="431" spans="2:9" x14ac:dyDescent="0.25">
      <c r="B431" s="48"/>
      <c r="C431" s="49"/>
      <c r="D431" s="48"/>
      <c r="E431" s="48"/>
      <c r="F431" s="50"/>
      <c r="G431" s="48"/>
      <c r="H431" s="48"/>
      <c r="I431" s="51"/>
    </row>
    <row r="432" spans="2:9" x14ac:dyDescent="0.25">
      <c r="B432" s="48"/>
      <c r="C432" s="49"/>
      <c r="D432" s="48"/>
      <c r="E432" s="48"/>
      <c r="F432" s="50"/>
      <c r="G432" s="48"/>
      <c r="H432" s="48"/>
      <c r="I432" s="51"/>
    </row>
    <row r="433" spans="2:9" x14ac:dyDescent="0.25">
      <c r="B433" s="48"/>
      <c r="C433" s="49"/>
      <c r="D433" s="48"/>
      <c r="E433" s="48"/>
      <c r="F433" s="50"/>
      <c r="G433" s="48"/>
      <c r="H433" s="48"/>
      <c r="I433" s="51"/>
    </row>
    <row r="434" spans="2:9" x14ac:dyDescent="0.25">
      <c r="B434" s="48"/>
      <c r="C434" s="49"/>
      <c r="D434" s="48"/>
      <c r="E434" s="48"/>
      <c r="F434" s="50"/>
      <c r="G434" s="48"/>
      <c r="H434" s="48"/>
      <c r="I434" s="51"/>
    </row>
    <row r="435" spans="2:9" x14ac:dyDescent="0.25">
      <c r="B435" s="48"/>
      <c r="C435" s="49"/>
      <c r="D435" s="48"/>
      <c r="E435" s="48"/>
      <c r="F435" s="50"/>
      <c r="G435" s="48"/>
      <c r="H435" s="48"/>
      <c r="I435" s="51"/>
    </row>
    <row r="436" spans="2:9" x14ac:dyDescent="0.25">
      <c r="B436" s="48"/>
      <c r="C436" s="49"/>
      <c r="D436" s="48"/>
      <c r="E436" s="48"/>
      <c r="F436" s="50"/>
      <c r="G436" s="48"/>
      <c r="H436" s="48"/>
      <c r="I436" s="51"/>
    </row>
    <row r="437" spans="2:9" x14ac:dyDescent="0.25">
      <c r="B437" s="48"/>
      <c r="C437" s="49"/>
      <c r="D437" s="48"/>
      <c r="E437" s="48"/>
      <c r="F437" s="50"/>
      <c r="G437" s="48"/>
      <c r="H437" s="48"/>
      <c r="I437" s="51"/>
    </row>
    <row r="438" spans="2:9" x14ac:dyDescent="0.25">
      <c r="B438" s="48"/>
      <c r="C438" s="49"/>
      <c r="D438" s="48"/>
      <c r="E438" s="48"/>
      <c r="F438" s="50"/>
      <c r="G438" s="48"/>
      <c r="H438" s="48"/>
      <c r="I438" s="51"/>
    </row>
    <row r="439" spans="2:9" x14ac:dyDescent="0.25">
      <c r="B439" s="48"/>
      <c r="C439" s="49"/>
      <c r="D439" s="48"/>
      <c r="E439" s="48"/>
      <c r="F439" s="50"/>
      <c r="G439" s="48"/>
      <c r="H439" s="48"/>
      <c r="I439" s="51"/>
    </row>
    <row r="440" spans="2:9" x14ac:dyDescent="0.25">
      <c r="B440" s="48"/>
      <c r="C440" s="49"/>
      <c r="D440" s="48"/>
      <c r="E440" s="48"/>
      <c r="F440" s="50"/>
      <c r="G440" s="48"/>
      <c r="H440" s="48"/>
      <c r="I440" s="51"/>
    </row>
    <row r="441" spans="2:9" x14ac:dyDescent="0.25">
      <c r="B441" s="48"/>
      <c r="C441" s="49"/>
      <c r="D441" s="48"/>
      <c r="E441" s="48"/>
      <c r="F441" s="50"/>
      <c r="G441" s="48"/>
      <c r="H441" s="48"/>
      <c r="I441" s="51"/>
    </row>
    <row r="442" spans="2:9" x14ac:dyDescent="0.25">
      <c r="B442" s="48"/>
      <c r="C442" s="49"/>
      <c r="D442" s="48"/>
      <c r="E442" s="48"/>
      <c r="F442" s="50"/>
      <c r="G442" s="48"/>
      <c r="H442" s="48"/>
      <c r="I442" s="51"/>
    </row>
    <row r="443" spans="2:9" x14ac:dyDescent="0.25">
      <c r="B443" s="48"/>
      <c r="C443" s="49"/>
      <c r="D443" s="48"/>
      <c r="E443" s="48"/>
      <c r="F443" s="50"/>
      <c r="G443" s="48"/>
      <c r="H443" s="48"/>
      <c r="I443" s="51"/>
    </row>
    <row r="444" spans="2:9" x14ac:dyDescent="0.25">
      <c r="B444" s="48"/>
      <c r="C444" s="49"/>
      <c r="D444" s="48"/>
      <c r="E444" s="48"/>
      <c r="F444" s="50"/>
      <c r="G444" s="48"/>
      <c r="H444" s="48"/>
      <c r="I444" s="51"/>
    </row>
    <row r="445" spans="2:9" x14ac:dyDescent="0.25">
      <c r="B445" s="48"/>
      <c r="C445" s="49"/>
      <c r="D445" s="48"/>
      <c r="E445" s="48"/>
      <c r="F445" s="50"/>
      <c r="G445" s="48"/>
      <c r="H445" s="48"/>
      <c r="I445" s="51"/>
    </row>
    <row r="446" spans="2:9" x14ac:dyDescent="0.25">
      <c r="B446" s="48"/>
      <c r="C446" s="49"/>
      <c r="D446" s="48"/>
      <c r="E446" s="48"/>
      <c r="F446" s="50"/>
      <c r="G446" s="48"/>
      <c r="H446" s="48"/>
      <c r="I446" s="51"/>
    </row>
    <row r="447" spans="2:9" x14ac:dyDescent="0.25">
      <c r="B447" s="48"/>
      <c r="C447" s="49"/>
      <c r="D447" s="48"/>
      <c r="E447" s="48"/>
      <c r="F447" s="50"/>
      <c r="G447" s="48"/>
      <c r="H447" s="48"/>
      <c r="I447" s="51"/>
    </row>
    <row r="448" spans="2:9" x14ac:dyDescent="0.25">
      <c r="B448" s="48"/>
      <c r="C448" s="49"/>
      <c r="D448" s="48"/>
      <c r="E448" s="48"/>
      <c r="F448" s="50"/>
      <c r="G448" s="48"/>
      <c r="H448" s="48"/>
      <c r="I448" s="51"/>
    </row>
    <row r="449" spans="2:9" x14ac:dyDescent="0.25">
      <c r="B449" s="48"/>
      <c r="C449" s="49"/>
      <c r="D449" s="48"/>
      <c r="E449" s="48"/>
      <c r="F449" s="50"/>
      <c r="G449" s="48"/>
      <c r="H449" s="48"/>
      <c r="I449" s="51"/>
    </row>
    <row r="450" spans="2:9" x14ac:dyDescent="0.25">
      <c r="B450" s="48"/>
      <c r="C450" s="49"/>
      <c r="D450" s="48"/>
      <c r="E450" s="48"/>
      <c r="F450" s="50"/>
      <c r="G450" s="48"/>
      <c r="H450" s="48"/>
      <c r="I450" s="51"/>
    </row>
    <row r="451" spans="2:9" x14ac:dyDescent="0.25">
      <c r="B451" s="48"/>
      <c r="C451" s="49"/>
      <c r="D451" s="48"/>
      <c r="E451" s="48"/>
      <c r="F451" s="50"/>
      <c r="G451" s="48"/>
      <c r="H451" s="48"/>
      <c r="I451" s="51"/>
    </row>
    <row r="452" spans="2:9" x14ac:dyDescent="0.25">
      <c r="B452" s="48"/>
      <c r="C452" s="49"/>
      <c r="D452" s="48"/>
      <c r="E452" s="48"/>
      <c r="F452" s="50"/>
      <c r="G452" s="48"/>
      <c r="H452" s="48"/>
      <c r="I452" s="51"/>
    </row>
    <row r="453" spans="2:9" x14ac:dyDescent="0.25">
      <c r="B453" s="48"/>
      <c r="C453" s="49"/>
      <c r="D453" s="48"/>
      <c r="E453" s="48"/>
      <c r="F453" s="50"/>
      <c r="G453" s="48"/>
      <c r="H453" s="48"/>
      <c r="I453" s="51"/>
    </row>
    <row r="454" spans="2:9" x14ac:dyDescent="0.25">
      <c r="B454" s="48"/>
      <c r="C454" s="49"/>
      <c r="D454" s="48"/>
      <c r="E454" s="48"/>
      <c r="F454" s="50"/>
      <c r="G454" s="48"/>
      <c r="H454" s="48"/>
      <c r="I454" s="51"/>
    </row>
    <row r="455" spans="2:9" x14ac:dyDescent="0.25">
      <c r="B455" s="48"/>
      <c r="C455" s="49"/>
      <c r="D455" s="48"/>
      <c r="E455" s="48"/>
      <c r="F455" s="50"/>
      <c r="G455" s="48"/>
      <c r="H455" s="48"/>
      <c r="I455" s="51"/>
    </row>
    <row r="456" spans="2:9" x14ac:dyDescent="0.25">
      <c r="B456" s="48"/>
      <c r="C456" s="49"/>
      <c r="D456" s="48"/>
      <c r="E456" s="48"/>
      <c r="F456" s="50"/>
      <c r="G456" s="48"/>
      <c r="H456" s="48"/>
      <c r="I456" s="51"/>
    </row>
    <row r="457" spans="2:9" x14ac:dyDescent="0.25">
      <c r="B457" s="48"/>
      <c r="C457" s="49"/>
      <c r="D457" s="48"/>
      <c r="E457" s="48"/>
      <c r="F457" s="50"/>
      <c r="G457" s="48"/>
      <c r="H457" s="48"/>
      <c r="I457" s="51"/>
    </row>
    <row r="458" spans="2:9" x14ac:dyDescent="0.25">
      <c r="B458" s="48"/>
      <c r="C458" s="49"/>
      <c r="D458" s="48"/>
      <c r="E458" s="48"/>
      <c r="F458" s="50"/>
      <c r="G458" s="48"/>
      <c r="H458" s="48"/>
      <c r="I458" s="51"/>
    </row>
    <row r="459" spans="2:9" x14ac:dyDescent="0.25">
      <c r="B459" s="40"/>
      <c r="C459" s="40"/>
      <c r="D459" s="40"/>
      <c r="E459" s="40"/>
      <c r="F459" s="40"/>
      <c r="G459" s="40"/>
      <c r="H459" s="40"/>
      <c r="I459" s="40"/>
    </row>
    <row r="460" spans="2:9" x14ac:dyDescent="0.25">
      <c r="B460" s="40"/>
      <c r="C460" s="40"/>
      <c r="D460" s="40"/>
      <c r="E460" s="40"/>
      <c r="F460" s="40"/>
      <c r="G460" s="40"/>
      <c r="H460" s="40"/>
      <c r="I460" s="40"/>
    </row>
    <row r="461" spans="2:9" x14ac:dyDescent="0.25">
      <c r="B461" s="40"/>
      <c r="C461" s="40"/>
      <c r="D461" s="40"/>
      <c r="E461" s="40"/>
      <c r="F461" s="40"/>
      <c r="G461" s="40"/>
      <c r="H461" s="40"/>
      <c r="I461" s="40"/>
    </row>
    <row r="462" spans="2:9" x14ac:dyDescent="0.25">
      <c r="B462" s="40"/>
      <c r="C462" s="40"/>
      <c r="D462" s="40"/>
      <c r="E462" s="40"/>
      <c r="F462" s="40"/>
      <c r="G462" s="40"/>
      <c r="H462" s="40"/>
      <c r="I462" s="40"/>
    </row>
    <row r="463" spans="2:9" x14ac:dyDescent="0.25">
      <c r="B463" s="40"/>
      <c r="C463" s="40"/>
      <c r="D463" s="40"/>
      <c r="E463" s="40"/>
      <c r="F463" s="40"/>
      <c r="G463" s="40"/>
      <c r="H463" s="40"/>
      <c r="I463" s="40"/>
    </row>
    <row r="464" spans="2:9" x14ac:dyDescent="0.25">
      <c r="B464" s="40"/>
      <c r="C464" s="40"/>
      <c r="D464" s="40"/>
      <c r="E464" s="40"/>
      <c r="F464" s="40"/>
      <c r="G464" s="40"/>
      <c r="H464" s="40"/>
      <c r="I464" s="40"/>
    </row>
    <row r="465" spans="2:9" x14ac:dyDescent="0.25">
      <c r="B465" s="40"/>
      <c r="C465" s="40"/>
      <c r="D465" s="40"/>
      <c r="E465" s="40"/>
      <c r="F465" s="40"/>
      <c r="G465" s="40"/>
      <c r="H465" s="40"/>
      <c r="I465" s="40"/>
    </row>
    <row r="466" spans="2:9" x14ac:dyDescent="0.25">
      <c r="B466" s="40"/>
      <c r="C466" s="40"/>
      <c r="D466" s="40"/>
      <c r="E466" s="40"/>
      <c r="F466" s="40"/>
      <c r="G466" s="40"/>
      <c r="H466" s="40"/>
      <c r="I466" s="40"/>
    </row>
    <row r="467" spans="2:9" x14ac:dyDescent="0.25">
      <c r="B467" s="40"/>
      <c r="C467" s="40"/>
      <c r="D467" s="40"/>
      <c r="E467" s="40"/>
      <c r="F467" s="40"/>
      <c r="G467" s="40"/>
      <c r="H467" s="40"/>
      <c r="I467" s="40"/>
    </row>
    <row r="468" spans="2:9" x14ac:dyDescent="0.25">
      <c r="B468" s="40"/>
      <c r="C468" s="40"/>
      <c r="D468" s="40"/>
      <c r="E468" s="40"/>
      <c r="F468" s="40"/>
      <c r="G468" s="40"/>
      <c r="H468" s="40"/>
      <c r="I468" s="4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A471"/>
  <sheetViews>
    <sheetView topLeftCell="K1" zoomScaleNormal="100" workbookViewId="0">
      <selection activeCell="X2" sqref="X2"/>
    </sheetView>
  </sheetViews>
  <sheetFormatPr defaultRowHeight="15" x14ac:dyDescent="0.25"/>
  <cols>
    <col min="1" max="1" width="3.7109375" customWidth="1"/>
    <col min="2" max="2" width="14.85546875" customWidth="1"/>
    <col min="4" max="4" width="12.42578125" customWidth="1"/>
    <col min="5" max="5" width="12.5703125" customWidth="1"/>
    <col min="6" max="6" width="13.28515625" bestFit="1" customWidth="1"/>
    <col min="7" max="7" width="10.5703125" customWidth="1"/>
    <col min="8" max="8" width="15.7109375" customWidth="1"/>
    <col min="11" max="11" width="11.5703125" bestFit="1" customWidth="1"/>
    <col min="12" max="12" width="13.28515625" bestFit="1" customWidth="1"/>
    <col min="13" max="13" width="10.5703125" bestFit="1" customWidth="1"/>
    <col min="14" max="14" width="11.5703125" bestFit="1" customWidth="1"/>
    <col min="15" max="15" width="10.5703125" bestFit="1" customWidth="1"/>
  </cols>
  <sheetData>
    <row r="1" spans="2:27" x14ac:dyDescent="0.25">
      <c r="X1">
        <v>75000</v>
      </c>
      <c r="Y1">
        <v>272</v>
      </c>
      <c r="Z1">
        <v>3.5000400000000001E-2</v>
      </c>
    </row>
    <row r="2" spans="2:27" x14ac:dyDescent="0.25">
      <c r="K2" s="54" t="s">
        <v>0</v>
      </c>
      <c r="L2" s="55" t="s">
        <v>19</v>
      </c>
      <c r="M2" s="56">
        <f>0.05/12</f>
        <v>4.1666666666666666E-3</v>
      </c>
      <c r="N2" s="57" t="s">
        <v>20</v>
      </c>
      <c r="O2" s="58" t="s">
        <v>9</v>
      </c>
      <c r="X2">
        <v>400</v>
      </c>
      <c r="Y2">
        <v>22.666666666666668</v>
      </c>
    </row>
    <row r="3" spans="2:27" ht="15.75" thickBot="1" x14ac:dyDescent="0.3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5" t="s">
        <v>14</v>
      </c>
      <c r="I3" s="4" t="s">
        <v>15</v>
      </c>
      <c r="K3" s="59">
        <f>400*(1-(1+0.0041667)^-366)/0.0041667</f>
        <v>75041.737241711962</v>
      </c>
      <c r="L3" s="60" t="s">
        <v>22</v>
      </c>
      <c r="M3" s="61">
        <f>366/12</f>
        <v>30.5</v>
      </c>
      <c r="N3" s="62">
        <f>H371</f>
        <v>146400</v>
      </c>
      <c r="O3" s="63">
        <f>D371</f>
        <v>71207.234500650244</v>
      </c>
      <c r="AA3">
        <v>398.8367129593334</v>
      </c>
    </row>
    <row r="4" spans="2:27" ht="16.5" thickTop="1" thickBot="1" x14ac:dyDescent="0.3">
      <c r="B4" s="13"/>
      <c r="C4" s="13"/>
      <c r="D4" s="13"/>
      <c r="E4" s="13"/>
      <c r="F4" s="13"/>
      <c r="G4" s="13"/>
      <c r="H4" s="13"/>
      <c r="L4" s="59">
        <f>75000*(1+0.0041667)^-370</f>
        <v>16103.104449829532</v>
      </c>
      <c r="O4" s="26"/>
      <c r="AA4">
        <v>796.51352196980611</v>
      </c>
    </row>
    <row r="5" spans="2:27" ht="15.75" thickTop="1" x14ac:dyDescent="0.25">
      <c r="B5" s="20">
        <v>75000</v>
      </c>
      <c r="C5" s="64">
        <v>0.05</v>
      </c>
      <c r="D5" s="22">
        <f>B5*(0.05/12)</f>
        <v>312.5</v>
      </c>
      <c r="E5" s="22">
        <f>B5+D5</f>
        <v>75312.5</v>
      </c>
      <c r="F5" s="20">
        <v>4800</v>
      </c>
      <c r="G5" s="22">
        <f>E5-H5</f>
        <v>74912.5</v>
      </c>
      <c r="H5" s="22">
        <v>400</v>
      </c>
      <c r="I5" s="23">
        <v>1</v>
      </c>
      <c r="AA5">
        <v>1193.0338002845317</v>
      </c>
    </row>
    <row r="6" spans="2:27" x14ac:dyDescent="0.25">
      <c r="B6" s="22">
        <f>G5</f>
        <v>74912.5</v>
      </c>
      <c r="C6" s="64">
        <v>0.05</v>
      </c>
      <c r="D6" s="22">
        <f t="shared" ref="D6:D69" si="0">B6*(0.05/12)</f>
        <v>312.13541666666669</v>
      </c>
      <c r="E6" s="22">
        <f>B6+D6</f>
        <v>75224.635416666672</v>
      </c>
      <c r="F6" s="20">
        <v>4800</v>
      </c>
      <c r="G6" s="22">
        <f t="shared" ref="G6:G69" si="1">E6-H6</f>
        <v>74824.635416666672</v>
      </c>
      <c r="H6" s="22">
        <v>400</v>
      </c>
      <c r="I6" s="23">
        <v>2</v>
      </c>
      <c r="AA6">
        <v>1588.4009113464197</v>
      </c>
    </row>
    <row r="7" spans="2:27" x14ac:dyDescent="0.25">
      <c r="B7" s="22">
        <f>G6</f>
        <v>74824.635416666672</v>
      </c>
      <c r="C7" s="64">
        <v>0.05</v>
      </c>
      <c r="D7" s="22">
        <f t="shared" si="0"/>
        <v>311.76931423611114</v>
      </c>
      <c r="E7" s="22">
        <f t="shared" ref="E7:E70" si="2">B7+D7</f>
        <v>75136.404730902781</v>
      </c>
      <c r="F7" s="20">
        <v>4800</v>
      </c>
      <c r="G7" s="22">
        <f t="shared" si="1"/>
        <v>74736.404730902781</v>
      </c>
      <c r="H7" s="22">
        <v>400</v>
      </c>
      <c r="I7" s="23">
        <v>3</v>
      </c>
      <c r="AA7">
        <v>1982.6182088167841</v>
      </c>
    </row>
    <row r="8" spans="2:27" x14ac:dyDescent="0.25">
      <c r="B8" s="22">
        <f t="shared" ref="B8:B27" si="3">G7</f>
        <v>74736.404730902781</v>
      </c>
      <c r="C8" s="64">
        <v>0.05</v>
      </c>
      <c r="D8" s="22">
        <f t="shared" si="0"/>
        <v>311.40168637876161</v>
      </c>
      <c r="E8" s="22">
        <f t="shared" si="2"/>
        <v>75047.806417281536</v>
      </c>
      <c r="F8" s="20">
        <v>4800</v>
      </c>
      <c r="G8" s="22">
        <f t="shared" si="1"/>
        <v>74647.806417281536</v>
      </c>
      <c r="H8" s="22">
        <v>400</v>
      </c>
      <c r="I8" s="23">
        <v>4</v>
      </c>
      <c r="AA8">
        <v>2375.6890366037401</v>
      </c>
    </row>
    <row r="9" spans="2:27" x14ac:dyDescent="0.25">
      <c r="B9" s="22">
        <f t="shared" si="3"/>
        <v>74647.806417281536</v>
      </c>
      <c r="C9" s="64">
        <v>0.05</v>
      </c>
      <c r="D9" s="22">
        <f t="shared" si="0"/>
        <v>311.03252673867308</v>
      </c>
      <c r="E9" s="22">
        <f t="shared" si="2"/>
        <v>74958.838944020215</v>
      </c>
      <c r="F9" s="20">
        <v>4800</v>
      </c>
      <c r="G9" s="22">
        <f t="shared" si="1"/>
        <v>74558.838944020215</v>
      </c>
      <c r="H9" s="22">
        <v>400</v>
      </c>
      <c r="I9" s="23">
        <v>5</v>
      </c>
      <c r="AA9">
        <v>2767.6167288906004</v>
      </c>
    </row>
    <row r="10" spans="2:27" x14ac:dyDescent="0.25">
      <c r="B10" s="22">
        <f t="shared" si="3"/>
        <v>74558.838944020215</v>
      </c>
      <c r="C10" s="64">
        <v>0.05</v>
      </c>
      <c r="D10" s="22">
        <f t="shared" si="0"/>
        <v>310.66182893341755</v>
      </c>
      <c r="E10" s="22">
        <f t="shared" si="2"/>
        <v>74869.50077295363</v>
      </c>
      <c r="F10" s="20">
        <v>4800</v>
      </c>
      <c r="G10" s="22">
        <f t="shared" si="1"/>
        <v>74469.50077295363</v>
      </c>
      <c r="H10" s="22">
        <v>400</v>
      </c>
      <c r="I10" s="23">
        <v>6</v>
      </c>
      <c r="AA10">
        <v>3158.404610164147</v>
      </c>
    </row>
    <row r="11" spans="2:27" x14ac:dyDescent="0.25">
      <c r="B11" s="22">
        <f t="shared" si="3"/>
        <v>74469.50077295363</v>
      </c>
      <c r="C11" s="64">
        <v>0.05</v>
      </c>
      <c r="D11" s="22">
        <f t="shared" si="0"/>
        <v>310.28958655397344</v>
      </c>
      <c r="E11" s="22">
        <f t="shared" si="2"/>
        <v>74779.790359507606</v>
      </c>
      <c r="F11" s="20">
        <v>4800</v>
      </c>
      <c r="G11" s="22">
        <f t="shared" si="1"/>
        <v>74379.790359507606</v>
      </c>
      <c r="H11" s="22">
        <v>400</v>
      </c>
      <c r="I11" s="23">
        <v>7</v>
      </c>
      <c r="AA11">
        <v>3548.0559952428334</v>
      </c>
    </row>
    <row r="12" spans="2:27" x14ac:dyDescent="0.25">
      <c r="B12" s="22">
        <f t="shared" si="3"/>
        <v>74379.790359507606</v>
      </c>
      <c r="C12" s="64">
        <v>0.05</v>
      </c>
      <c r="D12" s="22">
        <f t="shared" si="0"/>
        <v>309.91579316461502</v>
      </c>
      <c r="E12" s="22">
        <f t="shared" si="2"/>
        <v>74689.706152672225</v>
      </c>
      <c r="F12" s="20">
        <v>4800</v>
      </c>
      <c r="G12" s="22">
        <f t="shared" si="1"/>
        <v>74289.706152672225</v>
      </c>
      <c r="H12" s="22">
        <v>400</v>
      </c>
      <c r="I12" s="23">
        <v>8</v>
      </c>
      <c r="AA12">
        <v>3936.574189304903</v>
      </c>
    </row>
    <row r="13" spans="2:27" x14ac:dyDescent="0.25">
      <c r="B13" s="22">
        <f t="shared" si="3"/>
        <v>74289.706152672225</v>
      </c>
      <c r="C13" s="64">
        <v>0.05</v>
      </c>
      <c r="D13" s="22">
        <f t="shared" si="0"/>
        <v>309.54044230280095</v>
      </c>
      <c r="E13" s="22">
        <f t="shared" si="2"/>
        <v>74599.246594975019</v>
      </c>
      <c r="F13" s="20">
        <v>4800</v>
      </c>
      <c r="G13" s="22">
        <f t="shared" si="1"/>
        <v>74199.246594975019</v>
      </c>
      <c r="H13" s="22">
        <v>400</v>
      </c>
      <c r="I13" s="23">
        <v>9</v>
      </c>
      <c r="AA13">
        <v>4323.9624879164057</v>
      </c>
    </row>
    <row r="14" spans="2:27" x14ac:dyDescent="0.25">
      <c r="B14" s="22">
        <f t="shared" si="3"/>
        <v>74199.246594975019</v>
      </c>
      <c r="C14" s="64">
        <v>0.05</v>
      </c>
      <c r="D14" s="22">
        <f t="shared" si="0"/>
        <v>309.16352747906257</v>
      </c>
      <c r="E14" s="22">
        <f t="shared" si="2"/>
        <v>74508.410122454079</v>
      </c>
      <c r="F14" s="20">
        <v>4800</v>
      </c>
      <c r="G14" s="22">
        <f t="shared" si="1"/>
        <v>74108.410122454079</v>
      </c>
      <c r="H14" s="22">
        <v>400</v>
      </c>
      <c r="I14" s="23">
        <v>10</v>
      </c>
      <c r="AA14">
        <v>4710.2241770591982</v>
      </c>
    </row>
    <row r="15" spans="2:27" x14ac:dyDescent="0.25">
      <c r="B15" s="22">
        <f t="shared" si="3"/>
        <v>74108.410122454079</v>
      </c>
      <c r="C15" s="64">
        <v>0.05</v>
      </c>
      <c r="D15" s="22">
        <f t="shared" si="0"/>
        <v>308.78504217689198</v>
      </c>
      <c r="E15" s="22">
        <f t="shared" si="2"/>
        <v>74417.195164630975</v>
      </c>
      <c r="F15" s="20">
        <v>4800</v>
      </c>
      <c r="G15" s="22">
        <f t="shared" si="1"/>
        <v>74017.195164630975</v>
      </c>
      <c r="H15" s="22">
        <v>400</v>
      </c>
      <c r="I15" s="23">
        <v>11</v>
      </c>
      <c r="AA15">
        <v>5095.3625331587464</v>
      </c>
    </row>
    <row r="16" spans="2:27" x14ac:dyDescent="0.25">
      <c r="B16" s="22">
        <f t="shared" si="3"/>
        <v>74017.195164630975</v>
      </c>
      <c r="C16" s="64">
        <v>0.05</v>
      </c>
      <c r="D16" s="22">
        <f t="shared" si="0"/>
        <v>308.40497985262908</v>
      </c>
      <c r="E16" s="22">
        <f t="shared" si="2"/>
        <v>74325.6001444836</v>
      </c>
      <c r="F16" s="20">
        <v>4800</v>
      </c>
      <c r="G16" s="22">
        <f t="shared" si="1"/>
        <v>73925.6001444836</v>
      </c>
      <c r="H16" s="22">
        <v>400</v>
      </c>
      <c r="I16" s="23">
        <v>12</v>
      </c>
      <c r="AA16">
        <v>5479.3808231119883</v>
      </c>
    </row>
    <row r="17" spans="2:27" x14ac:dyDescent="0.25">
      <c r="B17" s="22">
        <f t="shared" si="3"/>
        <v>73925.6001444836</v>
      </c>
      <c r="C17" s="64">
        <v>0.05</v>
      </c>
      <c r="D17" s="22">
        <f t="shared" si="0"/>
        <v>308.02333393534832</v>
      </c>
      <c r="E17" s="22">
        <f t="shared" si="2"/>
        <v>74233.623478418944</v>
      </c>
      <c r="F17" s="20">
        <v>4800</v>
      </c>
      <c r="G17" s="22">
        <f t="shared" si="1"/>
        <v>73833.623478418944</v>
      </c>
      <c r="H17" s="22">
        <v>400</v>
      </c>
      <c r="I17" s="23">
        <v>13</v>
      </c>
      <c r="AA17">
        <v>5862.2823043150129</v>
      </c>
    </row>
    <row r="18" spans="2:27" x14ac:dyDescent="0.25">
      <c r="B18" s="22">
        <f t="shared" si="3"/>
        <v>73833.623478418944</v>
      </c>
      <c r="C18" s="64">
        <v>0.05</v>
      </c>
      <c r="D18" s="22">
        <f t="shared" si="0"/>
        <v>307.6400978267456</v>
      </c>
      <c r="E18" s="22">
        <f t="shared" si="2"/>
        <v>74141.263576245692</v>
      </c>
      <c r="F18" s="20">
        <v>4800</v>
      </c>
      <c r="G18" s="22">
        <f t="shared" si="1"/>
        <v>73741.263576245692</v>
      </c>
      <c r="H18" s="22">
        <v>400</v>
      </c>
      <c r="I18" s="23">
        <v>14</v>
      </c>
      <c r="AA18">
        <v>6244.0702246906676</v>
      </c>
    </row>
    <row r="19" spans="2:27" x14ac:dyDescent="0.25">
      <c r="B19" s="65">
        <f t="shared" si="3"/>
        <v>73741.263576245692</v>
      </c>
      <c r="C19" s="66">
        <v>0.05</v>
      </c>
      <c r="D19" s="22">
        <f t="shared" si="0"/>
        <v>307.25526490102374</v>
      </c>
      <c r="E19" s="65">
        <f t="shared" si="2"/>
        <v>74048.51884114671</v>
      </c>
      <c r="F19" s="67">
        <v>4800</v>
      </c>
      <c r="G19" s="22">
        <f t="shared" si="1"/>
        <v>73648.51884114671</v>
      </c>
      <c r="H19" s="65">
        <v>400</v>
      </c>
      <c r="I19" s="68">
        <v>15</v>
      </c>
      <c r="AA19">
        <v>6624.747822716161</v>
      </c>
    </row>
    <row r="20" spans="2:27" x14ac:dyDescent="0.25">
      <c r="B20" s="22">
        <f t="shared" si="3"/>
        <v>73648.51884114671</v>
      </c>
      <c r="C20" s="64">
        <v>0.05</v>
      </c>
      <c r="D20" s="22">
        <f t="shared" si="0"/>
        <v>306.86882850477798</v>
      </c>
      <c r="E20" s="22">
        <f t="shared" si="2"/>
        <v>73955.387669651493</v>
      </c>
      <c r="F20" s="20">
        <v>4800</v>
      </c>
      <c r="G20" s="22">
        <f t="shared" si="1"/>
        <v>73555.387669651493</v>
      </c>
      <c r="H20" s="22">
        <v>400</v>
      </c>
      <c r="I20" s="23">
        <v>16</v>
      </c>
      <c r="AA20">
        <v>7004.3183274504954</v>
      </c>
    </row>
    <row r="21" spans="2:27" x14ac:dyDescent="0.25">
      <c r="B21" s="22">
        <f t="shared" si="3"/>
        <v>73555.387669651493</v>
      </c>
      <c r="C21" s="64">
        <v>0.05</v>
      </c>
      <c r="D21" s="22">
        <f t="shared" si="0"/>
        <v>306.48078195688123</v>
      </c>
      <c r="E21" s="22">
        <f t="shared" si="2"/>
        <v>73861.868451608374</v>
      </c>
      <c r="F21" s="20">
        <v>4800</v>
      </c>
      <c r="G21" s="22">
        <f t="shared" si="1"/>
        <v>73461.868451608374</v>
      </c>
      <c r="H21" s="22">
        <v>400</v>
      </c>
      <c r="I21" s="23">
        <v>17</v>
      </c>
      <c r="AA21">
        <v>7382.7849585618815</v>
      </c>
    </row>
    <row r="22" spans="2:27" x14ac:dyDescent="0.25">
      <c r="B22" s="22">
        <f t="shared" si="3"/>
        <v>73461.868451608374</v>
      </c>
      <c r="C22" s="64">
        <v>0.05</v>
      </c>
      <c r="D22" s="22">
        <f t="shared" si="0"/>
        <v>306.09111854836823</v>
      </c>
      <c r="E22" s="22">
        <f t="shared" si="2"/>
        <v>73767.959570156745</v>
      </c>
      <c r="F22" s="20">
        <v>4800</v>
      </c>
      <c r="G22" s="22">
        <f t="shared" si="1"/>
        <v>73367.959570156745</v>
      </c>
      <c r="H22" s="22">
        <v>400</v>
      </c>
      <c r="I22" s="23">
        <v>18</v>
      </c>
      <c r="J22" t="s">
        <v>18</v>
      </c>
      <c r="K22">
        <f>(1+5%)^1</f>
        <v>1.05</v>
      </c>
      <c r="M22" s="26">
        <f>B5*K22-F5</f>
        <v>73950</v>
      </c>
      <c r="AA22">
        <v>7760.150926354987</v>
      </c>
    </row>
    <row r="23" spans="2:27" x14ac:dyDescent="0.25">
      <c r="B23" s="22">
        <f t="shared" si="3"/>
        <v>73367.959570156745</v>
      </c>
      <c r="C23" s="64">
        <v>0.05</v>
      </c>
      <c r="D23" s="22">
        <f t="shared" si="0"/>
        <v>305.69983154231977</v>
      </c>
      <c r="E23" s="22">
        <f t="shared" si="2"/>
        <v>73673.659401699071</v>
      </c>
      <c r="F23" s="20">
        <v>4800</v>
      </c>
      <c r="G23" s="22">
        <f t="shared" si="1"/>
        <v>73273.659401699071</v>
      </c>
      <c r="H23" s="22">
        <v>400</v>
      </c>
      <c r="I23" s="23">
        <v>19</v>
      </c>
      <c r="K23">
        <f>(1+5%)^2</f>
        <v>1.1025</v>
      </c>
      <c r="M23" s="26">
        <f>B6*K23-F6</f>
        <v>77791.03125</v>
      </c>
      <c r="AA23">
        <v>8136.4194317982829</v>
      </c>
    </row>
    <row r="24" spans="2:27" x14ac:dyDescent="0.25">
      <c r="B24" s="22">
        <f t="shared" si="3"/>
        <v>73273.659401699071</v>
      </c>
      <c r="C24" s="64">
        <v>0.05</v>
      </c>
      <c r="D24" s="22">
        <f t="shared" si="0"/>
        <v>305.30691417374612</v>
      </c>
      <c r="E24" s="22">
        <f t="shared" si="2"/>
        <v>73578.966315872822</v>
      </c>
      <c r="F24" s="20">
        <v>4800</v>
      </c>
      <c r="G24" s="22">
        <f t="shared" si="1"/>
        <v>73178.966315872822</v>
      </c>
      <c r="H24" s="22">
        <v>400</v>
      </c>
      <c r="I24" s="23">
        <v>20</v>
      </c>
      <c r="K24" s="12">
        <f>4800*((1-(1+0.05)^(-15))/5%)*(1+0.05)-75000</f>
        <v>-22686.523487569808</v>
      </c>
      <c r="M24" s="26">
        <f>SUM(F5:F19)</f>
        <v>72000</v>
      </c>
      <c r="O24" s="26">
        <f>75000-D5</f>
        <v>74687.5</v>
      </c>
      <c r="AA24">
        <v>8511.5936665510708</v>
      </c>
    </row>
    <row r="25" spans="2:27" x14ac:dyDescent="0.25">
      <c r="B25" s="22">
        <f t="shared" si="3"/>
        <v>73178.966315872822</v>
      </c>
      <c r="C25" s="64">
        <v>0.05</v>
      </c>
      <c r="D25" s="22">
        <f t="shared" si="0"/>
        <v>304.91235964947009</v>
      </c>
      <c r="E25" s="22">
        <f t="shared" si="2"/>
        <v>73483.878675522297</v>
      </c>
      <c r="F25" s="20">
        <v>4800</v>
      </c>
      <c r="G25" s="22">
        <f t="shared" si="1"/>
        <v>73083.878675522297</v>
      </c>
      <c r="H25" s="22">
        <v>400</v>
      </c>
      <c r="I25" s="23">
        <v>21</v>
      </c>
      <c r="AA25">
        <v>8885.6768129906231</v>
      </c>
    </row>
    <row r="26" spans="2:27" x14ac:dyDescent="0.25">
      <c r="B26" s="22">
        <f t="shared" si="3"/>
        <v>73083.878675522297</v>
      </c>
      <c r="C26" s="64">
        <v>0.05</v>
      </c>
      <c r="D26" s="22">
        <f t="shared" si="0"/>
        <v>304.51616114800959</v>
      </c>
      <c r="E26" s="22">
        <f t="shared" si="2"/>
        <v>73388.394836670312</v>
      </c>
      <c r="F26" s="20">
        <v>4800</v>
      </c>
      <c r="G26" s="22">
        <f t="shared" si="1"/>
        <v>72988.394836670312</v>
      </c>
      <c r="H26" s="22">
        <v>400</v>
      </c>
      <c r="I26" s="23">
        <v>22</v>
      </c>
      <c r="O26">
        <f>0.05/12</f>
        <v>4.1666666666666666E-3</v>
      </c>
      <c r="AA26">
        <v>9258.672044239207</v>
      </c>
    </row>
    <row r="27" spans="2:27" x14ac:dyDescent="0.25">
      <c r="B27" s="22">
        <f t="shared" si="3"/>
        <v>72988.394836670312</v>
      </c>
      <c r="C27" s="64">
        <v>0.05</v>
      </c>
      <c r="D27" s="22">
        <f t="shared" si="0"/>
        <v>304.11831181945962</v>
      </c>
      <c r="E27" s="22">
        <f t="shared" si="2"/>
        <v>73292.513148489772</v>
      </c>
      <c r="F27" s="20">
        <v>4800</v>
      </c>
      <c r="G27" s="22">
        <f t="shared" si="1"/>
        <v>72892.513148489772</v>
      </c>
      <c r="H27" s="22">
        <v>400</v>
      </c>
      <c r="I27" s="23">
        <v>23</v>
      </c>
      <c r="AA27">
        <v>9630.582524190917</v>
      </c>
    </row>
    <row r="28" spans="2:27" x14ac:dyDescent="0.25">
      <c r="B28" s="22">
        <f>G27</f>
        <v>72892.513148489772</v>
      </c>
      <c r="C28" s="64">
        <v>0.05</v>
      </c>
      <c r="D28" s="22">
        <f t="shared" si="0"/>
        <v>303.71880478537406</v>
      </c>
      <c r="E28" s="22">
        <f t="shared" si="2"/>
        <v>73196.231953275143</v>
      </c>
      <c r="F28" s="20">
        <v>4800</v>
      </c>
      <c r="G28" s="22">
        <f t="shared" si="1"/>
        <v>72796.231953275143</v>
      </c>
      <c r="H28" s="22">
        <v>400</v>
      </c>
      <c r="I28" s="23">
        <v>24</v>
      </c>
      <c r="AA28">
        <v>10001.411407538566</v>
      </c>
    </row>
    <row r="29" spans="2:27" x14ac:dyDescent="0.25">
      <c r="B29" s="22">
        <f t="shared" ref="B29:B92" si="4">G28</f>
        <v>72796.231953275143</v>
      </c>
      <c r="C29" s="64">
        <v>0.05</v>
      </c>
      <c r="D29" s="22">
        <f t="shared" si="0"/>
        <v>303.31763313864644</v>
      </c>
      <c r="E29" s="22">
        <f t="shared" si="2"/>
        <v>73099.549586413792</v>
      </c>
      <c r="F29" s="20">
        <v>4800</v>
      </c>
      <c r="G29" s="22">
        <f t="shared" si="1"/>
        <v>72699.549586413792</v>
      </c>
      <c r="H29" s="22">
        <v>400</v>
      </c>
      <c r="I29" s="23">
        <v>25</v>
      </c>
      <c r="AA29">
        <v>10371.161839800421</v>
      </c>
    </row>
    <row r="30" spans="2:27" x14ac:dyDescent="0.25">
      <c r="B30" s="22">
        <f t="shared" si="4"/>
        <v>72699.549586413792</v>
      </c>
      <c r="C30" s="64">
        <v>0.05</v>
      </c>
      <c r="D30" s="22">
        <f t="shared" si="0"/>
        <v>302.91478994339082</v>
      </c>
      <c r="E30" s="22">
        <f t="shared" si="2"/>
        <v>73002.46437635718</v>
      </c>
      <c r="F30" s="20">
        <v>4800</v>
      </c>
      <c r="G30" s="22">
        <f t="shared" si="1"/>
        <v>72602.46437635718</v>
      </c>
      <c r="H30" s="22">
        <v>400</v>
      </c>
      <c r="I30" s="23">
        <v>26</v>
      </c>
      <c r="AA30">
        <v>10739.836957346943</v>
      </c>
    </row>
    <row r="31" spans="2:27" x14ac:dyDescent="0.25">
      <c r="B31" s="22">
        <f t="shared" si="4"/>
        <v>72602.46437635718</v>
      </c>
      <c r="C31" s="64">
        <v>0.05</v>
      </c>
      <c r="D31" s="22">
        <f t="shared" si="0"/>
        <v>302.51026823482158</v>
      </c>
      <c r="E31" s="22">
        <f t="shared" si="2"/>
        <v>72904.974644592003</v>
      </c>
      <c r="F31" s="20">
        <v>4800</v>
      </c>
      <c r="G31" s="22">
        <f t="shared" si="1"/>
        <v>72504.974644592003</v>
      </c>
      <c r="H31" s="22">
        <v>400</v>
      </c>
      <c r="I31" s="23">
        <v>27</v>
      </c>
      <c r="AA31">
        <v>11107.439887427308</v>
      </c>
    </row>
    <row r="32" spans="2:27" x14ac:dyDescent="0.25">
      <c r="B32" s="22">
        <f t="shared" si="4"/>
        <v>72504.974644592003</v>
      </c>
      <c r="C32" s="64">
        <v>0.05</v>
      </c>
      <c r="D32" s="22">
        <f t="shared" si="0"/>
        <v>302.10406101913333</v>
      </c>
      <c r="E32" s="22">
        <f t="shared" si="2"/>
        <v>72807.078705611129</v>
      </c>
      <c r="F32" s="20">
        <v>4800</v>
      </c>
      <c r="G32" s="22">
        <f t="shared" si="1"/>
        <v>72407.078705611129</v>
      </c>
      <c r="H32" s="22">
        <v>400</v>
      </c>
      <c r="I32" s="23">
        <v>28</v>
      </c>
      <c r="AA32">
        <v>11473.973748195956</v>
      </c>
    </row>
    <row r="33" spans="2:27" x14ac:dyDescent="0.25">
      <c r="B33" s="22">
        <f t="shared" si="4"/>
        <v>72407.078705611129</v>
      </c>
      <c r="C33" s="64">
        <v>0.05</v>
      </c>
      <c r="D33" s="22">
        <f t="shared" si="0"/>
        <v>301.69616127337969</v>
      </c>
      <c r="E33" s="22">
        <f t="shared" si="2"/>
        <v>72708.774866884516</v>
      </c>
      <c r="F33" s="20">
        <v>4800</v>
      </c>
      <c r="G33" s="22">
        <f t="shared" si="1"/>
        <v>72308.774866884516</v>
      </c>
      <c r="H33" s="22">
        <v>400</v>
      </c>
      <c r="I33" s="23">
        <v>29</v>
      </c>
      <c r="AA33">
        <v>11839.441648739081</v>
      </c>
    </row>
    <row r="34" spans="2:27" x14ac:dyDescent="0.25">
      <c r="B34" s="22">
        <f t="shared" si="4"/>
        <v>72308.774866884516</v>
      </c>
      <c r="C34" s="64">
        <v>0.05</v>
      </c>
      <c r="D34" s="22">
        <f t="shared" si="0"/>
        <v>301.28656194535216</v>
      </c>
      <c r="E34" s="22">
        <f t="shared" si="2"/>
        <v>72610.061428829868</v>
      </c>
      <c r="F34" s="20">
        <v>4800</v>
      </c>
      <c r="G34" s="22">
        <f t="shared" si="1"/>
        <v>72210.061428829868</v>
      </c>
      <c r="H34" s="22">
        <v>400</v>
      </c>
      <c r="I34" s="23">
        <v>30</v>
      </c>
      <c r="AA34">
        <v>12203.846689101001</v>
      </c>
    </row>
    <row r="35" spans="2:27" x14ac:dyDescent="0.25">
      <c r="B35" s="22">
        <f t="shared" si="4"/>
        <v>72210.061428829868</v>
      </c>
      <c r="C35" s="64">
        <v>0.05</v>
      </c>
      <c r="D35" s="22">
        <f t="shared" si="0"/>
        <v>300.87525595345778</v>
      </c>
      <c r="E35" s="22">
        <f t="shared" si="2"/>
        <v>72510.93668478333</v>
      </c>
      <c r="F35" s="20">
        <v>4800</v>
      </c>
      <c r="G35" s="22">
        <f t="shared" si="1"/>
        <v>72110.93668478333</v>
      </c>
      <c r="H35" s="22">
        <v>400</v>
      </c>
      <c r="I35" s="23">
        <v>31</v>
      </c>
      <c r="AA35">
        <v>12567.191960310376</v>
      </c>
    </row>
    <row r="36" spans="2:27" x14ac:dyDescent="0.25">
      <c r="B36" s="22">
        <f t="shared" si="4"/>
        <v>72110.93668478333</v>
      </c>
      <c r="C36" s="64">
        <v>0.05</v>
      </c>
      <c r="D36" s="22">
        <f t="shared" si="0"/>
        <v>300.46223618659718</v>
      </c>
      <c r="E36" s="22">
        <f t="shared" si="2"/>
        <v>72411.398920969921</v>
      </c>
      <c r="F36" s="20">
        <v>4800</v>
      </c>
      <c r="G36" s="22">
        <f t="shared" si="1"/>
        <v>72011.398920969921</v>
      </c>
      <c r="H36" s="22">
        <v>400</v>
      </c>
      <c r="I36" s="23">
        <v>32</v>
      </c>
      <c r="AA36">
        <v>12929.480544406522</v>
      </c>
    </row>
    <row r="37" spans="2:27" x14ac:dyDescent="0.25">
      <c r="B37" s="22">
        <f t="shared" si="4"/>
        <v>72011.398920969921</v>
      </c>
      <c r="C37" s="64">
        <v>0.05</v>
      </c>
      <c r="D37" s="22">
        <f t="shared" si="0"/>
        <v>300.04749550404131</v>
      </c>
      <c r="E37" s="22">
        <f t="shared" si="2"/>
        <v>72311.446416473962</v>
      </c>
      <c r="F37" s="20">
        <v>4800</v>
      </c>
      <c r="G37" s="22">
        <f t="shared" si="1"/>
        <v>71911.446416473962</v>
      </c>
      <c r="H37" s="22">
        <v>400</v>
      </c>
      <c r="I37" s="23">
        <v>33</v>
      </c>
      <c r="AA37">
        <v>13290.715514465492</v>
      </c>
    </row>
    <row r="38" spans="2:27" x14ac:dyDescent="0.25">
      <c r="B38" s="22">
        <f t="shared" si="4"/>
        <v>71911.446416473962</v>
      </c>
      <c r="C38" s="64">
        <v>0.05</v>
      </c>
      <c r="D38" s="22">
        <f t="shared" si="0"/>
        <v>299.63102673530818</v>
      </c>
      <c r="E38" s="22">
        <f t="shared" si="2"/>
        <v>72211.077443209273</v>
      </c>
      <c r="F38" s="20">
        <v>4800</v>
      </c>
      <c r="G38" s="22">
        <f t="shared" si="1"/>
        <v>71811.077443209273</v>
      </c>
      <c r="H38" s="22">
        <v>400</v>
      </c>
      <c r="I38" s="23">
        <v>34</v>
      </c>
      <c r="AA38">
        <v>13650.899934626181</v>
      </c>
    </row>
    <row r="39" spans="2:27" x14ac:dyDescent="0.25">
      <c r="B39" s="22">
        <f t="shared" si="4"/>
        <v>71811.077443209273</v>
      </c>
      <c r="C39" s="64">
        <v>0.05</v>
      </c>
      <c r="D39" s="22">
        <f t="shared" si="0"/>
        <v>299.21282268003864</v>
      </c>
      <c r="E39" s="22">
        <f t="shared" si="2"/>
        <v>72110.290265889314</v>
      </c>
      <c r="F39" s="20">
        <v>4800</v>
      </c>
      <c r="G39" s="22">
        <f t="shared" si="1"/>
        <v>71710.290265889314</v>
      </c>
      <c r="H39" s="22">
        <v>400</v>
      </c>
      <c r="I39" s="23">
        <v>35</v>
      </c>
      <c r="AA39">
        <v>14010.036860116292</v>
      </c>
    </row>
    <row r="40" spans="2:27" x14ac:dyDescent="0.25">
      <c r="B40" s="22">
        <f t="shared" si="4"/>
        <v>71710.290265889314</v>
      </c>
      <c r="C40" s="64">
        <v>0.05</v>
      </c>
      <c r="D40" s="22">
        <f t="shared" si="0"/>
        <v>298.79287610787213</v>
      </c>
      <c r="E40" s="22">
        <f t="shared" si="2"/>
        <v>72009.08314199718</v>
      </c>
      <c r="F40" s="20">
        <v>4800</v>
      </c>
      <c r="G40" s="22">
        <f t="shared" si="1"/>
        <v>71609.08314199718</v>
      </c>
      <c r="H40" s="22">
        <v>400</v>
      </c>
      <c r="I40" s="23">
        <v>36</v>
      </c>
      <c r="AA40">
        <v>14368.129337278257</v>
      </c>
    </row>
    <row r="41" spans="2:27" x14ac:dyDescent="0.25">
      <c r="B41" s="22">
        <f t="shared" si="4"/>
        <v>71609.08314199718</v>
      </c>
      <c r="C41" s="64">
        <v>0.05</v>
      </c>
      <c r="D41" s="22">
        <f t="shared" si="0"/>
        <v>298.3711797583216</v>
      </c>
      <c r="E41" s="22">
        <f t="shared" si="2"/>
        <v>71907.454321755504</v>
      </c>
      <c r="F41" s="20">
        <v>4800</v>
      </c>
      <c r="G41" s="22">
        <f t="shared" si="1"/>
        <v>71507.454321755504</v>
      </c>
      <c r="H41" s="22">
        <v>400</v>
      </c>
      <c r="I41" s="23">
        <v>37</v>
      </c>
      <c r="AA41">
        <v>14725.180403595103</v>
      </c>
    </row>
    <row r="42" spans="2:27" x14ac:dyDescent="0.25">
      <c r="B42" s="22">
        <f t="shared" si="4"/>
        <v>71507.454321755504</v>
      </c>
      <c r="C42" s="64">
        <v>0.05</v>
      </c>
      <c r="D42" s="22">
        <f t="shared" si="0"/>
        <v>297.94772634064793</v>
      </c>
      <c r="E42" s="22">
        <f t="shared" si="2"/>
        <v>71805.402048096148</v>
      </c>
      <c r="F42" s="20">
        <v>4800</v>
      </c>
      <c r="G42" s="22">
        <f t="shared" si="1"/>
        <v>71405.402048096148</v>
      </c>
      <c r="H42" s="22">
        <v>400</v>
      </c>
      <c r="I42" s="23">
        <v>38</v>
      </c>
      <c r="AA42">
        <v>15081.193087716187</v>
      </c>
    </row>
    <row r="43" spans="2:27" x14ac:dyDescent="0.25">
      <c r="B43" s="22">
        <f t="shared" si="4"/>
        <v>71405.402048096148</v>
      </c>
      <c r="C43" s="64">
        <v>0.05</v>
      </c>
      <c r="D43" s="22">
        <f t="shared" si="0"/>
        <v>297.52250853373397</v>
      </c>
      <c r="E43" s="22">
        <f t="shared" si="2"/>
        <v>71702.924556629878</v>
      </c>
      <c r="F43" s="20">
        <v>4800</v>
      </c>
      <c r="G43" s="22">
        <f t="shared" si="1"/>
        <v>71302.924556629878</v>
      </c>
      <c r="H43" s="22">
        <v>400</v>
      </c>
      <c r="I43" s="23">
        <v>39</v>
      </c>
      <c r="AA43">
        <v>15436.170409482851</v>
      </c>
    </row>
    <row r="44" spans="2:27" x14ac:dyDescent="0.25">
      <c r="B44" s="22">
        <f t="shared" si="4"/>
        <v>71302.924556629878</v>
      </c>
      <c r="C44" s="64">
        <v>0.05</v>
      </c>
      <c r="D44" s="22">
        <f t="shared" si="0"/>
        <v>297.09551898595782</v>
      </c>
      <c r="E44" s="22">
        <f t="shared" si="2"/>
        <v>71600.02007561583</v>
      </c>
      <c r="F44" s="20">
        <v>4800</v>
      </c>
      <c r="G44" s="22">
        <f t="shared" si="1"/>
        <v>71200.02007561583</v>
      </c>
      <c r="H44" s="22">
        <v>400</v>
      </c>
      <c r="I44" s="23">
        <v>40</v>
      </c>
      <c r="AA44">
        <v>15790.115379954152</v>
      </c>
    </row>
    <row r="45" spans="2:27" x14ac:dyDescent="0.25">
      <c r="B45" s="22">
        <f t="shared" si="4"/>
        <v>71200.02007561583</v>
      </c>
      <c r="C45" s="64">
        <v>0.05</v>
      </c>
      <c r="D45" s="22">
        <f t="shared" si="0"/>
        <v>296.66675031506594</v>
      </c>
      <c r="E45" s="22">
        <f t="shared" si="2"/>
        <v>71496.686825930898</v>
      </c>
      <c r="F45" s="20">
        <v>4800</v>
      </c>
      <c r="G45" s="22">
        <f t="shared" si="1"/>
        <v>71096.686825930898</v>
      </c>
      <c r="H45" s="22">
        <v>400</v>
      </c>
      <c r="I45" s="23">
        <v>41</v>
      </c>
      <c r="AA45">
        <v>16143.031001432293</v>
      </c>
    </row>
    <row r="46" spans="2:27" x14ac:dyDescent="0.25">
      <c r="B46" s="22">
        <f t="shared" si="4"/>
        <v>71096.686825930898</v>
      </c>
      <c r="C46" s="64">
        <v>0.05</v>
      </c>
      <c r="D46" s="22">
        <f t="shared" si="0"/>
        <v>296.23619510804542</v>
      </c>
      <c r="E46" s="22">
        <f t="shared" si="2"/>
        <v>71392.923021038936</v>
      </c>
      <c r="F46" s="20">
        <v>4800</v>
      </c>
      <c r="G46" s="22">
        <f t="shared" si="1"/>
        <v>70992.923021038936</v>
      </c>
      <c r="H46" s="22">
        <v>400</v>
      </c>
      <c r="I46" s="23">
        <v>42</v>
      </c>
      <c r="AA46">
        <v>16494.920267488116</v>
      </c>
    </row>
    <row r="47" spans="2:27" x14ac:dyDescent="0.25">
      <c r="B47" s="22">
        <f t="shared" si="4"/>
        <v>70992.923021038936</v>
      </c>
      <c r="C47" s="64">
        <v>0.05</v>
      </c>
      <c r="D47" s="22">
        <f t="shared" si="0"/>
        <v>295.80384592099557</v>
      </c>
      <c r="E47" s="22">
        <f t="shared" si="2"/>
        <v>71288.726866959929</v>
      </c>
      <c r="F47" s="20">
        <v>4800</v>
      </c>
      <c r="G47" s="22">
        <f t="shared" si="1"/>
        <v>70888.726866959929</v>
      </c>
      <c r="H47" s="22">
        <v>400</v>
      </c>
      <c r="I47" s="23">
        <v>43</v>
      </c>
      <c r="AA47">
        <v>16845.786162986551</v>
      </c>
    </row>
    <row r="48" spans="2:27" x14ac:dyDescent="0.25">
      <c r="B48" s="22">
        <f t="shared" si="4"/>
        <v>70888.726866959929</v>
      </c>
      <c r="C48" s="64">
        <v>0.05</v>
      </c>
      <c r="D48" s="22">
        <f t="shared" si="0"/>
        <v>295.3696952789997</v>
      </c>
      <c r="E48" s="22">
        <f t="shared" si="2"/>
        <v>71184.096562238934</v>
      </c>
      <c r="F48" s="20">
        <v>4800</v>
      </c>
      <c r="G48" s="22">
        <f t="shared" si="1"/>
        <v>70784.096562238934</v>
      </c>
      <c r="H48" s="22">
        <v>400</v>
      </c>
      <c r="I48" s="23">
        <v>44</v>
      </c>
      <c r="AA48">
        <v>17195.631664111854</v>
      </c>
    </row>
    <row r="49" spans="2:27" x14ac:dyDescent="0.25">
      <c r="B49" s="22">
        <f t="shared" si="4"/>
        <v>70784.096562238934</v>
      </c>
      <c r="C49" s="64">
        <v>0.05</v>
      </c>
      <c r="D49" s="22">
        <f t="shared" si="0"/>
        <v>294.93373567599554</v>
      </c>
      <c r="E49" s="22">
        <f t="shared" si="2"/>
        <v>71079.030297914927</v>
      </c>
      <c r="F49" s="20">
        <v>4800</v>
      </c>
      <c r="G49" s="22">
        <f t="shared" si="1"/>
        <v>70679.030297914927</v>
      </c>
      <c r="H49" s="22">
        <v>400</v>
      </c>
      <c r="I49" s="23">
        <v>45</v>
      </c>
      <c r="AA49">
        <v>17544.459738392889</v>
      </c>
    </row>
    <row r="50" spans="2:27" x14ac:dyDescent="0.25">
      <c r="B50" s="22">
        <f t="shared" si="4"/>
        <v>70679.030297914927</v>
      </c>
      <c r="C50" s="64">
        <v>0.05</v>
      </c>
      <c r="D50" s="22">
        <f t="shared" si="0"/>
        <v>294.49595957464555</v>
      </c>
      <c r="E50" s="22">
        <f t="shared" si="2"/>
        <v>70973.526257489575</v>
      </c>
      <c r="F50" s="20">
        <v>4800</v>
      </c>
      <c r="G50" s="22">
        <f t="shared" si="1"/>
        <v>70573.526257489575</v>
      </c>
      <c r="H50" s="22">
        <v>400</v>
      </c>
      <c r="I50" s="23">
        <v>46</v>
      </c>
      <c r="AA50">
        <v>17892.273344728335</v>
      </c>
    </row>
    <row r="51" spans="2:27" x14ac:dyDescent="0.25">
      <c r="B51" s="22">
        <f t="shared" si="4"/>
        <v>70573.526257489575</v>
      </c>
      <c r="C51" s="64">
        <v>0.05</v>
      </c>
      <c r="D51" s="22">
        <f t="shared" si="0"/>
        <v>294.05635940620658</v>
      </c>
      <c r="E51" s="22">
        <f t="shared" si="2"/>
        <v>70867.582616895786</v>
      </c>
      <c r="F51" s="20">
        <v>4800</v>
      </c>
      <c r="G51" s="22">
        <f t="shared" si="1"/>
        <v>70467.582616895786</v>
      </c>
      <c r="H51" s="22">
        <v>400</v>
      </c>
      <c r="I51" s="23">
        <v>47</v>
      </c>
      <c r="AA51">
        <v>18239.075433411719</v>
      </c>
    </row>
    <row r="52" spans="2:27" x14ac:dyDescent="0.25">
      <c r="B52" s="22">
        <f t="shared" si="4"/>
        <v>70467.582616895786</v>
      </c>
      <c r="C52" s="64">
        <v>0.05</v>
      </c>
      <c r="D52" s="22">
        <f t="shared" si="0"/>
        <v>293.61492757039912</v>
      </c>
      <c r="E52" s="22">
        <f t="shared" si="2"/>
        <v>70761.19754446618</v>
      </c>
      <c r="F52" s="20">
        <v>4800</v>
      </c>
      <c r="G52" s="22">
        <f t="shared" si="1"/>
        <v>70361.19754446618</v>
      </c>
      <c r="H52" s="22">
        <v>400</v>
      </c>
      <c r="I52" s="23">
        <v>48</v>
      </c>
      <c r="AA52">
        <v>18584.868946156468</v>
      </c>
    </row>
    <row r="53" spans="2:27" x14ac:dyDescent="0.25">
      <c r="B53" s="22">
        <f t="shared" si="4"/>
        <v>70361.19754446618</v>
      </c>
      <c r="C53" s="64">
        <v>0.05</v>
      </c>
      <c r="D53" s="22">
        <f t="shared" si="0"/>
        <v>293.17165643527574</v>
      </c>
      <c r="E53" s="22">
        <f t="shared" si="2"/>
        <v>70654.369200901463</v>
      </c>
      <c r="F53" s="20">
        <v>4800</v>
      </c>
      <c r="G53" s="22">
        <f t="shared" si="1"/>
        <v>70254.369200901463</v>
      </c>
      <c r="H53" s="22">
        <v>400</v>
      </c>
      <c r="I53" s="23">
        <v>49</v>
      </c>
      <c r="AA53">
        <v>18929.656816120911</v>
      </c>
    </row>
    <row r="54" spans="2:27" x14ac:dyDescent="0.25">
      <c r="B54" s="22">
        <f t="shared" si="4"/>
        <v>70254.369200901463</v>
      </c>
      <c r="C54" s="64">
        <v>0.05</v>
      </c>
      <c r="D54" s="22">
        <f t="shared" si="0"/>
        <v>292.72653833708944</v>
      </c>
      <c r="E54" s="22">
        <f t="shared" si="2"/>
        <v>70547.095739238546</v>
      </c>
      <c r="F54" s="20">
        <v>4800</v>
      </c>
      <c r="G54" s="22">
        <f t="shared" si="1"/>
        <v>70147.095739238546</v>
      </c>
      <c r="H54" s="22">
        <v>400</v>
      </c>
      <c r="I54" s="23">
        <v>50</v>
      </c>
      <c r="AA54">
        <v>19273.441967933049</v>
      </c>
    </row>
    <row r="55" spans="2:27" x14ac:dyDescent="0.25">
      <c r="B55" s="22">
        <f t="shared" si="4"/>
        <v>70147.095739238546</v>
      </c>
      <c r="C55" s="64">
        <v>0.05</v>
      </c>
      <c r="D55" s="22">
        <f t="shared" si="0"/>
        <v>292.27956558016058</v>
      </c>
      <c r="E55" s="22">
        <f t="shared" si="2"/>
        <v>70439.375304818706</v>
      </c>
      <c r="F55" s="20">
        <v>4800</v>
      </c>
      <c r="G55" s="22">
        <f t="shared" si="1"/>
        <v>70039.375304818706</v>
      </c>
      <c r="H55" s="22">
        <v>400</v>
      </c>
      <c r="I55" s="23">
        <v>51</v>
      </c>
      <c r="AA55">
        <v>19616.227317715471</v>
      </c>
    </row>
    <row r="56" spans="2:27" x14ac:dyDescent="0.25">
      <c r="B56" s="22">
        <f t="shared" si="4"/>
        <v>70039.375304818706</v>
      </c>
      <c r="C56" s="64">
        <v>0.05</v>
      </c>
      <c r="D56" s="22">
        <f t="shared" si="0"/>
        <v>291.8307304367446</v>
      </c>
      <c r="E56" s="22">
        <f t="shared" si="2"/>
        <v>70331.206035255454</v>
      </c>
      <c r="F56" s="20">
        <v>4800</v>
      </c>
      <c r="G56" s="22">
        <f t="shared" si="1"/>
        <v>69931.206035255454</v>
      </c>
      <c r="H56" s="22">
        <v>400</v>
      </c>
      <c r="I56" s="23">
        <v>52</v>
      </c>
      <c r="AA56">
        <v>19958.015773110055</v>
      </c>
    </row>
    <row r="57" spans="2:27" x14ac:dyDescent="0.25">
      <c r="B57" s="22">
        <f t="shared" si="4"/>
        <v>69931.206035255454</v>
      </c>
      <c r="C57" s="64">
        <v>0.05</v>
      </c>
      <c r="D57" s="22">
        <f t="shared" si="0"/>
        <v>291.38002514689771</v>
      </c>
      <c r="E57" s="22">
        <f t="shared" si="2"/>
        <v>70222.586060402347</v>
      </c>
      <c r="F57" s="20">
        <v>4800</v>
      </c>
      <c r="G57" s="22">
        <f t="shared" si="1"/>
        <v>69822.586060402347</v>
      </c>
      <c r="H57" s="22">
        <v>400</v>
      </c>
      <c r="I57" s="23">
        <v>53</v>
      </c>
      <c r="AA57">
        <v>20298.810233302604</v>
      </c>
    </row>
    <row r="58" spans="2:27" x14ac:dyDescent="0.25">
      <c r="B58" s="22">
        <f t="shared" si="4"/>
        <v>69822.586060402347</v>
      </c>
      <c r="C58" s="64">
        <v>0.05</v>
      </c>
      <c r="D58" s="22">
        <f t="shared" si="0"/>
        <v>290.92744191834311</v>
      </c>
      <c r="E58" s="22">
        <f t="shared" si="2"/>
        <v>70113.513502320697</v>
      </c>
      <c r="F58" s="20">
        <v>4800</v>
      </c>
      <c r="G58" s="22">
        <f t="shared" si="1"/>
        <v>69713.513502320697</v>
      </c>
      <c r="H58" s="22">
        <v>400</v>
      </c>
      <c r="I58" s="23">
        <v>54</v>
      </c>
      <c r="AA58">
        <v>20638.613589047429</v>
      </c>
    </row>
    <row r="59" spans="2:27" x14ac:dyDescent="0.25">
      <c r="B59" s="22">
        <f t="shared" si="4"/>
        <v>69713.513502320697</v>
      </c>
      <c r="C59" s="64">
        <v>0.05</v>
      </c>
      <c r="D59" s="22">
        <f t="shared" si="0"/>
        <v>290.47297292633624</v>
      </c>
      <c r="E59" s="22">
        <f t="shared" si="2"/>
        <v>70003.986475247031</v>
      </c>
      <c r="F59" s="20">
        <v>4800</v>
      </c>
      <c r="G59" s="22">
        <f t="shared" si="1"/>
        <v>69603.986475247031</v>
      </c>
      <c r="H59" s="22">
        <v>400</v>
      </c>
      <c r="I59" s="23">
        <v>55</v>
      </c>
      <c r="AA59">
        <v>20977.42872269197</v>
      </c>
    </row>
    <row r="60" spans="2:27" x14ac:dyDescent="0.25">
      <c r="B60" s="22">
        <f t="shared" si="4"/>
        <v>69603.986475247031</v>
      </c>
      <c r="C60" s="64">
        <v>0.05</v>
      </c>
      <c r="D60" s="22">
        <f t="shared" si="0"/>
        <v>290.01661031352927</v>
      </c>
      <c r="E60" s="22">
        <f t="shared" si="2"/>
        <v>69894.003085560558</v>
      </c>
      <c r="F60" s="20">
        <v>4800</v>
      </c>
      <c r="G60" s="22">
        <f t="shared" si="1"/>
        <v>69494.003085560558</v>
      </c>
      <c r="H60" s="22">
        <v>400</v>
      </c>
      <c r="I60" s="23">
        <v>56</v>
      </c>
      <c r="AA60">
        <v>21315.258508201117</v>
      </c>
    </row>
    <row r="61" spans="2:27" x14ac:dyDescent="0.25">
      <c r="B61" s="22">
        <f t="shared" si="4"/>
        <v>69494.003085560558</v>
      </c>
      <c r="C61" s="64">
        <v>0.05</v>
      </c>
      <c r="D61" s="22">
        <f t="shared" si="0"/>
        <v>289.55834618983567</v>
      </c>
      <c r="E61" s="22">
        <f t="shared" si="2"/>
        <v>69783.561431750393</v>
      </c>
      <c r="F61" s="20">
        <v>4800</v>
      </c>
      <c r="G61" s="22">
        <f t="shared" si="1"/>
        <v>69383.561431750393</v>
      </c>
      <c r="H61" s="22">
        <v>400</v>
      </c>
      <c r="I61" s="23">
        <v>57</v>
      </c>
      <c r="AA61">
        <v>21652.105811181653</v>
      </c>
    </row>
    <row r="62" spans="2:27" x14ac:dyDescent="0.25">
      <c r="B62" s="22">
        <f t="shared" si="4"/>
        <v>69383.561431750393</v>
      </c>
      <c r="C62" s="64">
        <v>0.05</v>
      </c>
      <c r="D62" s="22">
        <f t="shared" si="0"/>
        <v>289.09817263229331</v>
      </c>
      <c r="E62" s="22">
        <f t="shared" si="2"/>
        <v>69672.659604382687</v>
      </c>
      <c r="F62" s="20">
        <v>4800</v>
      </c>
      <c r="G62" s="22">
        <f t="shared" si="1"/>
        <v>69272.659604382687</v>
      </c>
      <c r="H62" s="22">
        <v>400</v>
      </c>
      <c r="I62" s="23">
        <v>58</v>
      </c>
      <c r="AA62">
        <v>21987.973488906573</v>
      </c>
    </row>
    <row r="63" spans="2:27" x14ac:dyDescent="0.25">
      <c r="B63" s="22">
        <f t="shared" si="4"/>
        <v>69272.659604382687</v>
      </c>
      <c r="C63" s="64">
        <v>0.05</v>
      </c>
      <c r="D63" s="22">
        <f t="shared" si="0"/>
        <v>288.63608168492783</v>
      </c>
      <c r="E63" s="22">
        <f t="shared" si="2"/>
        <v>69561.29568606762</v>
      </c>
      <c r="F63" s="20">
        <v>4800</v>
      </c>
      <c r="G63" s="22">
        <f t="shared" si="1"/>
        <v>69161.29568606762</v>
      </c>
      <c r="H63" s="22">
        <v>400</v>
      </c>
      <c r="I63" s="23">
        <v>59</v>
      </c>
      <c r="AA63">
        <v>22322.86439033928</v>
      </c>
    </row>
    <row r="64" spans="2:27" x14ac:dyDescent="0.25">
      <c r="B64" s="22">
        <f t="shared" si="4"/>
        <v>69161.29568606762</v>
      </c>
      <c r="C64" s="64">
        <v>0.05</v>
      </c>
      <c r="D64" s="22">
        <f t="shared" si="0"/>
        <v>288.1720653586151</v>
      </c>
      <c r="E64" s="22">
        <f t="shared" si="2"/>
        <v>69449.467751426229</v>
      </c>
      <c r="F64" s="20">
        <v>4800</v>
      </c>
      <c r="G64" s="22">
        <f t="shared" si="1"/>
        <v>69049.467751426229</v>
      </c>
      <c r="H64" s="22">
        <v>400</v>
      </c>
      <c r="I64" s="23">
        <v>60</v>
      </c>
      <c r="AA64">
        <v>22656.78135615779</v>
      </c>
    </row>
    <row r="65" spans="2:27" x14ac:dyDescent="0.25">
      <c r="B65" s="22">
        <f t="shared" si="4"/>
        <v>69049.467751426229</v>
      </c>
      <c r="C65" s="64">
        <v>0.05</v>
      </c>
      <c r="D65" s="22">
        <f t="shared" si="0"/>
        <v>287.70611563094263</v>
      </c>
      <c r="E65" s="22">
        <f t="shared" si="2"/>
        <v>69337.173867057165</v>
      </c>
      <c r="F65" s="20">
        <v>4800</v>
      </c>
      <c r="G65" s="22">
        <f t="shared" si="1"/>
        <v>68937.173867057165</v>
      </c>
      <c r="H65" s="22">
        <v>400</v>
      </c>
      <c r="I65" s="23">
        <v>61</v>
      </c>
      <c r="AA65">
        <v>22989.727218778782</v>
      </c>
    </row>
    <row r="66" spans="2:27" x14ac:dyDescent="0.25">
      <c r="B66" s="22">
        <f t="shared" si="4"/>
        <v>68937.173867057165</v>
      </c>
      <c r="C66" s="64">
        <v>0.05</v>
      </c>
      <c r="D66" s="22">
        <f t="shared" si="0"/>
        <v>287.23822444607151</v>
      </c>
      <c r="E66" s="22">
        <f t="shared" si="2"/>
        <v>69224.41209150324</v>
      </c>
      <c r="F66" s="20">
        <v>4800</v>
      </c>
      <c r="G66" s="22">
        <f t="shared" si="1"/>
        <v>68824.41209150324</v>
      </c>
      <c r="H66" s="22">
        <v>400</v>
      </c>
      <c r="I66" s="23">
        <v>62</v>
      </c>
      <c r="AA66">
        <v>23321.704802381697</v>
      </c>
    </row>
    <row r="67" spans="2:27" x14ac:dyDescent="0.25">
      <c r="B67" s="22">
        <f t="shared" si="4"/>
        <v>68824.41209150324</v>
      </c>
      <c r="C67" s="64">
        <v>0.05</v>
      </c>
      <c r="D67" s="22">
        <f t="shared" si="0"/>
        <v>286.76838371459684</v>
      </c>
      <c r="E67" s="22">
        <f t="shared" si="2"/>
        <v>69111.180475217843</v>
      </c>
      <c r="F67" s="20">
        <v>4800</v>
      </c>
      <c r="G67" s="22">
        <f t="shared" si="1"/>
        <v>68711.180475217843</v>
      </c>
      <c r="H67" s="22">
        <v>400</v>
      </c>
      <c r="I67" s="23">
        <v>63</v>
      </c>
      <c r="AA67">
        <v>23652.716922932592</v>
      </c>
    </row>
    <row r="68" spans="2:27" x14ac:dyDescent="0.25">
      <c r="B68" s="22">
        <f t="shared" si="4"/>
        <v>68711.180475217843</v>
      </c>
      <c r="C68" s="64">
        <v>0.05</v>
      </c>
      <c r="D68" s="22">
        <f t="shared" si="0"/>
        <v>286.29658531340766</v>
      </c>
      <c r="E68" s="22">
        <f t="shared" si="2"/>
        <v>68997.477060531251</v>
      </c>
      <c r="F68" s="20">
        <v>4800</v>
      </c>
      <c r="G68" s="22">
        <f t="shared" si="1"/>
        <v>68597.477060531251</v>
      </c>
      <c r="H68" s="22">
        <v>400</v>
      </c>
      <c r="I68" s="23">
        <v>64</v>
      </c>
      <c r="J68">
        <f>I68/12</f>
        <v>5.333333333333333</v>
      </c>
      <c r="AA68">
        <v>23982.766388208114</v>
      </c>
    </row>
    <row r="69" spans="2:27" x14ac:dyDescent="0.25">
      <c r="B69" s="22">
        <f t="shared" si="4"/>
        <v>68597.477060531251</v>
      </c>
      <c r="C69" s="64">
        <v>0.05</v>
      </c>
      <c r="D69" s="22">
        <f t="shared" si="0"/>
        <v>285.82282108554688</v>
      </c>
      <c r="E69" s="22">
        <f t="shared" si="2"/>
        <v>68883.299881616796</v>
      </c>
      <c r="F69" s="20">
        <v>4800</v>
      </c>
      <c r="G69" s="22">
        <f t="shared" si="1"/>
        <v>68483.299881616796</v>
      </c>
      <c r="H69" s="22">
        <v>400</v>
      </c>
      <c r="I69" s="23">
        <v>65</v>
      </c>
      <c r="AA69">
        <v>24311.855997819282</v>
      </c>
    </row>
    <row r="70" spans="2:27" x14ac:dyDescent="0.25">
      <c r="B70" s="22">
        <f t="shared" si="4"/>
        <v>68483.299881616796</v>
      </c>
      <c r="C70" s="64">
        <v>0.05</v>
      </c>
      <c r="D70" s="22">
        <f t="shared" ref="D70:D133" si="5">B70*(0.05/12)</f>
        <v>285.34708284006996</v>
      </c>
      <c r="E70" s="22">
        <f t="shared" si="2"/>
        <v>68768.646964456872</v>
      </c>
      <c r="F70" s="20">
        <v>4800</v>
      </c>
      <c r="G70" s="22">
        <f t="shared" ref="G70:G133" si="6">E70-H70</f>
        <v>68368.646964456872</v>
      </c>
      <c r="H70" s="22">
        <v>400</v>
      </c>
      <c r="I70" s="23">
        <v>66</v>
      </c>
      <c r="AA70">
        <v>24639.988543235238</v>
      </c>
    </row>
    <row r="71" spans="2:27" x14ac:dyDescent="0.25">
      <c r="B71" s="22">
        <f t="shared" si="4"/>
        <v>68368.646964456872</v>
      </c>
      <c r="C71" s="64">
        <v>0.05</v>
      </c>
      <c r="D71" s="22">
        <f t="shared" si="5"/>
        <v>284.86936235190365</v>
      </c>
      <c r="E71" s="22">
        <f t="shared" ref="E71:E134" si="7">B71+D71</f>
        <v>68653.516326808778</v>
      </c>
      <c r="F71" s="20">
        <v>4800</v>
      </c>
      <c r="G71" s="22">
        <f t="shared" si="6"/>
        <v>68253.516326808778</v>
      </c>
      <c r="H71" s="22">
        <v>400</v>
      </c>
      <c r="I71" s="23">
        <v>67</v>
      </c>
      <c r="AA71">
        <v>24967.16680780692</v>
      </c>
    </row>
    <row r="72" spans="2:27" x14ac:dyDescent="0.25">
      <c r="B72" s="22">
        <f t="shared" si="4"/>
        <v>68253.516326808778</v>
      </c>
      <c r="C72" s="64">
        <v>0.05</v>
      </c>
      <c r="D72" s="22">
        <f t="shared" si="5"/>
        <v>284.38965136170322</v>
      </c>
      <c r="E72" s="22">
        <f t="shared" si="7"/>
        <v>68537.905978170485</v>
      </c>
      <c r="F72" s="20">
        <v>4800</v>
      </c>
      <c r="G72" s="22">
        <f t="shared" si="6"/>
        <v>68137.905978170485</v>
      </c>
      <c r="H72" s="22">
        <v>400</v>
      </c>
      <c r="I72" s="23">
        <v>68</v>
      </c>
      <c r="AA72">
        <v>25293.393566790677</v>
      </c>
    </row>
    <row r="73" spans="2:27" x14ac:dyDescent="0.25">
      <c r="B73" s="22">
        <f t="shared" si="4"/>
        <v>68137.905978170485</v>
      </c>
      <c r="C73" s="64">
        <v>0.05</v>
      </c>
      <c r="D73" s="22">
        <f t="shared" si="5"/>
        <v>283.90794157571037</v>
      </c>
      <c r="E73" s="22">
        <f t="shared" si="7"/>
        <v>68421.813919746201</v>
      </c>
      <c r="F73" s="20">
        <v>4800</v>
      </c>
      <c r="G73" s="22">
        <f t="shared" si="6"/>
        <v>68021.813919746201</v>
      </c>
      <c r="H73" s="22">
        <v>400</v>
      </c>
      <c r="I73" s="23">
        <v>69</v>
      </c>
      <c r="AA73">
        <v>25618.671587371795</v>
      </c>
    </row>
    <row r="74" spans="2:27" x14ac:dyDescent="0.25">
      <c r="B74" s="22">
        <f t="shared" si="4"/>
        <v>68021.813919746201</v>
      </c>
      <c r="C74" s="64">
        <v>0.05</v>
      </c>
      <c r="D74" s="22">
        <f t="shared" si="5"/>
        <v>283.42422466560919</v>
      </c>
      <c r="E74" s="22">
        <f t="shared" si="7"/>
        <v>68305.238144411807</v>
      </c>
      <c r="F74" s="20">
        <v>4800</v>
      </c>
      <c r="G74" s="22">
        <f t="shared" si="6"/>
        <v>67905.238144411807</v>
      </c>
      <c r="H74" s="22">
        <v>400</v>
      </c>
      <c r="I74" s="23">
        <v>70</v>
      </c>
      <c r="AA74">
        <v>25943.003628688028</v>
      </c>
    </row>
    <row r="75" spans="2:27" x14ac:dyDescent="0.25">
      <c r="B75" s="22">
        <f t="shared" si="4"/>
        <v>67905.238144411807</v>
      </c>
      <c r="C75" s="64">
        <v>0.05</v>
      </c>
      <c r="D75" s="22">
        <f t="shared" si="5"/>
        <v>282.9384922683825</v>
      </c>
      <c r="E75" s="22">
        <f t="shared" si="7"/>
        <v>68188.176636680189</v>
      </c>
      <c r="F75" s="20">
        <v>4800</v>
      </c>
      <c r="G75" s="22">
        <f t="shared" si="6"/>
        <v>67788.176636680189</v>
      </c>
      <c r="H75" s="22">
        <v>400</v>
      </c>
      <c r="I75" s="23">
        <v>71</v>
      </c>
      <c r="AA75">
        <v>26266.392441852884</v>
      </c>
    </row>
    <row r="76" spans="2:27" x14ac:dyDescent="0.25">
      <c r="B76" s="22">
        <f t="shared" si="4"/>
        <v>67788.176636680189</v>
      </c>
      <c r="C76" s="64">
        <v>0.05</v>
      </c>
      <c r="D76" s="22">
        <f t="shared" si="5"/>
        <v>282.45073598616744</v>
      </c>
      <c r="E76" s="22">
        <f t="shared" si="7"/>
        <v>68070.627372666364</v>
      </c>
      <c r="F76" s="20">
        <v>4800</v>
      </c>
      <c r="G76" s="22">
        <f t="shared" si="6"/>
        <v>67670.627372666364</v>
      </c>
      <c r="H76" s="22">
        <v>400</v>
      </c>
      <c r="I76" s="23">
        <v>72</v>
      </c>
      <c r="AA76">
        <v>26588.840769979095</v>
      </c>
    </row>
    <row r="77" spans="2:27" x14ac:dyDescent="0.25">
      <c r="B77" s="22">
        <f t="shared" si="4"/>
        <v>67670.627372666364</v>
      </c>
      <c r="C77" s="64">
        <v>0.05</v>
      </c>
      <c r="D77" s="22">
        <f t="shared" si="5"/>
        <v>281.96094738610986</v>
      </c>
      <c r="E77" s="22">
        <f t="shared" si="7"/>
        <v>67952.588320052469</v>
      </c>
      <c r="F77" s="20">
        <v>4800</v>
      </c>
      <c r="G77" s="22">
        <f t="shared" si="6"/>
        <v>67552.588320052469</v>
      </c>
      <c r="H77" s="22">
        <v>400</v>
      </c>
      <c r="I77" s="23">
        <v>73</v>
      </c>
      <c r="AA77">
        <v>26910.351348201799</v>
      </c>
    </row>
    <row r="78" spans="2:27" x14ac:dyDescent="0.25">
      <c r="B78" s="22">
        <f t="shared" si="4"/>
        <v>67552.588320052469</v>
      </c>
      <c r="C78" s="64">
        <v>0.05</v>
      </c>
      <c r="D78" s="22">
        <f t="shared" si="5"/>
        <v>281.4691180002186</v>
      </c>
      <c r="E78" s="22">
        <f t="shared" si="7"/>
        <v>67834.057438052681</v>
      </c>
      <c r="F78" s="20">
        <v>4800</v>
      </c>
      <c r="G78" s="22">
        <f t="shared" si="6"/>
        <v>67434.057438052681</v>
      </c>
      <c r="H78" s="22">
        <v>400</v>
      </c>
      <c r="I78" s="23">
        <v>74</v>
      </c>
      <c r="AA78">
        <v>27230.926903701784</v>
      </c>
    </row>
    <row r="79" spans="2:27" x14ac:dyDescent="0.25">
      <c r="B79" s="22">
        <f t="shared" si="4"/>
        <v>67434.057438052681</v>
      </c>
      <c r="C79" s="64">
        <v>0.05</v>
      </c>
      <c r="D79" s="22">
        <f t="shared" si="5"/>
        <v>280.97523932521949</v>
      </c>
      <c r="E79" s="22">
        <f t="shared" si="7"/>
        <v>67715.032677377894</v>
      </c>
      <c r="F79" s="20">
        <v>4800</v>
      </c>
      <c r="G79" s="22">
        <f t="shared" si="6"/>
        <v>67315.032677377894</v>
      </c>
      <c r="H79" s="22">
        <v>400</v>
      </c>
      <c r="I79" s="23">
        <v>75</v>
      </c>
      <c r="AA79">
        <v>27550.570155728579</v>
      </c>
    </row>
    <row r="80" spans="2:27" x14ac:dyDescent="0.25">
      <c r="B80" s="22">
        <f t="shared" si="4"/>
        <v>67315.032677377894</v>
      </c>
      <c r="C80" s="64">
        <v>0.05</v>
      </c>
      <c r="D80" s="22">
        <f t="shared" si="5"/>
        <v>280.47930282240787</v>
      </c>
      <c r="E80" s="22">
        <f t="shared" si="7"/>
        <v>67595.511980200303</v>
      </c>
      <c r="F80" s="20">
        <v>4800</v>
      </c>
      <c r="G80" s="22">
        <f t="shared" si="6"/>
        <v>67195.511980200303</v>
      </c>
      <c r="H80" s="22">
        <v>400</v>
      </c>
      <c r="I80" s="23">
        <v>76</v>
      </c>
      <c r="AA80">
        <v>27869.28381562357</v>
      </c>
    </row>
    <row r="81" spans="2:27" x14ac:dyDescent="0.25">
      <c r="B81" s="22">
        <f t="shared" si="4"/>
        <v>67195.511980200303</v>
      </c>
      <c r="C81" s="64">
        <v>0.05</v>
      </c>
      <c r="D81" s="22">
        <f t="shared" si="5"/>
        <v>279.98129991750125</v>
      </c>
      <c r="E81" s="22">
        <f t="shared" si="7"/>
        <v>67475.493280117807</v>
      </c>
      <c r="F81" s="20">
        <v>4800</v>
      </c>
      <c r="G81" s="22">
        <f t="shared" si="6"/>
        <v>67075.493280117807</v>
      </c>
      <c r="H81" s="22">
        <v>400</v>
      </c>
      <c r="I81" s="23">
        <v>77</v>
      </c>
      <c r="AA81">
        <v>28187.070586842932</v>
      </c>
    </row>
    <row r="82" spans="2:27" x14ac:dyDescent="0.25">
      <c r="B82" s="22">
        <f t="shared" si="4"/>
        <v>67075.493280117807</v>
      </c>
      <c r="C82" s="64">
        <v>0.05</v>
      </c>
      <c r="D82" s="22">
        <f t="shared" si="5"/>
        <v>279.48122200049085</v>
      </c>
      <c r="E82" s="22">
        <f t="shared" si="7"/>
        <v>67354.974502118304</v>
      </c>
      <c r="F82" s="20">
        <v>4800</v>
      </c>
      <c r="G82" s="22">
        <f t="shared" si="6"/>
        <v>66954.974502118304</v>
      </c>
      <c r="H82" s="22">
        <v>400</v>
      </c>
      <c r="I82" s="23">
        <v>78</v>
      </c>
      <c r="AA82">
        <v>28503.933164980652</v>
      </c>
    </row>
    <row r="83" spans="2:27" x14ac:dyDescent="0.25">
      <c r="B83" s="22">
        <f t="shared" si="4"/>
        <v>66954.974502118304</v>
      </c>
      <c r="C83" s="64">
        <v>0.05</v>
      </c>
      <c r="D83" s="22">
        <f t="shared" si="5"/>
        <v>278.97906042549295</v>
      </c>
      <c r="E83" s="22">
        <f t="shared" si="7"/>
        <v>67233.9535625438</v>
      </c>
      <c r="F83" s="20">
        <v>4800</v>
      </c>
      <c r="G83" s="22">
        <f t="shared" si="6"/>
        <v>66833.9535625438</v>
      </c>
      <c r="H83" s="22">
        <v>400</v>
      </c>
      <c r="I83" s="23">
        <v>79</v>
      </c>
      <c r="AA83">
        <v>28819.874237791297</v>
      </c>
    </row>
    <row r="84" spans="2:27" x14ac:dyDescent="0.25">
      <c r="B84" s="22">
        <f t="shared" si="4"/>
        <v>66833.9535625438</v>
      </c>
      <c r="C84" s="64">
        <v>0.05</v>
      </c>
      <c r="D84" s="22">
        <f t="shared" si="5"/>
        <v>278.47480651059914</v>
      </c>
      <c r="E84" s="22">
        <f t="shared" si="7"/>
        <v>67112.428369054396</v>
      </c>
      <c r="F84" s="20">
        <v>4800</v>
      </c>
      <c r="G84" s="22">
        <f t="shared" si="6"/>
        <v>66712.428369054396</v>
      </c>
      <c r="H84" s="22">
        <v>400</v>
      </c>
      <c r="I84" s="23">
        <v>80</v>
      </c>
      <c r="AA84">
        <v>29134.896485212885</v>
      </c>
    </row>
    <row r="85" spans="2:27" x14ac:dyDescent="0.25">
      <c r="B85" s="22">
        <f t="shared" si="4"/>
        <v>66712.428369054396</v>
      </c>
      <c r="C85" s="64">
        <v>0.05</v>
      </c>
      <c r="D85" s="22">
        <f t="shared" si="5"/>
        <v>277.96845153772665</v>
      </c>
      <c r="E85" s="22">
        <f t="shared" si="7"/>
        <v>66990.396820592126</v>
      </c>
      <c r="F85" s="20">
        <v>4800</v>
      </c>
      <c r="G85" s="22">
        <f t="shared" si="6"/>
        <v>66590.396820592126</v>
      </c>
      <c r="H85" s="22">
        <v>400</v>
      </c>
      <c r="I85" s="23">
        <v>81</v>
      </c>
      <c r="AA85">
        <v>29449.002579389584</v>
      </c>
    </row>
    <row r="86" spans="2:27" x14ac:dyDescent="0.25">
      <c r="B86" s="22">
        <f t="shared" si="4"/>
        <v>66590.396820592126</v>
      </c>
      <c r="C86" s="64">
        <v>0.05</v>
      </c>
      <c r="D86" s="22">
        <f t="shared" si="5"/>
        <v>277.45998675246722</v>
      </c>
      <c r="E86" s="22">
        <f t="shared" si="7"/>
        <v>66867.856807344593</v>
      </c>
      <c r="F86" s="20">
        <v>4800</v>
      </c>
      <c r="G86" s="22">
        <f t="shared" si="6"/>
        <v>66467.856807344593</v>
      </c>
      <c r="H86" s="22">
        <v>400</v>
      </c>
      <c r="I86" s="23">
        <v>82</v>
      </c>
      <c r="AA86">
        <v>29762.195184694399</v>
      </c>
    </row>
    <row r="87" spans="2:27" x14ac:dyDescent="0.25">
      <c r="B87" s="22">
        <f t="shared" si="4"/>
        <v>66467.856807344593</v>
      </c>
      <c r="C87" s="64">
        <v>0.05</v>
      </c>
      <c r="D87" s="22">
        <f t="shared" si="5"/>
        <v>276.9494033639358</v>
      </c>
      <c r="E87" s="22">
        <f t="shared" si="7"/>
        <v>66744.806210708528</v>
      </c>
      <c r="F87" s="20">
        <v>4800</v>
      </c>
      <c r="G87" s="22">
        <f t="shared" si="6"/>
        <v>66344.806210708528</v>
      </c>
      <c r="H87" s="22">
        <v>400</v>
      </c>
      <c r="I87" s="23">
        <v>83</v>
      </c>
      <c r="AA87">
        <v>30074.476957751733</v>
      </c>
    </row>
    <row r="88" spans="2:27" x14ac:dyDescent="0.25">
      <c r="B88" s="22">
        <f t="shared" si="4"/>
        <v>66344.806210708528</v>
      </c>
      <c r="C88" s="64">
        <v>0.05</v>
      </c>
      <c r="D88" s="22">
        <f t="shared" si="5"/>
        <v>276.43669254461884</v>
      </c>
      <c r="E88" s="22">
        <f t="shared" si="7"/>
        <v>66621.242903253151</v>
      </c>
      <c r="F88" s="20">
        <v>4800</v>
      </c>
      <c r="G88" s="22">
        <f t="shared" si="6"/>
        <v>66221.242903253151</v>
      </c>
      <c r="H88" s="22">
        <v>400</v>
      </c>
      <c r="I88" s="23">
        <v>84</v>
      </c>
      <c r="AA88">
        <v>30385.850547459977</v>
      </c>
    </row>
    <row r="89" spans="2:27" x14ac:dyDescent="0.25">
      <c r="B89" s="22">
        <f t="shared" si="4"/>
        <v>66221.242903253151</v>
      </c>
      <c r="C89" s="64">
        <v>0.05</v>
      </c>
      <c r="D89" s="22">
        <f t="shared" si="5"/>
        <v>275.92184543022148</v>
      </c>
      <c r="E89" s="22">
        <f t="shared" si="7"/>
        <v>66497.164748683368</v>
      </c>
      <c r="F89" s="20">
        <v>4800</v>
      </c>
      <c r="G89" s="22">
        <f t="shared" si="6"/>
        <v>66097.164748683368</v>
      </c>
      <c r="H89" s="22">
        <v>400</v>
      </c>
      <c r="I89" s="23">
        <v>85</v>
      </c>
      <c r="AA89">
        <v>30696.318595013905</v>
      </c>
    </row>
    <row r="90" spans="2:27" x14ac:dyDescent="0.25">
      <c r="B90" s="22">
        <f t="shared" si="4"/>
        <v>66097.164748683368</v>
      </c>
      <c r="C90" s="64">
        <v>0.05</v>
      </c>
      <c r="D90" s="22">
        <f t="shared" si="5"/>
        <v>275.40485311951403</v>
      </c>
      <c r="E90" s="22">
        <f t="shared" si="7"/>
        <v>66372.569601802883</v>
      </c>
      <c r="F90" s="20">
        <v>4800</v>
      </c>
      <c r="G90" s="22">
        <f t="shared" si="6"/>
        <v>65972.569601802883</v>
      </c>
      <c r="H90" s="22">
        <v>400</v>
      </c>
      <c r="I90" s="23">
        <v>86</v>
      </c>
      <c r="AA90">
        <v>31005.883733927185</v>
      </c>
    </row>
    <row r="91" spans="2:27" x14ac:dyDescent="0.25">
      <c r="B91" s="22">
        <f t="shared" si="4"/>
        <v>65972.569601802883</v>
      </c>
      <c r="C91" s="64">
        <v>0.05</v>
      </c>
      <c r="D91" s="22">
        <f t="shared" si="5"/>
        <v>274.88570667417866</v>
      </c>
      <c r="E91" s="22">
        <f t="shared" si="7"/>
        <v>66247.45530847706</v>
      </c>
      <c r="F91" s="20">
        <v>4800</v>
      </c>
      <c r="G91" s="22">
        <f t="shared" si="6"/>
        <v>65847.45530847706</v>
      </c>
      <c r="H91" s="22">
        <v>400</v>
      </c>
      <c r="I91" s="23">
        <v>87</v>
      </c>
      <c r="AA91">
        <v>31314.548590054572</v>
      </c>
    </row>
    <row r="92" spans="2:27" x14ac:dyDescent="0.25">
      <c r="B92" s="22">
        <f t="shared" si="4"/>
        <v>65847.45530847706</v>
      </c>
      <c r="C92" s="64">
        <v>0.05</v>
      </c>
      <c r="D92" s="22">
        <f t="shared" si="5"/>
        <v>274.36439711865444</v>
      </c>
      <c r="E92" s="22">
        <f t="shared" si="7"/>
        <v>66121.819705595713</v>
      </c>
      <c r="F92" s="20">
        <v>4800</v>
      </c>
      <c r="G92" s="22">
        <f t="shared" si="6"/>
        <v>65721.819705595713</v>
      </c>
      <c r="H92" s="22">
        <v>400</v>
      </c>
      <c r="I92" s="23">
        <v>88</v>
      </c>
      <c r="AA92">
        <v>31622.31578161435</v>
      </c>
    </row>
    <row r="93" spans="2:27" x14ac:dyDescent="0.25">
      <c r="B93" s="22">
        <f t="shared" ref="B93:B156" si="8">G92</f>
        <v>65721.819705595713</v>
      </c>
      <c r="C93" s="64">
        <v>0.05</v>
      </c>
      <c r="D93" s="22">
        <f t="shared" si="5"/>
        <v>273.84091543998215</v>
      </c>
      <c r="E93" s="22">
        <f t="shared" si="7"/>
        <v>65995.660621035699</v>
      </c>
      <c r="F93" s="20">
        <v>4800</v>
      </c>
      <c r="G93" s="22">
        <f t="shared" si="6"/>
        <v>65595.660621035699</v>
      </c>
      <c r="H93" s="22">
        <v>400</v>
      </c>
      <c r="I93" s="23">
        <v>89</v>
      </c>
      <c r="AA93">
        <v>31929.187919210395</v>
      </c>
    </row>
    <row r="94" spans="2:27" x14ac:dyDescent="0.25">
      <c r="B94" s="22">
        <f t="shared" si="8"/>
        <v>65595.660621035699</v>
      </c>
      <c r="C94" s="64">
        <v>0.05</v>
      </c>
      <c r="D94" s="22">
        <f t="shared" si="5"/>
        <v>273.31525258764873</v>
      </c>
      <c r="E94" s="22">
        <f t="shared" si="7"/>
        <v>65868.975873623349</v>
      </c>
      <c r="F94" s="20">
        <v>4800</v>
      </c>
      <c r="G94" s="22">
        <f t="shared" si="6"/>
        <v>65468.975873623349</v>
      </c>
      <c r="H94" s="22">
        <v>400</v>
      </c>
      <c r="I94" s="23">
        <v>90</v>
      </c>
      <c r="AA94">
        <v>32235.167605854418</v>
      </c>
    </row>
    <row r="95" spans="2:27" x14ac:dyDescent="0.25">
      <c r="B95" s="22">
        <f t="shared" si="8"/>
        <v>65468.975873623349</v>
      </c>
      <c r="C95" s="64">
        <v>0.05</v>
      </c>
      <c r="D95" s="22">
        <f t="shared" si="5"/>
        <v>272.78739947343064</v>
      </c>
      <c r="E95" s="22">
        <f t="shared" si="7"/>
        <v>65741.763273096774</v>
      </c>
      <c r="F95" s="20">
        <v>4800</v>
      </c>
      <c r="G95" s="22">
        <f t="shared" si="6"/>
        <v>65341.763273096774</v>
      </c>
      <c r="H95" s="22">
        <v>400</v>
      </c>
      <c r="I95" s="23">
        <v>91</v>
      </c>
      <c r="AA95">
        <v>32540.257436987955</v>
      </c>
    </row>
    <row r="96" spans="2:27" x14ac:dyDescent="0.25">
      <c r="B96" s="22">
        <f t="shared" si="8"/>
        <v>65341.763273096774</v>
      </c>
      <c r="C96" s="64">
        <v>0.05</v>
      </c>
      <c r="D96" s="22">
        <f t="shared" si="5"/>
        <v>272.25734697123653</v>
      </c>
      <c r="E96" s="22">
        <f t="shared" si="7"/>
        <v>65614.020620068011</v>
      </c>
      <c r="F96" s="20">
        <v>4800</v>
      </c>
      <c r="G96" s="22">
        <f t="shared" si="6"/>
        <v>65214.020620068011</v>
      </c>
      <c r="H96" s="22">
        <v>400</v>
      </c>
      <c r="I96" s="23">
        <v>92</v>
      </c>
      <c r="AA96">
        <v>32844.460000504507</v>
      </c>
    </row>
    <row r="97" spans="2:27" x14ac:dyDescent="0.25">
      <c r="B97" s="22">
        <f t="shared" si="8"/>
        <v>65214.020620068011</v>
      </c>
      <c r="C97" s="64">
        <v>0.05</v>
      </c>
      <c r="D97" s="22">
        <f t="shared" si="5"/>
        <v>271.72508591695004</v>
      </c>
      <c r="E97" s="22">
        <f t="shared" si="7"/>
        <v>65485.745705984962</v>
      </c>
      <c r="F97" s="20">
        <v>4800</v>
      </c>
      <c r="G97" s="22">
        <f t="shared" si="6"/>
        <v>65085.745705984962</v>
      </c>
      <c r="H97" s="22">
        <v>400</v>
      </c>
      <c r="I97" s="23">
        <v>93</v>
      </c>
      <c r="AA97">
        <v>33147.777876771339</v>
      </c>
    </row>
    <row r="98" spans="2:27" x14ac:dyDescent="0.25">
      <c r="B98" s="22">
        <f t="shared" si="8"/>
        <v>65085.745705984962</v>
      </c>
      <c r="C98" s="64">
        <v>0.05</v>
      </c>
      <c r="D98" s="22">
        <f t="shared" si="5"/>
        <v>271.19060710827068</v>
      </c>
      <c r="E98" s="22">
        <f t="shared" si="7"/>
        <v>65356.936313093232</v>
      </c>
      <c r="F98" s="20">
        <v>4800</v>
      </c>
      <c r="G98" s="22">
        <f t="shared" si="6"/>
        <v>64956.936313093232</v>
      </c>
      <c r="H98" s="22">
        <v>400</v>
      </c>
      <c r="I98" s="23">
        <v>94</v>
      </c>
      <c r="AA98">
        <v>33450.21363865149</v>
      </c>
    </row>
    <row r="99" spans="2:27" x14ac:dyDescent="0.25">
      <c r="B99" s="22">
        <f t="shared" si="8"/>
        <v>64956.936313093232</v>
      </c>
      <c r="C99" s="64">
        <v>0.05</v>
      </c>
      <c r="D99" s="22">
        <f t="shared" si="5"/>
        <v>270.65390130455512</v>
      </c>
      <c r="E99" s="22">
        <f t="shared" si="7"/>
        <v>65227.590214397787</v>
      </c>
      <c r="F99" s="20">
        <v>4800</v>
      </c>
      <c r="G99" s="22">
        <f t="shared" si="6"/>
        <v>64827.590214397787</v>
      </c>
      <c r="H99" s="22">
        <v>400</v>
      </c>
      <c r="I99" s="23">
        <v>95</v>
      </c>
      <c r="AA99">
        <v>33751.769851525562</v>
      </c>
    </row>
    <row r="100" spans="2:27" x14ac:dyDescent="0.25">
      <c r="B100" s="22">
        <f t="shared" si="8"/>
        <v>64827.590214397787</v>
      </c>
      <c r="C100" s="64">
        <v>0.05</v>
      </c>
      <c r="D100" s="22">
        <f t="shared" si="5"/>
        <v>270.11495922665745</v>
      </c>
      <c r="E100" s="22">
        <f t="shared" si="7"/>
        <v>65097.705173624447</v>
      </c>
      <c r="F100" s="20">
        <v>4800</v>
      </c>
      <c r="G100" s="22">
        <f t="shared" si="6"/>
        <v>64697.705173624447</v>
      </c>
      <c r="H100" s="22">
        <v>400</v>
      </c>
      <c r="I100" s="23">
        <v>96</v>
      </c>
      <c r="AA100">
        <v>34052.449073313437</v>
      </c>
    </row>
    <row r="101" spans="2:27" x14ac:dyDescent="0.25">
      <c r="B101" s="22">
        <f t="shared" si="8"/>
        <v>64697.705173624447</v>
      </c>
      <c r="C101" s="64">
        <v>0.05</v>
      </c>
      <c r="D101" s="22">
        <f t="shared" si="5"/>
        <v>269.57377155676852</v>
      </c>
      <c r="E101" s="22">
        <f t="shared" si="7"/>
        <v>64967.278945181213</v>
      </c>
      <c r="F101" s="20">
        <v>4800</v>
      </c>
      <c r="G101" s="22">
        <f t="shared" si="6"/>
        <v>64567.278945181213</v>
      </c>
      <c r="H101" s="22">
        <v>400</v>
      </c>
      <c r="I101" s="23">
        <v>97</v>
      </c>
      <c r="AA101">
        <v>34352.253854496033</v>
      </c>
    </row>
    <row r="102" spans="2:27" x14ac:dyDescent="0.25">
      <c r="B102" s="22">
        <f t="shared" si="8"/>
        <v>64567.278945181213</v>
      </c>
      <c r="C102" s="64">
        <v>0.05</v>
      </c>
      <c r="D102" s="22">
        <f t="shared" si="5"/>
        <v>269.03032893825502</v>
      </c>
      <c r="E102" s="22">
        <f t="shared" si="7"/>
        <v>64836.309274119471</v>
      </c>
      <c r="F102" s="20">
        <v>4800</v>
      </c>
      <c r="G102" s="22">
        <f t="shared" si="6"/>
        <v>64436.309274119471</v>
      </c>
      <c r="H102" s="22">
        <v>400</v>
      </c>
      <c r="I102" s="23">
        <v>98</v>
      </c>
      <c r="AA102">
        <v>34651.186738136923</v>
      </c>
    </row>
    <row r="103" spans="2:27" x14ac:dyDescent="0.25">
      <c r="B103" s="22">
        <f t="shared" si="8"/>
        <v>64436.309274119471</v>
      </c>
      <c r="C103" s="64">
        <v>0.05</v>
      </c>
      <c r="D103" s="22">
        <f t="shared" si="5"/>
        <v>268.48462197549782</v>
      </c>
      <c r="E103" s="22">
        <f t="shared" si="7"/>
        <v>64704.793896094969</v>
      </c>
      <c r="F103" s="20">
        <v>4800</v>
      </c>
      <c r="G103" s="22">
        <f t="shared" si="6"/>
        <v>64304.793896094969</v>
      </c>
      <c r="H103" s="22">
        <v>400</v>
      </c>
      <c r="I103" s="23">
        <v>99</v>
      </c>
      <c r="AA103">
        <v>34949.250259903871</v>
      </c>
    </row>
    <row r="104" spans="2:27" x14ac:dyDescent="0.25">
      <c r="B104" s="22">
        <f t="shared" si="8"/>
        <v>64304.793896094969</v>
      </c>
      <c r="C104" s="64">
        <v>0.05</v>
      </c>
      <c r="D104" s="22">
        <f t="shared" si="5"/>
        <v>267.93664123372901</v>
      </c>
      <c r="E104" s="22">
        <f t="shared" si="7"/>
        <v>64572.730537328694</v>
      </c>
      <c r="F104" s="20">
        <v>4800</v>
      </c>
      <c r="G104" s="22">
        <f t="shared" si="6"/>
        <v>64172.730537328694</v>
      </c>
      <c r="H104" s="22">
        <v>400</v>
      </c>
      <c r="I104" s="23">
        <v>100</v>
      </c>
      <c r="AA104">
        <v>35246.446948090386</v>
      </c>
    </row>
    <row r="105" spans="2:27" x14ac:dyDescent="0.25">
      <c r="B105" s="22">
        <f t="shared" si="8"/>
        <v>64172.730537328694</v>
      </c>
      <c r="C105" s="64">
        <v>0.05</v>
      </c>
      <c r="D105" s="22">
        <f t="shared" si="5"/>
        <v>267.38637723886956</v>
      </c>
      <c r="E105" s="22">
        <f t="shared" si="7"/>
        <v>64440.116914567567</v>
      </c>
      <c r="F105" s="20">
        <v>4800</v>
      </c>
      <c r="G105" s="22">
        <f t="shared" si="6"/>
        <v>64040.116914567567</v>
      </c>
      <c r="H105" s="22">
        <v>400</v>
      </c>
      <c r="I105" s="23">
        <v>101</v>
      </c>
      <c r="AA105">
        <v>35542.779323637158</v>
      </c>
    </row>
    <row r="106" spans="2:27" x14ac:dyDescent="0.25">
      <c r="B106" s="22">
        <f t="shared" si="8"/>
        <v>64040.116914567567</v>
      </c>
      <c r="C106" s="64">
        <v>0.05</v>
      </c>
      <c r="D106" s="22">
        <f t="shared" si="5"/>
        <v>266.83382047736484</v>
      </c>
      <c r="E106" s="22">
        <f t="shared" si="7"/>
        <v>64306.950735044935</v>
      </c>
      <c r="F106" s="20">
        <v>4800</v>
      </c>
      <c r="G106" s="22">
        <f t="shared" si="6"/>
        <v>63906.950735044935</v>
      </c>
      <c r="H106" s="22">
        <v>400</v>
      </c>
      <c r="I106" s="23">
        <v>102</v>
      </c>
      <c r="AA106">
        <v>35838.249900153387</v>
      </c>
    </row>
    <row r="107" spans="2:27" x14ac:dyDescent="0.25">
      <c r="B107" s="22">
        <f t="shared" si="8"/>
        <v>63906.950735044935</v>
      </c>
      <c r="C107" s="64">
        <v>0.05</v>
      </c>
      <c r="D107" s="22">
        <f t="shared" si="5"/>
        <v>266.27896139602058</v>
      </c>
      <c r="E107" s="22">
        <f t="shared" si="7"/>
        <v>64173.229696440954</v>
      </c>
      <c r="F107" s="20">
        <v>4800</v>
      </c>
      <c r="G107" s="22">
        <f t="shared" si="6"/>
        <v>63773.229696440954</v>
      </c>
      <c r="H107" s="22">
        <v>400</v>
      </c>
      <c r="I107" s="23">
        <v>103</v>
      </c>
      <c r="AA107">
        <v>36132.861183938192</v>
      </c>
    </row>
    <row r="108" spans="2:27" x14ac:dyDescent="0.25">
      <c r="B108" s="22">
        <f t="shared" si="8"/>
        <v>63773.229696440954</v>
      </c>
      <c r="C108" s="64">
        <v>0.05</v>
      </c>
      <c r="D108" s="22">
        <f t="shared" si="5"/>
        <v>265.72179040183732</v>
      </c>
      <c r="E108" s="22">
        <f t="shared" si="7"/>
        <v>64038.951486842794</v>
      </c>
      <c r="F108" s="20">
        <v>4800</v>
      </c>
      <c r="G108" s="22">
        <f t="shared" si="6"/>
        <v>63638.951486842794</v>
      </c>
      <c r="H108" s="22">
        <v>400</v>
      </c>
      <c r="I108" s="23">
        <v>104</v>
      </c>
      <c r="AA108">
        <v>36426.615674001849</v>
      </c>
    </row>
    <row r="109" spans="2:27" x14ac:dyDescent="0.25">
      <c r="B109" s="22">
        <f t="shared" si="8"/>
        <v>63638.951486842794</v>
      </c>
      <c r="C109" s="64">
        <v>0.05</v>
      </c>
      <c r="D109" s="22">
        <f t="shared" si="5"/>
        <v>265.16229786184499</v>
      </c>
      <c r="E109" s="22">
        <f t="shared" si="7"/>
        <v>63904.113784704641</v>
      </c>
      <c r="F109" s="20">
        <v>4800</v>
      </c>
      <c r="G109" s="22">
        <f t="shared" si="6"/>
        <v>63504.113784704641</v>
      </c>
      <c r="H109" s="22">
        <v>400</v>
      </c>
      <c r="I109" s="23">
        <v>105</v>
      </c>
      <c r="AA109">
        <v>36719.515862086912</v>
      </c>
    </row>
    <row r="110" spans="2:27" x14ac:dyDescent="0.25">
      <c r="B110" s="22">
        <f t="shared" si="8"/>
        <v>63504.113784704641</v>
      </c>
      <c r="C110" s="64">
        <v>0.05</v>
      </c>
      <c r="D110" s="22">
        <f t="shared" si="5"/>
        <v>264.600474102936</v>
      </c>
      <c r="E110" s="22">
        <f t="shared" si="7"/>
        <v>63768.71425880758</v>
      </c>
      <c r="F110" s="20">
        <v>4800</v>
      </c>
      <c r="G110" s="22">
        <f t="shared" si="6"/>
        <v>63368.71425880758</v>
      </c>
      <c r="H110" s="22">
        <v>400</v>
      </c>
      <c r="I110" s="23">
        <v>106</v>
      </c>
      <c r="AA110">
        <v>37011.564232689438</v>
      </c>
    </row>
    <row r="111" spans="2:27" x14ac:dyDescent="0.25">
      <c r="B111" s="22">
        <f t="shared" si="8"/>
        <v>63368.71425880758</v>
      </c>
      <c r="C111" s="64">
        <v>0.05</v>
      </c>
      <c r="D111" s="22">
        <f t="shared" si="5"/>
        <v>264.03630941169826</v>
      </c>
      <c r="E111" s="22">
        <f t="shared" si="7"/>
        <v>63632.750568219279</v>
      </c>
      <c r="F111" s="20">
        <v>4800</v>
      </c>
      <c r="G111" s="22">
        <f t="shared" si="6"/>
        <v>63232.750568219279</v>
      </c>
      <c r="H111" s="22">
        <v>400</v>
      </c>
      <c r="I111" s="23">
        <v>107</v>
      </c>
      <c r="AA111">
        <v>37302.763263080029</v>
      </c>
    </row>
    <row r="112" spans="2:27" x14ac:dyDescent="0.25">
      <c r="B112" s="22">
        <f t="shared" si="8"/>
        <v>63232.750568219279</v>
      </c>
      <c r="C112" s="64">
        <v>0.05</v>
      </c>
      <c r="D112" s="22">
        <f t="shared" si="5"/>
        <v>263.469794034247</v>
      </c>
      <c r="E112" s="22">
        <f t="shared" si="7"/>
        <v>63496.220362253523</v>
      </c>
      <c r="F112" s="20">
        <v>4800</v>
      </c>
      <c r="G112" s="22">
        <f t="shared" si="6"/>
        <v>63096.220362253523</v>
      </c>
      <c r="H112" s="22">
        <v>400</v>
      </c>
      <c r="I112" s="23">
        <v>108</v>
      </c>
      <c r="AA112">
        <v>37593.115423324823</v>
      </c>
    </row>
    <row r="113" spans="2:27" x14ac:dyDescent="0.25">
      <c r="B113" s="22">
        <f t="shared" si="8"/>
        <v>63096.220362253523</v>
      </c>
      <c r="C113" s="64">
        <v>0.05</v>
      </c>
      <c r="D113" s="22">
        <f t="shared" si="5"/>
        <v>262.90091817605634</v>
      </c>
      <c r="E113" s="22">
        <f t="shared" si="7"/>
        <v>63359.121280429579</v>
      </c>
      <c r="F113" s="20">
        <v>4800</v>
      </c>
      <c r="G113" s="22">
        <f t="shared" si="6"/>
        <v>62959.121280429579</v>
      </c>
      <c r="H113" s="22">
        <v>400</v>
      </c>
      <c r="I113" s="23">
        <v>109</v>
      </c>
      <c r="AA113">
        <v>37882.623176306501</v>
      </c>
    </row>
    <row r="114" spans="2:27" x14ac:dyDescent="0.25">
      <c r="B114" s="22">
        <f t="shared" si="8"/>
        <v>62959.121280429579</v>
      </c>
      <c r="C114" s="64">
        <v>0.05</v>
      </c>
      <c r="D114" s="22">
        <f t="shared" si="5"/>
        <v>262.3296720017899</v>
      </c>
      <c r="E114" s="22">
        <f t="shared" si="7"/>
        <v>63221.450952431369</v>
      </c>
      <c r="F114" s="20">
        <v>4800</v>
      </c>
      <c r="G114" s="22">
        <f t="shared" si="6"/>
        <v>62821.450952431369</v>
      </c>
      <c r="H114" s="22">
        <v>400</v>
      </c>
      <c r="I114" s="23">
        <v>110</v>
      </c>
      <c r="AA114">
        <v>38171.288977745127</v>
      </c>
    </row>
    <row r="115" spans="2:27" x14ac:dyDescent="0.25">
      <c r="B115" s="22">
        <f t="shared" si="8"/>
        <v>62821.450952431369</v>
      </c>
      <c r="C115" s="64">
        <v>0.05</v>
      </c>
      <c r="D115" s="22">
        <f t="shared" si="5"/>
        <v>261.7560456351307</v>
      </c>
      <c r="E115" s="22">
        <f t="shared" si="7"/>
        <v>63083.206998066496</v>
      </c>
      <c r="F115" s="20">
        <v>4800</v>
      </c>
      <c r="G115" s="22">
        <f t="shared" si="6"/>
        <v>62683.206998066496</v>
      </c>
      <c r="H115" s="22">
        <v>400</v>
      </c>
      <c r="I115" s="23">
        <v>111</v>
      </c>
      <c r="AA115">
        <v>38459.115276218989</v>
      </c>
    </row>
    <row r="116" spans="2:27" x14ac:dyDescent="0.25">
      <c r="B116" s="22">
        <f t="shared" si="8"/>
        <v>62683.206998066496</v>
      </c>
      <c r="C116" s="64">
        <v>0.05</v>
      </c>
      <c r="D116" s="22">
        <f t="shared" si="5"/>
        <v>261.18002915861041</v>
      </c>
      <c r="E116" s="22">
        <f t="shared" si="7"/>
        <v>62944.387027225108</v>
      </c>
      <c r="F116" s="20">
        <v>4800</v>
      </c>
      <c r="G116" s="22">
        <f t="shared" si="6"/>
        <v>62544.387027225108</v>
      </c>
      <c r="H116" s="22">
        <v>400</v>
      </c>
      <c r="I116" s="23">
        <v>112</v>
      </c>
      <c r="AA116">
        <v>38746.10451318539</v>
      </c>
    </row>
    <row r="117" spans="2:27" x14ac:dyDescent="0.25">
      <c r="B117" s="22">
        <f t="shared" si="8"/>
        <v>62544.387027225108</v>
      </c>
      <c r="C117" s="64">
        <v>0.05</v>
      </c>
      <c r="D117" s="22">
        <f t="shared" si="5"/>
        <v>260.60161261343796</v>
      </c>
      <c r="E117" s="22">
        <f t="shared" si="7"/>
        <v>62804.988639838542</v>
      </c>
      <c r="F117" s="20">
        <v>4800</v>
      </c>
      <c r="G117" s="22">
        <f t="shared" si="6"/>
        <v>62404.988639838542</v>
      </c>
      <c r="H117" s="22">
        <v>400</v>
      </c>
      <c r="I117" s="23">
        <v>113</v>
      </c>
      <c r="AA117">
        <v>39032.259123001342</v>
      </c>
    </row>
    <row r="118" spans="2:27" x14ac:dyDescent="0.25">
      <c r="B118" s="22">
        <f t="shared" si="8"/>
        <v>62404.988639838542</v>
      </c>
      <c r="C118" s="64">
        <v>0.05</v>
      </c>
      <c r="D118" s="22">
        <f t="shared" si="5"/>
        <v>260.02078599932725</v>
      </c>
      <c r="E118" s="22">
        <f t="shared" si="7"/>
        <v>62665.009425837867</v>
      </c>
      <c r="F118" s="20">
        <v>4800</v>
      </c>
      <c r="G118" s="22">
        <f t="shared" si="6"/>
        <v>62265.009425837867</v>
      </c>
      <c r="H118" s="22">
        <v>400</v>
      </c>
      <c r="I118" s="23">
        <v>114</v>
      </c>
      <c r="AA118">
        <v>39317.581532944205</v>
      </c>
    </row>
    <row r="119" spans="2:27" x14ac:dyDescent="0.25">
      <c r="B119" s="22">
        <f t="shared" si="8"/>
        <v>62265.009425837867</v>
      </c>
      <c r="C119" s="64">
        <v>0.05</v>
      </c>
      <c r="D119" s="22">
        <f t="shared" si="5"/>
        <v>259.43753927432442</v>
      </c>
      <c r="E119" s="22">
        <f t="shared" si="7"/>
        <v>62524.446965112191</v>
      </c>
      <c r="F119" s="20">
        <v>4800</v>
      </c>
      <c r="G119" s="22">
        <f t="shared" si="6"/>
        <v>62124.446965112191</v>
      </c>
      <c r="H119" s="22">
        <v>400</v>
      </c>
      <c r="I119" s="23">
        <v>115</v>
      </c>
      <c r="AA119">
        <v>39602.074163232319</v>
      </c>
    </row>
    <row r="120" spans="2:27" x14ac:dyDescent="0.25">
      <c r="B120" s="22">
        <f t="shared" si="8"/>
        <v>62124.446965112191</v>
      </c>
      <c r="C120" s="64">
        <v>0.05</v>
      </c>
      <c r="D120" s="22">
        <f t="shared" si="5"/>
        <v>258.85186235463414</v>
      </c>
      <c r="E120" s="22">
        <f t="shared" si="7"/>
        <v>62383.298827466824</v>
      </c>
      <c r="F120" s="20">
        <v>4800</v>
      </c>
      <c r="G120" s="22">
        <f t="shared" si="6"/>
        <v>61983.298827466824</v>
      </c>
      <c r="H120" s="22">
        <v>400</v>
      </c>
      <c r="I120" s="23">
        <v>116</v>
      </c>
      <c r="AA120">
        <v>39885.739427045461</v>
      </c>
    </row>
    <row r="121" spans="2:27" x14ac:dyDescent="0.25">
      <c r="B121" s="22">
        <f t="shared" si="8"/>
        <v>61983.298827466824</v>
      </c>
      <c r="C121" s="64">
        <v>0.05</v>
      </c>
      <c r="D121" s="22">
        <f t="shared" si="5"/>
        <v>258.2637451144451</v>
      </c>
      <c r="E121" s="22">
        <f t="shared" si="7"/>
        <v>62241.562572581272</v>
      </c>
      <c r="F121" s="20">
        <v>4800</v>
      </c>
      <c r="G121" s="22">
        <f t="shared" si="6"/>
        <v>61841.562572581272</v>
      </c>
      <c r="H121" s="22">
        <v>400</v>
      </c>
      <c r="I121" s="23">
        <v>117</v>
      </c>
      <c r="AA121">
        <v>40168.579730545396</v>
      </c>
    </row>
    <row r="122" spans="2:27" x14ac:dyDescent="0.25">
      <c r="B122" s="22">
        <f t="shared" si="8"/>
        <v>61841.562572581272</v>
      </c>
      <c r="C122" s="64">
        <v>0.05</v>
      </c>
      <c r="D122" s="22">
        <f t="shared" si="5"/>
        <v>257.67317738575531</v>
      </c>
      <c r="E122" s="22">
        <f t="shared" si="7"/>
        <v>62099.235749967025</v>
      </c>
      <c r="F122" s="20">
        <v>4800</v>
      </c>
      <c r="G122" s="22">
        <f t="shared" si="6"/>
        <v>61699.235749967025</v>
      </c>
      <c r="H122" s="22">
        <v>400</v>
      </c>
      <c r="I122" s="23">
        <v>118</v>
      </c>
      <c r="AA122">
        <v>40450.59747289621</v>
      </c>
    </row>
    <row r="123" spans="2:27" x14ac:dyDescent="0.25">
      <c r="B123" s="22">
        <f t="shared" si="8"/>
        <v>61699.235749967025</v>
      </c>
      <c r="C123" s="64">
        <v>0.05</v>
      </c>
      <c r="D123" s="22">
        <f t="shared" si="5"/>
        <v>257.08014895819593</v>
      </c>
      <c r="E123" s="22">
        <f t="shared" si="7"/>
        <v>61956.315898925219</v>
      </c>
      <c r="F123" s="20">
        <v>4800</v>
      </c>
      <c r="G123" s="22">
        <f t="shared" si="6"/>
        <v>61556.315898925219</v>
      </c>
      <c r="H123" s="22">
        <v>400</v>
      </c>
      <c r="I123" s="23">
        <v>119</v>
      </c>
      <c r="AA123">
        <v>40731.795046284722</v>
      </c>
    </row>
    <row r="124" spans="2:27" x14ac:dyDescent="0.25">
      <c r="B124" s="22">
        <f t="shared" si="8"/>
        <v>61556.315898925219</v>
      </c>
      <c r="C124" s="64">
        <v>0.05</v>
      </c>
      <c r="D124" s="22">
        <f t="shared" si="5"/>
        <v>256.48464957885506</v>
      </c>
      <c r="E124" s="22">
        <f t="shared" si="7"/>
        <v>61812.80054850407</v>
      </c>
      <c r="F124" s="20">
        <v>4800</v>
      </c>
      <c r="G124" s="22">
        <f t="shared" si="6"/>
        <v>61412.80054850407</v>
      </c>
      <c r="H124" s="22">
        <v>400</v>
      </c>
      <c r="I124" s="23">
        <v>120</v>
      </c>
      <c r="AA124">
        <v>41012.17483594075</v>
      </c>
    </row>
    <row r="125" spans="2:27" x14ac:dyDescent="0.25">
      <c r="B125" s="22">
        <f t="shared" si="8"/>
        <v>61412.80054850407</v>
      </c>
      <c r="C125" s="64">
        <v>0.05</v>
      </c>
      <c r="D125" s="22">
        <f t="shared" si="5"/>
        <v>255.88666895210028</v>
      </c>
      <c r="E125" s="22">
        <f t="shared" si="7"/>
        <v>61668.687217456172</v>
      </c>
      <c r="F125" s="20">
        <v>4800</v>
      </c>
      <c r="G125" s="22">
        <f t="shared" si="6"/>
        <v>61268.687217456172</v>
      </c>
      <c r="H125" s="22">
        <v>400</v>
      </c>
      <c r="I125" s="23">
        <v>121</v>
      </c>
      <c r="AA125">
        <v>41291.739220157317</v>
      </c>
    </row>
    <row r="126" spans="2:27" x14ac:dyDescent="0.25">
      <c r="B126" s="22">
        <f t="shared" si="8"/>
        <v>61268.687217456172</v>
      </c>
      <c r="C126" s="64">
        <v>0.05</v>
      </c>
      <c r="D126" s="22">
        <f t="shared" si="5"/>
        <v>255.28619673940071</v>
      </c>
      <c r="E126" s="22">
        <f t="shared" si="7"/>
        <v>61523.973414195571</v>
      </c>
      <c r="F126" s="20">
        <v>4800</v>
      </c>
      <c r="G126" s="22">
        <f t="shared" si="6"/>
        <v>61123.973414195571</v>
      </c>
      <c r="H126" s="22">
        <v>400</v>
      </c>
      <c r="I126" s="23">
        <v>122</v>
      </c>
      <c r="AA126">
        <v>41570.490570310903</v>
      </c>
    </row>
    <row r="127" spans="2:27" x14ac:dyDescent="0.25">
      <c r="B127" s="22">
        <f t="shared" si="8"/>
        <v>61123.973414195571</v>
      </c>
      <c r="C127" s="64">
        <v>0.05</v>
      </c>
      <c r="D127" s="22">
        <f t="shared" si="5"/>
        <v>254.68322255914822</v>
      </c>
      <c r="E127" s="22">
        <f t="shared" si="7"/>
        <v>61378.65663675472</v>
      </c>
      <c r="F127" s="20">
        <v>4800</v>
      </c>
      <c r="G127" s="22">
        <f t="shared" si="6"/>
        <v>60978.65663675472</v>
      </c>
      <c r="H127" s="22">
        <v>400</v>
      </c>
      <c r="I127" s="23">
        <v>123</v>
      </c>
      <c r="AA127">
        <v>41848.431250881462</v>
      </c>
    </row>
    <row r="128" spans="2:27" x14ac:dyDescent="0.25">
      <c r="B128" s="22">
        <f t="shared" si="8"/>
        <v>60978.65663675472</v>
      </c>
      <c r="C128" s="64">
        <v>0.05</v>
      </c>
      <c r="D128" s="22">
        <f t="shared" si="5"/>
        <v>254.07773598647799</v>
      </c>
      <c r="E128" s="22">
        <f t="shared" si="7"/>
        <v>61232.734372741201</v>
      </c>
      <c r="F128" s="20">
        <v>4800</v>
      </c>
      <c r="G128" s="22">
        <f t="shared" si="6"/>
        <v>60832.734372741201</v>
      </c>
      <c r="H128" s="22">
        <v>400</v>
      </c>
      <c r="I128" s="23">
        <v>124</v>
      </c>
      <c r="AA128">
        <v>42125.563619472559</v>
      </c>
    </row>
    <row r="129" spans="2:27" x14ac:dyDescent="0.25">
      <c r="B129" s="22">
        <f t="shared" si="8"/>
        <v>60832.734372741201</v>
      </c>
      <c r="C129" s="64">
        <v>0.05</v>
      </c>
      <c r="D129" s="22">
        <f t="shared" si="5"/>
        <v>253.46972655308832</v>
      </c>
      <c r="E129" s="22">
        <f t="shared" si="7"/>
        <v>61086.204099294286</v>
      </c>
      <c r="F129" s="20">
        <v>4800</v>
      </c>
      <c r="G129" s="22">
        <f t="shared" si="6"/>
        <v>60686.204099294286</v>
      </c>
      <c r="H129" s="22">
        <v>400</v>
      </c>
      <c r="I129" s="23">
        <v>125</v>
      </c>
      <c r="AA129">
        <v>42401.890026831308</v>
      </c>
    </row>
    <row r="130" spans="2:27" x14ac:dyDescent="0.25">
      <c r="B130" s="22">
        <f t="shared" si="8"/>
        <v>60686.204099294286</v>
      </c>
      <c r="C130" s="64">
        <v>0.05</v>
      </c>
      <c r="D130" s="22">
        <f t="shared" si="5"/>
        <v>252.85918374705952</v>
      </c>
      <c r="E130" s="22">
        <f t="shared" si="7"/>
        <v>60939.063283041345</v>
      </c>
      <c r="F130" s="20">
        <v>4800</v>
      </c>
      <c r="G130" s="22">
        <f t="shared" si="6"/>
        <v>60539.063283041345</v>
      </c>
      <c r="H130" s="22">
        <v>400</v>
      </c>
      <c r="I130" s="23">
        <v>126</v>
      </c>
      <c r="AA130">
        <v>42677.41281686836</v>
      </c>
    </row>
    <row r="131" spans="2:27" x14ac:dyDescent="0.25">
      <c r="B131" s="22">
        <f t="shared" si="8"/>
        <v>60539.063283041345</v>
      </c>
      <c r="C131" s="64">
        <v>0.05</v>
      </c>
      <c r="D131" s="22">
        <f t="shared" si="5"/>
        <v>252.24609701267227</v>
      </c>
      <c r="E131" s="22">
        <f t="shared" si="7"/>
        <v>60791.309380054015</v>
      </c>
      <c r="F131" s="20">
        <v>4800</v>
      </c>
      <c r="G131" s="22">
        <f t="shared" si="6"/>
        <v>60391.309380054015</v>
      </c>
      <c r="H131" s="22">
        <v>400</v>
      </c>
      <c r="I131" s="23">
        <v>127</v>
      </c>
      <c r="AA131">
        <v>42952.134326677748</v>
      </c>
    </row>
    <row r="132" spans="2:27" x14ac:dyDescent="0.25">
      <c r="B132" s="22">
        <f t="shared" si="8"/>
        <v>60391.309380054015</v>
      </c>
      <c r="C132" s="64">
        <v>0.05</v>
      </c>
      <c r="D132" s="22">
        <f t="shared" si="5"/>
        <v>251.63045575022505</v>
      </c>
      <c r="E132" s="22">
        <f t="shared" si="7"/>
        <v>60642.939835804238</v>
      </c>
      <c r="F132" s="20">
        <v>4800</v>
      </c>
      <c r="G132" s="22">
        <f t="shared" si="6"/>
        <v>60242.939835804238</v>
      </c>
      <c r="H132" s="22">
        <v>400</v>
      </c>
      <c r="I132" s="23">
        <v>128</v>
      </c>
      <c r="AA132">
        <v>43226.056886556733</v>
      </c>
    </row>
    <row r="133" spans="2:27" x14ac:dyDescent="0.25">
      <c r="B133" s="22">
        <f t="shared" si="8"/>
        <v>60242.939835804238</v>
      </c>
      <c r="C133" s="64">
        <v>0.05</v>
      </c>
      <c r="D133" s="22">
        <f t="shared" si="5"/>
        <v>251.01224931585099</v>
      </c>
      <c r="E133" s="22">
        <f t="shared" si="7"/>
        <v>60493.952085120087</v>
      </c>
      <c r="F133" s="20">
        <v>4800</v>
      </c>
      <c r="G133" s="22">
        <f t="shared" si="6"/>
        <v>60093.952085120087</v>
      </c>
      <c r="H133" s="22">
        <v>400</v>
      </c>
      <c r="I133" s="23">
        <v>129</v>
      </c>
      <c r="AA133">
        <v>43499.182820025577</v>
      </c>
    </row>
    <row r="134" spans="2:27" x14ac:dyDescent="0.25">
      <c r="B134" s="22">
        <f t="shared" si="8"/>
        <v>60093.952085120087</v>
      </c>
      <c r="C134" s="64">
        <v>0.05</v>
      </c>
      <c r="D134" s="22">
        <f t="shared" ref="D134:D197" si="9">B134*(0.05/12)</f>
        <v>250.39146702133368</v>
      </c>
      <c r="E134" s="22">
        <f t="shared" si="7"/>
        <v>60344.343552141421</v>
      </c>
      <c r="F134" s="20">
        <v>4800</v>
      </c>
      <c r="G134" s="22">
        <f t="shared" ref="G134:G197" si="10">E134-H134</f>
        <v>59944.343552141421</v>
      </c>
      <c r="H134" s="22">
        <v>400</v>
      </c>
      <c r="I134" s="23">
        <v>130</v>
      </c>
      <c r="AA134">
        <v>43771.51444384722</v>
      </c>
    </row>
    <row r="135" spans="2:27" x14ac:dyDescent="0.25">
      <c r="B135" s="22">
        <f t="shared" si="8"/>
        <v>59944.343552141421</v>
      </c>
      <c r="C135" s="64">
        <v>0.05</v>
      </c>
      <c r="D135" s="22">
        <f t="shared" si="9"/>
        <v>249.76809813392259</v>
      </c>
      <c r="E135" s="22">
        <f t="shared" ref="E135:E198" si="11">B135+D135</f>
        <v>60194.111650275343</v>
      </c>
      <c r="F135" s="20">
        <v>4800</v>
      </c>
      <c r="G135" s="22">
        <f t="shared" si="10"/>
        <v>59794.111650275343</v>
      </c>
      <c r="H135" s="22">
        <v>400</v>
      </c>
      <c r="I135" s="23">
        <v>131</v>
      </c>
      <c r="AA135">
        <v>44043.054068046964</v>
      </c>
    </row>
    <row r="136" spans="2:27" x14ac:dyDescent="0.25">
      <c r="B136" s="22">
        <f t="shared" si="8"/>
        <v>59794.111650275343</v>
      </c>
      <c r="C136" s="64">
        <v>0.05</v>
      </c>
      <c r="D136" s="22">
        <f t="shared" si="9"/>
        <v>249.14213187614726</v>
      </c>
      <c r="E136" s="22">
        <f t="shared" si="11"/>
        <v>60043.253782151492</v>
      </c>
      <c r="F136" s="20">
        <v>4800</v>
      </c>
      <c r="G136" s="22">
        <f t="shared" si="10"/>
        <v>59643.253782151492</v>
      </c>
      <c r="H136" s="22">
        <v>400</v>
      </c>
      <c r="I136" s="23">
        <v>132</v>
      </c>
      <c r="AA136">
        <v>44313.803995932038</v>
      </c>
    </row>
    <row r="137" spans="2:27" x14ac:dyDescent="0.25">
      <c r="B137" s="22">
        <f t="shared" si="8"/>
        <v>59643.253782151492</v>
      </c>
      <c r="C137" s="64">
        <v>0.05</v>
      </c>
      <c r="D137" s="22">
        <f t="shared" si="9"/>
        <v>248.51355742563121</v>
      </c>
      <c r="E137" s="22">
        <f t="shared" si="11"/>
        <v>59891.767339577127</v>
      </c>
      <c r="F137" s="20">
        <v>4800</v>
      </c>
      <c r="G137" s="22">
        <f t="shared" si="10"/>
        <v>59491.767339577127</v>
      </c>
      <c r="H137" s="22">
        <v>400</v>
      </c>
      <c r="I137" s="23">
        <v>133</v>
      </c>
      <c r="AA137">
        <v>44583.766524111161</v>
      </c>
    </row>
    <row r="138" spans="2:27" x14ac:dyDescent="0.25">
      <c r="B138" s="22">
        <f t="shared" si="8"/>
        <v>59491.767339577127</v>
      </c>
      <c r="C138" s="64">
        <v>0.05</v>
      </c>
      <c r="D138" s="22">
        <f t="shared" si="9"/>
        <v>247.88236391490469</v>
      </c>
      <c r="E138" s="22">
        <f t="shared" si="11"/>
        <v>59739.649703492032</v>
      </c>
      <c r="F138" s="20">
        <v>4800</v>
      </c>
      <c r="G138" s="22">
        <f t="shared" si="10"/>
        <v>59339.649703492032</v>
      </c>
      <c r="H138" s="22">
        <v>400</v>
      </c>
      <c r="I138" s="23">
        <v>134</v>
      </c>
      <c r="AA138">
        <v>44852.943942514052</v>
      </c>
    </row>
    <row r="139" spans="2:27" x14ac:dyDescent="0.25">
      <c r="B139" s="22">
        <f t="shared" si="8"/>
        <v>59339.649703492032</v>
      </c>
      <c r="C139" s="64">
        <v>0.05</v>
      </c>
      <c r="D139" s="22">
        <f t="shared" si="9"/>
        <v>247.24854043121681</v>
      </c>
      <c r="E139" s="22">
        <f t="shared" si="11"/>
        <v>59586.89824392325</v>
      </c>
      <c r="F139" s="20">
        <v>4800</v>
      </c>
      <c r="G139" s="22">
        <f t="shared" si="10"/>
        <v>59186.89824392325</v>
      </c>
      <c r="H139" s="22">
        <v>400</v>
      </c>
      <c r="I139" s="23">
        <v>135</v>
      </c>
      <c r="AA139">
        <v>45121.338534410745</v>
      </c>
    </row>
    <row r="140" spans="2:27" x14ac:dyDescent="0.25">
      <c r="B140" s="22">
        <f t="shared" si="8"/>
        <v>59186.89824392325</v>
      </c>
      <c r="C140" s="64">
        <v>0.05</v>
      </c>
      <c r="D140" s="22">
        <f t="shared" si="9"/>
        <v>246.61207601634686</v>
      </c>
      <c r="E140" s="22">
        <f t="shared" si="11"/>
        <v>59433.510319939596</v>
      </c>
      <c r="F140" s="20">
        <v>4800</v>
      </c>
      <c r="G140" s="22">
        <f t="shared" si="10"/>
        <v>59033.510319939596</v>
      </c>
      <c r="H140" s="22">
        <v>400</v>
      </c>
      <c r="I140" s="23">
        <v>136</v>
      </c>
      <c r="AA140">
        <v>45388.952576431075</v>
      </c>
    </row>
    <row r="141" spans="2:27" x14ac:dyDescent="0.25">
      <c r="B141" s="22">
        <f t="shared" si="8"/>
        <v>59033.510319939596</v>
      </c>
      <c r="C141" s="64">
        <v>0.05</v>
      </c>
      <c r="D141" s="22">
        <f t="shared" si="9"/>
        <v>245.97295966641499</v>
      </c>
      <c r="E141" s="22">
        <f t="shared" si="11"/>
        <v>59279.483279606015</v>
      </c>
      <c r="F141" s="20">
        <v>4800</v>
      </c>
      <c r="G141" s="22">
        <f t="shared" si="10"/>
        <v>58879.483279606015</v>
      </c>
      <c r="H141" s="22">
        <v>400</v>
      </c>
      <c r="I141" s="23">
        <v>137</v>
      </c>
      <c r="AA141">
        <v>45655.788338583938</v>
      </c>
    </row>
    <row r="142" spans="2:27" x14ac:dyDescent="0.25">
      <c r="B142" s="22">
        <f t="shared" si="8"/>
        <v>58879.483279606015</v>
      </c>
      <c r="C142" s="64">
        <v>0.05</v>
      </c>
      <c r="D142" s="22">
        <f t="shared" si="9"/>
        <v>245.33118033169171</v>
      </c>
      <c r="E142" s="22">
        <f t="shared" si="11"/>
        <v>59124.814459937705</v>
      </c>
      <c r="F142" s="20">
        <v>4800</v>
      </c>
      <c r="G142" s="22">
        <f t="shared" si="10"/>
        <v>58724.814459937705</v>
      </c>
      <c r="H142" s="22">
        <v>400</v>
      </c>
      <c r="I142" s="23">
        <v>138</v>
      </c>
      <c r="AA142">
        <v>45921.848084276542</v>
      </c>
    </row>
    <row r="143" spans="2:27" x14ac:dyDescent="0.25">
      <c r="B143" s="22">
        <f t="shared" si="8"/>
        <v>58724.814459937705</v>
      </c>
      <c r="C143" s="64">
        <v>0.05</v>
      </c>
      <c r="D143" s="22">
        <f t="shared" si="9"/>
        <v>244.68672691640711</v>
      </c>
      <c r="E143" s="22">
        <f t="shared" si="11"/>
        <v>58969.501186854111</v>
      </c>
      <c r="F143" s="20">
        <v>4800</v>
      </c>
      <c r="G143" s="22">
        <f t="shared" si="10"/>
        <v>58569.501186854111</v>
      </c>
      <c r="H143" s="22">
        <v>400</v>
      </c>
      <c r="I143" s="23">
        <v>139</v>
      </c>
      <c r="AA143">
        <v>46187.134070333595</v>
      </c>
    </row>
    <row r="144" spans="2:27" x14ac:dyDescent="0.25">
      <c r="B144" s="22">
        <f t="shared" si="8"/>
        <v>58569.501186854111</v>
      </c>
      <c r="C144" s="64">
        <v>0.05</v>
      </c>
      <c r="D144" s="22">
        <f t="shared" si="9"/>
        <v>244.0395882785588</v>
      </c>
      <c r="E144" s="22">
        <f t="shared" si="11"/>
        <v>58813.540775132671</v>
      </c>
      <c r="F144" s="20">
        <v>4800</v>
      </c>
      <c r="G144" s="22">
        <f t="shared" si="10"/>
        <v>58413.540775132671</v>
      </c>
      <c r="H144" s="22">
        <v>400</v>
      </c>
      <c r="I144" s="23">
        <v>140</v>
      </c>
      <c r="AA144">
        <v>46451.648547016535</v>
      </c>
    </row>
    <row r="145" spans="2:27" x14ac:dyDescent="0.25">
      <c r="B145" s="22">
        <f t="shared" si="8"/>
        <v>58413.540775132671</v>
      </c>
      <c r="C145" s="64">
        <v>0.05</v>
      </c>
      <c r="D145" s="22">
        <f t="shared" si="9"/>
        <v>243.38975322971945</v>
      </c>
      <c r="E145" s="22">
        <f t="shared" si="11"/>
        <v>58656.930528362391</v>
      </c>
      <c r="F145" s="20">
        <v>4800</v>
      </c>
      <c r="G145" s="22">
        <f t="shared" si="10"/>
        <v>58256.930528362391</v>
      </c>
      <c r="H145" s="22">
        <v>400</v>
      </c>
      <c r="I145" s="23">
        <v>141</v>
      </c>
      <c r="AA145">
        <v>46715.393758042454</v>
      </c>
    </row>
    <row r="146" spans="2:27" x14ac:dyDescent="0.25">
      <c r="B146" s="22">
        <f t="shared" si="8"/>
        <v>58256.930528362391</v>
      </c>
      <c r="C146" s="64">
        <v>0.05</v>
      </c>
      <c r="D146" s="22">
        <f t="shared" si="9"/>
        <v>242.73721053484329</v>
      </c>
      <c r="E146" s="22">
        <f t="shared" si="11"/>
        <v>58499.667738897231</v>
      </c>
      <c r="F146" s="20">
        <v>4800</v>
      </c>
      <c r="G146" s="22">
        <f t="shared" si="10"/>
        <v>58099.667738897231</v>
      </c>
      <c r="H146" s="22">
        <v>400</v>
      </c>
      <c r="I146" s="23">
        <v>142</v>
      </c>
      <c r="AA146">
        <v>46978.371940603312</v>
      </c>
    </row>
    <row r="147" spans="2:27" x14ac:dyDescent="0.25">
      <c r="B147" s="22">
        <f t="shared" si="8"/>
        <v>58099.667738897231</v>
      </c>
      <c r="C147" s="64">
        <v>0.05</v>
      </c>
      <c r="D147" s="22">
        <f t="shared" si="9"/>
        <v>242.08194891207179</v>
      </c>
      <c r="E147" s="22">
        <f t="shared" si="11"/>
        <v>58341.749687809301</v>
      </c>
      <c r="F147" s="20">
        <v>4800</v>
      </c>
      <c r="G147" s="22">
        <f t="shared" si="10"/>
        <v>57941.749687809301</v>
      </c>
      <c r="H147" s="22">
        <v>400</v>
      </c>
      <c r="I147" s="23">
        <v>143</v>
      </c>
      <c r="AA147">
        <v>47240.585325384774</v>
      </c>
    </row>
    <row r="148" spans="2:27" x14ac:dyDescent="0.25">
      <c r="B148" s="22">
        <f t="shared" si="8"/>
        <v>57941.749687809301</v>
      </c>
      <c r="C148" s="64">
        <v>0.05</v>
      </c>
      <c r="D148" s="22">
        <f t="shared" si="9"/>
        <v>241.42395703253874</v>
      </c>
      <c r="E148" s="22">
        <f t="shared" si="11"/>
        <v>58183.173644841838</v>
      </c>
      <c r="F148" s="20">
        <v>4800</v>
      </c>
      <c r="G148" s="22">
        <f t="shared" si="10"/>
        <v>57783.173644841838</v>
      </c>
      <c r="H148" s="22">
        <v>400</v>
      </c>
      <c r="I148" s="23">
        <v>144</v>
      </c>
      <c r="AA148">
        <v>47502.0361365852</v>
      </c>
    </row>
    <row r="149" spans="2:27" x14ac:dyDescent="0.25">
      <c r="B149" s="22">
        <f t="shared" si="8"/>
        <v>57783.173644841838</v>
      </c>
      <c r="C149" s="64">
        <v>0.05</v>
      </c>
      <c r="D149" s="22">
        <f t="shared" si="9"/>
        <v>240.76322352017431</v>
      </c>
      <c r="E149" s="22">
        <f t="shared" si="11"/>
        <v>58023.936868362012</v>
      </c>
      <c r="F149" s="20">
        <v>4800</v>
      </c>
      <c r="G149" s="22">
        <f t="shared" si="10"/>
        <v>57623.936868362012</v>
      </c>
      <c r="H149" s="22">
        <v>400</v>
      </c>
      <c r="I149" s="23">
        <v>145</v>
      </c>
      <c r="AA149">
        <v>47762.726591934508</v>
      </c>
    </row>
    <row r="150" spans="2:27" x14ac:dyDescent="0.25">
      <c r="B150" s="22">
        <f t="shared" si="8"/>
        <v>57623.936868362012</v>
      </c>
      <c r="C150" s="64">
        <v>0.05</v>
      </c>
      <c r="D150" s="22">
        <f t="shared" si="9"/>
        <v>240.09973695150839</v>
      </c>
      <c r="E150" s="22">
        <f t="shared" si="11"/>
        <v>57864.036605313522</v>
      </c>
      <c r="F150" s="20">
        <v>4800</v>
      </c>
      <c r="G150" s="22">
        <f t="shared" si="10"/>
        <v>57464.036605313522</v>
      </c>
      <c r="H150" s="22">
        <v>400</v>
      </c>
      <c r="I150" s="23">
        <v>146</v>
      </c>
      <c r="AA150">
        <v>48022.658902712974</v>
      </c>
    </row>
    <row r="151" spans="2:27" x14ac:dyDescent="0.25">
      <c r="B151" s="22">
        <f t="shared" si="8"/>
        <v>57464.036605313522</v>
      </c>
      <c r="C151" s="64">
        <v>0.05</v>
      </c>
      <c r="D151" s="22">
        <f t="shared" si="9"/>
        <v>239.43348585547301</v>
      </c>
      <c r="E151" s="22">
        <f t="shared" si="11"/>
        <v>57703.470091168994</v>
      </c>
      <c r="F151" s="20">
        <v>4800</v>
      </c>
      <c r="G151" s="22">
        <f t="shared" si="10"/>
        <v>57303.470091168994</v>
      </c>
      <c r="H151" s="22">
        <v>400</v>
      </c>
      <c r="I151" s="23">
        <v>147</v>
      </c>
      <c r="AA151">
        <v>48281.83527376999</v>
      </c>
    </row>
    <row r="152" spans="2:27" x14ac:dyDescent="0.25">
      <c r="B152" s="22">
        <f t="shared" si="8"/>
        <v>57303.470091168994</v>
      </c>
      <c r="C152" s="64">
        <v>0.05</v>
      </c>
      <c r="D152" s="22">
        <f t="shared" si="9"/>
        <v>238.76445871320414</v>
      </c>
      <c r="E152" s="22">
        <f t="shared" si="11"/>
        <v>57542.234549882196</v>
      </c>
      <c r="F152" s="20">
        <v>4800</v>
      </c>
      <c r="G152" s="22">
        <f t="shared" si="10"/>
        <v>57142.234549882196</v>
      </c>
      <c r="H152" s="22">
        <v>400</v>
      </c>
      <c r="I152" s="23">
        <v>148</v>
      </c>
      <c r="AA152">
        <v>48540.257903542733</v>
      </c>
    </row>
    <row r="153" spans="2:27" x14ac:dyDescent="0.25">
      <c r="B153" s="22">
        <f t="shared" si="8"/>
        <v>57142.234549882196</v>
      </c>
      <c r="C153" s="64">
        <v>0.05</v>
      </c>
      <c r="D153" s="22">
        <f t="shared" si="9"/>
        <v>238.09264395784248</v>
      </c>
      <c r="E153" s="22">
        <f t="shared" si="11"/>
        <v>57380.327193840036</v>
      </c>
      <c r="F153" s="20">
        <v>4800</v>
      </c>
      <c r="G153" s="22">
        <f t="shared" si="10"/>
        <v>56980.327193840036</v>
      </c>
      <c r="H153" s="22">
        <v>400</v>
      </c>
      <c r="I153" s="23">
        <v>149</v>
      </c>
      <c r="AA153">
        <v>48797.928984074897</v>
      </c>
    </row>
    <row r="154" spans="2:27" x14ac:dyDescent="0.25">
      <c r="B154" s="22">
        <f t="shared" si="8"/>
        <v>56980.327193840036</v>
      </c>
      <c r="C154" s="64">
        <v>0.05</v>
      </c>
      <c r="D154" s="22">
        <f t="shared" si="9"/>
        <v>237.41802997433348</v>
      </c>
      <c r="E154" s="22">
        <f t="shared" si="11"/>
        <v>57217.745223814367</v>
      </c>
      <c r="F154" s="20">
        <v>4800</v>
      </c>
      <c r="G154" s="22">
        <f t="shared" si="10"/>
        <v>56817.745223814367</v>
      </c>
      <c r="H154" s="22">
        <v>400</v>
      </c>
      <c r="I154" s="23">
        <v>150</v>
      </c>
      <c r="AA154">
        <v>49054.850701035197</v>
      </c>
    </row>
    <row r="155" spans="2:27" x14ac:dyDescent="0.25">
      <c r="B155" s="22">
        <f t="shared" si="8"/>
        <v>56817.745223814367</v>
      </c>
      <c r="C155" s="64">
        <v>0.05</v>
      </c>
      <c r="D155" s="22">
        <f t="shared" si="9"/>
        <v>236.74060509922651</v>
      </c>
      <c r="E155" s="22">
        <f t="shared" si="11"/>
        <v>57054.485828913595</v>
      </c>
      <c r="F155" s="20">
        <v>4800</v>
      </c>
      <c r="G155" s="22">
        <f t="shared" si="10"/>
        <v>56654.485828913595</v>
      </c>
      <c r="H155" s="22">
        <v>400</v>
      </c>
      <c r="I155" s="23">
        <v>151</v>
      </c>
      <c r="AA155">
        <v>49311.025233735956</v>
      </c>
    </row>
    <row r="156" spans="2:27" x14ac:dyDescent="0.25">
      <c r="B156" s="22">
        <f t="shared" si="8"/>
        <v>56654.485828913595</v>
      </c>
      <c r="C156" s="64">
        <v>0.05</v>
      </c>
      <c r="D156" s="22">
        <f t="shared" si="9"/>
        <v>236.0603576204733</v>
      </c>
      <c r="E156" s="22">
        <f t="shared" si="11"/>
        <v>56890.546186534069</v>
      </c>
      <c r="F156" s="20">
        <v>4800</v>
      </c>
      <c r="G156" s="22">
        <f t="shared" si="10"/>
        <v>56490.546186534069</v>
      </c>
      <c r="H156" s="22">
        <v>400</v>
      </c>
      <c r="I156" s="23">
        <v>152</v>
      </c>
      <c r="AA156">
        <v>49566.454755151623</v>
      </c>
    </row>
    <row r="157" spans="2:27" x14ac:dyDescent="0.25">
      <c r="B157" s="22">
        <f t="shared" ref="B157:B220" si="12">G156</f>
        <v>56490.546186534069</v>
      </c>
      <c r="C157" s="64">
        <v>0.05</v>
      </c>
      <c r="D157" s="22">
        <f t="shared" si="9"/>
        <v>235.37727577722529</v>
      </c>
      <c r="E157" s="22">
        <f t="shared" si="11"/>
        <v>56725.923462311293</v>
      </c>
      <c r="F157" s="20">
        <v>4800</v>
      </c>
      <c r="G157" s="22">
        <f t="shared" si="10"/>
        <v>56325.923462311293</v>
      </c>
      <c r="H157" s="22">
        <v>400</v>
      </c>
      <c r="I157" s="23">
        <v>153</v>
      </c>
      <c r="AA157">
        <v>49821.141431937103</v>
      </c>
    </row>
    <row r="158" spans="2:27" x14ac:dyDescent="0.25">
      <c r="B158" s="22">
        <f t="shared" si="12"/>
        <v>56325.923462311293</v>
      </c>
      <c r="C158" s="64">
        <v>0.05</v>
      </c>
      <c r="D158" s="22">
        <f t="shared" si="9"/>
        <v>234.69134775963039</v>
      </c>
      <c r="E158" s="22">
        <f t="shared" si="11"/>
        <v>56560.614810070925</v>
      </c>
      <c r="F158" s="20">
        <v>4800</v>
      </c>
      <c r="G158" s="22">
        <f t="shared" si="10"/>
        <v>56160.614810070925</v>
      </c>
      <c r="H158" s="22">
        <v>400</v>
      </c>
      <c r="I158" s="23">
        <v>154</v>
      </c>
      <c r="AA158">
        <v>50075.087424446225</v>
      </c>
    </row>
    <row r="159" spans="2:27" x14ac:dyDescent="0.25">
      <c r="B159" s="22">
        <f t="shared" si="12"/>
        <v>56160.614810070925</v>
      </c>
      <c r="C159" s="64">
        <v>0.05</v>
      </c>
      <c r="D159" s="22">
        <f t="shared" si="9"/>
        <v>234.00256170862886</v>
      </c>
      <c r="E159" s="22">
        <f t="shared" si="11"/>
        <v>56394.617371779554</v>
      </c>
      <c r="F159" s="20">
        <v>4800</v>
      </c>
      <c r="G159" s="22">
        <f t="shared" si="10"/>
        <v>55994.617371779554</v>
      </c>
      <c r="H159" s="22">
        <v>400</v>
      </c>
      <c r="I159" s="23">
        <v>155</v>
      </c>
      <c r="AA159">
        <v>50328.294886750053</v>
      </c>
    </row>
    <row r="160" spans="2:27" x14ac:dyDescent="0.25">
      <c r="B160" s="22">
        <f t="shared" si="12"/>
        <v>55994.617371779554</v>
      </c>
      <c r="C160" s="64">
        <v>0.05</v>
      </c>
      <c r="D160" s="22">
        <f t="shared" si="9"/>
        <v>233.31090571574813</v>
      </c>
      <c r="E160" s="22">
        <f t="shared" si="11"/>
        <v>56227.928277495303</v>
      </c>
      <c r="F160" s="20">
        <v>4800</v>
      </c>
      <c r="G160" s="22">
        <f t="shared" si="10"/>
        <v>55827.928277495303</v>
      </c>
      <c r="H160" s="22">
        <v>400</v>
      </c>
      <c r="I160" s="23">
        <v>156</v>
      </c>
      <c r="AA160">
        <v>50580.765966655119</v>
      </c>
    </row>
    <row r="161" spans="2:27" x14ac:dyDescent="0.25">
      <c r="B161" s="22">
        <f t="shared" si="12"/>
        <v>55827.928277495303</v>
      </c>
      <c r="C161" s="64">
        <v>0.05</v>
      </c>
      <c r="D161" s="22">
        <f t="shared" si="9"/>
        <v>232.6163678228971</v>
      </c>
      <c r="E161" s="22">
        <f t="shared" si="11"/>
        <v>56060.544645318201</v>
      </c>
      <c r="F161" s="20">
        <v>4800</v>
      </c>
      <c r="G161" s="22">
        <f t="shared" si="10"/>
        <v>55660.544645318201</v>
      </c>
      <c r="H161" s="22">
        <v>400</v>
      </c>
      <c r="I161" s="23">
        <v>157</v>
      </c>
      <c r="AA161">
        <v>50832.502805721684</v>
      </c>
    </row>
    <row r="162" spans="2:27" x14ac:dyDescent="0.25">
      <c r="B162" s="22">
        <f t="shared" si="12"/>
        <v>55660.544645318201</v>
      </c>
      <c r="C162" s="64">
        <v>0.05</v>
      </c>
      <c r="D162" s="22">
        <f t="shared" si="9"/>
        <v>231.91893602215916</v>
      </c>
      <c r="E162" s="22">
        <f t="shared" si="11"/>
        <v>55892.463581340358</v>
      </c>
      <c r="F162" s="20">
        <v>4800</v>
      </c>
      <c r="G162" s="22">
        <f t="shared" si="10"/>
        <v>55492.463581340358</v>
      </c>
      <c r="H162" s="22">
        <v>400</v>
      </c>
      <c r="I162" s="23">
        <v>158</v>
      </c>
      <c r="AA162">
        <v>51083.507539281854</v>
      </c>
    </row>
    <row r="163" spans="2:27" x14ac:dyDescent="0.25">
      <c r="B163" s="22">
        <f t="shared" si="12"/>
        <v>55492.463581340358</v>
      </c>
      <c r="C163" s="64">
        <v>0.05</v>
      </c>
      <c r="D163" s="22">
        <f t="shared" si="9"/>
        <v>231.21859825558482</v>
      </c>
      <c r="E163" s="22">
        <f t="shared" si="11"/>
        <v>55723.68217959594</v>
      </c>
      <c r="F163" s="20">
        <v>4800</v>
      </c>
      <c r="G163" s="22">
        <f t="shared" si="10"/>
        <v>55323.68217959594</v>
      </c>
      <c r="H163" s="22">
        <v>400</v>
      </c>
      <c r="I163" s="23">
        <v>159</v>
      </c>
      <c r="AA163">
        <v>51333.782296457801</v>
      </c>
    </row>
    <row r="164" spans="2:27" x14ac:dyDescent="0.25">
      <c r="B164" s="22">
        <f t="shared" si="12"/>
        <v>55323.68217959594</v>
      </c>
      <c r="C164" s="64">
        <v>0.05</v>
      </c>
      <c r="D164" s="22">
        <f t="shared" si="9"/>
        <v>230.51534241498308</v>
      </c>
      <c r="E164" s="22">
        <f t="shared" si="11"/>
        <v>55554.197522010923</v>
      </c>
      <c r="F164" s="20">
        <v>4800</v>
      </c>
      <c r="G164" s="22">
        <f t="shared" si="10"/>
        <v>55154.197522010923</v>
      </c>
      <c r="H164" s="22">
        <v>400</v>
      </c>
      <c r="I164" s="23">
        <v>160</v>
      </c>
      <c r="AA164">
        <v>51583.329200179644</v>
      </c>
    </row>
    <row r="165" spans="2:27" x14ac:dyDescent="0.25">
      <c r="B165" s="22">
        <f t="shared" si="12"/>
        <v>55154.197522010923</v>
      </c>
      <c r="C165" s="64">
        <v>0.05</v>
      </c>
      <c r="D165" s="22">
        <f t="shared" si="9"/>
        <v>229.80915634171217</v>
      </c>
      <c r="E165" s="22">
        <f t="shared" si="11"/>
        <v>55384.006678352634</v>
      </c>
      <c r="F165" s="20">
        <v>4800</v>
      </c>
      <c r="G165" s="22">
        <f t="shared" si="10"/>
        <v>54984.006678352634</v>
      </c>
      <c r="H165" s="22">
        <v>400</v>
      </c>
      <c r="I165" s="23">
        <v>161</v>
      </c>
      <c r="AA165">
        <v>51832.150367203627</v>
      </c>
    </row>
    <row r="166" spans="2:27" x14ac:dyDescent="0.25">
      <c r="B166" s="22">
        <f t="shared" si="12"/>
        <v>54984.006678352634</v>
      </c>
      <c r="C166" s="64">
        <v>0.05</v>
      </c>
      <c r="D166" s="22">
        <f t="shared" si="9"/>
        <v>229.1000278264693</v>
      </c>
      <c r="E166" s="22">
        <f t="shared" si="11"/>
        <v>55213.106706179104</v>
      </c>
      <c r="F166" s="20">
        <v>4800</v>
      </c>
      <c r="G166" s="22">
        <f t="shared" si="10"/>
        <v>54813.106706179104</v>
      </c>
      <c r="H166" s="22">
        <v>400</v>
      </c>
      <c r="I166" s="23">
        <v>162</v>
      </c>
      <c r="AA166">
        <v>52080.247908129983</v>
      </c>
    </row>
    <row r="167" spans="2:27" x14ac:dyDescent="0.25">
      <c r="B167" s="22">
        <f t="shared" si="12"/>
        <v>54813.106706179104</v>
      </c>
      <c r="C167" s="64">
        <v>0.05</v>
      </c>
      <c r="D167" s="22">
        <f t="shared" si="9"/>
        <v>228.3879446090796</v>
      </c>
      <c r="E167" s="22">
        <f t="shared" si="11"/>
        <v>55041.494650788183</v>
      </c>
      <c r="F167" s="20">
        <v>4800</v>
      </c>
      <c r="G167" s="22">
        <f t="shared" si="10"/>
        <v>54641.494650788183</v>
      </c>
      <c r="H167" s="22">
        <v>400</v>
      </c>
      <c r="I167" s="23">
        <v>163</v>
      </c>
      <c r="AA167">
        <v>52327.623927420893</v>
      </c>
    </row>
    <row r="168" spans="2:27" x14ac:dyDescent="0.25">
      <c r="B168" s="22">
        <f t="shared" si="12"/>
        <v>54641.494650788183</v>
      </c>
      <c r="C168" s="64">
        <v>0.05</v>
      </c>
      <c r="D168" s="22">
        <f t="shared" si="9"/>
        <v>227.6728943782841</v>
      </c>
      <c r="E168" s="22">
        <f t="shared" si="11"/>
        <v>54869.167545166471</v>
      </c>
      <c r="F168" s="20">
        <v>4800</v>
      </c>
      <c r="G168" s="22">
        <f t="shared" si="10"/>
        <v>54469.167545166471</v>
      </c>
      <c r="H168" s="22">
        <v>400</v>
      </c>
      <c r="I168" s="23">
        <v>164</v>
      </c>
      <c r="AA168">
        <v>52574.280523418252</v>
      </c>
    </row>
    <row r="169" spans="2:27" x14ac:dyDescent="0.25">
      <c r="B169" s="22">
        <f t="shared" si="12"/>
        <v>54469.167545166471</v>
      </c>
      <c r="C169" s="64">
        <v>0.05</v>
      </c>
      <c r="D169" s="22">
        <f t="shared" si="9"/>
        <v>226.95486477152696</v>
      </c>
      <c r="E169" s="22">
        <f t="shared" si="11"/>
        <v>54696.122409937998</v>
      </c>
      <c r="F169" s="20">
        <v>4800</v>
      </c>
      <c r="G169" s="22">
        <f t="shared" si="10"/>
        <v>54296.122409937998</v>
      </c>
      <c r="H169" s="22">
        <v>400</v>
      </c>
      <c r="I169" s="23">
        <v>165</v>
      </c>
      <c r="AA169">
        <v>52820.219788361544</v>
      </c>
    </row>
    <row r="170" spans="2:27" x14ac:dyDescent="0.25">
      <c r="B170" s="22">
        <f t="shared" si="12"/>
        <v>54296.122409937998</v>
      </c>
      <c r="C170" s="64">
        <v>0.05</v>
      </c>
      <c r="D170" s="22">
        <f t="shared" si="9"/>
        <v>226.23384337474167</v>
      </c>
      <c r="E170" s="22">
        <f t="shared" si="11"/>
        <v>54522.356253312741</v>
      </c>
      <c r="F170" s="20">
        <v>4800</v>
      </c>
      <c r="G170" s="22">
        <f t="shared" si="10"/>
        <v>54122.356253312741</v>
      </c>
      <c r="H170" s="22">
        <v>400</v>
      </c>
      <c r="I170" s="23">
        <v>166</v>
      </c>
      <c r="AA170">
        <v>53065.443808405566</v>
      </c>
    </row>
    <row r="171" spans="2:27" x14ac:dyDescent="0.25">
      <c r="B171" s="22">
        <f t="shared" si="12"/>
        <v>54122.356253312741</v>
      </c>
      <c r="C171" s="64">
        <v>0.05</v>
      </c>
      <c r="D171" s="22">
        <f t="shared" si="9"/>
        <v>225.5098177221364</v>
      </c>
      <c r="E171" s="22">
        <f t="shared" si="11"/>
        <v>54347.866071034878</v>
      </c>
      <c r="F171" s="20">
        <v>4800</v>
      </c>
      <c r="G171" s="22">
        <f t="shared" si="10"/>
        <v>53947.866071034878</v>
      </c>
      <c r="H171" s="22">
        <v>400</v>
      </c>
      <c r="I171" s="23">
        <v>167</v>
      </c>
      <c r="AA171">
        <v>53309.954663638156</v>
      </c>
    </row>
    <row r="172" spans="2:27" x14ac:dyDescent="0.25">
      <c r="B172" s="22">
        <f t="shared" si="12"/>
        <v>53947.866071034878</v>
      </c>
      <c r="C172" s="64">
        <v>0.05</v>
      </c>
      <c r="D172" s="22">
        <f t="shared" si="9"/>
        <v>224.78277529597867</v>
      </c>
      <c r="E172" s="22">
        <f t="shared" si="11"/>
        <v>54172.648846330856</v>
      </c>
      <c r="F172" s="20">
        <v>4800</v>
      </c>
      <c r="G172" s="22">
        <f t="shared" si="10"/>
        <v>53772.648846330856</v>
      </c>
      <c r="H172" s="22">
        <v>400</v>
      </c>
      <c r="I172" s="23">
        <v>168</v>
      </c>
      <c r="AA172">
        <v>53553.754428097731</v>
      </c>
    </row>
    <row r="173" spans="2:27" x14ac:dyDescent="0.25">
      <c r="B173" s="22">
        <f t="shared" si="12"/>
        <v>53772.648846330856</v>
      </c>
      <c r="C173" s="64">
        <v>0.05</v>
      </c>
      <c r="D173" s="22">
        <f t="shared" si="9"/>
        <v>224.05270352637856</v>
      </c>
      <c r="E173" s="22">
        <f t="shared" si="11"/>
        <v>53996.701549857236</v>
      </c>
      <c r="F173" s="20">
        <v>4800</v>
      </c>
      <c r="G173" s="22">
        <f t="shared" si="10"/>
        <v>53596.701549857236</v>
      </c>
      <c r="H173" s="22">
        <v>400</v>
      </c>
      <c r="I173" s="23">
        <v>169</v>
      </c>
      <c r="AA173">
        <v>53796.845169791013</v>
      </c>
    </row>
    <row r="174" spans="2:27" x14ac:dyDescent="0.25">
      <c r="B174" s="22">
        <f t="shared" si="12"/>
        <v>53596.701549857236</v>
      </c>
      <c r="C174" s="64">
        <v>0.05</v>
      </c>
      <c r="D174" s="22">
        <f t="shared" si="9"/>
        <v>223.31958979107182</v>
      </c>
      <c r="E174" s="22">
        <f t="shared" si="11"/>
        <v>53820.021139648306</v>
      </c>
      <c r="F174" s="20">
        <v>4800</v>
      </c>
      <c r="G174" s="22">
        <f t="shared" si="10"/>
        <v>53420.021139648306</v>
      </c>
      <c r="H174" s="22">
        <v>400</v>
      </c>
      <c r="I174" s="23">
        <v>170</v>
      </c>
      <c r="AA174">
        <v>54039.228950710472</v>
      </c>
    </row>
    <row r="175" spans="2:27" x14ac:dyDescent="0.25">
      <c r="B175" s="22">
        <f t="shared" si="12"/>
        <v>53420.021139648306</v>
      </c>
      <c r="C175" s="64">
        <v>0.05</v>
      </c>
      <c r="D175" s="22">
        <f t="shared" si="9"/>
        <v>222.58342141520129</v>
      </c>
      <c r="E175" s="22">
        <f t="shared" si="11"/>
        <v>53642.604561063505</v>
      </c>
      <c r="F175" s="20">
        <v>4800</v>
      </c>
      <c r="G175" s="22">
        <f t="shared" si="10"/>
        <v>53242.604561063505</v>
      </c>
      <c r="H175" s="22">
        <v>400</v>
      </c>
      <c r="I175" s="23">
        <v>171</v>
      </c>
      <c r="AA175">
        <v>54280.907826851915</v>
      </c>
    </row>
    <row r="176" spans="2:27" x14ac:dyDescent="0.25">
      <c r="B176" s="22">
        <f t="shared" si="12"/>
        <v>53242.604561063505</v>
      </c>
      <c r="C176" s="64">
        <v>0.05</v>
      </c>
      <c r="D176" s="22">
        <f t="shared" si="9"/>
        <v>221.84418567109793</v>
      </c>
      <c r="E176" s="22">
        <f t="shared" si="11"/>
        <v>53464.448746734604</v>
      </c>
      <c r="F176" s="20">
        <v>4800</v>
      </c>
      <c r="G176" s="22">
        <f t="shared" si="10"/>
        <v>53064.448746734604</v>
      </c>
      <c r="H176" s="22">
        <v>400</v>
      </c>
      <c r="I176" s="23">
        <v>172</v>
      </c>
      <c r="AA176">
        <v>54521.883848231788</v>
      </c>
    </row>
    <row r="177" spans="2:27" x14ac:dyDescent="0.25">
      <c r="B177" s="22">
        <f t="shared" si="12"/>
        <v>53064.448746734604</v>
      </c>
      <c r="C177" s="64">
        <v>0.05</v>
      </c>
      <c r="D177" s="22">
        <f t="shared" si="9"/>
        <v>221.10186977806086</v>
      </c>
      <c r="E177" s="22">
        <f t="shared" si="11"/>
        <v>53285.550616512664</v>
      </c>
      <c r="F177" s="20">
        <v>4800</v>
      </c>
      <c r="G177" s="22">
        <f t="shared" si="10"/>
        <v>52885.550616512664</v>
      </c>
      <c r="H177" s="22">
        <v>400</v>
      </c>
      <c r="I177" s="23">
        <v>173</v>
      </c>
      <c r="AA177">
        <v>54762.159058904675</v>
      </c>
    </row>
    <row r="178" spans="2:27" x14ac:dyDescent="0.25">
      <c r="B178" s="22">
        <f t="shared" si="12"/>
        <v>52885.550616512664</v>
      </c>
      <c r="C178" s="64">
        <v>0.05</v>
      </c>
      <c r="D178" s="22">
        <f t="shared" si="9"/>
        <v>220.35646090213609</v>
      </c>
      <c r="E178" s="22">
        <f t="shared" si="11"/>
        <v>53105.907077414799</v>
      </c>
      <c r="F178" s="20">
        <v>4800</v>
      </c>
      <c r="G178" s="22">
        <f t="shared" si="10"/>
        <v>52705.907077414799</v>
      </c>
      <c r="H178" s="22">
        <v>400</v>
      </c>
      <c r="I178" s="23">
        <v>174</v>
      </c>
      <c r="AA178">
        <v>55001.735496980655</v>
      </c>
    </row>
    <row r="179" spans="2:27" x14ac:dyDescent="0.25">
      <c r="B179" s="22">
        <f t="shared" si="12"/>
        <v>52705.907077414799</v>
      </c>
      <c r="C179" s="64">
        <v>0.05</v>
      </c>
      <c r="D179" s="22">
        <f t="shared" si="9"/>
        <v>219.60794615589498</v>
      </c>
      <c r="E179" s="22">
        <f t="shared" si="11"/>
        <v>52925.515023570697</v>
      </c>
      <c r="F179" s="20">
        <v>4800</v>
      </c>
      <c r="G179" s="22">
        <f t="shared" si="10"/>
        <v>52525.515023570697</v>
      </c>
      <c r="H179" s="22">
        <v>400</v>
      </c>
      <c r="I179" s="23">
        <v>175</v>
      </c>
      <c r="AA179">
        <v>55240.615194642443</v>
      </c>
    </row>
    <row r="180" spans="2:27" x14ac:dyDescent="0.25">
      <c r="B180" s="22">
        <f t="shared" si="12"/>
        <v>52525.515023570697</v>
      </c>
      <c r="C180" s="64">
        <v>0.05</v>
      </c>
      <c r="D180" s="22">
        <f t="shared" si="9"/>
        <v>218.85631259821125</v>
      </c>
      <c r="E180" s="22">
        <f t="shared" si="11"/>
        <v>52744.371336168908</v>
      </c>
      <c r="F180" s="20">
        <v>4800</v>
      </c>
      <c r="G180" s="22">
        <f t="shared" si="10"/>
        <v>52344.371336168908</v>
      </c>
      <c r="H180" s="22">
        <v>400</v>
      </c>
      <c r="I180" s="23">
        <v>176</v>
      </c>
      <c r="AA180">
        <v>55478.800178162797</v>
      </c>
    </row>
    <row r="181" spans="2:27" x14ac:dyDescent="0.25">
      <c r="B181" s="22">
        <f t="shared" si="12"/>
        <v>52344.371336168908</v>
      </c>
      <c r="C181" s="64">
        <v>0.05</v>
      </c>
      <c r="D181" s="22">
        <f t="shared" si="9"/>
        <v>218.1015472340371</v>
      </c>
      <c r="E181" s="22">
        <f t="shared" si="11"/>
        <v>52562.472883402945</v>
      </c>
      <c r="F181" s="20">
        <v>4800</v>
      </c>
      <c r="G181" s="22">
        <f t="shared" si="10"/>
        <v>52162.472883402945</v>
      </c>
      <c r="H181" s="22">
        <v>400</v>
      </c>
      <c r="I181" s="23">
        <v>177</v>
      </c>
      <c r="AA181">
        <v>55716.292467921616</v>
      </c>
    </row>
    <row r="182" spans="2:27" x14ac:dyDescent="0.25">
      <c r="B182" s="22">
        <f t="shared" si="12"/>
        <v>52162.472883402945</v>
      </c>
      <c r="C182" s="64">
        <v>0.05</v>
      </c>
      <c r="D182" s="22">
        <f t="shared" si="9"/>
        <v>217.34363701417894</v>
      </c>
      <c r="E182" s="22">
        <f t="shared" si="11"/>
        <v>52379.816520417124</v>
      </c>
      <c r="F182" s="20">
        <v>4800</v>
      </c>
      <c r="G182" s="22">
        <f t="shared" si="10"/>
        <v>51979.816520417124</v>
      </c>
      <c r="H182" s="22">
        <v>400</v>
      </c>
      <c r="I182" s="23">
        <v>178</v>
      </c>
      <c r="AA182">
        <v>55953.094078423084</v>
      </c>
    </row>
    <row r="183" spans="2:27" x14ac:dyDescent="0.25">
      <c r="B183" s="22">
        <f t="shared" si="12"/>
        <v>51979.816520417124</v>
      </c>
      <c r="C183" s="64">
        <v>0.05</v>
      </c>
      <c r="D183" s="22">
        <f t="shared" si="9"/>
        <v>216.58256883507136</v>
      </c>
      <c r="E183" s="22">
        <f t="shared" si="11"/>
        <v>52196.399089252198</v>
      </c>
      <c r="F183" s="20">
        <v>4800</v>
      </c>
      <c r="G183" s="22">
        <f t="shared" si="10"/>
        <v>51796.399089252198</v>
      </c>
      <c r="H183" s="22">
        <v>400</v>
      </c>
      <c r="I183" s="23">
        <v>179</v>
      </c>
      <c r="AA183">
        <v>56189.20701831278</v>
      </c>
    </row>
    <row r="184" spans="2:27" x14ac:dyDescent="0.25">
      <c r="B184" s="22">
        <f t="shared" si="12"/>
        <v>51796.399089252198</v>
      </c>
      <c r="C184" s="64">
        <v>0.05</v>
      </c>
      <c r="D184" s="22">
        <f t="shared" si="9"/>
        <v>215.81832953855081</v>
      </c>
      <c r="E184" s="22">
        <f t="shared" si="11"/>
        <v>52012.217418790751</v>
      </c>
      <c r="F184" s="20">
        <v>4800</v>
      </c>
      <c r="G184" s="22">
        <f t="shared" si="10"/>
        <v>51612.217418790751</v>
      </c>
      <c r="H184" s="22">
        <v>400</v>
      </c>
      <c r="I184" s="23">
        <v>180</v>
      </c>
      <c r="AA184">
        <v>56424.633290394711</v>
      </c>
    </row>
    <row r="185" spans="2:27" x14ac:dyDescent="0.25">
      <c r="B185" s="22">
        <f t="shared" si="12"/>
        <v>51612.217418790751</v>
      </c>
      <c r="C185" s="64">
        <v>0.05</v>
      </c>
      <c r="D185" s="22">
        <f t="shared" si="9"/>
        <v>215.05090591162812</v>
      </c>
      <c r="E185" s="22">
        <f t="shared" si="11"/>
        <v>51827.268324702382</v>
      </c>
      <c r="F185" s="20">
        <v>4800</v>
      </c>
      <c r="G185" s="22">
        <f t="shared" si="10"/>
        <v>51427.268324702382</v>
      </c>
      <c r="H185" s="22">
        <v>400</v>
      </c>
      <c r="I185" s="23">
        <v>181</v>
      </c>
      <c r="AA185">
        <v>56659.374891648244</v>
      </c>
    </row>
    <row r="186" spans="2:27" x14ac:dyDescent="0.25">
      <c r="B186" s="22">
        <f t="shared" si="12"/>
        <v>51427.268324702382</v>
      </c>
      <c r="C186" s="64">
        <v>0.05</v>
      </c>
      <c r="D186" s="22">
        <f t="shared" si="9"/>
        <v>214.28028468625993</v>
      </c>
      <c r="E186" s="22">
        <f t="shared" si="11"/>
        <v>51641.548609388643</v>
      </c>
      <c r="F186" s="20">
        <v>4800</v>
      </c>
      <c r="G186" s="22">
        <f t="shared" si="10"/>
        <v>51241.548609388643</v>
      </c>
      <c r="H186" s="22">
        <v>400</v>
      </c>
      <c r="I186" s="23">
        <v>182</v>
      </c>
      <c r="AA186">
        <v>56893.433813245159</v>
      </c>
    </row>
    <row r="187" spans="2:27" x14ac:dyDescent="0.25">
      <c r="B187" s="22">
        <f t="shared" si="12"/>
        <v>51241.548609388643</v>
      </c>
      <c r="C187" s="64">
        <v>0.05</v>
      </c>
      <c r="D187" s="22">
        <f t="shared" si="9"/>
        <v>213.50645253911935</v>
      </c>
      <c r="E187" s="22">
        <f t="shared" si="11"/>
        <v>51455.055061927764</v>
      </c>
      <c r="F187" s="20">
        <v>4800</v>
      </c>
      <c r="G187" s="22">
        <f t="shared" si="10"/>
        <v>51055.055061927764</v>
      </c>
      <c r="H187" s="22">
        <v>400</v>
      </c>
      <c r="I187" s="23">
        <v>183</v>
      </c>
      <c r="AA187">
        <v>57126.812040566452</v>
      </c>
    </row>
    <row r="188" spans="2:27" x14ac:dyDescent="0.25">
      <c r="B188" s="22">
        <f t="shared" si="12"/>
        <v>51055.055061927764</v>
      </c>
      <c r="C188" s="64">
        <v>0.05</v>
      </c>
      <c r="D188" s="22">
        <f t="shared" si="9"/>
        <v>212.72939609136569</v>
      </c>
      <c r="E188" s="22">
        <f t="shared" si="11"/>
        <v>51267.78445801913</v>
      </c>
      <c r="F188" s="20">
        <v>4800</v>
      </c>
      <c r="G188" s="22">
        <f t="shared" si="10"/>
        <v>50867.78445801913</v>
      </c>
      <c r="H188" s="22">
        <v>400</v>
      </c>
      <c r="I188" s="23">
        <v>184</v>
      </c>
      <c r="AA188">
        <v>57359.51155321917</v>
      </c>
    </row>
    <row r="189" spans="2:27" x14ac:dyDescent="0.25">
      <c r="B189" s="22">
        <f t="shared" si="12"/>
        <v>50867.78445801913</v>
      </c>
      <c r="C189" s="64">
        <v>0.05</v>
      </c>
      <c r="D189" s="22">
        <f t="shared" si="9"/>
        <v>211.94910190841304</v>
      </c>
      <c r="E189" s="22">
        <f t="shared" si="11"/>
        <v>51079.733559927547</v>
      </c>
      <c r="F189" s="20">
        <v>4800</v>
      </c>
      <c r="G189" s="22">
        <f t="shared" si="10"/>
        <v>50679.733559927547</v>
      </c>
      <c r="H189" s="22">
        <v>400</v>
      </c>
      <c r="I189" s="23">
        <v>185</v>
      </c>
      <c r="J189">
        <f>I189/12</f>
        <v>15.416666666666666</v>
      </c>
      <c r="AA189">
        <v>57591.534325053311</v>
      </c>
    </row>
    <row r="190" spans="2:27" x14ac:dyDescent="0.25">
      <c r="B190" s="22">
        <f t="shared" si="12"/>
        <v>50679.733559927547</v>
      </c>
      <c r="C190" s="64">
        <v>0.05</v>
      </c>
      <c r="D190" s="22">
        <f t="shared" si="9"/>
        <v>211.16555649969811</v>
      </c>
      <c r="E190" s="22">
        <f t="shared" si="11"/>
        <v>50890.899116427245</v>
      </c>
      <c r="F190" s="20">
        <v>4800</v>
      </c>
      <c r="G190" s="22">
        <f t="shared" si="10"/>
        <v>50490.899116427245</v>
      </c>
      <c r="H190" s="22">
        <v>400</v>
      </c>
      <c r="I190" s="23">
        <v>186</v>
      </c>
      <c r="AA190">
        <v>57822.882324178383</v>
      </c>
    </row>
    <row r="191" spans="2:27" x14ac:dyDescent="0.25">
      <c r="B191" s="22">
        <f t="shared" si="12"/>
        <v>50490.899116427245</v>
      </c>
      <c r="C191" s="64">
        <v>0.05</v>
      </c>
      <c r="D191" s="22">
        <f t="shared" si="9"/>
        <v>210.37874631844684</v>
      </c>
      <c r="E191" s="22">
        <f t="shared" si="11"/>
        <v>50701.277862745694</v>
      </c>
      <c r="F191" s="20">
        <v>4800</v>
      </c>
      <c r="G191" s="22">
        <f t="shared" si="10"/>
        <v>50301.277862745694</v>
      </c>
      <c r="H191" s="22">
        <v>400</v>
      </c>
      <c r="I191" s="23">
        <v>187</v>
      </c>
      <c r="AA191">
        <v>58053.557512980289</v>
      </c>
    </row>
    <row r="192" spans="2:27" x14ac:dyDescent="0.25">
      <c r="B192" s="22">
        <f t="shared" si="12"/>
        <v>50301.277862745694</v>
      </c>
      <c r="C192" s="64">
        <v>0.05</v>
      </c>
      <c r="D192" s="22">
        <f t="shared" si="9"/>
        <v>209.58865776144037</v>
      </c>
      <c r="E192" s="22">
        <f t="shared" si="11"/>
        <v>50510.866520507137</v>
      </c>
      <c r="F192" s="20">
        <v>4800</v>
      </c>
      <c r="G192" s="22">
        <f t="shared" si="10"/>
        <v>50110.866520507137</v>
      </c>
      <c r="H192" s="22">
        <v>400</v>
      </c>
      <c r="I192" s="23">
        <v>188</v>
      </c>
      <c r="AA192">
        <v>58283.561848137833</v>
      </c>
    </row>
    <row r="193" spans="2:27" x14ac:dyDescent="0.25">
      <c r="B193" s="22">
        <f t="shared" si="12"/>
        <v>50110.866520507137</v>
      </c>
      <c r="C193" s="64">
        <v>0.05</v>
      </c>
      <c r="D193" s="22">
        <f t="shared" si="9"/>
        <v>208.79527716877973</v>
      </c>
      <c r="E193" s="22">
        <f t="shared" si="11"/>
        <v>50319.661797675915</v>
      </c>
      <c r="F193" s="20">
        <v>4800</v>
      </c>
      <c r="G193" s="22">
        <f t="shared" si="10"/>
        <v>49919.661797675915</v>
      </c>
      <c r="H193" s="22">
        <v>400</v>
      </c>
      <c r="I193" s="23">
        <v>189</v>
      </c>
      <c r="AA193">
        <v>58512.897280639401</v>
      </c>
    </row>
    <row r="194" spans="2:27" x14ac:dyDescent="0.25">
      <c r="B194" s="22">
        <f t="shared" si="12"/>
        <v>49919.661797675915</v>
      </c>
      <c r="C194" s="64">
        <v>0.05</v>
      </c>
      <c r="D194" s="22">
        <f t="shared" si="9"/>
        <v>207.99859082364964</v>
      </c>
      <c r="E194" s="22">
        <f t="shared" si="11"/>
        <v>50127.660388499564</v>
      </c>
      <c r="F194" s="20">
        <v>4800</v>
      </c>
      <c r="G194" s="22">
        <f t="shared" si="10"/>
        <v>49727.660388499564</v>
      </c>
      <c r="H194" s="22">
        <v>400</v>
      </c>
      <c r="I194" s="23">
        <v>190</v>
      </c>
      <c r="AA194">
        <v>58741.565755799464</v>
      </c>
    </row>
    <row r="195" spans="2:27" x14ac:dyDescent="0.25">
      <c r="B195" s="22">
        <f t="shared" si="12"/>
        <v>49727.660388499564</v>
      </c>
      <c r="C195" s="64">
        <v>0.05</v>
      </c>
      <c r="D195" s="22">
        <f t="shared" si="9"/>
        <v>207.19858495208152</v>
      </c>
      <c r="E195" s="22">
        <f t="shared" si="11"/>
        <v>49934.858973451643</v>
      </c>
      <c r="F195" s="20">
        <v>4800</v>
      </c>
      <c r="G195" s="22">
        <f t="shared" si="10"/>
        <v>49534.858973451643</v>
      </c>
      <c r="H195" s="22">
        <v>400</v>
      </c>
      <c r="I195" s="23">
        <v>191</v>
      </c>
      <c r="AA195">
        <v>58969.569213275114</v>
      </c>
    </row>
    <row r="196" spans="2:27" x14ac:dyDescent="0.25">
      <c r="B196" s="22">
        <f t="shared" si="12"/>
        <v>49534.858973451643</v>
      </c>
      <c r="C196" s="64">
        <v>0.05</v>
      </c>
      <c r="D196" s="22">
        <f t="shared" si="9"/>
        <v>206.39524572271517</v>
      </c>
      <c r="E196" s="22">
        <f t="shared" si="11"/>
        <v>49741.254219174356</v>
      </c>
      <c r="F196" s="20">
        <v>4800</v>
      </c>
      <c r="G196" s="22">
        <f t="shared" si="10"/>
        <v>49341.254219174356</v>
      </c>
      <c r="H196" s="22">
        <v>400</v>
      </c>
      <c r="I196" s="23">
        <v>192</v>
      </c>
      <c r="AA196">
        <v>59196.909587082475</v>
      </c>
    </row>
    <row r="197" spans="2:27" x14ac:dyDescent="0.25">
      <c r="B197" s="22">
        <f t="shared" si="12"/>
        <v>49341.254219174356</v>
      </c>
      <c r="C197" s="64">
        <v>0.05</v>
      </c>
      <c r="D197" s="22">
        <f t="shared" si="9"/>
        <v>205.58855924655981</v>
      </c>
      <c r="E197" s="22">
        <f t="shared" si="11"/>
        <v>49546.842778420913</v>
      </c>
      <c r="F197" s="20">
        <v>4800</v>
      </c>
      <c r="G197" s="22">
        <f t="shared" si="10"/>
        <v>49146.842778420913</v>
      </c>
      <c r="H197" s="22">
        <v>400</v>
      </c>
      <c r="I197" s="23">
        <v>193</v>
      </c>
      <c r="AA197">
        <v>59423.588805613152</v>
      </c>
    </row>
    <row r="198" spans="2:27" x14ac:dyDescent="0.25">
      <c r="B198" s="22">
        <f t="shared" si="12"/>
        <v>49146.842778420913</v>
      </c>
      <c r="C198" s="64">
        <v>0.05</v>
      </c>
      <c r="D198" s="22">
        <f t="shared" ref="D198:D261" si="13">B198*(0.05/12)</f>
        <v>204.7785115767538</v>
      </c>
      <c r="E198" s="22">
        <f t="shared" si="11"/>
        <v>49351.621289997667</v>
      </c>
      <c r="F198" s="20">
        <v>4800</v>
      </c>
      <c r="G198" s="22">
        <f t="shared" ref="G198:G261" si="14">E198-H198</f>
        <v>48951.621289997667</v>
      </c>
      <c r="H198" s="22">
        <v>400</v>
      </c>
      <c r="I198" s="23">
        <v>194</v>
      </c>
      <c r="AA198">
        <v>59649.608791650564</v>
      </c>
    </row>
    <row r="199" spans="2:27" x14ac:dyDescent="0.25">
      <c r="B199" s="22">
        <f t="shared" si="12"/>
        <v>48951.621289997667</v>
      </c>
      <c r="C199" s="64">
        <v>0.05</v>
      </c>
      <c r="D199" s="22">
        <f t="shared" si="13"/>
        <v>203.96508870832361</v>
      </c>
      <c r="E199" s="22">
        <f t="shared" ref="E199:E262" si="15">B199+D199</f>
        <v>49155.586378705993</v>
      </c>
      <c r="F199" s="20">
        <v>4800</v>
      </c>
      <c r="G199" s="22">
        <f t="shared" si="14"/>
        <v>48755.586378705993</v>
      </c>
      <c r="H199" s="22">
        <v>400</v>
      </c>
      <c r="I199" s="23">
        <v>195</v>
      </c>
      <c r="AA199">
        <v>59874.971462386224</v>
      </c>
    </row>
    <row r="200" spans="2:27" x14ac:dyDescent="0.25">
      <c r="B200" s="22">
        <f t="shared" si="12"/>
        <v>48755.586378705993</v>
      </c>
      <c r="C200" s="64">
        <v>0.05</v>
      </c>
      <c r="D200" s="22">
        <f t="shared" si="13"/>
        <v>203.14827657794163</v>
      </c>
      <c r="E200" s="22">
        <f t="shared" si="15"/>
        <v>48958.734655283937</v>
      </c>
      <c r="F200" s="20">
        <v>4800</v>
      </c>
      <c r="G200" s="22">
        <f t="shared" si="14"/>
        <v>48558.734655283937</v>
      </c>
      <c r="H200" s="22">
        <v>400</v>
      </c>
      <c r="I200" s="23">
        <v>196</v>
      </c>
      <c r="AA200">
        <v>60099.678729436084</v>
      </c>
    </row>
    <row r="201" spans="2:27" x14ac:dyDescent="0.25">
      <c r="B201" s="22">
        <f t="shared" si="12"/>
        <v>48558.734655283937</v>
      </c>
      <c r="C201" s="64">
        <v>0.05</v>
      </c>
      <c r="D201" s="22">
        <f t="shared" si="13"/>
        <v>202.32806106368307</v>
      </c>
      <c r="E201" s="22">
        <f t="shared" si="15"/>
        <v>48761.062716347624</v>
      </c>
      <c r="F201" s="20">
        <v>4800</v>
      </c>
      <c r="G201" s="22">
        <f t="shared" si="14"/>
        <v>48361.062716347624</v>
      </c>
      <c r="H201" s="22">
        <v>400</v>
      </c>
      <c r="I201" s="23">
        <v>197</v>
      </c>
      <c r="AA201">
        <v>60323.732498856676</v>
      </c>
    </row>
    <row r="202" spans="2:27" x14ac:dyDescent="0.25">
      <c r="B202" s="22">
        <f t="shared" si="12"/>
        <v>48361.062716347624</v>
      </c>
      <c r="C202" s="64">
        <v>0.05</v>
      </c>
      <c r="D202" s="22">
        <f t="shared" si="13"/>
        <v>201.50442798478176</v>
      </c>
      <c r="E202" s="22">
        <f t="shared" si="15"/>
        <v>48562.567144332403</v>
      </c>
      <c r="F202" s="20">
        <v>4800</v>
      </c>
      <c r="G202" s="22">
        <f t="shared" si="14"/>
        <v>48162.567144332403</v>
      </c>
      <c r="H202" s="22">
        <v>400</v>
      </c>
      <c r="I202" s="23">
        <v>198</v>
      </c>
      <c r="AA202">
        <v>60547.134671161301</v>
      </c>
    </row>
    <row r="203" spans="2:27" x14ac:dyDescent="0.25">
      <c r="B203" s="22">
        <f t="shared" si="12"/>
        <v>48162.567144332403</v>
      </c>
      <c r="C203" s="64">
        <v>0.05</v>
      </c>
      <c r="D203" s="22">
        <f t="shared" si="13"/>
        <v>200.677363101385</v>
      </c>
      <c r="E203" s="22">
        <f t="shared" si="15"/>
        <v>48363.244507433788</v>
      </c>
      <c r="F203" s="20">
        <v>4800</v>
      </c>
      <c r="G203" s="22">
        <f t="shared" si="14"/>
        <v>47963.244507433788</v>
      </c>
      <c r="H203" s="22">
        <v>400</v>
      </c>
      <c r="I203" s="23">
        <v>199</v>
      </c>
      <c r="AA203">
        <v>60769.887141336178</v>
      </c>
    </row>
    <row r="204" spans="2:27" x14ac:dyDescent="0.25">
      <c r="B204" s="22">
        <f t="shared" si="12"/>
        <v>47963.244507433788</v>
      </c>
      <c r="C204" s="64">
        <v>0.05</v>
      </c>
      <c r="D204" s="22">
        <f t="shared" si="13"/>
        <v>199.84685211430744</v>
      </c>
      <c r="E204" s="22">
        <f t="shared" si="15"/>
        <v>48163.091359548096</v>
      </c>
      <c r="F204" s="20">
        <v>4800</v>
      </c>
      <c r="G204" s="22">
        <f t="shared" si="14"/>
        <v>47763.091359548096</v>
      </c>
      <c r="H204" s="22">
        <v>400</v>
      </c>
      <c r="I204" s="23">
        <v>200</v>
      </c>
      <c r="AA204">
        <v>60991.991798856463</v>
      </c>
    </row>
    <row r="205" spans="2:27" x14ac:dyDescent="0.25">
      <c r="B205" s="22">
        <f t="shared" si="12"/>
        <v>47763.091359548096</v>
      </c>
      <c r="C205" s="64">
        <v>0.05</v>
      </c>
      <c r="D205" s="22">
        <f t="shared" si="13"/>
        <v>199.01288066478372</v>
      </c>
      <c r="E205" s="22">
        <f t="shared" si="15"/>
        <v>47962.104240212881</v>
      </c>
      <c r="F205" s="20">
        <v>4800</v>
      </c>
      <c r="G205" s="22">
        <f t="shared" si="14"/>
        <v>47562.104240212881</v>
      </c>
      <c r="H205" s="22">
        <v>400</v>
      </c>
      <c r="I205" s="23">
        <v>201</v>
      </c>
      <c r="AA205">
        <v>61213.450527702327</v>
      </c>
    </row>
    <row r="206" spans="2:27" x14ac:dyDescent="0.25">
      <c r="B206" s="22">
        <f t="shared" si="12"/>
        <v>47562.104240212881</v>
      </c>
      <c r="C206" s="64">
        <v>0.05</v>
      </c>
      <c r="D206" s="22">
        <f t="shared" si="13"/>
        <v>198.17543433422034</v>
      </c>
      <c r="E206" s="22">
        <f t="shared" si="15"/>
        <v>47760.279674547099</v>
      </c>
      <c r="F206" s="20">
        <v>4800</v>
      </c>
      <c r="G206" s="22">
        <f t="shared" si="14"/>
        <v>47360.279674547099</v>
      </c>
      <c r="H206" s="22">
        <v>400</v>
      </c>
      <c r="I206" s="23">
        <v>202</v>
      </c>
      <c r="AA206">
        <v>61434.265206374897</v>
      </c>
    </row>
    <row r="207" spans="2:27" x14ac:dyDescent="0.25">
      <c r="B207" s="22">
        <f t="shared" si="12"/>
        <v>47360.279674547099</v>
      </c>
      <c r="C207" s="64">
        <v>0.05</v>
      </c>
      <c r="D207" s="22">
        <f t="shared" si="13"/>
        <v>197.33449864394623</v>
      </c>
      <c r="E207" s="22">
        <f t="shared" si="15"/>
        <v>47557.614173191047</v>
      </c>
      <c r="F207" s="20">
        <v>4800</v>
      </c>
      <c r="G207" s="22">
        <f t="shared" si="14"/>
        <v>47157.614173191047</v>
      </c>
      <c r="H207" s="22">
        <v>400</v>
      </c>
      <c r="I207" s="23">
        <v>203</v>
      </c>
      <c r="AA207">
        <v>61654.437707912235</v>
      </c>
    </row>
    <row r="208" spans="2:27" x14ac:dyDescent="0.25">
      <c r="B208" s="22">
        <f t="shared" si="12"/>
        <v>47157.614173191047</v>
      </c>
      <c r="C208" s="64">
        <v>0.05</v>
      </c>
      <c r="D208" s="22">
        <f t="shared" si="13"/>
        <v>196.4900590549627</v>
      </c>
      <c r="E208" s="22">
        <f t="shared" si="15"/>
        <v>47354.104232246013</v>
      </c>
      <c r="F208" s="20">
        <v>4800</v>
      </c>
      <c r="G208" s="22">
        <f t="shared" si="14"/>
        <v>46954.104232246013</v>
      </c>
      <c r="H208" s="22">
        <v>400</v>
      </c>
      <c r="I208" s="23">
        <v>204</v>
      </c>
      <c r="AA208">
        <v>61873.969899905191</v>
      </c>
    </row>
    <row r="209" spans="2:27" x14ac:dyDescent="0.25">
      <c r="B209" s="22">
        <f t="shared" si="12"/>
        <v>46954.104232246013</v>
      </c>
      <c r="C209" s="64">
        <v>0.05</v>
      </c>
      <c r="D209" s="22">
        <f t="shared" si="13"/>
        <v>195.6421009676917</v>
      </c>
      <c r="E209" s="22">
        <f t="shared" si="15"/>
        <v>47149.746333213705</v>
      </c>
      <c r="F209" s="20">
        <v>4800</v>
      </c>
      <c r="G209" s="22">
        <f t="shared" si="14"/>
        <v>46749.746333213705</v>
      </c>
      <c r="H209" s="22">
        <v>400</v>
      </c>
      <c r="I209" s="23">
        <v>205</v>
      </c>
      <c r="AA209">
        <v>62092.863644513258</v>
      </c>
    </row>
    <row r="210" spans="2:27" x14ac:dyDescent="0.25">
      <c r="B210" s="22">
        <f t="shared" si="12"/>
        <v>46749.746333213705</v>
      </c>
      <c r="C210" s="64">
        <v>0.05</v>
      </c>
      <c r="D210" s="22">
        <f t="shared" si="13"/>
        <v>194.79060972172377</v>
      </c>
      <c r="E210" s="22">
        <f t="shared" si="15"/>
        <v>46944.536942935432</v>
      </c>
      <c r="F210" s="20">
        <v>4800</v>
      </c>
      <c r="G210" s="22">
        <f t="shared" si="14"/>
        <v>46544.536942935432</v>
      </c>
      <c r="H210" s="22">
        <v>400</v>
      </c>
      <c r="I210" s="23">
        <v>206</v>
      </c>
      <c r="AA210">
        <v>62311.120798480326</v>
      </c>
    </row>
    <row r="211" spans="2:27" x14ac:dyDescent="0.25">
      <c r="B211" s="22">
        <f t="shared" si="12"/>
        <v>46544.536942935432</v>
      </c>
      <c r="C211" s="64">
        <v>0.05</v>
      </c>
      <c r="D211" s="22">
        <f t="shared" si="13"/>
        <v>193.93557059556429</v>
      </c>
      <c r="E211" s="22">
        <f t="shared" si="15"/>
        <v>46738.472513531</v>
      </c>
      <c r="F211" s="20">
        <v>4800</v>
      </c>
      <c r="G211" s="22">
        <f t="shared" si="14"/>
        <v>46338.472513531</v>
      </c>
      <c r="H211" s="22">
        <v>400</v>
      </c>
      <c r="I211" s="23">
        <v>207</v>
      </c>
      <c r="AA211">
        <v>62528.743213150534</v>
      </c>
    </row>
    <row r="212" spans="2:27" x14ac:dyDescent="0.25">
      <c r="B212" s="22">
        <f t="shared" si="12"/>
        <v>46338.472513531</v>
      </c>
      <c r="C212" s="64">
        <v>0.05</v>
      </c>
      <c r="D212" s="22">
        <f t="shared" si="13"/>
        <v>193.07696880637917</v>
      </c>
      <c r="E212" s="22">
        <f t="shared" si="15"/>
        <v>46531.549482337381</v>
      </c>
      <c r="F212" s="20">
        <v>4800</v>
      </c>
      <c r="G212" s="22">
        <f t="shared" si="14"/>
        <v>46131.549482337381</v>
      </c>
      <c r="H212" s="22">
        <v>400</v>
      </c>
      <c r="I212" s="23">
        <v>208</v>
      </c>
      <c r="AA212">
        <v>62745.732734483885</v>
      </c>
    </row>
    <row r="213" spans="2:27" x14ac:dyDescent="0.25">
      <c r="B213" s="22">
        <f t="shared" si="12"/>
        <v>46131.549482337381</v>
      </c>
      <c r="C213" s="64">
        <v>0.05</v>
      </c>
      <c r="D213" s="22">
        <f t="shared" si="13"/>
        <v>192.21478950973909</v>
      </c>
      <c r="E213" s="22">
        <f t="shared" si="15"/>
        <v>46323.764271847118</v>
      </c>
      <c r="F213" s="20">
        <v>4800</v>
      </c>
      <c r="G213" s="22">
        <f t="shared" si="14"/>
        <v>45923.764271847118</v>
      </c>
      <c r="H213" s="22">
        <v>400</v>
      </c>
      <c r="I213" s="23">
        <v>209</v>
      </c>
      <c r="AA213">
        <v>62962.09120307189</v>
      </c>
    </row>
    <row r="214" spans="2:27" x14ac:dyDescent="0.25">
      <c r="B214" s="22">
        <f t="shared" si="12"/>
        <v>45923.764271847118</v>
      </c>
      <c r="C214" s="64">
        <v>0.05</v>
      </c>
      <c r="D214" s="22">
        <f t="shared" si="13"/>
        <v>191.349017799363</v>
      </c>
      <c r="E214" s="22">
        <f t="shared" si="15"/>
        <v>46115.113289646484</v>
      </c>
      <c r="F214" s="20">
        <v>4800</v>
      </c>
      <c r="G214" s="22">
        <f t="shared" si="14"/>
        <v>45715.113289646484</v>
      </c>
      <c r="H214" s="22">
        <v>400</v>
      </c>
      <c r="I214" s="23">
        <v>210</v>
      </c>
      <c r="AA214">
        <v>63177.820454153261</v>
      </c>
    </row>
    <row r="215" spans="2:27" x14ac:dyDescent="0.25">
      <c r="B215" s="22">
        <f t="shared" si="12"/>
        <v>45715.113289646484</v>
      </c>
      <c r="C215" s="64">
        <v>0.05</v>
      </c>
      <c r="D215" s="22">
        <f t="shared" si="13"/>
        <v>190.47963870686036</v>
      </c>
      <c r="E215" s="22">
        <f t="shared" si="15"/>
        <v>45905.592928353348</v>
      </c>
      <c r="F215" s="20">
        <v>4800</v>
      </c>
      <c r="G215" s="22">
        <f t="shared" si="14"/>
        <v>45505.592928353348</v>
      </c>
      <c r="H215" s="22">
        <v>400</v>
      </c>
      <c r="I215" s="23">
        <v>211</v>
      </c>
      <c r="AA215">
        <v>63392.922317629447</v>
      </c>
    </row>
    <row r="216" spans="2:27" x14ac:dyDescent="0.25">
      <c r="B216" s="22">
        <f t="shared" si="12"/>
        <v>45505.592928353348</v>
      </c>
      <c r="C216" s="64">
        <v>0.05</v>
      </c>
      <c r="D216" s="22">
        <f t="shared" si="13"/>
        <v>189.60663720147227</v>
      </c>
      <c r="E216" s="22">
        <f t="shared" si="15"/>
        <v>45695.199565554823</v>
      </c>
      <c r="F216" s="20">
        <v>4800</v>
      </c>
      <c r="G216" s="22">
        <f t="shared" si="14"/>
        <v>45295.199565554823</v>
      </c>
      <c r="H216" s="22">
        <v>400</v>
      </c>
      <c r="I216" s="23">
        <v>212</v>
      </c>
      <c r="AA216">
        <v>63607.398618080093</v>
      </c>
    </row>
    <row r="217" spans="2:27" x14ac:dyDescent="0.25">
      <c r="B217" s="22">
        <f t="shared" si="12"/>
        <v>45295.199565554823</v>
      </c>
      <c r="C217" s="64">
        <v>0.05</v>
      </c>
      <c r="D217" s="22">
        <f t="shared" si="13"/>
        <v>188.72999818981177</v>
      </c>
      <c r="E217" s="22">
        <f t="shared" si="15"/>
        <v>45483.929563744634</v>
      </c>
      <c r="F217" s="20">
        <v>4800</v>
      </c>
      <c r="G217" s="22">
        <f t="shared" si="14"/>
        <v>45083.929563744634</v>
      </c>
      <c r="H217" s="22">
        <v>400</v>
      </c>
      <c r="I217" s="23">
        <v>213</v>
      </c>
      <c r="AA217">
        <v>63821.251174778634</v>
      </c>
    </row>
    <row r="218" spans="2:27" x14ac:dyDescent="0.25">
      <c r="B218" s="22">
        <f t="shared" si="12"/>
        <v>45083.929563744634</v>
      </c>
      <c r="C218" s="64">
        <v>0.05</v>
      </c>
      <c r="D218" s="22">
        <f t="shared" si="13"/>
        <v>187.84970651560263</v>
      </c>
      <c r="E218" s="22">
        <f t="shared" si="15"/>
        <v>45271.779270260238</v>
      </c>
      <c r="F218" s="20">
        <v>4800</v>
      </c>
      <c r="G218" s="22">
        <f t="shared" si="14"/>
        <v>44871.779270260238</v>
      </c>
      <c r="H218" s="22">
        <v>400</v>
      </c>
      <c r="I218" s="23">
        <v>214</v>
      </c>
      <c r="AA218">
        <v>64034.481801707589</v>
      </c>
    </row>
    <row r="219" spans="2:27" x14ac:dyDescent="0.25">
      <c r="B219" s="22">
        <f t="shared" si="12"/>
        <v>44871.779270260238</v>
      </c>
      <c r="C219" s="64">
        <v>0.05</v>
      </c>
      <c r="D219" s="22">
        <f t="shared" si="13"/>
        <v>186.96574695941766</v>
      </c>
      <c r="E219" s="22">
        <f t="shared" si="15"/>
        <v>45058.745017219655</v>
      </c>
      <c r="F219" s="20">
        <v>4800</v>
      </c>
      <c r="G219" s="22">
        <f t="shared" si="14"/>
        <v>44658.745017219655</v>
      </c>
      <c r="H219" s="22">
        <v>400</v>
      </c>
      <c r="I219" s="23">
        <v>215</v>
      </c>
      <c r="AA219">
        <v>64247.092307574101</v>
      </c>
    </row>
    <row r="220" spans="2:27" x14ac:dyDescent="0.25">
      <c r="B220" s="22">
        <f t="shared" si="12"/>
        <v>44658.745017219655</v>
      </c>
      <c r="C220" s="64">
        <v>0.05</v>
      </c>
      <c r="D220" s="22">
        <f t="shared" si="13"/>
        <v>186.07810423841522</v>
      </c>
      <c r="E220" s="22">
        <f t="shared" si="15"/>
        <v>44844.823121458074</v>
      </c>
      <c r="F220" s="20">
        <v>4800</v>
      </c>
      <c r="G220" s="22">
        <f t="shared" si="14"/>
        <v>44444.823121458074</v>
      </c>
      <c r="H220" s="22">
        <v>400</v>
      </c>
      <c r="I220" s="23">
        <v>216</v>
      </c>
      <c r="AA220">
        <v>64459.08449582514</v>
      </c>
    </row>
    <row r="221" spans="2:27" x14ac:dyDescent="0.25">
      <c r="B221" s="22">
        <f t="shared" ref="B221:B284" si="16">G220</f>
        <v>44444.823121458074</v>
      </c>
      <c r="C221" s="64">
        <v>0.05</v>
      </c>
      <c r="D221" s="22">
        <f t="shared" si="13"/>
        <v>185.1867630060753</v>
      </c>
      <c r="E221" s="22">
        <f t="shared" si="15"/>
        <v>44630.009884464147</v>
      </c>
      <c r="F221" s="20">
        <v>4800</v>
      </c>
      <c r="G221" s="22">
        <f t="shared" si="14"/>
        <v>44230.009884464147</v>
      </c>
      <c r="H221" s="22">
        <v>400</v>
      </c>
      <c r="I221" s="23">
        <v>217</v>
      </c>
      <c r="AA221">
        <v>64670.460164662865</v>
      </c>
    </row>
    <row r="222" spans="2:27" x14ac:dyDescent="0.25">
      <c r="B222" s="22">
        <f t="shared" si="16"/>
        <v>44230.009884464147</v>
      </c>
      <c r="C222" s="64">
        <v>0.05</v>
      </c>
      <c r="D222" s="22">
        <f t="shared" si="13"/>
        <v>184.29170785193395</v>
      </c>
      <c r="E222" s="22">
        <f t="shared" si="15"/>
        <v>44414.301592316078</v>
      </c>
      <c r="F222" s="20">
        <v>4800</v>
      </c>
      <c r="G222" s="22">
        <f t="shared" si="14"/>
        <v>44014.301592316078</v>
      </c>
      <c r="H222" s="22">
        <v>400</v>
      </c>
      <c r="I222" s="23">
        <v>218</v>
      </c>
      <c r="AA222">
        <v>64881.221107059922</v>
      </c>
    </row>
    <row r="223" spans="2:27" x14ac:dyDescent="0.25">
      <c r="B223" s="22">
        <f t="shared" si="16"/>
        <v>44014.301592316078</v>
      </c>
      <c r="C223" s="64">
        <v>0.05</v>
      </c>
      <c r="D223" s="22">
        <f t="shared" si="13"/>
        <v>183.39292330131698</v>
      </c>
      <c r="E223" s="22">
        <f t="shared" si="15"/>
        <v>44197.694515617397</v>
      </c>
      <c r="F223" s="20">
        <v>4800</v>
      </c>
      <c r="G223" s="22">
        <f t="shared" si="14"/>
        <v>43797.694515617397</v>
      </c>
      <c r="H223" s="22">
        <v>400</v>
      </c>
      <c r="I223" s="23">
        <v>219</v>
      </c>
      <c r="AA223">
        <v>65091.369110774518</v>
      </c>
    </row>
    <row r="224" spans="2:27" x14ac:dyDescent="0.25">
      <c r="B224" s="22">
        <f t="shared" si="16"/>
        <v>43797.694515617397</v>
      </c>
      <c r="C224" s="64">
        <v>0.05</v>
      </c>
      <c r="D224" s="22">
        <f t="shared" si="13"/>
        <v>182.49039381507248</v>
      </c>
      <c r="E224" s="22">
        <f t="shared" si="15"/>
        <v>43980.184909432472</v>
      </c>
      <c r="F224" s="20">
        <v>4800</v>
      </c>
      <c r="G224" s="22">
        <f t="shared" si="14"/>
        <v>43580.184909432472</v>
      </c>
      <c r="H224" s="22">
        <v>400</v>
      </c>
      <c r="I224" s="23">
        <v>220</v>
      </c>
      <c r="AA224">
        <v>65300.905958365773</v>
      </c>
    </row>
    <row r="225" spans="2:27" x14ac:dyDescent="0.25">
      <c r="B225" s="22">
        <f t="shared" si="16"/>
        <v>43580.184909432472</v>
      </c>
      <c r="C225" s="64">
        <v>0.05</v>
      </c>
      <c r="D225" s="22">
        <f t="shared" si="13"/>
        <v>181.58410378930196</v>
      </c>
      <c r="E225" s="22">
        <f t="shared" si="15"/>
        <v>43761.769013221776</v>
      </c>
      <c r="F225" s="20">
        <v>4800</v>
      </c>
      <c r="G225" s="22">
        <f t="shared" si="14"/>
        <v>43361.769013221776</v>
      </c>
      <c r="H225" s="22">
        <v>400</v>
      </c>
      <c r="I225" s="23">
        <v>221</v>
      </c>
      <c r="AA225">
        <v>65509.833427208636</v>
      </c>
    </row>
    <row r="226" spans="2:27" x14ac:dyDescent="0.25">
      <c r="B226" s="22">
        <f t="shared" si="16"/>
        <v>43361.769013221776</v>
      </c>
      <c r="C226" s="64">
        <v>0.05</v>
      </c>
      <c r="D226" s="22">
        <f t="shared" si="13"/>
        <v>180.67403755509073</v>
      </c>
      <c r="E226" s="22">
        <f t="shared" si="15"/>
        <v>43542.443050776863</v>
      </c>
      <c r="F226" s="20">
        <v>4800</v>
      </c>
      <c r="G226" s="22">
        <f t="shared" si="14"/>
        <v>43142.443050776863</v>
      </c>
      <c r="H226" s="22">
        <v>400</v>
      </c>
      <c r="I226" s="23">
        <v>222</v>
      </c>
      <c r="AA226">
        <v>65718.153289509137</v>
      </c>
    </row>
    <row r="227" spans="2:27" x14ac:dyDescent="0.25">
      <c r="B227" s="22">
        <f t="shared" si="16"/>
        <v>43142.443050776863</v>
      </c>
      <c r="C227" s="64">
        <v>0.05</v>
      </c>
      <c r="D227" s="22">
        <f t="shared" si="13"/>
        <v>179.76017937823693</v>
      </c>
      <c r="E227" s="22">
        <f t="shared" si="15"/>
        <v>43322.203230155101</v>
      </c>
      <c r="F227" s="20">
        <v>4800</v>
      </c>
      <c r="G227" s="22">
        <f t="shared" si="14"/>
        <v>42922.203230155101</v>
      </c>
      <c r="H227" s="22">
        <v>400</v>
      </c>
      <c r="I227" s="23">
        <v>223</v>
      </c>
      <c r="AA227">
        <v>65925.8673123193</v>
      </c>
    </row>
    <row r="228" spans="2:27" x14ac:dyDescent="0.25">
      <c r="B228" s="22">
        <f t="shared" si="16"/>
        <v>42922.203230155101</v>
      </c>
      <c r="C228" s="64">
        <v>0.05</v>
      </c>
      <c r="D228" s="22">
        <f t="shared" si="13"/>
        <v>178.8425134589796</v>
      </c>
      <c r="E228" s="22">
        <f t="shared" si="15"/>
        <v>43101.045743614079</v>
      </c>
      <c r="F228" s="20">
        <v>4800</v>
      </c>
      <c r="G228" s="22">
        <f t="shared" si="14"/>
        <v>42701.045743614079</v>
      </c>
      <c r="H228" s="22">
        <v>400</v>
      </c>
      <c r="I228" s="23">
        <v>224</v>
      </c>
      <c r="AA228">
        <v>66132.977257552207</v>
      </c>
    </row>
    <row r="229" spans="2:27" x14ac:dyDescent="0.25">
      <c r="B229" s="22">
        <f t="shared" si="16"/>
        <v>42701.045743614079</v>
      </c>
      <c r="C229" s="64">
        <v>0.05</v>
      </c>
      <c r="D229" s="22">
        <f t="shared" si="13"/>
        <v>177.92102393172533</v>
      </c>
      <c r="E229" s="22">
        <f t="shared" si="15"/>
        <v>42878.966767545804</v>
      </c>
      <c r="F229" s="20">
        <v>4800</v>
      </c>
      <c r="G229" s="22">
        <f t="shared" si="14"/>
        <v>42478.966767545804</v>
      </c>
      <c r="H229" s="22">
        <v>400</v>
      </c>
      <c r="I229" s="23">
        <v>225</v>
      </c>
      <c r="AA229">
        <v>66339.48488199689</v>
      </c>
    </row>
    <row r="230" spans="2:27" x14ac:dyDescent="0.25">
      <c r="B230" s="22">
        <f t="shared" si="16"/>
        <v>42478.966767545804</v>
      </c>
      <c r="C230" s="64">
        <v>0.05</v>
      </c>
      <c r="D230" s="22">
        <f t="shared" si="13"/>
        <v>176.99569486477418</v>
      </c>
      <c r="E230" s="22">
        <f t="shared" si="15"/>
        <v>42655.962462410578</v>
      </c>
      <c r="F230" s="20">
        <v>4800</v>
      </c>
      <c r="G230" s="22">
        <f t="shared" si="14"/>
        <v>42255.962462410578</v>
      </c>
      <c r="H230" s="22">
        <v>400</v>
      </c>
      <c r="I230" s="23">
        <v>226</v>
      </c>
      <c r="AA230">
        <v>66545.391937333276</v>
      </c>
    </row>
    <row r="231" spans="2:27" x14ac:dyDescent="0.25">
      <c r="B231" s="22">
        <f t="shared" si="16"/>
        <v>42255.962462410578</v>
      </c>
      <c r="C231" s="64">
        <v>0.05</v>
      </c>
      <c r="D231" s="22">
        <f t="shared" si="13"/>
        <v>176.06651026004408</v>
      </c>
      <c r="E231" s="22">
        <f t="shared" si="15"/>
        <v>42432.028972670625</v>
      </c>
      <c r="F231" s="20">
        <v>4800</v>
      </c>
      <c r="G231" s="22">
        <f t="shared" si="14"/>
        <v>42032.028972670625</v>
      </c>
      <c r="H231" s="22">
        <v>400</v>
      </c>
      <c r="I231" s="23">
        <v>227</v>
      </c>
      <c r="AA231">
        <v>66750.700170147014</v>
      </c>
    </row>
    <row r="232" spans="2:27" x14ac:dyDescent="0.25">
      <c r="B232" s="22">
        <f t="shared" si="16"/>
        <v>42032.028972670625</v>
      </c>
      <c r="C232" s="64">
        <v>0.05</v>
      </c>
      <c r="D232" s="22">
        <f t="shared" si="13"/>
        <v>175.13345405279426</v>
      </c>
      <c r="E232" s="22">
        <f t="shared" si="15"/>
        <v>42207.162426723422</v>
      </c>
      <c r="F232" s="20">
        <v>4800</v>
      </c>
      <c r="G232" s="22">
        <f t="shared" si="14"/>
        <v>41807.162426723422</v>
      </c>
      <c r="H232" s="22">
        <v>400</v>
      </c>
      <c r="I232" s="23">
        <v>228</v>
      </c>
      <c r="AA232">
        <v>66955.41132194431</v>
      </c>
    </row>
    <row r="233" spans="2:27" x14ac:dyDescent="0.25">
      <c r="B233" s="22">
        <f t="shared" si="16"/>
        <v>41807.162426723422</v>
      </c>
      <c r="C233" s="64">
        <v>0.05</v>
      </c>
      <c r="D233" s="22">
        <f t="shared" si="13"/>
        <v>174.19651011134758</v>
      </c>
      <c r="E233" s="22">
        <f t="shared" si="15"/>
        <v>41981.358936834768</v>
      </c>
      <c r="F233" s="20">
        <v>4800</v>
      </c>
      <c r="G233" s="22">
        <f t="shared" si="14"/>
        <v>41581.358936834768</v>
      </c>
      <c r="H233" s="22">
        <v>400</v>
      </c>
      <c r="I233" s="23">
        <v>229</v>
      </c>
      <c r="AA233">
        <v>67159.527129166687</v>
      </c>
    </row>
    <row r="234" spans="2:27" x14ac:dyDescent="0.25">
      <c r="B234" s="22">
        <f t="shared" si="16"/>
        <v>41581.358936834768</v>
      </c>
      <c r="C234" s="64">
        <v>0.05</v>
      </c>
      <c r="D234" s="22">
        <f t="shared" si="13"/>
        <v>173.25566223681153</v>
      </c>
      <c r="E234" s="22">
        <f t="shared" si="15"/>
        <v>41754.614599071581</v>
      </c>
      <c r="F234" s="20">
        <v>4800</v>
      </c>
      <c r="G234" s="22">
        <f t="shared" si="14"/>
        <v>41354.614599071581</v>
      </c>
      <c r="H234" s="22">
        <v>400</v>
      </c>
      <c r="I234" s="23">
        <v>230</v>
      </c>
      <c r="AA234">
        <v>67363.049323205691</v>
      </c>
    </row>
    <row r="235" spans="2:27" x14ac:dyDescent="0.25">
      <c r="B235" s="22">
        <f t="shared" si="16"/>
        <v>41354.614599071581</v>
      </c>
      <c r="C235" s="64">
        <v>0.05</v>
      </c>
      <c r="D235" s="22">
        <f t="shared" si="13"/>
        <v>172.31089416279826</v>
      </c>
      <c r="E235" s="22">
        <f t="shared" si="15"/>
        <v>41526.925493234383</v>
      </c>
      <c r="F235" s="20">
        <v>4800</v>
      </c>
      <c r="G235" s="22">
        <f t="shared" si="14"/>
        <v>41126.925493234383</v>
      </c>
      <c r="H235" s="22">
        <v>400</v>
      </c>
      <c r="I235" s="23">
        <v>231</v>
      </c>
      <c r="AA235">
        <v>67565.979630417656</v>
      </c>
    </row>
    <row r="236" spans="2:27" x14ac:dyDescent="0.25">
      <c r="B236" s="22">
        <f t="shared" si="16"/>
        <v>41126.925493234383</v>
      </c>
      <c r="C236" s="64">
        <v>0.05</v>
      </c>
      <c r="D236" s="22">
        <f t="shared" si="13"/>
        <v>171.36218955514326</v>
      </c>
      <c r="E236" s="22">
        <f t="shared" si="15"/>
        <v>41298.287682789523</v>
      </c>
      <c r="F236" s="20">
        <v>4800</v>
      </c>
      <c r="G236" s="22">
        <f t="shared" si="14"/>
        <v>40898.287682789523</v>
      </c>
      <c r="H236" s="22">
        <v>400</v>
      </c>
      <c r="I236" s="23">
        <v>232</v>
      </c>
      <c r="AA236">
        <v>67768.31977213826</v>
      </c>
    </row>
    <row r="237" spans="2:27" x14ac:dyDescent="0.25">
      <c r="B237" s="22">
        <f t="shared" si="16"/>
        <v>40898.287682789523</v>
      </c>
      <c r="C237" s="64">
        <v>0.05</v>
      </c>
      <c r="D237" s="22">
        <f t="shared" si="13"/>
        <v>170.40953201162301</v>
      </c>
      <c r="E237" s="22">
        <f t="shared" si="15"/>
        <v>41068.697214801148</v>
      </c>
      <c r="F237" s="20">
        <v>4800</v>
      </c>
      <c r="G237" s="22">
        <f t="shared" si="14"/>
        <v>40668.697214801148</v>
      </c>
      <c r="H237" s="22">
        <v>400</v>
      </c>
      <c r="I237" s="23">
        <v>233</v>
      </c>
      <c r="AA237">
        <v>67970.071464697205</v>
      </c>
    </row>
    <row r="238" spans="2:27" x14ac:dyDescent="0.25">
      <c r="B238" s="22">
        <f t="shared" si="16"/>
        <v>40668.697214801148</v>
      </c>
      <c r="C238" s="64">
        <v>0.05</v>
      </c>
      <c r="D238" s="22">
        <f t="shared" si="13"/>
        <v>169.45290506167146</v>
      </c>
      <c r="E238" s="22">
        <f t="shared" si="15"/>
        <v>40838.150119862818</v>
      </c>
      <c r="F238" s="20">
        <v>4800</v>
      </c>
      <c r="G238" s="22">
        <f t="shared" si="14"/>
        <v>40438.150119862818</v>
      </c>
      <c r="H238" s="22">
        <v>400</v>
      </c>
      <c r="I238" s="23">
        <v>234</v>
      </c>
      <c r="AA238">
        <v>68171.236419432636</v>
      </c>
    </row>
    <row r="239" spans="2:27" x14ac:dyDescent="0.25">
      <c r="B239" s="22">
        <f t="shared" si="16"/>
        <v>40438.150119862818</v>
      </c>
      <c r="C239" s="64">
        <v>0.05</v>
      </c>
      <c r="D239" s="22">
        <f t="shared" si="13"/>
        <v>168.49229216609507</v>
      </c>
      <c r="E239" s="22">
        <f t="shared" si="15"/>
        <v>40606.642412028916</v>
      </c>
      <c r="F239" s="20">
        <v>4800</v>
      </c>
      <c r="G239" s="22">
        <f t="shared" si="14"/>
        <v>40206.642412028916</v>
      </c>
      <c r="H239" s="22">
        <v>400</v>
      </c>
      <c r="I239" s="23">
        <v>235</v>
      </c>
      <c r="AA239">
        <v>68371.81634270589</v>
      </c>
    </row>
    <row r="240" spans="2:27" x14ac:dyDescent="0.25">
      <c r="B240" s="22">
        <f t="shared" si="16"/>
        <v>40206.642412028916</v>
      </c>
      <c r="C240" s="64">
        <v>0.05</v>
      </c>
      <c r="D240" s="22">
        <f t="shared" si="13"/>
        <v>167.52767671678714</v>
      </c>
      <c r="E240" s="22">
        <f t="shared" si="15"/>
        <v>40374.170088745705</v>
      </c>
      <c r="F240" s="20">
        <v>4800</v>
      </c>
      <c r="G240" s="22">
        <f t="shared" si="14"/>
        <v>39974.170088745705</v>
      </c>
      <c r="H240" s="22">
        <v>400</v>
      </c>
      <c r="I240" s="23">
        <v>236</v>
      </c>
      <c r="AA240">
        <v>68571.812935915703</v>
      </c>
    </row>
    <row r="241" spans="2:27" x14ac:dyDescent="0.25">
      <c r="B241" s="22">
        <f t="shared" si="16"/>
        <v>39974.170088745705</v>
      </c>
      <c r="C241" s="64">
        <v>0.05</v>
      </c>
      <c r="D241" s="22">
        <f t="shared" si="13"/>
        <v>166.55904203644045</v>
      </c>
      <c r="E241" s="22">
        <f t="shared" si="15"/>
        <v>40140.729130782143</v>
      </c>
      <c r="F241" s="20">
        <v>4800</v>
      </c>
      <c r="G241" s="22">
        <f t="shared" si="14"/>
        <v>39740.729130782143</v>
      </c>
      <c r="H241" s="22">
        <v>400</v>
      </c>
      <c r="I241" s="23">
        <v>237</v>
      </c>
      <c r="AA241">
        <v>68771.227895512871</v>
      </c>
    </row>
    <row r="242" spans="2:27" x14ac:dyDescent="0.25">
      <c r="B242" s="22">
        <f t="shared" si="16"/>
        <v>39740.729130782143</v>
      </c>
      <c r="C242" s="64">
        <v>0.05</v>
      </c>
      <c r="D242" s="22">
        <f t="shared" si="13"/>
        <v>165.58637137825892</v>
      </c>
      <c r="E242" s="22">
        <f t="shared" si="15"/>
        <v>39906.315502160403</v>
      </c>
      <c r="F242" s="20">
        <v>4800</v>
      </c>
      <c r="G242" s="22">
        <f t="shared" si="14"/>
        <v>39506.315502160403</v>
      </c>
      <c r="H242" s="22">
        <v>400</v>
      </c>
      <c r="I242" s="23">
        <v>238</v>
      </c>
      <c r="AA242">
        <v>68970.062913014481</v>
      </c>
    </row>
    <row r="243" spans="2:27" x14ac:dyDescent="0.25">
      <c r="B243" s="22">
        <f t="shared" si="16"/>
        <v>39506.315502160403</v>
      </c>
      <c r="C243" s="64">
        <v>0.05</v>
      </c>
      <c r="D243" s="22">
        <f t="shared" si="13"/>
        <v>164.60964792566836</v>
      </c>
      <c r="E243" s="22">
        <f t="shared" si="15"/>
        <v>39670.92515008607</v>
      </c>
      <c r="F243" s="20">
        <v>4800</v>
      </c>
      <c r="G243" s="22">
        <f t="shared" si="14"/>
        <v>39270.92515008607</v>
      </c>
      <c r="H243" s="22">
        <v>400</v>
      </c>
      <c r="I243" s="23">
        <v>239</v>
      </c>
      <c r="AA243">
        <v>69168.319675018356</v>
      </c>
    </row>
    <row r="244" spans="2:27" x14ac:dyDescent="0.25">
      <c r="B244" s="22">
        <f t="shared" si="16"/>
        <v>39270.92515008607</v>
      </c>
      <c r="C244" s="64">
        <v>0.05</v>
      </c>
      <c r="D244" s="22">
        <f t="shared" si="13"/>
        <v>163.62885479202529</v>
      </c>
      <c r="E244" s="22">
        <f t="shared" si="15"/>
        <v>39434.554004878097</v>
      </c>
      <c r="F244" s="20">
        <v>4800</v>
      </c>
      <c r="G244" s="22">
        <f t="shared" si="14"/>
        <v>39034.554004878097</v>
      </c>
      <c r="H244" s="22">
        <v>400</v>
      </c>
      <c r="I244" s="23">
        <v>240</v>
      </c>
      <c r="AA244">
        <v>69365.999863217337</v>
      </c>
    </row>
    <row r="245" spans="2:27" x14ac:dyDescent="0.25">
      <c r="B245" s="22">
        <f t="shared" si="16"/>
        <v>39034.554004878097</v>
      </c>
      <c r="C245" s="64">
        <v>0.05</v>
      </c>
      <c r="D245" s="22">
        <f t="shared" si="13"/>
        <v>162.6439750203254</v>
      </c>
      <c r="E245" s="22">
        <f t="shared" si="15"/>
        <v>39197.197979898425</v>
      </c>
      <c r="F245" s="20">
        <v>4800</v>
      </c>
      <c r="G245" s="22">
        <f t="shared" si="14"/>
        <v>38797.197979898425</v>
      </c>
      <c r="H245" s="22">
        <v>400</v>
      </c>
      <c r="I245" s="23">
        <v>241</v>
      </c>
      <c r="AA245">
        <v>69563.105154413453</v>
      </c>
    </row>
    <row r="246" spans="2:27" x14ac:dyDescent="0.25">
      <c r="B246" s="22">
        <f t="shared" si="16"/>
        <v>38797.197979898425</v>
      </c>
      <c r="C246" s="64">
        <v>0.05</v>
      </c>
      <c r="D246" s="22">
        <f t="shared" si="13"/>
        <v>161.6549915829101</v>
      </c>
      <c r="E246" s="22">
        <f t="shared" si="15"/>
        <v>38958.852971481334</v>
      </c>
      <c r="F246" s="20">
        <v>4800</v>
      </c>
      <c r="G246" s="22">
        <f t="shared" si="14"/>
        <v>38558.852971481334</v>
      </c>
      <c r="H246" s="22">
        <v>400</v>
      </c>
      <c r="I246" s="23">
        <v>242</v>
      </c>
      <c r="AA246">
        <v>69759.637220532342</v>
      </c>
    </row>
    <row r="247" spans="2:27" x14ac:dyDescent="0.25">
      <c r="B247" s="22">
        <f t="shared" si="16"/>
        <v>38558.852971481334</v>
      </c>
      <c r="C247" s="64">
        <v>0.05</v>
      </c>
      <c r="D247" s="22">
        <f t="shared" si="13"/>
        <v>160.66188738117222</v>
      </c>
      <c r="E247" s="22">
        <f t="shared" si="15"/>
        <v>38719.514858862509</v>
      </c>
      <c r="F247" s="20">
        <v>4800</v>
      </c>
      <c r="G247" s="22">
        <f t="shared" si="14"/>
        <v>38319.514858862509</v>
      </c>
      <c r="H247" s="22">
        <v>400</v>
      </c>
      <c r="I247" s="23">
        <v>243</v>
      </c>
      <c r="AA247">
        <v>69955.597728637236</v>
      </c>
    </row>
    <row r="248" spans="2:27" x14ac:dyDescent="0.25">
      <c r="B248" s="22">
        <f t="shared" si="16"/>
        <v>38319.514858862509</v>
      </c>
      <c r="C248" s="64">
        <v>0.05</v>
      </c>
      <c r="D248" s="22">
        <f t="shared" si="13"/>
        <v>159.66464524526046</v>
      </c>
      <c r="E248" s="22">
        <f t="shared" si="15"/>
        <v>38479.179504107771</v>
      </c>
      <c r="F248" s="20">
        <v>4800</v>
      </c>
      <c r="G248" s="22">
        <f t="shared" si="14"/>
        <v>38079.179504107771</v>
      </c>
      <c r="H248" s="22">
        <v>400</v>
      </c>
      <c r="I248" s="23">
        <v>244</v>
      </c>
      <c r="AA248">
        <v>70150.988340943208</v>
      </c>
    </row>
    <row r="249" spans="2:27" x14ac:dyDescent="0.25">
      <c r="B249" s="22">
        <f t="shared" si="16"/>
        <v>38079.179504107771</v>
      </c>
      <c r="C249" s="64">
        <v>0.05</v>
      </c>
      <c r="D249" s="22">
        <f t="shared" si="13"/>
        <v>158.66324793378237</v>
      </c>
      <c r="E249" s="22">
        <f t="shared" si="15"/>
        <v>38237.842752041557</v>
      </c>
      <c r="F249" s="20">
        <v>4800</v>
      </c>
      <c r="G249" s="22">
        <f t="shared" si="14"/>
        <v>37837.842752041557</v>
      </c>
      <c r="H249" s="22">
        <v>400</v>
      </c>
      <c r="I249" s="23">
        <v>245</v>
      </c>
      <c r="AA249">
        <v>70345.81071483127</v>
      </c>
    </row>
    <row r="250" spans="2:27" x14ac:dyDescent="0.25">
      <c r="B250" s="22">
        <f t="shared" si="16"/>
        <v>37837.842752041557</v>
      </c>
      <c r="C250" s="64">
        <v>0.05</v>
      </c>
      <c r="D250" s="22">
        <f t="shared" si="13"/>
        <v>157.65767813350649</v>
      </c>
      <c r="E250" s="22">
        <f t="shared" si="15"/>
        <v>37995.500430175067</v>
      </c>
      <c r="F250" s="20">
        <v>4800</v>
      </c>
      <c r="G250" s="22">
        <f t="shared" si="14"/>
        <v>37595.500430175067</v>
      </c>
      <c r="H250" s="22">
        <v>400</v>
      </c>
      <c r="I250" s="23">
        <v>246</v>
      </c>
      <c r="AA250">
        <v>70540.066502862363</v>
      </c>
    </row>
    <row r="251" spans="2:27" x14ac:dyDescent="0.25">
      <c r="B251" s="22">
        <f t="shared" si="16"/>
        <v>37595.500430175067</v>
      </c>
      <c r="C251" s="64">
        <v>0.05</v>
      </c>
      <c r="D251" s="22">
        <f t="shared" si="13"/>
        <v>156.64791845906277</v>
      </c>
      <c r="E251" s="22">
        <f t="shared" si="15"/>
        <v>37752.148348634131</v>
      </c>
      <c r="F251" s="20">
        <v>4800</v>
      </c>
      <c r="G251" s="22">
        <f t="shared" si="14"/>
        <v>37352.148348634131</v>
      </c>
      <c r="H251" s="22">
        <v>400</v>
      </c>
      <c r="I251" s="23">
        <v>247</v>
      </c>
      <c r="AA251">
        <v>70733.757352791494</v>
      </c>
    </row>
    <row r="252" spans="2:27" x14ac:dyDescent="0.25">
      <c r="B252" s="22">
        <f t="shared" si="16"/>
        <v>37352.148348634131</v>
      </c>
      <c r="C252" s="64">
        <v>0.05</v>
      </c>
      <c r="D252" s="22">
        <f t="shared" si="13"/>
        <v>155.63395145264221</v>
      </c>
      <c r="E252" s="22">
        <f t="shared" si="15"/>
        <v>37507.782300086772</v>
      </c>
      <c r="F252" s="20">
        <v>4800</v>
      </c>
      <c r="G252" s="22">
        <f t="shared" si="14"/>
        <v>37107.782300086772</v>
      </c>
      <c r="H252" s="22">
        <v>400</v>
      </c>
      <c r="I252" s="23">
        <v>248</v>
      </c>
      <c r="AA252">
        <v>70926.884907581552</v>
      </c>
    </row>
    <row r="253" spans="2:27" x14ac:dyDescent="0.25">
      <c r="B253" s="22">
        <f t="shared" si="16"/>
        <v>37107.782300086772</v>
      </c>
      <c r="C253" s="64">
        <v>0.05</v>
      </c>
      <c r="D253" s="22">
        <f t="shared" si="13"/>
        <v>154.61575958369488</v>
      </c>
      <c r="E253" s="22">
        <f t="shared" si="15"/>
        <v>37262.398059670464</v>
      </c>
      <c r="F253" s="20">
        <v>4800</v>
      </c>
      <c r="G253" s="22">
        <f t="shared" si="14"/>
        <v>36862.398059670464</v>
      </c>
      <c r="H253" s="22">
        <v>400</v>
      </c>
      <c r="I253" s="23">
        <v>249</v>
      </c>
      <c r="AA253">
        <v>71119.450805417408</v>
      </c>
    </row>
    <row r="254" spans="2:27" x14ac:dyDescent="0.25">
      <c r="B254" s="22">
        <f t="shared" si="16"/>
        <v>36862.398059670464</v>
      </c>
      <c r="C254" s="64">
        <v>0.05</v>
      </c>
      <c r="D254" s="22">
        <f t="shared" si="13"/>
        <v>153.59332524862694</v>
      </c>
      <c r="E254" s="22">
        <f t="shared" si="15"/>
        <v>37015.991384919093</v>
      </c>
      <c r="F254" s="20">
        <v>4800</v>
      </c>
      <c r="G254" s="22">
        <f t="shared" si="14"/>
        <v>36615.991384919093</v>
      </c>
      <c r="H254" s="22">
        <v>400</v>
      </c>
      <c r="I254" s="23">
        <v>250</v>
      </c>
      <c r="AA254">
        <v>71311.456679719675</v>
      </c>
    </row>
    <row r="255" spans="2:27" x14ac:dyDescent="0.25">
      <c r="B255" s="22">
        <f t="shared" si="16"/>
        <v>36615.991384919093</v>
      </c>
      <c r="C255" s="64">
        <v>0.05</v>
      </c>
      <c r="D255" s="22">
        <f t="shared" si="13"/>
        <v>152.5666307704962</v>
      </c>
      <c r="E255" s="22">
        <f t="shared" si="15"/>
        <v>36768.558015689589</v>
      </c>
      <c r="F255" s="20">
        <v>4800</v>
      </c>
      <c r="G255" s="22">
        <f t="shared" si="14"/>
        <v>36368.558015689589</v>
      </c>
      <c r="H255" s="22">
        <v>400</v>
      </c>
      <c r="I255" s="23">
        <v>251</v>
      </c>
      <c r="AA255">
        <v>71502.904159158657</v>
      </c>
    </row>
    <row r="256" spans="2:27" x14ac:dyDescent="0.25">
      <c r="B256" s="22">
        <f t="shared" si="16"/>
        <v>36368.558015689589</v>
      </c>
      <c r="C256" s="64">
        <v>0.05</v>
      </c>
      <c r="D256" s="22">
        <f t="shared" si="13"/>
        <v>151.53565839870663</v>
      </c>
      <c r="E256" s="22">
        <f t="shared" si="15"/>
        <v>36520.093674088297</v>
      </c>
      <c r="F256" s="20">
        <v>4800</v>
      </c>
      <c r="G256" s="22">
        <f t="shared" si="14"/>
        <v>36120.093674088297</v>
      </c>
      <c r="H256" s="22">
        <v>400</v>
      </c>
      <c r="I256" s="23">
        <v>252</v>
      </c>
      <c r="AA256">
        <v>71693.794867668141</v>
      </c>
    </row>
    <row r="257" spans="2:27" x14ac:dyDescent="0.25">
      <c r="B257" s="22">
        <f t="shared" si="16"/>
        <v>36120.093674088297</v>
      </c>
      <c r="C257" s="64">
        <v>0.05</v>
      </c>
      <c r="D257" s="22">
        <f t="shared" si="13"/>
        <v>150.50039030870124</v>
      </c>
      <c r="E257" s="22">
        <f t="shared" si="15"/>
        <v>36270.594064396995</v>
      </c>
      <c r="F257" s="20">
        <v>4800</v>
      </c>
      <c r="G257" s="22">
        <f t="shared" si="14"/>
        <v>35870.594064396995</v>
      </c>
      <c r="H257" s="22">
        <v>400</v>
      </c>
      <c r="I257" s="23">
        <v>253</v>
      </c>
      <c r="AA257">
        <v>71884.130424459145</v>
      </c>
    </row>
    <row r="258" spans="2:27" x14ac:dyDescent="0.25">
      <c r="B258" s="22">
        <f t="shared" si="16"/>
        <v>35870.594064396995</v>
      </c>
      <c r="C258" s="64">
        <v>0.05</v>
      </c>
      <c r="D258" s="22">
        <f t="shared" si="13"/>
        <v>149.46080860165415</v>
      </c>
      <c r="E258" s="22">
        <f t="shared" si="15"/>
        <v>36020.054872998648</v>
      </c>
      <c r="F258" s="20">
        <v>4800</v>
      </c>
      <c r="G258" s="22">
        <f t="shared" si="14"/>
        <v>35620.054872998648</v>
      </c>
      <c r="H258" s="22">
        <v>400</v>
      </c>
      <c r="I258" s="23">
        <v>254</v>
      </c>
      <c r="AA258">
        <v>72073.912444033631</v>
      </c>
    </row>
    <row r="259" spans="2:27" x14ac:dyDescent="0.25">
      <c r="B259" s="22">
        <f t="shared" si="16"/>
        <v>35620.054872998648</v>
      </c>
      <c r="C259" s="64">
        <v>0.05</v>
      </c>
      <c r="D259" s="22">
        <f t="shared" si="13"/>
        <v>148.41689530416102</v>
      </c>
      <c r="E259" s="22">
        <f t="shared" si="15"/>
        <v>35768.471768302807</v>
      </c>
      <c r="F259" s="20">
        <v>4800</v>
      </c>
      <c r="G259" s="22">
        <f t="shared" si="14"/>
        <v>35368.471768302807</v>
      </c>
      <c r="H259" s="22">
        <v>400</v>
      </c>
      <c r="I259" s="23">
        <v>255</v>
      </c>
      <c r="AA259">
        <v>72263.142536198284</v>
      </c>
    </row>
    <row r="260" spans="2:27" x14ac:dyDescent="0.25">
      <c r="B260" s="22">
        <f t="shared" si="16"/>
        <v>35368.471768302807</v>
      </c>
      <c r="C260" s="64">
        <v>0.05</v>
      </c>
      <c r="D260" s="22">
        <f t="shared" si="13"/>
        <v>147.36863236792837</v>
      </c>
      <c r="E260" s="22">
        <f t="shared" si="15"/>
        <v>35515.840400670735</v>
      </c>
      <c r="F260" s="20">
        <v>4800</v>
      </c>
      <c r="G260" s="22">
        <f t="shared" si="14"/>
        <v>35115.840400670735</v>
      </c>
      <c r="H260" s="22">
        <v>400</v>
      </c>
      <c r="I260" s="23">
        <v>256</v>
      </c>
      <c r="AA260">
        <v>72451.82230607816</v>
      </c>
    </row>
    <row r="261" spans="2:27" x14ac:dyDescent="0.25">
      <c r="B261" s="22">
        <f t="shared" si="16"/>
        <v>35115.840400670735</v>
      </c>
      <c r="C261" s="64">
        <v>0.05</v>
      </c>
      <c r="D261" s="22">
        <f t="shared" si="13"/>
        <v>146.3160016694614</v>
      </c>
      <c r="E261" s="22">
        <f t="shared" si="15"/>
        <v>35262.156402340195</v>
      </c>
      <c r="F261" s="20">
        <v>4800</v>
      </c>
      <c r="G261" s="22">
        <f t="shared" si="14"/>
        <v>34862.156402340195</v>
      </c>
      <c r="H261" s="22">
        <v>400</v>
      </c>
      <c r="I261" s="23">
        <v>257</v>
      </c>
      <c r="AA261">
        <v>72639.953354130179</v>
      </c>
    </row>
    <row r="262" spans="2:27" x14ac:dyDescent="0.25">
      <c r="B262" s="22">
        <f t="shared" si="16"/>
        <v>34862.156402340195</v>
      </c>
      <c r="C262" s="64">
        <v>0.05</v>
      </c>
      <c r="D262" s="22">
        <f t="shared" ref="D262:D325" si="17">B262*(0.05/12)</f>
        <v>145.2589850097508</v>
      </c>
      <c r="E262" s="22">
        <f t="shared" si="15"/>
        <v>35007.415387349945</v>
      </c>
      <c r="F262" s="20">
        <v>4800</v>
      </c>
      <c r="G262" s="22">
        <f t="shared" ref="G262:G325" si="18">E262-H262</f>
        <v>34607.415387349945</v>
      </c>
      <c r="H262" s="22">
        <v>400</v>
      </c>
      <c r="I262" s="23">
        <v>258</v>
      </c>
      <c r="AA262">
        <v>72827.537276156814</v>
      </c>
    </row>
    <row r="263" spans="2:27" x14ac:dyDescent="0.25">
      <c r="B263" s="22">
        <f t="shared" si="16"/>
        <v>34607.415387349945</v>
      </c>
      <c r="C263" s="64">
        <v>0.05</v>
      </c>
      <c r="D263" s="22">
        <f t="shared" si="17"/>
        <v>144.19756411395809</v>
      </c>
      <c r="E263" s="22">
        <f t="shared" ref="E263:E326" si="19">B263+D263</f>
        <v>34751.612951463903</v>
      </c>
      <c r="F263" s="20">
        <v>4800</v>
      </c>
      <c r="G263" s="22">
        <f t="shared" si="18"/>
        <v>34351.612951463903</v>
      </c>
      <c r="H263" s="22">
        <v>400</v>
      </c>
      <c r="I263" s="23">
        <v>259</v>
      </c>
      <c r="AA263">
        <v>73014.575663319614</v>
      </c>
    </row>
    <row r="264" spans="2:27" x14ac:dyDescent="0.25">
      <c r="B264" s="22">
        <f t="shared" si="16"/>
        <v>34351.612951463903</v>
      </c>
      <c r="C264" s="64">
        <v>0.05</v>
      </c>
      <c r="D264" s="22">
        <f t="shared" si="17"/>
        <v>143.1317206310996</v>
      </c>
      <c r="E264" s="22">
        <f t="shared" si="19"/>
        <v>34494.744672095003</v>
      </c>
      <c r="F264" s="20">
        <v>4800</v>
      </c>
      <c r="G264" s="22">
        <f t="shared" si="18"/>
        <v>34094.744672095003</v>
      </c>
      <c r="H264" s="22">
        <v>400</v>
      </c>
      <c r="I264" s="23">
        <v>260</v>
      </c>
      <c r="AA264">
        <v>73201.070102152677</v>
      </c>
    </row>
    <row r="265" spans="2:27" x14ac:dyDescent="0.25">
      <c r="B265" s="22">
        <f t="shared" si="16"/>
        <v>34094.744672095003</v>
      </c>
      <c r="C265" s="64">
        <v>0.05</v>
      </c>
      <c r="D265" s="22">
        <f t="shared" si="17"/>
        <v>142.06143613372919</v>
      </c>
      <c r="E265" s="22">
        <f t="shared" si="19"/>
        <v>34236.806108228731</v>
      </c>
      <c r="F265" s="20">
        <v>4800</v>
      </c>
      <c r="G265" s="22">
        <f t="shared" si="18"/>
        <v>33836.806108228731</v>
      </c>
      <c r="H265" s="22">
        <v>400</v>
      </c>
      <c r="I265" s="23">
        <v>261</v>
      </c>
      <c r="AA265">
        <v>73387.022174576094</v>
      </c>
    </row>
    <row r="266" spans="2:27" x14ac:dyDescent="0.25">
      <c r="B266" s="22">
        <f t="shared" si="16"/>
        <v>33836.806108228731</v>
      </c>
      <c r="C266" s="64">
        <v>0.05</v>
      </c>
      <c r="D266" s="22">
        <f t="shared" si="17"/>
        <v>140.98669211761973</v>
      </c>
      <c r="E266" s="22">
        <f t="shared" si="19"/>
        <v>33977.792800346353</v>
      </c>
      <c r="F266" s="20">
        <v>4800</v>
      </c>
      <c r="G266" s="22">
        <f t="shared" si="18"/>
        <v>33577.792800346353</v>
      </c>
      <c r="H266" s="22">
        <v>400</v>
      </c>
      <c r="I266" s="23">
        <v>262</v>
      </c>
      <c r="AA266">
        <v>73572.433457909428</v>
      </c>
    </row>
    <row r="267" spans="2:27" x14ac:dyDescent="0.25">
      <c r="B267" s="22">
        <f t="shared" si="16"/>
        <v>33577.792800346353</v>
      </c>
      <c r="C267" s="64">
        <v>0.05</v>
      </c>
      <c r="D267" s="22">
        <f t="shared" si="17"/>
        <v>139.90747000144313</v>
      </c>
      <c r="E267" s="22">
        <f t="shared" si="19"/>
        <v>33717.700270347799</v>
      </c>
      <c r="F267" s="20">
        <v>4800</v>
      </c>
      <c r="G267" s="22">
        <f t="shared" si="18"/>
        <v>33317.700270347799</v>
      </c>
      <c r="H267" s="22">
        <v>400</v>
      </c>
      <c r="I267" s="23">
        <v>263</v>
      </c>
      <c r="AA267">
        <v>73757.305524885</v>
      </c>
    </row>
    <row r="268" spans="2:27" x14ac:dyDescent="0.25">
      <c r="B268" s="22">
        <f t="shared" si="16"/>
        <v>33317.700270347799</v>
      </c>
      <c r="C268" s="64">
        <v>0.05</v>
      </c>
      <c r="D268" s="22">
        <f t="shared" si="17"/>
        <v>138.82375112644917</v>
      </c>
      <c r="E268" s="22">
        <f t="shared" si="19"/>
        <v>33456.524021474252</v>
      </c>
      <c r="F268" s="20">
        <v>4800</v>
      </c>
      <c r="G268" s="22">
        <f t="shared" si="18"/>
        <v>33056.524021474252</v>
      </c>
      <c r="H268" s="22">
        <v>400</v>
      </c>
      <c r="I268" s="23">
        <v>264</v>
      </c>
      <c r="AA268">
        <v>73941.639943661328</v>
      </c>
    </row>
    <row r="269" spans="2:27" x14ac:dyDescent="0.25">
      <c r="B269" s="22">
        <f t="shared" si="16"/>
        <v>33056.524021474252</v>
      </c>
      <c r="C269" s="64">
        <v>0.05</v>
      </c>
      <c r="D269" s="22">
        <f t="shared" si="17"/>
        <v>137.73551675614272</v>
      </c>
      <c r="E269" s="22">
        <f t="shared" si="19"/>
        <v>33194.259538230392</v>
      </c>
      <c r="F269" s="20">
        <v>4800</v>
      </c>
      <c r="G269" s="22">
        <f t="shared" si="18"/>
        <v>32794.259538230392</v>
      </c>
      <c r="H269" s="22">
        <v>400</v>
      </c>
      <c r="I269" s="23">
        <v>265</v>
      </c>
      <c r="AA269">
        <v>74125.43827783638</v>
      </c>
    </row>
    <row r="270" spans="2:27" x14ac:dyDescent="0.25">
      <c r="B270" s="22">
        <f t="shared" si="16"/>
        <v>32794.259538230392</v>
      </c>
      <c r="C270" s="64">
        <v>0.05</v>
      </c>
      <c r="D270" s="22">
        <f t="shared" si="17"/>
        <v>136.64274807595996</v>
      </c>
      <c r="E270" s="22">
        <f t="shared" si="19"/>
        <v>32930.902286306351</v>
      </c>
      <c r="F270" s="20">
        <v>4800</v>
      </c>
      <c r="G270" s="22">
        <f t="shared" si="18"/>
        <v>32530.902286306351</v>
      </c>
      <c r="H270" s="22">
        <v>400</v>
      </c>
      <c r="I270" s="23">
        <v>266</v>
      </c>
      <c r="AA270">
        <v>74308.702086460806</v>
      </c>
    </row>
    <row r="271" spans="2:27" x14ac:dyDescent="0.25">
      <c r="B271" s="22">
        <f t="shared" si="16"/>
        <v>32530.902286306351</v>
      </c>
      <c r="C271" s="64">
        <v>0.05</v>
      </c>
      <c r="D271" s="22">
        <f t="shared" si="17"/>
        <v>135.54542619294313</v>
      </c>
      <c r="E271" s="22">
        <f t="shared" si="19"/>
        <v>32666.447712499295</v>
      </c>
      <c r="F271" s="20">
        <v>4800</v>
      </c>
      <c r="G271" s="22">
        <f t="shared" si="18"/>
        <v>32266.447712499295</v>
      </c>
      <c r="H271" s="22">
        <v>400</v>
      </c>
      <c r="I271" s="23">
        <v>267</v>
      </c>
      <c r="AA271">
        <v>74491.432924051231</v>
      </c>
    </row>
    <row r="272" spans="2:27" x14ac:dyDescent="0.25">
      <c r="B272" s="22">
        <f t="shared" si="16"/>
        <v>32266.447712499295</v>
      </c>
      <c r="C272" s="64">
        <v>0.05</v>
      </c>
      <c r="D272" s="22">
        <f t="shared" si="17"/>
        <v>134.44353213541373</v>
      </c>
      <c r="E272" s="22">
        <f t="shared" si="19"/>
        <v>32400.891244634709</v>
      </c>
      <c r="F272" s="20">
        <v>4800</v>
      </c>
      <c r="G272" s="22">
        <f t="shared" si="18"/>
        <v>32000.891244634709</v>
      </c>
      <c r="H272" s="22">
        <v>400</v>
      </c>
      <c r="I272" s="23">
        <v>268</v>
      </c>
      <c r="AA272">
        <v>74673.632340603392</v>
      </c>
    </row>
    <row r="273" spans="2:27" x14ac:dyDescent="0.25">
      <c r="B273" s="22">
        <f t="shared" si="16"/>
        <v>32000.891244634709</v>
      </c>
      <c r="C273" s="64">
        <v>0.05</v>
      </c>
      <c r="D273" s="22">
        <f t="shared" si="17"/>
        <v>133.33704685264462</v>
      </c>
      <c r="E273" s="22">
        <f t="shared" si="19"/>
        <v>32134.228291487354</v>
      </c>
      <c r="F273" s="20">
        <v>4800</v>
      </c>
      <c r="G273" s="22">
        <f t="shared" si="18"/>
        <v>31734.228291487354</v>
      </c>
      <c r="H273" s="22">
        <v>400</v>
      </c>
      <c r="I273" s="23">
        <v>269</v>
      </c>
      <c r="AA273">
        <v>74855.301881605308</v>
      </c>
    </row>
    <row r="274" spans="2:27" x14ac:dyDescent="0.25">
      <c r="B274" s="22">
        <f t="shared" si="16"/>
        <v>31734.228291487354</v>
      </c>
      <c r="C274" s="64">
        <v>0.05</v>
      </c>
      <c r="D274" s="22">
        <f t="shared" si="17"/>
        <v>132.22595121453065</v>
      </c>
      <c r="E274" s="22">
        <f t="shared" si="19"/>
        <v>31866.454242701886</v>
      </c>
      <c r="F274" s="20">
        <v>4800</v>
      </c>
      <c r="G274" s="22">
        <f t="shared" si="18"/>
        <v>31466.454242701886</v>
      </c>
      <c r="H274" s="22">
        <v>400</v>
      </c>
      <c r="I274" s="23">
        <v>270</v>
      </c>
      <c r="AA274">
        <v>75036.443088050408</v>
      </c>
    </row>
    <row r="275" spans="2:27" x14ac:dyDescent="0.25">
      <c r="B275" s="22">
        <f t="shared" si="16"/>
        <v>31466.454242701886</v>
      </c>
      <c r="C275" s="64">
        <v>0.05</v>
      </c>
      <c r="D275" s="22">
        <f t="shared" si="17"/>
        <v>131.11022601125785</v>
      </c>
      <c r="E275" s="22">
        <f t="shared" si="19"/>
        <v>31597.564468713143</v>
      </c>
      <c r="F275" s="20">
        <v>4800</v>
      </c>
      <c r="G275" s="22">
        <f t="shared" si="18"/>
        <v>31197.564468713143</v>
      </c>
      <c r="H275" s="22">
        <v>400</v>
      </c>
      <c r="I275" s="23">
        <v>271</v>
      </c>
    </row>
    <row r="276" spans="2:27" x14ac:dyDescent="0.25">
      <c r="B276" s="22">
        <f t="shared" si="16"/>
        <v>31197.564468713143</v>
      </c>
      <c r="C276" s="64">
        <v>0.05</v>
      </c>
      <c r="D276" s="22">
        <f t="shared" si="17"/>
        <v>129.98985195297143</v>
      </c>
      <c r="E276" s="22">
        <f t="shared" si="19"/>
        <v>31327.554320666113</v>
      </c>
      <c r="F276" s="20">
        <v>4800</v>
      </c>
      <c r="G276" s="22">
        <f t="shared" si="18"/>
        <v>30927.554320666113</v>
      </c>
      <c r="H276" s="22">
        <v>400</v>
      </c>
      <c r="I276" s="23">
        <v>272</v>
      </c>
    </row>
    <row r="277" spans="2:27" x14ac:dyDescent="0.25">
      <c r="B277" s="22">
        <f t="shared" si="16"/>
        <v>30927.554320666113</v>
      </c>
      <c r="C277" s="64">
        <v>0.05</v>
      </c>
      <c r="D277" s="22">
        <f t="shared" si="17"/>
        <v>128.86480966944214</v>
      </c>
      <c r="E277" s="22">
        <f t="shared" si="19"/>
        <v>31056.419130335555</v>
      </c>
      <c r="F277" s="20">
        <v>4800</v>
      </c>
      <c r="G277" s="22">
        <f t="shared" si="18"/>
        <v>30656.419130335555</v>
      </c>
      <c r="H277" s="22">
        <v>400</v>
      </c>
      <c r="I277" s="23">
        <v>273</v>
      </c>
    </row>
    <row r="278" spans="2:27" x14ac:dyDescent="0.25">
      <c r="B278" s="22">
        <f t="shared" si="16"/>
        <v>30656.419130335555</v>
      </c>
      <c r="C278" s="64">
        <v>0.05</v>
      </c>
      <c r="D278" s="22">
        <f t="shared" si="17"/>
        <v>127.73507970973148</v>
      </c>
      <c r="E278" s="22">
        <f t="shared" si="19"/>
        <v>30784.154210045286</v>
      </c>
      <c r="F278" s="20">
        <v>4800</v>
      </c>
      <c r="G278" s="22">
        <f t="shared" si="18"/>
        <v>30384.154210045286</v>
      </c>
      <c r="H278" s="22">
        <v>400</v>
      </c>
      <c r="I278" s="23">
        <v>274</v>
      </c>
    </row>
    <row r="279" spans="2:27" x14ac:dyDescent="0.25">
      <c r="B279" s="22">
        <f t="shared" si="16"/>
        <v>30384.154210045286</v>
      </c>
      <c r="C279" s="64">
        <v>0.05</v>
      </c>
      <c r="D279" s="22">
        <f t="shared" si="17"/>
        <v>126.60064254185535</v>
      </c>
      <c r="E279" s="22">
        <f t="shared" si="19"/>
        <v>30510.754852587143</v>
      </c>
      <c r="F279" s="20">
        <v>4800</v>
      </c>
      <c r="G279" s="22">
        <f t="shared" si="18"/>
        <v>30110.754852587143</v>
      </c>
      <c r="H279" s="22">
        <v>400</v>
      </c>
      <c r="I279" s="23">
        <v>275</v>
      </c>
    </row>
    <row r="280" spans="2:27" x14ac:dyDescent="0.25">
      <c r="B280" s="22">
        <f t="shared" si="16"/>
        <v>30110.754852587143</v>
      </c>
      <c r="C280" s="64">
        <v>0.05</v>
      </c>
      <c r="D280" s="22">
        <f t="shared" si="17"/>
        <v>125.46147855244642</v>
      </c>
      <c r="E280" s="22">
        <f t="shared" si="19"/>
        <v>30236.216331139589</v>
      </c>
      <c r="F280" s="20">
        <v>4800</v>
      </c>
      <c r="G280" s="22">
        <f t="shared" si="18"/>
        <v>29836.216331139589</v>
      </c>
      <c r="H280" s="22">
        <v>400</v>
      </c>
      <c r="I280" s="23">
        <v>276</v>
      </c>
    </row>
    <row r="281" spans="2:27" x14ac:dyDescent="0.25">
      <c r="B281" s="22">
        <f t="shared" si="16"/>
        <v>29836.216331139589</v>
      </c>
      <c r="C281" s="64">
        <v>0.05</v>
      </c>
      <c r="D281" s="22">
        <f t="shared" si="17"/>
        <v>124.31756804641495</v>
      </c>
      <c r="E281" s="22">
        <f t="shared" si="19"/>
        <v>29960.533899186004</v>
      </c>
      <c r="F281" s="20">
        <v>4800</v>
      </c>
      <c r="G281" s="22">
        <f t="shared" si="18"/>
        <v>29560.533899186004</v>
      </c>
      <c r="H281" s="22">
        <v>400</v>
      </c>
      <c r="I281" s="23">
        <v>277</v>
      </c>
    </row>
    <row r="282" spans="2:27" x14ac:dyDescent="0.25">
      <c r="B282" s="22">
        <f t="shared" si="16"/>
        <v>29560.533899186004</v>
      </c>
      <c r="C282" s="64">
        <v>0.05</v>
      </c>
      <c r="D282" s="22">
        <f t="shared" si="17"/>
        <v>123.16889124660835</v>
      </c>
      <c r="E282" s="22">
        <f t="shared" si="19"/>
        <v>29683.702790432613</v>
      </c>
      <c r="F282" s="20">
        <v>4800</v>
      </c>
      <c r="G282" s="22">
        <f t="shared" si="18"/>
        <v>29283.702790432613</v>
      </c>
      <c r="H282" s="22">
        <v>400</v>
      </c>
      <c r="I282" s="23">
        <v>278</v>
      </c>
    </row>
    <row r="283" spans="2:27" x14ac:dyDescent="0.25">
      <c r="B283" s="22">
        <f t="shared" si="16"/>
        <v>29283.702790432613</v>
      </c>
      <c r="C283" s="64">
        <v>0.05</v>
      </c>
      <c r="D283" s="22">
        <f t="shared" si="17"/>
        <v>122.01542829346921</v>
      </c>
      <c r="E283" s="22">
        <f t="shared" si="19"/>
        <v>29405.718218726084</v>
      </c>
      <c r="F283" s="20">
        <v>4800</v>
      </c>
      <c r="G283" s="22">
        <f t="shared" si="18"/>
        <v>29005.718218726084</v>
      </c>
      <c r="H283" s="22">
        <v>400</v>
      </c>
      <c r="I283" s="23">
        <v>279</v>
      </c>
    </row>
    <row r="284" spans="2:27" x14ac:dyDescent="0.25">
      <c r="B284" s="22">
        <f t="shared" si="16"/>
        <v>29005.718218726084</v>
      </c>
      <c r="C284" s="64">
        <v>0.05</v>
      </c>
      <c r="D284" s="22">
        <f t="shared" si="17"/>
        <v>120.85715924469201</v>
      </c>
      <c r="E284" s="22">
        <f t="shared" si="19"/>
        <v>29126.575377970777</v>
      </c>
      <c r="F284" s="20">
        <v>4800</v>
      </c>
      <c r="G284" s="22">
        <f t="shared" si="18"/>
        <v>28726.575377970777</v>
      </c>
      <c r="H284" s="22">
        <v>400</v>
      </c>
      <c r="I284" s="23">
        <v>280</v>
      </c>
    </row>
    <row r="285" spans="2:27" x14ac:dyDescent="0.25">
      <c r="B285" s="22">
        <f t="shared" ref="B285:B348" si="20">G284</f>
        <v>28726.575377970777</v>
      </c>
      <c r="C285" s="64">
        <v>0.05</v>
      </c>
      <c r="D285" s="22">
        <f t="shared" si="17"/>
        <v>119.69406407487824</v>
      </c>
      <c r="E285" s="22">
        <f t="shared" si="19"/>
        <v>28846.269442045657</v>
      </c>
      <c r="F285" s="20">
        <v>4800</v>
      </c>
      <c r="G285" s="22">
        <f t="shared" si="18"/>
        <v>28446.269442045657</v>
      </c>
      <c r="H285" s="22">
        <v>400</v>
      </c>
      <c r="I285" s="23">
        <v>281</v>
      </c>
    </row>
    <row r="286" spans="2:27" x14ac:dyDescent="0.25">
      <c r="B286" s="22">
        <f t="shared" si="20"/>
        <v>28446.269442045657</v>
      </c>
      <c r="C286" s="64">
        <v>0.05</v>
      </c>
      <c r="D286" s="22">
        <f t="shared" si="17"/>
        <v>118.52612267519024</v>
      </c>
      <c r="E286" s="22">
        <f t="shared" si="19"/>
        <v>28564.795564720847</v>
      </c>
      <c r="F286" s="20">
        <v>4800</v>
      </c>
      <c r="G286" s="22">
        <f t="shared" si="18"/>
        <v>28164.795564720847</v>
      </c>
      <c r="H286" s="22">
        <v>400</v>
      </c>
      <c r="I286" s="23">
        <v>282</v>
      </c>
    </row>
    <row r="287" spans="2:27" x14ac:dyDescent="0.25">
      <c r="B287" s="22">
        <f t="shared" si="20"/>
        <v>28164.795564720847</v>
      </c>
      <c r="C287" s="64">
        <v>0.05</v>
      </c>
      <c r="D287" s="22">
        <f t="shared" si="17"/>
        <v>117.35331485300352</v>
      </c>
      <c r="E287" s="22">
        <f t="shared" si="19"/>
        <v>28282.148879573851</v>
      </c>
      <c r="F287" s="20">
        <v>4800</v>
      </c>
      <c r="G287" s="22">
        <f t="shared" si="18"/>
        <v>27882.148879573851</v>
      </c>
      <c r="H287" s="22">
        <v>400</v>
      </c>
      <c r="I287" s="23">
        <v>283</v>
      </c>
    </row>
    <row r="288" spans="2:27" x14ac:dyDescent="0.25">
      <c r="B288" s="22">
        <f t="shared" si="20"/>
        <v>27882.148879573851</v>
      </c>
      <c r="C288" s="64">
        <v>0.05</v>
      </c>
      <c r="D288" s="22">
        <f t="shared" si="17"/>
        <v>116.17562033155771</v>
      </c>
      <c r="E288" s="22">
        <f t="shared" si="19"/>
        <v>27998.324499905408</v>
      </c>
      <c r="F288" s="20">
        <v>4800</v>
      </c>
      <c r="G288" s="22">
        <f t="shared" si="18"/>
        <v>27598.324499905408</v>
      </c>
      <c r="H288" s="22">
        <v>400</v>
      </c>
      <c r="I288" s="23">
        <v>284</v>
      </c>
    </row>
    <row r="289" spans="2:9" x14ac:dyDescent="0.25">
      <c r="B289" s="22">
        <f t="shared" si="20"/>
        <v>27598.324499905408</v>
      </c>
      <c r="C289" s="64">
        <v>0.05</v>
      </c>
      <c r="D289" s="22">
        <f t="shared" si="17"/>
        <v>114.99301874960587</v>
      </c>
      <c r="E289" s="22">
        <f t="shared" si="19"/>
        <v>27713.317518655014</v>
      </c>
      <c r="F289" s="20">
        <v>4800</v>
      </c>
      <c r="G289" s="22">
        <f t="shared" si="18"/>
        <v>27313.317518655014</v>
      </c>
      <c r="H289" s="22">
        <v>400</v>
      </c>
      <c r="I289" s="23">
        <v>285</v>
      </c>
    </row>
    <row r="290" spans="2:9" x14ac:dyDescent="0.25">
      <c r="B290" s="22">
        <f t="shared" si="20"/>
        <v>27313.317518655014</v>
      </c>
      <c r="C290" s="64">
        <v>0.05</v>
      </c>
      <c r="D290" s="22">
        <f t="shared" si="17"/>
        <v>113.80548966106255</v>
      </c>
      <c r="E290" s="22">
        <f t="shared" si="19"/>
        <v>27427.123008316077</v>
      </c>
      <c r="F290" s="20">
        <v>4800</v>
      </c>
      <c r="G290" s="22">
        <f t="shared" si="18"/>
        <v>27027.123008316077</v>
      </c>
      <c r="H290" s="22">
        <v>400</v>
      </c>
      <c r="I290" s="23">
        <v>286</v>
      </c>
    </row>
    <row r="291" spans="2:9" x14ac:dyDescent="0.25">
      <c r="B291" s="22">
        <f t="shared" si="20"/>
        <v>27027.123008316077</v>
      </c>
      <c r="C291" s="64">
        <v>0.05</v>
      </c>
      <c r="D291" s="22">
        <f t="shared" si="17"/>
        <v>112.61301253465032</v>
      </c>
      <c r="E291" s="22">
        <f t="shared" si="19"/>
        <v>27139.736020850727</v>
      </c>
      <c r="F291" s="20">
        <v>4800</v>
      </c>
      <c r="G291" s="22">
        <f t="shared" si="18"/>
        <v>26739.736020850727</v>
      </c>
      <c r="H291" s="22">
        <v>400</v>
      </c>
      <c r="I291" s="23">
        <v>287</v>
      </c>
    </row>
    <row r="292" spans="2:9" x14ac:dyDescent="0.25">
      <c r="B292" s="22">
        <f t="shared" si="20"/>
        <v>26739.736020850727</v>
      </c>
      <c r="C292" s="64">
        <v>0.05</v>
      </c>
      <c r="D292" s="22">
        <f t="shared" si="17"/>
        <v>111.4155667535447</v>
      </c>
      <c r="E292" s="22">
        <f t="shared" si="19"/>
        <v>26851.151587604272</v>
      </c>
      <c r="F292" s="20">
        <v>4800</v>
      </c>
      <c r="G292" s="22">
        <f t="shared" si="18"/>
        <v>26451.151587604272</v>
      </c>
      <c r="H292" s="22">
        <v>400</v>
      </c>
      <c r="I292" s="23">
        <v>288</v>
      </c>
    </row>
    <row r="293" spans="2:9" x14ac:dyDescent="0.25">
      <c r="B293" s="22">
        <f t="shared" si="20"/>
        <v>26451.151587604272</v>
      </c>
      <c r="C293" s="64">
        <v>0.05</v>
      </c>
      <c r="D293" s="22">
        <f t="shared" si="17"/>
        <v>110.2131316150178</v>
      </c>
      <c r="E293" s="22">
        <f t="shared" si="19"/>
        <v>26561.364719219291</v>
      </c>
      <c r="F293" s="20">
        <v>4800</v>
      </c>
      <c r="G293" s="22">
        <f t="shared" si="18"/>
        <v>26161.364719219291</v>
      </c>
      <c r="H293" s="22">
        <v>400</v>
      </c>
      <c r="I293" s="23">
        <v>289</v>
      </c>
    </row>
    <row r="294" spans="2:9" x14ac:dyDescent="0.25">
      <c r="B294" s="22">
        <f t="shared" si="20"/>
        <v>26161.364719219291</v>
      </c>
      <c r="C294" s="64">
        <v>0.05</v>
      </c>
      <c r="D294" s="22">
        <f t="shared" si="17"/>
        <v>109.00568633008038</v>
      </c>
      <c r="E294" s="22">
        <f t="shared" si="19"/>
        <v>26270.370405549373</v>
      </c>
      <c r="F294" s="20">
        <v>4800</v>
      </c>
      <c r="G294" s="22">
        <f t="shared" si="18"/>
        <v>25870.370405549373</v>
      </c>
      <c r="H294" s="22">
        <v>400</v>
      </c>
      <c r="I294" s="23">
        <v>290</v>
      </c>
    </row>
    <row r="295" spans="2:9" x14ac:dyDescent="0.25">
      <c r="B295" s="22">
        <f t="shared" si="20"/>
        <v>25870.370405549373</v>
      </c>
      <c r="C295" s="64">
        <v>0.05</v>
      </c>
      <c r="D295" s="22">
        <f t="shared" si="17"/>
        <v>107.79321002312238</v>
      </c>
      <c r="E295" s="22">
        <f t="shared" si="19"/>
        <v>25978.163615572495</v>
      </c>
      <c r="F295" s="20">
        <v>4800</v>
      </c>
      <c r="G295" s="22">
        <f t="shared" si="18"/>
        <v>25578.163615572495</v>
      </c>
      <c r="H295" s="22">
        <v>400</v>
      </c>
      <c r="I295" s="23">
        <v>291</v>
      </c>
    </row>
    <row r="296" spans="2:9" x14ac:dyDescent="0.25">
      <c r="B296" s="22">
        <f t="shared" si="20"/>
        <v>25578.163615572495</v>
      </c>
      <c r="C296" s="64">
        <v>0.05</v>
      </c>
      <c r="D296" s="22">
        <f t="shared" si="17"/>
        <v>106.57568173155207</v>
      </c>
      <c r="E296" s="22">
        <f t="shared" si="19"/>
        <v>25684.739297304048</v>
      </c>
      <c r="F296" s="20">
        <v>4800</v>
      </c>
      <c r="G296" s="22">
        <f t="shared" si="18"/>
        <v>25284.739297304048</v>
      </c>
      <c r="H296" s="22">
        <v>400</v>
      </c>
      <c r="I296" s="23">
        <v>292</v>
      </c>
    </row>
    <row r="297" spans="2:9" x14ac:dyDescent="0.25">
      <c r="B297" s="22">
        <f t="shared" si="20"/>
        <v>25284.739297304048</v>
      </c>
      <c r="C297" s="64">
        <v>0.05</v>
      </c>
      <c r="D297" s="22">
        <f t="shared" si="17"/>
        <v>105.35308040543353</v>
      </c>
      <c r="E297" s="22">
        <f t="shared" si="19"/>
        <v>25390.092377709483</v>
      </c>
      <c r="F297" s="20">
        <v>4800</v>
      </c>
      <c r="G297" s="22">
        <f t="shared" si="18"/>
        <v>24990.092377709483</v>
      </c>
      <c r="H297" s="22">
        <v>400</v>
      </c>
      <c r="I297" s="23">
        <v>293</v>
      </c>
    </row>
    <row r="298" spans="2:9" x14ac:dyDescent="0.25">
      <c r="B298" s="22">
        <f t="shared" si="20"/>
        <v>24990.092377709483</v>
      </c>
      <c r="C298" s="64">
        <v>0.05</v>
      </c>
      <c r="D298" s="22">
        <f t="shared" si="17"/>
        <v>104.12538490712285</v>
      </c>
      <c r="E298" s="22">
        <f t="shared" si="19"/>
        <v>25094.217762616605</v>
      </c>
      <c r="F298" s="20">
        <v>4800</v>
      </c>
      <c r="G298" s="22">
        <f t="shared" si="18"/>
        <v>24694.217762616605</v>
      </c>
      <c r="H298" s="22">
        <v>400</v>
      </c>
      <c r="I298" s="23">
        <v>294</v>
      </c>
    </row>
    <row r="299" spans="2:9" x14ac:dyDescent="0.25">
      <c r="B299" s="22">
        <f t="shared" si="20"/>
        <v>24694.217762616605</v>
      </c>
      <c r="C299" s="64">
        <v>0.05</v>
      </c>
      <c r="D299" s="22">
        <f t="shared" si="17"/>
        <v>102.89257401090252</v>
      </c>
      <c r="E299" s="22">
        <f t="shared" si="19"/>
        <v>24797.110336627506</v>
      </c>
      <c r="F299" s="20">
        <v>4800</v>
      </c>
      <c r="G299" s="22">
        <f t="shared" si="18"/>
        <v>24397.110336627506</v>
      </c>
      <c r="H299" s="22">
        <v>400</v>
      </c>
      <c r="I299" s="23">
        <v>295</v>
      </c>
    </row>
    <row r="300" spans="2:9" x14ac:dyDescent="0.25">
      <c r="B300" s="22">
        <f t="shared" si="20"/>
        <v>24397.110336627506</v>
      </c>
      <c r="C300" s="64">
        <v>0.05</v>
      </c>
      <c r="D300" s="22">
        <f t="shared" si="17"/>
        <v>101.65462640261461</v>
      </c>
      <c r="E300" s="22">
        <f t="shared" si="19"/>
        <v>24498.76496303012</v>
      </c>
      <c r="F300" s="20">
        <v>4800</v>
      </c>
      <c r="G300" s="22">
        <f t="shared" si="18"/>
        <v>24098.76496303012</v>
      </c>
      <c r="H300" s="22">
        <v>400</v>
      </c>
      <c r="I300" s="23">
        <v>296</v>
      </c>
    </row>
    <row r="301" spans="2:9" x14ac:dyDescent="0.25">
      <c r="B301" s="22">
        <f t="shared" si="20"/>
        <v>24098.76496303012</v>
      </c>
      <c r="C301" s="64">
        <v>0.05</v>
      </c>
      <c r="D301" s="22">
        <f t="shared" si="17"/>
        <v>100.41152067929217</v>
      </c>
      <c r="E301" s="22">
        <f t="shared" si="19"/>
        <v>24199.176483709412</v>
      </c>
      <c r="F301" s="20">
        <v>4800</v>
      </c>
      <c r="G301" s="22">
        <f t="shared" si="18"/>
        <v>23799.176483709412</v>
      </c>
      <c r="H301" s="22">
        <v>400</v>
      </c>
      <c r="I301" s="23">
        <v>297</v>
      </c>
    </row>
    <row r="302" spans="2:9" x14ac:dyDescent="0.25">
      <c r="B302" s="22">
        <f t="shared" si="20"/>
        <v>23799.176483709412</v>
      </c>
      <c r="C302" s="64">
        <v>0.05</v>
      </c>
      <c r="D302" s="22">
        <f t="shared" si="17"/>
        <v>99.163235348789215</v>
      </c>
      <c r="E302" s="22">
        <f t="shared" si="19"/>
        <v>23898.3397190582</v>
      </c>
      <c r="F302" s="20">
        <v>4800</v>
      </c>
      <c r="G302" s="22">
        <f t="shared" si="18"/>
        <v>23498.3397190582</v>
      </c>
      <c r="H302" s="22">
        <v>400</v>
      </c>
      <c r="I302" s="23">
        <v>298</v>
      </c>
    </row>
    <row r="303" spans="2:9" x14ac:dyDescent="0.25">
      <c r="B303" s="22">
        <f t="shared" si="20"/>
        <v>23498.3397190582</v>
      </c>
      <c r="C303" s="64">
        <v>0.05</v>
      </c>
      <c r="D303" s="22">
        <f t="shared" si="17"/>
        <v>97.909748829409168</v>
      </c>
      <c r="E303" s="22">
        <f t="shared" si="19"/>
        <v>23596.24946788761</v>
      </c>
      <c r="F303" s="20">
        <v>4800</v>
      </c>
      <c r="G303" s="22">
        <f t="shared" si="18"/>
        <v>23196.24946788761</v>
      </c>
      <c r="H303" s="22">
        <v>400</v>
      </c>
      <c r="I303" s="23">
        <v>299</v>
      </c>
    </row>
    <row r="304" spans="2:9" x14ac:dyDescent="0.25">
      <c r="B304" s="22">
        <f t="shared" si="20"/>
        <v>23196.24946788761</v>
      </c>
      <c r="C304" s="64">
        <v>0.05</v>
      </c>
      <c r="D304" s="22">
        <f t="shared" si="17"/>
        <v>96.651039449531709</v>
      </c>
      <c r="E304" s="22">
        <f t="shared" si="19"/>
        <v>23292.900507337141</v>
      </c>
      <c r="F304" s="20">
        <v>4800</v>
      </c>
      <c r="G304" s="22">
        <f t="shared" si="18"/>
        <v>22892.900507337141</v>
      </c>
      <c r="H304" s="22">
        <v>400</v>
      </c>
      <c r="I304" s="23">
        <v>300</v>
      </c>
    </row>
    <row r="305" spans="2:9" x14ac:dyDescent="0.25">
      <c r="B305" s="22">
        <f t="shared" si="20"/>
        <v>22892.900507337141</v>
      </c>
      <c r="C305" s="64">
        <v>0.05</v>
      </c>
      <c r="D305" s="22">
        <f t="shared" si="17"/>
        <v>95.387085447238093</v>
      </c>
      <c r="E305" s="22">
        <f t="shared" si="19"/>
        <v>22988.287592784378</v>
      </c>
      <c r="F305" s="20">
        <v>4800</v>
      </c>
      <c r="G305" s="22">
        <f t="shared" si="18"/>
        <v>22588.287592784378</v>
      </c>
      <c r="H305" s="22">
        <v>400</v>
      </c>
      <c r="I305" s="23">
        <v>301</v>
      </c>
    </row>
    <row r="306" spans="2:9" x14ac:dyDescent="0.25">
      <c r="B306" s="22">
        <f t="shared" si="20"/>
        <v>22588.287592784378</v>
      </c>
      <c r="C306" s="64">
        <v>0.05</v>
      </c>
      <c r="D306" s="22">
        <f t="shared" si="17"/>
        <v>94.117864969934914</v>
      </c>
      <c r="E306" s="22">
        <f t="shared" si="19"/>
        <v>22682.405457754314</v>
      </c>
      <c r="F306" s="20">
        <v>4800</v>
      </c>
      <c r="G306" s="22">
        <f t="shared" si="18"/>
        <v>22282.405457754314</v>
      </c>
      <c r="H306" s="22">
        <v>400</v>
      </c>
      <c r="I306" s="23">
        <v>302</v>
      </c>
    </row>
    <row r="307" spans="2:9" x14ac:dyDescent="0.25">
      <c r="B307" s="22">
        <f t="shared" si="20"/>
        <v>22282.405457754314</v>
      </c>
      <c r="C307" s="64">
        <v>0.05</v>
      </c>
      <c r="D307" s="22">
        <f t="shared" si="17"/>
        <v>92.84335607397631</v>
      </c>
      <c r="E307" s="22">
        <f t="shared" si="19"/>
        <v>22375.24881382829</v>
      </c>
      <c r="F307" s="20">
        <v>4800</v>
      </c>
      <c r="G307" s="22">
        <f t="shared" si="18"/>
        <v>21975.24881382829</v>
      </c>
      <c r="H307" s="22">
        <v>400</v>
      </c>
      <c r="I307" s="23">
        <v>303</v>
      </c>
    </row>
    <row r="308" spans="2:9" x14ac:dyDescent="0.25">
      <c r="B308" s="22">
        <f t="shared" si="20"/>
        <v>21975.24881382829</v>
      </c>
      <c r="C308" s="64">
        <v>0.05</v>
      </c>
      <c r="D308" s="22">
        <f t="shared" si="17"/>
        <v>91.563536724284546</v>
      </c>
      <c r="E308" s="22">
        <f t="shared" si="19"/>
        <v>22066.812350552573</v>
      </c>
      <c r="F308" s="20">
        <v>4800</v>
      </c>
      <c r="G308" s="22">
        <f t="shared" si="18"/>
        <v>21666.812350552573</v>
      </c>
      <c r="H308" s="22">
        <v>400</v>
      </c>
      <c r="I308" s="23">
        <v>304</v>
      </c>
    </row>
    <row r="309" spans="2:9" x14ac:dyDescent="0.25">
      <c r="B309" s="22">
        <f t="shared" si="20"/>
        <v>21666.812350552573</v>
      </c>
      <c r="C309" s="64">
        <v>0.05</v>
      </c>
      <c r="D309" s="22">
        <f t="shared" si="17"/>
        <v>90.278384793969053</v>
      </c>
      <c r="E309" s="22">
        <f t="shared" si="19"/>
        <v>21757.090735346541</v>
      </c>
      <c r="F309" s="20">
        <v>4800</v>
      </c>
      <c r="G309" s="22">
        <f t="shared" si="18"/>
        <v>21357.090735346541</v>
      </c>
      <c r="H309" s="22">
        <v>400</v>
      </c>
      <c r="I309" s="23">
        <v>305</v>
      </c>
    </row>
    <row r="310" spans="2:9" x14ac:dyDescent="0.25">
      <c r="B310" s="22">
        <f t="shared" si="20"/>
        <v>21357.090735346541</v>
      </c>
      <c r="C310" s="64">
        <v>0.05</v>
      </c>
      <c r="D310" s="22">
        <f t="shared" si="17"/>
        <v>88.987878063943924</v>
      </c>
      <c r="E310" s="22">
        <f t="shared" si="19"/>
        <v>21446.078613410486</v>
      </c>
      <c r="F310" s="20">
        <v>4800</v>
      </c>
      <c r="G310" s="22">
        <f t="shared" si="18"/>
        <v>21046.078613410486</v>
      </c>
      <c r="H310" s="22">
        <v>400</v>
      </c>
      <c r="I310" s="23">
        <v>306</v>
      </c>
    </row>
    <row r="311" spans="2:9" x14ac:dyDescent="0.25">
      <c r="B311" s="22">
        <f t="shared" si="20"/>
        <v>21046.078613410486</v>
      </c>
      <c r="C311" s="64">
        <v>0.05</v>
      </c>
      <c r="D311" s="22">
        <f t="shared" si="17"/>
        <v>87.691994222543684</v>
      </c>
      <c r="E311" s="22">
        <f t="shared" si="19"/>
        <v>21133.770607633029</v>
      </c>
      <c r="F311" s="20">
        <v>4800</v>
      </c>
      <c r="G311" s="22">
        <f t="shared" si="18"/>
        <v>20733.770607633029</v>
      </c>
      <c r="H311" s="22">
        <v>400</v>
      </c>
      <c r="I311" s="23">
        <v>307</v>
      </c>
    </row>
    <row r="312" spans="2:9" x14ac:dyDescent="0.25">
      <c r="B312" s="22">
        <f t="shared" si="20"/>
        <v>20733.770607633029</v>
      </c>
      <c r="C312" s="64">
        <v>0.05</v>
      </c>
      <c r="D312" s="22">
        <f t="shared" si="17"/>
        <v>86.390710865137621</v>
      </c>
      <c r="E312" s="22">
        <f t="shared" si="19"/>
        <v>20820.161318498165</v>
      </c>
      <c r="F312" s="20">
        <v>4800</v>
      </c>
      <c r="G312" s="22">
        <f t="shared" si="18"/>
        <v>20420.161318498165</v>
      </c>
      <c r="H312" s="22">
        <v>400</v>
      </c>
      <c r="I312" s="23">
        <v>308</v>
      </c>
    </row>
    <row r="313" spans="2:9" x14ac:dyDescent="0.25">
      <c r="B313" s="22">
        <f t="shared" si="20"/>
        <v>20420.161318498165</v>
      </c>
      <c r="C313" s="64">
        <v>0.05</v>
      </c>
      <c r="D313" s="22">
        <f t="shared" si="17"/>
        <v>85.084005493742353</v>
      </c>
      <c r="E313" s="22">
        <f t="shared" si="19"/>
        <v>20505.245323991909</v>
      </c>
      <c r="F313" s="20">
        <v>4800</v>
      </c>
      <c r="G313" s="22">
        <f t="shared" si="18"/>
        <v>20105.245323991909</v>
      </c>
      <c r="H313" s="22">
        <v>400</v>
      </c>
      <c r="I313" s="23">
        <v>309</v>
      </c>
    </row>
    <row r="314" spans="2:9" x14ac:dyDescent="0.25">
      <c r="B314" s="22">
        <f t="shared" si="20"/>
        <v>20105.245323991909</v>
      </c>
      <c r="C314" s="64">
        <v>0.05</v>
      </c>
      <c r="D314" s="22">
        <f t="shared" si="17"/>
        <v>83.771855516632954</v>
      </c>
      <c r="E314" s="22">
        <f t="shared" si="19"/>
        <v>20189.017179508541</v>
      </c>
      <c r="F314" s="20">
        <v>4800</v>
      </c>
      <c r="G314" s="22">
        <f t="shared" si="18"/>
        <v>19789.017179508541</v>
      </c>
      <c r="H314" s="22">
        <v>400</v>
      </c>
      <c r="I314" s="23">
        <v>310</v>
      </c>
    </row>
    <row r="315" spans="2:9" x14ac:dyDescent="0.25">
      <c r="B315" s="22">
        <f t="shared" si="20"/>
        <v>19789.017179508541</v>
      </c>
      <c r="C315" s="64">
        <v>0.05</v>
      </c>
      <c r="D315" s="22">
        <f t="shared" si="17"/>
        <v>82.454238247952247</v>
      </c>
      <c r="E315" s="22">
        <f t="shared" si="19"/>
        <v>19871.471417756493</v>
      </c>
      <c r="F315" s="20">
        <v>4800</v>
      </c>
      <c r="G315" s="22">
        <f t="shared" si="18"/>
        <v>19471.471417756493</v>
      </c>
      <c r="H315" s="22">
        <v>400</v>
      </c>
      <c r="I315" s="23">
        <v>311</v>
      </c>
    </row>
    <row r="316" spans="2:9" x14ac:dyDescent="0.25">
      <c r="B316" s="22">
        <f t="shared" si="20"/>
        <v>19471.471417756493</v>
      </c>
      <c r="C316" s="64">
        <v>0.05</v>
      </c>
      <c r="D316" s="22">
        <f t="shared" si="17"/>
        <v>81.13113090731872</v>
      </c>
      <c r="E316" s="22">
        <f t="shared" si="19"/>
        <v>19552.60254866381</v>
      </c>
      <c r="F316" s="20">
        <v>4800</v>
      </c>
      <c r="G316" s="22">
        <f t="shared" si="18"/>
        <v>19152.60254866381</v>
      </c>
      <c r="H316" s="22">
        <v>400</v>
      </c>
      <c r="I316" s="23">
        <v>312</v>
      </c>
    </row>
    <row r="317" spans="2:9" x14ac:dyDescent="0.25">
      <c r="B317" s="22">
        <f t="shared" si="20"/>
        <v>19152.60254866381</v>
      </c>
      <c r="C317" s="64">
        <v>0.05</v>
      </c>
      <c r="D317" s="22">
        <f t="shared" si="17"/>
        <v>79.802510619432539</v>
      </c>
      <c r="E317" s="22">
        <f t="shared" si="19"/>
        <v>19232.405059283243</v>
      </c>
      <c r="F317" s="20">
        <v>4800</v>
      </c>
      <c r="G317" s="22">
        <f t="shared" si="18"/>
        <v>18832.405059283243</v>
      </c>
      <c r="H317" s="22">
        <v>400</v>
      </c>
      <c r="I317" s="23">
        <v>313</v>
      </c>
    </row>
    <row r="318" spans="2:9" x14ac:dyDescent="0.25">
      <c r="B318" s="22">
        <f t="shared" si="20"/>
        <v>18832.405059283243</v>
      </c>
      <c r="C318" s="64">
        <v>0.05</v>
      </c>
      <c r="D318" s="22">
        <f t="shared" si="17"/>
        <v>78.468354413680174</v>
      </c>
      <c r="E318" s="22">
        <f t="shared" si="19"/>
        <v>18910.873413696921</v>
      </c>
      <c r="F318" s="20">
        <v>4800</v>
      </c>
      <c r="G318" s="22">
        <f t="shared" si="18"/>
        <v>18510.873413696921</v>
      </c>
      <c r="H318" s="22">
        <v>400</v>
      </c>
      <c r="I318" s="23">
        <v>314</v>
      </c>
    </row>
    <row r="319" spans="2:9" x14ac:dyDescent="0.25">
      <c r="B319" s="22">
        <f t="shared" si="20"/>
        <v>18510.873413696921</v>
      </c>
      <c r="C319" s="64">
        <v>0.05</v>
      </c>
      <c r="D319" s="22">
        <f t="shared" si="17"/>
        <v>77.128639223737167</v>
      </c>
      <c r="E319" s="22">
        <f t="shared" si="19"/>
        <v>18588.002052920659</v>
      </c>
      <c r="F319" s="20">
        <v>4800</v>
      </c>
      <c r="G319" s="22">
        <f t="shared" si="18"/>
        <v>18188.002052920659</v>
      </c>
      <c r="H319" s="22">
        <v>400</v>
      </c>
      <c r="I319" s="23">
        <v>315</v>
      </c>
    </row>
    <row r="320" spans="2:9" x14ac:dyDescent="0.25">
      <c r="B320" s="22">
        <f t="shared" si="20"/>
        <v>18188.002052920659</v>
      </c>
      <c r="C320" s="64">
        <v>0.05</v>
      </c>
      <c r="D320" s="22">
        <f t="shared" si="17"/>
        <v>75.783341887169414</v>
      </c>
      <c r="E320" s="22">
        <f t="shared" si="19"/>
        <v>18263.78539480783</v>
      </c>
      <c r="F320" s="20">
        <v>4800</v>
      </c>
      <c r="G320" s="22">
        <f t="shared" si="18"/>
        <v>17863.78539480783</v>
      </c>
      <c r="H320" s="22">
        <v>400</v>
      </c>
      <c r="I320" s="23">
        <v>316</v>
      </c>
    </row>
    <row r="321" spans="2:9" x14ac:dyDescent="0.25">
      <c r="B321" s="22">
        <f t="shared" si="20"/>
        <v>17863.78539480783</v>
      </c>
      <c r="C321" s="64">
        <v>0.05</v>
      </c>
      <c r="D321" s="22">
        <f t="shared" si="17"/>
        <v>74.432439145032617</v>
      </c>
      <c r="E321" s="22">
        <f t="shared" si="19"/>
        <v>17938.217833952862</v>
      </c>
      <c r="F321" s="20">
        <v>4800</v>
      </c>
      <c r="G321" s="22">
        <f t="shared" si="18"/>
        <v>17538.217833952862</v>
      </c>
      <c r="H321" s="22">
        <v>400</v>
      </c>
      <c r="I321" s="23">
        <v>317</v>
      </c>
    </row>
    <row r="322" spans="2:9" x14ac:dyDescent="0.25">
      <c r="B322" s="22">
        <f t="shared" si="20"/>
        <v>17538.217833952862</v>
      </c>
      <c r="C322" s="64">
        <v>0.05</v>
      </c>
      <c r="D322" s="22">
        <f t="shared" si="17"/>
        <v>73.075907641470252</v>
      </c>
      <c r="E322" s="22">
        <f t="shared" si="19"/>
        <v>17611.293741594331</v>
      </c>
      <c r="F322" s="20">
        <v>4800</v>
      </c>
      <c r="G322" s="22">
        <f t="shared" si="18"/>
        <v>17211.293741594331</v>
      </c>
      <c r="H322" s="22">
        <v>400</v>
      </c>
      <c r="I322" s="23">
        <v>318</v>
      </c>
    </row>
    <row r="323" spans="2:9" x14ac:dyDescent="0.25">
      <c r="B323" s="22">
        <f t="shared" si="20"/>
        <v>17211.293741594331</v>
      </c>
      <c r="C323" s="64">
        <v>0.05</v>
      </c>
      <c r="D323" s="22">
        <f t="shared" si="17"/>
        <v>71.713723923309715</v>
      </c>
      <c r="E323" s="22">
        <f t="shared" si="19"/>
        <v>17283.00746551764</v>
      </c>
      <c r="F323" s="20">
        <v>4800</v>
      </c>
      <c r="G323" s="22">
        <f t="shared" si="18"/>
        <v>16883.00746551764</v>
      </c>
      <c r="H323" s="22">
        <v>400</v>
      </c>
      <c r="I323" s="23">
        <v>319</v>
      </c>
    </row>
    <row r="324" spans="2:9" x14ac:dyDescent="0.25">
      <c r="B324" s="22">
        <f t="shared" si="20"/>
        <v>16883.00746551764</v>
      </c>
      <c r="C324" s="64">
        <v>0.05</v>
      </c>
      <c r="D324" s="22">
        <f t="shared" si="17"/>
        <v>70.345864439656836</v>
      </c>
      <c r="E324" s="22">
        <f t="shared" si="19"/>
        <v>16953.353329957296</v>
      </c>
      <c r="F324" s="20">
        <v>4800</v>
      </c>
      <c r="G324" s="22">
        <f t="shared" si="18"/>
        <v>16553.353329957296</v>
      </c>
      <c r="H324" s="22">
        <v>400</v>
      </c>
      <c r="I324" s="23">
        <v>320</v>
      </c>
    </row>
    <row r="325" spans="2:9" x14ac:dyDescent="0.25">
      <c r="B325" s="22">
        <f t="shared" si="20"/>
        <v>16553.353329957296</v>
      </c>
      <c r="C325" s="64">
        <v>0.05</v>
      </c>
      <c r="D325" s="22">
        <f t="shared" si="17"/>
        <v>68.972305541488737</v>
      </c>
      <c r="E325" s="22">
        <f t="shared" si="19"/>
        <v>16622.325635498783</v>
      </c>
      <c r="F325" s="20">
        <v>4800</v>
      </c>
      <c r="G325" s="22">
        <f t="shared" si="18"/>
        <v>16222.325635498783</v>
      </c>
      <c r="H325" s="22">
        <v>400</v>
      </c>
      <c r="I325" s="23">
        <v>321</v>
      </c>
    </row>
    <row r="326" spans="2:9" x14ac:dyDescent="0.25">
      <c r="B326" s="22">
        <f t="shared" si="20"/>
        <v>16222.325635498783</v>
      </c>
      <c r="C326" s="64">
        <v>0.05</v>
      </c>
      <c r="D326" s="22">
        <f t="shared" ref="D326:D370" si="21">B326*(0.05/12)</f>
        <v>67.593023481244927</v>
      </c>
      <c r="E326" s="22">
        <f t="shared" si="19"/>
        <v>16289.918658980027</v>
      </c>
      <c r="F326" s="20">
        <v>4800</v>
      </c>
      <c r="G326" s="22">
        <f t="shared" ref="G326:G370" si="22">E326-H326</f>
        <v>15889.918658980027</v>
      </c>
      <c r="H326" s="22">
        <v>400</v>
      </c>
      <c r="I326" s="23">
        <v>322</v>
      </c>
    </row>
    <row r="327" spans="2:9" x14ac:dyDescent="0.25">
      <c r="B327" s="22">
        <f t="shared" si="20"/>
        <v>15889.918658980027</v>
      </c>
      <c r="C327" s="64">
        <v>0.05</v>
      </c>
      <c r="D327" s="22">
        <f t="shared" si="21"/>
        <v>66.207994412416781</v>
      </c>
      <c r="E327" s="22">
        <f t="shared" ref="E327:E370" si="23">B327+D327</f>
        <v>15956.126653392443</v>
      </c>
      <c r="F327" s="20">
        <v>4800</v>
      </c>
      <c r="G327" s="22">
        <f t="shared" si="22"/>
        <v>15556.126653392443</v>
      </c>
      <c r="H327" s="22">
        <v>400</v>
      </c>
      <c r="I327" s="23">
        <v>323</v>
      </c>
    </row>
    <row r="328" spans="2:9" x14ac:dyDescent="0.25">
      <c r="B328" s="22">
        <f t="shared" si="20"/>
        <v>15556.126653392443</v>
      </c>
      <c r="C328" s="64">
        <v>0.05</v>
      </c>
      <c r="D328" s="22">
        <f t="shared" si="21"/>
        <v>64.817194389135182</v>
      </c>
      <c r="E328" s="22">
        <f t="shared" si="23"/>
        <v>15620.943847781578</v>
      </c>
      <c r="F328" s="20">
        <v>4800</v>
      </c>
      <c r="G328" s="22">
        <f t="shared" si="22"/>
        <v>15220.943847781578</v>
      </c>
      <c r="H328" s="22">
        <v>400</v>
      </c>
      <c r="I328" s="23">
        <v>324</v>
      </c>
    </row>
    <row r="329" spans="2:9" x14ac:dyDescent="0.25">
      <c r="B329" s="22">
        <f t="shared" si="20"/>
        <v>15220.943847781578</v>
      </c>
      <c r="C329" s="64">
        <v>0.05</v>
      </c>
      <c r="D329" s="22">
        <f t="shared" si="21"/>
        <v>63.420599365756573</v>
      </c>
      <c r="E329" s="22">
        <f t="shared" si="23"/>
        <v>15284.364447147334</v>
      </c>
      <c r="F329" s="20">
        <v>4800</v>
      </c>
      <c r="G329" s="22">
        <f t="shared" si="22"/>
        <v>14884.364447147334</v>
      </c>
      <c r="H329" s="22">
        <v>400</v>
      </c>
      <c r="I329" s="23">
        <v>325</v>
      </c>
    </row>
    <row r="330" spans="2:9" x14ac:dyDescent="0.25">
      <c r="B330" s="22">
        <f t="shared" si="20"/>
        <v>14884.364447147334</v>
      </c>
      <c r="C330" s="64">
        <v>0.05</v>
      </c>
      <c r="D330" s="22">
        <f t="shared" si="21"/>
        <v>62.018185196447227</v>
      </c>
      <c r="E330" s="22">
        <f t="shared" si="23"/>
        <v>14946.382632343782</v>
      </c>
      <c r="F330" s="20">
        <v>4800</v>
      </c>
      <c r="G330" s="22">
        <f t="shared" si="22"/>
        <v>14546.382632343782</v>
      </c>
      <c r="H330" s="22">
        <v>400</v>
      </c>
      <c r="I330" s="23">
        <v>326</v>
      </c>
    </row>
    <row r="331" spans="2:9" x14ac:dyDescent="0.25">
      <c r="B331" s="22">
        <f t="shared" si="20"/>
        <v>14546.382632343782</v>
      </c>
      <c r="C331" s="64">
        <v>0.05</v>
      </c>
      <c r="D331" s="22">
        <f t="shared" si="21"/>
        <v>60.609927634765761</v>
      </c>
      <c r="E331" s="22">
        <f t="shared" si="23"/>
        <v>14606.992559978547</v>
      </c>
      <c r="F331" s="20">
        <v>4800</v>
      </c>
      <c r="G331" s="22">
        <f t="shared" si="22"/>
        <v>14206.992559978547</v>
      </c>
      <c r="H331" s="22">
        <v>400</v>
      </c>
      <c r="I331" s="23">
        <v>327</v>
      </c>
    </row>
    <row r="332" spans="2:9" x14ac:dyDescent="0.25">
      <c r="B332" s="22">
        <f t="shared" si="20"/>
        <v>14206.992559978547</v>
      </c>
      <c r="C332" s="64">
        <v>0.05</v>
      </c>
      <c r="D332" s="22">
        <f t="shared" si="21"/>
        <v>59.195802333243947</v>
      </c>
      <c r="E332" s="22">
        <f t="shared" si="23"/>
        <v>14266.188362311792</v>
      </c>
      <c r="F332" s="20">
        <v>4800</v>
      </c>
      <c r="G332" s="22">
        <f t="shared" si="22"/>
        <v>13866.188362311792</v>
      </c>
      <c r="H332" s="22">
        <v>400</v>
      </c>
      <c r="I332" s="23">
        <v>328</v>
      </c>
    </row>
    <row r="333" spans="2:9" x14ac:dyDescent="0.25">
      <c r="B333" s="22">
        <f t="shared" si="20"/>
        <v>13866.188362311792</v>
      </c>
      <c r="C333" s="64">
        <v>0.05</v>
      </c>
      <c r="D333" s="22">
        <f t="shared" si="21"/>
        <v>57.775784842965798</v>
      </c>
      <c r="E333" s="22">
        <f t="shared" si="23"/>
        <v>13923.964147154758</v>
      </c>
      <c r="F333" s="20">
        <v>4800</v>
      </c>
      <c r="G333" s="22">
        <f t="shared" si="22"/>
        <v>13523.964147154758</v>
      </c>
      <c r="H333" s="22">
        <v>400</v>
      </c>
      <c r="I333" s="23">
        <v>329</v>
      </c>
    </row>
    <row r="334" spans="2:9" x14ac:dyDescent="0.25">
      <c r="B334" s="22">
        <f t="shared" si="20"/>
        <v>13523.964147154758</v>
      </c>
      <c r="C334" s="64">
        <v>0.05</v>
      </c>
      <c r="D334" s="22">
        <f t="shared" si="21"/>
        <v>56.349850613144824</v>
      </c>
      <c r="E334" s="22">
        <f t="shared" si="23"/>
        <v>13580.313997767904</v>
      </c>
      <c r="F334" s="20">
        <v>4800</v>
      </c>
      <c r="G334" s="22">
        <f t="shared" si="22"/>
        <v>13180.313997767904</v>
      </c>
      <c r="H334" s="22">
        <v>400</v>
      </c>
      <c r="I334" s="23">
        <v>330</v>
      </c>
    </row>
    <row r="335" spans="2:9" x14ac:dyDescent="0.25">
      <c r="B335" s="22">
        <f t="shared" si="20"/>
        <v>13180.313997767904</v>
      </c>
      <c r="C335" s="64">
        <v>0.05</v>
      </c>
      <c r="D335" s="22">
        <f t="shared" si="21"/>
        <v>54.917974990699598</v>
      </c>
      <c r="E335" s="22">
        <f t="shared" si="23"/>
        <v>13235.231972758604</v>
      </c>
      <c r="F335" s="20">
        <v>4800</v>
      </c>
      <c r="G335" s="22">
        <f t="shared" si="22"/>
        <v>12835.231972758604</v>
      </c>
      <c r="H335" s="22">
        <v>400</v>
      </c>
      <c r="I335" s="23">
        <v>331</v>
      </c>
    </row>
    <row r="336" spans="2:9" x14ac:dyDescent="0.25">
      <c r="B336" s="22">
        <f t="shared" si="20"/>
        <v>12835.231972758604</v>
      </c>
      <c r="C336" s="64">
        <v>0.05</v>
      </c>
      <c r="D336" s="22">
        <f t="shared" si="21"/>
        <v>53.480133219827515</v>
      </c>
      <c r="E336" s="22">
        <f t="shared" si="23"/>
        <v>12888.712105978431</v>
      </c>
      <c r="F336" s="20">
        <v>4800</v>
      </c>
      <c r="G336" s="22">
        <f t="shared" si="22"/>
        <v>12488.712105978431</v>
      </c>
      <c r="H336" s="22">
        <v>400</v>
      </c>
      <c r="I336" s="23">
        <v>332</v>
      </c>
    </row>
    <row r="337" spans="2:10" x14ac:dyDescent="0.25">
      <c r="B337" s="22">
        <f t="shared" si="20"/>
        <v>12488.712105978431</v>
      </c>
      <c r="C337" s="64">
        <v>0.05</v>
      </c>
      <c r="D337" s="22">
        <f t="shared" si="21"/>
        <v>52.036300441576799</v>
      </c>
      <c r="E337" s="22">
        <f t="shared" si="23"/>
        <v>12540.748406420009</v>
      </c>
      <c r="F337" s="20">
        <v>4800</v>
      </c>
      <c r="G337" s="22">
        <f t="shared" si="22"/>
        <v>12140.748406420009</v>
      </c>
      <c r="H337" s="22">
        <v>400</v>
      </c>
      <c r="I337" s="23">
        <v>333</v>
      </c>
    </row>
    <row r="338" spans="2:10" x14ac:dyDescent="0.25">
      <c r="B338" s="22">
        <f t="shared" si="20"/>
        <v>12140.748406420009</v>
      </c>
      <c r="C338" s="64">
        <v>0.05</v>
      </c>
      <c r="D338" s="22">
        <f t="shared" si="21"/>
        <v>50.586451693416706</v>
      </c>
      <c r="E338" s="22">
        <f t="shared" si="23"/>
        <v>12191.334858113425</v>
      </c>
      <c r="F338" s="20">
        <v>4800</v>
      </c>
      <c r="G338" s="22">
        <f t="shared" si="22"/>
        <v>11791.334858113425</v>
      </c>
      <c r="H338" s="22">
        <v>400</v>
      </c>
      <c r="I338" s="23">
        <v>334</v>
      </c>
    </row>
    <row r="339" spans="2:10" x14ac:dyDescent="0.25">
      <c r="B339" s="22">
        <f t="shared" si="20"/>
        <v>11791.334858113425</v>
      </c>
      <c r="C339" s="64">
        <v>0.05</v>
      </c>
      <c r="D339" s="22">
        <f t="shared" si="21"/>
        <v>49.130561908805937</v>
      </c>
      <c r="E339" s="22">
        <f t="shared" si="23"/>
        <v>11840.46542002223</v>
      </c>
      <c r="F339" s="20">
        <v>4800</v>
      </c>
      <c r="G339" s="22">
        <f t="shared" si="22"/>
        <v>11440.46542002223</v>
      </c>
      <c r="H339" s="22">
        <v>400</v>
      </c>
      <c r="I339" s="23">
        <v>335</v>
      </c>
    </row>
    <row r="340" spans="2:10" x14ac:dyDescent="0.25">
      <c r="B340" s="22">
        <f t="shared" si="20"/>
        <v>11440.46542002223</v>
      </c>
      <c r="C340" s="64">
        <v>0.05</v>
      </c>
      <c r="D340" s="22">
        <f t="shared" si="21"/>
        <v>47.66860591675929</v>
      </c>
      <c r="E340" s="22">
        <f t="shared" si="23"/>
        <v>11488.134025938989</v>
      </c>
      <c r="F340" s="20">
        <v>4800</v>
      </c>
      <c r="G340" s="22">
        <f t="shared" si="22"/>
        <v>11088.134025938989</v>
      </c>
      <c r="H340" s="22">
        <v>400</v>
      </c>
      <c r="I340" s="23">
        <v>336</v>
      </c>
    </row>
    <row r="341" spans="2:10" x14ac:dyDescent="0.25">
      <c r="B341" s="22">
        <f t="shared" si="20"/>
        <v>11088.134025938989</v>
      </c>
      <c r="C341" s="64">
        <v>0.05</v>
      </c>
      <c r="D341" s="22">
        <f t="shared" si="21"/>
        <v>46.200558441412454</v>
      </c>
      <c r="E341" s="22">
        <f t="shared" si="23"/>
        <v>11134.334584380402</v>
      </c>
      <c r="F341" s="20">
        <v>4800</v>
      </c>
      <c r="G341" s="22">
        <f t="shared" si="22"/>
        <v>10734.334584380402</v>
      </c>
      <c r="H341" s="22">
        <v>400</v>
      </c>
      <c r="I341" s="23">
        <v>337</v>
      </c>
    </row>
    <row r="342" spans="2:10" x14ac:dyDescent="0.25">
      <c r="B342" s="22">
        <f t="shared" si="20"/>
        <v>10734.334584380402</v>
      </c>
      <c r="C342" s="64">
        <v>0.05</v>
      </c>
      <c r="D342" s="22">
        <f t="shared" si="21"/>
        <v>44.726394101585008</v>
      </c>
      <c r="E342" s="22">
        <f t="shared" si="23"/>
        <v>10779.060978481986</v>
      </c>
      <c r="F342" s="20">
        <v>4800</v>
      </c>
      <c r="G342" s="22">
        <f t="shared" si="22"/>
        <v>10379.060978481986</v>
      </c>
      <c r="H342" s="22">
        <v>400</v>
      </c>
      <c r="I342" s="23">
        <v>338</v>
      </c>
    </row>
    <row r="343" spans="2:10" x14ac:dyDescent="0.25">
      <c r="B343" s="22">
        <f t="shared" si="20"/>
        <v>10379.060978481986</v>
      </c>
      <c r="C343" s="64">
        <v>0.05</v>
      </c>
      <c r="D343" s="22">
        <f t="shared" si="21"/>
        <v>43.246087410341609</v>
      </c>
      <c r="E343" s="22">
        <f t="shared" si="23"/>
        <v>10422.307065892328</v>
      </c>
      <c r="F343" s="20">
        <v>4800</v>
      </c>
      <c r="G343" s="22">
        <f t="shared" si="22"/>
        <v>10022.307065892328</v>
      </c>
      <c r="H343" s="22">
        <v>400</v>
      </c>
      <c r="I343" s="23">
        <v>339</v>
      </c>
    </row>
    <row r="344" spans="2:10" x14ac:dyDescent="0.25">
      <c r="B344" s="22">
        <f t="shared" si="20"/>
        <v>10022.307065892328</v>
      </c>
      <c r="C344" s="64">
        <v>0.05</v>
      </c>
      <c r="D344" s="22">
        <f t="shared" si="21"/>
        <v>41.759612774551364</v>
      </c>
      <c r="E344" s="22">
        <f t="shared" si="23"/>
        <v>10064.066678666879</v>
      </c>
      <c r="F344" s="20">
        <v>4800</v>
      </c>
      <c r="G344" s="22">
        <f t="shared" si="22"/>
        <v>9664.0666786668789</v>
      </c>
      <c r="H344" s="22">
        <v>400</v>
      </c>
      <c r="I344" s="23">
        <v>340</v>
      </c>
    </row>
    <row r="345" spans="2:10" x14ac:dyDescent="0.25">
      <c r="B345" s="22">
        <f t="shared" si="20"/>
        <v>9664.0666786668789</v>
      </c>
      <c r="C345" s="64">
        <v>0.05</v>
      </c>
      <c r="D345" s="22">
        <f t="shared" si="21"/>
        <v>40.266944494445326</v>
      </c>
      <c r="E345" s="22">
        <f t="shared" si="23"/>
        <v>9704.3336231613248</v>
      </c>
      <c r="F345" s="20">
        <v>4800</v>
      </c>
      <c r="G345" s="22">
        <f t="shared" si="22"/>
        <v>9304.3336231613248</v>
      </c>
      <c r="H345" s="22">
        <v>400</v>
      </c>
      <c r="I345" s="23">
        <v>341</v>
      </c>
    </row>
    <row r="346" spans="2:10" x14ac:dyDescent="0.25">
      <c r="B346" s="22">
        <f t="shared" si="20"/>
        <v>9304.3336231613248</v>
      </c>
      <c r="C346" s="64">
        <v>0.05</v>
      </c>
      <c r="D346" s="22">
        <f t="shared" si="21"/>
        <v>38.768056763172183</v>
      </c>
      <c r="E346" s="22">
        <f t="shared" si="23"/>
        <v>9343.1016799244971</v>
      </c>
      <c r="F346" s="20">
        <v>4800</v>
      </c>
      <c r="G346" s="22">
        <f t="shared" si="22"/>
        <v>8943.1016799244971</v>
      </c>
      <c r="H346" s="22">
        <v>400</v>
      </c>
      <c r="I346" s="23">
        <v>342</v>
      </c>
    </row>
    <row r="347" spans="2:10" x14ac:dyDescent="0.25">
      <c r="B347" s="22">
        <f t="shared" si="20"/>
        <v>8943.1016799244971</v>
      </c>
      <c r="C347" s="64">
        <v>0.05</v>
      </c>
      <c r="D347" s="22">
        <f t="shared" si="21"/>
        <v>37.262923666352073</v>
      </c>
      <c r="E347" s="22">
        <f t="shared" si="23"/>
        <v>8980.3646035908496</v>
      </c>
      <c r="F347" s="20">
        <v>4800</v>
      </c>
      <c r="G347" s="22">
        <f t="shared" si="22"/>
        <v>8580.3646035908496</v>
      </c>
      <c r="H347" s="22">
        <v>400</v>
      </c>
      <c r="I347" s="23">
        <v>343</v>
      </c>
    </row>
    <row r="348" spans="2:10" x14ac:dyDescent="0.25">
      <c r="B348" s="22">
        <f t="shared" si="20"/>
        <v>8580.3646035908496</v>
      </c>
      <c r="C348" s="64">
        <v>0.05</v>
      </c>
      <c r="D348" s="22">
        <f t="shared" si="21"/>
        <v>35.751519181628538</v>
      </c>
      <c r="E348" s="22">
        <f t="shared" si="23"/>
        <v>8616.1161227724788</v>
      </c>
      <c r="F348" s="20">
        <v>4800</v>
      </c>
      <c r="G348" s="22">
        <f t="shared" si="22"/>
        <v>8216.1161227724788</v>
      </c>
      <c r="H348" s="22">
        <v>400</v>
      </c>
      <c r="I348" s="23">
        <v>344</v>
      </c>
    </row>
    <row r="349" spans="2:10" x14ac:dyDescent="0.25">
      <c r="B349" s="22">
        <f t="shared" ref="B349:B370" si="24">G348</f>
        <v>8216.1161227724788</v>
      </c>
      <c r="C349" s="64">
        <v>0.05</v>
      </c>
      <c r="D349" s="22">
        <f t="shared" si="21"/>
        <v>34.233817178218658</v>
      </c>
      <c r="E349" s="22">
        <f t="shared" si="23"/>
        <v>8250.3499399506982</v>
      </c>
      <c r="F349" s="20">
        <v>4800</v>
      </c>
      <c r="G349" s="22">
        <f t="shared" si="22"/>
        <v>7850.3499399506982</v>
      </c>
      <c r="H349" s="22">
        <v>400</v>
      </c>
      <c r="I349" s="23">
        <v>345</v>
      </c>
    </row>
    <row r="350" spans="2:10" x14ac:dyDescent="0.25">
      <c r="B350" s="22">
        <f t="shared" si="24"/>
        <v>7850.3499399506982</v>
      </c>
      <c r="C350" s="64">
        <v>0.05</v>
      </c>
      <c r="D350" s="22">
        <f t="shared" si="21"/>
        <v>32.709791416461243</v>
      </c>
      <c r="E350" s="22">
        <f t="shared" si="23"/>
        <v>7883.0597313671597</v>
      </c>
      <c r="F350" s="20">
        <v>4800</v>
      </c>
      <c r="G350" s="22">
        <f t="shared" si="22"/>
        <v>7483.0597313671597</v>
      </c>
      <c r="H350" s="22">
        <v>400</v>
      </c>
      <c r="I350" s="23">
        <v>346</v>
      </c>
    </row>
    <row r="351" spans="2:10" x14ac:dyDescent="0.25">
      <c r="B351" s="22">
        <f t="shared" si="24"/>
        <v>7483.0597313671597</v>
      </c>
      <c r="C351" s="64">
        <v>0.05</v>
      </c>
      <c r="D351" s="22">
        <f t="shared" si="21"/>
        <v>31.179415547363163</v>
      </c>
      <c r="E351" s="22">
        <f t="shared" si="23"/>
        <v>7514.2391469145232</v>
      </c>
      <c r="F351" s="20">
        <v>4800</v>
      </c>
      <c r="G351" s="22">
        <f t="shared" si="22"/>
        <v>7114.2391469145232</v>
      </c>
      <c r="H351" s="22">
        <v>400</v>
      </c>
      <c r="I351" s="23">
        <v>347</v>
      </c>
    </row>
    <row r="352" spans="2:10" x14ac:dyDescent="0.25">
      <c r="B352" s="22">
        <f t="shared" si="24"/>
        <v>7114.2391469145232</v>
      </c>
      <c r="C352" s="64">
        <v>0.05</v>
      </c>
      <c r="D352" s="22">
        <f t="shared" si="21"/>
        <v>29.642663112143847</v>
      </c>
      <c r="E352" s="22">
        <f t="shared" si="23"/>
        <v>7143.8818100266672</v>
      </c>
      <c r="F352" s="20">
        <v>4800</v>
      </c>
      <c r="G352" s="22">
        <f t="shared" si="22"/>
        <v>6743.8818100266672</v>
      </c>
      <c r="H352" s="22">
        <v>400</v>
      </c>
      <c r="I352" s="23">
        <v>348</v>
      </c>
      <c r="J352">
        <f>I352/12</f>
        <v>29</v>
      </c>
    </row>
    <row r="353" spans="2:9" x14ac:dyDescent="0.25">
      <c r="B353" s="22">
        <f t="shared" si="24"/>
        <v>6743.8818100266672</v>
      </c>
      <c r="C353" s="64">
        <v>0.05</v>
      </c>
      <c r="D353" s="22">
        <f t="shared" si="21"/>
        <v>28.099507541777779</v>
      </c>
      <c r="E353" s="22">
        <f t="shared" si="23"/>
        <v>6771.9813175684449</v>
      </c>
      <c r="F353" s="20">
        <v>4800</v>
      </c>
      <c r="G353" s="22">
        <f t="shared" si="22"/>
        <v>6371.9813175684449</v>
      </c>
      <c r="H353" s="22">
        <v>400</v>
      </c>
      <c r="I353" s="23">
        <v>349</v>
      </c>
    </row>
    <row r="354" spans="2:9" x14ac:dyDescent="0.25">
      <c r="B354" s="22">
        <f t="shared" si="24"/>
        <v>6371.9813175684449</v>
      </c>
      <c r="C354" s="64">
        <v>0.05</v>
      </c>
      <c r="D354" s="22">
        <f t="shared" si="21"/>
        <v>26.549922156535185</v>
      </c>
      <c r="E354" s="22">
        <f t="shared" si="23"/>
        <v>6398.53123972498</v>
      </c>
      <c r="F354" s="20">
        <v>4800</v>
      </c>
      <c r="G354" s="22">
        <f t="shared" si="22"/>
        <v>5998.53123972498</v>
      </c>
      <c r="H354" s="22">
        <v>400</v>
      </c>
      <c r="I354" s="23">
        <v>350</v>
      </c>
    </row>
    <row r="355" spans="2:9" x14ac:dyDescent="0.25">
      <c r="B355" s="22">
        <f t="shared" si="24"/>
        <v>5998.53123972498</v>
      </c>
      <c r="C355" s="64">
        <v>0.05</v>
      </c>
      <c r="D355" s="22">
        <f t="shared" si="21"/>
        <v>24.99388016552075</v>
      </c>
      <c r="E355" s="22">
        <f t="shared" si="23"/>
        <v>6023.5251198905007</v>
      </c>
      <c r="F355" s="20">
        <v>4800</v>
      </c>
      <c r="G355" s="22">
        <f t="shared" si="22"/>
        <v>5623.5251198905007</v>
      </c>
      <c r="H355" s="22">
        <v>400</v>
      </c>
      <c r="I355" s="23">
        <v>351</v>
      </c>
    </row>
    <row r="356" spans="2:9" x14ac:dyDescent="0.25">
      <c r="B356" s="22">
        <f t="shared" si="24"/>
        <v>5623.5251198905007</v>
      </c>
      <c r="C356" s="64">
        <v>0.05</v>
      </c>
      <c r="D356" s="22">
        <f t="shared" si="21"/>
        <v>23.431354666210421</v>
      </c>
      <c r="E356" s="22">
        <f t="shared" si="23"/>
        <v>5646.9564745567113</v>
      </c>
      <c r="F356" s="20">
        <v>4800</v>
      </c>
      <c r="G356" s="22">
        <f t="shared" si="22"/>
        <v>5246.9564745567113</v>
      </c>
      <c r="H356" s="22">
        <v>400</v>
      </c>
      <c r="I356" s="23">
        <v>352</v>
      </c>
    </row>
    <row r="357" spans="2:9" x14ac:dyDescent="0.25">
      <c r="B357" s="22">
        <f t="shared" si="24"/>
        <v>5246.9564745567113</v>
      </c>
      <c r="C357" s="64">
        <v>0.05</v>
      </c>
      <c r="D357" s="22">
        <f t="shared" si="21"/>
        <v>21.862318643986296</v>
      </c>
      <c r="E357" s="22">
        <f t="shared" si="23"/>
        <v>5268.8187932006977</v>
      </c>
      <c r="F357" s="20">
        <v>4800</v>
      </c>
      <c r="G357" s="22">
        <f t="shared" si="22"/>
        <v>4868.8187932006977</v>
      </c>
      <c r="H357" s="22">
        <v>400</v>
      </c>
      <c r="I357" s="23">
        <v>353</v>
      </c>
    </row>
    <row r="358" spans="2:9" x14ac:dyDescent="0.25">
      <c r="B358" s="22">
        <f t="shared" si="24"/>
        <v>4868.8187932006977</v>
      </c>
      <c r="C358" s="64">
        <v>0.05</v>
      </c>
      <c r="D358" s="22">
        <f t="shared" si="21"/>
        <v>20.286744971669574</v>
      </c>
      <c r="E358" s="22">
        <f t="shared" si="23"/>
        <v>4889.1055381723672</v>
      </c>
      <c r="F358" s="20">
        <v>4800</v>
      </c>
      <c r="G358" s="22">
        <f t="shared" si="22"/>
        <v>4489.1055381723672</v>
      </c>
      <c r="H358" s="22">
        <v>400</v>
      </c>
      <c r="I358" s="23">
        <v>354</v>
      </c>
    </row>
    <row r="359" spans="2:9" x14ac:dyDescent="0.25">
      <c r="B359" s="22">
        <f t="shared" si="24"/>
        <v>4489.1055381723672</v>
      </c>
      <c r="C359" s="64">
        <v>0.05</v>
      </c>
      <c r="D359" s="22">
        <f t="shared" si="21"/>
        <v>18.704606409051529</v>
      </c>
      <c r="E359" s="22">
        <f t="shared" si="23"/>
        <v>4507.8101445814191</v>
      </c>
      <c r="F359" s="20">
        <v>4800</v>
      </c>
      <c r="G359" s="22">
        <f t="shared" si="22"/>
        <v>4107.8101445814191</v>
      </c>
      <c r="H359" s="22">
        <v>400</v>
      </c>
      <c r="I359" s="23">
        <v>355</v>
      </c>
    </row>
    <row r="360" spans="2:9" x14ac:dyDescent="0.25">
      <c r="B360" s="22">
        <f t="shared" si="24"/>
        <v>4107.8101445814191</v>
      </c>
      <c r="C360" s="64">
        <v>0.05</v>
      </c>
      <c r="D360" s="22">
        <f t="shared" si="21"/>
        <v>17.11587560242258</v>
      </c>
      <c r="E360" s="22">
        <f t="shared" si="23"/>
        <v>4124.9260201838415</v>
      </c>
      <c r="F360" s="20">
        <v>4800</v>
      </c>
      <c r="G360" s="22">
        <f t="shared" si="22"/>
        <v>3724.9260201838415</v>
      </c>
      <c r="H360" s="22">
        <v>400</v>
      </c>
      <c r="I360" s="23">
        <v>356</v>
      </c>
    </row>
    <row r="361" spans="2:9" x14ac:dyDescent="0.25">
      <c r="B361" s="22">
        <f t="shared" si="24"/>
        <v>3724.9260201838415</v>
      </c>
      <c r="C361" s="64">
        <v>0.05</v>
      </c>
      <c r="D361" s="22">
        <f t="shared" si="21"/>
        <v>15.52052508409934</v>
      </c>
      <c r="E361" s="22">
        <f t="shared" si="23"/>
        <v>3740.446545267941</v>
      </c>
      <c r="F361" s="20">
        <v>4800</v>
      </c>
      <c r="G361" s="22">
        <f t="shared" si="22"/>
        <v>3340.446545267941</v>
      </c>
      <c r="H361" s="22">
        <v>400</v>
      </c>
      <c r="I361" s="23">
        <v>357</v>
      </c>
    </row>
    <row r="362" spans="2:9" x14ac:dyDescent="0.25">
      <c r="B362" s="22">
        <f t="shared" si="24"/>
        <v>3340.446545267941</v>
      </c>
      <c r="C362" s="64">
        <v>0.05</v>
      </c>
      <c r="D362" s="22">
        <f t="shared" si="21"/>
        <v>13.918527271949754</v>
      </c>
      <c r="E362" s="22">
        <f t="shared" si="23"/>
        <v>3354.3650725398907</v>
      </c>
      <c r="F362" s="20">
        <v>4800</v>
      </c>
      <c r="G362" s="22">
        <f t="shared" si="22"/>
        <v>2954.3650725398907</v>
      </c>
      <c r="H362" s="22">
        <v>400</v>
      </c>
      <c r="I362" s="23">
        <v>358</v>
      </c>
    </row>
    <row r="363" spans="2:9" x14ac:dyDescent="0.25">
      <c r="B363" s="22">
        <f t="shared" si="24"/>
        <v>2954.3650725398907</v>
      </c>
      <c r="C363" s="64">
        <v>0.05</v>
      </c>
      <c r="D363" s="22">
        <f t="shared" si="21"/>
        <v>12.30985446891621</v>
      </c>
      <c r="E363" s="22">
        <f t="shared" si="23"/>
        <v>2966.6749270088067</v>
      </c>
      <c r="F363" s="20">
        <v>4800</v>
      </c>
      <c r="G363" s="22">
        <f t="shared" si="22"/>
        <v>2566.6749270088067</v>
      </c>
      <c r="H363" s="22">
        <v>400</v>
      </c>
      <c r="I363" s="23">
        <v>359</v>
      </c>
    </row>
    <row r="364" spans="2:9" x14ac:dyDescent="0.25">
      <c r="B364" s="22">
        <f t="shared" si="24"/>
        <v>2566.6749270088067</v>
      </c>
      <c r="C364" s="64">
        <v>0.05</v>
      </c>
      <c r="D364" s="22">
        <f t="shared" si="21"/>
        <v>10.694478862536695</v>
      </c>
      <c r="E364" s="22">
        <f t="shared" si="23"/>
        <v>2577.3694058713431</v>
      </c>
      <c r="F364" s="20">
        <v>4800</v>
      </c>
      <c r="G364" s="22">
        <f t="shared" si="22"/>
        <v>2177.3694058713431</v>
      </c>
      <c r="H364" s="22">
        <v>400</v>
      </c>
      <c r="I364" s="23">
        <v>360</v>
      </c>
    </row>
    <row r="365" spans="2:9" x14ac:dyDescent="0.25">
      <c r="B365" s="22">
        <f t="shared" si="24"/>
        <v>2177.3694058713431</v>
      </c>
      <c r="C365" s="64">
        <v>0.05</v>
      </c>
      <c r="D365" s="22">
        <f t="shared" si="21"/>
        <v>9.0723725244639297</v>
      </c>
      <c r="E365" s="22">
        <f t="shared" si="23"/>
        <v>2186.441778395807</v>
      </c>
      <c r="F365" s="20">
        <v>4800</v>
      </c>
      <c r="G365" s="22">
        <f t="shared" si="22"/>
        <v>1786.441778395807</v>
      </c>
      <c r="H365" s="22">
        <v>400</v>
      </c>
      <c r="I365" s="23">
        <v>361</v>
      </c>
    </row>
    <row r="366" spans="2:9" x14ac:dyDescent="0.25">
      <c r="B366" s="22">
        <f t="shared" si="24"/>
        <v>1786.441778395807</v>
      </c>
      <c r="C366" s="64">
        <v>0.05</v>
      </c>
      <c r="D366" s="22">
        <f t="shared" si="21"/>
        <v>7.4435074099825291</v>
      </c>
      <c r="E366" s="22">
        <f t="shared" si="23"/>
        <v>1793.8852858057894</v>
      </c>
      <c r="F366" s="20">
        <v>4800</v>
      </c>
      <c r="G366" s="22">
        <f t="shared" si="22"/>
        <v>1393.8852858057894</v>
      </c>
      <c r="H366" s="22">
        <v>400</v>
      </c>
      <c r="I366" s="23">
        <v>362</v>
      </c>
    </row>
    <row r="367" spans="2:9" x14ac:dyDescent="0.25">
      <c r="B367" s="22">
        <f t="shared" si="24"/>
        <v>1393.8852858057894</v>
      </c>
      <c r="C367" s="64">
        <v>0.05</v>
      </c>
      <c r="D367" s="22">
        <f t="shared" si="21"/>
        <v>5.8078553575241223</v>
      </c>
      <c r="E367" s="22">
        <f t="shared" si="23"/>
        <v>1399.6931411633136</v>
      </c>
      <c r="F367" s="20">
        <v>4800</v>
      </c>
      <c r="G367" s="22">
        <f t="shared" si="22"/>
        <v>999.69314116331361</v>
      </c>
      <c r="H367" s="22">
        <v>400</v>
      </c>
      <c r="I367" s="23">
        <v>363</v>
      </c>
    </row>
    <row r="368" spans="2:9" x14ac:dyDescent="0.25">
      <c r="B368" s="22">
        <f t="shared" si="24"/>
        <v>999.69314116331361</v>
      </c>
      <c r="C368" s="64">
        <v>0.05</v>
      </c>
      <c r="D368" s="22">
        <f t="shared" si="21"/>
        <v>4.1653880881804737</v>
      </c>
      <c r="E368" s="22">
        <f t="shared" si="23"/>
        <v>1003.8585292514941</v>
      </c>
      <c r="F368" s="20">
        <v>4800</v>
      </c>
      <c r="G368" s="22">
        <f t="shared" si="22"/>
        <v>603.85852925149413</v>
      </c>
      <c r="H368" s="22">
        <v>400</v>
      </c>
      <c r="I368" s="23">
        <v>364</v>
      </c>
    </row>
    <row r="369" spans="2:10" x14ac:dyDescent="0.25">
      <c r="B369" s="22">
        <f t="shared" si="24"/>
        <v>603.85852925149413</v>
      </c>
      <c r="C369" s="64">
        <v>0.05</v>
      </c>
      <c r="D369" s="22">
        <f t="shared" si="21"/>
        <v>2.5160772052145588</v>
      </c>
      <c r="E369" s="22">
        <f t="shared" si="23"/>
        <v>606.37460645670865</v>
      </c>
      <c r="F369" s="20">
        <v>4800</v>
      </c>
      <c r="G369" s="22">
        <f t="shared" si="22"/>
        <v>206.37460645670865</v>
      </c>
      <c r="H369" s="22">
        <v>400</v>
      </c>
      <c r="I369" s="23">
        <v>365</v>
      </c>
    </row>
    <row r="370" spans="2:10" x14ac:dyDescent="0.25">
      <c r="B370" s="22">
        <f t="shared" si="24"/>
        <v>206.37460645670865</v>
      </c>
      <c r="C370" s="64">
        <v>0.05</v>
      </c>
      <c r="D370" s="22">
        <f t="shared" si="21"/>
        <v>0.85989419356961938</v>
      </c>
      <c r="E370" s="22">
        <f t="shared" si="23"/>
        <v>207.23450065027828</v>
      </c>
      <c r="F370" s="20">
        <v>4800</v>
      </c>
      <c r="G370" s="22">
        <f t="shared" si="22"/>
        <v>-192.76549934972172</v>
      </c>
      <c r="H370" s="22">
        <v>400</v>
      </c>
      <c r="I370" s="23">
        <v>366</v>
      </c>
      <c r="J370">
        <f>I370/12</f>
        <v>30.5</v>
      </c>
    </row>
    <row r="371" spans="2:10" x14ac:dyDescent="0.25">
      <c r="B371" s="22"/>
      <c r="C371" s="64"/>
      <c r="D371" s="22">
        <f>SUM(D5:D370)</f>
        <v>71207.234500650244</v>
      </c>
      <c r="E371" s="22"/>
      <c r="F371" s="20"/>
      <c r="G371" s="22"/>
      <c r="H371" s="22">
        <f>SUM(H5:H370)</f>
        <v>146400</v>
      </c>
      <c r="I371" s="23"/>
    </row>
    <row r="372" spans="2:10" x14ac:dyDescent="0.25">
      <c r="B372" s="35"/>
      <c r="C372" s="39"/>
      <c r="D372" s="35"/>
      <c r="E372" s="35"/>
      <c r="F372" s="37"/>
      <c r="G372" s="35"/>
      <c r="H372" s="35"/>
      <c r="I372" s="38"/>
    </row>
    <row r="373" spans="2:10" x14ac:dyDescent="0.25">
      <c r="B373" s="35"/>
      <c r="C373" s="39"/>
      <c r="D373" s="35"/>
      <c r="E373" s="35"/>
      <c r="F373" s="37"/>
      <c r="G373" s="35"/>
      <c r="H373" s="35"/>
      <c r="I373" s="38"/>
    </row>
    <row r="374" spans="2:10" x14ac:dyDescent="0.25">
      <c r="B374" s="35"/>
      <c r="C374" s="39"/>
      <c r="D374" s="35"/>
      <c r="E374" s="35"/>
      <c r="F374" s="37"/>
      <c r="G374" s="35"/>
      <c r="H374" s="35"/>
      <c r="I374" s="38"/>
    </row>
    <row r="375" spans="2:10" x14ac:dyDescent="0.25">
      <c r="B375" s="35"/>
      <c r="C375" s="39"/>
      <c r="D375" s="35"/>
      <c r="E375" s="35"/>
      <c r="F375" s="37"/>
      <c r="G375" s="35"/>
      <c r="H375" s="35"/>
      <c r="I375" s="38"/>
    </row>
    <row r="376" spans="2:10" x14ac:dyDescent="0.25">
      <c r="B376" s="35"/>
      <c r="C376" s="39"/>
      <c r="D376" s="35"/>
      <c r="E376" s="35"/>
      <c r="F376" s="37"/>
      <c r="G376" s="35"/>
      <c r="H376" s="35"/>
      <c r="I376" s="38"/>
    </row>
    <row r="377" spans="2:10" x14ac:dyDescent="0.25">
      <c r="B377" s="35"/>
      <c r="C377" s="39"/>
      <c r="D377" s="35"/>
      <c r="E377" s="35"/>
      <c r="F377" s="37"/>
      <c r="G377" s="35"/>
      <c r="H377" s="35"/>
      <c r="I377" s="38"/>
    </row>
    <row r="378" spans="2:10" x14ac:dyDescent="0.25">
      <c r="B378" s="35"/>
      <c r="C378" s="39"/>
      <c r="D378" s="35"/>
      <c r="E378" s="35"/>
      <c r="F378" s="37"/>
      <c r="G378" s="35"/>
      <c r="H378" s="35"/>
      <c r="I378" s="38"/>
    </row>
    <row r="379" spans="2:10" x14ac:dyDescent="0.25">
      <c r="B379" s="35"/>
      <c r="C379" s="39"/>
      <c r="D379" s="35"/>
      <c r="E379" s="35"/>
      <c r="F379" s="37"/>
      <c r="G379" s="35"/>
      <c r="H379" s="35"/>
      <c r="I379" s="38"/>
    </row>
    <row r="380" spans="2:10" x14ac:dyDescent="0.25">
      <c r="B380" s="35"/>
      <c r="C380" s="39"/>
      <c r="D380" s="35"/>
      <c r="E380" s="35"/>
      <c r="F380" s="37"/>
      <c r="G380" s="35"/>
      <c r="H380" s="35"/>
      <c r="I380" s="38"/>
    </row>
    <row r="381" spans="2:10" x14ac:dyDescent="0.25">
      <c r="B381" s="35"/>
      <c r="C381" s="39"/>
      <c r="D381" s="35"/>
      <c r="E381" s="35"/>
      <c r="F381" s="37"/>
      <c r="G381" s="35"/>
      <c r="H381" s="35"/>
      <c r="I381" s="38"/>
    </row>
    <row r="382" spans="2:10" x14ac:dyDescent="0.25">
      <c r="B382" s="35"/>
      <c r="C382" s="39"/>
      <c r="D382" s="35"/>
      <c r="E382" s="35"/>
      <c r="F382" s="37"/>
      <c r="G382" s="35"/>
      <c r="H382" s="35"/>
      <c r="I382" s="38"/>
    </row>
    <row r="383" spans="2:10" x14ac:dyDescent="0.25">
      <c r="B383" s="35"/>
      <c r="C383" s="39"/>
      <c r="D383" s="35"/>
      <c r="E383" s="35"/>
      <c r="F383" s="37"/>
      <c r="G383" s="35"/>
      <c r="H383" s="35"/>
      <c r="I383" s="38"/>
    </row>
    <row r="384" spans="2:10" x14ac:dyDescent="0.25">
      <c r="B384" s="35"/>
      <c r="C384" s="39"/>
      <c r="D384" s="35"/>
      <c r="E384" s="35"/>
      <c r="F384" s="37"/>
      <c r="G384" s="35"/>
      <c r="H384" s="35"/>
      <c r="I384" s="38"/>
    </row>
    <row r="385" spans="2:9" x14ac:dyDescent="0.25">
      <c r="B385" s="35"/>
      <c r="C385" s="39"/>
      <c r="D385" s="35"/>
      <c r="E385" s="35"/>
      <c r="F385" s="37"/>
      <c r="G385" s="35"/>
      <c r="H385" s="35"/>
      <c r="I385" s="38"/>
    </row>
    <row r="386" spans="2:9" x14ac:dyDescent="0.25">
      <c r="B386" s="35"/>
      <c r="C386" s="39"/>
      <c r="D386" s="35"/>
      <c r="E386" s="35"/>
      <c r="F386" s="37"/>
      <c r="G386" s="35"/>
      <c r="H386" s="35"/>
      <c r="I386" s="38"/>
    </row>
    <row r="387" spans="2:9" x14ac:dyDescent="0.25">
      <c r="B387" s="35"/>
      <c r="C387" s="39"/>
      <c r="D387" s="35"/>
      <c r="E387" s="35"/>
      <c r="F387" s="37"/>
      <c r="G387" s="35"/>
      <c r="H387" s="35"/>
      <c r="I387" s="38"/>
    </row>
    <row r="388" spans="2:9" x14ac:dyDescent="0.25">
      <c r="B388" s="35"/>
      <c r="C388" s="39"/>
      <c r="D388" s="35"/>
      <c r="E388" s="35"/>
      <c r="F388" s="37"/>
      <c r="G388" s="35"/>
      <c r="H388" s="35"/>
      <c r="I388" s="38"/>
    </row>
    <row r="389" spans="2:9" x14ac:dyDescent="0.25">
      <c r="B389" s="35"/>
      <c r="C389" s="39"/>
      <c r="D389" s="35"/>
      <c r="E389" s="35"/>
      <c r="F389" s="37"/>
      <c r="G389" s="35"/>
      <c r="H389" s="35"/>
      <c r="I389" s="38"/>
    </row>
    <row r="390" spans="2:9" x14ac:dyDescent="0.25">
      <c r="B390" s="35"/>
      <c r="C390" s="39"/>
      <c r="D390" s="35"/>
      <c r="E390" s="35"/>
      <c r="F390" s="37"/>
      <c r="G390" s="35"/>
      <c r="H390" s="35"/>
      <c r="I390" s="38"/>
    </row>
    <row r="391" spans="2:9" x14ac:dyDescent="0.25">
      <c r="B391" s="35"/>
      <c r="C391" s="39"/>
      <c r="D391" s="35"/>
      <c r="E391" s="35"/>
      <c r="F391" s="37"/>
      <c r="G391" s="35"/>
      <c r="H391" s="35"/>
      <c r="I391" s="38"/>
    </row>
    <row r="392" spans="2:9" x14ac:dyDescent="0.25">
      <c r="B392" s="35"/>
      <c r="C392" s="39"/>
      <c r="D392" s="35"/>
      <c r="E392" s="35"/>
      <c r="F392" s="37"/>
      <c r="G392" s="35"/>
      <c r="H392" s="35"/>
      <c r="I392" s="38"/>
    </row>
    <row r="393" spans="2:9" x14ac:dyDescent="0.25">
      <c r="B393" s="35"/>
      <c r="C393" s="39"/>
      <c r="D393" s="35"/>
      <c r="E393" s="35"/>
      <c r="F393" s="37"/>
      <c r="G393" s="35"/>
      <c r="H393" s="35"/>
      <c r="I393" s="38"/>
    </row>
    <row r="394" spans="2:9" x14ac:dyDescent="0.25">
      <c r="B394" s="35"/>
      <c r="C394" s="39"/>
      <c r="D394" s="35"/>
      <c r="E394" s="35"/>
      <c r="F394" s="37"/>
      <c r="G394" s="35"/>
      <c r="H394" s="35"/>
      <c r="I394" s="38"/>
    </row>
    <row r="395" spans="2:9" x14ac:dyDescent="0.25">
      <c r="B395" s="35"/>
      <c r="C395" s="39"/>
      <c r="D395" s="35"/>
      <c r="E395" s="35"/>
      <c r="F395" s="37"/>
      <c r="G395" s="35"/>
      <c r="H395" s="35"/>
      <c r="I395" s="38"/>
    </row>
    <row r="396" spans="2:9" x14ac:dyDescent="0.25">
      <c r="B396" s="35"/>
      <c r="C396" s="39"/>
      <c r="D396" s="35"/>
      <c r="E396" s="35"/>
      <c r="F396" s="37"/>
      <c r="G396" s="35"/>
      <c r="H396" s="35"/>
      <c r="I396" s="38"/>
    </row>
    <row r="397" spans="2:9" x14ac:dyDescent="0.25">
      <c r="B397" s="35"/>
      <c r="C397" s="39"/>
      <c r="D397" s="35"/>
      <c r="E397" s="35"/>
      <c r="F397" s="37"/>
      <c r="G397" s="35"/>
      <c r="H397" s="35"/>
      <c r="I397" s="38"/>
    </row>
    <row r="398" spans="2:9" x14ac:dyDescent="0.25">
      <c r="B398" s="35"/>
      <c r="C398" s="39"/>
      <c r="D398" s="35"/>
      <c r="E398" s="35"/>
      <c r="F398" s="37"/>
      <c r="G398" s="35"/>
      <c r="H398" s="35"/>
      <c r="I398" s="38"/>
    </row>
    <row r="399" spans="2:9" x14ac:dyDescent="0.25">
      <c r="B399" s="35"/>
      <c r="C399" s="39"/>
      <c r="D399" s="35"/>
      <c r="E399" s="35"/>
      <c r="F399" s="37"/>
      <c r="G399" s="35"/>
      <c r="H399" s="35"/>
      <c r="I399" s="38"/>
    </row>
    <row r="400" spans="2:9" x14ac:dyDescent="0.25">
      <c r="B400" s="35"/>
      <c r="C400" s="39"/>
      <c r="D400" s="35"/>
      <c r="E400" s="35"/>
      <c r="F400" s="37"/>
      <c r="G400" s="35"/>
      <c r="H400" s="35"/>
      <c r="I400" s="38"/>
    </row>
    <row r="401" spans="2:9" x14ac:dyDescent="0.25">
      <c r="B401" s="35"/>
      <c r="C401" s="39"/>
      <c r="D401" s="35"/>
      <c r="E401" s="35"/>
      <c r="F401" s="37"/>
      <c r="G401" s="35"/>
      <c r="H401" s="35"/>
      <c r="I401" s="38"/>
    </row>
    <row r="402" spans="2:9" x14ac:dyDescent="0.25">
      <c r="B402" s="35"/>
      <c r="C402" s="39"/>
      <c r="D402" s="35"/>
      <c r="E402" s="35"/>
      <c r="F402" s="37"/>
      <c r="G402" s="35"/>
      <c r="H402" s="35"/>
      <c r="I402" s="38"/>
    </row>
    <row r="403" spans="2:9" x14ac:dyDescent="0.25">
      <c r="B403" s="35"/>
      <c r="C403" s="39"/>
      <c r="D403" s="35"/>
      <c r="E403" s="35"/>
      <c r="F403" s="37"/>
      <c r="G403" s="35"/>
      <c r="H403" s="35"/>
      <c r="I403" s="38"/>
    </row>
    <row r="404" spans="2:9" x14ac:dyDescent="0.25">
      <c r="B404" s="35"/>
      <c r="C404" s="39"/>
      <c r="D404" s="35"/>
      <c r="E404" s="35"/>
      <c r="F404" s="37"/>
      <c r="G404" s="35"/>
      <c r="H404" s="35"/>
      <c r="I404" s="38"/>
    </row>
    <row r="405" spans="2:9" x14ac:dyDescent="0.25">
      <c r="B405" s="35"/>
      <c r="C405" s="39"/>
      <c r="D405" s="35"/>
      <c r="E405" s="35"/>
      <c r="F405" s="37"/>
      <c r="G405" s="35"/>
      <c r="H405" s="35"/>
      <c r="I405" s="38"/>
    </row>
    <row r="406" spans="2:9" x14ac:dyDescent="0.25">
      <c r="B406" s="35"/>
      <c r="C406" s="39"/>
      <c r="D406" s="35"/>
      <c r="E406" s="35"/>
      <c r="F406" s="37"/>
      <c r="G406" s="35"/>
      <c r="H406" s="35"/>
      <c r="I406" s="38"/>
    </row>
    <row r="407" spans="2:9" x14ac:dyDescent="0.25">
      <c r="B407" s="35"/>
      <c r="C407" s="39"/>
      <c r="D407" s="35"/>
      <c r="E407" s="35"/>
      <c r="F407" s="37"/>
      <c r="G407" s="35"/>
      <c r="H407" s="35"/>
      <c r="I407" s="38"/>
    </row>
    <row r="408" spans="2:9" x14ac:dyDescent="0.25">
      <c r="B408" s="35"/>
      <c r="C408" s="39"/>
      <c r="D408" s="35"/>
      <c r="E408" s="35"/>
      <c r="F408" s="37"/>
      <c r="G408" s="35"/>
      <c r="H408" s="35"/>
      <c r="I408" s="38"/>
    </row>
    <row r="409" spans="2:9" x14ac:dyDescent="0.25">
      <c r="B409" s="35"/>
      <c r="C409" s="39"/>
      <c r="D409" s="35"/>
      <c r="E409" s="35"/>
      <c r="F409" s="37"/>
      <c r="G409" s="35"/>
      <c r="H409" s="35"/>
      <c r="I409" s="38"/>
    </row>
    <row r="410" spans="2:9" x14ac:dyDescent="0.25">
      <c r="B410" s="35"/>
      <c r="C410" s="39"/>
      <c r="D410" s="35"/>
      <c r="E410" s="35"/>
      <c r="F410" s="37"/>
      <c r="G410" s="35"/>
      <c r="H410" s="35"/>
      <c r="I410" s="38"/>
    </row>
    <row r="411" spans="2:9" x14ac:dyDescent="0.25">
      <c r="B411" s="35"/>
      <c r="C411" s="39"/>
      <c r="D411" s="35"/>
      <c r="E411" s="35"/>
      <c r="F411" s="37"/>
      <c r="G411" s="35"/>
      <c r="H411" s="35"/>
      <c r="I411" s="38"/>
    </row>
    <row r="412" spans="2:9" x14ac:dyDescent="0.25">
      <c r="B412" s="35"/>
      <c r="C412" s="39"/>
      <c r="D412" s="35"/>
      <c r="E412" s="35"/>
      <c r="F412" s="37"/>
      <c r="G412" s="35"/>
      <c r="H412" s="35"/>
      <c r="I412" s="38"/>
    </row>
    <row r="413" spans="2:9" x14ac:dyDescent="0.25">
      <c r="B413" s="35"/>
      <c r="C413" s="39"/>
      <c r="D413" s="35"/>
      <c r="E413" s="35"/>
      <c r="F413" s="37"/>
      <c r="G413" s="35"/>
      <c r="H413" s="35"/>
      <c r="I413" s="38"/>
    </row>
    <row r="414" spans="2:9" x14ac:dyDescent="0.25">
      <c r="B414" s="35"/>
      <c r="C414" s="39"/>
      <c r="D414" s="35"/>
      <c r="E414" s="35"/>
      <c r="F414" s="37"/>
      <c r="G414" s="35"/>
      <c r="H414" s="35"/>
      <c r="I414" s="38"/>
    </row>
    <row r="415" spans="2:9" x14ac:dyDescent="0.25">
      <c r="B415" s="35"/>
      <c r="C415" s="39"/>
      <c r="D415" s="35"/>
      <c r="E415" s="35"/>
      <c r="F415" s="37"/>
      <c r="G415" s="35"/>
      <c r="H415" s="35"/>
      <c r="I415" s="38"/>
    </row>
    <row r="416" spans="2:9" x14ac:dyDescent="0.25">
      <c r="B416" s="35"/>
      <c r="C416" s="39"/>
      <c r="D416" s="35"/>
      <c r="E416" s="35"/>
      <c r="F416" s="37"/>
      <c r="G416" s="35"/>
      <c r="H416" s="35"/>
      <c r="I416" s="38"/>
    </row>
    <row r="417" spans="2:10" x14ac:dyDescent="0.25">
      <c r="B417" s="35"/>
      <c r="C417" s="39"/>
      <c r="D417" s="35"/>
      <c r="E417" s="35"/>
      <c r="F417" s="37"/>
      <c r="G417" s="35"/>
      <c r="H417" s="35"/>
      <c r="I417" s="38"/>
    </row>
    <row r="418" spans="2:10" x14ac:dyDescent="0.25">
      <c r="B418" s="35"/>
      <c r="C418" s="39"/>
      <c r="D418" s="35"/>
      <c r="E418" s="35"/>
      <c r="F418" s="37"/>
      <c r="G418" s="35"/>
      <c r="H418" s="35"/>
      <c r="I418" s="38"/>
      <c r="J418">
        <f>I418/12</f>
        <v>0</v>
      </c>
    </row>
    <row r="419" spans="2:10" x14ac:dyDescent="0.25">
      <c r="B419" s="40"/>
      <c r="C419" s="40"/>
      <c r="D419" s="40"/>
      <c r="E419" s="40"/>
      <c r="F419" s="40"/>
      <c r="G419" s="40"/>
      <c r="H419" s="40"/>
      <c r="I419" s="40"/>
    </row>
    <row r="420" spans="2:10" x14ac:dyDescent="0.25">
      <c r="B420" s="40"/>
      <c r="C420" s="40"/>
      <c r="D420" s="40"/>
      <c r="E420" s="40"/>
      <c r="F420" s="40"/>
      <c r="G420" s="40"/>
      <c r="H420" s="40"/>
      <c r="I420" s="40"/>
    </row>
    <row r="421" spans="2:10" x14ac:dyDescent="0.25">
      <c r="B421" s="40"/>
      <c r="C421" s="40"/>
      <c r="D421" s="40"/>
      <c r="E421" s="40"/>
      <c r="F421" s="40"/>
      <c r="G421" s="40"/>
      <c r="H421" s="40"/>
      <c r="I421" s="40"/>
    </row>
    <row r="422" spans="2:10" x14ac:dyDescent="0.25">
      <c r="B422" s="40"/>
      <c r="C422" s="40"/>
      <c r="D422" s="40"/>
      <c r="E422" s="40"/>
      <c r="F422" s="40"/>
      <c r="G422" s="40"/>
      <c r="H422" s="40"/>
      <c r="I422" s="40"/>
    </row>
    <row r="423" spans="2:10" x14ac:dyDescent="0.25">
      <c r="B423" s="40"/>
      <c r="C423" s="40"/>
      <c r="D423" s="40"/>
      <c r="E423" s="40"/>
      <c r="F423" s="40"/>
      <c r="G423" s="40"/>
      <c r="H423" s="40"/>
      <c r="I423" s="40"/>
    </row>
    <row r="424" spans="2:10" x14ac:dyDescent="0.25">
      <c r="B424" s="40"/>
      <c r="C424" s="40"/>
      <c r="D424" s="40"/>
      <c r="E424" s="40"/>
      <c r="F424" s="40"/>
      <c r="G424" s="40"/>
      <c r="H424" s="40"/>
      <c r="I424" s="40"/>
    </row>
    <row r="425" spans="2:10" x14ac:dyDescent="0.25">
      <c r="B425" s="40"/>
      <c r="C425" s="40"/>
      <c r="D425" s="40"/>
      <c r="E425" s="40"/>
      <c r="F425" s="40"/>
      <c r="G425" s="40"/>
      <c r="H425" s="40"/>
      <c r="I425" s="40"/>
    </row>
    <row r="426" spans="2:10" x14ac:dyDescent="0.25">
      <c r="B426" s="40"/>
      <c r="C426" s="40"/>
      <c r="D426" s="40"/>
      <c r="E426" s="40"/>
      <c r="F426" s="40"/>
      <c r="G426" s="40"/>
      <c r="H426" s="40"/>
      <c r="I426" s="40"/>
    </row>
    <row r="427" spans="2:10" x14ac:dyDescent="0.25">
      <c r="B427" s="40"/>
      <c r="C427" s="40"/>
      <c r="D427" s="40"/>
      <c r="E427" s="40"/>
      <c r="F427" s="40"/>
      <c r="G427" s="40"/>
      <c r="H427" s="40"/>
      <c r="I427" s="40"/>
    </row>
    <row r="428" spans="2:10" x14ac:dyDescent="0.25">
      <c r="B428" s="40"/>
      <c r="C428" s="40"/>
      <c r="D428" s="40"/>
      <c r="E428" s="40"/>
      <c r="F428" s="40"/>
      <c r="G428" s="40"/>
      <c r="H428" s="40"/>
      <c r="I428" s="40"/>
    </row>
    <row r="429" spans="2:10" x14ac:dyDescent="0.25">
      <c r="B429" s="40"/>
      <c r="C429" s="40"/>
      <c r="D429" s="40"/>
      <c r="E429" s="40"/>
      <c r="F429" s="40"/>
      <c r="G429" s="40"/>
      <c r="H429" s="40"/>
      <c r="I429" s="40"/>
    </row>
    <row r="430" spans="2:10" x14ac:dyDescent="0.25">
      <c r="B430" s="40"/>
      <c r="C430" s="40"/>
      <c r="D430" s="40"/>
      <c r="E430" s="40"/>
      <c r="F430" s="40"/>
      <c r="G430" s="40"/>
      <c r="H430" s="40"/>
      <c r="I430" s="40"/>
    </row>
    <row r="431" spans="2:10" x14ac:dyDescent="0.25">
      <c r="B431" s="40"/>
      <c r="C431" s="40"/>
      <c r="D431" s="40"/>
      <c r="E431" s="40"/>
      <c r="F431" s="40"/>
      <c r="G431" s="40"/>
      <c r="H431" s="40"/>
      <c r="I431" s="40"/>
    </row>
    <row r="432" spans="2:10" x14ac:dyDescent="0.25">
      <c r="B432" s="40"/>
      <c r="C432" s="40"/>
      <c r="D432" s="40"/>
      <c r="E432" s="40"/>
      <c r="F432" s="40"/>
      <c r="G432" s="40"/>
      <c r="H432" s="40"/>
      <c r="I432" s="40"/>
    </row>
    <row r="433" spans="2:9" x14ac:dyDescent="0.25">
      <c r="B433" s="40"/>
      <c r="C433" s="40"/>
      <c r="D433" s="40"/>
      <c r="E433" s="40"/>
      <c r="F433" s="40"/>
      <c r="G433" s="40"/>
      <c r="H433" s="40"/>
      <c r="I433" s="40"/>
    </row>
    <row r="434" spans="2:9" x14ac:dyDescent="0.25">
      <c r="B434" s="40"/>
      <c r="C434" s="40"/>
      <c r="D434" s="40"/>
      <c r="E434" s="40"/>
      <c r="F434" s="40"/>
      <c r="G434" s="40"/>
      <c r="H434" s="40"/>
      <c r="I434" s="40"/>
    </row>
    <row r="435" spans="2:9" x14ac:dyDescent="0.25">
      <c r="B435" s="40"/>
      <c r="C435" s="40"/>
      <c r="D435" s="40"/>
      <c r="E435" s="40"/>
      <c r="F435" s="40"/>
      <c r="G435" s="40"/>
      <c r="H435" s="40"/>
      <c r="I435" s="40"/>
    </row>
    <row r="436" spans="2:9" x14ac:dyDescent="0.25">
      <c r="B436" s="40"/>
      <c r="C436" s="40"/>
      <c r="D436" s="40"/>
      <c r="E436" s="40"/>
      <c r="F436" s="40"/>
      <c r="G436" s="40"/>
      <c r="H436" s="40"/>
      <c r="I436" s="40"/>
    </row>
    <row r="437" spans="2:9" x14ac:dyDescent="0.25">
      <c r="B437" s="40"/>
      <c r="C437" s="40"/>
      <c r="D437" s="40"/>
      <c r="E437" s="40"/>
      <c r="F437" s="40"/>
      <c r="G437" s="40"/>
      <c r="H437" s="40"/>
      <c r="I437" s="40"/>
    </row>
    <row r="438" spans="2:9" x14ac:dyDescent="0.25">
      <c r="B438" s="40"/>
      <c r="C438" s="40"/>
      <c r="D438" s="40"/>
      <c r="E438" s="40"/>
      <c r="F438" s="40"/>
      <c r="G438" s="40"/>
      <c r="H438" s="40"/>
      <c r="I438" s="40"/>
    </row>
    <row r="439" spans="2:9" x14ac:dyDescent="0.25">
      <c r="B439" s="40"/>
      <c r="C439" s="40"/>
      <c r="D439" s="40"/>
      <c r="E439" s="40"/>
      <c r="F439" s="40"/>
      <c r="G439" s="40"/>
      <c r="H439" s="40"/>
      <c r="I439" s="40"/>
    </row>
    <row r="440" spans="2:9" x14ac:dyDescent="0.25">
      <c r="B440" s="40"/>
      <c r="C440" s="40"/>
      <c r="D440" s="40"/>
      <c r="E440" s="40"/>
      <c r="F440" s="40"/>
      <c r="G440" s="40"/>
      <c r="H440" s="40"/>
      <c r="I440" s="40"/>
    </row>
    <row r="441" spans="2:9" x14ac:dyDescent="0.25">
      <c r="B441" s="40"/>
      <c r="C441" s="40"/>
      <c r="D441" s="40"/>
      <c r="E441" s="40"/>
      <c r="F441" s="40"/>
      <c r="G441" s="40"/>
      <c r="H441" s="40"/>
      <c r="I441" s="40"/>
    </row>
    <row r="442" spans="2:9" x14ac:dyDescent="0.25">
      <c r="B442" s="40"/>
      <c r="C442" s="40"/>
      <c r="D442" s="40"/>
      <c r="E442" s="40"/>
      <c r="F442" s="40"/>
      <c r="G442" s="40"/>
      <c r="H442" s="40"/>
      <c r="I442" s="40"/>
    </row>
    <row r="443" spans="2:9" x14ac:dyDescent="0.25">
      <c r="B443" s="40"/>
      <c r="C443" s="40"/>
      <c r="D443" s="40"/>
      <c r="E443" s="40"/>
      <c r="F443" s="40"/>
      <c r="G443" s="40"/>
      <c r="H443" s="40"/>
      <c r="I443" s="40"/>
    </row>
    <row r="444" spans="2:9" x14ac:dyDescent="0.25">
      <c r="B444" s="40"/>
      <c r="C444" s="40"/>
      <c r="D444" s="40"/>
      <c r="E444" s="40"/>
      <c r="F444" s="40"/>
      <c r="G444" s="40"/>
      <c r="H444" s="40"/>
      <c r="I444" s="40"/>
    </row>
    <row r="445" spans="2:9" x14ac:dyDescent="0.25">
      <c r="B445" s="40"/>
      <c r="C445" s="40"/>
      <c r="D445" s="40"/>
      <c r="E445" s="40"/>
      <c r="F445" s="40"/>
      <c r="G445" s="40"/>
      <c r="H445" s="40"/>
      <c r="I445" s="40"/>
    </row>
    <row r="446" spans="2:9" x14ac:dyDescent="0.25">
      <c r="B446" s="40"/>
      <c r="C446" s="40"/>
      <c r="D446" s="40"/>
      <c r="E446" s="40"/>
      <c r="F446" s="40"/>
      <c r="G446" s="40"/>
      <c r="H446" s="40"/>
      <c r="I446" s="40"/>
    </row>
    <row r="447" spans="2:9" x14ac:dyDescent="0.25">
      <c r="B447" s="40"/>
      <c r="C447" s="40"/>
      <c r="D447" s="40"/>
      <c r="E447" s="40"/>
      <c r="F447" s="40"/>
      <c r="G447" s="40"/>
      <c r="H447" s="40"/>
      <c r="I447" s="40"/>
    </row>
    <row r="448" spans="2:9" x14ac:dyDescent="0.25">
      <c r="B448" s="40"/>
      <c r="C448" s="40"/>
      <c r="D448" s="40"/>
      <c r="E448" s="40"/>
      <c r="F448" s="40"/>
      <c r="G448" s="40"/>
      <c r="H448" s="40"/>
      <c r="I448" s="40"/>
    </row>
    <row r="449" spans="2:9" x14ac:dyDescent="0.25">
      <c r="B449" s="40"/>
      <c r="C449" s="40"/>
      <c r="D449" s="40"/>
      <c r="E449" s="40"/>
      <c r="F449" s="40"/>
      <c r="G449" s="40"/>
      <c r="H449" s="40"/>
      <c r="I449" s="40"/>
    </row>
    <row r="450" spans="2:9" x14ac:dyDescent="0.25">
      <c r="B450" s="40"/>
      <c r="C450" s="40"/>
      <c r="D450" s="40"/>
      <c r="E450" s="40"/>
      <c r="F450" s="40"/>
      <c r="G450" s="40"/>
      <c r="H450" s="40"/>
      <c r="I450" s="40"/>
    </row>
    <row r="451" spans="2:9" x14ac:dyDescent="0.25">
      <c r="B451" s="40"/>
      <c r="C451" s="40"/>
      <c r="D451" s="40"/>
      <c r="E451" s="40"/>
      <c r="F451" s="40"/>
      <c r="G451" s="40"/>
      <c r="H451" s="40"/>
      <c r="I451" s="40"/>
    </row>
    <row r="452" spans="2:9" x14ac:dyDescent="0.25">
      <c r="B452" s="40"/>
      <c r="C452" s="40"/>
      <c r="D452" s="40"/>
      <c r="E452" s="40"/>
      <c r="F452" s="40"/>
      <c r="G452" s="40"/>
      <c r="H452" s="40"/>
      <c r="I452" s="40"/>
    </row>
    <row r="453" spans="2:9" x14ac:dyDescent="0.25">
      <c r="B453" s="40"/>
      <c r="C453" s="40"/>
      <c r="D453" s="40"/>
      <c r="E453" s="40"/>
      <c r="F453" s="40"/>
      <c r="G453" s="40"/>
      <c r="H453" s="40"/>
      <c r="I453" s="40"/>
    </row>
    <row r="454" spans="2:9" x14ac:dyDescent="0.25">
      <c r="B454" s="40"/>
      <c r="C454" s="40"/>
      <c r="D454" s="40"/>
      <c r="E454" s="40"/>
      <c r="F454" s="40"/>
      <c r="G454" s="40"/>
      <c r="H454" s="40"/>
      <c r="I454" s="40"/>
    </row>
    <row r="455" spans="2:9" x14ac:dyDescent="0.25">
      <c r="B455" s="40"/>
      <c r="C455" s="40"/>
      <c r="D455" s="40"/>
      <c r="E455" s="40"/>
      <c r="F455" s="40"/>
      <c r="G455" s="40"/>
      <c r="H455" s="40"/>
      <c r="I455" s="40"/>
    </row>
    <row r="456" spans="2:9" x14ac:dyDescent="0.25">
      <c r="B456" s="40"/>
      <c r="C456" s="40"/>
      <c r="D456" s="40"/>
      <c r="E456" s="40"/>
      <c r="F456" s="40"/>
      <c r="G456" s="40"/>
      <c r="H456" s="40"/>
      <c r="I456" s="40"/>
    </row>
    <row r="457" spans="2:9" x14ac:dyDescent="0.25">
      <c r="B457" s="40"/>
      <c r="C457" s="40"/>
      <c r="D457" s="40"/>
      <c r="E457" s="40"/>
      <c r="F457" s="40"/>
      <c r="G457" s="40"/>
      <c r="H457" s="40"/>
      <c r="I457" s="40"/>
    </row>
    <row r="458" spans="2:9" x14ac:dyDescent="0.25">
      <c r="B458" s="40"/>
      <c r="C458" s="40"/>
      <c r="D458" s="40"/>
      <c r="E458" s="40"/>
      <c r="F458" s="40"/>
      <c r="G458" s="40"/>
      <c r="H458" s="40"/>
      <c r="I458" s="40"/>
    </row>
    <row r="459" spans="2:9" x14ac:dyDescent="0.25">
      <c r="B459" s="40"/>
      <c r="C459" s="40"/>
      <c r="D459" s="40"/>
      <c r="E459" s="40"/>
      <c r="F459" s="40"/>
      <c r="G459" s="40"/>
      <c r="H459" s="40"/>
      <c r="I459" s="40"/>
    </row>
    <row r="460" spans="2:9" x14ac:dyDescent="0.25">
      <c r="B460" s="40"/>
      <c r="C460" s="40"/>
      <c r="D460" s="40"/>
      <c r="E460" s="40"/>
      <c r="F460" s="40"/>
      <c r="G460" s="40"/>
      <c r="H460" s="40"/>
      <c r="I460" s="40"/>
    </row>
    <row r="461" spans="2:9" x14ac:dyDescent="0.25">
      <c r="B461" s="40"/>
      <c r="C461" s="40"/>
      <c r="D461" s="40"/>
      <c r="E461" s="40"/>
      <c r="F461" s="40"/>
      <c r="G461" s="40"/>
      <c r="H461" s="40"/>
      <c r="I461" s="40"/>
    </row>
    <row r="462" spans="2:9" x14ac:dyDescent="0.25">
      <c r="B462" s="40"/>
      <c r="C462" s="40"/>
      <c r="D462" s="40"/>
      <c r="E462" s="40"/>
      <c r="F462" s="40"/>
      <c r="G462" s="40"/>
      <c r="H462" s="40"/>
      <c r="I462" s="40"/>
    </row>
    <row r="463" spans="2:9" x14ac:dyDescent="0.25">
      <c r="B463" s="40"/>
      <c r="C463" s="40"/>
      <c r="D463" s="40"/>
      <c r="E463" s="40"/>
      <c r="F463" s="40"/>
      <c r="G463" s="40"/>
      <c r="H463" s="40"/>
      <c r="I463" s="40"/>
    </row>
    <row r="464" spans="2:9" x14ac:dyDescent="0.25">
      <c r="B464" s="40"/>
      <c r="C464" s="40"/>
      <c r="D464" s="40"/>
      <c r="E464" s="40"/>
      <c r="F464" s="40"/>
      <c r="G464" s="40"/>
      <c r="H464" s="40"/>
      <c r="I464" s="40"/>
    </row>
    <row r="465" spans="2:9" x14ac:dyDescent="0.25">
      <c r="B465" s="40"/>
      <c r="C465" s="40"/>
      <c r="D465" s="40"/>
      <c r="E465" s="40"/>
      <c r="F465" s="40"/>
      <c r="G465" s="40"/>
      <c r="H465" s="40"/>
      <c r="I465" s="40"/>
    </row>
    <row r="466" spans="2:9" x14ac:dyDescent="0.25">
      <c r="B466" s="40"/>
      <c r="C466" s="40"/>
      <c r="D466" s="40"/>
      <c r="E466" s="40"/>
      <c r="F466" s="40"/>
      <c r="G466" s="40"/>
      <c r="H466" s="40"/>
      <c r="I466" s="40"/>
    </row>
    <row r="467" spans="2:9" x14ac:dyDescent="0.25">
      <c r="B467" s="40"/>
      <c r="C467" s="40"/>
      <c r="D467" s="40"/>
      <c r="E467" s="40"/>
      <c r="F467" s="40"/>
      <c r="G467" s="40"/>
      <c r="H467" s="40"/>
      <c r="I467" s="40"/>
    </row>
    <row r="468" spans="2:9" x14ac:dyDescent="0.25">
      <c r="B468" s="40"/>
      <c r="C468" s="40"/>
      <c r="D468" s="40"/>
      <c r="E468" s="40"/>
      <c r="F468" s="40"/>
      <c r="G468" s="40"/>
      <c r="H468" s="40"/>
      <c r="I468" s="40"/>
    </row>
    <row r="469" spans="2:9" x14ac:dyDescent="0.25">
      <c r="B469" s="40"/>
      <c r="C469" s="40"/>
      <c r="D469" s="40"/>
      <c r="E469" s="40"/>
      <c r="F469" s="40"/>
      <c r="G469" s="40"/>
      <c r="H469" s="40"/>
      <c r="I469" s="40"/>
    </row>
    <row r="470" spans="2:9" x14ac:dyDescent="0.25">
      <c r="B470" s="40"/>
      <c r="C470" s="40"/>
      <c r="D470" s="40"/>
      <c r="E470" s="40"/>
      <c r="F470" s="40"/>
      <c r="G470" s="40"/>
      <c r="H470" s="40"/>
      <c r="I470" s="40"/>
    </row>
    <row r="471" spans="2:9" x14ac:dyDescent="0.25">
      <c r="B471" s="40"/>
      <c r="C471" s="40"/>
      <c r="D471" s="40"/>
      <c r="E471" s="40"/>
      <c r="F471" s="40"/>
      <c r="G471" s="40"/>
      <c r="H471" s="40"/>
      <c r="I471" s="40"/>
    </row>
  </sheetData>
  <pageMargins left="0.7" right="0.7" top="0.75" bottom="0.75" header="0.3" footer="0.3"/>
  <pageSetup scale="70" fitToWidth="0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J387"/>
  <sheetViews>
    <sheetView topLeftCell="A323" workbookViewId="0">
      <selection activeCell="I347" sqref="I347"/>
    </sheetView>
  </sheetViews>
  <sheetFormatPr defaultRowHeight="15" x14ac:dyDescent="0.25"/>
  <cols>
    <col min="2" max="2" width="14.85546875" bestFit="1" customWidth="1"/>
    <col min="3" max="3" width="7.42578125" bestFit="1" customWidth="1"/>
    <col min="4" max="4" width="12.28515625" bestFit="1" customWidth="1"/>
    <col min="5" max="5" width="14.28515625" bestFit="1" customWidth="1"/>
    <col min="6" max="7" width="11.5703125" bestFit="1" customWidth="1"/>
    <col min="8" max="8" width="15.7109375" bestFit="1" customWidth="1"/>
    <col min="9" max="9" width="4.7109375" bestFit="1" customWidth="1"/>
  </cols>
  <sheetData>
    <row r="3" spans="2:9" x14ac:dyDescent="0.25"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5" t="s">
        <v>14</v>
      </c>
      <c r="I3" s="4" t="s">
        <v>15</v>
      </c>
    </row>
    <row r="4" spans="2:9" x14ac:dyDescent="0.25">
      <c r="B4" s="13"/>
      <c r="C4" s="13"/>
      <c r="D4" s="13"/>
      <c r="E4" s="13"/>
      <c r="F4" s="13"/>
      <c r="G4" s="13"/>
      <c r="H4" s="13"/>
    </row>
    <row r="5" spans="2:9" x14ac:dyDescent="0.25">
      <c r="B5" s="20">
        <v>230000</v>
      </c>
      <c r="C5" s="21">
        <v>0.03</v>
      </c>
      <c r="D5" s="22">
        <f>B5*(0.03/12)</f>
        <v>575</v>
      </c>
      <c r="E5" s="22">
        <f>B5+D5</f>
        <v>230575</v>
      </c>
      <c r="F5" s="20">
        <f>H5*12</f>
        <v>12000</v>
      </c>
      <c r="G5" s="22">
        <f>E5-H5</f>
        <v>229575</v>
      </c>
      <c r="H5" s="22">
        <v>1000</v>
      </c>
      <c r="I5" s="23">
        <v>1</v>
      </c>
    </row>
    <row r="6" spans="2:9" x14ac:dyDescent="0.25">
      <c r="B6" s="22">
        <f>G5</f>
        <v>229575</v>
      </c>
      <c r="C6" s="21">
        <v>0.03</v>
      </c>
      <c r="D6" s="22">
        <f t="shared" ref="D6:D69" si="0">B6*(0.03/12)</f>
        <v>573.9375</v>
      </c>
      <c r="E6" s="22">
        <f>B6+D6</f>
        <v>230148.9375</v>
      </c>
      <c r="F6" s="20">
        <f t="shared" ref="F6:F32" si="1">H6*12</f>
        <v>12000</v>
      </c>
      <c r="G6" s="22">
        <f t="shared" ref="G6:G69" si="2">E6-H6</f>
        <v>229148.9375</v>
      </c>
      <c r="H6" s="22">
        <v>1000</v>
      </c>
      <c r="I6" s="23">
        <v>2</v>
      </c>
    </row>
    <row r="7" spans="2:9" x14ac:dyDescent="0.25">
      <c r="B7" s="22">
        <f>G6</f>
        <v>229148.9375</v>
      </c>
      <c r="C7" s="21">
        <v>0.03</v>
      </c>
      <c r="D7" s="22">
        <f t="shared" si="0"/>
        <v>572.87234375000003</v>
      </c>
      <c r="E7" s="22">
        <f t="shared" ref="E7:E70" si="3">B7+D7</f>
        <v>229721.80984375</v>
      </c>
      <c r="F7" s="20">
        <f t="shared" si="1"/>
        <v>12000</v>
      </c>
      <c r="G7" s="22">
        <f t="shared" si="2"/>
        <v>228721.80984375</v>
      </c>
      <c r="H7" s="22">
        <v>1000</v>
      </c>
      <c r="I7" s="23">
        <v>3</v>
      </c>
    </row>
    <row r="8" spans="2:9" x14ac:dyDescent="0.25">
      <c r="B8" s="22">
        <f t="shared" ref="B8:B27" si="4">G7</f>
        <v>228721.80984375</v>
      </c>
      <c r="C8" s="21">
        <v>0.03</v>
      </c>
      <c r="D8" s="22">
        <f t="shared" si="0"/>
        <v>571.80452460937499</v>
      </c>
      <c r="E8" s="22">
        <f t="shared" si="3"/>
        <v>229293.61436835938</v>
      </c>
      <c r="F8" s="20">
        <f t="shared" si="1"/>
        <v>12000</v>
      </c>
      <c r="G8" s="22">
        <f t="shared" si="2"/>
        <v>228293.61436835938</v>
      </c>
      <c r="H8" s="22">
        <v>1000</v>
      </c>
      <c r="I8" s="23">
        <v>4</v>
      </c>
    </row>
    <row r="9" spans="2:9" x14ac:dyDescent="0.25">
      <c r="B9" s="22">
        <f t="shared" si="4"/>
        <v>228293.61436835938</v>
      </c>
      <c r="C9" s="21">
        <v>0.03</v>
      </c>
      <c r="D9" s="22">
        <f t="shared" si="0"/>
        <v>570.73403592089846</v>
      </c>
      <c r="E9" s="22">
        <f t="shared" si="3"/>
        <v>228864.34840428029</v>
      </c>
      <c r="F9" s="20">
        <f t="shared" si="1"/>
        <v>12000</v>
      </c>
      <c r="G9" s="22">
        <f t="shared" si="2"/>
        <v>227864.34840428029</v>
      </c>
      <c r="H9" s="22">
        <v>1000</v>
      </c>
      <c r="I9" s="23">
        <v>5</v>
      </c>
    </row>
    <row r="10" spans="2:9" x14ac:dyDescent="0.25">
      <c r="B10" s="22">
        <f t="shared" si="4"/>
        <v>227864.34840428029</v>
      </c>
      <c r="C10" s="21">
        <v>0.03</v>
      </c>
      <c r="D10" s="22">
        <f t="shared" si="0"/>
        <v>569.6608710107007</v>
      </c>
      <c r="E10" s="22">
        <f t="shared" si="3"/>
        <v>228434.009275291</v>
      </c>
      <c r="F10" s="20">
        <f t="shared" si="1"/>
        <v>12000</v>
      </c>
      <c r="G10" s="22">
        <f t="shared" si="2"/>
        <v>227434.009275291</v>
      </c>
      <c r="H10" s="22">
        <v>1000</v>
      </c>
      <c r="I10" s="23">
        <v>6</v>
      </c>
    </row>
    <row r="11" spans="2:9" x14ac:dyDescent="0.25">
      <c r="B11" s="22">
        <f t="shared" si="4"/>
        <v>227434.009275291</v>
      </c>
      <c r="C11" s="21">
        <v>0.03</v>
      </c>
      <c r="D11" s="22">
        <f t="shared" si="0"/>
        <v>568.58502318822752</v>
      </c>
      <c r="E11" s="22">
        <f t="shared" si="3"/>
        <v>228002.59429847923</v>
      </c>
      <c r="F11" s="20">
        <f t="shared" si="1"/>
        <v>12000</v>
      </c>
      <c r="G11" s="22">
        <f t="shared" si="2"/>
        <v>227002.59429847923</v>
      </c>
      <c r="H11" s="22">
        <v>1000</v>
      </c>
      <c r="I11" s="23">
        <v>7</v>
      </c>
    </row>
    <row r="12" spans="2:9" x14ac:dyDescent="0.25">
      <c r="B12" s="22">
        <f t="shared" si="4"/>
        <v>227002.59429847923</v>
      </c>
      <c r="C12" s="21">
        <v>0.03</v>
      </c>
      <c r="D12" s="22">
        <f t="shared" si="0"/>
        <v>567.50648574619811</v>
      </c>
      <c r="E12" s="22">
        <f t="shared" si="3"/>
        <v>227570.10078422542</v>
      </c>
      <c r="F12" s="20">
        <f t="shared" si="1"/>
        <v>12000</v>
      </c>
      <c r="G12" s="22">
        <f t="shared" si="2"/>
        <v>226570.10078422542</v>
      </c>
      <c r="H12" s="22">
        <v>1000</v>
      </c>
      <c r="I12" s="23">
        <v>8</v>
      </c>
    </row>
    <row r="13" spans="2:9" x14ac:dyDescent="0.25">
      <c r="B13" s="22">
        <f t="shared" si="4"/>
        <v>226570.10078422542</v>
      </c>
      <c r="C13" s="21">
        <v>0.03</v>
      </c>
      <c r="D13" s="22">
        <f t="shared" si="0"/>
        <v>566.42525196056351</v>
      </c>
      <c r="E13" s="22">
        <f t="shared" si="3"/>
        <v>227136.52603618597</v>
      </c>
      <c r="F13" s="20">
        <f t="shared" si="1"/>
        <v>12000</v>
      </c>
      <c r="G13" s="22">
        <f t="shared" si="2"/>
        <v>226136.52603618597</v>
      </c>
      <c r="H13" s="22">
        <v>1000</v>
      </c>
      <c r="I13" s="23">
        <v>9</v>
      </c>
    </row>
    <row r="14" spans="2:9" x14ac:dyDescent="0.25">
      <c r="B14" s="22">
        <f t="shared" si="4"/>
        <v>226136.52603618597</v>
      </c>
      <c r="C14" s="21">
        <v>0.03</v>
      </c>
      <c r="D14" s="22">
        <f t="shared" si="0"/>
        <v>565.34131509046495</v>
      </c>
      <c r="E14" s="22">
        <f t="shared" si="3"/>
        <v>226701.86735127642</v>
      </c>
      <c r="F14" s="20">
        <f t="shared" si="1"/>
        <v>12000</v>
      </c>
      <c r="G14" s="22">
        <f t="shared" si="2"/>
        <v>225701.86735127642</v>
      </c>
      <c r="H14" s="22">
        <v>1000</v>
      </c>
      <c r="I14" s="23">
        <v>10</v>
      </c>
    </row>
    <row r="15" spans="2:9" x14ac:dyDescent="0.25">
      <c r="B15" s="22">
        <f t="shared" si="4"/>
        <v>225701.86735127642</v>
      </c>
      <c r="C15" s="21">
        <v>0.03</v>
      </c>
      <c r="D15" s="22">
        <f t="shared" si="0"/>
        <v>564.25466837819101</v>
      </c>
      <c r="E15" s="22">
        <f t="shared" si="3"/>
        <v>226266.12201965461</v>
      </c>
      <c r="F15" s="20">
        <f t="shared" si="1"/>
        <v>12000</v>
      </c>
      <c r="G15" s="22">
        <f t="shared" si="2"/>
        <v>225266.12201965461</v>
      </c>
      <c r="H15" s="22">
        <v>1000</v>
      </c>
      <c r="I15" s="23">
        <v>11</v>
      </c>
    </row>
    <row r="16" spans="2:9" x14ac:dyDescent="0.25">
      <c r="B16" s="22">
        <f t="shared" si="4"/>
        <v>225266.12201965461</v>
      </c>
      <c r="C16" s="21">
        <v>0.03</v>
      </c>
      <c r="D16" s="22">
        <f t="shared" si="0"/>
        <v>563.16530504913658</v>
      </c>
      <c r="E16" s="22">
        <f t="shared" si="3"/>
        <v>225829.28732470374</v>
      </c>
      <c r="F16" s="20">
        <f t="shared" si="1"/>
        <v>12000</v>
      </c>
      <c r="G16" s="22">
        <f t="shared" si="2"/>
        <v>224829.28732470374</v>
      </c>
      <c r="H16" s="22">
        <v>1000</v>
      </c>
      <c r="I16" s="23">
        <v>12</v>
      </c>
    </row>
    <row r="17" spans="2:9" x14ac:dyDescent="0.25">
      <c r="B17" s="22">
        <f t="shared" si="4"/>
        <v>224829.28732470374</v>
      </c>
      <c r="C17" s="21">
        <v>0.03</v>
      </c>
      <c r="D17" s="22">
        <f t="shared" si="0"/>
        <v>562.07321831175932</v>
      </c>
      <c r="E17" s="22">
        <f t="shared" si="3"/>
        <v>225391.3605430155</v>
      </c>
      <c r="F17" s="20">
        <f t="shared" si="1"/>
        <v>12000</v>
      </c>
      <c r="G17" s="22">
        <f t="shared" si="2"/>
        <v>224391.3605430155</v>
      </c>
      <c r="H17" s="22">
        <v>1000</v>
      </c>
      <c r="I17" s="23">
        <v>13</v>
      </c>
    </row>
    <row r="18" spans="2:9" x14ac:dyDescent="0.25">
      <c r="B18" s="22">
        <f t="shared" si="4"/>
        <v>224391.3605430155</v>
      </c>
      <c r="C18" s="21">
        <v>0.03</v>
      </c>
      <c r="D18" s="22">
        <f t="shared" si="0"/>
        <v>560.97840135753881</v>
      </c>
      <c r="E18" s="22">
        <f t="shared" si="3"/>
        <v>224952.33894437304</v>
      </c>
      <c r="F18" s="20">
        <f t="shared" si="1"/>
        <v>12000</v>
      </c>
      <c r="G18" s="22">
        <f t="shared" si="2"/>
        <v>223952.33894437304</v>
      </c>
      <c r="H18" s="22">
        <v>1000</v>
      </c>
      <c r="I18" s="23">
        <v>14</v>
      </c>
    </row>
    <row r="19" spans="2:9" x14ac:dyDescent="0.25">
      <c r="B19" s="24">
        <f t="shared" si="4"/>
        <v>223952.33894437304</v>
      </c>
      <c r="C19" s="21">
        <v>0.03</v>
      </c>
      <c r="D19" s="22">
        <f t="shared" si="0"/>
        <v>559.88084736093265</v>
      </c>
      <c r="E19" s="24">
        <f t="shared" si="3"/>
        <v>224512.21979173398</v>
      </c>
      <c r="F19" s="20">
        <f t="shared" si="1"/>
        <v>12000</v>
      </c>
      <c r="G19" s="22">
        <f t="shared" si="2"/>
        <v>223512.21979173398</v>
      </c>
      <c r="H19" s="22">
        <v>1000</v>
      </c>
      <c r="I19" s="25">
        <v>15</v>
      </c>
    </row>
    <row r="20" spans="2:9" x14ac:dyDescent="0.25">
      <c r="B20" s="22">
        <f t="shared" si="4"/>
        <v>223512.21979173398</v>
      </c>
      <c r="C20" s="21">
        <v>0.03</v>
      </c>
      <c r="D20" s="22">
        <f t="shared" si="0"/>
        <v>558.78054947933492</v>
      </c>
      <c r="E20" s="22">
        <f t="shared" si="3"/>
        <v>224071.00034121331</v>
      </c>
      <c r="F20" s="20">
        <f t="shared" si="1"/>
        <v>12000</v>
      </c>
      <c r="G20" s="22">
        <f t="shared" si="2"/>
        <v>223071.00034121331</v>
      </c>
      <c r="H20" s="22">
        <v>1000</v>
      </c>
      <c r="I20" s="23">
        <v>16</v>
      </c>
    </row>
    <row r="21" spans="2:9" x14ac:dyDescent="0.25">
      <c r="B21" s="22">
        <f t="shared" si="4"/>
        <v>223071.00034121331</v>
      </c>
      <c r="C21" s="21">
        <v>0.03</v>
      </c>
      <c r="D21" s="22">
        <f t="shared" si="0"/>
        <v>557.67750085303328</v>
      </c>
      <c r="E21" s="22">
        <f t="shared" si="3"/>
        <v>223628.67784206633</v>
      </c>
      <c r="F21" s="20">
        <f t="shared" si="1"/>
        <v>12000</v>
      </c>
      <c r="G21" s="22">
        <f t="shared" si="2"/>
        <v>222628.67784206633</v>
      </c>
      <c r="H21" s="22">
        <v>1000</v>
      </c>
      <c r="I21" s="23">
        <v>17</v>
      </c>
    </row>
    <row r="22" spans="2:9" x14ac:dyDescent="0.25">
      <c r="B22" s="22">
        <f t="shared" si="4"/>
        <v>222628.67784206633</v>
      </c>
      <c r="C22" s="21">
        <v>0.03</v>
      </c>
      <c r="D22" s="22">
        <f t="shared" si="0"/>
        <v>556.57169460516582</v>
      </c>
      <c r="E22" s="22">
        <f t="shared" si="3"/>
        <v>223185.2495366715</v>
      </c>
      <c r="F22" s="20">
        <f t="shared" si="1"/>
        <v>12000</v>
      </c>
      <c r="G22" s="22">
        <f t="shared" si="2"/>
        <v>222185.2495366715</v>
      </c>
      <c r="H22" s="22">
        <v>1000</v>
      </c>
      <c r="I22" s="23">
        <v>18</v>
      </c>
    </row>
    <row r="23" spans="2:9" x14ac:dyDescent="0.25">
      <c r="B23" s="22">
        <f t="shared" si="4"/>
        <v>222185.2495366715</v>
      </c>
      <c r="C23" s="21">
        <v>0.03</v>
      </c>
      <c r="D23" s="22">
        <f t="shared" si="0"/>
        <v>555.46312384167879</v>
      </c>
      <c r="E23" s="22">
        <f t="shared" si="3"/>
        <v>222740.71266051318</v>
      </c>
      <c r="F23" s="20">
        <f t="shared" si="1"/>
        <v>12000</v>
      </c>
      <c r="G23" s="22">
        <f t="shared" si="2"/>
        <v>221740.71266051318</v>
      </c>
      <c r="H23" s="22">
        <v>1000</v>
      </c>
      <c r="I23" s="23">
        <v>19</v>
      </c>
    </row>
    <row r="24" spans="2:9" x14ac:dyDescent="0.25">
      <c r="B24" s="22">
        <f t="shared" si="4"/>
        <v>221740.71266051318</v>
      </c>
      <c r="C24" s="21">
        <v>0.03</v>
      </c>
      <c r="D24" s="22">
        <f t="shared" si="0"/>
        <v>554.35178165128298</v>
      </c>
      <c r="E24" s="22">
        <f t="shared" si="3"/>
        <v>222295.06444216447</v>
      </c>
      <c r="F24" s="20">
        <f t="shared" si="1"/>
        <v>12000</v>
      </c>
      <c r="G24" s="22">
        <f t="shared" si="2"/>
        <v>221295.06444216447</v>
      </c>
      <c r="H24" s="22">
        <v>1000</v>
      </c>
      <c r="I24" s="23">
        <v>20</v>
      </c>
    </row>
    <row r="25" spans="2:9" x14ac:dyDescent="0.25">
      <c r="B25" s="22">
        <f t="shared" si="4"/>
        <v>221295.06444216447</v>
      </c>
      <c r="C25" s="21">
        <v>0.03</v>
      </c>
      <c r="D25" s="22">
        <f t="shared" si="0"/>
        <v>553.23766110541123</v>
      </c>
      <c r="E25" s="22">
        <f t="shared" si="3"/>
        <v>221848.30210326987</v>
      </c>
      <c r="F25" s="20">
        <f t="shared" si="1"/>
        <v>12000</v>
      </c>
      <c r="G25" s="22">
        <f t="shared" si="2"/>
        <v>220848.30210326987</v>
      </c>
      <c r="H25" s="22">
        <v>1000</v>
      </c>
      <c r="I25" s="23">
        <v>21</v>
      </c>
    </row>
    <row r="26" spans="2:9" x14ac:dyDescent="0.25">
      <c r="B26" s="22">
        <f t="shared" si="4"/>
        <v>220848.30210326987</v>
      </c>
      <c r="C26" s="21">
        <v>0.03</v>
      </c>
      <c r="D26" s="22">
        <f t="shared" si="0"/>
        <v>552.12075525817465</v>
      </c>
      <c r="E26" s="22">
        <f t="shared" si="3"/>
        <v>221400.42285852804</v>
      </c>
      <c r="F26" s="20">
        <f t="shared" si="1"/>
        <v>12000</v>
      </c>
      <c r="G26" s="22">
        <f t="shared" si="2"/>
        <v>220400.42285852804</v>
      </c>
      <c r="H26" s="22">
        <v>1000</v>
      </c>
      <c r="I26" s="23">
        <v>22</v>
      </c>
    </row>
    <row r="27" spans="2:9" x14ac:dyDescent="0.25">
      <c r="B27" s="22">
        <f t="shared" si="4"/>
        <v>220400.42285852804</v>
      </c>
      <c r="C27" s="21">
        <v>0.03</v>
      </c>
      <c r="D27" s="22">
        <f t="shared" si="0"/>
        <v>551.00105714632014</v>
      </c>
      <c r="E27" s="22">
        <f t="shared" si="3"/>
        <v>220951.42391567436</v>
      </c>
      <c r="F27" s="20">
        <f t="shared" si="1"/>
        <v>12000</v>
      </c>
      <c r="G27" s="22">
        <f t="shared" si="2"/>
        <v>219951.42391567436</v>
      </c>
      <c r="H27" s="22">
        <v>1000</v>
      </c>
      <c r="I27" s="23">
        <v>23</v>
      </c>
    </row>
    <row r="28" spans="2:9" x14ac:dyDescent="0.25">
      <c r="B28" s="22">
        <f>G27</f>
        <v>219951.42391567436</v>
      </c>
      <c r="C28" s="21">
        <v>0.03</v>
      </c>
      <c r="D28" s="22">
        <f t="shared" si="0"/>
        <v>549.87855978918594</v>
      </c>
      <c r="E28" s="22">
        <f t="shared" si="3"/>
        <v>220501.30247546354</v>
      </c>
      <c r="F28" s="20">
        <f t="shared" si="1"/>
        <v>12000</v>
      </c>
      <c r="G28" s="22">
        <f t="shared" si="2"/>
        <v>219501.30247546354</v>
      </c>
      <c r="H28" s="22">
        <v>1000</v>
      </c>
      <c r="I28" s="23">
        <v>24</v>
      </c>
    </row>
    <row r="29" spans="2:9" x14ac:dyDescent="0.25">
      <c r="B29" s="22">
        <f t="shared" ref="B29:B92" si="5">G28</f>
        <v>219501.30247546354</v>
      </c>
      <c r="C29" s="21">
        <v>0.03</v>
      </c>
      <c r="D29" s="22">
        <f t="shared" si="0"/>
        <v>548.75325618865884</v>
      </c>
      <c r="E29" s="22">
        <f t="shared" si="3"/>
        <v>220050.05573165219</v>
      </c>
      <c r="F29" s="20">
        <f t="shared" si="1"/>
        <v>12000</v>
      </c>
      <c r="G29" s="22">
        <f t="shared" si="2"/>
        <v>219050.05573165219</v>
      </c>
      <c r="H29" s="22">
        <v>1000</v>
      </c>
      <c r="I29" s="23">
        <v>25</v>
      </c>
    </row>
    <row r="30" spans="2:9" x14ac:dyDescent="0.25">
      <c r="B30" s="22">
        <f t="shared" si="5"/>
        <v>219050.05573165219</v>
      </c>
      <c r="C30" s="21">
        <v>0.03</v>
      </c>
      <c r="D30" s="22">
        <f t="shared" si="0"/>
        <v>547.62513932913043</v>
      </c>
      <c r="E30" s="22">
        <f t="shared" si="3"/>
        <v>219597.6808709813</v>
      </c>
      <c r="F30" s="20">
        <f t="shared" si="1"/>
        <v>12000</v>
      </c>
      <c r="G30" s="22">
        <f t="shared" si="2"/>
        <v>218597.6808709813</v>
      </c>
      <c r="H30" s="22">
        <v>1000</v>
      </c>
      <c r="I30" s="23">
        <v>26</v>
      </c>
    </row>
    <row r="31" spans="2:9" x14ac:dyDescent="0.25">
      <c r="B31" s="22">
        <f t="shared" si="5"/>
        <v>218597.6808709813</v>
      </c>
      <c r="C31" s="21">
        <v>0.03</v>
      </c>
      <c r="D31" s="22">
        <f t="shared" si="0"/>
        <v>546.4942021774533</v>
      </c>
      <c r="E31" s="22">
        <f t="shared" si="3"/>
        <v>219144.17507315875</v>
      </c>
      <c r="F31" s="20">
        <f t="shared" si="1"/>
        <v>12000</v>
      </c>
      <c r="G31" s="22">
        <f t="shared" si="2"/>
        <v>218144.17507315875</v>
      </c>
      <c r="H31" s="22">
        <v>1000</v>
      </c>
      <c r="I31" s="23">
        <v>27</v>
      </c>
    </row>
    <row r="32" spans="2:9" x14ac:dyDescent="0.25">
      <c r="B32" s="27">
        <f t="shared" si="5"/>
        <v>218144.17507315875</v>
      </c>
      <c r="C32" s="21">
        <v>0.03</v>
      </c>
      <c r="D32" s="22">
        <f t="shared" si="0"/>
        <v>545.36043768289687</v>
      </c>
      <c r="E32" s="27">
        <f t="shared" si="3"/>
        <v>218689.53551084164</v>
      </c>
      <c r="F32" s="29">
        <f t="shared" si="1"/>
        <v>12000</v>
      </c>
      <c r="G32" s="27">
        <f t="shared" si="2"/>
        <v>217689.53551084164</v>
      </c>
      <c r="H32" s="22">
        <v>1000</v>
      </c>
      <c r="I32" s="30">
        <v>28</v>
      </c>
    </row>
    <row r="33" spans="2:9" x14ac:dyDescent="0.25">
      <c r="B33" s="22">
        <f t="shared" si="5"/>
        <v>217689.53551084164</v>
      </c>
      <c r="C33" s="21">
        <v>0.03</v>
      </c>
      <c r="D33" s="22">
        <f t="shared" si="0"/>
        <v>544.22383877710411</v>
      </c>
      <c r="E33" s="22">
        <f t="shared" si="3"/>
        <v>218233.75934961875</v>
      </c>
      <c r="F33" s="31">
        <f>SUM(F5:F32)</f>
        <v>336000</v>
      </c>
      <c r="G33" s="22">
        <f t="shared" si="2"/>
        <v>217233.75934961875</v>
      </c>
      <c r="H33" s="22">
        <v>1000</v>
      </c>
      <c r="I33" s="23">
        <v>29</v>
      </c>
    </row>
    <row r="34" spans="2:9" x14ac:dyDescent="0.25">
      <c r="B34" s="22">
        <f t="shared" si="5"/>
        <v>217233.75934961875</v>
      </c>
      <c r="C34" s="21">
        <v>0.03</v>
      </c>
      <c r="D34" s="22">
        <f t="shared" si="0"/>
        <v>543.08439837404683</v>
      </c>
      <c r="E34" s="22">
        <f t="shared" si="3"/>
        <v>217776.8437479928</v>
      </c>
      <c r="F34" s="20"/>
      <c r="G34" s="22">
        <f t="shared" si="2"/>
        <v>216776.8437479928</v>
      </c>
      <c r="H34" s="22">
        <v>1000</v>
      </c>
      <c r="I34" s="23">
        <v>30</v>
      </c>
    </row>
    <row r="35" spans="2:9" x14ac:dyDescent="0.25">
      <c r="B35" s="22">
        <f t="shared" si="5"/>
        <v>216776.8437479928</v>
      </c>
      <c r="C35" s="21">
        <v>0.03</v>
      </c>
      <c r="D35" s="22">
        <f t="shared" si="0"/>
        <v>541.94210936998195</v>
      </c>
      <c r="E35" s="22">
        <f t="shared" si="3"/>
        <v>217318.78585736279</v>
      </c>
      <c r="F35" s="20"/>
      <c r="G35" s="22">
        <f t="shared" si="2"/>
        <v>216318.78585736279</v>
      </c>
      <c r="H35" s="22">
        <v>1000</v>
      </c>
      <c r="I35" s="23">
        <v>31</v>
      </c>
    </row>
    <row r="36" spans="2:9" x14ac:dyDescent="0.25">
      <c r="B36" s="22">
        <f t="shared" si="5"/>
        <v>216318.78585736279</v>
      </c>
      <c r="C36" s="21">
        <v>0.03</v>
      </c>
      <c r="D36" s="22">
        <f t="shared" si="0"/>
        <v>540.79696464340702</v>
      </c>
      <c r="E36" s="22">
        <f t="shared" si="3"/>
        <v>216859.5828220062</v>
      </c>
      <c r="F36" s="20"/>
      <c r="G36" s="22">
        <f t="shared" si="2"/>
        <v>215859.5828220062</v>
      </c>
      <c r="H36" s="22">
        <v>1000</v>
      </c>
      <c r="I36" s="23">
        <v>32</v>
      </c>
    </row>
    <row r="37" spans="2:9" x14ac:dyDescent="0.25">
      <c r="B37" s="22">
        <f t="shared" si="5"/>
        <v>215859.5828220062</v>
      </c>
      <c r="C37" s="21">
        <v>0.03</v>
      </c>
      <c r="D37" s="22">
        <f t="shared" si="0"/>
        <v>539.64895705501544</v>
      </c>
      <c r="E37" s="22">
        <f t="shared" si="3"/>
        <v>216399.2317790612</v>
      </c>
      <c r="F37" s="20"/>
      <c r="G37" s="22">
        <f t="shared" si="2"/>
        <v>215399.2317790612</v>
      </c>
      <c r="H37" s="22">
        <v>1000</v>
      </c>
      <c r="I37" s="23">
        <v>33</v>
      </c>
    </row>
    <row r="38" spans="2:9" x14ac:dyDescent="0.25">
      <c r="B38" s="22">
        <f t="shared" si="5"/>
        <v>215399.2317790612</v>
      </c>
      <c r="C38" s="21">
        <v>0.03</v>
      </c>
      <c r="D38" s="22">
        <f t="shared" si="0"/>
        <v>538.49807944765303</v>
      </c>
      <c r="E38" s="22">
        <f t="shared" si="3"/>
        <v>215937.72985850886</v>
      </c>
      <c r="F38" s="20"/>
      <c r="G38" s="22">
        <f t="shared" si="2"/>
        <v>214937.72985850886</v>
      </c>
      <c r="H38" s="22">
        <v>1000</v>
      </c>
      <c r="I38" s="23">
        <v>34</v>
      </c>
    </row>
    <row r="39" spans="2:9" x14ac:dyDescent="0.25">
      <c r="B39" s="22">
        <f t="shared" si="5"/>
        <v>214937.72985850886</v>
      </c>
      <c r="C39" s="21">
        <v>0.03</v>
      </c>
      <c r="D39" s="22">
        <f t="shared" si="0"/>
        <v>537.34432464627218</v>
      </c>
      <c r="E39" s="22">
        <f t="shared" si="3"/>
        <v>215475.07418315514</v>
      </c>
      <c r="F39" s="20"/>
      <c r="G39" s="22">
        <f t="shared" si="2"/>
        <v>214475.07418315514</v>
      </c>
      <c r="H39" s="22">
        <v>1000</v>
      </c>
      <c r="I39" s="23">
        <v>35</v>
      </c>
    </row>
    <row r="40" spans="2:9" x14ac:dyDescent="0.25">
      <c r="B40" s="22">
        <f t="shared" si="5"/>
        <v>214475.07418315514</v>
      </c>
      <c r="C40" s="21">
        <v>0.03</v>
      </c>
      <c r="D40" s="22">
        <f t="shared" si="0"/>
        <v>536.18768545788782</v>
      </c>
      <c r="E40" s="22">
        <f t="shared" si="3"/>
        <v>215011.26186861304</v>
      </c>
      <c r="F40" s="20"/>
      <c r="G40" s="22">
        <f t="shared" si="2"/>
        <v>214011.26186861304</v>
      </c>
      <c r="H40" s="22">
        <v>1000</v>
      </c>
      <c r="I40" s="23">
        <v>36</v>
      </c>
    </row>
    <row r="41" spans="2:9" x14ac:dyDescent="0.25">
      <c r="B41" s="22">
        <f t="shared" si="5"/>
        <v>214011.26186861304</v>
      </c>
      <c r="C41" s="21">
        <v>0.03</v>
      </c>
      <c r="D41" s="22">
        <f t="shared" si="0"/>
        <v>535.02815467153266</v>
      </c>
      <c r="E41" s="22">
        <f t="shared" si="3"/>
        <v>214546.29002328459</v>
      </c>
      <c r="F41" s="20"/>
      <c r="G41" s="22">
        <f t="shared" si="2"/>
        <v>213546.29002328459</v>
      </c>
      <c r="H41" s="22">
        <v>1000</v>
      </c>
      <c r="I41" s="23">
        <v>37</v>
      </c>
    </row>
    <row r="42" spans="2:9" x14ac:dyDescent="0.25">
      <c r="B42" s="22">
        <f t="shared" si="5"/>
        <v>213546.29002328459</v>
      </c>
      <c r="C42" s="21">
        <v>0.03</v>
      </c>
      <c r="D42" s="22">
        <f t="shared" si="0"/>
        <v>533.86572505821152</v>
      </c>
      <c r="E42" s="22">
        <f t="shared" si="3"/>
        <v>214080.1557483428</v>
      </c>
      <c r="F42" s="20"/>
      <c r="G42" s="22">
        <f t="shared" si="2"/>
        <v>213080.1557483428</v>
      </c>
      <c r="H42" s="22">
        <v>1000</v>
      </c>
      <c r="I42" s="23">
        <v>38</v>
      </c>
    </row>
    <row r="43" spans="2:9" x14ac:dyDescent="0.25">
      <c r="B43" s="22">
        <f t="shared" si="5"/>
        <v>213080.1557483428</v>
      </c>
      <c r="C43" s="21">
        <v>0.03</v>
      </c>
      <c r="D43" s="22">
        <f t="shared" si="0"/>
        <v>532.70038937085701</v>
      </c>
      <c r="E43" s="22">
        <f t="shared" si="3"/>
        <v>213612.85613771365</v>
      </c>
      <c r="F43" s="20"/>
      <c r="G43" s="22">
        <f t="shared" si="2"/>
        <v>212612.85613771365</v>
      </c>
      <c r="H43" s="22">
        <v>1000</v>
      </c>
      <c r="I43" s="23">
        <v>39</v>
      </c>
    </row>
    <row r="44" spans="2:9" x14ac:dyDescent="0.25">
      <c r="B44" s="22">
        <f t="shared" si="5"/>
        <v>212612.85613771365</v>
      </c>
      <c r="C44" s="21">
        <v>0.03</v>
      </c>
      <c r="D44" s="22">
        <f t="shared" si="0"/>
        <v>531.53214034428413</v>
      </c>
      <c r="E44" s="22">
        <f t="shared" si="3"/>
        <v>213144.38827805794</v>
      </c>
      <c r="F44" s="20"/>
      <c r="G44" s="22">
        <f t="shared" si="2"/>
        <v>212144.38827805794</v>
      </c>
      <c r="H44" s="22">
        <v>1000</v>
      </c>
      <c r="I44" s="23">
        <v>40</v>
      </c>
    </row>
    <row r="45" spans="2:9" x14ac:dyDescent="0.25">
      <c r="B45" s="22">
        <f t="shared" si="5"/>
        <v>212144.38827805794</v>
      </c>
      <c r="C45" s="21">
        <v>0.03</v>
      </c>
      <c r="D45" s="22">
        <f t="shared" si="0"/>
        <v>530.36097069514483</v>
      </c>
      <c r="E45" s="22">
        <f t="shared" si="3"/>
        <v>212674.7492487531</v>
      </c>
      <c r="F45" s="20"/>
      <c r="G45" s="22">
        <f t="shared" si="2"/>
        <v>211674.7492487531</v>
      </c>
      <c r="H45" s="22">
        <v>1000</v>
      </c>
      <c r="I45" s="23">
        <v>41</v>
      </c>
    </row>
    <row r="46" spans="2:9" x14ac:dyDescent="0.25">
      <c r="B46" s="22">
        <f t="shared" si="5"/>
        <v>211674.7492487531</v>
      </c>
      <c r="C46" s="21">
        <v>0.03</v>
      </c>
      <c r="D46" s="22">
        <f t="shared" si="0"/>
        <v>529.18687312188274</v>
      </c>
      <c r="E46" s="22">
        <f t="shared" si="3"/>
        <v>212203.93612187498</v>
      </c>
      <c r="F46" s="20"/>
      <c r="G46" s="22">
        <f t="shared" si="2"/>
        <v>211203.93612187498</v>
      </c>
      <c r="H46" s="22">
        <v>1000</v>
      </c>
      <c r="I46" s="23">
        <v>42</v>
      </c>
    </row>
    <row r="47" spans="2:9" x14ac:dyDescent="0.25">
      <c r="B47" s="22">
        <f t="shared" si="5"/>
        <v>211203.93612187498</v>
      </c>
      <c r="C47" s="21">
        <v>0.03</v>
      </c>
      <c r="D47" s="22">
        <f t="shared" si="0"/>
        <v>528.00984030468749</v>
      </c>
      <c r="E47" s="22">
        <f t="shared" si="3"/>
        <v>211731.94596217969</v>
      </c>
      <c r="F47" s="20"/>
      <c r="G47" s="22">
        <f t="shared" si="2"/>
        <v>210731.94596217969</v>
      </c>
      <c r="H47" s="22">
        <v>1000</v>
      </c>
      <c r="I47" s="23">
        <v>43</v>
      </c>
    </row>
    <row r="48" spans="2:9" x14ac:dyDescent="0.25">
      <c r="B48" s="22">
        <f t="shared" si="5"/>
        <v>210731.94596217969</v>
      </c>
      <c r="C48" s="21">
        <v>0.03</v>
      </c>
      <c r="D48" s="22">
        <f t="shared" si="0"/>
        <v>526.8298649054492</v>
      </c>
      <c r="E48" s="22">
        <f t="shared" si="3"/>
        <v>211258.77582708513</v>
      </c>
      <c r="F48" s="20"/>
      <c r="G48" s="22">
        <f t="shared" si="2"/>
        <v>210258.77582708513</v>
      </c>
      <c r="H48" s="22">
        <v>1000</v>
      </c>
      <c r="I48" s="23">
        <v>44</v>
      </c>
    </row>
    <row r="49" spans="2:9" x14ac:dyDescent="0.25">
      <c r="B49" s="22">
        <f t="shared" si="5"/>
        <v>210258.77582708513</v>
      </c>
      <c r="C49" s="21">
        <v>0.03</v>
      </c>
      <c r="D49" s="22">
        <f t="shared" si="0"/>
        <v>525.64693956771282</v>
      </c>
      <c r="E49" s="22">
        <f t="shared" si="3"/>
        <v>210784.42276665286</v>
      </c>
      <c r="F49" s="20"/>
      <c r="G49" s="22">
        <f t="shared" si="2"/>
        <v>209784.42276665286</v>
      </c>
      <c r="H49" s="22">
        <v>1000</v>
      </c>
      <c r="I49" s="23">
        <v>45</v>
      </c>
    </row>
    <row r="50" spans="2:9" x14ac:dyDescent="0.25">
      <c r="B50" s="22">
        <f t="shared" si="5"/>
        <v>209784.42276665286</v>
      </c>
      <c r="C50" s="21">
        <v>0.03</v>
      </c>
      <c r="D50" s="22">
        <f t="shared" si="0"/>
        <v>524.46105691663217</v>
      </c>
      <c r="E50" s="22">
        <f t="shared" si="3"/>
        <v>210308.88382356949</v>
      </c>
      <c r="F50" s="20"/>
      <c r="G50" s="22">
        <f t="shared" si="2"/>
        <v>209308.88382356949</v>
      </c>
      <c r="H50" s="22">
        <v>1000</v>
      </c>
      <c r="I50" s="23">
        <v>46</v>
      </c>
    </row>
    <row r="51" spans="2:9" x14ac:dyDescent="0.25">
      <c r="B51" s="22">
        <f t="shared" si="5"/>
        <v>209308.88382356949</v>
      </c>
      <c r="C51" s="21">
        <v>0.03</v>
      </c>
      <c r="D51" s="22">
        <f t="shared" si="0"/>
        <v>523.27220955892369</v>
      </c>
      <c r="E51" s="22">
        <f t="shared" si="3"/>
        <v>209832.15603312841</v>
      </c>
      <c r="F51" s="20"/>
      <c r="G51" s="22">
        <f t="shared" si="2"/>
        <v>208832.15603312841</v>
      </c>
      <c r="H51" s="22">
        <v>1000</v>
      </c>
      <c r="I51" s="23">
        <v>47</v>
      </c>
    </row>
    <row r="52" spans="2:9" x14ac:dyDescent="0.25">
      <c r="B52" s="22">
        <f t="shared" si="5"/>
        <v>208832.15603312841</v>
      </c>
      <c r="C52" s="21">
        <v>0.03</v>
      </c>
      <c r="D52" s="22">
        <f t="shared" si="0"/>
        <v>522.08039008282105</v>
      </c>
      <c r="E52" s="22">
        <f t="shared" si="3"/>
        <v>209354.23642321123</v>
      </c>
      <c r="F52" s="20"/>
      <c r="G52" s="22">
        <f t="shared" si="2"/>
        <v>208354.23642321123</v>
      </c>
      <c r="H52" s="22">
        <v>1000</v>
      </c>
      <c r="I52" s="23">
        <v>48</v>
      </c>
    </row>
    <row r="53" spans="2:9" x14ac:dyDescent="0.25">
      <c r="B53" s="22">
        <f t="shared" si="5"/>
        <v>208354.23642321123</v>
      </c>
      <c r="C53" s="21">
        <v>0.03</v>
      </c>
      <c r="D53" s="22">
        <f t="shared" si="0"/>
        <v>520.88559105802813</v>
      </c>
      <c r="E53" s="22">
        <f t="shared" si="3"/>
        <v>208875.12201426926</v>
      </c>
      <c r="F53" s="20"/>
      <c r="G53" s="22">
        <f t="shared" si="2"/>
        <v>207875.12201426926</v>
      </c>
      <c r="H53" s="22">
        <v>1000</v>
      </c>
      <c r="I53" s="23">
        <v>49</v>
      </c>
    </row>
    <row r="54" spans="2:9" x14ac:dyDescent="0.25">
      <c r="B54" s="22">
        <f t="shared" si="5"/>
        <v>207875.12201426926</v>
      </c>
      <c r="C54" s="21">
        <v>0.03</v>
      </c>
      <c r="D54" s="22">
        <f t="shared" si="0"/>
        <v>519.68780503567314</v>
      </c>
      <c r="E54" s="22">
        <f t="shared" si="3"/>
        <v>208394.80981930494</v>
      </c>
      <c r="F54" s="20"/>
      <c r="G54" s="22">
        <f t="shared" si="2"/>
        <v>207394.80981930494</v>
      </c>
      <c r="H54" s="22">
        <v>1000</v>
      </c>
      <c r="I54" s="23">
        <v>50</v>
      </c>
    </row>
    <row r="55" spans="2:9" x14ac:dyDescent="0.25">
      <c r="B55" s="22">
        <f t="shared" si="5"/>
        <v>207394.80981930494</v>
      </c>
      <c r="C55" s="21">
        <v>0.03</v>
      </c>
      <c r="D55" s="22">
        <f t="shared" si="0"/>
        <v>518.4870245482623</v>
      </c>
      <c r="E55" s="22">
        <f t="shared" si="3"/>
        <v>207913.2968438532</v>
      </c>
      <c r="F55" s="20"/>
      <c r="G55" s="22">
        <f t="shared" si="2"/>
        <v>206913.2968438532</v>
      </c>
      <c r="H55" s="22">
        <v>1000</v>
      </c>
      <c r="I55" s="23">
        <v>51</v>
      </c>
    </row>
    <row r="56" spans="2:9" x14ac:dyDescent="0.25">
      <c r="B56" s="22">
        <f t="shared" si="5"/>
        <v>206913.2968438532</v>
      </c>
      <c r="C56" s="21">
        <v>0.03</v>
      </c>
      <c r="D56" s="22">
        <f t="shared" si="0"/>
        <v>517.28324210963297</v>
      </c>
      <c r="E56" s="22">
        <f t="shared" si="3"/>
        <v>207430.58008596284</v>
      </c>
      <c r="F56" s="20"/>
      <c r="G56" s="22">
        <f t="shared" si="2"/>
        <v>206430.58008596284</v>
      </c>
      <c r="H56" s="22">
        <v>1000</v>
      </c>
      <c r="I56" s="23">
        <v>52</v>
      </c>
    </row>
    <row r="57" spans="2:9" x14ac:dyDescent="0.25">
      <c r="B57" s="22">
        <f t="shared" si="5"/>
        <v>206430.58008596284</v>
      </c>
      <c r="C57" s="21">
        <v>0.03</v>
      </c>
      <c r="D57" s="22">
        <f t="shared" si="0"/>
        <v>516.07645021490714</v>
      </c>
      <c r="E57" s="22">
        <f t="shared" si="3"/>
        <v>206946.65653617773</v>
      </c>
      <c r="F57" s="20"/>
      <c r="G57" s="22">
        <f t="shared" si="2"/>
        <v>205946.65653617773</v>
      </c>
      <c r="H57" s="22">
        <v>1000</v>
      </c>
      <c r="I57" s="23">
        <v>53</v>
      </c>
    </row>
    <row r="58" spans="2:9" x14ac:dyDescent="0.25">
      <c r="B58" s="22">
        <f t="shared" si="5"/>
        <v>205946.65653617773</v>
      </c>
      <c r="C58" s="21">
        <v>0.03</v>
      </c>
      <c r="D58" s="22">
        <f t="shared" si="0"/>
        <v>514.86664134044429</v>
      </c>
      <c r="E58" s="22">
        <f t="shared" si="3"/>
        <v>206461.52317751819</v>
      </c>
      <c r="F58" s="20"/>
      <c r="G58" s="22">
        <f t="shared" si="2"/>
        <v>205461.52317751819</v>
      </c>
      <c r="H58" s="22">
        <v>1000</v>
      </c>
      <c r="I58" s="23">
        <v>54</v>
      </c>
    </row>
    <row r="59" spans="2:9" x14ac:dyDescent="0.25">
      <c r="B59" s="22">
        <f t="shared" si="5"/>
        <v>205461.52317751819</v>
      </c>
      <c r="C59" s="21">
        <v>0.03</v>
      </c>
      <c r="D59" s="22">
        <f t="shared" si="0"/>
        <v>513.65380794379553</v>
      </c>
      <c r="E59" s="22">
        <f t="shared" si="3"/>
        <v>205975.17698546199</v>
      </c>
      <c r="F59" s="20"/>
      <c r="G59" s="22">
        <f t="shared" si="2"/>
        <v>204975.17698546199</v>
      </c>
      <c r="H59" s="22">
        <v>1000</v>
      </c>
      <c r="I59" s="23">
        <v>55</v>
      </c>
    </row>
    <row r="60" spans="2:9" x14ac:dyDescent="0.25">
      <c r="B60" s="22">
        <f t="shared" si="5"/>
        <v>204975.17698546199</v>
      </c>
      <c r="C60" s="21">
        <v>0.03</v>
      </c>
      <c r="D60" s="22">
        <f t="shared" si="0"/>
        <v>512.43794246365496</v>
      </c>
      <c r="E60" s="22">
        <f t="shared" si="3"/>
        <v>205487.61492792564</v>
      </c>
      <c r="F60" s="20"/>
      <c r="G60" s="22">
        <f t="shared" si="2"/>
        <v>204487.61492792564</v>
      </c>
      <c r="H60" s="22">
        <v>1000</v>
      </c>
      <c r="I60" s="23">
        <v>56</v>
      </c>
    </row>
    <row r="61" spans="2:9" x14ac:dyDescent="0.25">
      <c r="B61" s="22">
        <f t="shared" si="5"/>
        <v>204487.61492792564</v>
      </c>
      <c r="C61" s="21">
        <v>0.03</v>
      </c>
      <c r="D61" s="22">
        <f t="shared" si="0"/>
        <v>511.21903731981411</v>
      </c>
      <c r="E61" s="22">
        <f t="shared" si="3"/>
        <v>204998.83396524546</v>
      </c>
      <c r="F61" s="20"/>
      <c r="G61" s="22">
        <f t="shared" si="2"/>
        <v>203998.83396524546</v>
      </c>
      <c r="H61" s="22">
        <v>1000</v>
      </c>
      <c r="I61" s="23">
        <v>57</v>
      </c>
    </row>
    <row r="62" spans="2:9" x14ac:dyDescent="0.25">
      <c r="B62" s="22">
        <f t="shared" si="5"/>
        <v>203998.83396524546</v>
      </c>
      <c r="C62" s="21">
        <v>0.03</v>
      </c>
      <c r="D62" s="22">
        <f t="shared" si="0"/>
        <v>509.99708491311367</v>
      </c>
      <c r="E62" s="22">
        <f t="shared" si="3"/>
        <v>204508.83105015857</v>
      </c>
      <c r="F62" s="20"/>
      <c r="G62" s="22">
        <f t="shared" si="2"/>
        <v>203508.83105015857</v>
      </c>
      <c r="H62" s="22">
        <v>1000</v>
      </c>
      <c r="I62" s="23">
        <v>58</v>
      </c>
    </row>
    <row r="63" spans="2:9" x14ac:dyDescent="0.25">
      <c r="B63" s="22">
        <f t="shared" si="5"/>
        <v>203508.83105015857</v>
      </c>
      <c r="C63" s="21">
        <v>0.03</v>
      </c>
      <c r="D63" s="22">
        <f t="shared" si="0"/>
        <v>508.77207762539643</v>
      </c>
      <c r="E63" s="22">
        <f t="shared" si="3"/>
        <v>204017.60312778395</v>
      </c>
      <c r="F63" s="20"/>
      <c r="G63" s="22">
        <f t="shared" si="2"/>
        <v>203017.60312778395</v>
      </c>
      <c r="H63" s="22">
        <v>1000</v>
      </c>
      <c r="I63" s="23">
        <v>59</v>
      </c>
    </row>
    <row r="64" spans="2:9" x14ac:dyDescent="0.25">
      <c r="B64" s="22">
        <f t="shared" si="5"/>
        <v>203017.60312778395</v>
      </c>
      <c r="C64" s="21">
        <v>0.03</v>
      </c>
      <c r="D64" s="22">
        <f t="shared" si="0"/>
        <v>507.54400781945986</v>
      </c>
      <c r="E64" s="22">
        <f t="shared" si="3"/>
        <v>203525.14713560342</v>
      </c>
      <c r="F64" s="20"/>
      <c r="G64" s="22">
        <f t="shared" si="2"/>
        <v>202525.14713560342</v>
      </c>
      <c r="H64" s="22">
        <v>1000</v>
      </c>
      <c r="I64" s="23">
        <v>60</v>
      </c>
    </row>
    <row r="65" spans="2:9" x14ac:dyDescent="0.25">
      <c r="B65" s="22">
        <f t="shared" si="5"/>
        <v>202525.14713560342</v>
      </c>
      <c r="C65" s="21">
        <v>0.03</v>
      </c>
      <c r="D65" s="22">
        <f t="shared" si="0"/>
        <v>506.31286783900856</v>
      </c>
      <c r="E65" s="22">
        <f t="shared" si="3"/>
        <v>203031.46000344242</v>
      </c>
      <c r="F65" s="20"/>
      <c r="G65" s="22">
        <f t="shared" si="2"/>
        <v>202031.46000344242</v>
      </c>
      <c r="H65" s="22">
        <v>1000</v>
      </c>
      <c r="I65" s="23">
        <v>61</v>
      </c>
    </row>
    <row r="66" spans="2:9" x14ac:dyDescent="0.25">
      <c r="B66" s="22">
        <f t="shared" si="5"/>
        <v>202031.46000344242</v>
      </c>
      <c r="C66" s="21">
        <v>0.03</v>
      </c>
      <c r="D66" s="22">
        <f t="shared" si="0"/>
        <v>505.07865000860608</v>
      </c>
      <c r="E66" s="22">
        <f t="shared" si="3"/>
        <v>202536.53865345102</v>
      </c>
      <c r="F66" s="20"/>
      <c r="G66" s="22">
        <f t="shared" si="2"/>
        <v>201536.53865345102</v>
      </c>
      <c r="H66" s="22">
        <v>1000</v>
      </c>
      <c r="I66" s="23">
        <v>62</v>
      </c>
    </row>
    <row r="67" spans="2:9" x14ac:dyDescent="0.25">
      <c r="B67" s="22">
        <f t="shared" si="5"/>
        <v>201536.53865345102</v>
      </c>
      <c r="C67" s="21">
        <v>0.03</v>
      </c>
      <c r="D67" s="22">
        <f t="shared" si="0"/>
        <v>503.84134663362755</v>
      </c>
      <c r="E67" s="22">
        <f t="shared" si="3"/>
        <v>202040.38000008464</v>
      </c>
      <c r="F67" s="20"/>
      <c r="G67" s="22">
        <f t="shared" si="2"/>
        <v>201040.38000008464</v>
      </c>
      <c r="H67" s="22">
        <v>1000</v>
      </c>
      <c r="I67" s="23">
        <v>63</v>
      </c>
    </row>
    <row r="68" spans="2:9" x14ac:dyDescent="0.25">
      <c r="B68" s="22">
        <f t="shared" si="5"/>
        <v>201040.38000008464</v>
      </c>
      <c r="C68" s="21">
        <v>0.03</v>
      </c>
      <c r="D68" s="22">
        <f t="shared" si="0"/>
        <v>502.60095000021158</v>
      </c>
      <c r="E68" s="22">
        <f t="shared" si="3"/>
        <v>201542.98095008486</v>
      </c>
      <c r="F68" s="20"/>
      <c r="G68" s="22">
        <f t="shared" si="2"/>
        <v>200542.98095008486</v>
      </c>
      <c r="H68" s="22">
        <v>1000</v>
      </c>
      <c r="I68" s="23">
        <v>64</v>
      </c>
    </row>
    <row r="69" spans="2:9" x14ac:dyDescent="0.25">
      <c r="B69" s="22">
        <f t="shared" si="5"/>
        <v>200542.98095008486</v>
      </c>
      <c r="C69" s="21">
        <v>0.03</v>
      </c>
      <c r="D69" s="22">
        <f t="shared" si="0"/>
        <v>501.35745237521218</v>
      </c>
      <c r="E69" s="22">
        <f t="shared" si="3"/>
        <v>201044.33840246007</v>
      </c>
      <c r="F69" s="20"/>
      <c r="G69" s="22">
        <f t="shared" si="2"/>
        <v>200044.33840246007</v>
      </c>
      <c r="H69" s="22">
        <v>1000</v>
      </c>
      <c r="I69" s="23">
        <v>65</v>
      </c>
    </row>
    <row r="70" spans="2:9" x14ac:dyDescent="0.25">
      <c r="B70" s="22">
        <f t="shared" si="5"/>
        <v>200044.33840246007</v>
      </c>
      <c r="C70" s="21">
        <v>0.03</v>
      </c>
      <c r="D70" s="22">
        <f t="shared" ref="D70:D133" si="6">B70*(0.03/12)</f>
        <v>500.11084600615015</v>
      </c>
      <c r="E70" s="22">
        <f t="shared" si="3"/>
        <v>200544.4492484662</v>
      </c>
      <c r="F70" s="20"/>
      <c r="G70" s="22">
        <f t="shared" ref="G70:G133" si="7">E70-H70</f>
        <v>199544.4492484662</v>
      </c>
      <c r="H70" s="22">
        <v>1000</v>
      </c>
      <c r="I70" s="23">
        <v>66</v>
      </c>
    </row>
    <row r="71" spans="2:9" x14ac:dyDescent="0.25">
      <c r="B71" s="22">
        <f t="shared" si="5"/>
        <v>199544.4492484662</v>
      </c>
      <c r="C71" s="21">
        <v>0.03</v>
      </c>
      <c r="D71" s="22">
        <f t="shared" si="6"/>
        <v>498.86112312116552</v>
      </c>
      <c r="E71" s="22">
        <f t="shared" ref="E71:E134" si="8">B71+D71</f>
        <v>200043.31037158737</v>
      </c>
      <c r="F71" s="20"/>
      <c r="G71" s="22">
        <f t="shared" si="7"/>
        <v>199043.31037158737</v>
      </c>
      <c r="H71" s="22">
        <v>1000</v>
      </c>
      <c r="I71" s="23">
        <v>67</v>
      </c>
    </row>
    <row r="72" spans="2:9" x14ac:dyDescent="0.25">
      <c r="B72" s="22">
        <f t="shared" si="5"/>
        <v>199043.31037158737</v>
      </c>
      <c r="C72" s="21">
        <v>0.03</v>
      </c>
      <c r="D72" s="22">
        <f t="shared" si="6"/>
        <v>497.60827592896845</v>
      </c>
      <c r="E72" s="22">
        <f t="shared" si="8"/>
        <v>199540.91864751634</v>
      </c>
      <c r="F72" s="20"/>
      <c r="G72" s="22">
        <f t="shared" si="7"/>
        <v>198540.91864751634</v>
      </c>
      <c r="H72" s="22">
        <v>1000</v>
      </c>
      <c r="I72" s="23">
        <v>68</v>
      </c>
    </row>
    <row r="73" spans="2:9" x14ac:dyDescent="0.25">
      <c r="B73" s="22">
        <f t="shared" si="5"/>
        <v>198540.91864751634</v>
      </c>
      <c r="C73" s="21">
        <v>0.03</v>
      </c>
      <c r="D73" s="22">
        <f t="shared" si="6"/>
        <v>496.35229661879089</v>
      </c>
      <c r="E73" s="22">
        <f t="shared" si="8"/>
        <v>199037.27094413515</v>
      </c>
      <c r="F73" s="20"/>
      <c r="G73" s="22">
        <f t="shared" si="7"/>
        <v>198037.27094413515</v>
      </c>
      <c r="H73" s="22">
        <v>1000</v>
      </c>
      <c r="I73" s="23">
        <v>69</v>
      </c>
    </row>
    <row r="74" spans="2:9" x14ac:dyDescent="0.25">
      <c r="B74" s="22">
        <f t="shared" si="5"/>
        <v>198037.27094413515</v>
      </c>
      <c r="C74" s="21">
        <v>0.03</v>
      </c>
      <c r="D74" s="22">
        <f t="shared" si="6"/>
        <v>495.0931773603379</v>
      </c>
      <c r="E74" s="22">
        <f t="shared" si="8"/>
        <v>198532.36412149548</v>
      </c>
      <c r="F74" s="20"/>
      <c r="G74" s="22">
        <f t="shared" si="7"/>
        <v>197532.36412149548</v>
      </c>
      <c r="H74" s="22">
        <v>1000</v>
      </c>
      <c r="I74" s="23">
        <v>70</v>
      </c>
    </row>
    <row r="75" spans="2:9" x14ac:dyDescent="0.25">
      <c r="B75" s="22">
        <f t="shared" si="5"/>
        <v>197532.36412149548</v>
      </c>
      <c r="C75" s="21">
        <v>0.03</v>
      </c>
      <c r="D75" s="22">
        <f t="shared" si="6"/>
        <v>493.83091030373873</v>
      </c>
      <c r="E75" s="22">
        <f t="shared" si="8"/>
        <v>198026.19503179923</v>
      </c>
      <c r="F75" s="20"/>
      <c r="G75" s="22">
        <f t="shared" si="7"/>
        <v>197026.19503179923</v>
      </c>
      <c r="H75" s="22">
        <v>1000</v>
      </c>
      <c r="I75" s="23">
        <v>71</v>
      </c>
    </row>
    <row r="76" spans="2:9" x14ac:dyDescent="0.25">
      <c r="B76" s="22">
        <f t="shared" si="5"/>
        <v>197026.19503179923</v>
      </c>
      <c r="C76" s="21">
        <v>0.03</v>
      </c>
      <c r="D76" s="22">
        <f t="shared" si="6"/>
        <v>492.5654875794981</v>
      </c>
      <c r="E76" s="22">
        <f t="shared" si="8"/>
        <v>197518.76051937873</v>
      </c>
      <c r="F76" s="20"/>
      <c r="G76" s="22">
        <f t="shared" si="7"/>
        <v>196518.76051937873</v>
      </c>
      <c r="H76" s="22">
        <v>1000</v>
      </c>
      <c r="I76" s="23">
        <v>72</v>
      </c>
    </row>
    <row r="77" spans="2:9" x14ac:dyDescent="0.25">
      <c r="B77" s="22">
        <f t="shared" si="5"/>
        <v>196518.76051937873</v>
      </c>
      <c r="C77" s="21">
        <v>0.03</v>
      </c>
      <c r="D77" s="22">
        <f t="shared" si="6"/>
        <v>491.29690129844681</v>
      </c>
      <c r="E77" s="22">
        <f t="shared" si="8"/>
        <v>197010.05742067719</v>
      </c>
      <c r="F77" s="20"/>
      <c r="G77" s="22">
        <f t="shared" si="7"/>
        <v>196010.05742067719</v>
      </c>
      <c r="H77" s="22">
        <v>1000</v>
      </c>
      <c r="I77" s="23">
        <v>73</v>
      </c>
    </row>
    <row r="78" spans="2:9" x14ac:dyDescent="0.25">
      <c r="B78" s="22">
        <f t="shared" si="5"/>
        <v>196010.05742067719</v>
      </c>
      <c r="C78" s="21">
        <v>0.03</v>
      </c>
      <c r="D78" s="22">
        <f t="shared" si="6"/>
        <v>490.02514355169296</v>
      </c>
      <c r="E78" s="22">
        <f t="shared" si="8"/>
        <v>196500.08256422888</v>
      </c>
      <c r="F78" s="20"/>
      <c r="G78" s="22">
        <f t="shared" si="7"/>
        <v>195500.08256422888</v>
      </c>
      <c r="H78" s="22">
        <v>1000</v>
      </c>
      <c r="I78" s="23">
        <v>74</v>
      </c>
    </row>
    <row r="79" spans="2:9" x14ac:dyDescent="0.25">
      <c r="B79" s="22">
        <f t="shared" si="5"/>
        <v>195500.08256422888</v>
      </c>
      <c r="C79" s="21">
        <v>0.03</v>
      </c>
      <c r="D79" s="22">
        <f t="shared" si="6"/>
        <v>488.75020641057222</v>
      </c>
      <c r="E79" s="22">
        <f t="shared" si="8"/>
        <v>195988.83277063945</v>
      </c>
      <c r="F79" s="20"/>
      <c r="G79" s="22">
        <f t="shared" si="7"/>
        <v>194988.83277063945</v>
      </c>
      <c r="H79" s="22">
        <v>1000</v>
      </c>
      <c r="I79" s="23">
        <v>75</v>
      </c>
    </row>
    <row r="80" spans="2:9" x14ac:dyDescent="0.25">
      <c r="B80" s="22">
        <f t="shared" si="5"/>
        <v>194988.83277063945</v>
      </c>
      <c r="C80" s="21">
        <v>0.03</v>
      </c>
      <c r="D80" s="22">
        <f t="shared" si="6"/>
        <v>487.47208192659861</v>
      </c>
      <c r="E80" s="22">
        <f t="shared" si="8"/>
        <v>195476.30485256604</v>
      </c>
      <c r="F80" s="20"/>
      <c r="G80" s="22">
        <f t="shared" si="7"/>
        <v>194476.30485256604</v>
      </c>
      <c r="H80" s="22">
        <v>1000</v>
      </c>
      <c r="I80" s="23">
        <v>76</v>
      </c>
    </row>
    <row r="81" spans="2:9" x14ac:dyDescent="0.25">
      <c r="B81" s="22">
        <f t="shared" si="5"/>
        <v>194476.30485256604</v>
      </c>
      <c r="C81" s="21">
        <v>0.03</v>
      </c>
      <c r="D81" s="22">
        <f t="shared" si="6"/>
        <v>486.19076213141511</v>
      </c>
      <c r="E81" s="22">
        <f t="shared" si="8"/>
        <v>194962.49561469746</v>
      </c>
      <c r="F81" s="20"/>
      <c r="G81" s="22">
        <f t="shared" si="7"/>
        <v>193962.49561469746</v>
      </c>
      <c r="H81" s="22">
        <v>1000</v>
      </c>
      <c r="I81" s="23">
        <v>77</v>
      </c>
    </row>
    <row r="82" spans="2:9" x14ac:dyDescent="0.25">
      <c r="B82" s="22">
        <f t="shared" si="5"/>
        <v>193962.49561469746</v>
      </c>
      <c r="C82" s="21">
        <v>0.03</v>
      </c>
      <c r="D82" s="22">
        <f t="shared" si="6"/>
        <v>484.90623903674367</v>
      </c>
      <c r="E82" s="22">
        <f t="shared" si="8"/>
        <v>194447.40185373419</v>
      </c>
      <c r="F82" s="20"/>
      <c r="G82" s="22">
        <f t="shared" si="7"/>
        <v>193447.40185373419</v>
      </c>
      <c r="H82" s="22">
        <v>1000</v>
      </c>
      <c r="I82" s="23">
        <v>78</v>
      </c>
    </row>
    <row r="83" spans="2:9" x14ac:dyDescent="0.25">
      <c r="B83" s="22">
        <f t="shared" si="5"/>
        <v>193447.40185373419</v>
      </c>
      <c r="C83" s="21">
        <v>0.03</v>
      </c>
      <c r="D83" s="22">
        <f t="shared" si="6"/>
        <v>483.61850463433547</v>
      </c>
      <c r="E83" s="22">
        <f t="shared" si="8"/>
        <v>193931.02035836852</v>
      </c>
      <c r="F83" s="20"/>
      <c r="G83" s="22">
        <f t="shared" si="7"/>
        <v>192931.02035836852</v>
      </c>
      <c r="H83" s="22">
        <v>1000</v>
      </c>
      <c r="I83" s="23">
        <v>79</v>
      </c>
    </row>
    <row r="84" spans="2:9" x14ac:dyDescent="0.25">
      <c r="B84" s="22">
        <f t="shared" si="5"/>
        <v>192931.02035836852</v>
      </c>
      <c r="C84" s="21">
        <v>0.03</v>
      </c>
      <c r="D84" s="22">
        <f t="shared" si="6"/>
        <v>482.32755089592132</v>
      </c>
      <c r="E84" s="22">
        <f t="shared" si="8"/>
        <v>193413.34790926444</v>
      </c>
      <c r="F84" s="20"/>
      <c r="G84" s="22">
        <f t="shared" si="7"/>
        <v>192413.34790926444</v>
      </c>
      <c r="H84" s="22">
        <v>1000</v>
      </c>
      <c r="I84" s="23">
        <v>80</v>
      </c>
    </row>
    <row r="85" spans="2:9" x14ac:dyDescent="0.25">
      <c r="B85" s="22">
        <f t="shared" si="5"/>
        <v>192413.34790926444</v>
      </c>
      <c r="C85" s="21">
        <v>0.03</v>
      </c>
      <c r="D85" s="22">
        <f t="shared" si="6"/>
        <v>481.0333697731611</v>
      </c>
      <c r="E85" s="22">
        <f t="shared" si="8"/>
        <v>192894.3812790376</v>
      </c>
      <c r="F85" s="20"/>
      <c r="G85" s="22">
        <f t="shared" si="7"/>
        <v>191894.3812790376</v>
      </c>
      <c r="H85" s="22">
        <v>1000</v>
      </c>
      <c r="I85" s="23">
        <v>81</v>
      </c>
    </row>
    <row r="86" spans="2:9" x14ac:dyDescent="0.25">
      <c r="B86" s="22">
        <f t="shared" si="5"/>
        <v>191894.3812790376</v>
      </c>
      <c r="C86" s="21">
        <v>0.03</v>
      </c>
      <c r="D86" s="22">
        <f t="shared" si="6"/>
        <v>479.73595319759397</v>
      </c>
      <c r="E86" s="22">
        <f t="shared" si="8"/>
        <v>192374.11723223518</v>
      </c>
      <c r="F86" s="20"/>
      <c r="G86" s="22">
        <f t="shared" si="7"/>
        <v>191374.11723223518</v>
      </c>
      <c r="H86" s="22">
        <v>1000</v>
      </c>
      <c r="I86" s="23">
        <v>82</v>
      </c>
    </row>
    <row r="87" spans="2:9" x14ac:dyDescent="0.25">
      <c r="B87" s="22">
        <f t="shared" si="5"/>
        <v>191374.11723223518</v>
      </c>
      <c r="C87" s="21">
        <v>0.03</v>
      </c>
      <c r="D87" s="22">
        <f t="shared" si="6"/>
        <v>478.43529308058794</v>
      </c>
      <c r="E87" s="22">
        <f t="shared" si="8"/>
        <v>191852.55252531575</v>
      </c>
      <c r="F87" s="20"/>
      <c r="G87" s="22">
        <f t="shared" si="7"/>
        <v>190852.55252531575</v>
      </c>
      <c r="H87" s="22">
        <v>1000</v>
      </c>
      <c r="I87" s="23">
        <v>83</v>
      </c>
    </row>
    <row r="88" spans="2:9" x14ac:dyDescent="0.25">
      <c r="B88" s="22">
        <f t="shared" si="5"/>
        <v>190852.55252531575</v>
      </c>
      <c r="C88" s="21">
        <v>0.03</v>
      </c>
      <c r="D88" s="22">
        <f t="shared" si="6"/>
        <v>477.13138131328941</v>
      </c>
      <c r="E88" s="22">
        <f t="shared" si="8"/>
        <v>191329.68390662904</v>
      </c>
      <c r="F88" s="20"/>
      <c r="G88" s="22">
        <f t="shared" si="7"/>
        <v>190329.68390662904</v>
      </c>
      <c r="H88" s="22">
        <v>1000</v>
      </c>
      <c r="I88" s="23">
        <v>84</v>
      </c>
    </row>
    <row r="89" spans="2:9" x14ac:dyDescent="0.25">
      <c r="B89" s="22">
        <f t="shared" si="5"/>
        <v>190329.68390662904</v>
      </c>
      <c r="C89" s="21">
        <v>0.03</v>
      </c>
      <c r="D89" s="22">
        <f t="shared" si="6"/>
        <v>475.82420976657261</v>
      </c>
      <c r="E89" s="22">
        <f t="shared" si="8"/>
        <v>190805.50811639562</v>
      </c>
      <c r="F89" s="20"/>
      <c r="G89" s="22">
        <f t="shared" si="7"/>
        <v>189805.50811639562</v>
      </c>
      <c r="H89" s="22">
        <v>1000</v>
      </c>
      <c r="I89" s="23">
        <v>85</v>
      </c>
    </row>
    <row r="90" spans="2:9" x14ac:dyDescent="0.25">
      <c r="B90" s="22">
        <f t="shared" si="5"/>
        <v>189805.50811639562</v>
      </c>
      <c r="C90" s="21">
        <v>0.03</v>
      </c>
      <c r="D90" s="22">
        <f t="shared" si="6"/>
        <v>474.51377029098904</v>
      </c>
      <c r="E90" s="22">
        <f t="shared" si="8"/>
        <v>190280.02188668662</v>
      </c>
      <c r="F90" s="20"/>
      <c r="G90" s="22">
        <f t="shared" si="7"/>
        <v>189280.02188668662</v>
      </c>
      <c r="H90" s="22">
        <v>1000</v>
      </c>
      <c r="I90" s="23">
        <v>86</v>
      </c>
    </row>
    <row r="91" spans="2:9" x14ac:dyDescent="0.25">
      <c r="B91" s="22">
        <f t="shared" si="5"/>
        <v>189280.02188668662</v>
      </c>
      <c r="C91" s="21">
        <v>0.03</v>
      </c>
      <c r="D91" s="22">
        <f t="shared" si="6"/>
        <v>473.20005471671658</v>
      </c>
      <c r="E91" s="22">
        <f t="shared" si="8"/>
        <v>189753.22194140335</v>
      </c>
      <c r="F91" s="20"/>
      <c r="G91" s="22">
        <f t="shared" si="7"/>
        <v>188753.22194140335</v>
      </c>
      <c r="H91" s="22">
        <v>1000</v>
      </c>
      <c r="I91" s="23">
        <v>87</v>
      </c>
    </row>
    <row r="92" spans="2:9" x14ac:dyDescent="0.25">
      <c r="B92" s="22">
        <f t="shared" si="5"/>
        <v>188753.22194140335</v>
      </c>
      <c r="C92" s="21">
        <v>0.03</v>
      </c>
      <c r="D92" s="22">
        <f t="shared" si="6"/>
        <v>471.88305485350838</v>
      </c>
      <c r="E92" s="22">
        <f t="shared" si="8"/>
        <v>189225.10499625685</v>
      </c>
      <c r="F92" s="20"/>
      <c r="G92" s="22">
        <f t="shared" si="7"/>
        <v>188225.10499625685</v>
      </c>
      <c r="H92" s="22">
        <v>1000</v>
      </c>
      <c r="I92" s="23">
        <v>88</v>
      </c>
    </row>
    <row r="93" spans="2:9" x14ac:dyDescent="0.25">
      <c r="B93" s="22">
        <f t="shared" ref="B93:B156" si="9">G92</f>
        <v>188225.10499625685</v>
      </c>
      <c r="C93" s="21">
        <v>0.03</v>
      </c>
      <c r="D93" s="22">
        <f t="shared" si="6"/>
        <v>470.56276249064211</v>
      </c>
      <c r="E93" s="22">
        <f t="shared" si="8"/>
        <v>188695.6677587475</v>
      </c>
      <c r="F93" s="20"/>
      <c r="G93" s="22">
        <f t="shared" si="7"/>
        <v>187695.6677587475</v>
      </c>
      <c r="H93" s="22">
        <v>1000</v>
      </c>
      <c r="I93" s="23">
        <v>89</v>
      </c>
    </row>
    <row r="94" spans="2:9" x14ac:dyDescent="0.25">
      <c r="B94" s="22">
        <f t="shared" si="9"/>
        <v>187695.6677587475</v>
      </c>
      <c r="C94" s="21">
        <v>0.03</v>
      </c>
      <c r="D94" s="22">
        <f t="shared" si="6"/>
        <v>469.23916939686876</v>
      </c>
      <c r="E94" s="22">
        <f t="shared" si="8"/>
        <v>188164.90692814437</v>
      </c>
      <c r="F94" s="20"/>
      <c r="G94" s="22">
        <f t="shared" si="7"/>
        <v>187164.90692814437</v>
      </c>
      <c r="H94" s="22">
        <v>1000</v>
      </c>
      <c r="I94" s="23">
        <v>90</v>
      </c>
    </row>
    <row r="95" spans="2:9" x14ac:dyDescent="0.25">
      <c r="B95" s="22">
        <f t="shared" si="9"/>
        <v>187164.90692814437</v>
      </c>
      <c r="C95" s="21">
        <v>0.03</v>
      </c>
      <c r="D95" s="22">
        <f t="shared" si="6"/>
        <v>467.91226732036091</v>
      </c>
      <c r="E95" s="22">
        <f t="shared" si="8"/>
        <v>187632.81919546472</v>
      </c>
      <c r="F95" s="20"/>
      <c r="G95" s="22">
        <f t="shared" si="7"/>
        <v>186632.81919546472</v>
      </c>
      <c r="H95" s="22">
        <v>1000</v>
      </c>
      <c r="I95" s="23">
        <v>91</v>
      </c>
    </row>
    <row r="96" spans="2:9" x14ac:dyDescent="0.25">
      <c r="B96" s="22">
        <f t="shared" si="9"/>
        <v>186632.81919546472</v>
      </c>
      <c r="C96" s="21">
        <v>0.03</v>
      </c>
      <c r="D96" s="22">
        <f t="shared" si="6"/>
        <v>466.58204798866183</v>
      </c>
      <c r="E96" s="22">
        <f t="shared" si="8"/>
        <v>187099.40124345338</v>
      </c>
      <c r="F96" s="20"/>
      <c r="G96" s="22">
        <f t="shared" si="7"/>
        <v>186099.40124345338</v>
      </c>
      <c r="H96" s="22">
        <v>1000</v>
      </c>
      <c r="I96" s="23">
        <v>92</v>
      </c>
    </row>
    <row r="97" spans="2:9" x14ac:dyDescent="0.25">
      <c r="B97" s="22">
        <f t="shared" si="9"/>
        <v>186099.40124345338</v>
      </c>
      <c r="C97" s="21">
        <v>0.03</v>
      </c>
      <c r="D97" s="22">
        <f t="shared" si="6"/>
        <v>465.24850310863349</v>
      </c>
      <c r="E97" s="22">
        <f t="shared" si="8"/>
        <v>186564.64974656201</v>
      </c>
      <c r="F97" s="20"/>
      <c r="G97" s="22">
        <f t="shared" si="7"/>
        <v>185564.64974656201</v>
      </c>
      <c r="H97" s="22">
        <v>1000</v>
      </c>
      <c r="I97" s="23">
        <v>93</v>
      </c>
    </row>
    <row r="98" spans="2:9" x14ac:dyDescent="0.25">
      <c r="B98" s="22">
        <f t="shared" si="9"/>
        <v>185564.64974656201</v>
      </c>
      <c r="C98" s="21">
        <v>0.03</v>
      </c>
      <c r="D98" s="22">
        <f t="shared" si="6"/>
        <v>463.91162436640502</v>
      </c>
      <c r="E98" s="22">
        <f t="shared" si="8"/>
        <v>186028.56137092842</v>
      </c>
      <c r="F98" s="20"/>
      <c r="G98" s="22">
        <f t="shared" si="7"/>
        <v>185028.56137092842</v>
      </c>
      <c r="H98" s="22">
        <v>1000</v>
      </c>
      <c r="I98" s="23">
        <v>94</v>
      </c>
    </row>
    <row r="99" spans="2:9" x14ac:dyDescent="0.25">
      <c r="B99" s="22">
        <f t="shared" si="9"/>
        <v>185028.56137092842</v>
      </c>
      <c r="C99" s="21">
        <v>0.03</v>
      </c>
      <c r="D99" s="22">
        <f t="shared" si="6"/>
        <v>462.57140342732106</v>
      </c>
      <c r="E99" s="22">
        <f t="shared" si="8"/>
        <v>185491.13277435573</v>
      </c>
      <c r="F99" s="20"/>
      <c r="G99" s="22">
        <f t="shared" si="7"/>
        <v>184491.13277435573</v>
      </c>
      <c r="H99" s="22">
        <v>1000</v>
      </c>
      <c r="I99" s="23">
        <v>95</v>
      </c>
    </row>
    <row r="100" spans="2:9" x14ac:dyDescent="0.25">
      <c r="B100" s="22">
        <f t="shared" si="9"/>
        <v>184491.13277435573</v>
      </c>
      <c r="C100" s="21">
        <v>0.03</v>
      </c>
      <c r="D100" s="22">
        <f t="shared" si="6"/>
        <v>461.22783193588936</v>
      </c>
      <c r="E100" s="22">
        <f t="shared" si="8"/>
        <v>184952.36060629162</v>
      </c>
      <c r="F100" s="20"/>
      <c r="G100" s="22">
        <f t="shared" si="7"/>
        <v>183952.36060629162</v>
      </c>
      <c r="H100" s="22">
        <v>1000</v>
      </c>
      <c r="I100" s="23">
        <v>96</v>
      </c>
    </row>
    <row r="101" spans="2:9" x14ac:dyDescent="0.25">
      <c r="B101" s="22">
        <f t="shared" si="9"/>
        <v>183952.36060629162</v>
      </c>
      <c r="C101" s="21">
        <v>0.03</v>
      </c>
      <c r="D101" s="22">
        <f t="shared" si="6"/>
        <v>459.88090151572908</v>
      </c>
      <c r="E101" s="22">
        <f t="shared" si="8"/>
        <v>184412.24150780734</v>
      </c>
      <c r="F101" s="20"/>
      <c r="G101" s="22">
        <f t="shared" si="7"/>
        <v>183412.24150780734</v>
      </c>
      <c r="H101" s="22">
        <v>1000</v>
      </c>
      <c r="I101" s="23">
        <v>97</v>
      </c>
    </row>
    <row r="102" spans="2:9" x14ac:dyDescent="0.25">
      <c r="B102" s="22">
        <f t="shared" si="9"/>
        <v>183412.24150780734</v>
      </c>
      <c r="C102" s="21">
        <v>0.03</v>
      </c>
      <c r="D102" s="22">
        <f t="shared" si="6"/>
        <v>458.53060376951834</v>
      </c>
      <c r="E102" s="22">
        <f t="shared" si="8"/>
        <v>183870.77211157687</v>
      </c>
      <c r="F102" s="20"/>
      <c r="G102" s="22">
        <f t="shared" si="7"/>
        <v>182870.77211157687</v>
      </c>
      <c r="H102" s="22">
        <v>1000</v>
      </c>
      <c r="I102" s="23">
        <v>98</v>
      </c>
    </row>
    <row r="103" spans="2:9" x14ac:dyDescent="0.25">
      <c r="B103" s="22">
        <f t="shared" si="9"/>
        <v>182870.77211157687</v>
      </c>
      <c r="C103" s="21">
        <v>0.03</v>
      </c>
      <c r="D103" s="22">
        <f t="shared" si="6"/>
        <v>457.17693027894217</v>
      </c>
      <c r="E103" s="22">
        <f t="shared" si="8"/>
        <v>183327.94904185581</v>
      </c>
      <c r="F103" s="20"/>
      <c r="G103" s="22">
        <f t="shared" si="7"/>
        <v>182327.94904185581</v>
      </c>
      <c r="H103" s="22">
        <v>1000</v>
      </c>
      <c r="I103" s="23">
        <v>99</v>
      </c>
    </row>
    <row r="104" spans="2:9" x14ac:dyDescent="0.25">
      <c r="B104" s="22">
        <f t="shared" si="9"/>
        <v>182327.94904185581</v>
      </c>
      <c r="C104" s="21">
        <v>0.03</v>
      </c>
      <c r="D104" s="22">
        <f t="shared" si="6"/>
        <v>455.81987260463956</v>
      </c>
      <c r="E104" s="22">
        <f t="shared" si="8"/>
        <v>182783.76891446047</v>
      </c>
      <c r="F104" s="20"/>
      <c r="G104" s="22">
        <f t="shared" si="7"/>
        <v>181783.76891446047</v>
      </c>
      <c r="H104" s="22">
        <v>1000</v>
      </c>
      <c r="I104" s="23">
        <v>100</v>
      </c>
    </row>
    <row r="105" spans="2:9" x14ac:dyDescent="0.25">
      <c r="B105" s="22">
        <f t="shared" si="9"/>
        <v>181783.76891446047</v>
      </c>
      <c r="C105" s="21">
        <v>0.03</v>
      </c>
      <c r="D105" s="22">
        <f t="shared" si="6"/>
        <v>454.45942228615115</v>
      </c>
      <c r="E105" s="22">
        <f t="shared" si="8"/>
        <v>182238.22833674663</v>
      </c>
      <c r="F105" s="20"/>
      <c r="G105" s="22">
        <f t="shared" si="7"/>
        <v>181238.22833674663</v>
      </c>
      <c r="H105" s="22">
        <v>1000</v>
      </c>
      <c r="I105" s="23">
        <v>101</v>
      </c>
    </row>
    <row r="106" spans="2:9" x14ac:dyDescent="0.25">
      <c r="B106" s="22">
        <f t="shared" si="9"/>
        <v>181238.22833674663</v>
      </c>
      <c r="C106" s="21">
        <v>0.03</v>
      </c>
      <c r="D106" s="22">
        <f t="shared" si="6"/>
        <v>453.09557084186656</v>
      </c>
      <c r="E106" s="22">
        <f t="shared" si="8"/>
        <v>181691.32390758849</v>
      </c>
      <c r="F106" s="20"/>
      <c r="G106" s="22">
        <f t="shared" si="7"/>
        <v>180691.32390758849</v>
      </c>
      <c r="H106" s="22">
        <v>1000</v>
      </c>
      <c r="I106" s="23">
        <v>102</v>
      </c>
    </row>
    <row r="107" spans="2:9" x14ac:dyDescent="0.25">
      <c r="B107" s="22">
        <f t="shared" si="9"/>
        <v>180691.32390758849</v>
      </c>
      <c r="C107" s="21">
        <v>0.03</v>
      </c>
      <c r="D107" s="22">
        <f t="shared" si="6"/>
        <v>451.72830976897126</v>
      </c>
      <c r="E107" s="22">
        <f t="shared" si="8"/>
        <v>181143.05221735747</v>
      </c>
      <c r="F107" s="20"/>
      <c r="G107" s="22">
        <f t="shared" si="7"/>
        <v>180143.05221735747</v>
      </c>
      <c r="H107" s="22">
        <v>1000</v>
      </c>
      <c r="I107" s="23">
        <v>103</v>
      </c>
    </row>
    <row r="108" spans="2:9" x14ac:dyDescent="0.25">
      <c r="B108" s="22">
        <f t="shared" si="9"/>
        <v>180143.05221735747</v>
      </c>
      <c r="C108" s="21">
        <v>0.03</v>
      </c>
      <c r="D108" s="22">
        <f t="shared" si="6"/>
        <v>450.35763054339367</v>
      </c>
      <c r="E108" s="22">
        <f t="shared" si="8"/>
        <v>180593.40984790085</v>
      </c>
      <c r="F108" s="20"/>
      <c r="G108" s="22">
        <f t="shared" si="7"/>
        <v>179593.40984790085</v>
      </c>
      <c r="H108" s="22">
        <v>1000</v>
      </c>
      <c r="I108" s="23">
        <v>104</v>
      </c>
    </row>
    <row r="109" spans="2:9" x14ac:dyDescent="0.25">
      <c r="B109" s="22">
        <f t="shared" si="9"/>
        <v>179593.40984790085</v>
      </c>
      <c r="C109" s="21">
        <v>0.03</v>
      </c>
      <c r="D109" s="22">
        <f t="shared" si="6"/>
        <v>448.98352461975213</v>
      </c>
      <c r="E109" s="22">
        <f t="shared" si="8"/>
        <v>180042.3933725206</v>
      </c>
      <c r="F109" s="20"/>
      <c r="G109" s="22">
        <f t="shared" si="7"/>
        <v>179042.3933725206</v>
      </c>
      <c r="H109" s="22">
        <v>1000</v>
      </c>
      <c r="I109" s="23">
        <v>105</v>
      </c>
    </row>
    <row r="110" spans="2:9" x14ac:dyDescent="0.25">
      <c r="B110" s="22">
        <f t="shared" si="9"/>
        <v>179042.3933725206</v>
      </c>
      <c r="C110" s="21">
        <v>0.03</v>
      </c>
      <c r="D110" s="22">
        <f t="shared" si="6"/>
        <v>447.60598343130152</v>
      </c>
      <c r="E110" s="22">
        <f t="shared" si="8"/>
        <v>179489.99935595191</v>
      </c>
      <c r="F110" s="20"/>
      <c r="G110" s="22">
        <f t="shared" si="7"/>
        <v>178489.99935595191</v>
      </c>
      <c r="H110" s="22">
        <v>1000</v>
      </c>
      <c r="I110" s="23">
        <v>106</v>
      </c>
    </row>
    <row r="111" spans="2:9" x14ac:dyDescent="0.25">
      <c r="B111" s="22">
        <f t="shared" si="9"/>
        <v>178489.99935595191</v>
      </c>
      <c r="C111" s="21">
        <v>0.03</v>
      </c>
      <c r="D111" s="22">
        <f t="shared" si="6"/>
        <v>446.22499838987977</v>
      </c>
      <c r="E111" s="22">
        <f t="shared" si="8"/>
        <v>178936.22435434177</v>
      </c>
      <c r="F111" s="20"/>
      <c r="G111" s="22">
        <f t="shared" si="7"/>
        <v>177936.22435434177</v>
      </c>
      <c r="H111" s="22">
        <v>1000</v>
      </c>
      <c r="I111" s="23">
        <v>107</v>
      </c>
    </row>
    <row r="112" spans="2:9" x14ac:dyDescent="0.25">
      <c r="B112" s="22">
        <f t="shared" si="9"/>
        <v>177936.22435434177</v>
      </c>
      <c r="C112" s="21">
        <v>0.03</v>
      </c>
      <c r="D112" s="22">
        <f t="shared" si="6"/>
        <v>444.84056088585442</v>
      </c>
      <c r="E112" s="22">
        <f t="shared" si="8"/>
        <v>178381.06491522762</v>
      </c>
      <c r="F112" s="20"/>
      <c r="G112" s="22">
        <f t="shared" si="7"/>
        <v>177381.06491522762</v>
      </c>
      <c r="H112" s="22">
        <v>1000</v>
      </c>
      <c r="I112" s="23">
        <v>108</v>
      </c>
    </row>
    <row r="113" spans="2:9" x14ac:dyDescent="0.25">
      <c r="B113" s="22">
        <f t="shared" si="9"/>
        <v>177381.06491522762</v>
      </c>
      <c r="C113" s="21">
        <v>0.03</v>
      </c>
      <c r="D113" s="22">
        <f t="shared" si="6"/>
        <v>443.45266228806906</v>
      </c>
      <c r="E113" s="22">
        <f t="shared" si="8"/>
        <v>177824.51757751568</v>
      </c>
      <c r="F113" s="20"/>
      <c r="G113" s="22">
        <f t="shared" si="7"/>
        <v>176824.51757751568</v>
      </c>
      <c r="H113" s="22">
        <v>1000</v>
      </c>
      <c r="I113" s="23">
        <v>109</v>
      </c>
    </row>
    <row r="114" spans="2:9" x14ac:dyDescent="0.25">
      <c r="B114" s="22">
        <f t="shared" si="9"/>
        <v>176824.51757751568</v>
      </c>
      <c r="C114" s="21">
        <v>0.03</v>
      </c>
      <c r="D114" s="22">
        <f t="shared" si="6"/>
        <v>442.06129394378922</v>
      </c>
      <c r="E114" s="22">
        <f t="shared" si="8"/>
        <v>177266.57887145947</v>
      </c>
      <c r="F114" s="20"/>
      <c r="G114" s="22">
        <f t="shared" si="7"/>
        <v>176266.57887145947</v>
      </c>
      <c r="H114" s="22">
        <v>1000</v>
      </c>
      <c r="I114" s="23">
        <v>110</v>
      </c>
    </row>
    <row r="115" spans="2:9" x14ac:dyDescent="0.25">
      <c r="B115" s="22">
        <f t="shared" si="9"/>
        <v>176266.57887145947</v>
      </c>
      <c r="C115" s="21">
        <v>0.03</v>
      </c>
      <c r="D115" s="22">
        <f t="shared" si="6"/>
        <v>440.6664471786487</v>
      </c>
      <c r="E115" s="22">
        <f t="shared" si="8"/>
        <v>176707.2453186381</v>
      </c>
      <c r="F115" s="20"/>
      <c r="G115" s="22">
        <f t="shared" si="7"/>
        <v>175707.2453186381</v>
      </c>
      <c r="H115" s="22">
        <v>1000</v>
      </c>
      <c r="I115" s="23">
        <v>111</v>
      </c>
    </row>
    <row r="116" spans="2:9" x14ac:dyDescent="0.25">
      <c r="B116" s="22">
        <f t="shared" si="9"/>
        <v>175707.2453186381</v>
      </c>
      <c r="C116" s="21">
        <v>0.03</v>
      </c>
      <c r="D116" s="22">
        <f t="shared" si="6"/>
        <v>439.26811329659529</v>
      </c>
      <c r="E116" s="22">
        <f t="shared" si="8"/>
        <v>176146.5134319347</v>
      </c>
      <c r="F116" s="20"/>
      <c r="G116" s="22">
        <f t="shared" si="7"/>
        <v>175146.5134319347</v>
      </c>
      <c r="H116" s="22">
        <v>1000</v>
      </c>
      <c r="I116" s="23">
        <v>112</v>
      </c>
    </row>
    <row r="117" spans="2:9" x14ac:dyDescent="0.25">
      <c r="B117" s="22">
        <f t="shared" si="9"/>
        <v>175146.5134319347</v>
      </c>
      <c r="C117" s="21">
        <v>0.03</v>
      </c>
      <c r="D117" s="22">
        <f t="shared" si="6"/>
        <v>437.86628357983676</v>
      </c>
      <c r="E117" s="22">
        <f t="shared" si="8"/>
        <v>175584.37971551454</v>
      </c>
      <c r="F117" s="20"/>
      <c r="G117" s="22">
        <f t="shared" si="7"/>
        <v>174584.37971551454</v>
      </c>
      <c r="H117" s="22">
        <v>1000</v>
      </c>
      <c r="I117" s="23">
        <v>113</v>
      </c>
    </row>
    <row r="118" spans="2:9" x14ac:dyDescent="0.25">
      <c r="B118" s="22">
        <f t="shared" si="9"/>
        <v>174584.37971551454</v>
      </c>
      <c r="C118" s="21">
        <v>0.03</v>
      </c>
      <c r="D118" s="22">
        <f t="shared" si="6"/>
        <v>436.46094928878637</v>
      </c>
      <c r="E118" s="22">
        <f t="shared" si="8"/>
        <v>175020.84066480334</v>
      </c>
      <c r="F118" s="20"/>
      <c r="G118" s="22">
        <f t="shared" si="7"/>
        <v>174020.84066480334</v>
      </c>
      <c r="H118" s="22">
        <v>1000</v>
      </c>
      <c r="I118" s="23">
        <v>114</v>
      </c>
    </row>
    <row r="119" spans="2:9" x14ac:dyDescent="0.25">
      <c r="B119" s="22">
        <f t="shared" si="9"/>
        <v>174020.84066480334</v>
      </c>
      <c r="C119" s="21">
        <v>0.03</v>
      </c>
      <c r="D119" s="22">
        <f t="shared" si="6"/>
        <v>435.05210166200834</v>
      </c>
      <c r="E119" s="22">
        <f t="shared" si="8"/>
        <v>174455.89276646535</v>
      </c>
      <c r="F119" s="20"/>
      <c r="G119" s="22">
        <f t="shared" si="7"/>
        <v>173455.89276646535</v>
      </c>
      <c r="H119" s="22">
        <v>1000</v>
      </c>
      <c r="I119" s="23">
        <v>115</v>
      </c>
    </row>
    <row r="120" spans="2:9" x14ac:dyDescent="0.25">
      <c r="B120" s="22">
        <f t="shared" si="9"/>
        <v>173455.89276646535</v>
      </c>
      <c r="C120" s="21">
        <v>0.03</v>
      </c>
      <c r="D120" s="22">
        <f t="shared" si="6"/>
        <v>433.63973191616338</v>
      </c>
      <c r="E120" s="22">
        <f t="shared" si="8"/>
        <v>173889.53249838151</v>
      </c>
      <c r="F120" s="20"/>
      <c r="G120" s="22">
        <f t="shared" si="7"/>
        <v>172889.53249838151</v>
      </c>
      <c r="H120" s="22">
        <v>1000</v>
      </c>
      <c r="I120" s="23">
        <v>116</v>
      </c>
    </row>
    <row r="121" spans="2:9" x14ac:dyDescent="0.25">
      <c r="B121" s="22">
        <f t="shared" si="9"/>
        <v>172889.53249838151</v>
      </c>
      <c r="C121" s="21">
        <v>0.03</v>
      </c>
      <c r="D121" s="22">
        <f t="shared" si="6"/>
        <v>432.22383124595376</v>
      </c>
      <c r="E121" s="22">
        <f t="shared" si="8"/>
        <v>173321.75632962747</v>
      </c>
      <c r="F121" s="20"/>
      <c r="G121" s="22">
        <f t="shared" si="7"/>
        <v>172321.75632962747</v>
      </c>
      <c r="H121" s="22">
        <v>1000</v>
      </c>
      <c r="I121" s="23">
        <v>117</v>
      </c>
    </row>
    <row r="122" spans="2:9" x14ac:dyDescent="0.25">
      <c r="B122" s="22">
        <f t="shared" si="9"/>
        <v>172321.75632962747</v>
      </c>
      <c r="C122" s="21">
        <v>0.03</v>
      </c>
      <c r="D122" s="22">
        <f t="shared" si="6"/>
        <v>430.80439082406872</v>
      </c>
      <c r="E122" s="22">
        <f t="shared" si="8"/>
        <v>172752.56072045155</v>
      </c>
      <c r="F122" s="20"/>
      <c r="G122" s="22">
        <f t="shared" si="7"/>
        <v>171752.56072045155</v>
      </c>
      <c r="H122" s="22">
        <v>1000</v>
      </c>
      <c r="I122" s="23">
        <v>118</v>
      </c>
    </row>
    <row r="123" spans="2:9" x14ac:dyDescent="0.25">
      <c r="B123" s="22">
        <f t="shared" si="9"/>
        <v>171752.56072045155</v>
      </c>
      <c r="C123" s="21">
        <v>0.03</v>
      </c>
      <c r="D123" s="22">
        <f t="shared" si="6"/>
        <v>429.3814018011289</v>
      </c>
      <c r="E123" s="22">
        <f t="shared" si="8"/>
        <v>172181.94212225269</v>
      </c>
      <c r="F123" s="20"/>
      <c r="G123" s="22">
        <f t="shared" si="7"/>
        <v>171181.94212225269</v>
      </c>
      <c r="H123" s="22">
        <v>1000</v>
      </c>
      <c r="I123" s="23">
        <v>119</v>
      </c>
    </row>
    <row r="124" spans="2:9" x14ac:dyDescent="0.25">
      <c r="B124" s="22">
        <f t="shared" si="9"/>
        <v>171181.94212225269</v>
      </c>
      <c r="C124" s="21">
        <v>0.03</v>
      </c>
      <c r="D124" s="22">
        <f t="shared" si="6"/>
        <v>427.95485530563172</v>
      </c>
      <c r="E124" s="22">
        <f t="shared" si="8"/>
        <v>171609.89697755832</v>
      </c>
      <c r="F124" s="20"/>
      <c r="G124" s="22">
        <f t="shared" si="7"/>
        <v>170609.89697755832</v>
      </c>
      <c r="H124" s="22">
        <v>1000</v>
      </c>
      <c r="I124" s="23">
        <v>120</v>
      </c>
    </row>
    <row r="125" spans="2:9" x14ac:dyDescent="0.25">
      <c r="B125" s="22">
        <f t="shared" si="9"/>
        <v>170609.89697755832</v>
      </c>
      <c r="C125" s="21">
        <v>0.03</v>
      </c>
      <c r="D125" s="22">
        <f t="shared" si="6"/>
        <v>426.52474244389583</v>
      </c>
      <c r="E125" s="22">
        <f t="shared" si="8"/>
        <v>171036.42172000222</v>
      </c>
      <c r="F125" s="20"/>
      <c r="G125" s="22">
        <f t="shared" si="7"/>
        <v>170036.42172000222</v>
      </c>
      <c r="H125" s="22">
        <v>1000</v>
      </c>
      <c r="I125" s="23">
        <v>121</v>
      </c>
    </row>
    <row r="126" spans="2:9" x14ac:dyDescent="0.25">
      <c r="B126" s="22">
        <f t="shared" si="9"/>
        <v>170036.42172000222</v>
      </c>
      <c r="C126" s="21">
        <v>0.03</v>
      </c>
      <c r="D126" s="22">
        <f t="shared" si="6"/>
        <v>425.09105430000557</v>
      </c>
      <c r="E126" s="22">
        <f t="shared" si="8"/>
        <v>170461.51277430222</v>
      </c>
      <c r="F126" s="20"/>
      <c r="G126" s="22">
        <f t="shared" si="7"/>
        <v>169461.51277430222</v>
      </c>
      <c r="H126" s="22">
        <v>1000</v>
      </c>
      <c r="I126" s="23">
        <v>122</v>
      </c>
    </row>
    <row r="127" spans="2:9" x14ac:dyDescent="0.25">
      <c r="B127" s="22">
        <f t="shared" si="9"/>
        <v>169461.51277430222</v>
      </c>
      <c r="C127" s="21">
        <v>0.03</v>
      </c>
      <c r="D127" s="22">
        <f t="shared" si="6"/>
        <v>423.65378193575555</v>
      </c>
      <c r="E127" s="22">
        <f t="shared" si="8"/>
        <v>169885.16655623796</v>
      </c>
      <c r="F127" s="20"/>
      <c r="G127" s="22">
        <f t="shared" si="7"/>
        <v>168885.16655623796</v>
      </c>
      <c r="H127" s="22">
        <v>1000</v>
      </c>
      <c r="I127" s="23">
        <v>123</v>
      </c>
    </row>
    <row r="128" spans="2:9" x14ac:dyDescent="0.25">
      <c r="B128" s="22">
        <f t="shared" si="9"/>
        <v>168885.16655623796</v>
      </c>
      <c r="C128" s="21">
        <v>0.03</v>
      </c>
      <c r="D128" s="22">
        <f t="shared" si="6"/>
        <v>422.2129163905949</v>
      </c>
      <c r="E128" s="22">
        <f t="shared" si="8"/>
        <v>169307.37947262856</v>
      </c>
      <c r="F128" s="20"/>
      <c r="G128" s="22">
        <f t="shared" si="7"/>
        <v>168307.37947262856</v>
      </c>
      <c r="H128" s="22">
        <v>1000</v>
      </c>
      <c r="I128" s="23">
        <v>124</v>
      </c>
    </row>
    <row r="129" spans="2:9" x14ac:dyDescent="0.25">
      <c r="B129" s="22">
        <f t="shared" si="9"/>
        <v>168307.37947262856</v>
      </c>
      <c r="C129" s="21">
        <v>0.03</v>
      </c>
      <c r="D129" s="22">
        <f t="shared" si="6"/>
        <v>420.76844868157139</v>
      </c>
      <c r="E129" s="22">
        <f t="shared" si="8"/>
        <v>168728.14792131013</v>
      </c>
      <c r="F129" s="20"/>
      <c r="G129" s="22">
        <f t="shared" si="7"/>
        <v>167728.14792131013</v>
      </c>
      <c r="H129" s="22">
        <v>1000</v>
      </c>
      <c r="I129" s="23">
        <v>125</v>
      </c>
    </row>
    <row r="130" spans="2:9" x14ac:dyDescent="0.25">
      <c r="B130" s="22">
        <f t="shared" si="9"/>
        <v>167728.14792131013</v>
      </c>
      <c r="C130" s="21">
        <v>0.03</v>
      </c>
      <c r="D130" s="22">
        <f t="shared" si="6"/>
        <v>419.3203698032753</v>
      </c>
      <c r="E130" s="22">
        <f t="shared" si="8"/>
        <v>168147.46829111342</v>
      </c>
      <c r="F130" s="20"/>
      <c r="G130" s="22">
        <f t="shared" si="7"/>
        <v>167147.46829111342</v>
      </c>
      <c r="H130" s="22">
        <v>1000</v>
      </c>
      <c r="I130" s="23">
        <v>126</v>
      </c>
    </row>
    <row r="131" spans="2:9" x14ac:dyDescent="0.25">
      <c r="B131" s="22">
        <f t="shared" si="9"/>
        <v>167147.46829111342</v>
      </c>
      <c r="C131" s="21">
        <v>0.03</v>
      </c>
      <c r="D131" s="22">
        <f t="shared" si="6"/>
        <v>417.86867072778352</v>
      </c>
      <c r="E131" s="22">
        <f t="shared" si="8"/>
        <v>167565.33696184121</v>
      </c>
      <c r="F131" s="20"/>
      <c r="G131" s="22">
        <f t="shared" si="7"/>
        <v>166565.33696184121</v>
      </c>
      <c r="H131" s="22">
        <v>1000</v>
      </c>
      <c r="I131" s="23">
        <v>127</v>
      </c>
    </row>
    <row r="132" spans="2:9" x14ac:dyDescent="0.25">
      <c r="B132" s="22">
        <f t="shared" si="9"/>
        <v>166565.33696184121</v>
      </c>
      <c r="C132" s="21">
        <v>0.03</v>
      </c>
      <c r="D132" s="22">
        <f t="shared" si="6"/>
        <v>416.41334240460304</v>
      </c>
      <c r="E132" s="22">
        <f t="shared" si="8"/>
        <v>166981.75030424583</v>
      </c>
      <c r="F132" s="20"/>
      <c r="G132" s="22">
        <f t="shared" si="7"/>
        <v>165981.75030424583</v>
      </c>
      <c r="H132" s="22">
        <v>1000</v>
      </c>
      <c r="I132" s="23">
        <v>128</v>
      </c>
    </row>
    <row r="133" spans="2:9" x14ac:dyDescent="0.25">
      <c r="B133" s="22">
        <f t="shared" si="9"/>
        <v>165981.75030424583</v>
      </c>
      <c r="C133" s="21">
        <v>0.03</v>
      </c>
      <c r="D133" s="22">
        <f t="shared" si="6"/>
        <v>414.9543757606146</v>
      </c>
      <c r="E133" s="22">
        <f t="shared" si="8"/>
        <v>166396.70468000643</v>
      </c>
      <c r="F133" s="20"/>
      <c r="G133" s="22">
        <f t="shared" si="7"/>
        <v>165396.70468000643</v>
      </c>
      <c r="H133" s="22">
        <v>1000</v>
      </c>
      <c r="I133" s="23">
        <v>129</v>
      </c>
    </row>
    <row r="134" spans="2:9" x14ac:dyDescent="0.25">
      <c r="B134" s="22">
        <f t="shared" si="9"/>
        <v>165396.70468000643</v>
      </c>
      <c r="C134" s="21">
        <v>0.03</v>
      </c>
      <c r="D134" s="22">
        <f t="shared" ref="D134:D197" si="10">B134*(0.03/12)</f>
        <v>413.49176170001607</v>
      </c>
      <c r="E134" s="22">
        <f t="shared" si="8"/>
        <v>165810.19644170644</v>
      </c>
      <c r="F134" s="20"/>
      <c r="G134" s="22">
        <f t="shared" ref="G134:G197" si="11">E134-H134</f>
        <v>164810.19644170644</v>
      </c>
      <c r="H134" s="22">
        <v>1000</v>
      </c>
      <c r="I134" s="23">
        <v>130</v>
      </c>
    </row>
    <row r="135" spans="2:9" x14ac:dyDescent="0.25">
      <c r="B135" s="22">
        <f t="shared" si="9"/>
        <v>164810.19644170644</v>
      </c>
      <c r="C135" s="21">
        <v>0.03</v>
      </c>
      <c r="D135" s="22">
        <f t="shared" si="10"/>
        <v>412.02549110426611</v>
      </c>
      <c r="E135" s="22">
        <f t="shared" ref="E135:E198" si="12">B135+D135</f>
        <v>165222.2219328107</v>
      </c>
      <c r="F135" s="20"/>
      <c r="G135" s="22">
        <f t="shared" si="11"/>
        <v>164222.2219328107</v>
      </c>
      <c r="H135" s="22">
        <v>1000</v>
      </c>
      <c r="I135" s="23">
        <v>131</v>
      </c>
    </row>
    <row r="136" spans="2:9" x14ac:dyDescent="0.25">
      <c r="B136" s="22">
        <f t="shared" si="9"/>
        <v>164222.2219328107</v>
      </c>
      <c r="C136" s="21">
        <v>0.03</v>
      </c>
      <c r="D136" s="22">
        <f t="shared" si="10"/>
        <v>410.55555483202676</v>
      </c>
      <c r="E136" s="22">
        <f t="shared" si="12"/>
        <v>164632.77748764274</v>
      </c>
      <c r="F136" s="20"/>
      <c r="G136" s="22">
        <f t="shared" si="11"/>
        <v>163632.77748764274</v>
      </c>
      <c r="H136" s="22">
        <v>1000</v>
      </c>
      <c r="I136" s="23">
        <v>132</v>
      </c>
    </row>
    <row r="137" spans="2:9" x14ac:dyDescent="0.25">
      <c r="B137" s="22">
        <f t="shared" si="9"/>
        <v>163632.77748764274</v>
      </c>
      <c r="C137" s="21">
        <v>0.03</v>
      </c>
      <c r="D137" s="22">
        <f t="shared" si="10"/>
        <v>409.08194371910685</v>
      </c>
      <c r="E137" s="22">
        <f t="shared" si="12"/>
        <v>164041.85943136184</v>
      </c>
      <c r="F137" s="20"/>
      <c r="G137" s="22">
        <f t="shared" si="11"/>
        <v>163041.85943136184</v>
      </c>
      <c r="H137" s="22">
        <v>1000</v>
      </c>
      <c r="I137" s="23">
        <v>133</v>
      </c>
    </row>
    <row r="138" spans="2:9" x14ac:dyDescent="0.25">
      <c r="B138" s="22">
        <f t="shared" si="9"/>
        <v>163041.85943136184</v>
      </c>
      <c r="C138" s="21">
        <v>0.03</v>
      </c>
      <c r="D138" s="22">
        <f t="shared" si="10"/>
        <v>407.60464857840458</v>
      </c>
      <c r="E138" s="22">
        <f t="shared" si="12"/>
        <v>163449.46407994026</v>
      </c>
      <c r="F138" s="20"/>
      <c r="G138" s="22">
        <f t="shared" si="11"/>
        <v>162449.46407994026</v>
      </c>
      <c r="H138" s="22">
        <v>1000</v>
      </c>
      <c r="I138" s="23">
        <v>134</v>
      </c>
    </row>
    <row r="139" spans="2:9" x14ac:dyDescent="0.25">
      <c r="B139" s="22">
        <f t="shared" si="9"/>
        <v>162449.46407994026</v>
      </c>
      <c r="C139" s="21">
        <v>0.03</v>
      </c>
      <c r="D139" s="22">
        <f t="shared" si="10"/>
        <v>406.12366019985063</v>
      </c>
      <c r="E139" s="22">
        <f t="shared" si="12"/>
        <v>162855.58774014009</v>
      </c>
      <c r="F139" s="20"/>
      <c r="G139" s="22">
        <f t="shared" si="11"/>
        <v>161855.58774014009</v>
      </c>
      <c r="H139" s="22">
        <v>1000</v>
      </c>
      <c r="I139" s="23">
        <v>135</v>
      </c>
    </row>
    <row r="140" spans="2:9" x14ac:dyDescent="0.25">
      <c r="B140" s="22">
        <f t="shared" si="9"/>
        <v>161855.58774014009</v>
      </c>
      <c r="C140" s="21">
        <v>0.03</v>
      </c>
      <c r="D140" s="22">
        <f t="shared" si="10"/>
        <v>404.63896935035024</v>
      </c>
      <c r="E140" s="22">
        <f t="shared" si="12"/>
        <v>162260.22670949044</v>
      </c>
      <c r="F140" s="20"/>
      <c r="G140" s="22">
        <f t="shared" si="11"/>
        <v>161260.22670949044</v>
      </c>
      <c r="H140" s="22">
        <v>1000</v>
      </c>
      <c r="I140" s="23">
        <v>136</v>
      </c>
    </row>
    <row r="141" spans="2:9" x14ac:dyDescent="0.25">
      <c r="B141" s="22">
        <f t="shared" si="9"/>
        <v>161260.22670949044</v>
      </c>
      <c r="C141" s="21">
        <v>0.03</v>
      </c>
      <c r="D141" s="22">
        <f t="shared" si="10"/>
        <v>403.1505667737261</v>
      </c>
      <c r="E141" s="22">
        <f t="shared" si="12"/>
        <v>161663.37727626416</v>
      </c>
      <c r="F141" s="20"/>
      <c r="G141" s="22">
        <f t="shared" si="11"/>
        <v>160663.37727626416</v>
      </c>
      <c r="H141" s="22">
        <v>1000</v>
      </c>
      <c r="I141" s="23">
        <v>137</v>
      </c>
    </row>
    <row r="142" spans="2:9" x14ac:dyDescent="0.25">
      <c r="B142" s="22">
        <f t="shared" si="9"/>
        <v>160663.37727626416</v>
      </c>
      <c r="C142" s="21">
        <v>0.03</v>
      </c>
      <c r="D142" s="22">
        <f t="shared" si="10"/>
        <v>401.65844319066042</v>
      </c>
      <c r="E142" s="22">
        <f t="shared" si="12"/>
        <v>161065.03571945481</v>
      </c>
      <c r="F142" s="20"/>
      <c r="G142" s="22">
        <f t="shared" si="11"/>
        <v>160065.03571945481</v>
      </c>
      <c r="H142" s="22">
        <v>1000</v>
      </c>
      <c r="I142" s="23">
        <v>138</v>
      </c>
    </row>
    <row r="143" spans="2:9" x14ac:dyDescent="0.25">
      <c r="B143" s="22">
        <f t="shared" si="9"/>
        <v>160065.03571945481</v>
      </c>
      <c r="C143" s="21">
        <v>0.03</v>
      </c>
      <c r="D143" s="22">
        <f t="shared" si="10"/>
        <v>400.16258929863704</v>
      </c>
      <c r="E143" s="22">
        <f t="shared" si="12"/>
        <v>160465.19830875346</v>
      </c>
      <c r="F143" s="20"/>
      <c r="G143" s="22">
        <f t="shared" si="11"/>
        <v>159465.19830875346</v>
      </c>
      <c r="H143" s="22">
        <v>1000</v>
      </c>
      <c r="I143" s="23">
        <v>139</v>
      </c>
    </row>
    <row r="144" spans="2:9" x14ac:dyDescent="0.25">
      <c r="B144" s="22">
        <f t="shared" si="9"/>
        <v>159465.19830875346</v>
      </c>
      <c r="C144" s="21">
        <v>0.03</v>
      </c>
      <c r="D144" s="22">
        <f t="shared" si="10"/>
        <v>398.66299577188369</v>
      </c>
      <c r="E144" s="22">
        <f t="shared" si="12"/>
        <v>159863.86130452534</v>
      </c>
      <c r="F144" s="20"/>
      <c r="G144" s="22">
        <f t="shared" si="11"/>
        <v>158863.86130452534</v>
      </c>
      <c r="H144" s="22">
        <v>1000</v>
      </c>
      <c r="I144" s="23">
        <v>140</v>
      </c>
    </row>
    <row r="145" spans="2:9" x14ac:dyDescent="0.25">
      <c r="B145" s="22">
        <f t="shared" si="9"/>
        <v>158863.86130452534</v>
      </c>
      <c r="C145" s="21">
        <v>0.03</v>
      </c>
      <c r="D145" s="22">
        <f t="shared" si="10"/>
        <v>397.15965326131339</v>
      </c>
      <c r="E145" s="22">
        <f t="shared" si="12"/>
        <v>159261.02095778665</v>
      </c>
      <c r="F145" s="20"/>
      <c r="G145" s="22">
        <f t="shared" si="11"/>
        <v>158261.02095778665</v>
      </c>
      <c r="H145" s="22">
        <v>1000</v>
      </c>
      <c r="I145" s="23">
        <v>141</v>
      </c>
    </row>
    <row r="146" spans="2:9" x14ac:dyDescent="0.25">
      <c r="B146" s="22">
        <f t="shared" si="9"/>
        <v>158261.02095778665</v>
      </c>
      <c r="C146" s="21">
        <v>0.03</v>
      </c>
      <c r="D146" s="22">
        <f t="shared" si="10"/>
        <v>395.65255239446662</v>
      </c>
      <c r="E146" s="22">
        <f t="shared" si="12"/>
        <v>158656.67351018111</v>
      </c>
      <c r="F146" s="20"/>
      <c r="G146" s="22">
        <f t="shared" si="11"/>
        <v>157656.67351018111</v>
      </c>
      <c r="H146" s="22">
        <v>1000</v>
      </c>
      <c r="I146" s="23">
        <v>142</v>
      </c>
    </row>
    <row r="147" spans="2:9" x14ac:dyDescent="0.25">
      <c r="B147" s="22">
        <f t="shared" si="9"/>
        <v>157656.67351018111</v>
      </c>
      <c r="C147" s="21">
        <v>0.03</v>
      </c>
      <c r="D147" s="22">
        <f t="shared" si="10"/>
        <v>394.14168377545275</v>
      </c>
      <c r="E147" s="22">
        <f t="shared" si="12"/>
        <v>158050.81519395657</v>
      </c>
      <c r="F147" s="20"/>
      <c r="G147" s="22">
        <f t="shared" si="11"/>
        <v>157050.81519395657</v>
      </c>
      <c r="H147" s="22">
        <v>1000</v>
      </c>
      <c r="I147" s="23">
        <v>143</v>
      </c>
    </row>
    <row r="148" spans="2:9" x14ac:dyDescent="0.25">
      <c r="B148" s="22">
        <f t="shared" si="9"/>
        <v>157050.81519395657</v>
      </c>
      <c r="C148" s="21">
        <v>0.03</v>
      </c>
      <c r="D148" s="22">
        <f t="shared" si="10"/>
        <v>392.62703798489144</v>
      </c>
      <c r="E148" s="22">
        <f t="shared" si="12"/>
        <v>157443.44223194147</v>
      </c>
      <c r="F148" s="20"/>
      <c r="G148" s="22">
        <f t="shared" si="11"/>
        <v>156443.44223194147</v>
      </c>
      <c r="H148" s="22">
        <v>1000</v>
      </c>
      <c r="I148" s="23">
        <v>144</v>
      </c>
    </row>
    <row r="149" spans="2:9" x14ac:dyDescent="0.25">
      <c r="B149" s="22">
        <f t="shared" si="9"/>
        <v>156443.44223194147</v>
      </c>
      <c r="C149" s="21">
        <v>0.03</v>
      </c>
      <c r="D149" s="22">
        <f t="shared" si="10"/>
        <v>391.1086055798537</v>
      </c>
      <c r="E149" s="22">
        <f t="shared" si="12"/>
        <v>156834.55083752132</v>
      </c>
      <c r="F149" s="20"/>
      <c r="G149" s="22">
        <f t="shared" si="11"/>
        <v>155834.55083752132</v>
      </c>
      <c r="H149" s="22">
        <v>1000</v>
      </c>
      <c r="I149" s="23">
        <v>145</v>
      </c>
    </row>
    <row r="150" spans="2:9" x14ac:dyDescent="0.25">
      <c r="B150" s="22">
        <f t="shared" si="9"/>
        <v>155834.55083752132</v>
      </c>
      <c r="C150" s="21">
        <v>0.03</v>
      </c>
      <c r="D150" s="22">
        <f t="shared" si="10"/>
        <v>389.58637709380332</v>
      </c>
      <c r="E150" s="22">
        <f t="shared" si="12"/>
        <v>156224.13721461513</v>
      </c>
      <c r="F150" s="20"/>
      <c r="G150" s="22">
        <f t="shared" si="11"/>
        <v>155224.13721461513</v>
      </c>
      <c r="H150" s="22">
        <v>1000</v>
      </c>
      <c r="I150" s="23">
        <v>146</v>
      </c>
    </row>
    <row r="151" spans="2:9" x14ac:dyDescent="0.25">
      <c r="B151" s="22">
        <f t="shared" si="9"/>
        <v>155224.13721461513</v>
      </c>
      <c r="C151" s="21">
        <v>0.03</v>
      </c>
      <c r="D151" s="22">
        <f t="shared" si="10"/>
        <v>388.0603430365378</v>
      </c>
      <c r="E151" s="22">
        <f t="shared" si="12"/>
        <v>155612.19755765167</v>
      </c>
      <c r="F151" s="20"/>
      <c r="G151" s="22">
        <f t="shared" si="11"/>
        <v>154612.19755765167</v>
      </c>
      <c r="H151" s="22">
        <v>1000</v>
      </c>
      <c r="I151" s="23">
        <v>147</v>
      </c>
    </row>
    <row r="152" spans="2:9" x14ac:dyDescent="0.25">
      <c r="B152" s="22">
        <f t="shared" si="9"/>
        <v>154612.19755765167</v>
      </c>
      <c r="C152" s="21">
        <v>0.03</v>
      </c>
      <c r="D152" s="22">
        <f t="shared" si="10"/>
        <v>386.53049389412917</v>
      </c>
      <c r="E152" s="22">
        <f t="shared" si="12"/>
        <v>154998.7280515458</v>
      </c>
      <c r="F152" s="20"/>
      <c r="G152" s="22">
        <f t="shared" si="11"/>
        <v>153998.7280515458</v>
      </c>
      <c r="H152" s="22">
        <v>1000</v>
      </c>
      <c r="I152" s="23">
        <v>148</v>
      </c>
    </row>
    <row r="153" spans="2:9" x14ac:dyDescent="0.25">
      <c r="B153" s="22">
        <f t="shared" si="9"/>
        <v>153998.7280515458</v>
      </c>
      <c r="C153" s="21">
        <v>0.03</v>
      </c>
      <c r="D153" s="22">
        <f t="shared" si="10"/>
        <v>384.9968201288645</v>
      </c>
      <c r="E153" s="22">
        <f t="shared" si="12"/>
        <v>154383.72487167467</v>
      </c>
      <c r="F153" s="20"/>
      <c r="G153" s="22">
        <f t="shared" si="11"/>
        <v>153383.72487167467</v>
      </c>
      <c r="H153" s="22">
        <v>1000</v>
      </c>
      <c r="I153" s="23">
        <v>149</v>
      </c>
    </row>
    <row r="154" spans="2:9" x14ac:dyDescent="0.25">
      <c r="B154" s="22">
        <f t="shared" si="9"/>
        <v>153383.72487167467</v>
      </c>
      <c r="C154" s="21">
        <v>0.03</v>
      </c>
      <c r="D154" s="22">
        <f t="shared" si="10"/>
        <v>383.45931217918667</v>
      </c>
      <c r="E154" s="22">
        <f t="shared" si="12"/>
        <v>153767.18418385385</v>
      </c>
      <c r="F154" s="20"/>
      <c r="G154" s="22">
        <f t="shared" si="11"/>
        <v>152767.18418385385</v>
      </c>
      <c r="H154" s="22">
        <v>1000</v>
      </c>
      <c r="I154" s="23">
        <v>150</v>
      </c>
    </row>
    <row r="155" spans="2:9" x14ac:dyDescent="0.25">
      <c r="B155" s="22">
        <f t="shared" si="9"/>
        <v>152767.18418385385</v>
      </c>
      <c r="C155" s="21">
        <v>0.03</v>
      </c>
      <c r="D155" s="22">
        <f t="shared" si="10"/>
        <v>381.91796045963463</v>
      </c>
      <c r="E155" s="22">
        <f t="shared" si="12"/>
        <v>153149.10214431348</v>
      </c>
      <c r="F155" s="20"/>
      <c r="G155" s="22">
        <f t="shared" si="11"/>
        <v>152149.10214431348</v>
      </c>
      <c r="H155" s="22">
        <v>1000</v>
      </c>
      <c r="I155" s="23">
        <v>151</v>
      </c>
    </row>
    <row r="156" spans="2:9" x14ac:dyDescent="0.25">
      <c r="B156" s="22">
        <f t="shared" si="9"/>
        <v>152149.10214431348</v>
      </c>
      <c r="C156" s="21">
        <v>0.03</v>
      </c>
      <c r="D156" s="22">
        <f t="shared" si="10"/>
        <v>380.37275536078369</v>
      </c>
      <c r="E156" s="22">
        <f t="shared" si="12"/>
        <v>152529.47489967427</v>
      </c>
      <c r="F156" s="20"/>
      <c r="G156" s="22">
        <f t="shared" si="11"/>
        <v>151529.47489967427</v>
      </c>
      <c r="H156" s="22">
        <v>1000</v>
      </c>
      <c r="I156" s="23">
        <v>152</v>
      </c>
    </row>
    <row r="157" spans="2:9" x14ac:dyDescent="0.25">
      <c r="B157" s="22">
        <f t="shared" ref="B157:B220" si="13">G156</f>
        <v>151529.47489967427</v>
      </c>
      <c r="C157" s="21">
        <v>0.03</v>
      </c>
      <c r="D157" s="22">
        <f t="shared" si="10"/>
        <v>378.8236872491857</v>
      </c>
      <c r="E157" s="22">
        <f t="shared" si="12"/>
        <v>151908.29858692345</v>
      </c>
      <c r="F157" s="20"/>
      <c r="G157" s="22">
        <f t="shared" si="11"/>
        <v>150908.29858692345</v>
      </c>
      <c r="H157" s="22">
        <v>1000</v>
      </c>
      <c r="I157" s="23">
        <v>153</v>
      </c>
    </row>
    <row r="158" spans="2:9" x14ac:dyDescent="0.25">
      <c r="B158" s="22">
        <f t="shared" si="13"/>
        <v>150908.29858692345</v>
      </c>
      <c r="C158" s="21">
        <v>0.03</v>
      </c>
      <c r="D158" s="22">
        <f t="shared" si="10"/>
        <v>377.27074646730864</v>
      </c>
      <c r="E158" s="22">
        <f t="shared" si="12"/>
        <v>151285.56933339077</v>
      </c>
      <c r="F158" s="20"/>
      <c r="G158" s="22">
        <f t="shared" si="11"/>
        <v>150285.56933339077</v>
      </c>
      <c r="H158" s="22">
        <v>1000</v>
      </c>
      <c r="I158" s="23">
        <v>154</v>
      </c>
    </row>
    <row r="159" spans="2:9" x14ac:dyDescent="0.25">
      <c r="B159" s="22">
        <f t="shared" si="13"/>
        <v>150285.56933339077</v>
      </c>
      <c r="C159" s="21">
        <v>0.03</v>
      </c>
      <c r="D159" s="22">
        <f t="shared" si="10"/>
        <v>375.71392333347694</v>
      </c>
      <c r="E159" s="22">
        <f t="shared" si="12"/>
        <v>150661.28325672424</v>
      </c>
      <c r="F159" s="20"/>
      <c r="G159" s="22">
        <f t="shared" si="11"/>
        <v>149661.28325672424</v>
      </c>
      <c r="H159" s="22">
        <v>1000</v>
      </c>
      <c r="I159" s="23">
        <v>155</v>
      </c>
    </row>
    <row r="160" spans="2:9" x14ac:dyDescent="0.25">
      <c r="B160" s="22">
        <f t="shared" si="13"/>
        <v>149661.28325672424</v>
      </c>
      <c r="C160" s="21">
        <v>0.03</v>
      </c>
      <c r="D160" s="22">
        <f t="shared" si="10"/>
        <v>374.15320814181064</v>
      </c>
      <c r="E160" s="22">
        <f t="shared" si="12"/>
        <v>150035.43646486604</v>
      </c>
      <c r="F160" s="20"/>
      <c r="G160" s="22">
        <f t="shared" si="11"/>
        <v>149035.43646486604</v>
      </c>
      <c r="H160" s="22">
        <v>1000</v>
      </c>
      <c r="I160" s="23">
        <v>156</v>
      </c>
    </row>
    <row r="161" spans="2:9" x14ac:dyDescent="0.25">
      <c r="B161" s="22">
        <f t="shared" si="13"/>
        <v>149035.43646486604</v>
      </c>
      <c r="C161" s="21">
        <v>0.03</v>
      </c>
      <c r="D161" s="22">
        <f t="shared" si="10"/>
        <v>372.58859116216513</v>
      </c>
      <c r="E161" s="22">
        <f t="shared" si="12"/>
        <v>149408.02505602821</v>
      </c>
      <c r="F161" s="20"/>
      <c r="G161" s="22">
        <f t="shared" si="11"/>
        <v>148408.02505602821</v>
      </c>
      <c r="H161" s="22">
        <v>1000</v>
      </c>
      <c r="I161" s="23">
        <v>157</v>
      </c>
    </row>
    <row r="162" spans="2:9" x14ac:dyDescent="0.25">
      <c r="B162" s="22">
        <f t="shared" si="13"/>
        <v>148408.02505602821</v>
      </c>
      <c r="C162" s="21">
        <v>0.03</v>
      </c>
      <c r="D162" s="22">
        <f t="shared" si="10"/>
        <v>371.02006264007053</v>
      </c>
      <c r="E162" s="22">
        <f t="shared" si="12"/>
        <v>148779.04511866829</v>
      </c>
      <c r="F162" s="20"/>
      <c r="G162" s="22">
        <f t="shared" si="11"/>
        <v>147779.04511866829</v>
      </c>
      <c r="H162" s="22">
        <v>1000</v>
      </c>
      <c r="I162" s="23">
        <v>158</v>
      </c>
    </row>
    <row r="163" spans="2:9" x14ac:dyDescent="0.25">
      <c r="B163" s="22">
        <f t="shared" si="13"/>
        <v>147779.04511866829</v>
      </c>
      <c r="C163" s="21">
        <v>0.03</v>
      </c>
      <c r="D163" s="22">
        <f t="shared" si="10"/>
        <v>369.44761279667074</v>
      </c>
      <c r="E163" s="22">
        <f t="shared" si="12"/>
        <v>148148.49273146497</v>
      </c>
      <c r="F163" s="20"/>
      <c r="G163" s="22">
        <f t="shared" si="11"/>
        <v>147148.49273146497</v>
      </c>
      <c r="H163" s="22">
        <v>1000</v>
      </c>
      <c r="I163" s="23">
        <v>159</v>
      </c>
    </row>
    <row r="164" spans="2:9" x14ac:dyDescent="0.25">
      <c r="B164" s="22">
        <f t="shared" si="13"/>
        <v>147148.49273146497</v>
      </c>
      <c r="C164" s="21">
        <v>0.03</v>
      </c>
      <c r="D164" s="22">
        <f t="shared" si="10"/>
        <v>367.87123182866242</v>
      </c>
      <c r="E164" s="22">
        <f t="shared" si="12"/>
        <v>147516.36396329364</v>
      </c>
      <c r="F164" s="20"/>
      <c r="G164" s="22">
        <f t="shared" si="11"/>
        <v>146516.36396329364</v>
      </c>
      <c r="H164" s="22">
        <v>1000</v>
      </c>
      <c r="I164" s="23">
        <v>160</v>
      </c>
    </row>
    <row r="165" spans="2:9" x14ac:dyDescent="0.25">
      <c r="B165" s="22">
        <f t="shared" si="13"/>
        <v>146516.36396329364</v>
      </c>
      <c r="C165" s="21">
        <v>0.03</v>
      </c>
      <c r="D165" s="22">
        <f t="shared" si="10"/>
        <v>366.29090990823408</v>
      </c>
      <c r="E165" s="22">
        <f t="shared" si="12"/>
        <v>146882.65487320189</v>
      </c>
      <c r="F165" s="20"/>
      <c r="G165" s="22">
        <f t="shared" si="11"/>
        <v>145882.65487320189</v>
      </c>
      <c r="H165" s="22">
        <v>1000</v>
      </c>
      <c r="I165" s="23">
        <v>161</v>
      </c>
    </row>
    <row r="166" spans="2:9" x14ac:dyDescent="0.25">
      <c r="B166" s="22">
        <f t="shared" si="13"/>
        <v>145882.65487320189</v>
      </c>
      <c r="C166" s="21">
        <v>0.03</v>
      </c>
      <c r="D166" s="22">
        <f t="shared" si="10"/>
        <v>364.70663718300472</v>
      </c>
      <c r="E166" s="22">
        <f t="shared" si="12"/>
        <v>146247.36151038489</v>
      </c>
      <c r="F166" s="20"/>
      <c r="G166" s="22">
        <f t="shared" si="11"/>
        <v>145247.36151038489</v>
      </c>
      <c r="H166" s="22">
        <v>1000</v>
      </c>
      <c r="I166" s="23">
        <v>162</v>
      </c>
    </row>
    <row r="167" spans="2:9" x14ac:dyDescent="0.25">
      <c r="B167" s="22">
        <f t="shared" si="13"/>
        <v>145247.36151038489</v>
      </c>
      <c r="C167" s="21">
        <v>0.03</v>
      </c>
      <c r="D167" s="22">
        <f t="shared" si="10"/>
        <v>363.11840377596224</v>
      </c>
      <c r="E167" s="22">
        <f t="shared" si="12"/>
        <v>145610.47991416085</v>
      </c>
      <c r="F167" s="20"/>
      <c r="G167" s="22">
        <f t="shared" si="11"/>
        <v>144610.47991416085</v>
      </c>
      <c r="H167" s="22">
        <v>1000</v>
      </c>
      <c r="I167" s="23">
        <v>163</v>
      </c>
    </row>
    <row r="168" spans="2:9" x14ac:dyDescent="0.25">
      <c r="B168" s="22">
        <f t="shared" si="13"/>
        <v>144610.47991416085</v>
      </c>
      <c r="C168" s="21">
        <v>0.03</v>
      </c>
      <c r="D168" s="22">
        <f t="shared" si="10"/>
        <v>361.52619978540213</v>
      </c>
      <c r="E168" s="22">
        <f t="shared" si="12"/>
        <v>144972.00611394626</v>
      </c>
      <c r="F168" s="20"/>
      <c r="G168" s="22">
        <f t="shared" si="11"/>
        <v>143972.00611394626</v>
      </c>
      <c r="H168" s="22">
        <v>1000</v>
      </c>
      <c r="I168" s="23">
        <v>164</v>
      </c>
    </row>
    <row r="169" spans="2:9" x14ac:dyDescent="0.25">
      <c r="B169" s="22">
        <f t="shared" si="13"/>
        <v>143972.00611394626</v>
      </c>
      <c r="C169" s="21">
        <v>0.03</v>
      </c>
      <c r="D169" s="22">
        <f t="shared" si="10"/>
        <v>359.93001528486565</v>
      </c>
      <c r="E169" s="22">
        <f t="shared" si="12"/>
        <v>144331.93612923112</v>
      </c>
      <c r="F169" s="20"/>
      <c r="G169" s="22">
        <f t="shared" si="11"/>
        <v>143331.93612923112</v>
      </c>
      <c r="H169" s="22">
        <v>1000</v>
      </c>
      <c r="I169" s="23">
        <v>165</v>
      </c>
    </row>
    <row r="170" spans="2:9" x14ac:dyDescent="0.25">
      <c r="B170" s="22">
        <f t="shared" si="13"/>
        <v>143331.93612923112</v>
      </c>
      <c r="C170" s="21">
        <v>0.03</v>
      </c>
      <c r="D170" s="22">
        <f t="shared" si="10"/>
        <v>358.3298403230778</v>
      </c>
      <c r="E170" s="22">
        <f t="shared" si="12"/>
        <v>143690.2659695542</v>
      </c>
      <c r="F170" s="20"/>
      <c r="G170" s="22">
        <f t="shared" si="11"/>
        <v>142690.2659695542</v>
      </c>
      <c r="H170" s="22">
        <v>1000</v>
      </c>
      <c r="I170" s="23">
        <v>166</v>
      </c>
    </row>
    <row r="171" spans="2:9" x14ac:dyDescent="0.25">
      <c r="B171" s="22">
        <f t="shared" si="13"/>
        <v>142690.2659695542</v>
      </c>
      <c r="C171" s="21">
        <v>0.03</v>
      </c>
      <c r="D171" s="22">
        <f t="shared" si="10"/>
        <v>356.72566492388552</v>
      </c>
      <c r="E171" s="22">
        <f t="shared" si="12"/>
        <v>143046.99163447809</v>
      </c>
      <c r="F171" s="20"/>
      <c r="G171" s="22">
        <f t="shared" si="11"/>
        <v>142046.99163447809</v>
      </c>
      <c r="H171" s="22">
        <v>1000</v>
      </c>
      <c r="I171" s="23">
        <v>167</v>
      </c>
    </row>
    <row r="172" spans="2:9" x14ac:dyDescent="0.25">
      <c r="B172" s="22">
        <f t="shared" si="13"/>
        <v>142046.99163447809</v>
      </c>
      <c r="C172" s="21">
        <v>0.03</v>
      </c>
      <c r="D172" s="22">
        <f t="shared" si="10"/>
        <v>355.11747908619526</v>
      </c>
      <c r="E172" s="22">
        <f t="shared" si="12"/>
        <v>142402.10911356428</v>
      </c>
      <c r="F172" s="20"/>
      <c r="G172" s="22">
        <f t="shared" si="11"/>
        <v>141402.10911356428</v>
      </c>
      <c r="H172" s="22">
        <v>1000</v>
      </c>
      <c r="I172" s="23">
        <v>168</v>
      </c>
    </row>
    <row r="173" spans="2:9" x14ac:dyDescent="0.25">
      <c r="B173" s="22">
        <f t="shared" si="13"/>
        <v>141402.10911356428</v>
      </c>
      <c r="C173" s="21">
        <v>0.03</v>
      </c>
      <c r="D173" s="22">
        <f t="shared" si="10"/>
        <v>353.5052727839107</v>
      </c>
      <c r="E173" s="22">
        <f t="shared" si="12"/>
        <v>141755.6143863482</v>
      </c>
      <c r="F173" s="20"/>
      <c r="G173" s="22">
        <f t="shared" si="11"/>
        <v>140755.6143863482</v>
      </c>
      <c r="H173" s="22">
        <v>1000</v>
      </c>
      <c r="I173" s="23">
        <v>169</v>
      </c>
    </row>
    <row r="174" spans="2:9" x14ac:dyDescent="0.25">
      <c r="B174" s="22">
        <f t="shared" si="13"/>
        <v>140755.6143863482</v>
      </c>
      <c r="C174" s="21">
        <v>0.03</v>
      </c>
      <c r="D174" s="22">
        <f t="shared" si="10"/>
        <v>351.88903596587051</v>
      </c>
      <c r="E174" s="22">
        <f t="shared" si="12"/>
        <v>141107.50342231407</v>
      </c>
      <c r="F174" s="20"/>
      <c r="G174" s="22">
        <f t="shared" si="11"/>
        <v>140107.50342231407</v>
      </c>
      <c r="H174" s="22">
        <v>1000</v>
      </c>
      <c r="I174" s="23">
        <v>170</v>
      </c>
    </row>
    <row r="175" spans="2:9" x14ac:dyDescent="0.25">
      <c r="B175" s="22">
        <f t="shared" si="13"/>
        <v>140107.50342231407</v>
      </c>
      <c r="C175" s="21">
        <v>0.03</v>
      </c>
      <c r="D175" s="22">
        <f t="shared" si="10"/>
        <v>350.26875855578515</v>
      </c>
      <c r="E175" s="22">
        <f t="shared" si="12"/>
        <v>140457.77218086986</v>
      </c>
      <c r="F175" s="20"/>
      <c r="G175" s="22">
        <f t="shared" si="11"/>
        <v>139457.77218086986</v>
      </c>
      <c r="H175" s="22">
        <v>1000</v>
      </c>
      <c r="I175" s="23">
        <v>171</v>
      </c>
    </row>
    <row r="176" spans="2:9" x14ac:dyDescent="0.25">
      <c r="B176" s="22">
        <f t="shared" si="13"/>
        <v>139457.77218086986</v>
      </c>
      <c r="C176" s="21">
        <v>0.03</v>
      </c>
      <c r="D176" s="22">
        <f t="shared" si="10"/>
        <v>348.64443045217462</v>
      </c>
      <c r="E176" s="22">
        <f t="shared" si="12"/>
        <v>139806.41661132203</v>
      </c>
      <c r="F176" s="20"/>
      <c r="G176" s="22">
        <f t="shared" si="11"/>
        <v>138806.41661132203</v>
      </c>
      <c r="H176" s="22">
        <v>1000</v>
      </c>
      <c r="I176" s="23">
        <v>172</v>
      </c>
    </row>
    <row r="177" spans="2:9" x14ac:dyDescent="0.25">
      <c r="B177" s="22">
        <f t="shared" si="13"/>
        <v>138806.41661132203</v>
      </c>
      <c r="C177" s="21">
        <v>0.03</v>
      </c>
      <c r="D177" s="22">
        <f t="shared" si="10"/>
        <v>347.0160415283051</v>
      </c>
      <c r="E177" s="22">
        <f t="shared" si="12"/>
        <v>139153.43265285034</v>
      </c>
      <c r="F177" s="20"/>
      <c r="G177" s="22">
        <f t="shared" si="11"/>
        <v>138153.43265285034</v>
      </c>
      <c r="H177" s="22">
        <v>1000</v>
      </c>
      <c r="I177" s="23">
        <v>173</v>
      </c>
    </row>
    <row r="178" spans="2:9" x14ac:dyDescent="0.25">
      <c r="B178" s="22">
        <f t="shared" si="13"/>
        <v>138153.43265285034</v>
      </c>
      <c r="C178" s="21">
        <v>0.03</v>
      </c>
      <c r="D178" s="22">
        <f t="shared" si="10"/>
        <v>345.38358163212587</v>
      </c>
      <c r="E178" s="22">
        <f t="shared" si="12"/>
        <v>138498.81623448248</v>
      </c>
      <c r="F178" s="20"/>
      <c r="G178" s="22">
        <f t="shared" si="11"/>
        <v>137498.81623448248</v>
      </c>
      <c r="H178" s="22">
        <v>1000</v>
      </c>
      <c r="I178" s="23">
        <v>174</v>
      </c>
    </row>
    <row r="179" spans="2:9" x14ac:dyDescent="0.25">
      <c r="B179" s="22">
        <f t="shared" si="13"/>
        <v>137498.81623448248</v>
      </c>
      <c r="C179" s="21">
        <v>0.03</v>
      </c>
      <c r="D179" s="22">
        <f t="shared" si="10"/>
        <v>343.7470405862062</v>
      </c>
      <c r="E179" s="22">
        <f t="shared" si="12"/>
        <v>137842.56327506868</v>
      </c>
      <c r="F179" s="20"/>
      <c r="G179" s="22">
        <f t="shared" si="11"/>
        <v>136842.56327506868</v>
      </c>
      <c r="H179" s="22">
        <v>1000</v>
      </c>
      <c r="I179" s="23">
        <v>175</v>
      </c>
    </row>
    <row r="180" spans="2:9" x14ac:dyDescent="0.25">
      <c r="B180" s="22">
        <f t="shared" si="13"/>
        <v>136842.56327506868</v>
      </c>
      <c r="C180" s="21">
        <v>0.03</v>
      </c>
      <c r="D180" s="22">
        <f t="shared" si="10"/>
        <v>342.10640818767172</v>
      </c>
      <c r="E180" s="22">
        <f t="shared" si="12"/>
        <v>137184.66968325636</v>
      </c>
      <c r="F180" s="20"/>
      <c r="G180" s="22">
        <f t="shared" si="11"/>
        <v>136184.66968325636</v>
      </c>
      <c r="H180" s="22">
        <v>1000</v>
      </c>
      <c r="I180" s="23">
        <v>176</v>
      </c>
    </row>
    <row r="181" spans="2:9" x14ac:dyDescent="0.25">
      <c r="B181" s="22">
        <f t="shared" si="13"/>
        <v>136184.66968325636</v>
      </c>
      <c r="C181" s="21">
        <v>0.03</v>
      </c>
      <c r="D181" s="22">
        <f t="shared" si="10"/>
        <v>340.46167420814089</v>
      </c>
      <c r="E181" s="22">
        <f t="shared" si="12"/>
        <v>136525.1313574645</v>
      </c>
      <c r="F181" s="20"/>
      <c r="G181" s="22">
        <f t="shared" si="11"/>
        <v>135525.1313574645</v>
      </c>
      <c r="H181" s="22">
        <v>1000</v>
      </c>
      <c r="I181" s="23">
        <v>177</v>
      </c>
    </row>
    <row r="182" spans="2:9" x14ac:dyDescent="0.25">
      <c r="B182" s="22">
        <f t="shared" si="13"/>
        <v>135525.1313574645</v>
      </c>
      <c r="C182" s="21">
        <v>0.03</v>
      </c>
      <c r="D182" s="22">
        <f t="shared" si="10"/>
        <v>338.81282839366128</v>
      </c>
      <c r="E182" s="22">
        <f t="shared" si="12"/>
        <v>135863.94418585816</v>
      </c>
      <c r="F182" s="20"/>
      <c r="G182" s="22">
        <f t="shared" si="11"/>
        <v>134863.94418585816</v>
      </c>
      <c r="H182" s="22">
        <v>1000</v>
      </c>
      <c r="I182" s="23">
        <v>178</v>
      </c>
    </row>
    <row r="183" spans="2:9" x14ac:dyDescent="0.25">
      <c r="B183" s="22">
        <f t="shared" si="13"/>
        <v>134863.94418585816</v>
      </c>
      <c r="C183" s="21">
        <v>0.03</v>
      </c>
      <c r="D183" s="22">
        <f t="shared" si="10"/>
        <v>337.15986046464542</v>
      </c>
      <c r="E183" s="22">
        <f t="shared" si="12"/>
        <v>135201.10404632281</v>
      </c>
      <c r="F183" s="20"/>
      <c r="G183" s="22">
        <f t="shared" si="11"/>
        <v>134201.10404632281</v>
      </c>
      <c r="H183" s="22">
        <v>1000</v>
      </c>
      <c r="I183" s="23">
        <v>179</v>
      </c>
    </row>
    <row r="184" spans="2:9" x14ac:dyDescent="0.25">
      <c r="B184" s="22">
        <f t="shared" si="13"/>
        <v>134201.10404632281</v>
      </c>
      <c r="C184" s="21">
        <v>0.03</v>
      </c>
      <c r="D184" s="22">
        <f t="shared" si="10"/>
        <v>335.50276011580706</v>
      </c>
      <c r="E184" s="22">
        <f t="shared" si="12"/>
        <v>134536.60680643862</v>
      </c>
      <c r="F184" s="20"/>
      <c r="G184" s="22">
        <f t="shared" si="11"/>
        <v>133536.60680643862</v>
      </c>
      <c r="H184" s="22">
        <v>1000</v>
      </c>
      <c r="I184" s="23">
        <v>180</v>
      </c>
    </row>
    <row r="185" spans="2:9" x14ac:dyDescent="0.25">
      <c r="B185" s="22">
        <f t="shared" si="13"/>
        <v>133536.60680643862</v>
      </c>
      <c r="C185" s="21">
        <v>0.03</v>
      </c>
      <c r="D185" s="22">
        <f t="shared" si="10"/>
        <v>333.84151701609653</v>
      </c>
      <c r="E185" s="22">
        <f t="shared" si="12"/>
        <v>133870.44832345471</v>
      </c>
      <c r="F185" s="20"/>
      <c r="G185" s="22">
        <f t="shared" si="11"/>
        <v>132870.44832345471</v>
      </c>
      <c r="H185" s="22">
        <v>1000</v>
      </c>
      <c r="I185" s="23">
        <v>181</v>
      </c>
    </row>
    <row r="186" spans="2:9" x14ac:dyDescent="0.25">
      <c r="B186" s="22">
        <f t="shared" si="13"/>
        <v>132870.44832345471</v>
      </c>
      <c r="C186" s="21">
        <v>0.03</v>
      </c>
      <c r="D186" s="22">
        <f t="shared" si="10"/>
        <v>332.17612080863677</v>
      </c>
      <c r="E186" s="22">
        <f t="shared" si="12"/>
        <v>133202.62444426335</v>
      </c>
      <c r="F186" s="20"/>
      <c r="G186" s="22">
        <f t="shared" si="11"/>
        <v>132202.62444426335</v>
      </c>
      <c r="H186" s="22">
        <v>1000</v>
      </c>
      <c r="I186" s="23">
        <v>182</v>
      </c>
    </row>
    <row r="187" spans="2:9" x14ac:dyDescent="0.25">
      <c r="B187" s="22">
        <f t="shared" si="13"/>
        <v>132202.62444426335</v>
      </c>
      <c r="C187" s="21">
        <v>0.03</v>
      </c>
      <c r="D187" s="22">
        <f t="shared" si="10"/>
        <v>330.50656111065837</v>
      </c>
      <c r="E187" s="22">
        <f t="shared" si="12"/>
        <v>132533.13100537402</v>
      </c>
      <c r="F187" s="20"/>
      <c r="G187" s="22">
        <f t="shared" si="11"/>
        <v>131533.13100537402</v>
      </c>
      <c r="H187" s="22">
        <v>1000</v>
      </c>
      <c r="I187" s="23">
        <v>183</v>
      </c>
    </row>
    <row r="188" spans="2:9" x14ac:dyDescent="0.25">
      <c r="B188" s="22">
        <f t="shared" si="13"/>
        <v>131533.13100537402</v>
      </c>
      <c r="C188" s="21">
        <v>0.03</v>
      </c>
      <c r="D188" s="22">
        <f t="shared" si="10"/>
        <v>328.83282751343506</v>
      </c>
      <c r="E188" s="22">
        <f t="shared" si="12"/>
        <v>131861.96383288744</v>
      </c>
      <c r="F188" s="20"/>
      <c r="G188" s="22">
        <f t="shared" si="11"/>
        <v>130861.96383288744</v>
      </c>
      <c r="H188" s="22">
        <v>1000</v>
      </c>
      <c r="I188" s="23">
        <v>184</v>
      </c>
    </row>
    <row r="189" spans="2:9" x14ac:dyDescent="0.25">
      <c r="B189" s="22">
        <f t="shared" si="13"/>
        <v>130861.96383288744</v>
      </c>
      <c r="C189" s="21">
        <v>0.03</v>
      </c>
      <c r="D189" s="22">
        <f t="shared" si="10"/>
        <v>327.15490958221864</v>
      </c>
      <c r="E189" s="22">
        <f t="shared" si="12"/>
        <v>131189.11874246967</v>
      </c>
      <c r="F189" s="20"/>
      <c r="G189" s="22">
        <f t="shared" si="11"/>
        <v>130189.11874246967</v>
      </c>
      <c r="H189" s="22">
        <v>1000</v>
      </c>
      <c r="I189" s="23">
        <v>185</v>
      </c>
    </row>
    <row r="190" spans="2:9" x14ac:dyDescent="0.25">
      <c r="B190" s="22">
        <f t="shared" si="13"/>
        <v>130189.11874246967</v>
      </c>
      <c r="C190" s="21">
        <v>0.03</v>
      </c>
      <c r="D190" s="22">
        <f t="shared" si="10"/>
        <v>325.47279685617417</v>
      </c>
      <c r="E190" s="22">
        <f t="shared" si="12"/>
        <v>130514.59153932585</v>
      </c>
      <c r="F190" s="20"/>
      <c r="G190" s="22">
        <f t="shared" si="11"/>
        <v>129514.59153932585</v>
      </c>
      <c r="H190" s="22">
        <v>1000</v>
      </c>
      <c r="I190" s="23">
        <v>186</v>
      </c>
    </row>
    <row r="191" spans="2:9" x14ac:dyDescent="0.25">
      <c r="B191" s="22">
        <f t="shared" si="13"/>
        <v>129514.59153932585</v>
      </c>
      <c r="C191" s="21">
        <v>0.03</v>
      </c>
      <c r="D191" s="22">
        <f t="shared" si="10"/>
        <v>323.78647884831463</v>
      </c>
      <c r="E191" s="22">
        <f t="shared" si="12"/>
        <v>129838.37801817416</v>
      </c>
      <c r="F191" s="20"/>
      <c r="G191" s="22">
        <f t="shared" si="11"/>
        <v>128838.37801817416</v>
      </c>
      <c r="H191" s="22">
        <v>1000</v>
      </c>
      <c r="I191" s="23">
        <v>187</v>
      </c>
    </row>
    <row r="192" spans="2:9" x14ac:dyDescent="0.25">
      <c r="B192" s="22">
        <f t="shared" si="13"/>
        <v>128838.37801817416</v>
      </c>
      <c r="C192" s="21">
        <v>0.03</v>
      </c>
      <c r="D192" s="22">
        <f t="shared" si="10"/>
        <v>322.09594504543543</v>
      </c>
      <c r="E192" s="22">
        <f t="shared" si="12"/>
        <v>129160.4739632196</v>
      </c>
      <c r="F192" s="20"/>
      <c r="G192" s="22">
        <f t="shared" si="11"/>
        <v>128160.4739632196</v>
      </c>
      <c r="H192" s="22">
        <v>1000</v>
      </c>
      <c r="I192" s="23">
        <v>188</v>
      </c>
    </row>
    <row r="193" spans="2:9" x14ac:dyDescent="0.25">
      <c r="B193" s="22">
        <f t="shared" si="13"/>
        <v>128160.4739632196</v>
      </c>
      <c r="C193" s="21">
        <v>0.03</v>
      </c>
      <c r="D193" s="22">
        <f t="shared" si="10"/>
        <v>320.401184908049</v>
      </c>
      <c r="E193" s="22">
        <f t="shared" si="12"/>
        <v>128480.87514812766</v>
      </c>
      <c r="F193" s="20"/>
      <c r="G193" s="22">
        <f t="shared" si="11"/>
        <v>127480.87514812766</v>
      </c>
      <c r="H193" s="22">
        <v>1000</v>
      </c>
      <c r="I193" s="23">
        <v>189</v>
      </c>
    </row>
    <row r="194" spans="2:9" x14ac:dyDescent="0.25">
      <c r="B194" s="22">
        <f t="shared" si="13"/>
        <v>127480.87514812766</v>
      </c>
      <c r="C194" s="21">
        <v>0.03</v>
      </c>
      <c r="D194" s="22">
        <f t="shared" si="10"/>
        <v>318.70218787031916</v>
      </c>
      <c r="E194" s="22">
        <f t="shared" si="12"/>
        <v>127799.57733599798</v>
      </c>
      <c r="F194" s="20"/>
      <c r="G194" s="22">
        <f t="shared" si="11"/>
        <v>126799.57733599798</v>
      </c>
      <c r="H194" s="22">
        <v>1000</v>
      </c>
      <c r="I194" s="23">
        <v>190</v>
      </c>
    </row>
    <row r="195" spans="2:9" x14ac:dyDescent="0.25">
      <c r="B195" s="22">
        <f t="shared" si="13"/>
        <v>126799.57733599798</v>
      </c>
      <c r="C195" s="21">
        <v>0.03</v>
      </c>
      <c r="D195" s="22">
        <f t="shared" si="10"/>
        <v>316.99894333999498</v>
      </c>
      <c r="E195" s="22">
        <f t="shared" si="12"/>
        <v>127116.57627933797</v>
      </c>
      <c r="F195" s="20"/>
      <c r="G195" s="22">
        <f t="shared" si="11"/>
        <v>126116.57627933797</v>
      </c>
      <c r="H195" s="22">
        <v>1000</v>
      </c>
      <c r="I195" s="23">
        <v>191</v>
      </c>
    </row>
    <row r="196" spans="2:9" x14ac:dyDescent="0.25">
      <c r="B196" s="22">
        <f t="shared" si="13"/>
        <v>126116.57627933797</v>
      </c>
      <c r="C196" s="21">
        <v>0.03</v>
      </c>
      <c r="D196" s="22">
        <f t="shared" si="10"/>
        <v>315.29144069834496</v>
      </c>
      <c r="E196" s="22">
        <f t="shared" si="12"/>
        <v>126431.86772003632</v>
      </c>
      <c r="F196" s="20"/>
      <c r="G196" s="22">
        <f t="shared" si="11"/>
        <v>125431.86772003632</v>
      </c>
      <c r="H196" s="22">
        <v>1000</v>
      </c>
      <c r="I196" s="23">
        <v>192</v>
      </c>
    </row>
    <row r="197" spans="2:9" x14ac:dyDescent="0.25">
      <c r="B197" s="22">
        <f t="shared" si="13"/>
        <v>125431.86772003632</v>
      </c>
      <c r="C197" s="21">
        <v>0.03</v>
      </c>
      <c r="D197" s="22">
        <f t="shared" si="10"/>
        <v>313.57966930009081</v>
      </c>
      <c r="E197" s="22">
        <f t="shared" si="12"/>
        <v>125745.4473893364</v>
      </c>
      <c r="F197" s="20"/>
      <c r="G197" s="22">
        <f t="shared" si="11"/>
        <v>124745.4473893364</v>
      </c>
      <c r="H197" s="22">
        <v>1000</v>
      </c>
      <c r="I197" s="23">
        <v>193</v>
      </c>
    </row>
    <row r="198" spans="2:9" x14ac:dyDescent="0.25">
      <c r="B198" s="22">
        <f t="shared" si="13"/>
        <v>124745.4473893364</v>
      </c>
      <c r="C198" s="21">
        <v>0.03</v>
      </c>
      <c r="D198" s="22">
        <f t="shared" ref="D198:D261" si="14">B198*(0.03/12)</f>
        <v>311.86361847334103</v>
      </c>
      <c r="E198" s="22">
        <f t="shared" si="12"/>
        <v>125057.31100780975</v>
      </c>
      <c r="F198" s="20"/>
      <c r="G198" s="22">
        <f t="shared" ref="G198:G261" si="15">E198-H198</f>
        <v>124057.31100780975</v>
      </c>
      <c r="H198" s="22">
        <v>1000</v>
      </c>
      <c r="I198" s="23">
        <v>194</v>
      </c>
    </row>
    <row r="199" spans="2:9" x14ac:dyDescent="0.25">
      <c r="B199" s="22">
        <f t="shared" si="13"/>
        <v>124057.31100780975</v>
      </c>
      <c r="C199" s="21">
        <v>0.03</v>
      </c>
      <c r="D199" s="22">
        <f t="shared" si="14"/>
        <v>310.14327751952436</v>
      </c>
      <c r="E199" s="22">
        <f t="shared" ref="E199:E262" si="16">B199+D199</f>
        <v>124367.45428532928</v>
      </c>
      <c r="F199" s="20"/>
      <c r="G199" s="22">
        <f t="shared" si="15"/>
        <v>123367.45428532928</v>
      </c>
      <c r="H199" s="22">
        <v>1000</v>
      </c>
      <c r="I199" s="23">
        <v>195</v>
      </c>
    </row>
    <row r="200" spans="2:9" x14ac:dyDescent="0.25">
      <c r="B200" s="22">
        <f t="shared" si="13"/>
        <v>123367.45428532928</v>
      </c>
      <c r="C200" s="21">
        <v>0.03</v>
      </c>
      <c r="D200" s="22">
        <f t="shared" si="14"/>
        <v>308.41863571332323</v>
      </c>
      <c r="E200" s="22">
        <f t="shared" si="16"/>
        <v>123675.87292104261</v>
      </c>
      <c r="F200" s="20"/>
      <c r="G200" s="22">
        <f t="shared" si="15"/>
        <v>122675.87292104261</v>
      </c>
      <c r="H200" s="22">
        <v>1000</v>
      </c>
      <c r="I200" s="23">
        <v>196</v>
      </c>
    </row>
    <row r="201" spans="2:9" x14ac:dyDescent="0.25">
      <c r="B201" s="22">
        <f t="shared" si="13"/>
        <v>122675.87292104261</v>
      </c>
      <c r="C201" s="21">
        <v>0.03</v>
      </c>
      <c r="D201" s="22">
        <f t="shared" si="14"/>
        <v>306.68968230260651</v>
      </c>
      <c r="E201" s="22">
        <f t="shared" si="16"/>
        <v>122982.56260334521</v>
      </c>
      <c r="F201" s="20"/>
      <c r="G201" s="22">
        <f t="shared" si="15"/>
        <v>121982.56260334521</v>
      </c>
      <c r="H201" s="22">
        <v>1000</v>
      </c>
      <c r="I201" s="23">
        <v>197</v>
      </c>
    </row>
    <row r="202" spans="2:9" x14ac:dyDescent="0.25">
      <c r="B202" s="22">
        <f t="shared" si="13"/>
        <v>121982.56260334521</v>
      </c>
      <c r="C202" s="21">
        <v>0.03</v>
      </c>
      <c r="D202" s="22">
        <f t="shared" si="14"/>
        <v>304.95640650836305</v>
      </c>
      <c r="E202" s="22">
        <f t="shared" si="16"/>
        <v>122287.51900985358</v>
      </c>
      <c r="F202" s="20"/>
      <c r="G202" s="22">
        <f t="shared" si="15"/>
        <v>121287.51900985358</v>
      </c>
      <c r="H202" s="22">
        <v>1000</v>
      </c>
      <c r="I202" s="23">
        <v>198</v>
      </c>
    </row>
    <row r="203" spans="2:9" x14ac:dyDescent="0.25">
      <c r="B203" s="22">
        <f t="shared" si="13"/>
        <v>121287.51900985358</v>
      </c>
      <c r="C203" s="21">
        <v>0.03</v>
      </c>
      <c r="D203" s="22">
        <f t="shared" si="14"/>
        <v>303.21879752463394</v>
      </c>
      <c r="E203" s="22">
        <f t="shared" si="16"/>
        <v>121590.73780737822</v>
      </c>
      <c r="F203" s="20"/>
      <c r="G203" s="22">
        <f t="shared" si="15"/>
        <v>120590.73780737822</v>
      </c>
      <c r="H203" s="22">
        <v>1000</v>
      </c>
      <c r="I203" s="23">
        <v>199</v>
      </c>
    </row>
    <row r="204" spans="2:9" x14ac:dyDescent="0.25">
      <c r="B204" s="22">
        <f t="shared" si="13"/>
        <v>120590.73780737822</v>
      </c>
      <c r="C204" s="21">
        <v>0.03</v>
      </c>
      <c r="D204" s="22">
        <f t="shared" si="14"/>
        <v>301.47684451844555</v>
      </c>
      <c r="E204" s="22">
        <f t="shared" si="16"/>
        <v>120892.21465189666</v>
      </c>
      <c r="F204" s="20"/>
      <c r="G204" s="22">
        <f t="shared" si="15"/>
        <v>119892.21465189666</v>
      </c>
      <c r="H204" s="22">
        <v>1000</v>
      </c>
      <c r="I204" s="23">
        <v>200</v>
      </c>
    </row>
    <row r="205" spans="2:9" x14ac:dyDescent="0.25">
      <c r="B205" s="22">
        <f t="shared" si="13"/>
        <v>119892.21465189666</v>
      </c>
      <c r="C205" s="21">
        <v>0.03</v>
      </c>
      <c r="D205" s="22">
        <f t="shared" si="14"/>
        <v>299.73053662974166</v>
      </c>
      <c r="E205" s="22">
        <f t="shared" si="16"/>
        <v>120191.9451885264</v>
      </c>
      <c r="F205" s="20"/>
      <c r="G205" s="22">
        <f t="shared" si="15"/>
        <v>119191.9451885264</v>
      </c>
      <c r="H205" s="22">
        <v>1000</v>
      </c>
      <c r="I205" s="23">
        <v>201</v>
      </c>
    </row>
    <row r="206" spans="2:9" x14ac:dyDescent="0.25">
      <c r="B206" s="22">
        <f t="shared" si="13"/>
        <v>119191.9451885264</v>
      </c>
      <c r="C206" s="21">
        <v>0.03</v>
      </c>
      <c r="D206" s="22">
        <f t="shared" si="14"/>
        <v>297.97986297131598</v>
      </c>
      <c r="E206" s="22">
        <f t="shared" si="16"/>
        <v>119489.92505149772</v>
      </c>
      <c r="F206" s="20"/>
      <c r="G206" s="22">
        <f t="shared" si="15"/>
        <v>118489.92505149772</v>
      </c>
      <c r="H206" s="22">
        <v>1000</v>
      </c>
      <c r="I206" s="23">
        <v>202</v>
      </c>
    </row>
    <row r="207" spans="2:9" x14ac:dyDescent="0.25">
      <c r="B207" s="22">
        <f t="shared" si="13"/>
        <v>118489.92505149772</v>
      </c>
      <c r="C207" s="21">
        <v>0.03</v>
      </c>
      <c r="D207" s="22">
        <f t="shared" si="14"/>
        <v>296.2248126287443</v>
      </c>
      <c r="E207" s="22">
        <f t="shared" si="16"/>
        <v>118786.14986412646</v>
      </c>
      <c r="F207" s="20"/>
      <c r="G207" s="22">
        <f t="shared" si="15"/>
        <v>117786.14986412646</v>
      </c>
      <c r="H207" s="22">
        <v>1000</v>
      </c>
      <c r="I207" s="23">
        <v>203</v>
      </c>
    </row>
    <row r="208" spans="2:9" x14ac:dyDescent="0.25">
      <c r="B208" s="22">
        <f t="shared" si="13"/>
        <v>117786.14986412646</v>
      </c>
      <c r="C208" s="21">
        <v>0.03</v>
      </c>
      <c r="D208" s="22">
        <f t="shared" si="14"/>
        <v>294.46537466031617</v>
      </c>
      <c r="E208" s="22">
        <f t="shared" si="16"/>
        <v>118080.61523878678</v>
      </c>
      <c r="F208" s="20"/>
      <c r="G208" s="22">
        <f t="shared" si="15"/>
        <v>117080.61523878678</v>
      </c>
      <c r="H208" s="22">
        <v>1000</v>
      </c>
      <c r="I208" s="23">
        <v>204</v>
      </c>
    </row>
    <row r="209" spans="2:9" x14ac:dyDescent="0.25">
      <c r="B209" s="22">
        <f t="shared" si="13"/>
        <v>117080.61523878678</v>
      </c>
      <c r="C209" s="21">
        <v>0.03</v>
      </c>
      <c r="D209" s="22">
        <f t="shared" si="14"/>
        <v>292.70153809696694</v>
      </c>
      <c r="E209" s="22">
        <f t="shared" si="16"/>
        <v>117373.31677688374</v>
      </c>
      <c r="F209" s="20"/>
      <c r="G209" s="22">
        <f t="shared" si="15"/>
        <v>116373.31677688374</v>
      </c>
      <c r="H209" s="22">
        <v>1000</v>
      </c>
      <c r="I209" s="23">
        <v>205</v>
      </c>
    </row>
    <row r="210" spans="2:9" x14ac:dyDescent="0.25">
      <c r="B210" s="22">
        <f t="shared" si="13"/>
        <v>116373.31677688374</v>
      </c>
      <c r="C210" s="21">
        <v>0.03</v>
      </c>
      <c r="D210" s="22">
        <f t="shared" si="14"/>
        <v>290.93329194220939</v>
      </c>
      <c r="E210" s="22">
        <f t="shared" si="16"/>
        <v>116664.25006882596</v>
      </c>
      <c r="F210" s="20"/>
      <c r="G210" s="22">
        <f t="shared" si="15"/>
        <v>115664.25006882596</v>
      </c>
      <c r="H210" s="22">
        <v>1000</v>
      </c>
      <c r="I210" s="23">
        <v>206</v>
      </c>
    </row>
    <row r="211" spans="2:9" x14ac:dyDescent="0.25">
      <c r="B211" s="22">
        <f t="shared" si="13"/>
        <v>115664.25006882596</v>
      </c>
      <c r="C211" s="21">
        <v>0.03</v>
      </c>
      <c r="D211" s="22">
        <f t="shared" si="14"/>
        <v>289.1606251720649</v>
      </c>
      <c r="E211" s="22">
        <f t="shared" si="16"/>
        <v>115953.41069399803</v>
      </c>
      <c r="F211" s="20"/>
      <c r="G211" s="22">
        <f t="shared" si="15"/>
        <v>114953.41069399803</v>
      </c>
      <c r="H211" s="22">
        <v>1000</v>
      </c>
      <c r="I211" s="23">
        <v>207</v>
      </c>
    </row>
    <row r="212" spans="2:9" x14ac:dyDescent="0.25">
      <c r="B212" s="22">
        <f t="shared" si="13"/>
        <v>114953.41069399803</v>
      </c>
      <c r="C212" s="21">
        <v>0.03</v>
      </c>
      <c r="D212" s="22">
        <f t="shared" si="14"/>
        <v>287.38352673499509</v>
      </c>
      <c r="E212" s="22">
        <f t="shared" si="16"/>
        <v>115240.79422073302</v>
      </c>
      <c r="F212" s="20"/>
      <c r="G212" s="22">
        <f t="shared" si="15"/>
        <v>114240.79422073302</v>
      </c>
      <c r="H212" s="22">
        <v>1000</v>
      </c>
      <c r="I212" s="23">
        <v>208</v>
      </c>
    </row>
    <row r="213" spans="2:9" x14ac:dyDescent="0.25">
      <c r="B213" s="22">
        <f t="shared" si="13"/>
        <v>114240.79422073302</v>
      </c>
      <c r="C213" s="21">
        <v>0.03</v>
      </c>
      <c r="D213" s="22">
        <f t="shared" si="14"/>
        <v>285.60198555183257</v>
      </c>
      <c r="E213" s="22">
        <f t="shared" si="16"/>
        <v>114526.39620628486</v>
      </c>
      <c r="F213" s="20"/>
      <c r="G213" s="22">
        <f t="shared" si="15"/>
        <v>113526.39620628486</v>
      </c>
      <c r="H213" s="22">
        <v>1000</v>
      </c>
      <c r="I213" s="23">
        <v>209</v>
      </c>
    </row>
    <row r="214" spans="2:9" x14ac:dyDescent="0.25">
      <c r="B214" s="22">
        <f t="shared" si="13"/>
        <v>113526.39620628486</v>
      </c>
      <c r="C214" s="21">
        <v>0.03</v>
      </c>
      <c r="D214" s="22">
        <f t="shared" si="14"/>
        <v>283.81599051571214</v>
      </c>
      <c r="E214" s="22">
        <f t="shared" si="16"/>
        <v>113810.21219680057</v>
      </c>
      <c r="F214" s="20"/>
      <c r="G214" s="22">
        <f t="shared" si="15"/>
        <v>112810.21219680057</v>
      </c>
      <c r="H214" s="22">
        <v>1000</v>
      </c>
      <c r="I214" s="23">
        <v>210</v>
      </c>
    </row>
    <row r="215" spans="2:9" x14ac:dyDescent="0.25">
      <c r="B215" s="22">
        <f t="shared" si="13"/>
        <v>112810.21219680057</v>
      </c>
      <c r="C215" s="21">
        <v>0.03</v>
      </c>
      <c r="D215" s="22">
        <f t="shared" si="14"/>
        <v>282.02553049200145</v>
      </c>
      <c r="E215" s="22">
        <f t="shared" si="16"/>
        <v>113092.23772729257</v>
      </c>
      <c r="F215" s="20"/>
      <c r="G215" s="22">
        <f t="shared" si="15"/>
        <v>112092.23772729257</v>
      </c>
      <c r="H215" s="22">
        <v>1000</v>
      </c>
      <c r="I215" s="23">
        <v>211</v>
      </c>
    </row>
    <row r="216" spans="2:9" x14ac:dyDescent="0.25">
      <c r="B216" s="22">
        <f t="shared" si="13"/>
        <v>112092.23772729257</v>
      </c>
      <c r="C216" s="21">
        <v>0.03</v>
      </c>
      <c r="D216" s="22">
        <f t="shared" si="14"/>
        <v>280.2305943182314</v>
      </c>
      <c r="E216" s="22">
        <f t="shared" si="16"/>
        <v>112372.4683216108</v>
      </c>
      <c r="F216" s="20"/>
      <c r="G216" s="22">
        <f t="shared" si="15"/>
        <v>111372.4683216108</v>
      </c>
      <c r="H216" s="22">
        <v>1000</v>
      </c>
      <c r="I216" s="23">
        <v>212</v>
      </c>
    </row>
    <row r="217" spans="2:9" x14ac:dyDescent="0.25">
      <c r="B217" s="22">
        <f t="shared" si="13"/>
        <v>111372.4683216108</v>
      </c>
      <c r="C217" s="21">
        <v>0.03</v>
      </c>
      <c r="D217" s="22">
        <f t="shared" si="14"/>
        <v>278.43117080402698</v>
      </c>
      <c r="E217" s="22">
        <f t="shared" si="16"/>
        <v>111650.89949241483</v>
      </c>
      <c r="F217" s="20"/>
      <c r="G217" s="22">
        <f t="shared" si="15"/>
        <v>110650.89949241483</v>
      </c>
      <c r="H217" s="22">
        <v>1000</v>
      </c>
      <c r="I217" s="23">
        <v>213</v>
      </c>
    </row>
    <row r="218" spans="2:9" x14ac:dyDescent="0.25">
      <c r="B218" s="22">
        <f t="shared" si="13"/>
        <v>110650.89949241483</v>
      </c>
      <c r="C218" s="21">
        <v>0.03</v>
      </c>
      <c r="D218" s="22">
        <f t="shared" si="14"/>
        <v>276.62724873103707</v>
      </c>
      <c r="E218" s="22">
        <f t="shared" si="16"/>
        <v>110927.52674114586</v>
      </c>
      <c r="F218" s="20"/>
      <c r="G218" s="22">
        <f t="shared" si="15"/>
        <v>109927.52674114586</v>
      </c>
      <c r="H218" s="22">
        <v>1000</v>
      </c>
      <c r="I218" s="23">
        <v>214</v>
      </c>
    </row>
    <row r="219" spans="2:9" x14ac:dyDescent="0.25">
      <c r="B219" s="22">
        <f t="shared" si="13"/>
        <v>109927.52674114586</v>
      </c>
      <c r="C219" s="21">
        <v>0.03</v>
      </c>
      <c r="D219" s="22">
        <f t="shared" si="14"/>
        <v>274.81881685286464</v>
      </c>
      <c r="E219" s="22">
        <f t="shared" si="16"/>
        <v>110202.34555799872</v>
      </c>
      <c r="F219" s="20"/>
      <c r="G219" s="22">
        <f t="shared" si="15"/>
        <v>109202.34555799872</v>
      </c>
      <c r="H219" s="22">
        <v>1000</v>
      </c>
      <c r="I219" s="23">
        <v>215</v>
      </c>
    </row>
    <row r="220" spans="2:9" x14ac:dyDescent="0.25">
      <c r="B220" s="22">
        <f t="shared" si="13"/>
        <v>109202.34555799872</v>
      </c>
      <c r="C220" s="21">
        <v>0.03</v>
      </c>
      <c r="D220" s="22">
        <f t="shared" si="14"/>
        <v>273.00586389499682</v>
      </c>
      <c r="E220" s="22">
        <f t="shared" si="16"/>
        <v>109475.35142189372</v>
      </c>
      <c r="F220" s="20"/>
      <c r="G220" s="22">
        <f t="shared" si="15"/>
        <v>108475.35142189372</v>
      </c>
      <c r="H220" s="22">
        <v>1000</v>
      </c>
      <c r="I220" s="23">
        <v>216</v>
      </c>
    </row>
    <row r="221" spans="2:9" x14ac:dyDescent="0.25">
      <c r="B221" s="22">
        <f t="shared" ref="B221:B284" si="17">G220</f>
        <v>108475.35142189372</v>
      </c>
      <c r="C221" s="21">
        <v>0.03</v>
      </c>
      <c r="D221" s="22">
        <f t="shared" si="14"/>
        <v>271.1883785547343</v>
      </c>
      <c r="E221" s="22">
        <f t="shared" si="16"/>
        <v>108746.53980044846</v>
      </c>
      <c r="F221" s="20"/>
      <c r="G221" s="22">
        <f t="shared" si="15"/>
        <v>107746.53980044846</v>
      </c>
      <c r="H221" s="22">
        <v>1000</v>
      </c>
      <c r="I221" s="23">
        <v>217</v>
      </c>
    </row>
    <row r="222" spans="2:9" x14ac:dyDescent="0.25">
      <c r="B222" s="22">
        <f t="shared" si="17"/>
        <v>107746.53980044846</v>
      </c>
      <c r="C222" s="21">
        <v>0.03</v>
      </c>
      <c r="D222" s="22">
        <f t="shared" si="14"/>
        <v>269.36634950112114</v>
      </c>
      <c r="E222" s="22">
        <f t="shared" si="16"/>
        <v>108015.90614994959</v>
      </c>
      <c r="F222" s="20"/>
      <c r="G222" s="22">
        <f t="shared" si="15"/>
        <v>107015.90614994959</v>
      </c>
      <c r="H222" s="22">
        <v>1000</v>
      </c>
      <c r="I222" s="23">
        <v>218</v>
      </c>
    </row>
    <row r="223" spans="2:9" x14ac:dyDescent="0.25">
      <c r="B223" s="22">
        <f t="shared" si="17"/>
        <v>107015.90614994959</v>
      </c>
      <c r="C223" s="21">
        <v>0.03</v>
      </c>
      <c r="D223" s="22">
        <f t="shared" si="14"/>
        <v>267.53976537487398</v>
      </c>
      <c r="E223" s="22">
        <f t="shared" si="16"/>
        <v>107283.44591532447</v>
      </c>
      <c r="F223" s="20"/>
      <c r="G223" s="22">
        <f t="shared" si="15"/>
        <v>106283.44591532447</v>
      </c>
      <c r="H223" s="22">
        <v>1000</v>
      </c>
      <c r="I223" s="23">
        <v>219</v>
      </c>
    </row>
    <row r="224" spans="2:9" x14ac:dyDescent="0.25">
      <c r="B224" s="22">
        <f t="shared" si="17"/>
        <v>106283.44591532447</v>
      </c>
      <c r="C224" s="21">
        <v>0.03</v>
      </c>
      <c r="D224" s="22">
        <f t="shared" si="14"/>
        <v>265.70861478831119</v>
      </c>
      <c r="E224" s="22">
        <f t="shared" si="16"/>
        <v>106549.15453011278</v>
      </c>
      <c r="F224" s="20"/>
      <c r="G224" s="22">
        <f t="shared" si="15"/>
        <v>105549.15453011278</v>
      </c>
      <c r="H224" s="22">
        <v>1000</v>
      </c>
      <c r="I224" s="23">
        <v>220</v>
      </c>
    </row>
    <row r="225" spans="2:9" x14ac:dyDescent="0.25">
      <c r="B225" s="22">
        <f t="shared" si="17"/>
        <v>105549.15453011278</v>
      </c>
      <c r="C225" s="21">
        <v>0.03</v>
      </c>
      <c r="D225" s="22">
        <f t="shared" si="14"/>
        <v>263.87288632528197</v>
      </c>
      <c r="E225" s="22">
        <f t="shared" si="16"/>
        <v>105813.02741643805</v>
      </c>
      <c r="F225" s="20"/>
      <c r="G225" s="22">
        <f t="shared" si="15"/>
        <v>104813.02741643805</v>
      </c>
      <c r="H225" s="22">
        <v>1000</v>
      </c>
      <c r="I225" s="23">
        <v>221</v>
      </c>
    </row>
    <row r="226" spans="2:9" x14ac:dyDescent="0.25">
      <c r="B226" s="22">
        <f t="shared" si="17"/>
        <v>104813.02741643805</v>
      </c>
      <c r="C226" s="21">
        <v>0.03</v>
      </c>
      <c r="D226" s="22">
        <f t="shared" si="14"/>
        <v>262.03256854109515</v>
      </c>
      <c r="E226" s="22">
        <f t="shared" si="16"/>
        <v>105075.05998497915</v>
      </c>
      <c r="F226" s="20"/>
      <c r="G226" s="22">
        <f t="shared" si="15"/>
        <v>104075.05998497915</v>
      </c>
      <c r="H226" s="22">
        <v>1000</v>
      </c>
      <c r="I226" s="23">
        <v>222</v>
      </c>
    </row>
    <row r="227" spans="2:9" x14ac:dyDescent="0.25">
      <c r="B227" s="22">
        <f t="shared" si="17"/>
        <v>104075.05998497915</v>
      </c>
      <c r="C227" s="21">
        <v>0.03</v>
      </c>
      <c r="D227" s="22">
        <f t="shared" si="14"/>
        <v>260.18764996244789</v>
      </c>
      <c r="E227" s="22">
        <f t="shared" si="16"/>
        <v>104335.2476349416</v>
      </c>
      <c r="F227" s="20"/>
      <c r="G227" s="22">
        <f t="shared" si="15"/>
        <v>103335.2476349416</v>
      </c>
      <c r="H227" s="22">
        <v>1000</v>
      </c>
      <c r="I227" s="23">
        <v>223</v>
      </c>
    </row>
    <row r="228" spans="2:9" x14ac:dyDescent="0.25">
      <c r="B228" s="22">
        <f t="shared" si="17"/>
        <v>103335.2476349416</v>
      </c>
      <c r="C228" s="21">
        <v>0.03</v>
      </c>
      <c r="D228" s="22">
        <f t="shared" si="14"/>
        <v>258.33811908735402</v>
      </c>
      <c r="E228" s="22">
        <f t="shared" si="16"/>
        <v>103593.58575402894</v>
      </c>
      <c r="F228" s="20"/>
      <c r="G228" s="22">
        <f t="shared" si="15"/>
        <v>102593.58575402894</v>
      </c>
      <c r="H228" s="22">
        <v>1000</v>
      </c>
      <c r="I228" s="23">
        <v>224</v>
      </c>
    </row>
    <row r="229" spans="2:9" x14ac:dyDescent="0.25">
      <c r="B229" s="22">
        <f t="shared" si="17"/>
        <v>102593.58575402894</v>
      </c>
      <c r="C229" s="21">
        <v>0.03</v>
      </c>
      <c r="D229" s="22">
        <f t="shared" si="14"/>
        <v>256.48396438507234</v>
      </c>
      <c r="E229" s="22">
        <f t="shared" si="16"/>
        <v>102850.06971841402</v>
      </c>
      <c r="F229" s="20"/>
      <c r="G229" s="22">
        <f t="shared" si="15"/>
        <v>101850.06971841402</v>
      </c>
      <c r="H229" s="22">
        <v>1000</v>
      </c>
      <c r="I229" s="23">
        <v>225</v>
      </c>
    </row>
    <row r="230" spans="2:9" x14ac:dyDescent="0.25">
      <c r="B230" s="22">
        <f t="shared" si="17"/>
        <v>101850.06971841402</v>
      </c>
      <c r="C230" s="21">
        <v>0.03</v>
      </c>
      <c r="D230" s="22">
        <f t="shared" si="14"/>
        <v>254.62517429603506</v>
      </c>
      <c r="E230" s="22">
        <f t="shared" si="16"/>
        <v>102104.69489271005</v>
      </c>
      <c r="F230" s="20"/>
      <c r="G230" s="22">
        <f t="shared" si="15"/>
        <v>101104.69489271005</v>
      </c>
      <c r="H230" s="22">
        <v>1000</v>
      </c>
      <c r="I230" s="23">
        <v>226</v>
      </c>
    </row>
    <row r="231" spans="2:9" x14ac:dyDescent="0.25">
      <c r="B231" s="22">
        <f t="shared" si="17"/>
        <v>101104.69489271005</v>
      </c>
      <c r="C231" s="21">
        <v>0.03</v>
      </c>
      <c r="D231" s="22">
        <f t="shared" si="14"/>
        <v>252.76173723177513</v>
      </c>
      <c r="E231" s="22">
        <f t="shared" si="16"/>
        <v>101357.45662994182</v>
      </c>
      <c r="F231" s="20"/>
      <c r="G231" s="22">
        <f t="shared" si="15"/>
        <v>100357.45662994182</v>
      </c>
      <c r="H231" s="22">
        <v>1000</v>
      </c>
      <c r="I231" s="23">
        <v>227</v>
      </c>
    </row>
    <row r="232" spans="2:9" x14ac:dyDescent="0.25">
      <c r="B232" s="22">
        <f t="shared" si="17"/>
        <v>100357.45662994182</v>
      </c>
      <c r="C232" s="21">
        <v>0.03</v>
      </c>
      <c r="D232" s="22">
        <f t="shared" si="14"/>
        <v>250.89364157485457</v>
      </c>
      <c r="E232" s="22">
        <f t="shared" si="16"/>
        <v>100608.35027151668</v>
      </c>
      <c r="F232" s="20"/>
      <c r="G232" s="22">
        <f t="shared" si="15"/>
        <v>99608.350271516683</v>
      </c>
      <c r="H232" s="22">
        <v>1000</v>
      </c>
      <c r="I232" s="23">
        <v>228</v>
      </c>
    </row>
    <row r="233" spans="2:9" x14ac:dyDescent="0.25">
      <c r="B233" s="22">
        <f t="shared" si="17"/>
        <v>99608.350271516683</v>
      </c>
      <c r="C233" s="21">
        <v>0.03</v>
      </c>
      <c r="D233" s="22">
        <f t="shared" si="14"/>
        <v>249.02087567879173</v>
      </c>
      <c r="E233" s="22">
        <f t="shared" si="16"/>
        <v>99857.371147195474</v>
      </c>
      <c r="F233" s="20"/>
      <c r="G233" s="22">
        <f t="shared" si="15"/>
        <v>98857.371147195474</v>
      </c>
      <c r="H233" s="22">
        <v>1000</v>
      </c>
      <c r="I233" s="23">
        <v>229</v>
      </c>
    </row>
    <row r="234" spans="2:9" x14ac:dyDescent="0.25">
      <c r="B234" s="22">
        <f t="shared" si="17"/>
        <v>98857.371147195474</v>
      </c>
      <c r="C234" s="21">
        <v>0.03</v>
      </c>
      <c r="D234" s="22">
        <f t="shared" si="14"/>
        <v>247.14342786798869</v>
      </c>
      <c r="E234" s="22">
        <f t="shared" si="16"/>
        <v>99104.514575063469</v>
      </c>
      <c r="F234" s="20"/>
      <c r="G234" s="22">
        <f t="shared" si="15"/>
        <v>98104.514575063469</v>
      </c>
      <c r="H234" s="22">
        <v>1000</v>
      </c>
      <c r="I234" s="23">
        <v>230</v>
      </c>
    </row>
    <row r="235" spans="2:9" x14ac:dyDescent="0.25">
      <c r="B235" s="22">
        <f t="shared" si="17"/>
        <v>98104.514575063469</v>
      </c>
      <c r="C235" s="21">
        <v>0.03</v>
      </c>
      <c r="D235" s="22">
        <f t="shared" si="14"/>
        <v>245.26128643765867</v>
      </c>
      <c r="E235" s="22">
        <f t="shared" si="16"/>
        <v>98349.775861501126</v>
      </c>
      <c r="F235" s="20"/>
      <c r="G235" s="22">
        <f t="shared" si="15"/>
        <v>97349.775861501126</v>
      </c>
      <c r="H235" s="22">
        <v>1000</v>
      </c>
      <c r="I235" s="23">
        <v>231</v>
      </c>
    </row>
    <row r="236" spans="2:9" x14ac:dyDescent="0.25">
      <c r="B236" s="22">
        <f t="shared" si="17"/>
        <v>97349.775861501126</v>
      </c>
      <c r="C236" s="21">
        <v>0.03</v>
      </c>
      <c r="D236" s="22">
        <f t="shared" si="14"/>
        <v>243.37443965375283</v>
      </c>
      <c r="E236" s="22">
        <f t="shared" si="16"/>
        <v>97593.150301154878</v>
      </c>
      <c r="F236" s="20"/>
      <c r="G236" s="22">
        <f t="shared" si="15"/>
        <v>96593.150301154878</v>
      </c>
      <c r="H236" s="22">
        <v>1000</v>
      </c>
      <c r="I236" s="23">
        <v>232</v>
      </c>
    </row>
    <row r="237" spans="2:9" x14ac:dyDescent="0.25">
      <c r="B237" s="22">
        <f t="shared" si="17"/>
        <v>96593.150301154878</v>
      </c>
      <c r="C237" s="21">
        <v>0.03</v>
      </c>
      <c r="D237" s="22">
        <f t="shared" si="14"/>
        <v>241.4828757528872</v>
      </c>
      <c r="E237" s="22">
        <f t="shared" si="16"/>
        <v>96834.633176907766</v>
      </c>
      <c r="F237" s="20"/>
      <c r="G237" s="22">
        <f t="shared" si="15"/>
        <v>95834.633176907766</v>
      </c>
      <c r="H237" s="22">
        <v>1000</v>
      </c>
      <c r="I237" s="23">
        <v>233</v>
      </c>
    </row>
    <row r="238" spans="2:9" x14ac:dyDescent="0.25">
      <c r="B238" s="22">
        <f t="shared" si="17"/>
        <v>95834.633176907766</v>
      </c>
      <c r="C238" s="21">
        <v>0.03</v>
      </c>
      <c r="D238" s="22">
        <f t="shared" si="14"/>
        <v>239.58658294226942</v>
      </c>
      <c r="E238" s="22">
        <f t="shared" si="16"/>
        <v>96074.219759850035</v>
      </c>
      <c r="F238" s="20"/>
      <c r="G238" s="22">
        <f t="shared" si="15"/>
        <v>95074.219759850035</v>
      </c>
      <c r="H238" s="22">
        <v>1000</v>
      </c>
      <c r="I238" s="23">
        <v>234</v>
      </c>
    </row>
    <row r="239" spans="2:9" x14ac:dyDescent="0.25">
      <c r="B239" s="22">
        <f t="shared" si="17"/>
        <v>95074.219759850035</v>
      </c>
      <c r="C239" s="21">
        <v>0.03</v>
      </c>
      <c r="D239" s="22">
        <f t="shared" si="14"/>
        <v>237.6855493996251</v>
      </c>
      <c r="E239" s="22">
        <f t="shared" si="16"/>
        <v>95311.905309249662</v>
      </c>
      <c r="F239" s="20"/>
      <c r="G239" s="22">
        <f t="shared" si="15"/>
        <v>94311.905309249662</v>
      </c>
      <c r="H239" s="22">
        <v>1000</v>
      </c>
      <c r="I239" s="23">
        <v>235</v>
      </c>
    </row>
    <row r="240" spans="2:9" x14ac:dyDescent="0.25">
      <c r="B240" s="22">
        <f t="shared" si="17"/>
        <v>94311.905309249662</v>
      </c>
      <c r="C240" s="21">
        <v>0.03</v>
      </c>
      <c r="D240" s="22">
        <f t="shared" si="14"/>
        <v>235.77976327312416</v>
      </c>
      <c r="E240" s="22">
        <f t="shared" si="16"/>
        <v>94547.685072522785</v>
      </c>
      <c r="F240" s="20"/>
      <c r="G240" s="22">
        <f t="shared" si="15"/>
        <v>93547.685072522785</v>
      </c>
      <c r="H240" s="22">
        <v>1000</v>
      </c>
      <c r="I240" s="23">
        <v>236</v>
      </c>
    </row>
    <row r="241" spans="2:9" x14ac:dyDescent="0.25">
      <c r="B241" s="22">
        <f t="shared" si="17"/>
        <v>93547.685072522785</v>
      </c>
      <c r="C241" s="21">
        <v>0.03</v>
      </c>
      <c r="D241" s="22">
        <f t="shared" si="14"/>
        <v>233.86921268130698</v>
      </c>
      <c r="E241" s="22">
        <f t="shared" si="16"/>
        <v>93781.554285204096</v>
      </c>
      <c r="F241" s="20"/>
      <c r="G241" s="22">
        <f t="shared" si="15"/>
        <v>92781.554285204096</v>
      </c>
      <c r="H241" s="22">
        <v>1000</v>
      </c>
      <c r="I241" s="23">
        <v>237</v>
      </c>
    </row>
    <row r="242" spans="2:9" x14ac:dyDescent="0.25">
      <c r="B242" s="22">
        <f t="shared" si="17"/>
        <v>92781.554285204096</v>
      </c>
      <c r="C242" s="21">
        <v>0.03</v>
      </c>
      <c r="D242" s="22">
        <f t="shared" si="14"/>
        <v>231.95388571301024</v>
      </c>
      <c r="E242" s="22">
        <f t="shared" si="16"/>
        <v>93013.508170917106</v>
      </c>
      <c r="F242" s="20"/>
      <c r="G242" s="22">
        <f t="shared" si="15"/>
        <v>92013.508170917106</v>
      </c>
      <c r="H242" s="22">
        <v>1000</v>
      </c>
      <c r="I242" s="23">
        <v>238</v>
      </c>
    </row>
    <row r="243" spans="2:9" x14ac:dyDescent="0.25">
      <c r="B243" s="22">
        <f t="shared" si="17"/>
        <v>92013.508170917106</v>
      </c>
      <c r="C243" s="21">
        <v>0.03</v>
      </c>
      <c r="D243" s="22">
        <f t="shared" si="14"/>
        <v>230.03377042729278</v>
      </c>
      <c r="E243" s="22">
        <f t="shared" si="16"/>
        <v>92243.541941344403</v>
      </c>
      <c r="F243" s="20"/>
      <c r="G243" s="22">
        <f t="shared" si="15"/>
        <v>91243.541941344403</v>
      </c>
      <c r="H243" s="22">
        <v>1000</v>
      </c>
      <c r="I243" s="23">
        <v>239</v>
      </c>
    </row>
    <row r="244" spans="2:9" x14ac:dyDescent="0.25">
      <c r="B244" s="22">
        <f t="shared" si="17"/>
        <v>91243.541941344403</v>
      </c>
      <c r="C244" s="21">
        <v>0.03</v>
      </c>
      <c r="D244" s="22">
        <f t="shared" si="14"/>
        <v>228.10885485336101</v>
      </c>
      <c r="E244" s="22">
        <f t="shared" si="16"/>
        <v>91471.650796197762</v>
      </c>
      <c r="F244" s="20"/>
      <c r="G244" s="22">
        <f t="shared" si="15"/>
        <v>90471.650796197762</v>
      </c>
      <c r="H244" s="22">
        <v>1000</v>
      </c>
      <c r="I244" s="23">
        <v>240</v>
      </c>
    </row>
    <row r="245" spans="2:9" x14ac:dyDescent="0.25">
      <c r="B245" s="22">
        <f t="shared" si="17"/>
        <v>90471.650796197762</v>
      </c>
      <c r="C245" s="21">
        <v>0.03</v>
      </c>
      <c r="D245" s="22">
        <f t="shared" si="14"/>
        <v>226.17912699049441</v>
      </c>
      <c r="E245" s="22">
        <f t="shared" si="16"/>
        <v>90697.829923188256</v>
      </c>
      <c r="F245" s="20"/>
      <c r="G245" s="22">
        <f t="shared" si="15"/>
        <v>89697.829923188256</v>
      </c>
      <c r="H245" s="22">
        <v>1000</v>
      </c>
      <c r="I245" s="23">
        <v>241</v>
      </c>
    </row>
    <row r="246" spans="2:9" x14ac:dyDescent="0.25">
      <c r="B246" s="22">
        <f t="shared" si="17"/>
        <v>89697.829923188256</v>
      </c>
      <c r="C246" s="21">
        <v>0.03</v>
      </c>
      <c r="D246" s="22">
        <f t="shared" si="14"/>
        <v>224.24457480797065</v>
      </c>
      <c r="E246" s="22">
        <f t="shared" si="16"/>
        <v>89922.074497996233</v>
      </c>
      <c r="F246" s="20"/>
      <c r="G246" s="22">
        <f t="shared" si="15"/>
        <v>88922.074497996233</v>
      </c>
      <c r="H246" s="22">
        <v>1000</v>
      </c>
      <c r="I246" s="23">
        <v>242</v>
      </c>
    </row>
    <row r="247" spans="2:9" x14ac:dyDescent="0.25">
      <c r="B247" s="22">
        <f t="shared" si="17"/>
        <v>88922.074497996233</v>
      </c>
      <c r="C247" s="21">
        <v>0.03</v>
      </c>
      <c r="D247" s="22">
        <f t="shared" si="14"/>
        <v>222.30518624499058</v>
      </c>
      <c r="E247" s="22">
        <f t="shared" si="16"/>
        <v>89144.379684241227</v>
      </c>
      <c r="F247" s="20"/>
      <c r="G247" s="22">
        <f t="shared" si="15"/>
        <v>88144.379684241227</v>
      </c>
      <c r="H247" s="22">
        <v>1000</v>
      </c>
      <c r="I247" s="23">
        <v>243</v>
      </c>
    </row>
    <row r="248" spans="2:9" x14ac:dyDescent="0.25">
      <c r="B248" s="22">
        <f t="shared" si="17"/>
        <v>88144.379684241227</v>
      </c>
      <c r="C248" s="21">
        <v>0.03</v>
      </c>
      <c r="D248" s="22">
        <f t="shared" si="14"/>
        <v>220.36094921060308</v>
      </c>
      <c r="E248" s="22">
        <f t="shared" si="16"/>
        <v>88364.740633451831</v>
      </c>
      <c r="F248" s="20"/>
      <c r="G248" s="22">
        <f t="shared" si="15"/>
        <v>87364.740633451831</v>
      </c>
      <c r="H248" s="22">
        <v>1000</v>
      </c>
      <c r="I248" s="23">
        <v>244</v>
      </c>
    </row>
    <row r="249" spans="2:9" x14ac:dyDescent="0.25">
      <c r="B249" s="22">
        <f t="shared" si="17"/>
        <v>87364.740633451831</v>
      </c>
      <c r="C249" s="21">
        <v>0.03</v>
      </c>
      <c r="D249" s="22">
        <f t="shared" si="14"/>
        <v>218.41185158362958</v>
      </c>
      <c r="E249" s="22">
        <f t="shared" si="16"/>
        <v>87583.152485035462</v>
      </c>
      <c r="F249" s="20"/>
      <c r="G249" s="22">
        <f t="shared" si="15"/>
        <v>86583.152485035462</v>
      </c>
      <c r="H249" s="22">
        <v>1000</v>
      </c>
      <c r="I249" s="23">
        <v>245</v>
      </c>
    </row>
    <row r="250" spans="2:9" x14ac:dyDescent="0.25">
      <c r="B250" s="22">
        <f t="shared" si="17"/>
        <v>86583.152485035462</v>
      </c>
      <c r="C250" s="21">
        <v>0.03</v>
      </c>
      <c r="D250" s="22">
        <f t="shared" si="14"/>
        <v>216.45788121258866</v>
      </c>
      <c r="E250" s="22">
        <f t="shared" si="16"/>
        <v>86799.610366248045</v>
      </c>
      <c r="F250" s="20"/>
      <c r="G250" s="22">
        <f t="shared" si="15"/>
        <v>85799.610366248045</v>
      </c>
      <c r="H250" s="22">
        <v>1000</v>
      </c>
      <c r="I250" s="23">
        <v>246</v>
      </c>
    </row>
    <row r="251" spans="2:9" x14ac:dyDescent="0.25">
      <c r="B251" s="22">
        <f t="shared" si="17"/>
        <v>85799.610366248045</v>
      </c>
      <c r="C251" s="21">
        <v>0.03</v>
      </c>
      <c r="D251" s="22">
        <f t="shared" si="14"/>
        <v>214.49902591562011</v>
      </c>
      <c r="E251" s="22">
        <f t="shared" si="16"/>
        <v>86014.109392163664</v>
      </c>
      <c r="F251" s="20"/>
      <c r="G251" s="22">
        <f t="shared" si="15"/>
        <v>85014.109392163664</v>
      </c>
      <c r="H251" s="22">
        <v>1000</v>
      </c>
      <c r="I251" s="23">
        <v>247</v>
      </c>
    </row>
    <row r="252" spans="2:9" x14ac:dyDescent="0.25">
      <c r="B252" s="22">
        <f t="shared" si="17"/>
        <v>85014.109392163664</v>
      </c>
      <c r="C252" s="21">
        <v>0.03</v>
      </c>
      <c r="D252" s="22">
        <f t="shared" si="14"/>
        <v>212.53527348040916</v>
      </c>
      <c r="E252" s="22">
        <f t="shared" si="16"/>
        <v>85226.644665644068</v>
      </c>
      <c r="F252" s="20"/>
      <c r="G252" s="22">
        <f t="shared" si="15"/>
        <v>84226.644665644068</v>
      </c>
      <c r="H252" s="22">
        <v>1000</v>
      </c>
      <c r="I252" s="23">
        <v>248</v>
      </c>
    </row>
    <row r="253" spans="2:9" x14ac:dyDescent="0.25">
      <c r="B253" s="22">
        <f t="shared" si="17"/>
        <v>84226.644665644068</v>
      </c>
      <c r="C253" s="21">
        <v>0.03</v>
      </c>
      <c r="D253" s="22">
        <f t="shared" si="14"/>
        <v>210.56661166411018</v>
      </c>
      <c r="E253" s="22">
        <f t="shared" si="16"/>
        <v>84437.211277308175</v>
      </c>
      <c r="F253" s="20"/>
      <c r="G253" s="22">
        <f t="shared" si="15"/>
        <v>83437.211277308175</v>
      </c>
      <c r="H253" s="22">
        <v>1000</v>
      </c>
      <c r="I253" s="23">
        <v>249</v>
      </c>
    </row>
    <row r="254" spans="2:9" x14ac:dyDescent="0.25">
      <c r="B254" s="22">
        <f t="shared" si="17"/>
        <v>83437.211277308175</v>
      </c>
      <c r="C254" s="21">
        <v>0.03</v>
      </c>
      <c r="D254" s="22">
        <f t="shared" si="14"/>
        <v>208.59302819327044</v>
      </c>
      <c r="E254" s="22">
        <f t="shared" si="16"/>
        <v>83645.804305501442</v>
      </c>
      <c r="F254" s="20"/>
      <c r="G254" s="22">
        <f t="shared" si="15"/>
        <v>82645.804305501442</v>
      </c>
      <c r="H254" s="22">
        <v>1000</v>
      </c>
      <c r="I254" s="23">
        <v>250</v>
      </c>
    </row>
    <row r="255" spans="2:9" x14ac:dyDescent="0.25">
      <c r="B255" s="22">
        <f t="shared" si="17"/>
        <v>82645.804305501442</v>
      </c>
      <c r="C255" s="21">
        <v>0.03</v>
      </c>
      <c r="D255" s="22">
        <f t="shared" si="14"/>
        <v>206.6145107637536</v>
      </c>
      <c r="E255" s="22">
        <f t="shared" si="16"/>
        <v>82852.418816265199</v>
      </c>
      <c r="F255" s="20"/>
      <c r="G255" s="22">
        <f t="shared" si="15"/>
        <v>81852.418816265199</v>
      </c>
      <c r="H255" s="22">
        <v>1000</v>
      </c>
      <c r="I255" s="23">
        <v>251</v>
      </c>
    </row>
    <row r="256" spans="2:9" x14ac:dyDescent="0.25">
      <c r="B256" s="22">
        <f t="shared" si="17"/>
        <v>81852.418816265199</v>
      </c>
      <c r="C256" s="21">
        <v>0.03</v>
      </c>
      <c r="D256" s="22">
        <f t="shared" si="14"/>
        <v>204.63104704066299</v>
      </c>
      <c r="E256" s="22">
        <f t="shared" si="16"/>
        <v>82057.04986330586</v>
      </c>
      <c r="F256" s="20"/>
      <c r="G256" s="22">
        <f t="shared" si="15"/>
        <v>81057.04986330586</v>
      </c>
      <c r="H256" s="22">
        <v>1000</v>
      </c>
      <c r="I256" s="23">
        <v>252</v>
      </c>
    </row>
    <row r="257" spans="2:9" x14ac:dyDescent="0.25">
      <c r="B257" s="22">
        <f t="shared" si="17"/>
        <v>81057.04986330586</v>
      </c>
      <c r="C257" s="21">
        <v>0.03</v>
      </c>
      <c r="D257" s="22">
        <f t="shared" si="14"/>
        <v>202.64262465826465</v>
      </c>
      <c r="E257" s="22">
        <f t="shared" si="16"/>
        <v>81259.69248796413</v>
      </c>
      <c r="F257" s="20"/>
      <c r="G257" s="22">
        <f t="shared" si="15"/>
        <v>80259.69248796413</v>
      </c>
      <c r="H257" s="22">
        <v>1000</v>
      </c>
      <c r="I257" s="23">
        <v>253</v>
      </c>
    </row>
    <row r="258" spans="2:9" x14ac:dyDescent="0.25">
      <c r="B258" s="22">
        <f t="shared" si="17"/>
        <v>80259.69248796413</v>
      </c>
      <c r="C258" s="21">
        <v>0.03</v>
      </c>
      <c r="D258" s="22">
        <f t="shared" si="14"/>
        <v>200.64923121991032</v>
      </c>
      <c r="E258" s="22">
        <f t="shared" si="16"/>
        <v>80460.341719184042</v>
      </c>
      <c r="F258" s="20"/>
      <c r="G258" s="22">
        <f t="shared" si="15"/>
        <v>79460.341719184042</v>
      </c>
      <c r="H258" s="22">
        <v>1000</v>
      </c>
      <c r="I258" s="23">
        <v>254</v>
      </c>
    </row>
    <row r="259" spans="2:9" x14ac:dyDescent="0.25">
      <c r="B259" s="22">
        <f t="shared" si="17"/>
        <v>79460.341719184042</v>
      </c>
      <c r="C259" s="21">
        <v>0.03</v>
      </c>
      <c r="D259" s="22">
        <f t="shared" si="14"/>
        <v>198.65085429796011</v>
      </c>
      <c r="E259" s="22">
        <f t="shared" si="16"/>
        <v>79658.992573481999</v>
      </c>
      <c r="F259" s="20"/>
      <c r="G259" s="22">
        <f t="shared" si="15"/>
        <v>78658.992573481999</v>
      </c>
      <c r="H259" s="22">
        <v>1000</v>
      </c>
      <c r="I259" s="23">
        <v>255</v>
      </c>
    </row>
    <row r="260" spans="2:9" x14ac:dyDescent="0.25">
      <c r="B260" s="22">
        <f t="shared" si="17"/>
        <v>78658.992573481999</v>
      </c>
      <c r="C260" s="21">
        <v>0.03</v>
      </c>
      <c r="D260" s="22">
        <f t="shared" si="14"/>
        <v>196.647481433705</v>
      </c>
      <c r="E260" s="22">
        <f t="shared" si="16"/>
        <v>78855.640054915697</v>
      </c>
      <c r="F260" s="20"/>
      <c r="G260" s="22">
        <f t="shared" si="15"/>
        <v>77855.640054915697</v>
      </c>
      <c r="H260" s="22">
        <v>1000</v>
      </c>
      <c r="I260" s="23">
        <v>256</v>
      </c>
    </row>
    <row r="261" spans="2:9" x14ac:dyDescent="0.25">
      <c r="B261" s="22">
        <f t="shared" si="17"/>
        <v>77855.640054915697</v>
      </c>
      <c r="C261" s="21">
        <v>0.03</v>
      </c>
      <c r="D261" s="22">
        <f t="shared" si="14"/>
        <v>194.63910013728923</v>
      </c>
      <c r="E261" s="22">
        <f t="shared" si="16"/>
        <v>78050.27915505298</v>
      </c>
      <c r="F261" s="20"/>
      <c r="G261" s="22">
        <f t="shared" si="15"/>
        <v>77050.27915505298</v>
      </c>
      <c r="H261" s="22">
        <v>1000</v>
      </c>
      <c r="I261" s="23">
        <v>257</v>
      </c>
    </row>
    <row r="262" spans="2:9" x14ac:dyDescent="0.25">
      <c r="B262" s="22">
        <f t="shared" si="17"/>
        <v>77050.27915505298</v>
      </c>
      <c r="C262" s="21">
        <v>0.03</v>
      </c>
      <c r="D262" s="22">
        <f t="shared" ref="D262:D325" si="18">B262*(0.03/12)</f>
        <v>192.62569788763244</v>
      </c>
      <c r="E262" s="22">
        <f t="shared" si="16"/>
        <v>77242.904852940614</v>
      </c>
      <c r="F262" s="20"/>
      <c r="G262" s="22">
        <f t="shared" ref="G262:G325" si="19">E262-H262</f>
        <v>76242.904852940614</v>
      </c>
      <c r="H262" s="22">
        <v>1000</v>
      </c>
      <c r="I262" s="23">
        <v>258</v>
      </c>
    </row>
    <row r="263" spans="2:9" x14ac:dyDescent="0.25">
      <c r="B263" s="22">
        <f t="shared" si="17"/>
        <v>76242.904852940614</v>
      </c>
      <c r="C263" s="21">
        <v>0.03</v>
      </c>
      <c r="D263" s="22">
        <f t="shared" si="18"/>
        <v>190.60726213235154</v>
      </c>
      <c r="E263" s="22">
        <f t="shared" ref="E263:E326" si="20">B263+D263</f>
        <v>76433.512115072968</v>
      </c>
      <c r="F263" s="20"/>
      <c r="G263" s="22">
        <f t="shared" si="19"/>
        <v>75433.512115072968</v>
      </c>
      <c r="H263" s="22">
        <v>1000</v>
      </c>
      <c r="I263" s="23">
        <v>259</v>
      </c>
    </row>
    <row r="264" spans="2:9" x14ac:dyDescent="0.25">
      <c r="B264" s="22">
        <f t="shared" si="17"/>
        <v>75433.512115072968</v>
      </c>
      <c r="C264" s="21">
        <v>0.03</v>
      </c>
      <c r="D264" s="22">
        <f t="shared" si="18"/>
        <v>188.58378028768243</v>
      </c>
      <c r="E264" s="22">
        <f t="shared" si="20"/>
        <v>75622.095895360646</v>
      </c>
      <c r="F264" s="20"/>
      <c r="G264" s="22">
        <f t="shared" si="19"/>
        <v>74622.095895360646</v>
      </c>
      <c r="H264" s="22">
        <v>1000</v>
      </c>
      <c r="I264" s="23">
        <v>260</v>
      </c>
    </row>
    <row r="265" spans="2:9" x14ac:dyDescent="0.25">
      <c r="B265" s="22">
        <f t="shared" si="17"/>
        <v>74622.095895360646</v>
      </c>
      <c r="C265" s="21">
        <v>0.03</v>
      </c>
      <c r="D265" s="22">
        <f t="shared" si="18"/>
        <v>186.55523973840161</v>
      </c>
      <c r="E265" s="22">
        <f t="shared" si="20"/>
        <v>74808.651135099048</v>
      </c>
      <c r="F265" s="20"/>
      <c r="G265" s="22">
        <f t="shared" si="19"/>
        <v>73808.651135099048</v>
      </c>
      <c r="H265" s="22">
        <v>1000</v>
      </c>
      <c r="I265" s="23">
        <v>261</v>
      </c>
    </row>
    <row r="266" spans="2:9" x14ac:dyDescent="0.25">
      <c r="B266" s="22">
        <f t="shared" si="17"/>
        <v>73808.651135099048</v>
      </c>
      <c r="C266" s="21">
        <v>0.03</v>
      </c>
      <c r="D266" s="22">
        <f t="shared" si="18"/>
        <v>184.52162783774762</v>
      </c>
      <c r="E266" s="22">
        <f t="shared" si="20"/>
        <v>73993.172762936796</v>
      </c>
      <c r="F266" s="20"/>
      <c r="G266" s="22">
        <f t="shared" si="19"/>
        <v>72993.172762936796</v>
      </c>
      <c r="H266" s="22">
        <v>1000</v>
      </c>
      <c r="I266" s="23">
        <v>262</v>
      </c>
    </row>
    <row r="267" spans="2:9" x14ac:dyDescent="0.25">
      <c r="B267" s="22">
        <f t="shared" si="17"/>
        <v>72993.172762936796</v>
      </c>
      <c r="C267" s="21">
        <v>0.03</v>
      </c>
      <c r="D267" s="22">
        <f t="shared" si="18"/>
        <v>182.48293190734199</v>
      </c>
      <c r="E267" s="22">
        <f t="shared" si="20"/>
        <v>73175.655694844143</v>
      </c>
      <c r="F267" s="20"/>
      <c r="G267" s="22">
        <f t="shared" si="19"/>
        <v>72175.655694844143</v>
      </c>
      <c r="H267" s="22">
        <v>1000</v>
      </c>
      <c r="I267" s="23">
        <v>263</v>
      </c>
    </row>
    <row r="268" spans="2:9" x14ac:dyDescent="0.25">
      <c r="B268" s="22">
        <f t="shared" si="17"/>
        <v>72175.655694844143</v>
      </c>
      <c r="C268" s="21">
        <v>0.03</v>
      </c>
      <c r="D268" s="22">
        <f t="shared" si="18"/>
        <v>180.43913923711037</v>
      </c>
      <c r="E268" s="22">
        <f t="shared" si="20"/>
        <v>72356.094834081247</v>
      </c>
      <c r="F268" s="20"/>
      <c r="G268" s="22">
        <f t="shared" si="19"/>
        <v>71356.094834081247</v>
      </c>
      <c r="H268" s="22">
        <v>1000</v>
      </c>
      <c r="I268" s="23">
        <v>264</v>
      </c>
    </row>
    <row r="269" spans="2:9" x14ac:dyDescent="0.25">
      <c r="B269" s="22">
        <f t="shared" si="17"/>
        <v>71356.094834081247</v>
      </c>
      <c r="C269" s="21">
        <v>0.03</v>
      </c>
      <c r="D269" s="22">
        <f t="shared" si="18"/>
        <v>178.39023708520313</v>
      </c>
      <c r="E269" s="22">
        <f t="shared" si="20"/>
        <v>71534.485071166448</v>
      </c>
      <c r="F269" s="20"/>
      <c r="G269" s="22">
        <f t="shared" si="19"/>
        <v>70534.485071166448</v>
      </c>
      <c r="H269" s="22">
        <v>1000</v>
      </c>
      <c r="I269" s="23">
        <v>265</v>
      </c>
    </row>
    <row r="270" spans="2:9" x14ac:dyDescent="0.25">
      <c r="B270" s="22">
        <f t="shared" si="17"/>
        <v>70534.485071166448</v>
      </c>
      <c r="C270" s="21">
        <v>0.03</v>
      </c>
      <c r="D270" s="22">
        <f t="shared" si="18"/>
        <v>176.33621267791611</v>
      </c>
      <c r="E270" s="22">
        <f t="shared" si="20"/>
        <v>70710.821283844358</v>
      </c>
      <c r="F270" s="20"/>
      <c r="G270" s="22">
        <f t="shared" si="19"/>
        <v>69710.821283844358</v>
      </c>
      <c r="H270" s="22">
        <v>1000</v>
      </c>
      <c r="I270" s="23">
        <v>266</v>
      </c>
    </row>
    <row r="271" spans="2:9" x14ac:dyDescent="0.25">
      <c r="B271" s="22">
        <f t="shared" si="17"/>
        <v>69710.821283844358</v>
      </c>
      <c r="C271" s="21">
        <v>0.03</v>
      </c>
      <c r="D271" s="22">
        <f t="shared" si="18"/>
        <v>174.2770532096109</v>
      </c>
      <c r="E271" s="22">
        <f t="shared" si="20"/>
        <v>69885.098337053962</v>
      </c>
      <c r="F271" s="20"/>
      <c r="G271" s="22">
        <f t="shared" si="19"/>
        <v>68885.098337053962</v>
      </c>
      <c r="H271" s="22">
        <v>1000</v>
      </c>
      <c r="I271" s="23">
        <v>267</v>
      </c>
    </row>
    <row r="272" spans="2:9" x14ac:dyDescent="0.25">
      <c r="B272" s="22">
        <f t="shared" si="17"/>
        <v>68885.098337053962</v>
      </c>
      <c r="C272" s="21">
        <v>0.03</v>
      </c>
      <c r="D272" s="22">
        <f t="shared" si="18"/>
        <v>172.21274584263492</v>
      </c>
      <c r="E272" s="22">
        <f t="shared" si="20"/>
        <v>69057.311082896602</v>
      </c>
      <c r="F272" s="20"/>
      <c r="G272" s="22">
        <f t="shared" si="19"/>
        <v>68057.311082896602</v>
      </c>
      <c r="H272" s="22">
        <v>1000</v>
      </c>
      <c r="I272" s="23">
        <v>268</v>
      </c>
    </row>
    <row r="273" spans="2:9" x14ac:dyDescent="0.25">
      <c r="B273" s="22">
        <f t="shared" si="17"/>
        <v>68057.311082896602</v>
      </c>
      <c r="C273" s="21">
        <v>0.03</v>
      </c>
      <c r="D273" s="22">
        <f t="shared" si="18"/>
        <v>170.14327770724151</v>
      </c>
      <c r="E273" s="22">
        <f t="shared" si="20"/>
        <v>68227.45436060385</v>
      </c>
      <c r="F273" s="20"/>
      <c r="G273" s="22">
        <f t="shared" si="19"/>
        <v>67227.45436060385</v>
      </c>
      <c r="H273" s="22">
        <v>1000</v>
      </c>
      <c r="I273" s="23">
        <v>269</v>
      </c>
    </row>
    <row r="274" spans="2:9" x14ac:dyDescent="0.25">
      <c r="B274" s="22">
        <f t="shared" si="17"/>
        <v>67227.45436060385</v>
      </c>
      <c r="C274" s="21">
        <v>0.03</v>
      </c>
      <c r="D274" s="22">
        <f t="shared" si="18"/>
        <v>168.06863590150962</v>
      </c>
      <c r="E274" s="22">
        <f t="shared" si="20"/>
        <v>67395.522996505359</v>
      </c>
      <c r="F274" s="20"/>
      <c r="G274" s="22">
        <f t="shared" si="19"/>
        <v>66395.522996505359</v>
      </c>
      <c r="H274" s="22">
        <v>1000</v>
      </c>
      <c r="I274" s="23">
        <v>270</v>
      </c>
    </row>
    <row r="275" spans="2:9" x14ac:dyDescent="0.25">
      <c r="B275" s="22">
        <f t="shared" si="17"/>
        <v>66395.522996505359</v>
      </c>
      <c r="C275" s="21">
        <v>0.03</v>
      </c>
      <c r="D275" s="22">
        <f t="shared" si="18"/>
        <v>165.9888074912634</v>
      </c>
      <c r="E275" s="22">
        <f t="shared" si="20"/>
        <v>66561.511803996618</v>
      </c>
      <c r="F275" s="20"/>
      <c r="G275" s="22">
        <f t="shared" si="19"/>
        <v>65561.511803996618</v>
      </c>
      <c r="H275" s="22">
        <v>1000</v>
      </c>
      <c r="I275" s="23">
        <v>271</v>
      </c>
    </row>
    <row r="276" spans="2:9" x14ac:dyDescent="0.25">
      <c r="B276" s="22">
        <f t="shared" si="17"/>
        <v>65561.511803996618</v>
      </c>
      <c r="C276" s="21">
        <v>0.03</v>
      </c>
      <c r="D276" s="22">
        <f t="shared" si="18"/>
        <v>163.90377950999155</v>
      </c>
      <c r="E276" s="22">
        <f t="shared" si="20"/>
        <v>65725.415583506605</v>
      </c>
      <c r="F276" s="20"/>
      <c r="G276" s="22">
        <f t="shared" si="19"/>
        <v>64725.415583506605</v>
      </c>
      <c r="H276" s="22">
        <v>1000</v>
      </c>
      <c r="I276" s="23">
        <v>272</v>
      </c>
    </row>
    <row r="277" spans="2:9" x14ac:dyDescent="0.25">
      <c r="B277" s="22">
        <f t="shared" si="17"/>
        <v>64725.415583506605</v>
      </c>
      <c r="C277" s="21">
        <v>0.03</v>
      </c>
      <c r="D277" s="22">
        <f t="shared" si="18"/>
        <v>161.81353895876651</v>
      </c>
      <c r="E277" s="22">
        <f t="shared" si="20"/>
        <v>64887.229122465375</v>
      </c>
      <c r="F277" s="20"/>
      <c r="G277" s="22">
        <f t="shared" si="19"/>
        <v>63887.229122465375</v>
      </c>
      <c r="H277" s="22">
        <v>1000</v>
      </c>
      <c r="I277" s="23">
        <v>273</v>
      </c>
    </row>
    <row r="278" spans="2:9" x14ac:dyDescent="0.25">
      <c r="B278" s="22">
        <f t="shared" si="17"/>
        <v>63887.229122465375</v>
      </c>
      <c r="C278" s="21">
        <v>0.03</v>
      </c>
      <c r="D278" s="22">
        <f t="shared" si="18"/>
        <v>159.71807280616343</v>
      </c>
      <c r="E278" s="22">
        <f t="shared" si="20"/>
        <v>64046.947195271539</v>
      </c>
      <c r="F278" s="20"/>
      <c r="G278" s="22">
        <f t="shared" si="19"/>
        <v>63046.947195271539</v>
      </c>
      <c r="H278" s="22">
        <v>1000</v>
      </c>
      <c r="I278" s="23">
        <v>274</v>
      </c>
    </row>
    <row r="279" spans="2:9" x14ac:dyDescent="0.25">
      <c r="B279" s="22">
        <f t="shared" si="17"/>
        <v>63046.947195271539</v>
      </c>
      <c r="C279" s="21">
        <v>0.03</v>
      </c>
      <c r="D279" s="22">
        <f t="shared" si="18"/>
        <v>157.61736798817884</v>
      </c>
      <c r="E279" s="22">
        <f t="shared" si="20"/>
        <v>63204.564563259715</v>
      </c>
      <c r="F279" s="20"/>
      <c r="G279" s="22">
        <f t="shared" si="19"/>
        <v>62204.564563259715</v>
      </c>
      <c r="H279" s="22">
        <v>1000</v>
      </c>
      <c r="I279" s="23">
        <v>275</v>
      </c>
    </row>
    <row r="280" spans="2:9" x14ac:dyDescent="0.25">
      <c r="B280" s="22">
        <f t="shared" si="17"/>
        <v>62204.564563259715</v>
      </c>
      <c r="C280" s="21">
        <v>0.03</v>
      </c>
      <c r="D280" s="22">
        <f t="shared" si="18"/>
        <v>155.51141140814929</v>
      </c>
      <c r="E280" s="22">
        <f t="shared" si="20"/>
        <v>62360.075974667867</v>
      </c>
      <c r="F280" s="20"/>
      <c r="G280" s="22">
        <f t="shared" si="19"/>
        <v>61360.075974667867</v>
      </c>
      <c r="H280" s="22">
        <v>1000</v>
      </c>
      <c r="I280" s="23">
        <v>276</v>
      </c>
    </row>
    <row r="281" spans="2:9" x14ac:dyDescent="0.25">
      <c r="B281" s="22">
        <f t="shared" si="17"/>
        <v>61360.075974667867</v>
      </c>
      <c r="C281" s="21">
        <v>0.03</v>
      </c>
      <c r="D281" s="22">
        <f t="shared" si="18"/>
        <v>153.40018993666968</v>
      </c>
      <c r="E281" s="22">
        <f t="shared" si="20"/>
        <v>61513.476164604537</v>
      </c>
      <c r="F281" s="20"/>
      <c r="G281" s="22">
        <f t="shared" si="19"/>
        <v>60513.476164604537</v>
      </c>
      <c r="H281" s="22">
        <v>1000</v>
      </c>
      <c r="I281" s="23">
        <v>277</v>
      </c>
    </row>
    <row r="282" spans="2:9" x14ac:dyDescent="0.25">
      <c r="B282" s="22">
        <f t="shared" si="17"/>
        <v>60513.476164604537</v>
      </c>
      <c r="C282" s="21">
        <v>0.03</v>
      </c>
      <c r="D282" s="22">
        <f t="shared" si="18"/>
        <v>151.28369041151134</v>
      </c>
      <c r="E282" s="22">
        <f t="shared" si="20"/>
        <v>60664.759855016047</v>
      </c>
      <c r="F282" s="20"/>
      <c r="G282" s="22">
        <f t="shared" si="19"/>
        <v>59664.759855016047</v>
      </c>
      <c r="H282" s="22">
        <v>1000</v>
      </c>
      <c r="I282" s="23">
        <v>278</v>
      </c>
    </row>
    <row r="283" spans="2:9" x14ac:dyDescent="0.25">
      <c r="B283" s="22">
        <f t="shared" si="17"/>
        <v>59664.759855016047</v>
      </c>
      <c r="C283" s="21">
        <v>0.03</v>
      </c>
      <c r="D283" s="22">
        <f t="shared" si="18"/>
        <v>149.16189963754013</v>
      </c>
      <c r="E283" s="22">
        <f t="shared" si="20"/>
        <v>59813.921754653587</v>
      </c>
      <c r="F283" s="20"/>
      <c r="G283" s="22">
        <f t="shared" si="19"/>
        <v>58813.921754653587</v>
      </c>
      <c r="H283" s="22">
        <v>1000</v>
      </c>
      <c r="I283" s="23">
        <v>279</v>
      </c>
    </row>
    <row r="284" spans="2:9" x14ac:dyDescent="0.25">
      <c r="B284" s="22">
        <f t="shared" si="17"/>
        <v>58813.921754653587</v>
      </c>
      <c r="C284" s="21">
        <v>0.03</v>
      </c>
      <c r="D284" s="22">
        <f t="shared" si="18"/>
        <v>147.03480438663397</v>
      </c>
      <c r="E284" s="22">
        <f t="shared" si="20"/>
        <v>58960.95655904022</v>
      </c>
      <c r="F284" s="20"/>
      <c r="G284" s="22">
        <f t="shared" si="19"/>
        <v>57960.95655904022</v>
      </c>
      <c r="H284" s="22">
        <v>1000</v>
      </c>
      <c r="I284" s="23">
        <v>280</v>
      </c>
    </row>
    <row r="285" spans="2:9" x14ac:dyDescent="0.25">
      <c r="B285" s="22">
        <f t="shared" ref="B285:B347" si="21">G284</f>
        <v>57960.95655904022</v>
      </c>
      <c r="C285" s="21">
        <v>0.03</v>
      </c>
      <c r="D285" s="22">
        <f t="shared" si="18"/>
        <v>144.90239139760055</v>
      </c>
      <c r="E285" s="22">
        <f t="shared" si="20"/>
        <v>58105.858950437818</v>
      </c>
      <c r="F285" s="20"/>
      <c r="G285" s="22">
        <f t="shared" si="19"/>
        <v>57105.858950437818</v>
      </c>
      <c r="H285" s="22">
        <v>1000</v>
      </c>
      <c r="I285" s="23">
        <v>281</v>
      </c>
    </row>
    <row r="286" spans="2:9" x14ac:dyDescent="0.25">
      <c r="B286" s="22">
        <f t="shared" si="21"/>
        <v>57105.858950437818</v>
      </c>
      <c r="C286" s="21">
        <v>0.03</v>
      </c>
      <c r="D286" s="22">
        <f t="shared" si="18"/>
        <v>142.76464737609456</v>
      </c>
      <c r="E286" s="22">
        <f t="shared" si="20"/>
        <v>57248.623597813916</v>
      </c>
      <c r="F286" s="20"/>
      <c r="G286" s="22">
        <f t="shared" si="19"/>
        <v>56248.623597813916</v>
      </c>
      <c r="H286" s="22">
        <v>1000</v>
      </c>
      <c r="I286" s="23">
        <v>282</v>
      </c>
    </row>
    <row r="287" spans="2:9" x14ac:dyDescent="0.25">
      <c r="B287" s="22">
        <f t="shared" si="21"/>
        <v>56248.623597813916</v>
      </c>
      <c r="C287" s="21">
        <v>0.03</v>
      </c>
      <c r="D287" s="22">
        <f t="shared" si="18"/>
        <v>140.62155899453478</v>
      </c>
      <c r="E287" s="22">
        <f t="shared" si="20"/>
        <v>56389.245156808451</v>
      </c>
      <c r="F287" s="20"/>
      <c r="G287" s="22">
        <f t="shared" si="19"/>
        <v>55389.245156808451</v>
      </c>
      <c r="H287" s="22">
        <v>1000</v>
      </c>
      <c r="I287" s="23">
        <v>283</v>
      </c>
    </row>
    <row r="288" spans="2:9" x14ac:dyDescent="0.25">
      <c r="B288" s="22">
        <f t="shared" si="21"/>
        <v>55389.245156808451</v>
      </c>
      <c r="C288" s="21">
        <v>0.03</v>
      </c>
      <c r="D288" s="22">
        <f t="shared" si="18"/>
        <v>138.47311289202113</v>
      </c>
      <c r="E288" s="22">
        <f t="shared" si="20"/>
        <v>55527.718269700468</v>
      </c>
      <c r="F288" s="20"/>
      <c r="G288" s="22">
        <f t="shared" si="19"/>
        <v>54527.718269700468</v>
      </c>
      <c r="H288" s="22">
        <v>1000</v>
      </c>
      <c r="I288" s="23">
        <v>284</v>
      </c>
    </row>
    <row r="289" spans="2:9" x14ac:dyDescent="0.25">
      <c r="B289" s="22">
        <f t="shared" si="21"/>
        <v>54527.718269700468</v>
      </c>
      <c r="C289" s="21">
        <v>0.03</v>
      </c>
      <c r="D289" s="22">
        <f t="shared" si="18"/>
        <v>136.31929567425118</v>
      </c>
      <c r="E289" s="22">
        <f t="shared" si="20"/>
        <v>54664.037565374718</v>
      </c>
      <c r="F289" s="20"/>
      <c r="G289" s="22">
        <f t="shared" si="19"/>
        <v>53664.037565374718</v>
      </c>
      <c r="H289" s="22">
        <v>1000</v>
      </c>
      <c r="I289" s="23">
        <v>285</v>
      </c>
    </row>
    <row r="290" spans="2:9" x14ac:dyDescent="0.25">
      <c r="B290" s="22">
        <f t="shared" si="21"/>
        <v>53664.037565374718</v>
      </c>
      <c r="C290" s="21">
        <v>0.03</v>
      </c>
      <c r="D290" s="22">
        <f t="shared" si="18"/>
        <v>134.16009391343681</v>
      </c>
      <c r="E290" s="22">
        <f t="shared" si="20"/>
        <v>53798.197659288155</v>
      </c>
      <c r="F290" s="20"/>
      <c r="G290" s="22">
        <f t="shared" si="19"/>
        <v>52798.197659288155</v>
      </c>
      <c r="H290" s="22">
        <v>1000</v>
      </c>
      <c r="I290" s="23">
        <v>286</v>
      </c>
    </row>
    <row r="291" spans="2:9" x14ac:dyDescent="0.25">
      <c r="B291" s="22">
        <f t="shared" si="21"/>
        <v>52798.197659288155</v>
      </c>
      <c r="C291" s="21">
        <v>0.03</v>
      </c>
      <c r="D291" s="22">
        <f t="shared" si="18"/>
        <v>131.99549414822039</v>
      </c>
      <c r="E291" s="22">
        <f t="shared" si="20"/>
        <v>52930.193153436376</v>
      </c>
      <c r="F291" s="20"/>
      <c r="G291" s="22">
        <f t="shared" si="19"/>
        <v>51930.193153436376</v>
      </c>
      <c r="H291" s="22">
        <v>1000</v>
      </c>
      <c r="I291" s="23">
        <v>287</v>
      </c>
    </row>
    <row r="292" spans="2:9" x14ac:dyDescent="0.25">
      <c r="B292" s="22">
        <f t="shared" si="21"/>
        <v>51930.193153436376</v>
      </c>
      <c r="C292" s="21">
        <v>0.03</v>
      </c>
      <c r="D292" s="22">
        <f t="shared" si="18"/>
        <v>129.82548288359095</v>
      </c>
      <c r="E292" s="22">
        <f t="shared" si="20"/>
        <v>52060.018636319968</v>
      </c>
      <c r="F292" s="20"/>
      <c r="G292" s="22">
        <f t="shared" si="19"/>
        <v>51060.018636319968</v>
      </c>
      <c r="H292" s="22">
        <v>1000</v>
      </c>
      <c r="I292" s="23">
        <v>288</v>
      </c>
    </row>
    <row r="293" spans="2:9" x14ac:dyDescent="0.25">
      <c r="B293" s="22">
        <f t="shared" si="21"/>
        <v>51060.018636319968</v>
      </c>
      <c r="C293" s="21">
        <v>0.03</v>
      </c>
      <c r="D293" s="22">
        <f t="shared" si="18"/>
        <v>127.65004659079992</v>
      </c>
      <c r="E293" s="22">
        <f t="shared" si="20"/>
        <v>51187.668682910771</v>
      </c>
      <c r="F293" s="20"/>
      <c r="G293" s="22">
        <f t="shared" si="19"/>
        <v>50187.668682910771</v>
      </c>
      <c r="H293" s="22">
        <v>1000</v>
      </c>
      <c r="I293" s="23">
        <v>289</v>
      </c>
    </row>
    <row r="294" spans="2:9" x14ac:dyDescent="0.25">
      <c r="B294" s="22">
        <f t="shared" si="21"/>
        <v>50187.668682910771</v>
      </c>
      <c r="C294" s="21">
        <v>0.03</v>
      </c>
      <c r="D294" s="22">
        <f t="shared" si="18"/>
        <v>125.46917170727693</v>
      </c>
      <c r="E294" s="22">
        <f t="shared" si="20"/>
        <v>50313.137854618049</v>
      </c>
      <c r="F294" s="20"/>
      <c r="G294" s="22">
        <f t="shared" si="19"/>
        <v>49313.137854618049</v>
      </c>
      <c r="H294" s="22">
        <v>1000</v>
      </c>
      <c r="I294" s="23">
        <v>290</v>
      </c>
    </row>
    <row r="295" spans="2:9" x14ac:dyDescent="0.25">
      <c r="B295" s="22">
        <f t="shared" si="21"/>
        <v>49313.137854618049</v>
      </c>
      <c r="C295" s="21">
        <v>0.03</v>
      </c>
      <c r="D295" s="22">
        <f t="shared" si="18"/>
        <v>123.28284463654512</v>
      </c>
      <c r="E295" s="22">
        <f t="shared" si="20"/>
        <v>49436.420699254595</v>
      </c>
      <c r="F295" s="20"/>
      <c r="G295" s="22">
        <f t="shared" si="19"/>
        <v>48436.420699254595</v>
      </c>
      <c r="H295" s="22">
        <v>1000</v>
      </c>
      <c r="I295" s="23">
        <v>291</v>
      </c>
    </row>
    <row r="296" spans="2:9" x14ac:dyDescent="0.25">
      <c r="B296" s="22">
        <f t="shared" si="21"/>
        <v>48436.420699254595</v>
      </c>
      <c r="C296" s="21">
        <v>0.03</v>
      </c>
      <c r="D296" s="22">
        <f t="shared" si="18"/>
        <v>121.09105174813649</v>
      </c>
      <c r="E296" s="22">
        <f t="shared" si="20"/>
        <v>48557.511751002734</v>
      </c>
      <c r="F296" s="20"/>
      <c r="G296" s="22">
        <f t="shared" si="19"/>
        <v>47557.511751002734</v>
      </c>
      <c r="H296" s="22">
        <v>1000</v>
      </c>
      <c r="I296" s="23">
        <v>292</v>
      </c>
    </row>
    <row r="297" spans="2:9" x14ac:dyDescent="0.25">
      <c r="B297" s="22">
        <f t="shared" si="21"/>
        <v>47557.511751002734</v>
      </c>
      <c r="C297" s="21">
        <v>0.03</v>
      </c>
      <c r="D297" s="22">
        <f t="shared" si="18"/>
        <v>118.89377937750683</v>
      </c>
      <c r="E297" s="22">
        <f t="shared" si="20"/>
        <v>47676.405530380238</v>
      </c>
      <c r="F297" s="20"/>
      <c r="G297" s="22">
        <f t="shared" si="19"/>
        <v>46676.405530380238</v>
      </c>
      <c r="H297" s="22">
        <v>1000</v>
      </c>
      <c r="I297" s="23">
        <v>293</v>
      </c>
    </row>
    <row r="298" spans="2:9" x14ac:dyDescent="0.25">
      <c r="B298" s="22">
        <f t="shared" si="21"/>
        <v>46676.405530380238</v>
      </c>
      <c r="C298" s="21">
        <v>0.03</v>
      </c>
      <c r="D298" s="22">
        <f t="shared" si="18"/>
        <v>116.69101382595059</v>
      </c>
      <c r="E298" s="22">
        <f t="shared" si="20"/>
        <v>46793.096544206186</v>
      </c>
      <c r="F298" s="20"/>
      <c r="G298" s="22">
        <f t="shared" si="19"/>
        <v>45793.096544206186</v>
      </c>
      <c r="H298" s="22">
        <v>1000</v>
      </c>
      <c r="I298" s="23">
        <v>294</v>
      </c>
    </row>
    <row r="299" spans="2:9" x14ac:dyDescent="0.25">
      <c r="B299" s="22">
        <f t="shared" si="21"/>
        <v>45793.096544206186</v>
      </c>
      <c r="C299" s="21">
        <v>0.03</v>
      </c>
      <c r="D299" s="22">
        <f t="shared" si="18"/>
        <v>114.48274136051546</v>
      </c>
      <c r="E299" s="22">
        <f t="shared" si="20"/>
        <v>45907.579285566702</v>
      </c>
      <c r="F299" s="20"/>
      <c r="G299" s="22">
        <f t="shared" si="19"/>
        <v>44907.579285566702</v>
      </c>
      <c r="H299" s="22">
        <v>1000</v>
      </c>
      <c r="I299" s="23">
        <v>295</v>
      </c>
    </row>
    <row r="300" spans="2:9" x14ac:dyDescent="0.25">
      <c r="B300" s="22">
        <f t="shared" si="21"/>
        <v>44907.579285566702</v>
      </c>
      <c r="C300" s="21">
        <v>0.03</v>
      </c>
      <c r="D300" s="22">
        <f t="shared" si="18"/>
        <v>112.26894821391676</v>
      </c>
      <c r="E300" s="22">
        <f t="shared" si="20"/>
        <v>45019.84823378062</v>
      </c>
      <c r="F300" s="20"/>
      <c r="G300" s="22">
        <f t="shared" si="19"/>
        <v>44019.84823378062</v>
      </c>
      <c r="H300" s="22">
        <v>1000</v>
      </c>
      <c r="I300" s="23">
        <v>296</v>
      </c>
    </row>
    <row r="301" spans="2:9" x14ac:dyDescent="0.25">
      <c r="B301" s="22">
        <f t="shared" si="21"/>
        <v>44019.84823378062</v>
      </c>
      <c r="C301" s="21">
        <v>0.03</v>
      </c>
      <c r="D301" s="22">
        <f t="shared" si="18"/>
        <v>110.04962058445155</v>
      </c>
      <c r="E301" s="22">
        <f t="shared" si="20"/>
        <v>44129.897854365074</v>
      </c>
      <c r="F301" s="20"/>
      <c r="G301" s="22">
        <f t="shared" si="19"/>
        <v>43129.897854365074</v>
      </c>
      <c r="H301" s="22">
        <v>1000</v>
      </c>
      <c r="I301" s="23">
        <v>297</v>
      </c>
    </row>
    <row r="302" spans="2:9" x14ac:dyDescent="0.25">
      <c r="B302" s="22">
        <f t="shared" si="21"/>
        <v>43129.897854365074</v>
      </c>
      <c r="C302" s="21">
        <v>0.03</v>
      </c>
      <c r="D302" s="22">
        <f t="shared" si="18"/>
        <v>107.82474463591268</v>
      </c>
      <c r="E302" s="22">
        <f t="shared" si="20"/>
        <v>43237.722599000983</v>
      </c>
      <c r="F302" s="20"/>
      <c r="G302" s="22">
        <f t="shared" si="19"/>
        <v>42237.722599000983</v>
      </c>
      <c r="H302" s="22">
        <v>1000</v>
      </c>
      <c r="I302" s="23">
        <v>298</v>
      </c>
    </row>
    <row r="303" spans="2:9" x14ac:dyDescent="0.25">
      <c r="B303" s="22">
        <f t="shared" si="21"/>
        <v>42237.722599000983</v>
      </c>
      <c r="C303" s="21">
        <v>0.03</v>
      </c>
      <c r="D303" s="22">
        <f t="shared" si="18"/>
        <v>105.59430649750246</v>
      </c>
      <c r="E303" s="22">
        <f t="shared" si="20"/>
        <v>42343.316905498483</v>
      </c>
      <c r="F303" s="20"/>
      <c r="G303" s="22">
        <f t="shared" si="19"/>
        <v>41343.316905498483</v>
      </c>
      <c r="H303" s="22">
        <v>1000</v>
      </c>
      <c r="I303" s="23">
        <v>299</v>
      </c>
    </row>
    <row r="304" spans="2:9" x14ac:dyDescent="0.25">
      <c r="B304" s="22">
        <f t="shared" si="21"/>
        <v>41343.316905498483</v>
      </c>
      <c r="C304" s="21">
        <v>0.03</v>
      </c>
      <c r="D304" s="22">
        <f t="shared" si="18"/>
        <v>103.35829226374621</v>
      </c>
      <c r="E304" s="22">
        <f t="shared" si="20"/>
        <v>41446.675197762226</v>
      </c>
      <c r="F304" s="20"/>
      <c r="G304" s="22">
        <f t="shared" si="19"/>
        <v>40446.675197762226</v>
      </c>
      <c r="H304" s="22">
        <v>1000</v>
      </c>
      <c r="I304" s="23">
        <v>300</v>
      </c>
    </row>
    <row r="305" spans="2:9" x14ac:dyDescent="0.25">
      <c r="B305" s="22">
        <f t="shared" si="21"/>
        <v>40446.675197762226</v>
      </c>
      <c r="C305" s="21">
        <v>0.03</v>
      </c>
      <c r="D305" s="22">
        <f t="shared" si="18"/>
        <v>101.11668799440557</v>
      </c>
      <c r="E305" s="22">
        <f t="shared" si="20"/>
        <v>40547.791885756633</v>
      </c>
      <c r="F305" s="20"/>
      <c r="G305" s="22">
        <f t="shared" si="19"/>
        <v>39547.791885756633</v>
      </c>
      <c r="H305" s="22">
        <v>1000</v>
      </c>
      <c r="I305" s="23">
        <v>301</v>
      </c>
    </row>
    <row r="306" spans="2:9" x14ac:dyDescent="0.25">
      <c r="B306" s="22">
        <f t="shared" si="21"/>
        <v>39547.791885756633</v>
      </c>
      <c r="C306" s="21">
        <v>0.03</v>
      </c>
      <c r="D306" s="22">
        <f t="shared" si="18"/>
        <v>98.869479714391588</v>
      </c>
      <c r="E306" s="22">
        <f t="shared" si="20"/>
        <v>39646.661365471024</v>
      </c>
      <c r="F306" s="20"/>
      <c r="G306" s="22">
        <f t="shared" si="19"/>
        <v>38646.661365471024</v>
      </c>
      <c r="H306" s="22">
        <v>1000</v>
      </c>
      <c r="I306" s="23">
        <v>302</v>
      </c>
    </row>
    <row r="307" spans="2:9" x14ac:dyDescent="0.25">
      <c r="B307" s="22">
        <f t="shared" si="21"/>
        <v>38646.661365471024</v>
      </c>
      <c r="C307" s="21">
        <v>0.03</v>
      </c>
      <c r="D307" s="22">
        <f t="shared" si="18"/>
        <v>96.616653413677568</v>
      </c>
      <c r="E307" s="22">
        <f t="shared" si="20"/>
        <v>38743.278018884703</v>
      </c>
      <c r="F307" s="20"/>
      <c r="G307" s="22">
        <f t="shared" si="19"/>
        <v>37743.278018884703</v>
      </c>
      <c r="H307" s="22">
        <v>1000</v>
      </c>
      <c r="I307" s="23">
        <v>303</v>
      </c>
    </row>
    <row r="308" spans="2:9" x14ac:dyDescent="0.25">
      <c r="B308" s="22">
        <f t="shared" si="21"/>
        <v>37743.278018884703</v>
      </c>
      <c r="C308" s="21">
        <v>0.03</v>
      </c>
      <c r="D308" s="22">
        <f t="shared" si="18"/>
        <v>94.358195047211765</v>
      </c>
      <c r="E308" s="22">
        <f t="shared" si="20"/>
        <v>37837.636213931917</v>
      </c>
      <c r="F308" s="20"/>
      <c r="G308" s="22">
        <f t="shared" si="19"/>
        <v>36837.636213931917</v>
      </c>
      <c r="H308" s="22">
        <v>1000</v>
      </c>
      <c r="I308" s="23">
        <v>304</v>
      </c>
    </row>
    <row r="309" spans="2:9" x14ac:dyDescent="0.25">
      <c r="B309" s="22">
        <f t="shared" si="21"/>
        <v>36837.636213931917</v>
      </c>
      <c r="C309" s="21">
        <v>0.03</v>
      </c>
      <c r="D309" s="22">
        <f t="shared" si="18"/>
        <v>92.094090534829789</v>
      </c>
      <c r="E309" s="22">
        <f t="shared" si="20"/>
        <v>36929.73030446675</v>
      </c>
      <c r="F309" s="20"/>
      <c r="G309" s="22">
        <f t="shared" si="19"/>
        <v>35929.73030446675</v>
      </c>
      <c r="H309" s="22">
        <v>1000</v>
      </c>
      <c r="I309" s="23">
        <v>305</v>
      </c>
    </row>
    <row r="310" spans="2:9" x14ac:dyDescent="0.25">
      <c r="B310" s="22">
        <f t="shared" si="21"/>
        <v>35929.73030446675</v>
      </c>
      <c r="C310" s="21">
        <v>0.03</v>
      </c>
      <c r="D310" s="22">
        <f t="shared" si="18"/>
        <v>89.824325761166875</v>
      </c>
      <c r="E310" s="22">
        <f t="shared" si="20"/>
        <v>36019.554630227918</v>
      </c>
      <c r="F310" s="20"/>
      <c r="G310" s="22">
        <f t="shared" si="19"/>
        <v>35019.554630227918</v>
      </c>
      <c r="H310" s="22">
        <v>1000</v>
      </c>
      <c r="I310" s="23">
        <v>306</v>
      </c>
    </row>
    <row r="311" spans="2:9" x14ac:dyDescent="0.25">
      <c r="B311" s="22">
        <f t="shared" si="21"/>
        <v>35019.554630227918</v>
      </c>
      <c r="C311" s="21">
        <v>0.03</v>
      </c>
      <c r="D311" s="22">
        <f t="shared" si="18"/>
        <v>87.548886575569796</v>
      </c>
      <c r="E311" s="22">
        <f t="shared" si="20"/>
        <v>35107.103516803487</v>
      </c>
      <c r="F311" s="20"/>
      <c r="G311" s="22">
        <f t="shared" si="19"/>
        <v>34107.103516803487</v>
      </c>
      <c r="H311" s="22">
        <v>1000</v>
      </c>
      <c r="I311" s="23">
        <v>307</v>
      </c>
    </row>
    <row r="312" spans="2:9" x14ac:dyDescent="0.25">
      <c r="B312" s="22">
        <f t="shared" si="21"/>
        <v>34107.103516803487</v>
      </c>
      <c r="C312" s="21">
        <v>0.03</v>
      </c>
      <c r="D312" s="22">
        <f t="shared" si="18"/>
        <v>85.267758792008721</v>
      </c>
      <c r="E312" s="22">
        <f t="shared" si="20"/>
        <v>34192.371275595498</v>
      </c>
      <c r="F312" s="20"/>
      <c r="G312" s="22">
        <f t="shared" si="19"/>
        <v>33192.371275595498</v>
      </c>
      <c r="H312" s="22">
        <v>1000</v>
      </c>
      <c r="I312" s="23">
        <v>308</v>
      </c>
    </row>
    <row r="313" spans="2:9" x14ac:dyDescent="0.25">
      <c r="B313" s="22">
        <f t="shared" si="21"/>
        <v>33192.371275595498</v>
      </c>
      <c r="C313" s="21">
        <v>0.03</v>
      </c>
      <c r="D313" s="22">
        <f t="shared" si="18"/>
        <v>82.980928188988742</v>
      </c>
      <c r="E313" s="22">
        <f t="shared" si="20"/>
        <v>33275.352203784489</v>
      </c>
      <c r="F313" s="20"/>
      <c r="G313" s="22">
        <f t="shared" si="19"/>
        <v>32275.352203784489</v>
      </c>
      <c r="H313" s="22">
        <v>1000</v>
      </c>
      <c r="I313" s="23">
        <v>309</v>
      </c>
    </row>
    <row r="314" spans="2:9" x14ac:dyDescent="0.25">
      <c r="B314" s="22">
        <f t="shared" si="21"/>
        <v>32275.352203784489</v>
      </c>
      <c r="C314" s="21">
        <v>0.03</v>
      </c>
      <c r="D314" s="22">
        <f t="shared" si="18"/>
        <v>80.688380509461226</v>
      </c>
      <c r="E314" s="22">
        <f t="shared" si="20"/>
        <v>32356.040584293951</v>
      </c>
      <c r="F314" s="20"/>
      <c r="G314" s="22">
        <f t="shared" si="19"/>
        <v>31356.040584293951</v>
      </c>
      <c r="H314" s="22">
        <v>1000</v>
      </c>
      <c r="I314" s="23">
        <v>310</v>
      </c>
    </row>
    <row r="315" spans="2:9" x14ac:dyDescent="0.25">
      <c r="B315" s="22">
        <f t="shared" si="21"/>
        <v>31356.040584293951</v>
      </c>
      <c r="C315" s="21">
        <v>0.03</v>
      </c>
      <c r="D315" s="22">
        <f t="shared" si="18"/>
        <v>78.390101460734883</v>
      </c>
      <c r="E315" s="22">
        <f t="shared" si="20"/>
        <v>31434.430685754687</v>
      </c>
      <c r="F315" s="20"/>
      <c r="G315" s="22">
        <f t="shared" si="19"/>
        <v>30434.430685754687</v>
      </c>
      <c r="H315" s="22">
        <v>1000</v>
      </c>
      <c r="I315" s="23">
        <v>311</v>
      </c>
    </row>
    <row r="316" spans="2:9" x14ac:dyDescent="0.25">
      <c r="B316" s="22">
        <f t="shared" si="21"/>
        <v>30434.430685754687</v>
      </c>
      <c r="C316" s="21">
        <v>0.03</v>
      </c>
      <c r="D316" s="22">
        <f t="shared" si="18"/>
        <v>76.086076714386721</v>
      </c>
      <c r="E316" s="22">
        <f t="shared" si="20"/>
        <v>30510.516762469073</v>
      </c>
      <c r="F316" s="20"/>
      <c r="G316" s="22">
        <f t="shared" si="19"/>
        <v>29510.516762469073</v>
      </c>
      <c r="H316" s="22">
        <v>1000</v>
      </c>
      <c r="I316" s="23">
        <v>312</v>
      </c>
    </row>
    <row r="317" spans="2:9" x14ac:dyDescent="0.25">
      <c r="B317" s="22">
        <f t="shared" si="21"/>
        <v>29510.516762469073</v>
      </c>
      <c r="C317" s="21">
        <v>0.03</v>
      </c>
      <c r="D317" s="22">
        <f t="shared" si="18"/>
        <v>73.776291906172688</v>
      </c>
      <c r="E317" s="22">
        <f t="shared" si="20"/>
        <v>29584.293054375245</v>
      </c>
      <c r="F317" s="20"/>
      <c r="G317" s="22">
        <f t="shared" si="19"/>
        <v>28584.293054375245</v>
      </c>
      <c r="H317" s="22">
        <v>1000</v>
      </c>
      <c r="I317" s="23">
        <v>313</v>
      </c>
    </row>
    <row r="318" spans="2:9" x14ac:dyDescent="0.25">
      <c r="B318" s="22">
        <f t="shared" si="21"/>
        <v>28584.293054375245</v>
      </c>
      <c r="C318" s="21">
        <v>0.03</v>
      </c>
      <c r="D318" s="22">
        <f t="shared" si="18"/>
        <v>71.460732635938115</v>
      </c>
      <c r="E318" s="22">
        <f t="shared" si="20"/>
        <v>28655.753787011181</v>
      </c>
      <c r="F318" s="20"/>
      <c r="G318" s="22">
        <f t="shared" si="19"/>
        <v>27655.753787011181</v>
      </c>
      <c r="H318" s="22">
        <v>1000</v>
      </c>
      <c r="I318" s="23">
        <v>314</v>
      </c>
    </row>
    <row r="319" spans="2:9" x14ac:dyDescent="0.25">
      <c r="B319" s="22">
        <f t="shared" si="21"/>
        <v>27655.753787011181</v>
      </c>
      <c r="C319" s="21">
        <v>0.03</v>
      </c>
      <c r="D319" s="22">
        <f t="shared" si="18"/>
        <v>69.139384467527961</v>
      </c>
      <c r="E319" s="22">
        <f t="shared" si="20"/>
        <v>27724.89317147871</v>
      </c>
      <c r="F319" s="20"/>
      <c r="G319" s="22">
        <f t="shared" si="19"/>
        <v>26724.89317147871</v>
      </c>
      <c r="H319" s="22">
        <v>1000</v>
      </c>
      <c r="I319" s="23">
        <v>315</v>
      </c>
    </row>
    <row r="320" spans="2:9" x14ac:dyDescent="0.25">
      <c r="B320" s="22">
        <f t="shared" si="21"/>
        <v>26724.89317147871</v>
      </c>
      <c r="C320" s="21">
        <v>0.03</v>
      </c>
      <c r="D320" s="22">
        <f t="shared" si="18"/>
        <v>66.812232928696773</v>
      </c>
      <c r="E320" s="22">
        <f t="shared" si="20"/>
        <v>26791.705404407407</v>
      </c>
      <c r="F320" s="20"/>
      <c r="G320" s="22">
        <f t="shared" si="19"/>
        <v>25791.705404407407</v>
      </c>
      <c r="H320" s="22">
        <v>1000</v>
      </c>
      <c r="I320" s="23">
        <v>316</v>
      </c>
    </row>
    <row r="321" spans="2:9" x14ac:dyDescent="0.25">
      <c r="B321" s="22">
        <f t="shared" si="21"/>
        <v>25791.705404407407</v>
      </c>
      <c r="C321" s="21">
        <v>0.03</v>
      </c>
      <c r="D321" s="22">
        <f t="shared" si="18"/>
        <v>64.479263511018516</v>
      </c>
      <c r="E321" s="22">
        <f t="shared" si="20"/>
        <v>25856.184667918424</v>
      </c>
      <c r="F321" s="20"/>
      <c r="G321" s="22">
        <f t="shared" si="19"/>
        <v>24856.184667918424</v>
      </c>
      <c r="H321" s="22">
        <v>1000</v>
      </c>
      <c r="I321" s="23">
        <v>317</v>
      </c>
    </row>
    <row r="322" spans="2:9" x14ac:dyDescent="0.25">
      <c r="B322" s="22">
        <f t="shared" si="21"/>
        <v>24856.184667918424</v>
      </c>
      <c r="C322" s="21">
        <v>0.03</v>
      </c>
      <c r="D322" s="22">
        <f t="shared" si="18"/>
        <v>62.140461669796061</v>
      </c>
      <c r="E322" s="22">
        <f t="shared" si="20"/>
        <v>24918.325129588218</v>
      </c>
      <c r="F322" s="20"/>
      <c r="G322" s="22">
        <f t="shared" si="19"/>
        <v>23918.325129588218</v>
      </c>
      <c r="H322" s="22">
        <v>1000</v>
      </c>
      <c r="I322" s="23">
        <v>318</v>
      </c>
    </row>
    <row r="323" spans="2:9" x14ac:dyDescent="0.25">
      <c r="B323" s="22">
        <f t="shared" si="21"/>
        <v>23918.325129588218</v>
      </c>
      <c r="C323" s="21">
        <v>0.03</v>
      </c>
      <c r="D323" s="22">
        <f t="shared" si="18"/>
        <v>59.79581282397055</v>
      </c>
      <c r="E323" s="22">
        <f t="shared" si="20"/>
        <v>23978.120942412188</v>
      </c>
      <c r="F323" s="20"/>
      <c r="G323" s="22">
        <f t="shared" si="19"/>
        <v>22978.120942412188</v>
      </c>
      <c r="H323" s="22">
        <v>1000</v>
      </c>
      <c r="I323" s="23">
        <v>319</v>
      </c>
    </row>
    <row r="324" spans="2:9" x14ac:dyDescent="0.25">
      <c r="B324" s="22">
        <f t="shared" si="21"/>
        <v>22978.120942412188</v>
      </c>
      <c r="C324" s="21">
        <v>0.03</v>
      </c>
      <c r="D324" s="22">
        <f t="shared" si="18"/>
        <v>57.445302356030474</v>
      </c>
      <c r="E324" s="22">
        <f t="shared" si="20"/>
        <v>23035.566244768219</v>
      </c>
      <c r="F324" s="20"/>
      <c r="G324" s="22">
        <f t="shared" si="19"/>
        <v>22035.566244768219</v>
      </c>
      <c r="H324" s="22">
        <v>1000</v>
      </c>
      <c r="I324" s="23">
        <v>320</v>
      </c>
    </row>
    <row r="325" spans="2:9" x14ac:dyDescent="0.25">
      <c r="B325" s="22">
        <f t="shared" si="21"/>
        <v>22035.566244768219</v>
      </c>
      <c r="C325" s="21">
        <v>0.03</v>
      </c>
      <c r="D325" s="22">
        <f t="shared" si="18"/>
        <v>55.088915611920548</v>
      </c>
      <c r="E325" s="22">
        <f t="shared" si="20"/>
        <v>22090.655160380138</v>
      </c>
      <c r="F325" s="20"/>
      <c r="G325" s="22">
        <f t="shared" si="19"/>
        <v>21090.655160380138</v>
      </c>
      <c r="H325" s="22">
        <v>1000</v>
      </c>
      <c r="I325" s="23">
        <v>321</v>
      </c>
    </row>
    <row r="326" spans="2:9" x14ac:dyDescent="0.25">
      <c r="B326" s="22">
        <f t="shared" si="21"/>
        <v>21090.655160380138</v>
      </c>
      <c r="C326" s="21">
        <v>0.03</v>
      </c>
      <c r="D326" s="22">
        <f t="shared" ref="D326:D347" si="22">B326*(0.03/12)</f>
        <v>52.726637900950344</v>
      </c>
      <c r="E326" s="22">
        <f t="shared" si="20"/>
        <v>21143.381798281087</v>
      </c>
      <c r="F326" s="20"/>
      <c r="G326" s="22">
        <f t="shared" ref="G326:G347" si="23">E326-H326</f>
        <v>20143.381798281087</v>
      </c>
      <c r="H326" s="22">
        <v>1000</v>
      </c>
      <c r="I326" s="23">
        <v>322</v>
      </c>
    </row>
    <row r="327" spans="2:9" x14ac:dyDescent="0.25">
      <c r="B327" s="22">
        <f t="shared" si="21"/>
        <v>20143.381798281087</v>
      </c>
      <c r="C327" s="21">
        <v>0.03</v>
      </c>
      <c r="D327" s="22">
        <f t="shared" si="22"/>
        <v>50.358454495702716</v>
      </c>
      <c r="E327" s="22">
        <f t="shared" ref="E327:E347" si="24">B327+D327</f>
        <v>20193.740252776788</v>
      </c>
      <c r="F327" s="20"/>
      <c r="G327" s="22">
        <f t="shared" si="23"/>
        <v>19193.740252776788</v>
      </c>
      <c r="H327" s="22">
        <v>1000</v>
      </c>
      <c r="I327" s="23">
        <v>323</v>
      </c>
    </row>
    <row r="328" spans="2:9" x14ac:dyDescent="0.25">
      <c r="B328" s="22">
        <f t="shared" si="21"/>
        <v>19193.740252776788</v>
      </c>
      <c r="C328" s="21">
        <v>0.03</v>
      </c>
      <c r="D328" s="22">
        <f t="shared" si="22"/>
        <v>47.984350631941972</v>
      </c>
      <c r="E328" s="22">
        <f t="shared" si="24"/>
        <v>19241.724603408729</v>
      </c>
      <c r="F328" s="20"/>
      <c r="G328" s="22">
        <f t="shared" si="23"/>
        <v>18241.724603408729</v>
      </c>
      <c r="H328" s="22">
        <v>1000</v>
      </c>
      <c r="I328" s="23">
        <v>324</v>
      </c>
    </row>
    <row r="329" spans="2:9" x14ac:dyDescent="0.25">
      <c r="B329" s="22">
        <f t="shared" si="21"/>
        <v>18241.724603408729</v>
      </c>
      <c r="C329" s="21">
        <v>0.03</v>
      </c>
      <c r="D329" s="22">
        <f t="shared" si="22"/>
        <v>45.604311508521825</v>
      </c>
      <c r="E329" s="22">
        <f t="shared" si="24"/>
        <v>18287.328914917252</v>
      </c>
      <c r="F329" s="20"/>
      <c r="G329" s="22">
        <f t="shared" si="23"/>
        <v>17287.328914917252</v>
      </c>
      <c r="H329" s="22">
        <v>1000</v>
      </c>
      <c r="I329" s="23">
        <v>325</v>
      </c>
    </row>
    <row r="330" spans="2:9" x14ac:dyDescent="0.25">
      <c r="B330" s="22">
        <f t="shared" si="21"/>
        <v>17287.328914917252</v>
      </c>
      <c r="C330" s="21">
        <v>0.03</v>
      </c>
      <c r="D330" s="22">
        <f t="shared" si="22"/>
        <v>43.218322287293134</v>
      </c>
      <c r="E330" s="22">
        <f t="shared" si="24"/>
        <v>17330.547237204544</v>
      </c>
      <c r="F330" s="20"/>
      <c r="G330" s="22">
        <f t="shared" si="23"/>
        <v>16330.547237204544</v>
      </c>
      <c r="H330" s="22">
        <v>1000</v>
      </c>
      <c r="I330" s="23">
        <v>326</v>
      </c>
    </row>
    <row r="331" spans="2:9" x14ac:dyDescent="0.25">
      <c r="B331" s="22">
        <f t="shared" si="21"/>
        <v>16330.547237204544</v>
      </c>
      <c r="C331" s="21">
        <v>0.03</v>
      </c>
      <c r="D331" s="22">
        <f t="shared" si="22"/>
        <v>40.826368093011361</v>
      </c>
      <c r="E331" s="22">
        <f t="shared" si="24"/>
        <v>16371.373605297556</v>
      </c>
      <c r="F331" s="20"/>
      <c r="G331" s="22">
        <f t="shared" si="23"/>
        <v>15371.373605297556</v>
      </c>
      <c r="H331" s="22">
        <v>1000</v>
      </c>
      <c r="I331" s="23">
        <v>327</v>
      </c>
    </row>
    <row r="332" spans="2:9" x14ac:dyDescent="0.25">
      <c r="B332" s="22">
        <f t="shared" si="21"/>
        <v>15371.373605297556</v>
      </c>
      <c r="C332" s="21">
        <v>0.03</v>
      </c>
      <c r="D332" s="22">
        <f t="shared" si="22"/>
        <v>38.428434013243894</v>
      </c>
      <c r="E332" s="22">
        <f t="shared" si="24"/>
        <v>15409.8020393108</v>
      </c>
      <c r="F332" s="20"/>
      <c r="G332" s="22">
        <f t="shared" si="23"/>
        <v>14409.8020393108</v>
      </c>
      <c r="H332" s="22">
        <v>1000</v>
      </c>
      <c r="I332" s="23">
        <v>328</v>
      </c>
    </row>
    <row r="333" spans="2:9" x14ac:dyDescent="0.25">
      <c r="B333" s="22">
        <f t="shared" si="21"/>
        <v>14409.8020393108</v>
      </c>
      <c r="C333" s="21">
        <v>0.03</v>
      </c>
      <c r="D333" s="22">
        <f t="shared" si="22"/>
        <v>36.024505098277004</v>
      </c>
      <c r="E333" s="22">
        <f t="shared" si="24"/>
        <v>14445.826544409078</v>
      </c>
      <c r="F333" s="20"/>
      <c r="G333" s="22">
        <f t="shared" si="23"/>
        <v>13445.826544409078</v>
      </c>
      <c r="H333" s="22">
        <v>1000</v>
      </c>
      <c r="I333" s="23">
        <v>329</v>
      </c>
    </row>
    <row r="334" spans="2:9" x14ac:dyDescent="0.25">
      <c r="B334" s="22">
        <f t="shared" si="21"/>
        <v>13445.826544409078</v>
      </c>
      <c r="C334" s="21">
        <v>0.03</v>
      </c>
      <c r="D334" s="22">
        <f t="shared" si="22"/>
        <v>33.614566361022696</v>
      </c>
      <c r="E334" s="22">
        <f t="shared" si="24"/>
        <v>13479.4411107701</v>
      </c>
      <c r="F334" s="20"/>
      <c r="G334" s="22">
        <f t="shared" si="23"/>
        <v>12479.4411107701</v>
      </c>
      <c r="H334" s="22">
        <v>1000</v>
      </c>
      <c r="I334" s="23">
        <v>330</v>
      </c>
    </row>
    <row r="335" spans="2:9" x14ac:dyDescent="0.25">
      <c r="B335" s="22">
        <f t="shared" si="21"/>
        <v>12479.4411107701</v>
      </c>
      <c r="C335" s="21">
        <v>0.03</v>
      </c>
      <c r="D335" s="22">
        <f t="shared" si="22"/>
        <v>31.198602776925249</v>
      </c>
      <c r="E335" s="22">
        <f t="shared" si="24"/>
        <v>12510.639713547025</v>
      </c>
      <c r="F335" s="20"/>
      <c r="G335" s="22">
        <f t="shared" si="23"/>
        <v>11510.639713547025</v>
      </c>
      <c r="H335" s="22">
        <v>1000</v>
      </c>
      <c r="I335" s="23">
        <v>331</v>
      </c>
    </row>
    <row r="336" spans="2:9" x14ac:dyDescent="0.25">
      <c r="B336" s="22">
        <f t="shared" si="21"/>
        <v>11510.639713547025</v>
      </c>
      <c r="C336" s="21">
        <v>0.03</v>
      </c>
      <c r="D336" s="22">
        <f t="shared" si="22"/>
        <v>28.776599283867565</v>
      </c>
      <c r="E336" s="22">
        <f t="shared" si="24"/>
        <v>11539.416312830892</v>
      </c>
      <c r="F336" s="20"/>
      <c r="G336" s="22">
        <f t="shared" si="23"/>
        <v>10539.416312830892</v>
      </c>
      <c r="H336" s="22">
        <v>1000</v>
      </c>
      <c r="I336" s="23">
        <v>332</v>
      </c>
    </row>
    <row r="337" spans="2:10" x14ac:dyDescent="0.25">
      <c r="B337" s="22">
        <f t="shared" si="21"/>
        <v>10539.416312830892</v>
      </c>
      <c r="C337" s="21">
        <v>0.03</v>
      </c>
      <c r="D337" s="22">
        <f t="shared" si="22"/>
        <v>26.348540782077229</v>
      </c>
      <c r="E337" s="22">
        <f t="shared" si="24"/>
        <v>10565.764853612969</v>
      </c>
      <c r="F337" s="20"/>
      <c r="G337" s="22">
        <f t="shared" si="23"/>
        <v>9565.7648536129691</v>
      </c>
      <c r="H337" s="22">
        <v>1000</v>
      </c>
      <c r="I337" s="23">
        <v>333</v>
      </c>
    </row>
    <row r="338" spans="2:10" x14ac:dyDescent="0.25">
      <c r="B338" s="22">
        <f t="shared" si="21"/>
        <v>9565.7648536129691</v>
      </c>
      <c r="C338" s="21">
        <v>0.03</v>
      </c>
      <c r="D338" s="22">
        <f t="shared" si="22"/>
        <v>23.914412134032425</v>
      </c>
      <c r="E338" s="22">
        <f t="shared" si="24"/>
        <v>9589.6792657470014</v>
      </c>
      <c r="F338" s="20"/>
      <c r="G338" s="22">
        <f t="shared" si="23"/>
        <v>8589.6792657470014</v>
      </c>
      <c r="H338" s="22">
        <v>1000</v>
      </c>
      <c r="I338" s="23">
        <v>334</v>
      </c>
    </row>
    <row r="339" spans="2:10" x14ac:dyDescent="0.25">
      <c r="B339" s="22">
        <f t="shared" si="21"/>
        <v>8589.6792657470014</v>
      </c>
      <c r="C339" s="21">
        <v>0.03</v>
      </c>
      <c r="D339" s="22">
        <f t="shared" si="22"/>
        <v>21.474198164367504</v>
      </c>
      <c r="E339" s="22">
        <f t="shared" si="24"/>
        <v>8611.1534639113688</v>
      </c>
      <c r="F339" s="20"/>
      <c r="G339" s="22">
        <f t="shared" si="23"/>
        <v>7611.1534639113688</v>
      </c>
      <c r="H339" s="22">
        <v>1000</v>
      </c>
      <c r="I339" s="23">
        <v>335</v>
      </c>
    </row>
    <row r="340" spans="2:10" x14ac:dyDescent="0.25">
      <c r="B340" s="83">
        <f t="shared" si="21"/>
        <v>7611.1534639113688</v>
      </c>
      <c r="C340" s="21">
        <v>0.03</v>
      </c>
      <c r="D340" s="22">
        <f t="shared" si="22"/>
        <v>19.027883659778421</v>
      </c>
      <c r="E340" s="83">
        <f t="shared" si="24"/>
        <v>7630.1813475711469</v>
      </c>
      <c r="F340" s="84"/>
      <c r="G340" s="83">
        <f t="shared" si="23"/>
        <v>6630.1813475711469</v>
      </c>
      <c r="H340" s="83">
        <v>1000</v>
      </c>
      <c r="I340" s="85">
        <v>336</v>
      </c>
    </row>
    <row r="341" spans="2:10" x14ac:dyDescent="0.25">
      <c r="B341" s="83">
        <f t="shared" si="21"/>
        <v>6630.1813475711469</v>
      </c>
      <c r="C341" s="21">
        <v>0.03</v>
      </c>
      <c r="D341" s="22">
        <f t="shared" si="22"/>
        <v>16.575453368927867</v>
      </c>
      <c r="E341" s="83">
        <f t="shared" si="24"/>
        <v>6646.7568009400748</v>
      </c>
      <c r="F341" s="84"/>
      <c r="G341" s="83">
        <f t="shared" si="23"/>
        <v>5646.7568009400748</v>
      </c>
      <c r="H341" s="83">
        <v>1000</v>
      </c>
      <c r="I341" s="23">
        <v>337</v>
      </c>
    </row>
    <row r="342" spans="2:10" x14ac:dyDescent="0.25">
      <c r="B342" s="83">
        <f t="shared" si="21"/>
        <v>5646.7568009400748</v>
      </c>
      <c r="C342" s="21">
        <v>0.03</v>
      </c>
      <c r="D342" s="22">
        <f t="shared" si="22"/>
        <v>14.116892002350188</v>
      </c>
      <c r="E342" s="83">
        <f t="shared" si="24"/>
        <v>5660.8736929424249</v>
      </c>
      <c r="F342" s="84"/>
      <c r="G342" s="83">
        <f t="shared" si="23"/>
        <v>4660.8736929424249</v>
      </c>
      <c r="H342" s="83">
        <v>1000</v>
      </c>
      <c r="I342" s="85">
        <v>338</v>
      </c>
    </row>
    <row r="343" spans="2:10" x14ac:dyDescent="0.25">
      <c r="B343" s="83">
        <f t="shared" si="21"/>
        <v>4660.8736929424249</v>
      </c>
      <c r="C343" s="21">
        <v>0.03</v>
      </c>
      <c r="D343" s="22">
        <f t="shared" si="22"/>
        <v>11.652184232356062</v>
      </c>
      <c r="E343" s="83">
        <f t="shared" si="24"/>
        <v>4672.5258771747813</v>
      </c>
      <c r="F343" s="84"/>
      <c r="G343" s="83">
        <f t="shared" si="23"/>
        <v>3672.5258771747813</v>
      </c>
      <c r="H343" s="83">
        <v>1000</v>
      </c>
      <c r="I343" s="23">
        <v>339</v>
      </c>
    </row>
    <row r="344" spans="2:10" x14ac:dyDescent="0.25">
      <c r="B344" s="83">
        <f t="shared" si="21"/>
        <v>3672.5258771747813</v>
      </c>
      <c r="C344" s="21">
        <v>0.03</v>
      </c>
      <c r="D344" s="22">
        <f t="shared" si="22"/>
        <v>9.1813146929369527</v>
      </c>
      <c r="E344" s="83">
        <f t="shared" si="24"/>
        <v>3681.7071918677184</v>
      </c>
      <c r="F344" s="84"/>
      <c r="G344" s="83">
        <f t="shared" si="23"/>
        <v>2681.7071918677184</v>
      </c>
      <c r="H344" s="83">
        <v>1000</v>
      </c>
      <c r="I344" s="85">
        <v>340</v>
      </c>
    </row>
    <row r="345" spans="2:10" x14ac:dyDescent="0.25">
      <c r="B345" s="83">
        <f t="shared" si="21"/>
        <v>2681.7071918677184</v>
      </c>
      <c r="C345" s="21">
        <v>0.03</v>
      </c>
      <c r="D345" s="22">
        <f t="shared" si="22"/>
        <v>6.7042679796692966</v>
      </c>
      <c r="E345" s="83">
        <f t="shared" si="24"/>
        <v>2688.4114598473875</v>
      </c>
      <c r="F345" s="84"/>
      <c r="G345" s="83">
        <f t="shared" si="23"/>
        <v>1688.4114598473875</v>
      </c>
      <c r="H345" s="83">
        <v>1000</v>
      </c>
      <c r="I345" s="23">
        <v>341</v>
      </c>
    </row>
    <row r="346" spans="2:10" x14ac:dyDescent="0.25">
      <c r="B346" s="83">
        <f t="shared" si="21"/>
        <v>1688.4114598473875</v>
      </c>
      <c r="C346" s="21">
        <v>0.03</v>
      </c>
      <c r="D346" s="22">
        <f t="shared" si="22"/>
        <v>4.2210286496184688</v>
      </c>
      <c r="E346" s="83">
        <f t="shared" si="24"/>
        <v>1692.6324884970061</v>
      </c>
      <c r="F346" s="84"/>
      <c r="G346" s="83">
        <f t="shared" si="23"/>
        <v>692.63248849700608</v>
      </c>
      <c r="H346" s="83">
        <v>1000</v>
      </c>
      <c r="I346" s="85">
        <v>342</v>
      </c>
    </row>
    <row r="347" spans="2:10" x14ac:dyDescent="0.25">
      <c r="B347" s="83">
        <f t="shared" si="21"/>
        <v>692.63248849700608</v>
      </c>
      <c r="C347" s="116">
        <v>0.03</v>
      </c>
      <c r="D347" s="83">
        <f t="shared" si="22"/>
        <v>1.7315812212425152</v>
      </c>
      <c r="E347" s="83">
        <f t="shared" si="24"/>
        <v>694.36406971824863</v>
      </c>
      <c r="F347" s="84"/>
      <c r="G347" s="83">
        <f t="shared" si="23"/>
        <v>-305.63593028175137</v>
      </c>
      <c r="H347" s="83">
        <v>1000</v>
      </c>
      <c r="I347" s="85">
        <v>343</v>
      </c>
      <c r="J347">
        <f>I347/12</f>
        <v>28.583333333333332</v>
      </c>
    </row>
    <row r="348" spans="2:10" x14ac:dyDescent="0.25">
      <c r="B348" s="120"/>
      <c r="C348" s="121"/>
      <c r="D348" s="120"/>
      <c r="E348" s="120">
        <f>SUM(E5:E347)</f>
        <v>45190439.991956994</v>
      </c>
      <c r="F348" s="122"/>
      <c r="G348" s="120"/>
      <c r="H348" s="120"/>
      <c r="I348" s="123"/>
    </row>
    <row r="349" spans="2:10" x14ac:dyDescent="0.25">
      <c r="B349" s="48"/>
      <c r="C349" s="36"/>
      <c r="D349" s="35"/>
      <c r="E349" s="48"/>
      <c r="F349" s="50"/>
      <c r="G349" s="48"/>
      <c r="H349" s="48"/>
      <c r="I349" s="38"/>
    </row>
    <row r="350" spans="2:10" x14ac:dyDescent="0.25">
      <c r="B350" s="48"/>
      <c r="C350" s="36"/>
      <c r="D350" s="35"/>
      <c r="E350" s="48"/>
      <c r="F350" s="50"/>
      <c r="G350" s="48"/>
      <c r="H350" s="48"/>
      <c r="I350" s="51"/>
    </row>
    <row r="351" spans="2:10" x14ac:dyDescent="0.25">
      <c r="B351" s="48"/>
      <c r="C351" s="36"/>
      <c r="D351" s="35"/>
      <c r="E351" s="48"/>
      <c r="F351" s="50"/>
      <c r="G351" s="48"/>
      <c r="H351" s="48"/>
      <c r="I351" s="38"/>
    </row>
    <row r="352" spans="2:10" x14ac:dyDescent="0.25">
      <c r="B352" s="48"/>
      <c r="C352" s="36"/>
      <c r="D352" s="35"/>
      <c r="E352" s="48"/>
      <c r="F352" s="50"/>
      <c r="G352" s="48"/>
      <c r="H352" s="48"/>
      <c r="I352" s="51"/>
    </row>
    <row r="353" spans="2:9" x14ac:dyDescent="0.25">
      <c r="B353" s="48"/>
      <c r="C353" s="36"/>
      <c r="D353" s="35"/>
      <c r="E353" s="48"/>
      <c r="F353" s="50"/>
      <c r="G353" s="48"/>
      <c r="H353" s="48"/>
      <c r="I353" s="38"/>
    </row>
    <row r="354" spans="2:9" x14ac:dyDescent="0.25">
      <c r="B354" s="48"/>
      <c r="C354" s="36"/>
      <c r="D354" s="35"/>
      <c r="E354" s="48"/>
      <c r="F354" s="50"/>
      <c r="G354" s="48"/>
      <c r="H354" s="48"/>
      <c r="I354" s="51"/>
    </row>
    <row r="355" spans="2:9" x14ac:dyDescent="0.25">
      <c r="B355" s="48"/>
      <c r="C355" s="36"/>
      <c r="D355" s="35"/>
      <c r="E355" s="48"/>
      <c r="F355" s="50"/>
      <c r="G355" s="48"/>
      <c r="H355" s="48"/>
      <c r="I355" s="38"/>
    </row>
    <row r="356" spans="2:9" x14ac:dyDescent="0.25">
      <c r="B356" s="48"/>
      <c r="C356" s="36"/>
      <c r="D356" s="35"/>
      <c r="E356" s="48"/>
      <c r="F356" s="50"/>
      <c r="G356" s="48"/>
      <c r="H356" s="48"/>
      <c r="I356" s="51"/>
    </row>
    <row r="357" spans="2:9" x14ac:dyDescent="0.25">
      <c r="B357" s="48"/>
      <c r="C357" s="36"/>
      <c r="D357" s="35"/>
      <c r="E357" s="48"/>
      <c r="F357" s="50"/>
      <c r="G357" s="48"/>
      <c r="H357" s="48"/>
      <c r="I357" s="38"/>
    </row>
    <row r="358" spans="2:9" x14ac:dyDescent="0.25">
      <c r="B358" s="48"/>
      <c r="C358" s="36"/>
      <c r="D358" s="35"/>
      <c r="E358" s="48"/>
      <c r="F358" s="50"/>
      <c r="G358" s="48"/>
      <c r="H358" s="48"/>
      <c r="I358" s="51"/>
    </row>
    <row r="359" spans="2:9" x14ac:dyDescent="0.25">
      <c r="B359" s="48"/>
      <c r="C359" s="36"/>
      <c r="D359" s="35"/>
      <c r="E359" s="48"/>
      <c r="F359" s="50"/>
      <c r="G359" s="48"/>
      <c r="H359" s="48"/>
      <c r="I359" s="38"/>
    </row>
    <row r="360" spans="2:9" x14ac:dyDescent="0.25">
      <c r="B360" s="48"/>
      <c r="C360" s="36"/>
      <c r="D360" s="35"/>
      <c r="E360" s="48"/>
      <c r="F360" s="50"/>
      <c r="G360" s="48"/>
      <c r="H360" s="48"/>
      <c r="I360" s="51"/>
    </row>
    <row r="361" spans="2:9" x14ac:dyDescent="0.25">
      <c r="B361" s="48"/>
      <c r="C361" s="36"/>
      <c r="D361" s="35"/>
      <c r="E361" s="48"/>
      <c r="F361" s="50"/>
      <c r="G361" s="48"/>
      <c r="H361" s="48"/>
      <c r="I361" s="38"/>
    </row>
    <row r="362" spans="2:9" x14ac:dyDescent="0.25">
      <c r="B362" s="48"/>
      <c r="C362" s="36"/>
      <c r="D362" s="35"/>
      <c r="E362" s="48"/>
      <c r="F362" s="50"/>
      <c r="G362" s="48"/>
      <c r="H362" s="48"/>
      <c r="I362" s="51"/>
    </row>
    <row r="363" spans="2:9" x14ac:dyDescent="0.25">
      <c r="B363" s="48"/>
      <c r="C363" s="36"/>
      <c r="D363" s="35"/>
      <c r="E363" s="48"/>
      <c r="F363" s="50"/>
      <c r="G363" s="48"/>
      <c r="H363" s="48"/>
      <c r="I363" s="38"/>
    </row>
    <row r="364" spans="2:9" x14ac:dyDescent="0.25">
      <c r="B364" s="48"/>
      <c r="C364" s="36"/>
      <c r="D364" s="35"/>
      <c r="E364" s="48"/>
      <c r="F364" s="50"/>
      <c r="G364" s="48"/>
      <c r="H364" s="48"/>
      <c r="I364" s="51"/>
    </row>
    <row r="365" spans="2:9" x14ac:dyDescent="0.25">
      <c r="B365" s="48"/>
      <c r="C365" s="36"/>
      <c r="D365" s="35"/>
      <c r="E365" s="48"/>
      <c r="F365" s="50"/>
      <c r="G365" s="48"/>
      <c r="H365" s="48"/>
      <c r="I365" s="38"/>
    </row>
    <row r="366" spans="2:9" x14ac:dyDescent="0.25">
      <c r="B366" s="48"/>
      <c r="C366" s="36"/>
      <c r="D366" s="35"/>
      <c r="E366" s="48"/>
      <c r="F366" s="50"/>
      <c r="G366" s="48"/>
      <c r="H366" s="48"/>
      <c r="I366" s="51"/>
    </row>
    <row r="367" spans="2:9" x14ac:dyDescent="0.25">
      <c r="B367" s="48"/>
      <c r="C367" s="36"/>
      <c r="D367" s="35"/>
      <c r="E367" s="48"/>
      <c r="F367" s="50"/>
      <c r="G367" s="48"/>
      <c r="H367" s="48"/>
      <c r="I367" s="38"/>
    </row>
    <row r="368" spans="2:9" x14ac:dyDescent="0.25">
      <c r="B368" s="48"/>
      <c r="C368" s="36"/>
      <c r="D368" s="35"/>
      <c r="E368" s="48"/>
      <c r="F368" s="50"/>
      <c r="G368" s="48"/>
      <c r="H368" s="48"/>
      <c r="I368" s="51"/>
    </row>
    <row r="369" spans="2:9" x14ac:dyDescent="0.25">
      <c r="B369" s="48"/>
      <c r="C369" s="36"/>
      <c r="D369" s="35"/>
      <c r="E369" s="48"/>
      <c r="F369" s="50"/>
      <c r="G369" s="48"/>
      <c r="H369" s="48"/>
      <c r="I369" s="38"/>
    </row>
    <row r="370" spans="2:9" x14ac:dyDescent="0.25">
      <c r="B370" s="48"/>
      <c r="C370" s="36"/>
      <c r="D370" s="35"/>
      <c r="E370" s="48"/>
      <c r="F370" s="50"/>
      <c r="G370" s="48"/>
      <c r="H370" s="48"/>
      <c r="I370" s="51"/>
    </row>
    <row r="371" spans="2:9" x14ac:dyDescent="0.25">
      <c r="B371" s="48"/>
      <c r="C371" s="36"/>
      <c r="D371" s="35"/>
      <c r="E371" s="48"/>
      <c r="F371" s="50"/>
      <c r="G371" s="48"/>
      <c r="H371" s="48"/>
      <c r="I371" s="38"/>
    </row>
    <row r="372" spans="2:9" x14ac:dyDescent="0.25">
      <c r="B372" s="48"/>
      <c r="C372" s="36"/>
      <c r="D372" s="35"/>
      <c r="E372" s="48"/>
      <c r="F372" s="50"/>
      <c r="G372" s="48"/>
      <c r="H372" s="48"/>
      <c r="I372" s="51"/>
    </row>
    <row r="373" spans="2:9" x14ac:dyDescent="0.25">
      <c r="B373" s="48"/>
      <c r="C373" s="36"/>
      <c r="D373" s="35"/>
      <c r="E373" s="48"/>
      <c r="F373" s="50"/>
      <c r="G373" s="48"/>
      <c r="H373" s="48"/>
      <c r="I373" s="38"/>
    </row>
    <row r="374" spans="2:9" x14ac:dyDescent="0.25">
      <c r="B374" s="48"/>
      <c r="C374" s="36"/>
      <c r="D374" s="35"/>
      <c r="E374" s="48"/>
      <c r="F374" s="50"/>
      <c r="G374" s="48"/>
      <c r="H374" s="48"/>
      <c r="I374" s="51"/>
    </row>
    <row r="375" spans="2:9" x14ac:dyDescent="0.25">
      <c r="B375" s="48"/>
      <c r="C375" s="36"/>
      <c r="D375" s="35"/>
      <c r="E375" s="48"/>
      <c r="F375" s="50"/>
      <c r="G375" s="48"/>
      <c r="H375" s="48"/>
      <c r="I375" s="38"/>
    </row>
    <row r="376" spans="2:9" x14ac:dyDescent="0.25">
      <c r="B376" s="48"/>
      <c r="C376" s="36"/>
      <c r="D376" s="35"/>
      <c r="E376" s="48"/>
      <c r="F376" s="50"/>
      <c r="G376" s="48"/>
      <c r="H376" s="48"/>
      <c r="I376" s="51"/>
    </row>
    <row r="377" spans="2:9" x14ac:dyDescent="0.25">
      <c r="B377" s="48"/>
      <c r="C377" s="36"/>
      <c r="D377" s="35"/>
      <c r="E377" s="48"/>
      <c r="F377" s="50"/>
      <c r="G377" s="48"/>
      <c r="H377" s="48"/>
      <c r="I377" s="38"/>
    </row>
    <row r="378" spans="2:9" x14ac:dyDescent="0.25">
      <c r="B378" s="48"/>
      <c r="C378" s="36"/>
      <c r="D378" s="35"/>
      <c r="E378" s="48"/>
      <c r="F378" s="50"/>
      <c r="G378" s="48"/>
      <c r="H378" s="48"/>
      <c r="I378" s="51"/>
    </row>
    <row r="379" spans="2:9" x14ac:dyDescent="0.25">
      <c r="B379" s="48"/>
      <c r="C379" s="36"/>
      <c r="D379" s="35"/>
      <c r="E379" s="48"/>
      <c r="F379" s="50"/>
      <c r="G379" s="48"/>
      <c r="H379" s="48"/>
      <c r="I379" s="38"/>
    </row>
    <row r="380" spans="2:9" x14ac:dyDescent="0.25">
      <c r="B380" s="48"/>
      <c r="C380" s="36"/>
      <c r="D380" s="35"/>
      <c r="E380" s="48"/>
      <c r="F380" s="50"/>
      <c r="G380" s="48"/>
      <c r="H380" s="48"/>
      <c r="I380" s="51"/>
    </row>
    <row r="381" spans="2:9" x14ac:dyDescent="0.25">
      <c r="B381" s="48"/>
      <c r="C381" s="36"/>
      <c r="D381" s="35"/>
      <c r="E381" s="48"/>
      <c r="F381" s="50"/>
      <c r="G381" s="48"/>
      <c r="H381" s="48"/>
      <c r="I381" s="38"/>
    </row>
    <row r="382" spans="2:9" x14ac:dyDescent="0.25">
      <c r="B382" s="48"/>
      <c r="C382" s="36"/>
      <c r="D382" s="35"/>
      <c r="E382" s="48"/>
      <c r="F382" s="50"/>
      <c r="G382" s="48"/>
      <c r="H382" s="48"/>
      <c r="I382" s="51"/>
    </row>
    <row r="383" spans="2:9" x14ac:dyDescent="0.25">
      <c r="B383" s="48"/>
      <c r="C383" s="36"/>
      <c r="D383" s="35"/>
      <c r="E383" s="48"/>
      <c r="F383" s="50"/>
      <c r="G383" s="48"/>
      <c r="H383" s="48"/>
      <c r="I383" s="38"/>
    </row>
    <row r="384" spans="2:9" x14ac:dyDescent="0.25">
      <c r="B384" s="48"/>
      <c r="C384" s="36"/>
      <c r="D384" s="35"/>
      <c r="E384" s="48"/>
      <c r="F384" s="50"/>
      <c r="G384" s="48"/>
      <c r="H384" s="48"/>
      <c r="I384" s="51"/>
    </row>
    <row r="385" spans="2:9" x14ac:dyDescent="0.25">
      <c r="B385" s="48"/>
      <c r="C385" s="36"/>
      <c r="D385" s="35"/>
      <c r="E385" s="48"/>
      <c r="F385" s="50"/>
      <c r="G385" s="48"/>
      <c r="H385" s="48"/>
      <c r="I385" s="38"/>
    </row>
    <row r="386" spans="2:9" x14ac:dyDescent="0.25">
      <c r="B386" s="48"/>
      <c r="C386" s="36"/>
      <c r="D386" s="35"/>
      <c r="E386" s="48"/>
      <c r="F386" s="50"/>
      <c r="G386" s="48"/>
      <c r="H386" s="48"/>
      <c r="I386" s="51"/>
    </row>
    <row r="387" spans="2:9" x14ac:dyDescent="0.25">
      <c r="B387" s="117"/>
      <c r="C387" s="118"/>
      <c r="D387" s="117"/>
      <c r="E387" s="117"/>
      <c r="F387" s="119"/>
      <c r="G387" s="117"/>
      <c r="H387" s="117"/>
      <c r="I387" s="1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X1:AF345"/>
  <sheetViews>
    <sheetView topLeftCell="P1" workbookViewId="0">
      <selection activeCell="AH5" sqref="AH5"/>
    </sheetView>
  </sheetViews>
  <sheetFormatPr defaultRowHeight="15" x14ac:dyDescent="0.25"/>
  <sheetData>
    <row r="1" spans="24:32" x14ac:dyDescent="0.25">
      <c r="X1" s="73" t="s">
        <v>39</v>
      </c>
      <c r="Y1" s="73" t="s">
        <v>28</v>
      </c>
      <c r="Z1" s="73" t="s">
        <v>29</v>
      </c>
      <c r="AA1" s="73" t="s">
        <v>23</v>
      </c>
      <c r="AB1" s="73" t="s">
        <v>4</v>
      </c>
      <c r="AC1" s="73"/>
      <c r="AD1" s="73" t="s">
        <v>26</v>
      </c>
      <c r="AE1" s="73" t="s">
        <v>27</v>
      </c>
      <c r="AF1" s="73"/>
    </row>
    <row r="2" spans="24:32" x14ac:dyDescent="0.25">
      <c r="X2" s="76">
        <v>1000</v>
      </c>
      <c r="Y2" s="76">
        <v>343</v>
      </c>
      <c r="Z2" s="76">
        <v>28.583333333333332</v>
      </c>
      <c r="AA2" s="76">
        <v>230129.79609449147</v>
      </c>
      <c r="AB2" s="76">
        <v>0.03</v>
      </c>
      <c r="AC2" s="76"/>
      <c r="AD2" s="76">
        <v>112870.20390550853</v>
      </c>
      <c r="AE2" s="76">
        <v>343000</v>
      </c>
      <c r="AF2" s="76"/>
    </row>
    <row r="3" spans="24:32" x14ac:dyDescent="0.25">
      <c r="AA3">
        <v>997.50623441394737</v>
      </c>
    </row>
    <row r="4" spans="24:32" x14ac:dyDescent="0.25">
      <c r="AA4">
        <v>1992.5249221086626</v>
      </c>
    </row>
    <row r="5" spans="24:32" x14ac:dyDescent="0.25">
      <c r="AA5">
        <v>2985.0622664425064</v>
      </c>
    </row>
    <row r="6" spans="24:32" x14ac:dyDescent="0.25">
      <c r="AA6">
        <v>3975.1244553042575</v>
      </c>
    </row>
    <row r="7" spans="24:32" x14ac:dyDescent="0.25">
      <c r="AA7">
        <v>4962.7176611513505</v>
      </c>
    </row>
    <row r="8" spans="24:32" x14ac:dyDescent="0.25">
      <c r="AA8">
        <v>5947.8480410486864</v>
      </c>
    </row>
    <row r="9" spans="24:32" x14ac:dyDescent="0.25">
      <c r="AA9">
        <v>6930.521736706919</v>
      </c>
    </row>
    <row r="10" spans="24:32" x14ac:dyDescent="0.25">
      <c r="AA10">
        <v>7910.7448745205911</v>
      </c>
    </row>
    <row r="11" spans="24:32" x14ac:dyDescent="0.25">
      <c r="AA11">
        <v>8888.5235656065652</v>
      </c>
    </row>
    <row r="12" spans="24:32" x14ac:dyDescent="0.25">
      <c r="AA12">
        <v>9863.8639058419303</v>
      </c>
    </row>
    <row r="13" spans="24:32" x14ac:dyDescent="0.25">
      <c r="AA13">
        <v>10836.77197590216</v>
      </c>
    </row>
    <row r="14" spans="24:32" x14ac:dyDescent="0.25">
      <c r="AA14">
        <v>11807.253841298903</v>
      </c>
    </row>
    <row r="15" spans="24:32" x14ac:dyDescent="0.25">
      <c r="AA15">
        <v>12775.31555241782</v>
      </c>
    </row>
    <row r="16" spans="24:32" x14ac:dyDescent="0.25">
      <c r="AA16">
        <v>13740.963144556417</v>
      </c>
    </row>
    <row r="17" spans="27:27" x14ac:dyDescent="0.25">
      <c r="AA17">
        <v>14704.202637961484</v>
      </c>
    </row>
    <row r="18" spans="27:27" x14ac:dyDescent="0.25">
      <c r="AA18">
        <v>15665.040037866793</v>
      </c>
    </row>
    <row r="19" spans="27:27" x14ac:dyDescent="0.25">
      <c r="AA19">
        <v>16623.481334530465</v>
      </c>
    </row>
    <row r="20" spans="27:27" x14ac:dyDescent="0.25">
      <c r="AA20">
        <v>17579.532503272243</v>
      </c>
    </row>
    <row r="21" spans="27:27" x14ac:dyDescent="0.25">
      <c r="AA21">
        <v>18533.199504510954</v>
      </c>
    </row>
    <row r="22" spans="27:27" x14ac:dyDescent="0.25">
      <c r="AA22">
        <v>19484.488283801402</v>
      </c>
    </row>
    <row r="23" spans="27:27" x14ac:dyDescent="0.25">
      <c r="AA23">
        <v>20433.404771871723</v>
      </c>
    </row>
    <row r="24" spans="27:27" x14ac:dyDescent="0.25">
      <c r="AA24">
        <v>21379.954884660045</v>
      </c>
    </row>
    <row r="25" spans="27:27" x14ac:dyDescent="0.25">
      <c r="AA25">
        <v>22324.14452335165</v>
      </c>
    </row>
    <row r="26" spans="27:27" x14ac:dyDescent="0.25">
      <c r="AA26">
        <v>23265.979574415585</v>
      </c>
    </row>
    <row r="27" spans="27:27" x14ac:dyDescent="0.25">
      <c r="AA27">
        <v>24205.465909641476</v>
      </c>
    </row>
    <row r="28" spans="27:27" x14ac:dyDescent="0.25">
      <c r="AA28">
        <v>25142.609386176009</v>
      </c>
    </row>
    <row r="29" spans="27:27" x14ac:dyDescent="0.25">
      <c r="AA29">
        <v>26077.415846559579</v>
      </c>
    </row>
    <row r="30" spans="27:27" x14ac:dyDescent="0.25">
      <c r="AA30">
        <v>27009.891118762662</v>
      </c>
    </row>
    <row r="31" spans="27:27" x14ac:dyDescent="0.25">
      <c r="AA31">
        <v>27940.041016222094</v>
      </c>
    </row>
    <row r="32" spans="27:27" x14ac:dyDescent="0.25">
      <c r="AA32">
        <v>28867.871337877379</v>
      </c>
    </row>
    <row r="33" spans="27:27" x14ac:dyDescent="0.25">
      <c r="AA33">
        <v>29793.387868206843</v>
      </c>
    </row>
    <row r="34" spans="27:27" x14ac:dyDescent="0.25">
      <c r="AA34">
        <v>30716.596377263668</v>
      </c>
    </row>
    <row r="35" spans="27:27" x14ac:dyDescent="0.25">
      <c r="AA35">
        <v>31637.502620711854</v>
      </c>
    </row>
    <row r="36" spans="27:27" x14ac:dyDescent="0.25">
      <c r="AA36">
        <v>32556.112339862197</v>
      </c>
    </row>
    <row r="37" spans="27:27" x14ac:dyDescent="0.25">
      <c r="AA37">
        <v>33472.43126170789</v>
      </c>
    </row>
    <row r="38" spans="27:27" x14ac:dyDescent="0.25">
      <c r="AA38">
        <v>34386.465098960485</v>
      </c>
    </row>
    <row r="39" spans="27:27" x14ac:dyDescent="0.25">
      <c r="AA39">
        <v>35298.219550085232</v>
      </c>
    </row>
    <row r="40" spans="27:27" x14ac:dyDescent="0.25">
      <c r="AA40">
        <v>36207.700299336888</v>
      </c>
    </row>
    <row r="41" spans="27:27" x14ac:dyDescent="0.25">
      <c r="AA41">
        <v>37114.913016794882</v>
      </c>
    </row>
    <row r="42" spans="27:27" x14ac:dyDescent="0.25">
      <c r="AA42">
        <v>38019.863358398841</v>
      </c>
    </row>
    <row r="43" spans="27:27" x14ac:dyDescent="0.25">
      <c r="AA43">
        <v>38922.556965983902</v>
      </c>
    </row>
    <row r="44" spans="27:27" x14ac:dyDescent="0.25">
      <c r="AA44">
        <v>39822.999467315552</v>
      </c>
    </row>
    <row r="45" spans="27:27" x14ac:dyDescent="0.25">
      <c r="AA45">
        <v>40721.196476125246</v>
      </c>
    </row>
    <row r="46" spans="27:27" x14ac:dyDescent="0.25">
      <c r="AA46">
        <v>41617.153592144845</v>
      </c>
    </row>
    <row r="47" spans="27:27" x14ac:dyDescent="0.25">
      <c r="AA47">
        <v>42510.87640114197</v>
      </c>
    </row>
    <row r="48" spans="27:27" x14ac:dyDescent="0.25">
      <c r="AA48">
        <v>43402.370474954565</v>
      </c>
    </row>
    <row r="49" spans="27:27" x14ac:dyDescent="0.25">
      <c r="AA49">
        <v>44291.641371525744</v>
      </c>
    </row>
    <row r="50" spans="27:27" x14ac:dyDescent="0.25">
      <c r="AA50">
        <v>45178.694634938394</v>
      </c>
    </row>
    <row r="51" spans="27:27" x14ac:dyDescent="0.25">
      <c r="AA51">
        <v>46063.535795449752</v>
      </c>
    </row>
    <row r="52" spans="27:27" x14ac:dyDescent="0.25">
      <c r="AA52">
        <v>46946.170369525884</v>
      </c>
    </row>
    <row r="53" spans="27:27" x14ac:dyDescent="0.25">
      <c r="AA53">
        <v>47826.603859876202</v>
      </c>
    </row>
    <row r="54" spans="27:27" x14ac:dyDescent="0.25">
      <c r="AA54">
        <v>48704.841755487483</v>
      </c>
    </row>
    <row r="55" spans="27:27" x14ac:dyDescent="0.25">
      <c r="AA55">
        <v>49580.889531658286</v>
      </c>
    </row>
    <row r="56" spans="27:27" x14ac:dyDescent="0.25">
      <c r="AA56">
        <v>50454.752650033188</v>
      </c>
    </row>
    <row r="57" spans="27:27" x14ac:dyDescent="0.25">
      <c r="AA57">
        <v>51326.436558636597</v>
      </c>
    </row>
    <row r="58" spans="27:27" x14ac:dyDescent="0.25">
      <c r="AA58">
        <v>52195.946691906815</v>
      </c>
    </row>
    <row r="59" spans="27:27" x14ac:dyDescent="0.25">
      <c r="AA59">
        <v>53063.28847072996</v>
      </c>
    </row>
    <row r="60" spans="27:27" x14ac:dyDescent="0.25">
      <c r="AA60">
        <v>53928.467302473757</v>
      </c>
    </row>
    <row r="61" spans="27:27" x14ac:dyDescent="0.25">
      <c r="AA61">
        <v>54791.488581021185</v>
      </c>
    </row>
    <row r="62" spans="27:27" x14ac:dyDescent="0.25">
      <c r="AA62">
        <v>55652.357686804171</v>
      </c>
    </row>
    <row r="63" spans="27:27" x14ac:dyDescent="0.25">
      <c r="AA63">
        <v>56511.079986837045</v>
      </c>
    </row>
    <row r="64" spans="27:27" x14ac:dyDescent="0.25">
      <c r="AA64">
        <v>57367.660834750153</v>
      </c>
    </row>
    <row r="65" spans="27:27" x14ac:dyDescent="0.25">
      <c r="AA65">
        <v>58222.105570823056</v>
      </c>
    </row>
    <row r="66" spans="27:27" x14ac:dyDescent="0.25">
      <c r="AA66">
        <v>59074.41952201799</v>
      </c>
    </row>
    <row r="67" spans="27:27" x14ac:dyDescent="0.25">
      <c r="AA67">
        <v>59924.608002012959</v>
      </c>
    </row>
    <row r="68" spans="27:27" x14ac:dyDescent="0.25">
      <c r="AA68">
        <v>60772.676311234842</v>
      </c>
    </row>
    <row r="69" spans="27:27" x14ac:dyDescent="0.25">
      <c r="AA69">
        <v>61618.629736892581</v>
      </c>
    </row>
    <row r="70" spans="27:27" x14ac:dyDescent="0.25">
      <c r="AA70">
        <v>62462.473553010066</v>
      </c>
    </row>
    <row r="71" spans="27:27" x14ac:dyDescent="0.25">
      <c r="AA71">
        <v>63304.21302045889</v>
      </c>
    </row>
    <row r="72" spans="27:27" x14ac:dyDescent="0.25">
      <c r="AA72">
        <v>64143.853386991395</v>
      </c>
    </row>
    <row r="73" spans="27:27" x14ac:dyDescent="0.25">
      <c r="AA73">
        <v>64981.399887273212</v>
      </c>
    </row>
    <row r="74" spans="27:27" x14ac:dyDescent="0.25">
      <c r="AA74">
        <v>65816.85774291589</v>
      </c>
    </row>
    <row r="75" spans="27:27" x14ac:dyDescent="0.25">
      <c r="AA75">
        <v>66650.232162509579</v>
      </c>
    </row>
    <row r="76" spans="27:27" x14ac:dyDescent="0.25">
      <c r="AA76">
        <v>67481.528341655445</v>
      </c>
    </row>
    <row r="77" spans="27:27" x14ac:dyDescent="0.25">
      <c r="AA77">
        <v>68310.751462997912</v>
      </c>
    </row>
    <row r="78" spans="27:27" x14ac:dyDescent="0.25">
      <c r="AA78">
        <v>69137.906696257283</v>
      </c>
    </row>
    <row r="79" spans="27:27" x14ac:dyDescent="0.25">
      <c r="AA79">
        <v>69962.99919826159</v>
      </c>
    </row>
    <row r="80" spans="27:27" x14ac:dyDescent="0.25">
      <c r="AA80">
        <v>70786.03411297912</v>
      </c>
    </row>
    <row r="81" spans="27:27" x14ac:dyDescent="0.25">
      <c r="AA81">
        <v>71607.016571550237</v>
      </c>
    </row>
    <row r="82" spans="27:27" x14ac:dyDescent="0.25">
      <c r="AA82">
        <v>72425.951692319402</v>
      </c>
    </row>
    <row r="83" spans="27:27" x14ac:dyDescent="0.25">
      <c r="AA83">
        <v>73242.844580867226</v>
      </c>
    </row>
    <row r="84" spans="27:27" x14ac:dyDescent="0.25">
      <c r="AA84">
        <v>74057.700330042135</v>
      </c>
    </row>
    <row r="85" spans="27:27" x14ac:dyDescent="0.25">
      <c r="AA85">
        <v>74870.524019992095</v>
      </c>
    </row>
    <row r="86" spans="27:27" x14ac:dyDescent="0.25">
      <c r="AA86">
        <v>75681.320718196599</v>
      </c>
    </row>
    <row r="87" spans="27:27" x14ac:dyDescent="0.25">
      <c r="AA87">
        <v>76490.095479497861</v>
      </c>
    </row>
    <row r="88" spans="27:27" x14ac:dyDescent="0.25">
      <c r="AA88">
        <v>77296.853346132499</v>
      </c>
    </row>
    <row r="89" spans="27:27" x14ac:dyDescent="0.25">
      <c r="AA89">
        <v>78101.599347763084</v>
      </c>
    </row>
    <row r="90" spans="27:27" x14ac:dyDescent="0.25">
      <c r="AA90">
        <v>78904.338501509264</v>
      </c>
    </row>
    <row r="91" spans="27:27" x14ac:dyDescent="0.25">
      <c r="AA91">
        <v>79705.075811979317</v>
      </c>
    </row>
    <row r="92" spans="27:27" x14ac:dyDescent="0.25">
      <c r="AA92">
        <v>80503.816271301039</v>
      </c>
    </row>
    <row r="93" spans="27:27" x14ac:dyDescent="0.25">
      <c r="AA93">
        <v>81300.56485915315</v>
      </c>
    </row>
    <row r="94" spans="27:27" x14ac:dyDescent="0.25">
      <c r="AA94">
        <v>82095.326542796116</v>
      </c>
    </row>
    <row r="95" spans="27:27" x14ac:dyDescent="0.25">
      <c r="AA95">
        <v>82888.106277103376</v>
      </c>
    </row>
    <row r="96" spans="27:27" x14ac:dyDescent="0.25">
      <c r="AA96">
        <v>83678.909004591871</v>
      </c>
    </row>
    <row r="97" spans="27:27" x14ac:dyDescent="0.25">
      <c r="AA97">
        <v>84467.739655453232</v>
      </c>
    </row>
    <row r="98" spans="27:27" x14ac:dyDescent="0.25">
      <c r="AA98">
        <v>85254.603147584261</v>
      </c>
    </row>
    <row r="99" spans="27:27" x14ac:dyDescent="0.25">
      <c r="AA99">
        <v>86039.504386617686</v>
      </c>
    </row>
    <row r="100" spans="27:27" x14ac:dyDescent="0.25">
      <c r="AA100">
        <v>86822.4482659528</v>
      </c>
    </row>
    <row r="101" spans="27:27" x14ac:dyDescent="0.25">
      <c r="AA101">
        <v>87603.43966678578</v>
      </c>
    </row>
    <row r="102" spans="27:27" x14ac:dyDescent="0.25">
      <c r="AA102">
        <v>88382.483458140414</v>
      </c>
    </row>
    <row r="103" spans="27:27" x14ac:dyDescent="0.25">
      <c r="AA103">
        <v>89159.584496898155</v>
      </c>
    </row>
    <row r="104" spans="27:27" x14ac:dyDescent="0.25">
      <c r="AA104">
        <v>89934.74762782859</v>
      </c>
    </row>
    <row r="105" spans="27:27" x14ac:dyDescent="0.25">
      <c r="AA105">
        <v>90707.977683619538</v>
      </c>
    </row>
    <row r="106" spans="27:27" x14ac:dyDescent="0.25">
      <c r="AA106">
        <v>91479.279484907209</v>
      </c>
    </row>
    <row r="107" spans="27:27" x14ac:dyDescent="0.25">
      <c r="AA107">
        <v>92248.657840306463</v>
      </c>
    </row>
    <row r="108" spans="27:27" x14ac:dyDescent="0.25">
      <c r="AA108">
        <v>93016.117546440335</v>
      </c>
    </row>
    <row r="109" spans="27:27" x14ac:dyDescent="0.25">
      <c r="AA109">
        <v>93781.663387970402</v>
      </c>
    </row>
    <row r="110" spans="27:27" x14ac:dyDescent="0.25">
      <c r="AA110">
        <v>94545.300137626313</v>
      </c>
    </row>
    <row r="111" spans="27:27" x14ac:dyDescent="0.25">
      <c r="AA111">
        <v>95307.032556235688</v>
      </c>
    </row>
    <row r="112" spans="27:27" x14ac:dyDescent="0.25">
      <c r="AA112">
        <v>96066.865392753796</v>
      </c>
    </row>
    <row r="113" spans="27:27" x14ac:dyDescent="0.25">
      <c r="AA113">
        <v>96824.80338429306</v>
      </c>
    </row>
    <row r="114" spans="27:27" x14ac:dyDescent="0.25">
      <c r="AA114">
        <v>97580.851256152673</v>
      </c>
    </row>
    <row r="115" spans="27:27" x14ac:dyDescent="0.25">
      <c r="AA115">
        <v>98335.013721848023</v>
      </c>
    </row>
    <row r="116" spans="27:27" x14ac:dyDescent="0.25">
      <c r="AA116">
        <v>99087.295483140144</v>
      </c>
    </row>
    <row r="117" spans="27:27" x14ac:dyDescent="0.25">
      <c r="AA117">
        <v>99837.70123006498</v>
      </c>
    </row>
    <row r="118" spans="27:27" x14ac:dyDescent="0.25">
      <c r="AA118">
        <v>100586.23564096254</v>
      </c>
    </row>
    <row r="119" spans="27:27" x14ac:dyDescent="0.25">
      <c r="AA119">
        <v>101332.90338250628</v>
      </c>
    </row>
    <row r="120" spans="27:27" x14ac:dyDescent="0.25">
      <c r="AA120">
        <v>102077.70910973192</v>
      </c>
    </row>
    <row r="121" spans="27:27" x14ac:dyDescent="0.25">
      <c r="AA121">
        <v>102820.65746606674</v>
      </c>
    </row>
    <row r="122" spans="27:27" x14ac:dyDescent="0.25">
      <c r="AA122">
        <v>103561.7530833583</v>
      </c>
    </row>
    <row r="123" spans="27:27" x14ac:dyDescent="0.25">
      <c r="AA123">
        <v>104301.00058190357</v>
      </c>
    </row>
    <row r="124" spans="27:27" x14ac:dyDescent="0.25">
      <c r="AA124">
        <v>105038.40457047736</v>
      </c>
    </row>
    <row r="125" spans="27:27" x14ac:dyDescent="0.25">
      <c r="AA125">
        <v>105773.96964636141</v>
      </c>
    </row>
    <row r="126" spans="27:27" x14ac:dyDescent="0.25">
      <c r="AA126">
        <v>106507.70039537299</v>
      </c>
    </row>
    <row r="127" spans="27:27" x14ac:dyDescent="0.25">
      <c r="AA127">
        <v>107239.60139189321</v>
      </c>
    </row>
    <row r="128" spans="27:27" x14ac:dyDescent="0.25">
      <c r="AA128">
        <v>107969.67719889597</v>
      </c>
    </row>
    <row r="129" spans="27:27" x14ac:dyDescent="0.25">
      <c r="AA129">
        <v>108697.93236797603</v>
      </c>
    </row>
    <row r="130" spans="27:27" x14ac:dyDescent="0.25">
      <c r="AA130">
        <v>109424.37143937757</v>
      </c>
    </row>
    <row r="131" spans="27:27" x14ac:dyDescent="0.25">
      <c r="AA131">
        <v>110148.99894202249</v>
      </c>
    </row>
    <row r="132" spans="27:27" x14ac:dyDescent="0.25">
      <c r="AA132">
        <v>110871.81939353861</v>
      </c>
    </row>
    <row r="133" spans="27:27" x14ac:dyDescent="0.25">
      <c r="AA133">
        <v>111592.83730028789</v>
      </c>
    </row>
    <row r="134" spans="27:27" x14ac:dyDescent="0.25">
      <c r="AA134">
        <v>112312.05715739437</v>
      </c>
    </row>
    <row r="135" spans="27:27" x14ac:dyDescent="0.25">
      <c r="AA135">
        <v>113029.48344877243</v>
      </c>
    </row>
    <row r="136" spans="27:27" x14ac:dyDescent="0.25">
      <c r="AA136">
        <v>113745.12064715456</v>
      </c>
    </row>
    <row r="137" spans="27:27" x14ac:dyDescent="0.25">
      <c r="AA137">
        <v>114458.97321411924</v>
      </c>
    </row>
    <row r="138" spans="27:27" x14ac:dyDescent="0.25">
      <c r="AA138">
        <v>115171.04560011892</v>
      </c>
    </row>
    <row r="139" spans="27:27" x14ac:dyDescent="0.25">
      <c r="AA139">
        <v>115881.34224450761</v>
      </c>
    </row>
    <row r="140" spans="27:27" x14ac:dyDescent="0.25">
      <c r="AA140">
        <v>116589.86757556867</v>
      </c>
    </row>
    <row r="141" spans="27:27" x14ac:dyDescent="0.25">
      <c r="AA141">
        <v>117296.62601054231</v>
      </c>
    </row>
    <row r="142" spans="27:27" x14ac:dyDescent="0.25">
      <c r="AA142">
        <v>118001.62195565317</v>
      </c>
    </row>
    <row r="143" spans="27:27" x14ac:dyDescent="0.25">
      <c r="AA143">
        <v>118704.8598061378</v>
      </c>
    </row>
    <row r="144" spans="27:27" x14ac:dyDescent="0.25">
      <c r="AA144">
        <v>119406.34394627211</v>
      </c>
    </row>
    <row r="145" spans="27:27" x14ac:dyDescent="0.25">
      <c r="AA145">
        <v>120106.0787493986</v>
      </c>
    </row>
    <row r="146" spans="27:27" x14ac:dyDescent="0.25">
      <c r="AA146">
        <v>120804.06857795372</v>
      </c>
    </row>
    <row r="147" spans="27:27" x14ac:dyDescent="0.25">
      <c r="AA147">
        <v>121500.31778349496</v>
      </c>
    </row>
    <row r="148" spans="27:27" x14ac:dyDescent="0.25">
      <c r="AA148">
        <v>122194.83070672811</v>
      </c>
    </row>
    <row r="149" spans="27:27" x14ac:dyDescent="0.25">
      <c r="AA149">
        <v>122887.61167753428</v>
      </c>
    </row>
    <row r="150" spans="27:27" x14ac:dyDescent="0.25">
      <c r="AA150">
        <v>123578.66501499678</v>
      </c>
    </row>
    <row r="151" spans="27:27" x14ac:dyDescent="0.25">
      <c r="AA151">
        <v>124267.99502742817</v>
      </c>
    </row>
    <row r="152" spans="27:27" x14ac:dyDescent="0.25">
      <c r="AA152">
        <v>124955.60601239717</v>
      </c>
    </row>
    <row r="153" spans="27:27" x14ac:dyDescent="0.25">
      <c r="AA153">
        <v>125641.50225675528</v>
      </c>
    </row>
    <row r="154" spans="27:27" x14ac:dyDescent="0.25">
      <c r="AA154">
        <v>126325.6880366636</v>
      </c>
    </row>
    <row r="155" spans="27:27" x14ac:dyDescent="0.25">
      <c r="AA155">
        <v>127008.16761761953</v>
      </c>
    </row>
    <row r="156" spans="27:27" x14ac:dyDescent="0.25">
      <c r="AA156">
        <v>127688.94525448333</v>
      </c>
    </row>
    <row r="157" spans="27:27" x14ac:dyDescent="0.25">
      <c r="AA157">
        <v>128368.02519150451</v>
      </c>
    </row>
    <row r="158" spans="27:27" x14ac:dyDescent="0.25">
      <c r="AA158">
        <v>129045.41166234865</v>
      </c>
    </row>
    <row r="159" spans="27:27" x14ac:dyDescent="0.25">
      <c r="AA159">
        <v>129721.10889012333</v>
      </c>
    </row>
    <row r="160" spans="27:27" x14ac:dyDescent="0.25">
      <c r="AA160">
        <v>130395.1210874048</v>
      </c>
    </row>
    <row r="161" spans="27:27" x14ac:dyDescent="0.25">
      <c r="AA161">
        <v>131067.45245626415</v>
      </c>
    </row>
    <row r="162" spans="27:27" x14ac:dyDescent="0.25">
      <c r="AA162">
        <v>131738.10718829339</v>
      </c>
    </row>
    <row r="163" spans="27:27" x14ac:dyDescent="0.25">
      <c r="AA163">
        <v>132407.08946463178</v>
      </c>
    </row>
    <row r="164" spans="27:27" x14ac:dyDescent="0.25">
      <c r="AA164">
        <v>133074.40345599176</v>
      </c>
    </row>
    <row r="165" spans="27:27" x14ac:dyDescent="0.25">
      <c r="AA165">
        <v>133740.05332268507</v>
      </c>
    </row>
    <row r="166" spans="27:27" x14ac:dyDescent="0.25">
      <c r="AA166">
        <v>134404.04321464847</v>
      </c>
    </row>
    <row r="167" spans="27:27" x14ac:dyDescent="0.25">
      <c r="AA167">
        <v>135066.37727146974</v>
      </c>
    </row>
    <row r="168" spans="27:27" x14ac:dyDescent="0.25">
      <c r="AA168">
        <v>135727.05962241368</v>
      </c>
    </row>
    <row r="169" spans="27:27" x14ac:dyDescent="0.25">
      <c r="AA169">
        <v>136386.09438644757</v>
      </c>
    </row>
    <row r="170" spans="27:27" x14ac:dyDescent="0.25">
      <c r="AA170">
        <v>137043.48567226686</v>
      </c>
    </row>
    <row r="171" spans="27:27" x14ac:dyDescent="0.25">
      <c r="AA171">
        <v>137699.23757832107</v>
      </c>
    </row>
    <row r="172" spans="27:27" x14ac:dyDescent="0.25">
      <c r="AA172">
        <v>138353.35419283897</v>
      </c>
    </row>
    <row r="173" spans="27:27" x14ac:dyDescent="0.25">
      <c r="AA173">
        <v>139005.8395938543</v>
      </c>
    </row>
    <row r="174" spans="27:27" x14ac:dyDescent="0.25">
      <c r="AA174">
        <v>139656.69784923119</v>
      </c>
    </row>
    <row r="175" spans="27:27" x14ac:dyDescent="0.25">
      <c r="AA175">
        <v>140305.93301668947</v>
      </c>
    </row>
    <row r="176" spans="27:27" x14ac:dyDescent="0.25">
      <c r="AA176">
        <v>140953.54914382991</v>
      </c>
    </row>
    <row r="177" spans="27:27" x14ac:dyDescent="0.25">
      <c r="AA177">
        <v>141599.55026815945</v>
      </c>
    </row>
    <row r="178" spans="27:27" x14ac:dyDescent="0.25">
      <c r="AA178">
        <v>142243.94041711665</v>
      </c>
    </row>
    <row r="179" spans="27:27" x14ac:dyDescent="0.25">
      <c r="AA179">
        <v>142886.72360809639</v>
      </c>
    </row>
    <row r="180" spans="27:27" x14ac:dyDescent="0.25">
      <c r="AA180">
        <v>143527.90384847522</v>
      </c>
    </row>
    <row r="181" spans="27:27" x14ac:dyDescent="0.25">
      <c r="AA181">
        <v>144167.48513563609</v>
      </c>
    </row>
    <row r="182" spans="27:27" x14ac:dyDescent="0.25">
      <c r="AA182">
        <v>144805.4714569936</v>
      </c>
    </row>
    <row r="183" spans="27:27" x14ac:dyDescent="0.25">
      <c r="AA183">
        <v>145441.86679001854</v>
      </c>
    </row>
    <row r="184" spans="27:27" x14ac:dyDescent="0.25">
      <c r="AA184">
        <v>146076.6751022629</v>
      </c>
    </row>
    <row r="185" spans="27:27" x14ac:dyDescent="0.25">
      <c r="AA185">
        <v>146709.90035138439</v>
      </c>
    </row>
    <row r="186" spans="27:27" x14ac:dyDescent="0.25">
      <c r="AA186">
        <v>147341.54648517145</v>
      </c>
    </row>
    <row r="187" spans="27:27" x14ac:dyDescent="0.25">
      <c r="AA187">
        <v>147971.61744156756</v>
      </c>
    </row>
    <row r="188" spans="27:27" x14ac:dyDescent="0.25">
      <c r="AA188">
        <v>148600.11714869578</v>
      </c>
    </row>
    <row r="189" spans="27:27" x14ac:dyDescent="0.25">
      <c r="AA189">
        <v>149227.04952488357</v>
      </c>
    </row>
    <row r="190" spans="27:27" x14ac:dyDescent="0.25">
      <c r="AA190">
        <v>149852.41847868683</v>
      </c>
    </row>
    <row r="191" spans="27:27" x14ac:dyDescent="0.25">
      <c r="AA191">
        <v>150476.2279089145</v>
      </c>
    </row>
    <row r="192" spans="27:27" x14ac:dyDescent="0.25">
      <c r="AA192">
        <v>151098.48170465289</v>
      </c>
    </row>
    <row r="193" spans="27:27" x14ac:dyDescent="0.25">
      <c r="AA193">
        <v>151719.18374528963</v>
      </c>
    </row>
    <row r="194" spans="27:27" x14ac:dyDescent="0.25">
      <c r="AA194">
        <v>152338.33790053829</v>
      </c>
    </row>
    <row r="195" spans="27:27" x14ac:dyDescent="0.25">
      <c r="AA195">
        <v>152955.94803046211</v>
      </c>
    </row>
    <row r="196" spans="27:27" x14ac:dyDescent="0.25">
      <c r="AA196">
        <v>153572.01798549833</v>
      </c>
    </row>
    <row r="197" spans="27:27" x14ac:dyDescent="0.25">
      <c r="AA197">
        <v>154186.5516064821</v>
      </c>
    </row>
    <row r="198" spans="27:27" x14ac:dyDescent="0.25">
      <c r="AA198">
        <v>154799.55272467044</v>
      </c>
    </row>
    <row r="199" spans="27:27" x14ac:dyDescent="0.25">
      <c r="AA199">
        <v>155411.02516176601</v>
      </c>
    </row>
    <row r="200" spans="27:27" x14ac:dyDescent="0.25">
      <c r="AA200">
        <v>156020.97272994113</v>
      </c>
    </row>
    <row r="201" spans="27:27" x14ac:dyDescent="0.25">
      <c r="AA201">
        <v>156629.39923186146</v>
      </c>
    </row>
    <row r="202" spans="27:27" x14ac:dyDescent="0.25">
      <c r="AA202">
        <v>157236.3084607097</v>
      </c>
    </row>
    <row r="203" spans="27:27" x14ac:dyDescent="0.25">
      <c r="AA203">
        <v>157841.70420020915</v>
      </c>
    </row>
    <row r="204" spans="27:27" x14ac:dyDescent="0.25">
      <c r="AA204">
        <v>158445.59022464755</v>
      </c>
    </row>
    <row r="205" spans="27:27" x14ac:dyDescent="0.25">
      <c r="AA205">
        <v>159047.97029890027</v>
      </c>
    </row>
    <row r="206" spans="27:27" x14ac:dyDescent="0.25">
      <c r="AA206">
        <v>159648.84817845412</v>
      </c>
    </row>
    <row r="207" spans="27:27" x14ac:dyDescent="0.25">
      <c r="AA207">
        <v>160248.22760943056</v>
      </c>
    </row>
    <row r="208" spans="27:27" x14ac:dyDescent="0.25">
      <c r="AA208">
        <v>160846.11232860899</v>
      </c>
    </row>
    <row r="209" spans="27:27" x14ac:dyDescent="0.25">
      <c r="AA209">
        <v>161442.50606345033</v>
      </c>
    </row>
    <row r="210" spans="27:27" x14ac:dyDescent="0.25">
      <c r="AA210">
        <v>162037.41253212007</v>
      </c>
    </row>
    <row r="211" spans="27:27" x14ac:dyDescent="0.25">
      <c r="AA211">
        <v>162630.83544351126</v>
      </c>
    </row>
    <row r="212" spans="27:27" x14ac:dyDescent="0.25">
      <c r="AA212">
        <v>163222.77849726804</v>
      </c>
    </row>
    <row r="213" spans="27:27" x14ac:dyDescent="0.25">
      <c r="AA213">
        <v>163813.24538380853</v>
      </c>
    </row>
    <row r="214" spans="27:27" x14ac:dyDescent="0.25">
      <c r="AA214">
        <v>164402.23978434765</v>
      </c>
    </row>
    <row r="215" spans="27:27" x14ac:dyDescent="0.25">
      <c r="AA215">
        <v>164989.76537092036</v>
      </c>
    </row>
    <row r="216" spans="27:27" x14ac:dyDescent="0.25">
      <c r="AA216">
        <v>165575.82580640429</v>
      </c>
    </row>
    <row r="217" spans="27:27" x14ac:dyDescent="0.25">
      <c r="AA217">
        <v>166160.42474454295</v>
      </c>
    </row>
    <row r="218" spans="27:27" x14ac:dyDescent="0.25">
      <c r="AA218">
        <v>166743.56582996805</v>
      </c>
    </row>
    <row r="219" spans="27:27" x14ac:dyDescent="0.25">
      <c r="AA219">
        <v>167325.25269822241</v>
      </c>
    </row>
    <row r="220" spans="27:27" x14ac:dyDescent="0.25">
      <c r="AA220">
        <v>167905.488975783</v>
      </c>
    </row>
    <row r="221" spans="27:27" x14ac:dyDescent="0.25">
      <c r="AA221">
        <v>168484.27828008274</v>
      </c>
    </row>
    <row r="222" spans="27:27" x14ac:dyDescent="0.25">
      <c r="AA222">
        <v>169061.62421953393</v>
      </c>
    </row>
    <row r="223" spans="27:27" x14ac:dyDescent="0.25">
      <c r="AA223">
        <v>169637.53039355</v>
      </c>
    </row>
    <row r="224" spans="27:27" x14ac:dyDescent="0.25">
      <c r="AA224">
        <v>170212.00039256856</v>
      </c>
    </row>
    <row r="225" spans="27:27" x14ac:dyDescent="0.25">
      <c r="AA225">
        <v>170785.03779807338</v>
      </c>
    </row>
    <row r="226" spans="27:27" x14ac:dyDescent="0.25">
      <c r="AA226">
        <v>171356.64618261685</v>
      </c>
    </row>
    <row r="227" spans="27:27" x14ac:dyDescent="0.25">
      <c r="AA227">
        <v>171926.82910984222</v>
      </c>
    </row>
    <row r="228" spans="27:27" x14ac:dyDescent="0.25">
      <c r="AA228">
        <v>172495.59013450597</v>
      </c>
    </row>
    <row r="229" spans="27:27" x14ac:dyDescent="0.25">
      <c r="AA229">
        <v>173062.93280249971</v>
      </c>
    </row>
    <row r="230" spans="27:27" x14ac:dyDescent="0.25">
      <c r="AA230">
        <v>173628.86065087249</v>
      </c>
    </row>
    <row r="231" spans="27:27" x14ac:dyDescent="0.25">
      <c r="AA231">
        <v>174193.37720785284</v>
      </c>
    </row>
    <row r="232" spans="27:27" x14ac:dyDescent="0.25">
      <c r="AA232">
        <v>174756.48599287064</v>
      </c>
    </row>
    <row r="233" spans="27:27" x14ac:dyDescent="0.25">
      <c r="AA233">
        <v>175318.19051657917</v>
      </c>
    </row>
    <row r="234" spans="27:27" x14ac:dyDescent="0.25">
      <c r="AA234">
        <v>175878.494280877</v>
      </c>
    </row>
    <row r="235" spans="27:27" x14ac:dyDescent="0.25">
      <c r="AA235">
        <v>176437.40077892964</v>
      </c>
    </row>
    <row r="236" spans="27:27" x14ac:dyDescent="0.25">
      <c r="AA236">
        <v>176994.91349519166</v>
      </c>
    </row>
    <row r="237" spans="27:27" x14ac:dyDescent="0.25">
      <c r="AA237">
        <v>177551.03590542806</v>
      </c>
    </row>
    <row r="238" spans="27:27" x14ac:dyDescent="0.25">
      <c r="AA238">
        <v>178105.77147673623</v>
      </c>
    </row>
    <row r="239" spans="27:27" x14ac:dyDescent="0.25">
      <c r="AA239">
        <v>178659.1236675673</v>
      </c>
    </row>
    <row r="240" spans="27:27" x14ac:dyDescent="0.25">
      <c r="AA240">
        <v>179211.09592774793</v>
      </c>
    </row>
    <row r="241" spans="27:27" x14ac:dyDescent="0.25">
      <c r="AA241">
        <v>179761.69169850164</v>
      </c>
    </row>
    <row r="242" spans="27:27" x14ac:dyDescent="0.25">
      <c r="AA242">
        <v>180310.91441247048</v>
      </c>
    </row>
    <row r="243" spans="27:27" x14ac:dyDescent="0.25">
      <c r="AA243">
        <v>180858.76749373612</v>
      </c>
    </row>
    <row r="244" spans="27:27" x14ac:dyDescent="0.25">
      <c r="AA244">
        <v>181405.25435784151</v>
      </c>
    </row>
    <row r="245" spans="27:27" x14ac:dyDescent="0.25">
      <c r="AA245">
        <v>181950.37841181195</v>
      </c>
    </row>
    <row r="246" spans="27:27" x14ac:dyDescent="0.25">
      <c r="AA246">
        <v>182494.1430541765</v>
      </c>
    </row>
    <row r="247" spans="27:27" x14ac:dyDescent="0.25">
      <c r="AA247">
        <v>183036.55167498899</v>
      </c>
    </row>
    <row r="248" spans="27:27" x14ac:dyDescent="0.25">
      <c r="AA248">
        <v>183577.60765584937</v>
      </c>
    </row>
    <row r="249" spans="27:27" x14ac:dyDescent="0.25">
      <c r="AA249">
        <v>184117.31436992457</v>
      </c>
    </row>
    <row r="250" spans="27:27" x14ac:dyDescent="0.25">
      <c r="AA250">
        <v>184655.67518196962</v>
      </c>
    </row>
    <row r="251" spans="27:27" x14ac:dyDescent="0.25">
      <c r="AA251">
        <v>185192.69344834873</v>
      </c>
    </row>
    <row r="252" spans="27:27" x14ac:dyDescent="0.25">
      <c r="AA252">
        <v>185728.37251705606</v>
      </c>
    </row>
    <row r="253" spans="27:27" x14ac:dyDescent="0.25">
      <c r="AA253">
        <v>186262.71572773674</v>
      </c>
    </row>
    <row r="254" spans="27:27" x14ac:dyDescent="0.25">
      <c r="AA254">
        <v>186795.72641170747</v>
      </c>
    </row>
    <row r="255" spans="27:27" x14ac:dyDescent="0.25">
      <c r="AA255">
        <v>187327.40789197749</v>
      </c>
    </row>
    <row r="256" spans="27:27" x14ac:dyDescent="0.25">
      <c r="AA256">
        <v>187857.76348326931</v>
      </c>
    </row>
    <row r="257" spans="27:27" x14ac:dyDescent="0.25">
      <c r="AA257">
        <v>188386.7964920392</v>
      </c>
    </row>
    <row r="258" spans="27:27" x14ac:dyDescent="0.25">
      <c r="AA258">
        <v>188914.51021649796</v>
      </c>
    </row>
    <row r="259" spans="27:27" x14ac:dyDescent="0.25">
      <c r="AA259">
        <v>189440.90794663137</v>
      </c>
    </row>
    <row r="260" spans="27:27" x14ac:dyDescent="0.25">
      <c r="AA260">
        <v>189965.99296422079</v>
      </c>
    </row>
    <row r="261" spans="27:27" x14ac:dyDescent="0.25">
      <c r="AA261">
        <v>190489.7685428636</v>
      </c>
    </row>
    <row r="262" spans="27:27" x14ac:dyDescent="0.25">
      <c r="AA262">
        <v>191012.23794799362</v>
      </c>
    </row>
    <row r="263" spans="27:27" x14ac:dyDescent="0.25">
      <c r="AA263">
        <v>191533.40443690139</v>
      </c>
    </row>
    <row r="264" spans="27:27" x14ac:dyDescent="0.25">
      <c r="AA264">
        <v>192053.27125875445</v>
      </c>
    </row>
    <row r="265" spans="27:27" x14ac:dyDescent="0.25">
      <c r="AA265">
        <v>192571.84165461792</v>
      </c>
    </row>
    <row r="266" spans="27:27" x14ac:dyDescent="0.25">
      <c r="AA266">
        <v>193089.11885747424</v>
      </c>
    </row>
    <row r="267" spans="27:27" x14ac:dyDescent="0.25">
      <c r="AA267">
        <v>193605.1060922436</v>
      </c>
    </row>
    <row r="268" spans="27:27" x14ac:dyDescent="0.25">
      <c r="AA268">
        <v>194119.80657580408</v>
      </c>
    </row>
    <row r="269" spans="27:27" x14ac:dyDescent="0.25">
      <c r="AA269">
        <v>194633.22351701153</v>
      </c>
    </row>
    <row r="270" spans="27:27" x14ac:dyDescent="0.25">
      <c r="AA270">
        <v>195145.36011671973</v>
      </c>
    </row>
    <row r="271" spans="27:27" x14ac:dyDescent="0.25">
      <c r="AA271">
        <v>195656.2195678002</v>
      </c>
    </row>
    <row r="272" spans="27:27" x14ac:dyDescent="0.25">
      <c r="AA272">
        <v>196165.80505516232</v>
      </c>
    </row>
    <row r="273" spans="27:27" x14ac:dyDescent="0.25">
      <c r="AA273">
        <v>196674.11975577284</v>
      </c>
    </row>
    <row r="274" spans="27:27" x14ac:dyDescent="0.25">
      <c r="AA274">
        <v>197181.16683867617</v>
      </c>
    </row>
    <row r="275" spans="27:27" x14ac:dyDescent="0.25">
      <c r="AA275">
        <v>197686.9494650136</v>
      </c>
    </row>
    <row r="276" spans="27:27" x14ac:dyDescent="0.25">
      <c r="AA276">
        <v>198191.47078804349</v>
      </c>
    </row>
    <row r="277" spans="27:27" x14ac:dyDescent="0.25">
      <c r="AA277">
        <v>198694.73395316058</v>
      </c>
    </row>
    <row r="278" spans="27:27" x14ac:dyDescent="0.25">
      <c r="AA278">
        <v>199196.74209791579</v>
      </c>
    </row>
    <row r="279" spans="27:27" x14ac:dyDescent="0.25">
      <c r="AA279">
        <v>199697.49835203571</v>
      </c>
    </row>
    <row r="280" spans="27:27" x14ac:dyDescent="0.25">
      <c r="AA280">
        <v>200197.00583744209</v>
      </c>
    </row>
    <row r="281" spans="27:27" x14ac:dyDescent="0.25">
      <c r="AA281">
        <v>200695.26766827135</v>
      </c>
    </row>
    <row r="282" spans="27:27" x14ac:dyDescent="0.25">
      <c r="AA282">
        <v>201192.28695089414</v>
      </c>
    </row>
    <row r="283" spans="27:27" x14ac:dyDescent="0.25">
      <c r="AA283">
        <v>201688.06678393431</v>
      </c>
    </row>
    <row r="284" spans="27:27" x14ac:dyDescent="0.25">
      <c r="AA284">
        <v>202182.61025828851</v>
      </c>
    </row>
    <row r="285" spans="27:27" x14ac:dyDescent="0.25">
      <c r="AA285">
        <v>202675.92045714569</v>
      </c>
    </row>
    <row r="286" spans="27:27" x14ac:dyDescent="0.25">
      <c r="AA286">
        <v>203168.00045600563</v>
      </c>
    </row>
    <row r="287" spans="27:27" x14ac:dyDescent="0.25">
      <c r="AA287">
        <v>203658.85332269888</v>
      </c>
    </row>
    <row r="288" spans="27:27" x14ac:dyDescent="0.25">
      <c r="AA288">
        <v>204148.48211740536</v>
      </c>
    </row>
    <row r="289" spans="27:27" x14ac:dyDescent="0.25">
      <c r="AA289">
        <v>204636.88989267367</v>
      </c>
    </row>
    <row r="290" spans="27:27" x14ac:dyDescent="0.25">
      <c r="AA290">
        <v>205124.07969344009</v>
      </c>
    </row>
    <row r="291" spans="27:27" x14ac:dyDescent="0.25">
      <c r="AA291">
        <v>205610.05455704744</v>
      </c>
    </row>
    <row r="292" spans="27:27" x14ac:dyDescent="0.25">
      <c r="AA292">
        <v>206094.81751326425</v>
      </c>
    </row>
    <row r="293" spans="27:27" x14ac:dyDescent="0.25">
      <c r="AA293">
        <v>206578.37158430353</v>
      </c>
    </row>
    <row r="294" spans="27:27" x14ac:dyDescent="0.25">
      <c r="AA294">
        <v>207060.71978484138</v>
      </c>
    </row>
    <row r="295" spans="27:27" x14ac:dyDescent="0.25">
      <c r="AA295">
        <v>207541.86512203628</v>
      </c>
    </row>
    <row r="296" spans="27:27" x14ac:dyDescent="0.25">
      <c r="AA296">
        <v>208021.8105955474</v>
      </c>
    </row>
    <row r="297" spans="27:27" x14ac:dyDescent="0.25">
      <c r="AA297">
        <v>208500.55919755349</v>
      </c>
    </row>
    <row r="298" spans="27:27" x14ac:dyDescent="0.25">
      <c r="AA298">
        <v>208978.1139127716</v>
      </c>
    </row>
    <row r="299" spans="27:27" x14ac:dyDescent="0.25">
      <c r="AA299">
        <v>209454.47771847539</v>
      </c>
    </row>
    <row r="300" spans="27:27" x14ac:dyDescent="0.25">
      <c r="AA300">
        <v>209929.65358451405</v>
      </c>
    </row>
    <row r="301" spans="27:27" x14ac:dyDescent="0.25">
      <c r="AA301">
        <v>210403.64447333073</v>
      </c>
    </row>
    <row r="302" spans="27:27" x14ac:dyDescent="0.25">
      <c r="AA302">
        <v>210876.45333998074</v>
      </c>
    </row>
    <row r="303" spans="27:27" x14ac:dyDescent="0.25">
      <c r="AA303">
        <v>211348.08313215038</v>
      </c>
    </row>
    <row r="304" spans="27:27" x14ac:dyDescent="0.25">
      <c r="AA304">
        <v>211818.53679017496</v>
      </c>
    </row>
    <row r="305" spans="27:27" x14ac:dyDescent="0.25">
      <c r="AA305">
        <v>212287.8172470573</v>
      </c>
    </row>
    <row r="306" spans="27:27" x14ac:dyDescent="0.25">
      <c r="AA306">
        <v>212755.92742848603</v>
      </c>
    </row>
    <row r="307" spans="27:27" x14ac:dyDescent="0.25">
      <c r="AA307">
        <v>213222.8702528539</v>
      </c>
    </row>
    <row r="308" spans="27:27" x14ac:dyDescent="0.25">
      <c r="AA308">
        <v>213688.64863127572</v>
      </c>
    </row>
    <row r="309" spans="27:27" x14ac:dyDescent="0.25">
      <c r="AA309">
        <v>214153.26546760669</v>
      </c>
    </row>
    <row r="310" spans="27:27" x14ac:dyDescent="0.25">
      <c r="AA310">
        <v>214616.72365846051</v>
      </c>
    </row>
    <row r="311" spans="27:27" x14ac:dyDescent="0.25">
      <c r="AA311">
        <v>215079.02609322744</v>
      </c>
    </row>
    <row r="312" spans="27:27" x14ac:dyDescent="0.25">
      <c r="AA312">
        <v>215540.17565409222</v>
      </c>
    </row>
    <row r="313" spans="27:27" x14ac:dyDescent="0.25">
      <c r="AA313">
        <v>216000.1752160521</v>
      </c>
    </row>
    <row r="314" spans="27:27" x14ac:dyDescent="0.25">
      <c r="AA314">
        <v>216459.02764693473</v>
      </c>
    </row>
    <row r="315" spans="27:27" x14ac:dyDescent="0.25">
      <c r="AA315">
        <v>216916.73580741617</v>
      </c>
    </row>
    <row r="316" spans="27:27" x14ac:dyDescent="0.25">
      <c r="AA316">
        <v>217373.30255103856</v>
      </c>
    </row>
    <row r="317" spans="27:27" x14ac:dyDescent="0.25">
      <c r="AA317">
        <v>217828.73072422799</v>
      </c>
    </row>
    <row r="318" spans="27:27" x14ac:dyDescent="0.25">
      <c r="AA318">
        <v>218283.0231663122</v>
      </c>
    </row>
    <row r="319" spans="27:27" x14ac:dyDescent="0.25">
      <c r="AA319">
        <v>218736.18270953835</v>
      </c>
    </row>
    <row r="320" spans="27:27" x14ac:dyDescent="0.25">
      <c r="AA320">
        <v>219188.21217909057</v>
      </c>
    </row>
    <row r="321" spans="27:27" x14ac:dyDescent="0.25">
      <c r="AA321">
        <v>219639.11439310783</v>
      </c>
    </row>
    <row r="322" spans="27:27" x14ac:dyDescent="0.25">
      <c r="AA322">
        <v>220088.89216270109</v>
      </c>
    </row>
    <row r="323" spans="27:27" x14ac:dyDescent="0.25">
      <c r="AA323">
        <v>220537.54829197115</v>
      </c>
    </row>
    <row r="324" spans="27:27" x14ac:dyDescent="0.25">
      <c r="AA324">
        <v>220985.08557802602</v>
      </c>
    </row>
    <row r="325" spans="27:27" x14ac:dyDescent="0.25">
      <c r="AA325">
        <v>221431.50681099851</v>
      </c>
    </row>
    <row r="326" spans="27:27" x14ac:dyDescent="0.25">
      <c r="AA326">
        <v>221876.81477406336</v>
      </c>
    </row>
    <row r="327" spans="27:27" x14ac:dyDescent="0.25">
      <c r="AA327">
        <v>222321.01224345475</v>
      </c>
    </row>
    <row r="328" spans="27:27" x14ac:dyDescent="0.25">
      <c r="AA328">
        <v>222764.10198848351</v>
      </c>
    </row>
    <row r="329" spans="27:27" x14ac:dyDescent="0.25">
      <c r="AA329">
        <v>223206.0867715546</v>
      </c>
    </row>
    <row r="330" spans="27:27" x14ac:dyDescent="0.25">
      <c r="AA330">
        <v>223646.96934818412</v>
      </c>
    </row>
    <row r="331" spans="27:27" x14ac:dyDescent="0.25">
      <c r="AA331">
        <v>224086.75246701654</v>
      </c>
    </row>
    <row r="332" spans="27:27" x14ac:dyDescent="0.25">
      <c r="AA332">
        <v>224525.43886984204</v>
      </c>
    </row>
    <row r="333" spans="27:27" x14ac:dyDescent="0.25">
      <c r="AA333">
        <v>224963.03129161292</v>
      </c>
    </row>
    <row r="334" spans="27:27" x14ac:dyDescent="0.25">
      <c r="AA334">
        <v>225399.53246046175</v>
      </c>
    </row>
    <row r="335" spans="27:27" x14ac:dyDescent="0.25">
      <c r="AA335">
        <v>225834.94509771743</v>
      </c>
    </row>
    <row r="336" spans="27:27" x14ac:dyDescent="0.25">
      <c r="AA336">
        <v>226269.27191792268</v>
      </c>
    </row>
    <row r="337" spans="27:27" x14ac:dyDescent="0.25">
      <c r="AA337">
        <v>226702.51562885049</v>
      </c>
    </row>
    <row r="338" spans="27:27" x14ac:dyDescent="0.25">
      <c r="AA338">
        <v>227134.67893152169</v>
      </c>
    </row>
    <row r="339" spans="27:27" x14ac:dyDescent="0.25">
      <c r="AA339">
        <v>227565.76452022113</v>
      </c>
    </row>
    <row r="340" spans="27:27" x14ac:dyDescent="0.25">
      <c r="AA340">
        <v>227995.77508251483</v>
      </c>
    </row>
    <row r="341" spans="27:27" x14ac:dyDescent="0.25">
      <c r="AA341">
        <v>228424.71329926664</v>
      </c>
    </row>
    <row r="342" spans="27:27" x14ac:dyDescent="0.25">
      <c r="AA342">
        <v>228852.58184465507</v>
      </c>
    </row>
    <row r="343" spans="27:27" x14ac:dyDescent="0.25">
      <c r="AA343">
        <v>229279.38338618955</v>
      </c>
    </row>
    <row r="344" spans="27:27" x14ac:dyDescent="0.25">
      <c r="AA344">
        <v>229705.12058472773</v>
      </c>
    </row>
    <row r="345" spans="27:27" x14ac:dyDescent="0.25">
      <c r="AA345">
        <v>230129.79609449147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Kam 3% 90hAndrija</vt:lpstr>
      <vt:lpstr>Kam 3.0% 328000</vt:lpstr>
      <vt:lpstr>Kam 3.5% 96000</vt:lpstr>
      <vt:lpstr>Kam 3.5%41000</vt:lpstr>
      <vt:lpstr>Kam 4%75000</vt:lpstr>
      <vt:lpstr>Kam 5% 75000</vt:lpstr>
      <vt:lpstr>Kam3%230000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Zoran-PC</dc:creator>
  <cp:lastModifiedBy>zoran</cp:lastModifiedBy>
  <dcterms:created xsi:type="dcterms:W3CDTF">2017-03-19T06:34:49Z</dcterms:created>
  <dcterms:modified xsi:type="dcterms:W3CDTF">2018-10-21T14:21:15Z</dcterms:modified>
</cp:coreProperties>
</file>